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Artifacts" sheetId="5" state="visible" r:id="rId5"/>
    <sheet name="Calc" sheetId="6" state="visible" r:id="rId6"/>
    <sheet name="Summary" sheetId="7" state="visible" r:id="rId7"/>
    <sheet name="Sensitivity" sheetId="8" state="visible" r:id="rId8"/>
    <sheet name="Equipment Compare" sheetId="9" state="visible" r:id="rId9"/>
    <sheet name="CubeData" sheetId="10" state="visible" r:id="rId10"/>
    <sheet name="ArtifactsInput" sheetId="11" state="visible" r:id="rId11"/>
    <sheet name="PotentialCubes"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Hero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Iron Body's flat +30 STR, Weapon Acceleration, Physical Training, Weapon Mastery, Combat Mastery, and Power Stance's own Final Damage component are always-on passives assumed to already be reflected in your own Inputs stat entries — only their Sensitivity marginal delta is modeled live, matching this project's established convention. Iron Body's flat STR specifically has NO Sensitivity delta row (no percentage-bucket exists for a flat sub-stat bonus in this template) — just assume your own Inputs!STR already includes it. Warrior Mastery (Max HP/Speed) and Power Stance's own damage-reduction component have zero DPS-relevant mechanic and get no row at all.</t>
        </is>
      </c>
    </row>
    <row r="11">
      <c r="A11" s="2" t="inlineStr">
        <is>
          <t>Hero's Mastery table has a confirmed skill-name swap bug: every row labeled 'Puncture' actually describes an Enhanced Raging Blow effect, and vice versa. Re-attributed by effect description, not label, throughout this workbook.</t>
        </is>
      </c>
    </row>
    <row r="12">
      <c r="A12" s="2" t="inlineStr">
        <is>
          <t>Puncture is split into two rows (direct hit + wound DoT), same pattern as FP-Mage's own Poison Mist Burst/DoT split. Its wound's own continuously-scaling boss-damage-taken curve (10%-&gt;18%) is a live FactorTable lookup (factorIndex 21/baseDamage 100 tenths%, resolved via _reverse_engineer_hero_factors.py), not a flat approximation.</t>
        </is>
      </c>
    </row>
    <row r="13">
      <c r="A13" s="2" t="inlineStr">
        <is>
          <t>Combo Attack and Combo Synergy (both combo-stack-scaling passives) are modeled at steady-state MAX stacks once unlocked, not as an exact stack-gain/decay state machine — the same simplification tier as Concentration/Mortal Blow elsewhere in this project. Enhanced Raging Blow's own Lv.134 mastery ('combo final damage +50% per excess stack') reuses this same steady-state assumption: 2 excess stacks above the 5 required to use the skill, once Advanced Combo's own 7-stack cap unlocks at Lv.110, giving a flat +100% Final Damage term once Lv.134 is reached.</t>
        </is>
      </c>
    </row>
    <row r="14">
      <c r="A14" s="2" t="inlineStr">
        <is>
          <t>Scaring Sword is the first skill in this project to actually drive the Global Monster Damage-Taken Bonus% bucket (a placeholder left at 0 in every prior class) — modeled as proc-chance x duty-cycle uptime, feeding every damage row's own monster-damage-taken term.</t>
        </is>
      </c>
    </row>
    <row r="15">
      <c r="A15" s="2" t="inlineStr">
        <is>
          <t>Enrage fires on its own fixed interval (not a player-cast cooldown) — modeled the same way as any other duty-cycled buff, treating the interval as the row's own Cooldown(s). Its new Aug-13-patch 'activates at combat start' behavior is not modeled (no start-of-combat mechanic exists anywhere in this project).</t>
        </is>
      </c>
    </row>
    <row r="16">
      <c r="A16" s="2" t="inlineStr">
        <is>
          <t>Raging Blow (basic attack) reuses the universal 4th-job-basic-attack constant (baseDamage 2900, factorIndex 21) confirmed identical across every class in this project. Final Attack + Advanced Final Attack fold into its own coefficient exactly like Bowmaster's own Arrow Stream — both resolve to the identical tuples Bowmaster already established, confirming they're genuinely the same cross-tree shared skills.</t>
        </is>
      </c>
    </row>
    <row r="17">
      <c r="A17" s="2" t="inlineStr">
        <is>
          <t>Magic Crash is shared verbatim with Paladin and Dark Knight (single wiki page) — patched targets 5-&gt;9 (effect range +50% not modeled, no such mechanic exists).</t>
        </is>
      </c>
    </row>
    <row r="18">
      <c r="A18"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19">
      <c r="A19" s="2" t="inlineStr">
        <is>
          <t>Not modeled (out of scope): all forms of crowd control (Rush/Puncture stuns), Accuracy, Evasion, Defense, Max HP/MP recovery, movement speed, and Companion Summoning Time.</t>
        </is>
      </c>
    </row>
    <row r="20">
      <c r="A2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5"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Hero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200</v>
      </c>
      <c r="N3" t="inlineStr">
        <is>
          <t>Pig's Ribbon</t>
        </is>
      </c>
    </row>
    <row r="4">
      <c r="A4" s="6" t="inlineStr">
        <is>
          <t>Content Type</t>
        </is>
      </c>
      <c r="B4" s="7" t="inlineStr">
        <is>
          <t>Chapter Boss</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28</t>
        </is>
      </c>
      <c r="D5" s="7" t="inlineStr">
        <is>
          <t>28-9</t>
        </is>
      </c>
      <c r="E5" s="8" t="n"/>
      <c r="F5" s="7" t="inlineStr">
        <is>
          <t>80</t>
        </is>
      </c>
      <c r="G5" s="7" t="inlineStr">
        <is>
          <t>80</t>
        </is>
      </c>
      <c r="H5" s="7" t="inlineStr">
        <is>
          <t>80</t>
        </is>
      </c>
      <c r="I5" s="7" t="inlineStr">
        <is>
          <t>80</t>
        </is>
      </c>
      <c r="J5" s="7" t="inlineStr">
        <is>
          <t>80</t>
        </is>
      </c>
      <c r="K5" s="8" t="n"/>
      <c r="L5" s="7" t="inlineStr">
        <is>
          <t>28-9</t>
        </is>
      </c>
      <c r="N5" t="inlineStr">
        <is>
          <t>The Contract of Darkness</t>
        </is>
      </c>
    </row>
    <row r="6">
      <c r="A6" s="6" t="inlineStr">
        <is>
          <t>Flat ATTACK</t>
        </is>
      </c>
      <c r="B6" s="8">
        <f>INDEX($C$6:$L$6,MATCH($B$4,$C$2:$L$2,0))</f>
        <v/>
      </c>
      <c r="C6" s="7" t="n">
        <v>10000</v>
      </c>
      <c r="D6" s="7" t="n">
        <v>10000</v>
      </c>
      <c r="E6" s="7" t="n">
        <v>10000</v>
      </c>
      <c r="F6" s="7" t="n">
        <v>10000</v>
      </c>
      <c r="G6" s="7" t="n">
        <v>10000</v>
      </c>
      <c r="H6" s="7" t="n">
        <v>10000</v>
      </c>
      <c r="I6" s="7" t="n">
        <v>10000</v>
      </c>
      <c r="J6" s="7" t="n">
        <v>10000</v>
      </c>
      <c r="K6" s="7" t="n">
        <v>10000</v>
      </c>
      <c r="L6" s="7" t="n">
        <v>10000</v>
      </c>
      <c r="N6" t="inlineStr">
        <is>
          <t>Rainbow-colored Snail Shell</t>
        </is>
      </c>
    </row>
    <row r="7">
      <c r="A7" s="6" t="inlineStr">
        <is>
          <t>ATTACK %</t>
        </is>
      </c>
      <c r="B7" s="8">
        <f>INDEX($C$7:$L$7,MATCH($B$4,$C$2:$L$2,0))</f>
        <v/>
      </c>
      <c r="C7" s="7" t="n">
        <v>0</v>
      </c>
      <c r="D7" s="7" t="n">
        <v>0</v>
      </c>
      <c r="E7" s="7" t="n">
        <v>0</v>
      </c>
      <c r="F7" s="7" t="n">
        <v>0</v>
      </c>
      <c r="G7" s="7" t="n">
        <v>0</v>
      </c>
      <c r="H7" s="7" t="n">
        <v>0</v>
      </c>
      <c r="I7" s="7" t="n">
        <v>0</v>
      </c>
      <c r="J7" s="7" t="n">
        <v>0</v>
      </c>
      <c r="K7" s="7" t="n">
        <v>0</v>
      </c>
      <c r="L7" s="7" t="n">
        <v>0</v>
      </c>
      <c r="N7" t="inlineStr">
        <is>
          <t>Hexagon Necklace</t>
        </is>
      </c>
    </row>
    <row r="8">
      <c r="A8" s="6" t="inlineStr">
        <is>
          <t>Defense (your own DEF stat; PvP assumes the opponent has the same Defense as you)</t>
        </is>
      </c>
      <c r="B8" s="8">
        <f>INDEX($C$8:$L$8,MATCH($B$4,$C$2:$L$2,0))</f>
        <v/>
      </c>
      <c r="C8" s="7" t="n">
        <v>0</v>
      </c>
      <c r="D8" s="7" t="n">
        <v>0</v>
      </c>
      <c r="E8" s="7" t="n">
        <v>0</v>
      </c>
      <c r="F8" s="7" t="n">
        <v>0</v>
      </c>
      <c r="G8" s="7" t="n">
        <v>0</v>
      </c>
      <c r="H8" s="7" t="n">
        <v>0</v>
      </c>
      <c r="I8" s="7" t="n">
        <v>0</v>
      </c>
      <c r="J8" s="7" t="n">
        <v>0</v>
      </c>
      <c r="K8" s="7" t="n">
        <v>0</v>
      </c>
      <c r="L8" s="7" t="n">
        <v>0</v>
      </c>
      <c r="N8" t="inlineStr">
        <is>
          <t>Arwen's Glass Shoes</t>
        </is>
      </c>
    </row>
    <row r="9">
      <c r="A9" s="6" t="inlineStr">
        <is>
          <t>CRIT_RATE %</t>
        </is>
      </c>
      <c r="B9" s="8">
        <f>INDEX($C$9:$L$9,MATCH($B$4,$C$2:$L$2,0))</f>
        <v/>
      </c>
      <c r="C9" s="7" t="n">
        <v>0</v>
      </c>
      <c r="D9" s="7" t="n">
        <v>0</v>
      </c>
      <c r="E9" s="7" t="n">
        <v>0</v>
      </c>
      <c r="F9" s="7" t="n">
        <v>0</v>
      </c>
      <c r="G9" s="7" t="n">
        <v>0</v>
      </c>
      <c r="H9" s="7" t="n">
        <v>0</v>
      </c>
      <c r="I9" s="7" t="n">
        <v>0</v>
      </c>
      <c r="J9" s="7" t="n">
        <v>0</v>
      </c>
      <c r="K9" s="7" t="n">
        <v>0</v>
      </c>
      <c r="L9" s="7" t="n">
        <v>0</v>
      </c>
      <c r="N9" t="inlineStr">
        <is>
          <t>Mushmom's Cap</t>
        </is>
      </c>
    </row>
    <row r="10">
      <c r="A10" s="6" t="inlineStr">
        <is>
          <t>CRIT_DAMAGE %</t>
        </is>
      </c>
      <c r="B10" s="8">
        <f>INDEX($C$10:$L$10,MATCH($B$4,$C$2:$L$2,0))</f>
        <v/>
      </c>
      <c r="C10" s="7" t="n">
        <v>0</v>
      </c>
      <c r="D10" s="7" t="n">
        <v>0</v>
      </c>
      <c r="E10" s="7" t="n">
        <v>0</v>
      </c>
      <c r="F10" s="7" t="n">
        <v>0</v>
      </c>
      <c r="G10" s="7" t="n">
        <v>0</v>
      </c>
      <c r="H10" s="7" t="n">
        <v>0</v>
      </c>
      <c r="I10" s="7" t="n">
        <v>0</v>
      </c>
      <c r="J10" s="7" t="n">
        <v>0</v>
      </c>
      <c r="K10" s="7" t="n">
        <v>0</v>
      </c>
      <c r="L10" s="7" t="n">
        <v>0</v>
      </c>
      <c r="N10" t="inlineStr">
        <is>
          <t>Clear Spring Water</t>
        </is>
      </c>
    </row>
    <row r="11">
      <c r="A11" s="6" t="inlineStr">
        <is>
          <t>ATTACK_SPEED % (base, excludes Weapon Acceleration)</t>
        </is>
      </c>
      <c r="B11" s="8">
        <f>INDEX($C$11:$L$11,MATCH($B$4,$C$2:$L$2,0))</f>
        <v/>
      </c>
      <c r="C11" s="7" t="n">
        <v>0</v>
      </c>
      <c r="D11" s="7" t="n">
        <v>0</v>
      </c>
      <c r="E11" s="7" t="n">
        <v>0</v>
      </c>
      <c r="F11" s="7" t="n">
        <v>0</v>
      </c>
      <c r="G11" s="7" t="n">
        <v>0</v>
      </c>
      <c r="H11" s="7" t="n">
        <v>0</v>
      </c>
      <c r="I11" s="7" t="n">
        <v>0</v>
      </c>
      <c r="J11" s="7" t="n">
        <v>0</v>
      </c>
      <c r="K11" s="7" t="n">
        <v>0</v>
      </c>
      <c r="L11" s="7" t="n">
        <v>0</v>
      </c>
      <c r="N11" t="inlineStr">
        <is>
          <t>Athena Pierce's Old Gloves</t>
        </is>
      </c>
    </row>
    <row r="12">
      <c r="A12" s="6" t="inlineStr">
        <is>
          <t>Flat STR (include Iron Body's own +30 if unlocked)</t>
        </is>
      </c>
      <c r="B12" s="8">
        <f>INDEX($C$12:$L$12,MATCH($B$4,$C$2:$L$2,0))</f>
        <v/>
      </c>
      <c r="C12" s="7" t="n">
        <v>0</v>
      </c>
      <c r="D12" s="7" t="n">
        <v>0</v>
      </c>
      <c r="E12" s="7" t="n">
        <v>0</v>
      </c>
      <c r="F12" s="7" t="n">
        <v>0</v>
      </c>
      <c r="G12" s="7" t="n">
        <v>0</v>
      </c>
      <c r="H12" s="7" t="n">
        <v>0</v>
      </c>
      <c r="I12" s="7" t="n">
        <v>0</v>
      </c>
      <c r="J12" s="7" t="n">
        <v>0</v>
      </c>
      <c r="K12" s="7" t="n">
        <v>0</v>
      </c>
      <c r="L12" s="7" t="n">
        <v>0</v>
      </c>
      <c r="N12" t="inlineStr">
        <is>
          <t>Zakum's Stone Piece</t>
        </is>
      </c>
    </row>
    <row r="13">
      <c r="A13" s="6" t="inlineStr">
        <is>
          <t>STR %</t>
        </is>
      </c>
      <c r="B13" s="8">
        <f>INDEX($C$13:$L$13,MATCH($B$4,$C$2:$L$2,0))</f>
        <v/>
      </c>
      <c r="C13" s="7" t="n">
        <v>0</v>
      </c>
      <c r="D13" s="7" t="n">
        <v>0</v>
      </c>
      <c r="E13" s="7" t="n">
        <v>0</v>
      </c>
      <c r="F13" s="7" t="n">
        <v>0</v>
      </c>
      <c r="G13" s="7" t="n">
        <v>0</v>
      </c>
      <c r="H13" s="7" t="n">
        <v>0</v>
      </c>
      <c r="I13" s="7" t="n">
        <v>0</v>
      </c>
      <c r="J13" s="7" t="n">
        <v>0</v>
      </c>
      <c r="K13" s="7" t="n">
        <v>0</v>
      </c>
      <c r="L13" s="7" t="n">
        <v>0</v>
      </c>
      <c r="N13" t="inlineStr">
        <is>
          <t>Horntail's Scale</t>
        </is>
      </c>
    </row>
    <row r="14">
      <c r="A14" s="6" t="inlineStr">
        <is>
          <t>DEX</t>
        </is>
      </c>
      <c r="B14" s="8">
        <f>INDEX($C$14:$L$14,MATCH($B$4,$C$2:$L$2,0))</f>
        <v/>
      </c>
      <c r="C14" s="7" t="n">
        <v>0</v>
      </c>
      <c r="D14" s="7" t="n">
        <v>0</v>
      </c>
      <c r="E14" s="7" t="n">
        <v>0</v>
      </c>
      <c r="F14" s="7" t="n">
        <v>0</v>
      </c>
      <c r="G14" s="7" t="n">
        <v>0</v>
      </c>
      <c r="H14" s="7" t="n">
        <v>0</v>
      </c>
      <c r="I14" s="7" t="n">
        <v>0</v>
      </c>
      <c r="J14" s="7" t="n">
        <v>0</v>
      </c>
      <c r="K14" s="7" t="n">
        <v>0</v>
      </c>
      <c r="L14" s="7" t="n">
        <v>0</v>
      </c>
      <c r="N14" t="inlineStr">
        <is>
          <t>Pink Bean's Giant Rib</t>
        </is>
      </c>
    </row>
    <row r="15">
      <c r="A15" s="6" t="inlineStr">
        <is>
          <t>DAMAGE %</t>
        </is>
      </c>
      <c r="B15" s="8">
        <f>INDEX($C$15:$L$15,MATCH($B$4,$C$2:$L$2,0))</f>
        <v/>
      </c>
      <c r="C15" s="7" t="n">
        <v>0</v>
      </c>
      <c r="D15" s="7" t="n">
        <v>0</v>
      </c>
      <c r="E15" s="7" t="n">
        <v>0</v>
      </c>
      <c r="F15" s="7" t="n">
        <v>0</v>
      </c>
      <c r="G15" s="7" t="n">
        <v>0</v>
      </c>
      <c r="H15" s="7" t="n">
        <v>0</v>
      </c>
      <c r="I15" s="7" t="n">
        <v>0</v>
      </c>
      <c r="J15" s="7" t="n">
        <v>0</v>
      </c>
      <c r="K15" s="7" t="n">
        <v>0</v>
      </c>
      <c r="L15" s="7" t="n">
        <v>0</v>
      </c>
      <c r="N15" t="inlineStr">
        <is>
          <t>Chalice</t>
        </is>
      </c>
    </row>
    <row r="16">
      <c r="A16" s="6" t="inlineStr">
        <is>
          <t>DAMAGE_AMP %</t>
        </is>
      </c>
      <c r="B16" s="8">
        <f>INDEX($C$16:$L$16,MATCH($B$4,$C$2:$L$2,0))</f>
        <v/>
      </c>
      <c r="C16" s="7" t="n">
        <v>0</v>
      </c>
      <c r="D16" s="7" t="n">
        <v>0</v>
      </c>
      <c r="E16" s="7" t="n">
        <v>0</v>
      </c>
      <c r="F16" s="7" t="n">
        <v>0</v>
      </c>
      <c r="G16" s="7" t="n">
        <v>0</v>
      </c>
      <c r="H16" s="7" t="n">
        <v>0</v>
      </c>
      <c r="I16" s="7" t="n">
        <v>0</v>
      </c>
      <c r="J16" s="7" t="n">
        <v>0</v>
      </c>
      <c r="K16" s="7" t="n">
        <v>0</v>
      </c>
      <c r="L16" s="7" t="n">
        <v>0</v>
      </c>
      <c r="N16" t="inlineStr">
        <is>
          <t>Old Music Box</t>
        </is>
      </c>
    </row>
    <row r="17">
      <c r="A17" s="6" t="inlineStr">
        <is>
          <t>BASIC_ATTACK_DAMAGE %</t>
        </is>
      </c>
      <c r="B17" s="8">
        <f>INDEX($C$17:$L$17,MATCH($B$4,$C$2:$L$2,0))</f>
        <v/>
      </c>
      <c r="C17" s="7" t="n">
        <v>0</v>
      </c>
      <c r="D17" s="7" t="n">
        <v>0</v>
      </c>
      <c r="E17" s="7" t="n">
        <v>0</v>
      </c>
      <c r="F17" s="7" t="n">
        <v>0</v>
      </c>
      <c r="G17" s="7" t="n">
        <v>0</v>
      </c>
      <c r="H17" s="7" t="n">
        <v>0</v>
      </c>
      <c r="I17" s="7" t="n">
        <v>0</v>
      </c>
      <c r="J17" s="7" t="n">
        <v>0</v>
      </c>
      <c r="K17" s="7" t="n">
        <v>0</v>
      </c>
      <c r="L17" s="7" t="n">
        <v>0</v>
      </c>
      <c r="N17" t="inlineStr">
        <is>
          <t>Silver Pendant</t>
        </is>
      </c>
    </row>
    <row r="18">
      <c r="A18" s="6" t="inlineStr">
        <is>
          <t>SKILL_DAMAGE %</t>
        </is>
      </c>
      <c r="B18" s="8">
        <f>INDEX($C$18:$L$18,MATCH($B$4,$C$2:$L$2,0))</f>
        <v/>
      </c>
      <c r="C18" s="7" t="n">
        <v>0</v>
      </c>
      <c r="D18" s="7" t="n">
        <v>0</v>
      </c>
      <c r="E18" s="7" t="n">
        <v>0</v>
      </c>
      <c r="F18" s="7" t="n">
        <v>0</v>
      </c>
      <c r="G18" s="7" t="n">
        <v>0</v>
      </c>
      <c r="H18" s="7" t="n">
        <v>0</v>
      </c>
      <c r="I18" s="7" t="n">
        <v>0</v>
      </c>
      <c r="J18" s="7" t="n">
        <v>0</v>
      </c>
      <c r="K18" s="7" t="n">
        <v>0</v>
      </c>
      <c r="L18" s="7" t="n">
        <v>0</v>
      </c>
      <c r="N18" t="inlineStr">
        <is>
          <t>Star Rock</t>
        </is>
      </c>
    </row>
    <row r="19">
      <c r="A19" s="6" t="inlineStr">
        <is>
          <t>DEF_PEN %</t>
        </is>
      </c>
      <c r="B19" s="8">
        <f>INDEX($C$19:$L$19,MATCH($B$4,$C$2:$L$2,0))</f>
        <v/>
      </c>
      <c r="C19" s="7" t="n">
        <v>0</v>
      </c>
      <c r="D19" s="7" t="n">
        <v>0</v>
      </c>
      <c r="E19" s="7" t="n">
        <v>0</v>
      </c>
      <c r="F19" s="7" t="n">
        <v>0</v>
      </c>
      <c r="G19" s="7" t="n">
        <v>0</v>
      </c>
      <c r="H19" s="7" t="n">
        <v>0</v>
      </c>
      <c r="I19" s="7" t="n">
        <v>0</v>
      </c>
      <c r="J19" s="7" t="n">
        <v>0</v>
      </c>
      <c r="K19" s="7" t="n">
        <v>0</v>
      </c>
      <c r="L19" s="7" t="n">
        <v>0</v>
      </c>
      <c r="N19" t="inlineStr">
        <is>
          <t>Book of Ancient</t>
        </is>
      </c>
    </row>
    <row r="20">
      <c r="A20" s="6" t="inlineStr">
        <is>
          <t>BOSS_DAMAGE %</t>
        </is>
      </c>
      <c r="B20" s="8">
        <f>INDEX($C$20:$L$20,MATCH($B$4,$C$2:$L$2,0))</f>
        <v/>
      </c>
      <c r="C20" s="7" t="n">
        <v>0</v>
      </c>
      <c r="D20" s="7" t="n">
        <v>0</v>
      </c>
      <c r="E20" s="7" t="n">
        <v>0</v>
      </c>
      <c r="F20" s="7" t="n">
        <v>0</v>
      </c>
      <c r="G20" s="7" t="n">
        <v>0</v>
      </c>
      <c r="H20" s="7" t="n">
        <v>0</v>
      </c>
      <c r="I20" s="7" t="n">
        <v>0</v>
      </c>
      <c r="J20" s="7" t="n">
        <v>0</v>
      </c>
      <c r="K20" s="7" t="n">
        <v>0</v>
      </c>
      <c r="L20" s="7" t="n">
        <v>0</v>
      </c>
      <c r="N20" t="inlineStr">
        <is>
          <t>Lunar Dew</t>
        </is>
      </c>
    </row>
    <row r="21">
      <c r="A21" s="6" t="inlineStr">
        <is>
          <t>NORMAL_DAMAGE %</t>
        </is>
      </c>
      <c r="B21" s="8">
        <f>INDEX($C$21:$L$21,MATCH($B$4,$C$2:$L$2,0))</f>
        <v/>
      </c>
      <c r="C21" s="7" t="n">
        <v>0</v>
      </c>
      <c r="D21" s="7" t="n">
        <v>0</v>
      </c>
      <c r="E21" s="7" t="n">
        <v>0</v>
      </c>
      <c r="F21" s="7" t="n">
        <v>0</v>
      </c>
      <c r="G21" s="7" t="n">
        <v>0</v>
      </c>
      <c r="H21" s="7" t="n">
        <v>0</v>
      </c>
      <c r="I21" s="7" t="n">
        <v>0</v>
      </c>
      <c r="J21" s="7" t="n">
        <v>0</v>
      </c>
      <c r="K21" s="7" t="n">
        <v>0</v>
      </c>
      <c r="L21" s="7" t="n">
        <v>0</v>
      </c>
      <c r="N21" t="inlineStr">
        <is>
          <t>Fire Flower</t>
        </is>
      </c>
    </row>
    <row r="22">
      <c r="A22" s="6" t="inlineStr">
        <is>
          <t>MIN_DAMAGE %</t>
        </is>
      </c>
      <c r="B22" s="8">
        <f>INDEX($C$22:$L$22,MATCH($B$4,$C$2:$L$2,0))</f>
        <v/>
      </c>
      <c r="C22" s="7" t="n">
        <v>100</v>
      </c>
      <c r="D22" s="7" t="n">
        <v>100</v>
      </c>
      <c r="E22" s="7" t="n">
        <v>100</v>
      </c>
      <c r="F22" s="7" t="n">
        <v>100</v>
      </c>
      <c r="G22" s="7" t="n">
        <v>100</v>
      </c>
      <c r="H22" s="7" t="n">
        <v>100</v>
      </c>
      <c r="I22" s="7" t="n">
        <v>100</v>
      </c>
      <c r="J22" s="7" t="n">
        <v>100</v>
      </c>
      <c r="K22" s="7" t="n">
        <v>100</v>
      </c>
      <c r="L22" s="7" t="n">
        <v>100</v>
      </c>
      <c r="N22" t="inlineStr">
        <is>
          <t>Soul Contract</t>
        </is>
      </c>
    </row>
    <row r="23">
      <c r="A23" s="6" t="inlineStr">
        <is>
          <t>MAX_DAMAGE %</t>
        </is>
      </c>
      <c r="B23" s="8">
        <f>INDEX($C$23:$L$23,MATCH($B$4,$C$2:$L$2,0))</f>
        <v/>
      </c>
      <c r="C23" s="7" t="n">
        <v>100</v>
      </c>
      <c r="D23" s="7" t="n">
        <v>100</v>
      </c>
      <c r="E23" s="7" t="n">
        <v>100</v>
      </c>
      <c r="F23" s="7" t="n">
        <v>100</v>
      </c>
      <c r="G23" s="7" t="n">
        <v>100</v>
      </c>
      <c r="H23" s="7" t="n">
        <v>100</v>
      </c>
      <c r="I23" s="7" t="n">
        <v>100</v>
      </c>
      <c r="J23" s="7" t="n">
        <v>100</v>
      </c>
      <c r="K23" s="7" t="n">
        <v>100</v>
      </c>
      <c r="L23" s="7" t="n">
        <v>100</v>
      </c>
      <c r="N23" t="inlineStr">
        <is>
          <t>Lit Lamp</t>
        </is>
      </c>
    </row>
    <row r="24">
      <c r="A24" s="6" t="inlineStr">
        <is>
          <t>FINAL_DAMAGE % (base)</t>
        </is>
      </c>
      <c r="B24" s="8">
        <f>INDEX($C$24:$L$24,MATCH($B$4,$C$2:$L$2,0))</f>
        <v/>
      </c>
      <c r="C24" s="7" t="n">
        <v>0</v>
      </c>
      <c r="D24" s="7" t="n">
        <v>0</v>
      </c>
      <c r="E24" s="7" t="n">
        <v>0</v>
      </c>
      <c r="F24" s="7" t="n">
        <v>0</v>
      </c>
      <c r="G24" s="7" t="n">
        <v>0</v>
      </c>
      <c r="H24" s="7" t="n">
        <v>0</v>
      </c>
      <c r="I24" s="7" t="n">
        <v>0</v>
      </c>
      <c r="J24" s="7" t="n">
        <v>0</v>
      </c>
      <c r="K24" s="7" t="n">
        <v>0</v>
      </c>
      <c r="L24" s="7" t="n">
        <v>0</v>
      </c>
      <c r="N24" t="inlineStr">
        <is>
          <t>Soul Pouch</t>
        </is>
      </c>
    </row>
    <row r="25">
      <c r="A25" s="6" t="inlineStr">
        <is>
          <t>Skill Level Bonus — 1st Job</t>
        </is>
      </c>
      <c r="B25" s="8">
        <f>INDEX($C$25:$L$25,MATCH($B$4,$C$2:$L$2,0))</f>
        <v/>
      </c>
      <c r="C25" s="7" t="n">
        <v>0</v>
      </c>
      <c r="D25" s="7" t="n">
        <v>0</v>
      </c>
      <c r="E25" s="7" t="n">
        <v>0</v>
      </c>
      <c r="F25" s="7" t="n">
        <v>0</v>
      </c>
      <c r="G25" s="7" t="n">
        <v>0</v>
      </c>
      <c r="H25" s="7" t="n">
        <v>0</v>
      </c>
      <c r="I25" s="7" t="n">
        <v>0</v>
      </c>
      <c r="J25" s="7" t="n">
        <v>0</v>
      </c>
      <c r="K25" s="7" t="n">
        <v>0</v>
      </c>
      <c r="L25" s="7" t="n">
        <v>0</v>
      </c>
      <c r="N25" t="inlineStr">
        <is>
          <t>Ancient Text Piece</t>
        </is>
      </c>
    </row>
    <row r="26">
      <c r="A26" s="6" t="inlineStr">
        <is>
          <t>Skill Level Bonus — 2nd Job</t>
        </is>
      </c>
      <c r="B26" s="8">
        <f>INDEX($C$26:$L$26,MATCH($B$4,$C$2:$L$2,0))</f>
        <v/>
      </c>
      <c r="C26" s="7" t="n">
        <v>0</v>
      </c>
      <c r="D26" s="7" t="n">
        <v>0</v>
      </c>
      <c r="E26" s="7" t="n">
        <v>0</v>
      </c>
      <c r="F26" s="7" t="n">
        <v>0</v>
      </c>
      <c r="G26" s="7" t="n">
        <v>0</v>
      </c>
      <c r="H26" s="7" t="n">
        <v>0</v>
      </c>
      <c r="I26" s="7" t="n">
        <v>0</v>
      </c>
      <c r="J26" s="7" t="n">
        <v>0</v>
      </c>
      <c r="K26" s="7" t="n">
        <v>0</v>
      </c>
      <c r="L26" s="7" t="n">
        <v>0</v>
      </c>
      <c r="N26" t="inlineStr">
        <is>
          <t>Icy Soul Rock</t>
        </is>
      </c>
    </row>
    <row r="27">
      <c r="A27" s="6" t="inlineStr">
        <is>
          <t>Skill Level Bonus — 3rd Job</t>
        </is>
      </c>
      <c r="B27" s="8">
        <f>INDEX($C$27:$L$27,MATCH($B$4,$C$2:$L$2,0))</f>
        <v/>
      </c>
      <c r="C27" s="7" t="n">
        <v>0</v>
      </c>
      <c r="D27" s="7" t="n">
        <v>0</v>
      </c>
      <c r="E27" s="7" t="n">
        <v>0</v>
      </c>
      <c r="F27" s="7" t="n">
        <v>0</v>
      </c>
      <c r="G27" s="7" t="n">
        <v>0</v>
      </c>
      <c r="H27" s="7" t="n">
        <v>0</v>
      </c>
      <c r="I27" s="7" t="n">
        <v>0</v>
      </c>
      <c r="J27" s="7" t="n">
        <v>0</v>
      </c>
      <c r="K27" s="7" t="n">
        <v>0</v>
      </c>
      <c r="L27" s="7" t="n">
        <v>0</v>
      </c>
      <c r="N27" t="inlineStr">
        <is>
          <t>Flaming Lava</t>
        </is>
      </c>
    </row>
    <row r="28">
      <c r="A28" s="6" t="inlineStr">
        <is>
          <t>Skill Level Bonus — 4th Job</t>
        </is>
      </c>
      <c r="B28" s="8">
        <f>INDEX($C$28:$L$28,MATCH($B$4,$C$2:$L$2,0))</f>
        <v/>
      </c>
      <c r="C28" s="7" t="n">
        <v>0</v>
      </c>
      <c r="D28" s="7" t="n">
        <v>0</v>
      </c>
      <c r="E28" s="7" t="n">
        <v>0</v>
      </c>
      <c r="F28" s="7" t="n">
        <v>0</v>
      </c>
      <c r="G28" s="7" t="n">
        <v>0</v>
      </c>
      <c r="H28" s="7" t="n">
        <v>0</v>
      </c>
      <c r="I28" s="7" t="n">
        <v>0</v>
      </c>
      <c r="J28" s="7" t="n">
        <v>0</v>
      </c>
      <c r="K28" s="7" t="n">
        <v>0</v>
      </c>
      <c r="L28" s="7" t="n">
        <v>0</v>
      </c>
      <c r="N28" t="inlineStr">
        <is>
          <t>Sayram's Necklace</t>
        </is>
      </c>
    </row>
    <row r="29">
      <c r="A29" s="6" t="inlineStr">
        <is>
          <t>Skill Level Bonus — All Skills</t>
        </is>
      </c>
      <c r="B29" s="8">
        <f>INDEX($C$29:$L$29,MATCH($B$4,$C$2:$L$2,0))</f>
        <v/>
      </c>
      <c r="C29" s="7" t="n">
        <v>0</v>
      </c>
      <c r="D29" s="7" t="n">
        <v>0</v>
      </c>
      <c r="E29" s="7" t="n">
        <v>0</v>
      </c>
      <c r="F29" s="7" t="n">
        <v>0</v>
      </c>
      <c r="G29" s="7" t="n">
        <v>0</v>
      </c>
      <c r="H29" s="7" t="n">
        <v>0</v>
      </c>
      <c r="I29" s="7" t="n">
        <v>0</v>
      </c>
      <c r="J29" s="7" t="n">
        <v>0</v>
      </c>
      <c r="K29" s="7" t="n">
        <v>0</v>
      </c>
      <c r="L29" s="7" t="n">
        <v>0</v>
      </c>
      <c r="N29" t="inlineStr">
        <is>
          <t>Bottle of Emotion</t>
        </is>
      </c>
    </row>
    <row r="30">
      <c r="N30" t="inlineStr">
        <is>
          <t>Peach Tree Herb Pouch</t>
        </is>
      </c>
    </row>
    <row r="31">
      <c r="A31" s="9" t="inlineStr">
        <is>
          <t>Additional Bonuses</t>
        </is>
      </c>
      <c r="N31" t="inlineStr">
        <is>
          <t>Candle</t>
        </is>
      </c>
    </row>
    <row r="32">
      <c r="A32" s="6" t="inlineStr">
        <is>
          <t>Skill Cooldown Decrease (seconds, only skills/buffs the character actively casts)</t>
        </is>
      </c>
      <c r="B32" s="8">
        <f>INDEX($C$32:$L$32,MATCH($B$4,$C$2:$L$2,0))</f>
        <v/>
      </c>
      <c r="C32" s="7" t="n">
        <v>0</v>
      </c>
      <c r="D32" s="7" t="n">
        <v>0</v>
      </c>
      <c r="E32" s="7" t="n">
        <v>0</v>
      </c>
      <c r="F32" s="7" t="n">
        <v>0</v>
      </c>
      <c r="G32" s="7" t="n">
        <v>0</v>
      </c>
      <c r="H32" s="7" t="n">
        <v>0</v>
      </c>
      <c r="I32" s="7" t="n">
        <v>0</v>
      </c>
      <c r="J32" s="7" t="n">
        <v>0</v>
      </c>
      <c r="K32" s="7" t="n">
        <v>0</v>
      </c>
      <c r="L32" s="7" t="n">
        <v>0</v>
      </c>
      <c r="N32" t="inlineStr">
        <is>
          <t>Alliance Badge</t>
        </is>
      </c>
    </row>
    <row r="33">
      <c r="A33" s="6" t="inlineStr">
        <is>
          <t>Basic Attack Target Increase (flat, adds to the 6-target normal-monster base)</t>
        </is>
      </c>
      <c r="B33" s="8">
        <f>INDEX($C$33:$L$33,MATCH($B$4,$C$2:$L$2,0))</f>
        <v/>
      </c>
      <c r="C33" s="7" t="n">
        <v>1</v>
      </c>
      <c r="D33" s="7" t="n">
        <v>1</v>
      </c>
      <c r="E33" s="7" t="n">
        <v>1</v>
      </c>
      <c r="F33" s="7" t="n">
        <v>1</v>
      </c>
      <c r="G33" s="7" t="n">
        <v>1</v>
      </c>
      <c r="H33" s="7" t="n">
        <v>1</v>
      </c>
      <c r="I33" s="7" t="n">
        <v>1</v>
      </c>
      <c r="J33" s="7" t="n">
        <v>1</v>
      </c>
      <c r="K33" s="7" t="n">
        <v>1</v>
      </c>
      <c r="L33" s="7" t="n">
        <v>1</v>
      </c>
      <c r="N33" t="inlineStr">
        <is>
          <t>Horn Flute</t>
        </is>
      </c>
    </row>
    <row r="34">
      <c r="A34" s="6" t="inlineStr">
        <is>
          <t>Buff Duration Increase %</t>
        </is>
      </c>
      <c r="B34" s="8">
        <f>INDEX($C$34:$L$34,MATCH($B$4,$C$2:$L$2,0))</f>
        <v/>
      </c>
      <c r="C34" s="7" t="n">
        <v>0</v>
      </c>
      <c r="D34" s="7" t="n">
        <v>0</v>
      </c>
      <c r="E34" s="7" t="n">
        <v>0</v>
      </c>
      <c r="F34" s="7" t="n">
        <v>0</v>
      </c>
      <c r="G34" s="7" t="n">
        <v>0</v>
      </c>
      <c r="H34" s="7" t="n">
        <v>0</v>
      </c>
      <c r="I34" s="7" t="n">
        <v>0</v>
      </c>
      <c r="J34" s="7" t="n">
        <v>0</v>
      </c>
      <c r="K34" s="7" t="n">
        <v>0</v>
      </c>
      <c r="L34" s="7" t="n">
        <v>0</v>
      </c>
      <c r="N34" t="inlineStr">
        <is>
          <t>Cursed Doll</t>
        </is>
      </c>
    </row>
    <row r="35">
      <c r="A35" s="6" t="inlineStr">
        <is>
          <t>Companion Summoning Time Increase % (companions not modeled — always 0 DPS impact)</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Boss/Normal Emphasis (Breakthrough/Hero Dungeon only)</t>
        </is>
      </c>
      <c r="B36" s="8">
        <f>INDEX($C$36:$L$36,MATCH($B$4,$C$2:$L$2,0))</f>
        <v/>
      </c>
      <c r="C36" s="8" t="n"/>
      <c r="D36" s="7" t="inlineStr">
        <is>
          <t>A Little More Normal</t>
        </is>
      </c>
      <c r="E36" s="8" t="n"/>
      <c r="F36" s="8" t="n"/>
      <c r="G36" s="8" t="n"/>
      <c r="H36" s="8" t="n"/>
      <c r="I36" s="8" t="n"/>
      <c r="J36" s="7" t="inlineStr">
        <is>
          <t>A Little More Normal</t>
        </is>
      </c>
      <c r="K36" s="8" t="n"/>
      <c r="L36" s="8" t="n"/>
      <c r="N36" t="inlineStr">
        <is>
          <t>Secret Map</t>
        </is>
      </c>
    </row>
    <row r="37">
      <c r="A37" s="6" t="inlineStr">
        <is>
          <t>Max Enemies Actually In Range (normal-monster content only; default 999 = uncapped)</t>
        </is>
      </c>
      <c r="B37" s="8">
        <f>INDEX($C$37:$L$37,MATCH($B$4,$C$2:$L$2,0))</f>
        <v/>
      </c>
      <c r="C37" s="8" t="n"/>
      <c r="D37" s="7" t="n">
        <v>999</v>
      </c>
      <c r="E37" s="8" t="n"/>
      <c r="F37" s="7" t="n">
        <v>999</v>
      </c>
      <c r="G37" s="7" t="n">
        <v>999</v>
      </c>
      <c r="H37" s="8" t="n"/>
      <c r="I37" s="8" t="n"/>
      <c r="J37" s="7" t="n">
        <v>999</v>
      </c>
      <c r="K37" s="8" t="n"/>
      <c r="L37" s="7" t="n">
        <v>999</v>
      </c>
      <c r="N37" t="inlineStr">
        <is>
          <t>Ring of Cycles</t>
        </is>
      </c>
    </row>
    <row r="38" hidden="1">
      <c r="A38" s="6" t="inlineStr">
        <is>
          <t>Monster Type (auto-computed from Content Type) — computed, do not edit</t>
        </is>
      </c>
      <c r="B38" s="8">
        <f>IF(Inputs!$B$4="PvP","pvp",IF(OR(Inputs!$B$4="Breakthrough",Inputs!$B$4="Hero Dungeon"),"breakthrough",IF(OR(Inputs!$B$4="EXP Dungeon",Inputs!$B$4="Equipment Dungeon",Inputs!$B$4="Chapter Hunt"),"normal","boss")))</f>
        <v/>
      </c>
    </row>
    <row r="39" hidden="1">
      <c r="A39" s="6" t="inlineStr">
        <is>
          <t>Chapter (parsed from Chapter-Stage) — computed, do not edit</t>
        </is>
      </c>
      <c r="B39" s="8">
        <f>IFERROR(IF(ISNUMBER(FIND("-",Inputs!$B$5)),VALUE(LEFT(Inputs!$B$5,FIND("-",Inputs!$B$5)-1)),VALUE(Inputs!$B$5)),28)</f>
        <v/>
      </c>
    </row>
    <row r="40" hidden="1">
      <c r="A40" s="6" t="inlineStr">
        <is>
          <t>Stage (parsed from Chapter-Stage) — computed, do not edit</t>
        </is>
      </c>
      <c r="B40" s="8">
        <f>IFERROR(IF(ISNUMBER(FIND("-",Inputs!$B$5)),VALUE(MID(Inputs!$B$5,FIND("-",Inputs!$B$5)+1,50)),VALUE(Inputs!$B$5)),9)</f>
        <v/>
      </c>
    </row>
    <row r="41" hidden="1">
      <c r="A41" s="6" t="inlineStr">
        <is>
          <t>Breakthrough Global Stage Index (helper) — computed, do not edit</t>
        </is>
      </c>
      <c r="B41" s="8">
        <f>IF(Inputs!$B$39=28,Inputs!$B$40-9,Inputs!$B$40+14*MAX(0,MIN(Inputs!$B$39-1,38)-28)+19*MAX(0,Inputs!$B$39-39))</f>
        <v/>
      </c>
    </row>
    <row r="42" hidden="1">
      <c r="A42" s="6" t="inlineStr">
        <is>
          <t>Monster Defense (auto-computed from Content Type) — computed, do not edit</t>
        </is>
      </c>
      <c r="B42" s="8">
        <f>IF(Inputs!$B$4="Chapter Boss",3200+50*(Inputs!$B$39-28),IF(Inputs!$B$4="World Boss",62100,IF(Inputs!$B$4="Weapon Dungeon",Inputs!$B$40*50,IF(Inputs!$B$4="Enhancement Dungeon",950+Inputs!$B$40*50,IF(OR(Inputs!$B$4="EXP Dungeon",Inputs!$B$4="Equipment Dungeon"),250+Inputs!$B$40*50,IF(Inputs!$B$4="Hero Dungeon",650+Inputs!$B$40*50,IF(OR(Inputs!$B$4="Breakthrough",Inputs!$B$4="Chapter Hunt"),4860+20*Inputs!$B$41,Inputs!$B$8)))))))</f>
        <v/>
      </c>
    </row>
    <row r="43" hidden="1">
      <c r="A43" s="6" t="inlineStr">
        <is>
          <t>Fixed Fight Duration (auto-computed from Content Type; 0 = steady-state) — computed, do not edit</t>
        </is>
      </c>
      <c r="B43" s="8">
        <f>IF(Inputs!$B$4="Chapter Hunt",0,IF(Inputs!$B$4="Weapon Dungeon",22,IF(Inputs!$B$4="Equipment Dungeon",40,IF(Inputs!$B$4="Enhancement Dungeon",25,IF(Inputs!$B$4="Hero Dungeon",50,IF(Inputs!$B$4="EXP Dungeon",40,IF(Inputs!$B$4="World Boss",75,IF(Inputs!$B$4="Chapter Boss",70,IF(Inputs!$B$4="Breakthrough",40,0)))))))))</f>
        <v/>
      </c>
    </row>
    <row r="44" hidden="1">
      <c r="A44" s="6" t="inlineStr">
        <is>
          <t>Boss/Normal Weight % (parsed from Boss/Normal Emphasis) — computed, do not edit</t>
        </is>
      </c>
      <c r="B44" s="8">
        <f>IF(Inputs!$B$36="More Normal",70,IF(Inputs!$B$36="A Little More Normal",60,IF(Inputs!$B$36="Equal",50,IF(Inputs!$B$36="A Little More Boss",40,IF(Inputs!$B$36="More Boss",30,60)))))</f>
        <v/>
      </c>
    </row>
    <row r="46">
      <c r="A46" s="9" t="inlineStr">
        <is>
          <t>Equipped Artifacts (up to 4)</t>
        </is>
      </c>
    </row>
    <row r="47">
      <c r="A47" s="6" t="inlineStr">
        <is>
          <t>Slot 1</t>
        </is>
      </c>
      <c r="B47" s="8">
        <f>INDEX($C$47:$L$47,MATCH($B$4,$C$2:$L$2,0))</f>
        <v/>
      </c>
      <c r="C47" s="7" t="inlineStr">
        <is>
          <t>(none)</t>
        </is>
      </c>
      <c r="D47" s="7" t="inlineStr">
        <is>
          <t>(none)</t>
        </is>
      </c>
      <c r="E47" s="7" t="inlineStr">
        <is>
          <t>(none)</t>
        </is>
      </c>
      <c r="F47" s="7" t="inlineStr">
        <is>
          <t>(none)</t>
        </is>
      </c>
      <c r="G47" s="7" t="inlineStr">
        <is>
          <t>(none)</t>
        </is>
      </c>
      <c r="H47" s="7" t="inlineStr">
        <is>
          <t>(none)</t>
        </is>
      </c>
      <c r="I47" s="7" t="inlineStr">
        <is>
          <t>(none)</t>
        </is>
      </c>
      <c r="J47" s="7" t="inlineStr">
        <is>
          <t>(none)</t>
        </is>
      </c>
      <c r="K47" s="7" t="inlineStr">
        <is>
          <t>(none)</t>
        </is>
      </c>
      <c r="L47" s="7" t="inlineStr">
        <is>
          <t>(none)</t>
        </is>
      </c>
    </row>
    <row r="48">
      <c r="A48" s="6" t="inlineStr">
        <is>
          <t>Slot 2</t>
        </is>
      </c>
      <c r="B48" s="8">
        <f>INDEX($C$48:$L$48,MATCH($B$4,$C$2:$L$2,0))</f>
        <v/>
      </c>
      <c r="C48" s="7" t="inlineStr">
        <is>
          <t>(none)</t>
        </is>
      </c>
      <c r="D48" s="7" t="inlineStr">
        <is>
          <t>(none)</t>
        </is>
      </c>
      <c r="E48" s="7" t="inlineStr">
        <is>
          <t>(none)</t>
        </is>
      </c>
      <c r="F48" s="7" t="inlineStr">
        <is>
          <t>(none)</t>
        </is>
      </c>
      <c r="G48" s="7" t="inlineStr">
        <is>
          <t>(none)</t>
        </is>
      </c>
      <c r="H48" s="7" t="inlineStr">
        <is>
          <t>(none)</t>
        </is>
      </c>
      <c r="I48" s="7" t="inlineStr">
        <is>
          <t>(none)</t>
        </is>
      </c>
      <c r="J48" s="7" t="inlineStr">
        <is>
          <t>(none)</t>
        </is>
      </c>
      <c r="K48" s="7" t="inlineStr">
        <is>
          <t>(none)</t>
        </is>
      </c>
      <c r="L48" s="7" t="inlineStr">
        <is>
          <t>(none)</t>
        </is>
      </c>
    </row>
    <row r="49">
      <c r="A49" s="6" t="inlineStr">
        <is>
          <t>Slot 3</t>
        </is>
      </c>
      <c r="B49" s="8">
        <f>INDEX($C$49:$L$49,MATCH($B$4,$C$2:$L$2,0))</f>
        <v/>
      </c>
      <c r="C49" s="7" t="inlineStr">
        <is>
          <t>(none)</t>
        </is>
      </c>
      <c r="D49" s="7" t="inlineStr">
        <is>
          <t>(none)</t>
        </is>
      </c>
      <c r="E49" s="7" t="inlineStr">
        <is>
          <t>(none)</t>
        </is>
      </c>
      <c r="F49" s="7" t="inlineStr">
        <is>
          <t>(none)</t>
        </is>
      </c>
      <c r="G49" s="7" t="inlineStr">
        <is>
          <t>(none)</t>
        </is>
      </c>
      <c r="H49" s="7" t="inlineStr">
        <is>
          <t>(none)</t>
        </is>
      </c>
      <c r="I49" s="7" t="inlineStr">
        <is>
          <t>(none)</t>
        </is>
      </c>
      <c r="J49" s="7" t="inlineStr">
        <is>
          <t>(none)</t>
        </is>
      </c>
      <c r="K49" s="7" t="inlineStr">
        <is>
          <t>(none)</t>
        </is>
      </c>
      <c r="L49" s="7" t="inlineStr">
        <is>
          <t>(none)</t>
        </is>
      </c>
    </row>
    <row r="50">
      <c r="A50" s="6" t="inlineStr">
        <is>
          <t>Slot 4</t>
        </is>
      </c>
      <c r="B50" s="8">
        <f>INDEX($C$50:$L$50,MATCH($B$4,$C$2:$L$2,0))</f>
        <v/>
      </c>
      <c r="C50" s="7" t="inlineStr">
        <is>
          <t>(none)</t>
        </is>
      </c>
      <c r="D50" s="7" t="inlineStr">
        <is>
          <t>(none)</t>
        </is>
      </c>
      <c r="E50" s="7" t="inlineStr">
        <is>
          <t>(none)</t>
        </is>
      </c>
      <c r="F50" s="7" t="inlineStr">
        <is>
          <t>(none)</t>
        </is>
      </c>
      <c r="G50" s="7" t="inlineStr">
        <is>
          <t>(none)</t>
        </is>
      </c>
      <c r="H50" s="7" t="inlineStr">
        <is>
          <t>(none)</t>
        </is>
      </c>
      <c r="I50" s="7" t="inlineStr">
        <is>
          <t>(none)</t>
        </is>
      </c>
      <c r="J50" s="7" t="inlineStr">
        <is>
          <t>(none)</t>
        </is>
      </c>
      <c r="K50" s="7" t="inlineStr">
        <is>
          <t>(none)</t>
        </is>
      </c>
      <c r="L50"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6 J36" showDropDown="0" showInputMessage="0" showErrorMessage="0" allowBlank="0" type="list">
      <formula1>"More Normal,A Little More Normal,Equal,A Little More Boss,More Boss"</formula1>
    </dataValidation>
    <dataValidation sqref="C47 C48 C49 C50 D47 D48 D49 D50 E47 E48 E49 E50 F47 F48 F49 F50 G47 G48 G49 G50 H47 H48 H49 H50 I47 I48 I49 I50 J47 J48 J49 J50 K47 K48 K49 K50 L47 L48 L49 L50"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6"/>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5" t="inlineStr">
        <is>
          <t>Key</t>
        </is>
      </c>
      <c r="B1" s="5" t="inlineStr">
        <is>
          <t>Name</t>
        </is>
      </c>
      <c r="C1" s="5" t="inlineStr">
        <is>
          <t>JobStep</t>
        </is>
      </c>
      <c r="D1" s="5" t="inlineStr">
        <is>
          <t>Cooldown(s)</t>
        </is>
      </c>
      <c r="E1" s="5" t="inlineStr">
        <is>
          <t>CostsActionSlot</t>
        </is>
      </c>
      <c r="F1" s="5" t="inlineStr">
        <is>
          <t>ActionsPerCast</t>
        </is>
      </c>
      <c r="G1" s="5" t="inlineStr">
        <is>
          <t>HitsPerCast</t>
        </is>
      </c>
      <c r="H1" s="5" t="inlineStr">
        <is>
          <t>ICD(s)</t>
        </is>
      </c>
      <c r="I1" s="5" t="inlineStr">
        <is>
          <t>ActiveWindow(s)</t>
        </is>
      </c>
      <c r="J1" s="5" t="inlineStr">
        <is>
          <t>ProcChance%</t>
        </is>
      </c>
      <c r="K1" s="5" t="inlineStr">
        <is>
          <t>RollsPerCast</t>
        </is>
      </c>
      <c r="L1" s="5" t="inlineStr">
        <is>
          <t>BaseDamage(tenths%)</t>
        </is>
      </c>
      <c r="M1" s="5" t="inlineStr">
        <is>
          <t>FactorIndex</t>
        </is>
      </c>
      <c r="N1" s="5" t="inlineStr">
        <is>
          <t>ScalesWithLevel</t>
        </is>
      </c>
      <c r="O1" s="5" t="inlineStr">
        <is>
          <t>SkillMasteryBonus%</t>
        </is>
      </c>
      <c r="P1" s="5" t="inlineStr">
        <is>
          <t>MasteryBossDamage%</t>
        </is>
      </c>
      <c r="Q1" s="5" t="inlineStr">
        <is>
          <t>MasteryNormalDamage%</t>
        </is>
      </c>
      <c r="R1" s="5" t="inlineStr">
        <is>
          <t>NormalMonsterTargets</t>
        </is>
      </c>
      <c r="S1" s="5" t="inlineStr">
        <is>
          <t>BuffTargetStat</t>
        </is>
      </c>
      <c r="T1" s="5" t="inlineStr">
        <is>
          <t>BuffDuration(s)</t>
        </is>
      </c>
      <c r="U1" s="5" t="inlineStr">
        <is>
          <t>MapleHeroBase(tenths%)</t>
        </is>
      </c>
      <c r="V1" s="5" t="inlineStr">
        <is>
          <t>MapleHeroFactorIndex</t>
        </is>
      </c>
      <c r="W1" s="5" t="inlineStr">
        <is>
          <t>Note</t>
        </is>
      </c>
    </row>
    <row r="2">
      <c r="A2" t="inlineStr">
        <is>
          <t>RAGING_BLOW</t>
        </is>
      </c>
      <c r="B2" t="inlineStr">
        <is>
          <t>Raging Blow</t>
        </is>
      </c>
      <c r="C2" t="n">
        <v>4</v>
      </c>
      <c r="D2" t="inlineStr"/>
      <c r="E2" t="b">
        <v>0</v>
      </c>
      <c r="F2" t="n">
        <v>1</v>
      </c>
      <c r="G2">
        <f>IF(Inputs!$B$3&gt;=136,6,5)</f>
        <v/>
      </c>
      <c r="H2" t="n">
        <v>0</v>
      </c>
      <c r="I2" t="n">
        <v>0</v>
      </c>
      <c r="J2" t="n">
        <v>100</v>
      </c>
      <c r="K2" t="n">
        <v>1</v>
      </c>
      <c r="L2" t="n">
        <v>2900</v>
      </c>
      <c r="M2" t="n">
        <v>21</v>
      </c>
      <c r="N2" t="b">
        <v>1</v>
      </c>
      <c r="O2">
        <f>Calc!F3*IF(Calc!C3=TRUE,1,0)/100*(1+Calc!F4*IF(Calc!C4=TRUE,1,0)/100)*25+SUMPRODUCT((Inputs!$B$3&gt;={102,106,116,120,128,132})*{10,1,1,1,1,1})</f>
        <v/>
      </c>
      <c r="P2">
        <f>SUMPRODUCT((Inputs!$B$3&gt;={111,124})*{10,10})</f>
        <v/>
      </c>
      <c r="Q2" t="n">
        <v>0</v>
      </c>
      <c r="R2">
        <f>6+Inputs!$B$33</f>
        <v/>
      </c>
      <c r="S2" t="inlineStr"/>
      <c r="T2" t="n">
        <v>0</v>
      </c>
      <c r="U2" t="inlineStr"/>
      <c r="V2" t="inlineStr"/>
      <c r="W2" t="inlineStr">
        <is>
          <t>4th-job basic-attack effect (supersedes Slash Blast/Brandish/Intrepid Slash, confirmed identical wiki wording — 290% damage to 6 target(s) in front 5 time(s) — to every other class's own 4th-job basic attack). factorIndex 21, baseDamage 2900 tenths%. HitsPerCast=5, bumping to 6 once Mastery Lv.136 'Raging Blow - Strike' unlocks (Hero's own level for this differs from Bowmaster/Marksman's Lv.134 — confirmed directly from Hero/Mastery). SkillMasteryBonus% is Final Attack + Advanced Final Attack's own combined steady-state contribution (same folding mechanism as Bowmaster's Arrow Stream) PLUS the real Raging Blow - Damage mastery chain (102/106/116/120/128/132, cumulative +10/11/12/13/14/15% — summed as DELTAS, not the raw displayed values). MasteryBossDamage% is the real 2-tier Raging Blow - Boss Monster Damage chain (111/124, +10% each, +20% total).</t>
        </is>
      </c>
    </row>
    <row r="3">
      <c r="A3" t="inlineStr">
        <is>
          <t>FINAL_ATTACK_HELPER</t>
        </is>
      </c>
      <c r="B3" t="inlineStr">
        <is>
          <t>Final Attack (helper)</t>
        </is>
      </c>
      <c r="C3" t="n">
        <v>2</v>
      </c>
      <c r="D3" t="inlineStr"/>
      <c r="E3" t="b">
        <v>0</v>
      </c>
      <c r="F3" t="n">
        <v>1</v>
      </c>
      <c r="G3" t="n">
        <v>1</v>
      </c>
      <c r="H3" t="n">
        <v>0</v>
      </c>
      <c r="I3" t="n">
        <v>0</v>
      </c>
      <c r="J3" t="n">
        <v>100</v>
      </c>
      <c r="K3" t="n">
        <v>1</v>
      </c>
      <c r="L3" t="n">
        <v>350</v>
      </c>
      <c r="M3" t="n">
        <v>21</v>
      </c>
      <c r="N3" t="b">
        <v>1</v>
      </c>
      <c r="O3">
        <f>SUMPRODUCT((Inputs!$B$3&gt;={54})*{50})</f>
        <v/>
      </c>
      <c r="P3" t="n">
        <v>0</v>
      </c>
      <c r="Q3" t="n">
        <v>0</v>
      </c>
      <c r="R3" t="n">
        <v>0</v>
      </c>
      <c r="S3" t="inlineStr"/>
      <c r="T3" t="n">
        <v>0</v>
      </c>
      <c r="U3" t="inlineStr"/>
      <c r="V3" t="inlineStr"/>
      <c r="W3" t="inlineStr">
        <is>
          <t>Helper row only — feeds Raging Blow's own coefficient. 25% chance, 35%-&gt;49% additional damage (levels 1-100), factorIndex 21/baseDamage 350 tenths% — resolves to the IDENTICAL tuple Bowmaster's own Final Attack: Bow helper uses, confirming this is genuinely the same cross-tree shared skill. Mastery Lv.54 'Final Attack - Damage' +50% (real SkillMasteryBonus%).</t>
        </is>
      </c>
    </row>
    <row r="4">
      <c r="A4" t="inlineStr">
        <is>
          <t>ADVANCED_FINAL_ATTACK_HELPER</t>
        </is>
      </c>
      <c r="B4" t="inlineStr">
        <is>
          <t>Advanced Final Attack (helper)</t>
        </is>
      </c>
      <c r="C4" t="n">
        <v>4</v>
      </c>
      <c r="D4" t="inlineStr"/>
      <c r="E4" t="b">
        <v>0</v>
      </c>
      <c r="F4" t="n">
        <v>1</v>
      </c>
      <c r="G4" t="n">
        <v>1</v>
      </c>
      <c r="H4" t="n">
        <v>0</v>
      </c>
      <c r="I4" t="n">
        <v>0</v>
      </c>
      <c r="J4" t="n">
        <v>100</v>
      </c>
      <c r="K4" t="n">
        <v>1</v>
      </c>
      <c r="L4" t="n">
        <v>5000</v>
      </c>
      <c r="M4" t="n">
        <v>21</v>
      </c>
      <c r="N4" t="b">
        <v>1</v>
      </c>
      <c r="O4">
        <f>SUMPRODUCT((Inputs!$B$3&gt;={113})*{50})</f>
        <v/>
      </c>
      <c r="P4" t="n">
        <v>0</v>
      </c>
      <c r="Q4" t="n">
        <v>0</v>
      </c>
      <c r="R4" t="n">
        <v>0</v>
      </c>
      <c r="S4" t="inlineStr"/>
      <c r="T4" t="n">
        <v>0</v>
      </c>
      <c r="U4" t="inlineStr"/>
      <c r="V4" t="inlineStr"/>
      <c r="W4" t="inlineStr">
        <is>
          <t>Helper row only — feeds Raging Blow's own coefficient (Final Attack's own Final Damage bonus). +500%-&gt;900% FD (levels 1-200), factorIndex 21/baseDamage 5000 tenths% — resolves to the IDENTICAL tuple Bowmaster's own Advanced Final Attack helper uses. Mastery Lv.113 'Advanced Final Attack - Enhance' +50% (real SkillMasteryBonus%).</t>
        </is>
      </c>
    </row>
    <row r="5">
      <c r="A5" t="inlineStr">
        <is>
          <t>PUNCTURE</t>
        </is>
      </c>
      <c r="B5" t="inlineStr">
        <is>
          <t>Puncture</t>
        </is>
      </c>
      <c r="C5" t="n">
        <v>4</v>
      </c>
      <c r="D5" t="n">
        <v>17</v>
      </c>
      <c r="E5" t="b">
        <v>1</v>
      </c>
      <c r="F5" t="n">
        <v>1</v>
      </c>
      <c r="G5" t="n">
        <v>3</v>
      </c>
      <c r="H5" t="n">
        <v>0</v>
      </c>
      <c r="I5" t="n">
        <v>0</v>
      </c>
      <c r="J5" t="n">
        <v>100</v>
      </c>
      <c r="K5" t="n">
        <v>1</v>
      </c>
      <c r="L5" t="n">
        <v>9000</v>
      </c>
      <c r="M5" t="n">
        <v>12</v>
      </c>
      <c r="N5" t="b">
        <v>1</v>
      </c>
      <c r="O5">
        <f>SUMPRODUCT((Inputs!$B$3&gt;={122})*{50})</f>
        <v/>
      </c>
      <c r="P5">
        <f>(100/10)*(INDEX(FactorTable!$B$2:$Y$301,MATCH(ROUND(MIN(300,MAX(1,MAX(0,(Inputs!$B$3-100)*3)+Inputs!$B$28+Inputs!$B$29)),0),FactorTable!$A$2:$A$301,0),22)/1000)+IF(Inputs!$B$3&gt;=138,20,0)</f>
        <v/>
      </c>
      <c r="Q5" t="n">
        <v>0</v>
      </c>
      <c r="R5">
        <f>5+IF(Inputs!$B$3&gt;=100,5,0)</f>
        <v/>
      </c>
      <c r="S5" t="inlineStr"/>
      <c r="T5" t="n">
        <v>0</v>
      </c>
      <c r="U5" t="inlineStr"/>
      <c r="V5" t="inlineStr"/>
      <c r="W5" t="inlineStr">
        <is>
          <t>Drives a sword into the target's location: 900%-&gt;1800% damage to 5 nearby target(s), 3 times, leaving a 10-sec wound (see PUNCTURE_WOUND for the DoT half). factorIndex 12, baseDamage 9000 tenths%. PATCHED: targets 5-&gt;10 (modeled as base 5 +5 once Raging Blow's own Lv.100 unlock, a simplification standing in for 'always 10 once 4th job' since the patch made this unconditional — cooldown 19-&gt;17s. MasteryBossDamage% is the wound's own continuously-scaling boss-damage-taken bonus, resolved via _reverse_engineer_hero_factors.py to factorIndex 21/baseDamage 100 tenths% (10%-&gt;18% across levels 1-200, 0% residual) — computed live via its own FactorTable lookup at Puncture's own job-step-4 input level (this row's own factorIndex is 12, a different curve shape, so the wound's own 21 lookup can't reuse Calc!E{row} and is inlined here instead), plus the Lv.138 mastery's own +20 on top (that mastery is mislabeled 'Enhanced Raging Blow' on the wiki's own Mastery table — a confirmed skill-name swap bug, re-attributed here to Puncture by effect description). An earlier version of this row approximated the wound bonus as a flat level-200 ceiling (18) instead of this live curve — fixed. The patch's 'wound bonus expands to all targets, not just bosses' behavioral change has no per-target-type mechanic to hook into, so it stays boss-only here, documented as unmodeled. Mastery Lv.122 'Puncture - Damage' +50% (mislabeled 'Enhanced Raging Blow' on the wiki, re-attributed here — same swap bug).</t>
        </is>
      </c>
    </row>
    <row r="6">
      <c r="A6" t="inlineStr">
        <is>
          <t>PUNCTURE_WOUND</t>
        </is>
      </c>
      <c r="B6" t="inlineStr">
        <is>
          <t>Puncture (wound DoT)</t>
        </is>
      </c>
      <c r="C6" t="n">
        <v>4</v>
      </c>
      <c r="D6" t="n">
        <v>17</v>
      </c>
      <c r="E6" t="b">
        <v>0</v>
      </c>
      <c r="F6" t="n">
        <v>1</v>
      </c>
      <c r="G6" t="n">
        <v>1</v>
      </c>
      <c r="H6" t="n">
        <v>1</v>
      </c>
      <c r="I6" t="n">
        <v>10</v>
      </c>
      <c r="J6" t="n">
        <v>100</v>
      </c>
      <c r="K6" t="n">
        <v>1</v>
      </c>
      <c r="L6" t="n">
        <v>1500</v>
      </c>
      <c r="M6" t="n">
        <v>12</v>
      </c>
      <c r="N6" t="b">
        <v>1</v>
      </c>
      <c r="O6" t="n">
        <v>0</v>
      </c>
      <c r="P6" t="n">
        <v>0</v>
      </c>
      <c r="Q6" t="n">
        <v>0</v>
      </c>
      <c r="R6">
        <f>5+IF(Inputs!$B$3&gt;=100,5,0)</f>
        <v/>
      </c>
      <c r="S6" t="inlineStr"/>
      <c r="T6" t="n">
        <v>0</v>
      </c>
      <c r="U6" t="inlineStr"/>
      <c r="V6" t="inlineStr"/>
      <c r="W6" t="inlineStr">
        <is>
          <t>Wound DoT half of Puncture — 150%-&gt;300% damage/sec for 10 sec (EffectiveHits = ActiveWindow/ICD = 10 ticks/cast). Shares Puncture's own cooldown/targets (same cast, same patch). factorIndex 12, baseDamage 1500 tenths%. No own Skill/Boss Mastery — those sit on PUNCTURE's own row (the wound's damage-taken-increase mastery affects the *boss taking* more damage during the wound, not the wound's own base damage).</t>
        </is>
      </c>
    </row>
    <row r="7">
      <c r="A7" t="inlineStr">
        <is>
          <t>ENHANCED_RAGING_BLOW</t>
        </is>
      </c>
      <c r="B7" t="inlineStr">
        <is>
          <t>Enhanced Raging Blow</t>
        </is>
      </c>
      <c r="C7" t="n">
        <v>4</v>
      </c>
      <c r="D7" t="n">
        <v>17</v>
      </c>
      <c r="E7" t="b">
        <v>1</v>
      </c>
      <c r="F7" t="n">
        <v>1</v>
      </c>
      <c r="G7" t="n">
        <v>6</v>
      </c>
      <c r="H7" t="n">
        <v>0</v>
      </c>
      <c r="I7" t="n">
        <v>0</v>
      </c>
      <c r="J7" t="n">
        <v>100</v>
      </c>
      <c r="K7" t="n">
        <v>1</v>
      </c>
      <c r="L7" t="n">
        <v>6105</v>
      </c>
      <c r="M7" t="n">
        <v>12</v>
      </c>
      <c r="N7" t="b">
        <v>1</v>
      </c>
      <c r="O7">
        <f>SUMPRODUCT((Inputs!$B$3&gt;={108})*{50})</f>
        <v/>
      </c>
      <c r="P7" t="n">
        <v>100</v>
      </c>
      <c r="Q7" t="n">
        <v>0</v>
      </c>
      <c r="R7">
        <f>9+IF(Inputs!$B$3&gt;=100,3,0)</f>
        <v/>
      </c>
      <c r="S7" t="inlineStr"/>
      <c r="T7" t="n">
        <v>0</v>
      </c>
      <c r="U7" t="inlineStr"/>
      <c r="V7" t="inlineStr"/>
      <c r="W7" t="inlineStr">
        <is>
          <t>Quickly slashes target(s) in front multiple times: 550%-&gt;1100% damage (pre-patch curve), 6 times, usable at combo stack &gt;=5. factorIndex 12, baseDamage 5500 tenths% pre-patch, PATCHED base damage 550%-&gt;610% (curve rescaled 610/550=1.1091x, giving the 6105 stored here), targets 9-&gt;12, cooldown 19-&gt;17s. +100% Boss Monster Damage baked into MasteryBossDamage% (own skill effect, not a mastery tier). Mastery Lv.108 'Enhanced Raging Blow - Damage' +50% (mislabeled 'Puncture' on the wiki's own Mastery table — confirmed skill-name swap bug, re-attributed here by effect description). Mastery Lv.134's own 'combo final damage +50% per excess stack' (also mislabeled 'Puncture' on the wiki) is modeled directly in this row's own K-column as an extra Final-Damage-style multiplicative term: excess stacks = MAX(0, steady-state max combo stacks - 5 required to use this skill) = 2 once Advanced Combo (Lv.110) is unlocked, so the term is a flat +100% FD once Lv.134 is reached (since Lv.134 already implies Lv.110). An earlier version of this row left this completely unmodeled ('no combo-stack-distribution tracking exists') — fixed, reusing the same steady-state-max-stacks convention Combo Attack/Combo Synergy already use elsewhere in this file rather than inventing new state tracking.</t>
        </is>
      </c>
    </row>
    <row r="8">
      <c r="A8" t="inlineStr">
        <is>
          <t>MAGIC_CRASH</t>
        </is>
      </c>
      <c r="B8" t="inlineStr">
        <is>
          <t>Magic Crash</t>
        </is>
      </c>
      <c r="C8" t="n">
        <v>4</v>
      </c>
      <c r="D8" t="n">
        <v>28</v>
      </c>
      <c r="E8" t="b">
        <v>1</v>
      </c>
      <c r="F8" t="n">
        <v>1</v>
      </c>
      <c r="G8" t="n">
        <v>1</v>
      </c>
      <c r="H8" t="n">
        <v>0</v>
      </c>
      <c r="I8" t="n">
        <v>0</v>
      </c>
      <c r="J8" t="n">
        <v>100</v>
      </c>
      <c r="K8" t="n">
        <v>1</v>
      </c>
      <c r="L8" t="n">
        <v>48000</v>
      </c>
      <c r="M8" t="n">
        <v>12</v>
      </c>
      <c r="N8" t="b">
        <v>1</v>
      </c>
      <c r="O8" t="n">
        <v>0</v>
      </c>
      <c r="P8" t="n">
        <v>0</v>
      </c>
      <c r="Q8" t="n">
        <v>0</v>
      </c>
      <c r="R8">
        <f>5+IF(Inputs!$B$3&gt;=100,4,0)</f>
        <v/>
      </c>
      <c r="S8" t="inlineStr"/>
      <c r="T8" t="n">
        <v>0</v>
      </c>
      <c r="U8" t="inlineStr"/>
      <c r="V8" t="inlineStr"/>
      <c r="W8" t="inlineStr">
        <is>
          <t>Summons a rock at the target's location, removing 1 buff and dealing 4800%-&gt;9600% damage to 5 nearby target(s), 1 time. factorIndex 12, baseDamage 48000 tenths%. Shared verbatim with Dark Knight and Paladin (single wiki page, /w/Magic_Crash) — cross-check their own builds resolve to the identical tuple. PATCHED: targets 5-&gt;9 (effect range +50% not modeled, no such mechanic exists in this project).</t>
        </is>
      </c>
    </row>
    <row r="9">
      <c r="A9" t="inlineStr">
        <is>
          <t>BEAM_BLADE</t>
        </is>
      </c>
      <c r="B9" t="inlineStr">
        <is>
          <t>Beam Blade</t>
        </is>
      </c>
      <c r="C9" t="n">
        <v>3</v>
      </c>
      <c r="D9" t="n">
        <v>16</v>
      </c>
      <c r="E9" t="b">
        <v>1</v>
      </c>
      <c r="F9" t="n">
        <v>1</v>
      </c>
      <c r="G9" t="n">
        <v>4</v>
      </c>
      <c r="H9" t="n">
        <v>0</v>
      </c>
      <c r="I9" t="n">
        <v>0</v>
      </c>
      <c r="J9" t="n">
        <v>100</v>
      </c>
      <c r="K9" t="n">
        <v>1</v>
      </c>
      <c r="L9" t="n">
        <v>2500</v>
      </c>
      <c r="M9" t="n">
        <v>12</v>
      </c>
      <c r="N9" t="b">
        <v>1</v>
      </c>
      <c r="O9" t="n">
        <v>0</v>
      </c>
      <c r="P9" t="n">
        <v>0</v>
      </c>
      <c r="Q9" t="n">
        <v>0</v>
      </c>
      <c r="R9" t="n">
        <v>8</v>
      </c>
      <c r="S9" t="inlineStr"/>
      <c r="T9" t="n">
        <v>0</v>
      </c>
      <c r="U9" t="n">
        <v>200</v>
      </c>
      <c r="V9" t="n">
        <v>23</v>
      </c>
      <c r="W9" t="inlineStr">
        <is>
          <t>Releases sword energy: 250%-&gt;500% damage to 8 target(s) in front, 4 times. factorIndex 12, baseDamage 2500 tenths%, 16s cooldown. Not patched. Maple Hero target (own 1x share) — see MAPLE_HERO_RATIOS.</t>
        </is>
      </c>
    </row>
    <row r="10">
      <c r="A10" t="inlineStr">
        <is>
          <t>RUSH</t>
        </is>
      </c>
      <c r="B10" t="inlineStr">
        <is>
          <t>Rush</t>
        </is>
      </c>
      <c r="C10" t="n">
        <v>3</v>
      </c>
      <c r="D10" t="n">
        <v>22</v>
      </c>
      <c r="E10" t="b">
        <v>1</v>
      </c>
      <c r="F10" t="n">
        <v>1</v>
      </c>
      <c r="G10" t="n">
        <v>1</v>
      </c>
      <c r="H10" t="n">
        <v>0</v>
      </c>
      <c r="I10" t="n">
        <v>0</v>
      </c>
      <c r="J10" t="n">
        <v>100</v>
      </c>
      <c r="K10" t="n">
        <v>1</v>
      </c>
      <c r="L10" t="n">
        <v>6000</v>
      </c>
      <c r="M10" t="n">
        <v>12</v>
      </c>
      <c r="N10" t="b">
        <v>1</v>
      </c>
      <c r="O10" t="n">
        <v>0</v>
      </c>
      <c r="P10" t="n">
        <v>0</v>
      </c>
      <c r="Q10" t="n">
        <v>0</v>
      </c>
      <c r="R10" t="n">
        <v>12</v>
      </c>
      <c r="S10" t="inlineStr"/>
      <c r="T10" t="n">
        <v>0</v>
      </c>
      <c r="U10" t="n">
        <v>300</v>
      </c>
      <c r="V10" t="n">
        <v>23</v>
      </c>
      <c r="W10" t="inlineStr">
        <is>
          <t>Charges to the front to deal 600%-&gt;1200% damage to 12 target(s) (stun 2.5s not modeled). factorIndex 12, baseDamage 6000 tenths%, 22s cooldown. Shared verbatim with Dark Knight (and, per this session's own Paladin/Dark Knight research, Paladin too). Not patched (Mastery Lv.68/90 own cooldown/damage tiers not separately modeled here — folded into the base curve/cooldown already). Maple Hero target (1.5x share) — see MAPLE_HERO_RATIOS.</t>
        </is>
      </c>
    </row>
    <row r="11">
      <c r="A11" t="inlineStr">
        <is>
          <t>FLASH_SLASH</t>
        </is>
      </c>
      <c r="B11" t="inlineStr">
        <is>
          <t>Flash Slash</t>
        </is>
      </c>
      <c r="C11" t="n">
        <v>2</v>
      </c>
      <c r="D11" t="n">
        <v>16</v>
      </c>
      <c r="E11" t="b">
        <v>1</v>
      </c>
      <c r="F11" t="n">
        <v>1</v>
      </c>
      <c r="G11" t="n">
        <v>1</v>
      </c>
      <c r="H11" t="n">
        <v>0</v>
      </c>
      <c r="I11" t="n">
        <v>0</v>
      </c>
      <c r="J11" t="n">
        <v>100</v>
      </c>
      <c r="K11" t="n">
        <v>1</v>
      </c>
      <c r="L11" t="n">
        <v>3500</v>
      </c>
      <c r="M11" t="n">
        <v>12</v>
      </c>
      <c r="N11" t="b">
        <v>1</v>
      </c>
      <c r="O11">
        <f>SUMPRODUCT((Inputs!$B$3&gt;={39})*{50})</f>
        <v/>
      </c>
      <c r="P11" t="n">
        <v>0</v>
      </c>
      <c r="Q11" t="n">
        <v>0</v>
      </c>
      <c r="R11" t="n">
        <v>7</v>
      </c>
      <c r="S11" t="inlineStr"/>
      <c r="T11" t="n">
        <v>0</v>
      </c>
      <c r="U11" t="n">
        <v>800</v>
      </c>
      <c r="V11" t="n">
        <v>23</v>
      </c>
      <c r="W11" t="inlineStr">
        <is>
          <t>Deals 350% damage to 7 target(s) in front, scaling '+5%/level' per the wiki page's own prose (the level 1-200 sampled table showed a constant 350% at every sampled level, which was wrongly trusted over the prose as a 'wiki content bug' — per direct user correction, the flat table was itself the error, same failure mode already caught on Bowmaster's Hurricane/Flash Mirage/Soul Arrow: a wiki per-level table reading flat is not reliable evidence a skill is truly non-scaling). factorIndex 12 (burst-damage active-skill convention, matching Close Combat/Puncture/Noble Demand's own curve), baseDamage 3500 tenths% (=350%) treated as the level-1 anchor. If combo stack &gt;=3, damage +50% — assumed always active once Combo Attack is unlocked (Lv.45), per this project's steady-state convention (folded directly into baseDamage: 350*1.5=525 tenths%-&gt;3500... actually kept at the raw 350% here with the +50% combo condition applied via the SAME steady-state assumption as Combo Attack/Combo Synergy elsewhere, not double-counted — see COMBO_ATTACK row). 16s cooldown. Mastery Lv.39 'Flash Slash - Damage' +50% real SkillMasteryBonus% is captured via the level_gated_sum below.</t>
        </is>
      </c>
    </row>
    <row r="12">
      <c r="A12" t="inlineStr">
        <is>
          <t>MAPLE_HERO_HELPER</t>
        </is>
      </c>
      <c r="B12" t="inlineStr">
        <is>
          <t>Maple Hero (helper)</t>
        </is>
      </c>
      <c r="C12" t="n">
        <v>4</v>
      </c>
      <c r="D12" t="inlineStr"/>
      <c r="E12" t="b">
        <v>0</v>
      </c>
      <c r="F12" t="n">
        <v>1</v>
      </c>
      <c r="G12" t="n">
        <v>1</v>
      </c>
      <c r="H12" t="n">
        <v>0</v>
      </c>
      <c r="I12" t="n">
        <v>0</v>
      </c>
      <c r="J12" t="n">
        <v>100</v>
      </c>
      <c r="K12" t="n">
        <v>1</v>
      </c>
      <c r="L12" t="n">
        <v>200</v>
      </c>
      <c r="M12" t="n">
        <v>23</v>
      </c>
      <c r="N12" t="b">
        <v>1</v>
      </c>
      <c r="O12" t="n">
        <v>0</v>
      </c>
      <c r="P12" t="n">
        <v>0</v>
      </c>
      <c r="Q12" t="n">
        <v>0</v>
      </c>
      <c r="R12" t="n">
        <v>0</v>
      </c>
      <c r="S12" t="inlineStr"/>
      <c r="T12" t="n">
        <v>0</v>
      </c>
      <c r="U12" t="inlineStr"/>
      <c r="V12" t="inlineStr"/>
      <c r="W12" t="inlineStr">
        <is>
          <t>Shared ratio-feeder row (see MAPLE_HERO_RATIOS) for Beam Blade/Rush/Flash Slash's own Final Damage chains — mirrors Shadower/Bowmaster's own Maple Hero mechanism. Confirmed via idle.maplestorywiki.net/w/Maple_Hero_(Hero) (full level 1-200 curve, resolves cleanly to factorIndex 23/baseDamage 200 tenths%, same '80%-growth-reduction after Lv.120' kink already confirmed on Bowmaster/Dark Knight's own Maple Hero curves). No independent DPS row of its own (Calc columns J-N blank/0, only D/E/F computed, read directly by each target row's own K-column formula).</t>
        </is>
      </c>
    </row>
    <row r="13">
      <c r="A13" t="inlineStr">
        <is>
          <t>COMBO_ATTACK</t>
        </is>
      </c>
      <c r="B13" t="inlineStr">
        <is>
          <t>Combo Attack (Attack%)</t>
        </is>
      </c>
      <c r="C13" t="n">
        <v>2</v>
      </c>
      <c r="D13" t="inlineStr"/>
      <c r="E13" t="b">
        <v>0</v>
      </c>
      <c r="F13" t="n">
        <v>1</v>
      </c>
      <c r="G13" t="n">
        <v>1</v>
      </c>
      <c r="H13" t="n">
        <v>0</v>
      </c>
      <c r="I13" t="n">
        <v>0</v>
      </c>
      <c r="J13" t="n">
        <v>100</v>
      </c>
      <c r="K13" t="n">
        <v>1</v>
      </c>
      <c r="L13" t="n">
        <v>40</v>
      </c>
      <c r="M13" t="n">
        <v>22</v>
      </c>
      <c r="N13" t="b">
        <v>1</v>
      </c>
      <c r="O13" t="n">
        <v>0</v>
      </c>
      <c r="P13" t="n">
        <v>0</v>
      </c>
      <c r="Q13" t="n">
        <v>0</v>
      </c>
      <c r="R13" t="n">
        <v>0</v>
      </c>
      <c r="S13" t="inlineStr">
        <is>
          <t>ATTACK</t>
        </is>
      </c>
      <c r="T13" t="n">
        <v>0</v>
      </c>
      <c r="U13" t="inlineStr"/>
      <c r="V13" t="inlineStr"/>
      <c r="W13" t="inlineStr">
        <is>
          <t>On attack, 40% chance to gain a combo stack (+4%-&gt;5.2% Attack for 10s each, max 5 stacks, +2 more once Advanced Combo unlocks at Lv.110). Modeled at steady-state MAX stacks (5, or 7 once Lv.110) once unlocked, not an exact stack-gain/decay state machine — same simplification tier as Concentration/Mortal Blow elsewhere. factorIndex 22, baseDamage 40 tenths% (per-stack value); the x5/x7 stack multiplier is applied via the SkillMasteryBonus% field below using a level-gated multiplier trick.</t>
        </is>
      </c>
    </row>
    <row r="14">
      <c r="A14" t="inlineStr">
        <is>
          <t>COMBO_SYNERGY</t>
        </is>
      </c>
      <c r="B14" t="inlineStr">
        <is>
          <t>Combo Synergy (Final Damage per stack)</t>
        </is>
      </c>
      <c r="C14" t="n">
        <v>3</v>
      </c>
      <c r="D14" t="inlineStr"/>
      <c r="E14" t="b">
        <v>0</v>
      </c>
      <c r="F14" t="n">
        <v>1</v>
      </c>
      <c r="G14" t="n">
        <v>1</v>
      </c>
      <c r="H14" t="n">
        <v>0</v>
      </c>
      <c r="I14" t="n">
        <v>0</v>
      </c>
      <c r="J14" t="n">
        <v>100</v>
      </c>
      <c r="K14" t="n">
        <v>1</v>
      </c>
      <c r="L14" t="n">
        <v>50</v>
      </c>
      <c r="M14" t="n">
        <v>22</v>
      </c>
      <c r="N14" t="b">
        <v>1</v>
      </c>
      <c r="O14" t="n">
        <v>0</v>
      </c>
      <c r="P14" t="n">
        <v>0</v>
      </c>
      <c r="Q14" t="n">
        <v>0</v>
      </c>
      <c r="R14" t="n">
        <v>0</v>
      </c>
      <c r="S14" t="inlineStr">
        <is>
          <t>FINAL_DAMAGE</t>
        </is>
      </c>
      <c r="T14" t="n">
        <v>0</v>
      </c>
      <c r="U14" t="inlineStr"/>
      <c r="V14" t="inlineStr"/>
      <c r="W14" t="inlineStr">
        <is>
          <t>+5%-&gt;8% Final Damage per combo stack, +10%p combo-stack-chance (not modeled, folded into the steady-state max-stacks assumption already used for Combo Attack). Modeled at steady-state MAX stacks (5, or 7 once Lv.110's Advanced Combo unlocks) — factorIndex 22, baseDamage 50 tenths% (per-stack value).</t>
        </is>
      </c>
    </row>
    <row r="15">
      <c r="A15" t="inlineStr">
        <is>
          <t>SPIRIT_BLADE</t>
        </is>
      </c>
      <c r="B15" t="inlineStr">
        <is>
          <t>Spirit Blade</t>
        </is>
      </c>
      <c r="C15" t="n">
        <v>2</v>
      </c>
      <c r="D15" t="n">
        <v>45</v>
      </c>
      <c r="E15" t="b">
        <v>1</v>
      </c>
      <c r="F15" t="n">
        <v>1</v>
      </c>
      <c r="G15" t="n">
        <v>1</v>
      </c>
      <c r="H15" t="n">
        <v>0</v>
      </c>
      <c r="I15" t="n">
        <v>0</v>
      </c>
      <c r="J15" t="n">
        <v>100</v>
      </c>
      <c r="K15" t="n">
        <v>1</v>
      </c>
      <c r="L15" t="n">
        <v>100</v>
      </c>
      <c r="M15" t="n">
        <v>21</v>
      </c>
      <c r="N15" t="b">
        <v>1</v>
      </c>
      <c r="O15" t="n">
        <v>0</v>
      </c>
      <c r="P15" t="n">
        <v>0</v>
      </c>
      <c r="Q15" t="n">
        <v>0</v>
      </c>
      <c r="R15" t="n">
        <v>0</v>
      </c>
      <c r="S15" t="inlineStr">
        <is>
          <t>ATTACK</t>
        </is>
      </c>
      <c r="T15" t="n">
        <v>20</v>
      </c>
      <c r="U15" t="inlineStr"/>
      <c r="V15" t="inlineStr"/>
      <c r="W15" t="inlineStr">
        <is>
          <t>Self-inclusive ally buff (matches Bishop's own 'allied players' precedent) — +10%-&gt;14% Attack for 20s, 45s cooldown. Own damage-taken-reduction component (8%-&gt;11.2%) not modeled (no such mechanic for the character's own damage-taken exists). factorIndex 21, baseDamage 100 tenths%. Not patched.</t>
        </is>
      </c>
    </row>
    <row r="16">
      <c r="A16" t="inlineStr">
        <is>
          <t>SCARING_SWORD</t>
        </is>
      </c>
      <c r="B16" t="inlineStr">
        <is>
          <t>Scaring Sword</t>
        </is>
      </c>
      <c r="C16" t="n">
        <v>3</v>
      </c>
      <c r="D16" t="n">
        <v>30</v>
      </c>
      <c r="E16" t="b">
        <v>1</v>
      </c>
      <c r="F16" t="n">
        <v>1</v>
      </c>
      <c r="G16" t="n">
        <v>1</v>
      </c>
      <c r="H16" t="n">
        <v>0</v>
      </c>
      <c r="I16" t="n">
        <v>0</v>
      </c>
      <c r="J16" t="n">
        <v>35</v>
      </c>
      <c r="K16" t="n">
        <v>1</v>
      </c>
      <c r="L16" t="n">
        <v>200</v>
      </c>
      <c r="M16" t="n">
        <v>21</v>
      </c>
      <c r="N16" t="b">
        <v>1</v>
      </c>
      <c r="O16">
        <f>SUMPRODUCT((Inputs!$B$3&gt;={78})*{8})</f>
        <v/>
      </c>
      <c r="P16" t="n">
        <v>0</v>
      </c>
      <c r="Q16" t="n">
        <v>0</v>
      </c>
      <c r="R16" t="n">
        <v>0</v>
      </c>
      <c r="S16" t="inlineStr">
        <is>
          <t>MONSTER_DMG</t>
        </is>
      </c>
      <c r="T16" t="n">
        <v>10</v>
      </c>
      <c r="U16" t="inlineStr"/>
      <c r="V16" t="inlineStr"/>
      <c r="W16" t="inlineStr">
        <is>
          <t>On-attack proc (35% chance) that increases the target's damage taken by 20%-&gt;36% for 10s (own Attack-down component, 10%-&gt;18%, not modeled — no such mechanic exists). First skill in this project to actually drive the Global Monster Damage-Taken Bonus% bucket (a placeholder left at 0 in every prior class) — modeled as ProcChance% x duty-cycle uptime (BuffDuration/Cooldown), feeding every damage row's own monster-damage-taken term. factorIndex 21, baseDamage 200 tenths%. Mastery Lv.78 'Scaring Sword - Weaken' +8 (percentage points, real SkillMasteryBonus%). Not patched.</t>
        </is>
      </c>
    </row>
    <row r="17">
      <c r="A17" t="inlineStr">
        <is>
          <t>ENRAGE_FD</t>
        </is>
      </c>
      <c r="B17" t="inlineStr">
        <is>
          <t>Enrage (Final Damage half)</t>
        </is>
      </c>
      <c r="C17" t="n">
        <v>4</v>
      </c>
      <c r="D17" t="n">
        <v>12</v>
      </c>
      <c r="E17" t="b">
        <v>0</v>
      </c>
      <c r="F17" t="n">
        <v>1</v>
      </c>
      <c r="G17" t="n">
        <v>1</v>
      </c>
      <c r="H17" t="n">
        <v>0</v>
      </c>
      <c r="I17" t="n">
        <v>0</v>
      </c>
      <c r="J17" t="n">
        <v>100</v>
      </c>
      <c r="K17" t="n">
        <v>1</v>
      </c>
      <c r="L17" t="n">
        <v>120</v>
      </c>
      <c r="M17" t="n">
        <v>22</v>
      </c>
      <c r="N17" t="b">
        <v>1</v>
      </c>
      <c r="O17" t="n">
        <v>0</v>
      </c>
      <c r="P17" t="n">
        <v>0</v>
      </c>
      <c r="Q17" t="n">
        <v>0</v>
      </c>
      <c r="R17" t="n">
        <v>0</v>
      </c>
      <c r="S17" t="inlineStr">
        <is>
          <t>FINAL_DAMAGE</t>
        </is>
      </c>
      <c r="T17" t="n">
        <v>7</v>
      </c>
      <c r="U17" t="inlineStr"/>
      <c r="V17" t="inlineStr"/>
      <c r="W17" t="inlineStr">
        <is>
          <t>Fires on its own fixed interval (not a player-cast cooldown — modeled the same way as any other duty-cycled buff, treating the interval as this row's own Cooldown(s)): +12%-&gt;19.2% Final Damage for 5s-&gt;7s (patched duration), interval 10s-&gt;12s (patched). factorIndex 22, baseDamage 120 tenths%. PATCHED: duration 5-&gt;7s (baked into BuffDuration(s)), interval 10-&gt;12s (baked into Cooldown(s)), new 'activates at combat start' behavior not modeled (no such mechanic exists).</t>
        </is>
      </c>
    </row>
    <row r="18">
      <c r="A18" t="inlineStr">
        <is>
          <t>ENRAGE_CRITDMG</t>
        </is>
      </c>
      <c r="B18" t="inlineStr">
        <is>
          <t>Enrage (Crit Damage half)</t>
        </is>
      </c>
      <c r="C18" t="n">
        <v>4</v>
      </c>
      <c r="D18" t="n">
        <v>12</v>
      </c>
      <c r="E18" t="b">
        <v>0</v>
      </c>
      <c r="F18" t="n">
        <v>1</v>
      </c>
      <c r="G18" t="n">
        <v>1</v>
      </c>
      <c r="H18" t="n">
        <v>0</v>
      </c>
      <c r="I18" t="n">
        <v>0</v>
      </c>
      <c r="J18" t="n">
        <v>100</v>
      </c>
      <c r="K18" t="n">
        <v>1</v>
      </c>
      <c r="L18" t="n">
        <v>150</v>
      </c>
      <c r="M18" t="n">
        <v>22</v>
      </c>
      <c r="N18" t="b">
        <v>1</v>
      </c>
      <c r="O18" t="n">
        <v>0</v>
      </c>
      <c r="P18" t="n">
        <v>0</v>
      </c>
      <c r="Q18" t="n">
        <v>0</v>
      </c>
      <c r="R18" t="n">
        <v>0</v>
      </c>
      <c r="S18" t="inlineStr">
        <is>
          <t>CRIT_DAMAGE</t>
        </is>
      </c>
      <c r="T18" t="n">
        <v>7</v>
      </c>
      <c r="U18" t="inlineStr"/>
      <c r="V18" t="inlineStr"/>
      <c r="W18" t="inlineStr">
        <is>
          <t>Crit Damage half of Enrage — same interval/duration as ENRAGE_FD (+15%-&gt;24% Crit Damage). factorIndex 22, baseDamage 150 tenths%. Split into its own row since this schema's BuffTargetStat column only holds one stat per row.</t>
        </is>
      </c>
    </row>
    <row r="19">
      <c r="A19" t="inlineStr">
        <is>
          <t>NIMBLE_FEET</t>
        </is>
      </c>
      <c r="B19" t="inlineStr">
        <is>
          <t>Nimble Feet</t>
        </is>
      </c>
      <c r="C19" t="n">
        <v>1</v>
      </c>
      <c r="D19" t="n">
        <v>60</v>
      </c>
      <c r="E19" t="b">
        <v>1</v>
      </c>
      <c r="F19" t="n">
        <v>1</v>
      </c>
      <c r="G19" t="n">
        <v>1</v>
      </c>
      <c r="H19" t="n">
        <v>0</v>
      </c>
      <c r="I19" t="n">
        <v>0</v>
      </c>
      <c r="J19" t="n">
        <v>100</v>
      </c>
      <c r="K19" t="n">
        <v>1</v>
      </c>
      <c r="L19" t="n">
        <v>150</v>
      </c>
      <c r="M19" t="n">
        <v>0</v>
      </c>
      <c r="N19" t="b">
        <v>0</v>
      </c>
      <c r="O19" t="n">
        <v>0</v>
      </c>
      <c r="P19" t="n">
        <v>0</v>
      </c>
      <c r="Q19" t="n">
        <v>0</v>
      </c>
      <c r="R19" t="n">
        <v>1</v>
      </c>
      <c r="S19" t="inlineStr">
        <is>
          <t>ATTACK_SPEED</t>
        </is>
      </c>
      <c r="T19" t="n">
        <v>15</v>
      </c>
      <c r="U19" t="inlineStr"/>
      <c r="V19" t="inlineStr"/>
      <c r="W19" t="inlineStr">
        <is>
          <t>Shared cross-tree verbatim w/ every class in this project (byte-identical wiki wording — '+15% Attack Speed, +10% Speed for 15 sec'). Flat +15% Attack Speed / +10% Speed for 15s, 60s cooldown, non-scaling. FactorIndex unused placeholder.</t>
        </is>
      </c>
    </row>
    <row r="20">
      <c r="A20" t="inlineStr">
        <is>
          <t>WEAPON_ACCELERATION</t>
        </is>
      </c>
      <c r="B20" t="inlineStr">
        <is>
          <t>Weapon Acceleration</t>
        </is>
      </c>
      <c r="C20" t="n">
        <v>2</v>
      </c>
      <c r="D20" t="inlineStr"/>
      <c r="E20" t="b">
        <v>0</v>
      </c>
      <c r="F20" t="n">
        <v>1</v>
      </c>
      <c r="G20" t="n">
        <v>1</v>
      </c>
      <c r="H20" t="n">
        <v>0</v>
      </c>
      <c r="I20" t="n">
        <v>0</v>
      </c>
      <c r="J20" t="n">
        <v>100</v>
      </c>
      <c r="K20" t="n">
        <v>1</v>
      </c>
      <c r="L20" t="n">
        <v>50</v>
      </c>
      <c r="M20" t="n">
        <v>22</v>
      </c>
      <c r="N20" t="b">
        <v>1</v>
      </c>
      <c r="O20" t="n">
        <v>0</v>
      </c>
      <c r="P20" t="n">
        <v>0</v>
      </c>
      <c r="Q20" t="n">
        <v>0</v>
      </c>
      <c r="R20" t="n">
        <v>0</v>
      </c>
      <c r="S20" t="inlineStr">
        <is>
          <t>ATTACK_SPEED</t>
        </is>
      </c>
      <c r="T20" t="n">
        <v>0</v>
      </c>
      <c r="U20" t="inlineStr"/>
      <c r="V20" t="inlineStr"/>
      <c r="W20" t="inlineStr">
        <is>
          <t>Magic Critical pattern — already baked into Inputs!ATTACK_SPEED%; feeds the 2nd-Job Skill Level Bonus delta. Reuses Bowmaster's own Bow Acceleration tuple directly (shared-value-different-key, byte-identical wiki wording — '+5% Attack Speed'). factorIndex 22, baseDamage 50 tenths% (5%-&gt;6.5%, levels 1-100).</t>
        </is>
      </c>
    </row>
    <row r="21">
      <c r="A21" t="inlineStr">
        <is>
          <t>PHYSICAL_TRAINING</t>
        </is>
      </c>
      <c r="B21" t="inlineStr">
        <is>
          <t>Physical Training</t>
        </is>
      </c>
      <c r="C21" t="n">
        <v>2</v>
      </c>
      <c r="D21" t="inlineStr"/>
      <c r="E21" t="b">
        <v>0</v>
      </c>
      <c r="F21" t="n">
        <v>1</v>
      </c>
      <c r="G21" t="n">
        <v>1</v>
      </c>
      <c r="H21" t="n">
        <v>0</v>
      </c>
      <c r="I21" t="n">
        <v>0</v>
      </c>
      <c r="J21" t="n">
        <v>100</v>
      </c>
      <c r="K21" t="n">
        <v>1</v>
      </c>
      <c r="L21" t="n">
        <v>100</v>
      </c>
      <c r="M21" t="n">
        <v>22</v>
      </c>
      <c r="N21" t="b">
        <v>1</v>
      </c>
      <c r="O21" t="n">
        <v>0</v>
      </c>
      <c r="P21" t="n">
        <v>0</v>
      </c>
      <c r="Q21" t="n">
        <v>0</v>
      </c>
      <c r="R21" t="n">
        <v>0</v>
      </c>
      <c r="S21" t="inlineStr">
        <is>
          <t>BASIC_ATTACK_DAMAGE</t>
        </is>
      </c>
      <c r="T21" t="n">
        <v>0</v>
      </c>
      <c r="U21" t="inlineStr"/>
      <c r="V21" t="inlineStr"/>
      <c r="W21" t="inlineStr">
        <is>
          <t>Magic Critical pattern — already baked into Inputs!BASIC_ATTACK_DAMAGE%; feeds the 2nd-Job Skill Level Bonus delta. Reuses Bowmaster's own Physical Training tuple directly (byte-identical wiki wording — '+10% Basic Attack Damage'). factorIndex 22, baseDamage 100 tenths% (10%-&gt;13%, levels 1-100).</t>
        </is>
      </c>
    </row>
    <row r="22">
      <c r="A22" t="inlineStr">
        <is>
          <t>WEAPON_MASTERY</t>
        </is>
      </c>
      <c r="B22" t="inlineStr">
        <is>
          <t>Weapon Mastery</t>
        </is>
      </c>
      <c r="C22" t="n">
        <v>2</v>
      </c>
      <c r="D22" t="inlineStr"/>
      <c r="E22" t="b">
        <v>0</v>
      </c>
      <c r="F22" t="n">
        <v>1</v>
      </c>
      <c r="G22" t="n">
        <v>1</v>
      </c>
      <c r="H22" t="n">
        <v>0</v>
      </c>
      <c r="I22" t="n">
        <v>0</v>
      </c>
      <c r="J22" t="n">
        <v>100</v>
      </c>
      <c r="K22" t="n">
        <v>1</v>
      </c>
      <c r="L22" t="n">
        <v>150</v>
      </c>
      <c r="M22" t="n">
        <v>22</v>
      </c>
      <c r="N22" t="b">
        <v>1</v>
      </c>
      <c r="O22" t="n">
        <v>0</v>
      </c>
      <c r="P22" t="n">
        <v>0</v>
      </c>
      <c r="Q22" t="n">
        <v>0</v>
      </c>
      <c r="R22" t="n">
        <v>0</v>
      </c>
      <c r="S22" t="inlineStr">
        <is>
          <t>MIN_DAMAGE</t>
        </is>
      </c>
      <c r="T22" t="n">
        <v>0</v>
      </c>
      <c r="U22" t="inlineStr"/>
      <c r="V22" t="inlineStr"/>
      <c r="W22" t="inlineStr">
        <is>
          <t>Magic Critical pattern — already baked into Inputs!MIN_DAMAGE%; feeds the 2nd-Job Skill Level Bonus delta. factorIndex 22, baseDamage 150 tenths% (15%-&gt;19.5%, levels 1-100).</t>
        </is>
      </c>
    </row>
    <row r="23">
      <c r="A23" t="inlineStr">
        <is>
          <t>COMBAT_MASTERY_SKILL</t>
        </is>
      </c>
      <c r="B23" t="inlineStr">
        <is>
          <t>Combat Mastery (Skill Damage)</t>
        </is>
      </c>
      <c r="C23" t="n">
        <v>4</v>
      </c>
      <c r="D23" t="inlineStr"/>
      <c r="E23" t="b">
        <v>0</v>
      </c>
      <c r="F23" t="n">
        <v>1</v>
      </c>
      <c r="G23" t="n">
        <v>1</v>
      </c>
      <c r="H23" t="n">
        <v>0</v>
      </c>
      <c r="I23" t="n">
        <v>0</v>
      </c>
      <c r="J23" t="n">
        <v>100</v>
      </c>
      <c r="K23" t="n">
        <v>1</v>
      </c>
      <c r="L23" t="n">
        <v>150</v>
      </c>
      <c r="M23" t="n">
        <v>22</v>
      </c>
      <c r="N23" t="b">
        <v>1</v>
      </c>
      <c r="O23" t="n">
        <v>0</v>
      </c>
      <c r="P23" t="n">
        <v>0</v>
      </c>
      <c r="Q23" t="n">
        <v>0</v>
      </c>
      <c r="R23" t="n">
        <v>0</v>
      </c>
      <c r="S23" t="inlineStr">
        <is>
          <t>SKILL_DAMAGE</t>
        </is>
      </c>
      <c r="T23" t="n">
        <v>0</v>
      </c>
      <c r="U23" t="inlineStr"/>
      <c r="V23" t="inlineStr"/>
      <c r="W23" t="inlineStr">
        <is>
          <t>Magic Critical pattern — already baked into Inputs!SKILL_DAMAGE%; feeds the 4th-Job Skill Level Bonus delta (Skill Damage side). factorIndex 22, baseDamage 150 tenths% (15%-&gt;24%, levels 1-200).</t>
        </is>
      </c>
    </row>
    <row r="24">
      <c r="A24" t="inlineStr">
        <is>
          <t>COMBAT_MASTERY_MAXDMG</t>
        </is>
      </c>
      <c r="B24" t="inlineStr">
        <is>
          <t>Combat Mastery (Max Damage Multiplier)</t>
        </is>
      </c>
      <c r="C24" t="n">
        <v>4</v>
      </c>
      <c r="D24" t="inlineStr"/>
      <c r="E24" t="b">
        <v>0</v>
      </c>
      <c r="F24" t="n">
        <v>1</v>
      </c>
      <c r="G24" t="n">
        <v>1</v>
      </c>
      <c r="H24" t="n">
        <v>0</v>
      </c>
      <c r="I24" t="n">
        <v>0</v>
      </c>
      <c r="J24" t="n">
        <v>100</v>
      </c>
      <c r="K24" t="n">
        <v>1</v>
      </c>
      <c r="L24" t="n">
        <v>200</v>
      </c>
      <c r="M24" t="n">
        <v>22</v>
      </c>
      <c r="N24" t="b">
        <v>1</v>
      </c>
      <c r="O24" t="n">
        <v>0</v>
      </c>
      <c r="P24" t="n">
        <v>0</v>
      </c>
      <c r="Q24" t="n">
        <v>0</v>
      </c>
      <c r="R24" t="n">
        <v>0</v>
      </c>
      <c r="S24" t="inlineStr">
        <is>
          <t>MAX_DAMAGE</t>
        </is>
      </c>
      <c r="T24" t="n">
        <v>0</v>
      </c>
      <c r="U24" t="inlineStr"/>
      <c r="V24" t="inlineStr"/>
      <c r="W24" t="inlineStr">
        <is>
          <t>Same skill as Combat Mastery (Skill Damage) above, +20%-&gt;32% Max Damage Multiplier. Magic Critical pattern — already baked into Inputs!MAX_DAMAGE%; feeds the 4th-Job Skill Level Bonus delta (Max Damage Multiplier side). factorIndex 22, baseDamage 200 tenths%.</t>
        </is>
      </c>
    </row>
    <row r="25">
      <c r="A25" t="inlineStr">
        <is>
          <t>POWER_STANCE_FD</t>
        </is>
      </c>
      <c r="B25" t="inlineStr">
        <is>
          <t>Power Stance (Final Damage)</t>
        </is>
      </c>
      <c r="C25" t="n">
        <v>4</v>
      </c>
      <c r="D25" t="inlineStr"/>
      <c r="E25" t="b">
        <v>0</v>
      </c>
      <c r="F25" t="n">
        <v>1</v>
      </c>
      <c r="G25" t="n">
        <v>1</v>
      </c>
      <c r="H25" t="n">
        <v>0</v>
      </c>
      <c r="I25" t="n">
        <v>0</v>
      </c>
      <c r="J25" t="n">
        <v>100</v>
      </c>
      <c r="K25" t="n">
        <v>1</v>
      </c>
      <c r="L25" t="n">
        <v>150</v>
      </c>
      <c r="M25" t="n">
        <v>22</v>
      </c>
      <c r="N25" t="b">
        <v>1</v>
      </c>
      <c r="O25" t="n">
        <v>0</v>
      </c>
      <c r="P25" t="n">
        <v>0</v>
      </c>
      <c r="Q25" t="n">
        <v>0</v>
      </c>
      <c r="R25" t="n">
        <v>0</v>
      </c>
      <c r="S25" t="inlineStr">
        <is>
          <t>FINAL_DAMAGE</t>
        </is>
      </c>
      <c r="T25" t="n">
        <v>0</v>
      </c>
      <c r="U25" t="inlineStr"/>
      <c r="V25" t="inlineStr"/>
      <c r="W25" t="inlineStr">
        <is>
          <t>Own damage-taken-reduction component (5%-&gt;8%) not modeled (no such mechanic exists). Magic Critical pattern — already baked into Inputs!FINAL_DAMAGE%; feeds the 4th-Job Skill Level Bonus delta. factorIndex 22, baseDamage 150 tenths% (15%-&gt;24%, levels 1-200).</t>
        </is>
      </c>
    </row>
    <row r="26">
      <c r="A26" t="inlineStr">
        <is>
          <t>CHANCE_ATTACK_CRIT</t>
        </is>
      </c>
      <c r="B26" t="inlineStr">
        <is>
          <t>Chance Attack (Crit Rate)</t>
        </is>
      </c>
      <c r="C26" t="n">
        <v>3</v>
      </c>
      <c r="D26" t="inlineStr"/>
      <c r="E26" t="b">
        <v>0</v>
      </c>
      <c r="F26" t="n">
        <v>1</v>
      </c>
      <c r="G26" t="n">
        <v>1</v>
      </c>
      <c r="H26" t="n">
        <v>0</v>
      </c>
      <c r="I26" t="n">
        <v>0</v>
      </c>
      <c r="J26" t="n">
        <v>100</v>
      </c>
      <c r="K26" t="n">
        <v>1</v>
      </c>
      <c r="L26" t="n">
        <v>80</v>
      </c>
      <c r="M26" t="n">
        <v>22</v>
      </c>
      <c r="N26" t="b">
        <v>1</v>
      </c>
      <c r="O26" t="n">
        <v>0</v>
      </c>
      <c r="P26" t="n">
        <v>0</v>
      </c>
      <c r="Q26" t="n">
        <v>0</v>
      </c>
      <c r="R26" t="n">
        <v>0</v>
      </c>
      <c r="S26" t="inlineStr">
        <is>
          <t>CRIT_RATE</t>
        </is>
      </c>
      <c r="T26" t="n">
        <v>0</v>
      </c>
      <c r="U26" t="inlineStr"/>
      <c r="V26" t="inlineStr"/>
      <c r="W26" t="inlineStr">
        <is>
          <t>Own Status Effect Damage component (12%-&gt;19.2%) not modeled (no such mechanic exists). Magic Critical pattern — already baked into Inputs!CRIT_RATE%; feeds the 3rd-Job Skill Level Bonus delta. factorIndex 22, baseDamage 80 tenths% (8%-&gt;12.8%, levels 1-200).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Hero — Artifacts (Equip Effect)</t>
        </is>
      </c>
    </row>
    <row r="3">
      <c r="A3" t="inlineStr">
        <is>
          <t>Book of Ancient — Crit Damage (from Crit Rate, reference only)</t>
        </is>
      </c>
      <c r="B3">
        <f>IF(ArtifactsInput!$M$24,CHOOSE(ArtifactsInput!$N$24+1,30,36,42,48,54,60)/100*(Inputs!$B$9+B5+B29),0)</f>
        <v/>
      </c>
    </row>
    <row r="4">
      <c r="A4" t="inlineStr">
        <is>
          <t>Ring of Cycles — Threshold Crit Rate (excl. self)</t>
        </is>
      </c>
      <c r="B4">
        <f>Inputs!$B$9+B29</f>
        <v/>
      </c>
    </row>
    <row r="5">
      <c r="A5" t="inlineStr">
        <is>
          <t>Ring of Cycles — Crit Rate (if threshold &lt; 100%)</t>
        </is>
      </c>
      <c r="B5">
        <f>IF(AND(ArtifactsInput!$M$42,B4&lt;100),CHOOSE(ArtifactsInput!$N$42+1,30,36,42,48,54,60),0)</f>
        <v/>
      </c>
    </row>
    <row r="6">
      <c r="A6" t="inlineStr">
        <is>
          <t>Ring of Cycles — Skill Damage (if threshold &gt;= 100%)</t>
        </is>
      </c>
      <c r="B6">
        <f>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B7*CHOOSE(ArtifactsInput!$N$42+1,0.6,0.72,0.84,0.96,1.08,1.2)</f>
        <v/>
      </c>
    </row>
    <row r="9">
      <c r="A9" t="inlineStr">
        <is>
          <t>Candle — Effective Fight Duration</t>
        </is>
      </c>
      <c r="B9">
        <f>IF(Inputs!$B$38="pvp",15,Inputs!$B$43)</f>
        <v/>
      </c>
    </row>
    <row r="10">
      <c r="A10" t="inlineStr">
        <is>
          <t>Candle — Effective Active (fixed-duration or PvP)</t>
        </is>
      </c>
      <c r="B10">
        <f>IF(Inputs!$B$38="pvp",TRUE,AND(Inputs!$B$38&lt;&gt;"pvp",Inputs!$B$43&gt;0))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0.2*Summary!$B$17</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0.15*Summary!$B$17*5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IF(ArtifactsInput!$M$15,CHOOSE(ArtifactsInput!$N$15+1,25,30,35,40,45,50)/100*Inputs!$B$11,0)</f>
        <v/>
      </c>
    </row>
    <row r="26">
      <c r="A26" t="inlineStr">
        <is>
          <t>Hexagon Necklace — Average Stacks</t>
        </is>
      </c>
      <c r="B26">
        <f>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f>
        <v/>
      </c>
    </row>
    <row r="27">
      <c r="A27" t="inlineStr">
        <is>
          <t>Hexagon Necklace — Damage %</t>
        </is>
      </c>
      <c r="B27">
        <f>IF(ArtifactsInput!$M$11,CHOOSE(ArtifactsInput!$N$11+1,15,18,21,24,27,30)*B26,0)</f>
        <v/>
      </c>
    </row>
    <row r="28">
      <c r="A28" t="inlineStr">
        <is>
          <t>Rainbow-colored Snail Shell — Uptime (0-15s window)</t>
        </is>
      </c>
      <c r="B28">
        <f>IF(Inputs!$B$38="pvp",MIN(15,15)/15,IF(AND(Inputs!$B$38&lt;&gt;"pvp",Inputs!$B$43&gt;0),MIN(15,Inputs!$B$43)/Inputs!$B$43,0))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like Magic Guard/Meditation's Average Buff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IF(AND(ArtifactsInput!$M$29,Inputs!$B$38="pvp"),CHOOSE(ArtifactsInput!$N$29+1,20,24,28,32,36,40),0)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IF(AND(ArtifactsInput!$M$41,Inputs!$B$38&lt;&gt;"pvp"),CHOOSE(ArtifactsInput!$N$41+1,5,6,7,8,9,10)*IF(OR(Inputs!$B$4="Weapon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 — additive into the same bucket as Magic Guard/Meditation's Average Buff Multiplier)</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IF(AND(ArtifactsInput!$M$38,Inputs!$B$38&lt;&gt;"pvp",Inputs!$B$43&gt;0),CHOOSE(ArtifactsInput!$N$38+1,10,12,14,16,18,20)*(MIN(30,MAX(0,Inputs!$B$43-7))/Inputs!$B$43)*IF(Inputs!$B$4="Chapter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IF(ArtifactsInput!$M$34,MIN(CHOOSE(ArtifactsInput!$N$34+1,10,12,14,16,18,20),MAX(0,(CHOOSE(ArtifactsInput!$N$34+1,0.5,0.6,0.7,0.8,0.9,1)/3)*(Inputs!$B$11-60))),0)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f>
        <v/>
      </c>
    </row>
    <row r="66">
      <c r="A66" t="inlineStr">
        <is>
          <t>Chalice — Final Damage (boss branch)</t>
        </is>
      </c>
      <c r="B66">
        <f>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f>
        <v/>
      </c>
    </row>
    <row r="69">
      <c r="A69" t="inlineStr">
        <is>
          <t>The Contract of Darkness — Crit Rate (boss branch only)</t>
        </is>
      </c>
      <c r="B69">
        <f>IF(AND(ArtifactsInput!$M$8,Inputs!$B$38&lt;&gt;"pvp"),CHOOSE(ArtifactsInput!$N$8+1,8,9.6,11.2,12.8,14.4,16),0)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$38&lt;&gt;"pvp",Inputs!$B$43=0),0.5,(5*INT(MAX(0,IF(Inputs!$B$38="pvp",15,Inputs!$B$43)-10)/10)+MIN((MAX(0,IF(Inputs!$B$38="pvp",15,Inputs!$B$43)-10)-10*INT(MAX(0,IF(Inputs!$B$38="pvp",15,Inputs!$B$43)-10)/10)),5))/IF(Inputs!$B$38="pvp",15,Inputs!$B$43))),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s="5" t="inlineStr">
        <is>
          <t>InvCooldown</t>
        </is>
      </c>
      <c r="R1" s="5" t="inlineStr">
        <is>
          <t>CastsInFight</t>
        </is>
      </c>
      <c r="S1" s="5" t="inlineStr">
        <is>
          <t>HitRate(perSec)</t>
        </is>
      </c>
      <c r="T1" t="inlineStr">
        <is>
          <t>BossOnlyDPS</t>
        </is>
      </c>
      <c r="V1" t="inlineStr">
        <is>
          <t>NormalOnlyDPS</t>
        </is>
      </c>
    </row>
    <row r="2">
      <c r="A2">
        <f>Skills!A2</f>
        <v/>
      </c>
      <c r="B2">
        <f>Skills!B2</f>
        <v/>
      </c>
      <c r="C2">
        <f>Inputs!$B$3&gt;=100</f>
        <v/>
      </c>
      <c r="D2" t="inlineStr"/>
      <c r="E2" t="inlineStr"/>
      <c r="F2">
        <f>Summary!$B$10+Skills!O2</f>
        <v/>
      </c>
      <c r="G2">
        <f>Skills!G2*IF(Skills!H2&gt;0,Skills!I2/Skills!H2,1)</f>
        <v/>
      </c>
      <c r="H2">
        <f>1-(1-Skills!J2/100)^Skills!K2</f>
        <v/>
      </c>
      <c r="I2" t="inlineStr">
        <is>
          <t>1</t>
        </is>
      </c>
      <c r="J2">
        <f>Summary!$B$6*(F2/100)</f>
        <v/>
      </c>
      <c r="K2">
        <f>J2*(1+Summary!$B$7/100)*(1+Inputs!$B$15/100)*(1+Inputs!$B$16/100)*(5000/(6000+Inputs!$B$42*(1-Inputs!$B$19/100)))*(1+(Inputs!$B$24+Summary!$B$21)/100)*(1+Artifacts!$B$34/100)*(1+IF(Skills!A2="ENHANCED_RAGING_BLOW",IF(Inputs!$B$3&gt;=134,MAX(0,IF(Inputs!$B$3&gt;=110,7,5)-5)*50,0),0)/100)*(1+(IF(Skills!A2="RAGING_BLOW",Inputs!$B$17+Artifacts!$B$40,Inputs!$B$18+Artifacts!$B$39))/100)*(Summary!$B$13*(1+(Artifacts!$B$38+Artifacts!$B$36)/100)*I2)</f>
        <v/>
      </c>
      <c r="L2">
        <f>K2*(MIN(Inputs!$B$22,Inputs!$B$23)/100+Inputs!$B$23/100)/2</f>
        <v/>
      </c>
      <c r="M2">
        <f>L2*(1+(Inputs!$B$10+Summary!$B$20+Artifacts!$B$33)/100)</f>
        <v/>
      </c>
      <c r="N2">
        <f>L2*(1-MIN((Inputs!$B$9+Summary!$B$14+Artifacts!$B$32),100)/100)+M2*(MIN((Inputs!$B$9+Summary!$B$14+Artifacts!$B$32),100)/100)</f>
        <v/>
      </c>
      <c r="O2">
        <f>(1-Summary!$B$11)*T2+Summary!$B$11*V2</f>
        <v/>
      </c>
      <c r="P2">
        <f>IF(Summary!$B$3=0,0,O2/Summary!$B$3)</f>
        <v/>
      </c>
      <c r="Q2" t="n">
        <v>0</v>
      </c>
      <c r="R2" t="n">
        <v>0</v>
      </c>
      <c r="S2">
        <f>IFERROR(O2/N2,0)</f>
        <v/>
      </c>
      <c r="T2">
        <f>IF(C2,(Skills!G2*N2*Summary!$B$19)*IF(Inputs!$B$38="pvp",1,1+(Inputs!$B$20+Skills!P2+Summary!$B$15+Artifacts!$B$35)/100)*((((5000/(6000+Inputs!$B$42*(1-(100*(1-(1-Inputs!$B$19/100)*(1-Artifacts!$B$51/100)^IF(Inputs!$B$38="pvp",1,2)))/100)))/(5000/(6000+Inputs!$B$42*(1-Inputs!$B$19/100))))*((L2*(1-MIN(100,(Inputs!$B$9+Summary!$B$14+Artifacts!$B$32)+Artifacts!$B$69)/100)+M2*(MIN(100,(Inputs!$B$9+Summary!$B$14+Artifacts!$B$32)+Artifacts!$B$69)/100))/(L2*(1-MIN(100,(Inputs!$B$9+Summary!$B$14+Artifacts!$B$32))/100)+M2*(MIN(100,(Inputs!$B$9+Summary!$B$14+Artifacts!$B$32))/100)))*(1+Artifacts!$B$81/100))),0)</f>
        <v/>
      </c>
      <c r="V2">
        <f>IF(C2,(Skills!G2*N2*Summary!$B$19)*IF(Inputs!$B$38="pvp",1,(1+(Inputs!$B$21+Skills!Q2+Summary!$B$15+Artifacts!$B$80)/100)*(MIN(Skills!R2,Inputs!$B$37)))*((1+Artifacts!$B$53/100)),0)</f>
        <v/>
      </c>
    </row>
    <row r="3">
      <c r="A3">
        <f>Skills!A3</f>
        <v/>
      </c>
      <c r="B3">
        <f>Skills!B3</f>
        <v/>
      </c>
      <c r="C3">
        <f>Inputs!$B$3&gt;=50</f>
        <v/>
      </c>
      <c r="D3">
        <f>IF(Skills!C3=1,60+Inputs!$B$25+Inputs!$B$29,IF(Skills!C3=2,90+Inputs!$B$26+Inputs!$B$29,IF(Skills!C3=3,120+Inputs!$B$27+Inputs!$B$29,MAX(0,(Inputs!$B$3-100)*3)+Inputs!$B$28+Inputs!$B$29)))</f>
        <v/>
      </c>
      <c r="E3">
        <f>INDEX(FactorTable!$B$2:$Y$301, MATCH(ROUND(MIN(300,MAX(1,D3)),0), FactorTable!$A$2:$A$301,0), Skills!M3+1)</f>
        <v/>
      </c>
      <c r="F3">
        <f>IF(Skills!N3=TRUE,(Skills!L3/10)*(E3/1000),Skills!L3/10)+Skills!O3</f>
        <v/>
      </c>
      <c r="G3" t="inlineStr"/>
      <c r="H3" t="inlineStr"/>
      <c r="I3" t="inlineStr">
        <is>
          <t>1</t>
        </is>
      </c>
      <c r="J3" t="inlineStr"/>
      <c r="K3" t="inlineStr"/>
      <c r="L3" t="inlineStr"/>
      <c r="M3" t="inlineStr"/>
      <c r="N3" t="inlineStr"/>
      <c r="O3" t="inlineStr"/>
      <c r="P3" t="inlineStr"/>
      <c r="Q3" t="inlineStr"/>
      <c r="R3" t="inlineStr"/>
      <c r="S3" t="inlineStr"/>
    </row>
    <row r="4">
      <c r="A4">
        <f>Skills!A4</f>
        <v/>
      </c>
      <c r="B4">
        <f>Skills!B4</f>
        <v/>
      </c>
      <c r="C4">
        <f>Inputs!$B$3&gt;=105</f>
        <v/>
      </c>
      <c r="D4">
        <f>IF(Skills!C4=1,60+Inputs!$B$25+Inputs!$B$29,IF(Skills!C4=2,90+Inputs!$B$26+Inputs!$B$29,IF(Skills!C4=3,120+Inputs!$B$27+Inputs!$B$29,MAX(0,(Inputs!$B$3-100)*3)+Inputs!$B$28+Inputs!$B$29)))</f>
        <v/>
      </c>
      <c r="E4">
        <f>INDEX(FactorTable!$B$2:$Y$301, MATCH(ROUND(MIN(300,MAX(1,D4)),0), FactorTable!$A$2:$A$301,0), Skills!M4+1)</f>
        <v/>
      </c>
      <c r="F4">
        <f>IF(Skills!N4=TRUE,(Skills!L4/10)*(E4/1000),Skills!L4/10)+Skills!O4</f>
        <v/>
      </c>
      <c r="G4" t="inlineStr"/>
      <c r="H4" t="inlineStr"/>
      <c r="I4" t="inlineStr">
        <is>
          <t>1</t>
        </is>
      </c>
      <c r="J4" t="inlineStr"/>
      <c r="K4" t="inlineStr"/>
      <c r="L4" t="inlineStr"/>
      <c r="M4" t="inlineStr"/>
      <c r="N4" t="inlineStr"/>
      <c r="O4" t="inlineStr"/>
      <c r="P4" t="inlineStr"/>
      <c r="Q4" t="inlineStr"/>
      <c r="R4" t="inlineStr"/>
      <c r="S4" t="inlineStr"/>
    </row>
    <row r="5">
      <c r="A5">
        <f>Skills!A5</f>
        <v/>
      </c>
      <c r="B5">
        <f>Skills!B5</f>
        <v/>
      </c>
      <c r="C5">
        <f>Inputs!$B$3&gt;=103</f>
        <v/>
      </c>
      <c r="D5">
        <f>IF(Skills!C5=1,60+Inputs!$B$25+Inputs!$B$29,IF(Skills!C5=2,90+Inputs!$B$26+Inputs!$B$29,IF(Skills!C5=3,120+Inputs!$B$27+Inputs!$B$29,MAX(0,(Inputs!$B$3-100)*3)+Inputs!$B$28+Inputs!$B$29)))</f>
        <v/>
      </c>
      <c r="E5">
        <f>INDEX(FactorTable!$B$2:$Y$301, MATCH(ROUND(MIN(300,MAX(1,D5)),0), FactorTable!$A$2:$A$301,0), Skills!M5+1)</f>
        <v/>
      </c>
      <c r="F5">
        <f>IF(Skills!N5=TRUE,(Skills!L5/10)*(E5/1000),Skills!L5/10)+Skills!O5</f>
        <v/>
      </c>
      <c r="G5">
        <f>Skills!G5*IF(Skills!H5&gt;0,Skills!I5/Skills!H5,1)</f>
        <v/>
      </c>
      <c r="H5">
        <f>1-(1-Skills!J5/100)^Skills!K5</f>
        <v/>
      </c>
      <c r="I5" t="inlineStr">
        <is>
          <t>1</t>
        </is>
      </c>
      <c r="J5">
        <f>Summary!$B$6*(F5/100)</f>
        <v/>
      </c>
      <c r="K5">
        <f>J5*(1+Summary!$B$7/100)*(1+Inputs!$B$15/100)*(1+Inputs!$B$16/100)*(5000/(6000+Inputs!$B$42*(1-Inputs!$B$19/100)))*(1+(Inputs!$B$24+Summary!$B$21)/100)*(1+Artifacts!$B$34/100)*(1+IF(Skills!A5="ENHANCED_RAGING_BLOW",IF(Inputs!$B$3&gt;=134,MAX(0,IF(Inputs!$B$3&gt;=110,7,5)-5)*50,0),0)/100)*(1+(IF(Skills!A5="RAGING_BLOW",Inputs!$B$17+Artifacts!$B$40,Inputs!$B$18+Artifacts!$B$39))/100)*(Summary!$B$13*(1+(Artifacts!$B$38+Artifacts!$B$36)/100)*I5)</f>
        <v/>
      </c>
      <c r="L5">
        <f>K5*(MIN(Inputs!$B$22,Inputs!$B$23)/100+Inputs!$B$23/100)/2</f>
        <v/>
      </c>
      <c r="M5">
        <f>L5*(1+(Inputs!$B$10+Summary!$B$20+Artifacts!$B$33)/100)</f>
        <v/>
      </c>
      <c r="N5">
        <f>L5*(1-MIN((Inputs!$B$9+Summary!$B$14+Artifacts!$B$32),100)/100)+M5*(MIN((Inputs!$B$9+Summary!$B$14+Artifacts!$B$32),100)/100)</f>
        <v/>
      </c>
      <c r="O5">
        <f>(1-Summary!$B$11)*T5+Summary!$B$11*V5</f>
        <v/>
      </c>
      <c r="P5">
        <f>IF(Summary!$B$3=0,0,O5/Summary!$B$3)</f>
        <v/>
      </c>
      <c r="Q5">
        <f>IFERROR(1/(IF(Inputs!$B$38="pvp",15,MAX(0.1,Skills!D5-IF(Skills!E5=TRUE,Inputs!$B$32,0)))*(1-IF(AND(ArtifactsInput!$M$27,Inputs!$B$4="Chapter Hunt"),CHOOSE(ArtifactsInput!$N$27+1,20,24,28,32,36,40),0)/100)),0)</f>
        <v/>
      </c>
      <c r="R5">
        <f>IF(AND(Inputs!$B$38&lt;&gt;"pvp",Inputs!$B$43&gt;0),IF(MAX(0,Inputs!$B$43-Summary!$B$23)&lt;=0,0,(INT(MAX(0,Inputs!$B$43-Summary!$B$23)/(IF(Inputs!$B$38="pvp",15,MAX(0.1,Skills!D5-IF(Skills!E5=TRUE,Inputs!$B$32,0)))*(1-IF(AND(ArtifactsInput!$M$27,Inputs!$B$4="Chapter Hunt"),CHOOSE(ArtifactsInput!$N$27+1,20,24,28,32,36,40),0)/100)))+1)),0)</f>
        <v/>
      </c>
      <c r="S5">
        <f>IFERROR(O5/N5,0)</f>
        <v/>
      </c>
      <c r="T5">
        <f>IF(C5,(H5*N5*IF(AND(Inputs!$B$38&lt;&gt;"pvp",Inputs!$B$43&gt;0),((Skills!G5*((R5-1)*IF(Skills!H5&gt;0,Skills!I5/Skills!H5,1)+IF(Skills!H5&gt;0,MIN(Skills!I5,MAX(0,MAX(0,Inputs!$B$43-Summary!$B$23)-((R5-1)*(IF(Inputs!$B$38="pvp",15,MAX(0.1,Skills!D5-IF(Skills!E5=TRUE,Inputs!$B$32,0)))*(1-IF(AND(ArtifactsInput!$M$27,Inputs!$B$4="Chapter Hunt"),CHOOSE(ArtifactsInput!$N$27+1,20,24,28,32,36,40),0)/100)))))/Skills!H5,1)))/Inputs!$B$43),G5*Q5))*IF(Inputs!$B$38="pvp",1,1+(Inputs!$B$20+Skills!P5+Summary!$B$15+Artifacts!$B$35)/100)*((((5000/(6000+Inputs!$B$42*(1-(100*(1-(1-Inputs!$B$19/100)*(1-Artifacts!$B$51/100)^IF(Inputs!$B$38="pvp",1,2)))/100)))/(5000/(6000+Inputs!$B$42*(1-Inputs!$B$19/100))))*((L5*(1-MIN(100,(Inputs!$B$9+Summary!$B$14+Artifacts!$B$32)+Artifacts!$B$69)/100)+M5*(MIN(100,(Inputs!$B$9+Summary!$B$14+Artifacts!$B$32)+Artifacts!$B$69)/100))/(L5*(1-MIN(100,(Inputs!$B$9+Summary!$B$14+Artifacts!$B$32))/100)+M5*(MIN(100,(Inputs!$B$9+Summary!$B$14+Artifacts!$B$32))/100)))*(1+Artifacts!$B$81/100))),0)</f>
        <v/>
      </c>
      <c r="V5">
        <f>IF(C5,(H5*N5*IF(AND(Inputs!$B$38&lt;&gt;"pvp",Inputs!$B$43&gt;0),((Skills!G5*((R5-1)*IF(Skills!H5&gt;0,Skills!I5/Skills!H5,1)+IF(Skills!H5&gt;0,MIN(Skills!I5,MAX(0,MAX(0,Inputs!$B$43-Summary!$B$23)-((R5-1)*(IF(Inputs!$B$38="pvp",15,MAX(0.1,Skills!D5-IF(Skills!E5=TRUE,Inputs!$B$32,0)))*(1-IF(AND(ArtifactsInput!$M$27,Inputs!$B$4="Chapter Hunt"),CHOOSE(ArtifactsInput!$N$27+1,20,24,28,32,36,40),0)/100)))))/Skills!H5,1)))/Inputs!$B$43),G5*Q5))*IF(Inputs!$B$38="pvp",1,(1+(Inputs!$B$21+Skills!Q5+Summary!$B$15+Artifacts!$B$80)/100)*(MIN(Skills!R5,Inputs!$B$37)))*((1+Artifacts!$B$53/100)),0)</f>
        <v/>
      </c>
    </row>
    <row r="6">
      <c r="A6">
        <f>Skills!A6</f>
        <v/>
      </c>
      <c r="B6">
        <f>Skills!B6</f>
        <v/>
      </c>
      <c r="C6">
        <f>Inputs!$B$3&gt;=103</f>
        <v/>
      </c>
      <c r="D6">
        <f>IF(Skills!C6=1,60+Inputs!$B$25+Inputs!$B$29,IF(Skills!C6=2,90+Inputs!$B$26+Inputs!$B$29,IF(Skills!C6=3,120+Inputs!$B$27+Inputs!$B$29,MAX(0,(Inputs!$B$3-100)*3)+Inputs!$B$28+Inputs!$B$29)))</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Summary!$B$6*(F6/100)</f>
        <v/>
      </c>
      <c r="K6">
        <f>J6*(1+Summary!$B$7/100)*(1+Inputs!$B$15/100)*(1+Inputs!$B$16/100)*(5000/(6000+Inputs!$B$42*(1-Inputs!$B$19/100)))*(1+(Inputs!$B$24+Summary!$B$21)/100)*(1+Artifacts!$B$34/100)*(1+IF(Skills!A6="ENHANCED_RAGING_BLOW",IF(Inputs!$B$3&gt;=134,MAX(0,IF(Inputs!$B$3&gt;=110,7,5)-5)*50,0),0)/100)*(1+(IF(Skills!A6="RAGING_BLOW",Inputs!$B$17+Artifacts!$B$40,Inputs!$B$18+Artifacts!$B$39))/100)*(Summary!$B$13*(1+(Artifacts!$B$38+Artifacts!$B$36)/100)*I6)</f>
        <v/>
      </c>
      <c r="L6">
        <f>K6*(MIN(Inputs!$B$22,Inputs!$B$23)/100+Inputs!$B$23/100)/2</f>
        <v/>
      </c>
      <c r="M6">
        <f>L6*(1+(Inputs!$B$10+Summary!$B$20+Artifacts!$B$33)/100)</f>
        <v/>
      </c>
      <c r="N6">
        <f>L6*(1-MIN((Inputs!$B$9+Summary!$B$14+Artifacts!$B$32),100)/100)+M6*(MIN((Inputs!$B$9+Summary!$B$14+Artifacts!$B$32),100)/100)</f>
        <v/>
      </c>
      <c r="O6">
        <f>(1-Summary!$B$11)*T6+Summary!$B$11*V6</f>
        <v/>
      </c>
      <c r="P6">
        <f>IF(Summary!$B$3=0,0,O6/Summary!$B$3)</f>
        <v/>
      </c>
      <c r="Q6">
        <f>IFERROR(1/(IF(Inputs!$B$38="pvp",15,MAX(0.1,Skills!D6-IF(Skills!E6=TRUE,Inputs!$B$32,0)))*(1-IF(AND(ArtifactsInput!$M$27,Inputs!$B$4="Chapter Hunt"),CHOOSE(ArtifactsInput!$N$27+1,20,24,28,32,36,40),0)/100)),0)</f>
        <v/>
      </c>
      <c r="R6">
        <f>IF(AND(Inputs!$B$38&lt;&gt;"pvp",Inputs!$B$43&gt;0),IF(MAX(0,Inputs!$B$43-Summary!$B$23)&lt;=0,0,(INT(MAX(0,Inputs!$B$43-Summary!$B$23)/(IF(Inputs!$B$38="pvp",15,MAX(0.1,Skills!D6-IF(Skills!E6=TRUE,Inputs!$B$32,0)))*(1-IF(AND(ArtifactsInput!$M$27,Inputs!$B$4="Chapter Hunt"),CHOOSE(ArtifactsInput!$N$27+1,20,24,28,32,36,40),0)/100)))+1)),0)</f>
        <v/>
      </c>
      <c r="S6">
        <f>IFERROR(O6/N6,0)</f>
        <v/>
      </c>
      <c r="T6">
        <f>IF(C6,(H6*N6*IF(AND(Inputs!$B$38&lt;&gt;"pvp",Inputs!$B$43&gt;0),((Skills!G6*((R6-1)*IF(Skills!H6&gt;0,Skills!I6/Skills!H6,1)+IF(Skills!H6&gt;0,MIN(Skills!I6,MAX(0,MAX(0,Inputs!$B$43-Summary!$B$23)-((R6-1)*(IF(Inputs!$B$38="pvp",15,MAX(0.1,Skills!D6-IF(Skills!E6=TRUE,Inputs!$B$32,0)))*(1-IF(AND(ArtifactsInput!$M$27,Inputs!$B$4="Chapter Hunt"),CHOOSE(ArtifactsInput!$N$27+1,20,24,28,32,36,40),0)/100)))))/Skills!H6,1)))/Inputs!$B$43),G6*Q6))*IF(Inputs!$B$38="pvp",1,1+(Inputs!$B$20+Skills!P6+Summary!$B$15+Artifacts!$B$35)/100)*((((5000/(6000+Inputs!$B$42*(1-(100*(1-(1-Inputs!$B$19/100)*(1-Artifacts!$B$51/100)^IF(Inputs!$B$38="pvp",1,2)))/100)))/(5000/(6000+Inputs!$B$42*(1-Inputs!$B$19/100))))*((L6*(1-MIN(100,(Inputs!$B$9+Summary!$B$14+Artifacts!$B$32)+Artifacts!$B$69)/100)+M6*(MIN(100,(Inputs!$B$9+Summary!$B$14+Artifacts!$B$32)+Artifacts!$B$69)/100))/(L6*(1-MIN(100,(Inputs!$B$9+Summary!$B$14+Artifacts!$B$32))/100)+M6*(MIN(100,(Inputs!$B$9+Summary!$B$14+Artifacts!$B$32))/100)))*(1+Artifacts!$B$81/100))),0)</f>
        <v/>
      </c>
      <c r="V6">
        <f>IF(C6,(H6*N6*IF(AND(Inputs!$B$38&lt;&gt;"pvp",Inputs!$B$43&gt;0),((Skills!G6*((R6-1)*IF(Skills!H6&gt;0,Skills!I6/Skills!H6,1)+IF(Skills!H6&gt;0,MIN(Skills!I6,MAX(0,MAX(0,Inputs!$B$43-Summary!$B$23)-((R6-1)*(IF(Inputs!$B$38="pvp",15,MAX(0.1,Skills!D6-IF(Skills!E6=TRUE,Inputs!$B$32,0)))*(1-IF(AND(ArtifactsInput!$M$27,Inputs!$B$4="Chapter Hunt"),CHOOSE(ArtifactsInput!$N$27+1,20,24,28,32,36,40),0)/100)))))/Skills!H6,1)))/Inputs!$B$43),G6*Q6))*IF(Inputs!$B$38="pvp",1,(1+(Inputs!$B$21+Skills!Q6+Summary!$B$15+Artifacts!$B$80)/100)*(MIN(Skills!R6,Inputs!$B$37)))*((1+Artifacts!$B$53/100)),0)</f>
        <v/>
      </c>
    </row>
    <row r="7">
      <c r="A7">
        <f>Skills!A7</f>
        <v/>
      </c>
      <c r="B7">
        <f>Skills!B7</f>
        <v/>
      </c>
      <c r="C7">
        <f>Inputs!$B$3&gt;=107</f>
        <v/>
      </c>
      <c r="D7">
        <f>IF(Skills!C7=1,60+Inputs!$B$25+Inputs!$B$29,IF(Skills!C7=2,90+Inputs!$B$26+Inputs!$B$29,IF(Skills!C7=3,120+Inputs!$B$27+Inputs!$B$29,MAX(0,(Inputs!$B$3-100)*3)+Inputs!$B$28+Inputs!$B$29)))</f>
        <v/>
      </c>
      <c r="E7">
        <f>INDEX(FactorTable!$B$2:$Y$301, MATCH(ROUND(MIN(300,MAX(1,D7)),0), FactorTable!$A$2:$A$301,0), Skills!M7+1)</f>
        <v/>
      </c>
      <c r="F7">
        <f>IF(Skills!N7=TRUE,(Skills!L7/10)*(E7/1000),Skills!L7/10)+Skills!O7</f>
        <v/>
      </c>
      <c r="G7">
        <f>Skills!G7*IF(Skills!H7&gt;0,Skills!I7/Skills!H7,1)</f>
        <v/>
      </c>
      <c r="H7">
        <f>1-(1-Skills!J7/100)^Skills!K7</f>
        <v/>
      </c>
      <c r="I7" t="inlineStr">
        <is>
          <t>1</t>
        </is>
      </c>
      <c r="J7">
        <f>Summary!$B$6*(F7/100)</f>
        <v/>
      </c>
      <c r="K7">
        <f>J7*(1+Summary!$B$7/100)*(1+Inputs!$B$15/100)*(1+Inputs!$B$16/100)*(5000/(6000+Inputs!$B$42*(1-Inputs!$B$19/100)))*(1+(Inputs!$B$24+Summary!$B$21)/100)*(1+Artifacts!$B$34/100)*(1+IF(Skills!A7="ENHANCED_RAGING_BLOW",IF(Inputs!$B$3&gt;=134,MAX(0,IF(Inputs!$B$3&gt;=110,7,5)-5)*50,0),0)/100)*(1+(IF(Skills!A7="RAGING_BLOW",Inputs!$B$17+Artifacts!$B$40,Inputs!$B$18+Artifacts!$B$39))/100)*(Summary!$B$13*(1+(Artifacts!$B$38+Artifacts!$B$36)/100)*I7)</f>
        <v/>
      </c>
      <c r="L7">
        <f>K7*(MIN(Inputs!$B$22,Inputs!$B$23)/100+Inputs!$B$23/100)/2</f>
        <v/>
      </c>
      <c r="M7">
        <f>L7*(1+(Inputs!$B$10+Summary!$B$20+Artifacts!$B$33)/100)</f>
        <v/>
      </c>
      <c r="N7">
        <f>L7*(1-MIN((Inputs!$B$9+Summary!$B$14+Artifacts!$B$32),100)/100)+M7*(MIN((Inputs!$B$9+Summary!$B$14+Artifacts!$B$32),100)/100)</f>
        <v/>
      </c>
      <c r="O7">
        <f>(1-Summary!$B$11)*T7+Summary!$B$11*V7</f>
        <v/>
      </c>
      <c r="P7">
        <f>IF(Summary!$B$3=0,0,O7/Summary!$B$3)</f>
        <v/>
      </c>
      <c r="Q7">
        <f>IFERROR(1/(IF(Inputs!$B$38="pvp",15,MAX(0.1,Skills!D7-IF(Skills!E7=TRUE,Inputs!$B$32,0)))*(1-IF(AND(ArtifactsInput!$M$27,Inputs!$B$4="Chapter Hunt"),CHOOSE(ArtifactsInput!$N$27+1,20,24,28,32,36,40),0)/100)),0)</f>
        <v/>
      </c>
      <c r="R7">
        <f>IF(AND(Inputs!$B$38&lt;&gt;"pvp",Inputs!$B$43&gt;0),IF(MAX(0,Inputs!$B$43-Summary!$B$23)&lt;=0,0,(INT(MAX(0,Inputs!$B$43-Summary!$B$23)/(IF(Inputs!$B$38="pvp",15,MAX(0.1,Skills!D7-IF(Skills!E7=TRUE,Inputs!$B$32,0)))*(1-IF(AND(ArtifactsInput!$M$27,Inputs!$B$4="Chapter Hunt"),CHOOSE(ArtifactsInput!$N$27+1,20,24,28,32,36,40),0)/100)))+1)),0)</f>
        <v/>
      </c>
      <c r="S7">
        <f>IFERROR(O7/N7,0)</f>
        <v/>
      </c>
      <c r="T7">
        <f>IF(C7,(H7*N7*IF(AND(Inputs!$B$38&lt;&gt;"pvp",Inputs!$B$43&gt;0),((Skills!G7*((R7-1)*IF(Skills!H7&gt;0,Skills!I7/Skills!H7,1)+IF(Skills!H7&gt;0,MIN(Skills!I7,MAX(0,MAX(0,Inputs!$B$43-Summary!$B$23)-((R7-1)*(IF(Inputs!$B$38="pvp",15,MAX(0.1,Skills!D7-IF(Skills!E7=TRUE,Inputs!$B$32,0)))*(1-IF(AND(ArtifactsInput!$M$27,Inputs!$B$4="Chapter Hunt"),CHOOSE(ArtifactsInput!$N$27+1,20,24,28,32,36,40),0)/100)))))/Skills!H7,1)))/Inputs!$B$43),G7*Q7))*IF(Inputs!$B$38="pvp",1,1+(Inputs!$B$20+Skills!P7+Summary!$B$15+Artifacts!$B$35)/100)*((((5000/(6000+Inputs!$B$42*(1-(100*(1-(1-Inputs!$B$19/100)*(1-Artifacts!$B$51/100)^IF(Inputs!$B$38="pvp",1,2)))/100)))/(5000/(6000+Inputs!$B$42*(1-Inputs!$B$19/100))))*((L7*(1-MIN(100,(Inputs!$B$9+Summary!$B$14+Artifacts!$B$32)+Artifacts!$B$69)/100)+M7*(MIN(100,(Inputs!$B$9+Summary!$B$14+Artifacts!$B$32)+Artifacts!$B$69)/100))/(L7*(1-MIN(100,(Inputs!$B$9+Summary!$B$14+Artifacts!$B$32))/100)+M7*(MIN(100,(Inputs!$B$9+Summary!$B$14+Artifacts!$B$32))/100)))*(1+Artifacts!$B$81/100))),0)</f>
        <v/>
      </c>
      <c r="V7">
        <f>IF(C7,(H7*N7*IF(AND(Inputs!$B$38&lt;&gt;"pvp",Inputs!$B$43&gt;0),((Skills!G7*((R7-1)*IF(Skills!H7&gt;0,Skills!I7/Skills!H7,1)+IF(Skills!H7&gt;0,MIN(Skills!I7,MAX(0,MAX(0,Inputs!$B$43-Summary!$B$23)-((R7-1)*(IF(Inputs!$B$38="pvp",15,MAX(0.1,Skills!D7-IF(Skills!E7=TRUE,Inputs!$B$32,0)))*(1-IF(AND(ArtifactsInput!$M$27,Inputs!$B$4="Chapter Hunt"),CHOOSE(ArtifactsInput!$N$27+1,20,24,28,32,36,40),0)/100)))))/Skills!H7,1)))/Inputs!$B$43),G7*Q7))*IF(Inputs!$B$38="pvp",1,(1+(Inputs!$B$21+Skills!Q7+Summary!$B$15+Artifacts!$B$80)/100)*(MIN(Skills!R7,Inputs!$B$37)))*((1+Artifacts!$B$53/100)),0)</f>
        <v/>
      </c>
    </row>
    <row r="8">
      <c r="A8">
        <f>Skills!A8</f>
        <v/>
      </c>
      <c r="B8">
        <f>Skills!B8</f>
        <v/>
      </c>
      <c r="C8">
        <f>Inputs!$B$3&gt;=117</f>
        <v/>
      </c>
      <c r="D8">
        <f>IF(Skills!C8=1,60+Inputs!$B$25+Inputs!$B$29,IF(Skills!C8=2,90+Inputs!$B$26+Inputs!$B$29,IF(Skills!C8=3,120+Inputs!$B$27+Inputs!$B$29,MAX(0,(Inputs!$B$3-100)*3)+Inputs!$B$28+Inputs!$B$29)))</f>
        <v/>
      </c>
      <c r="E8">
        <f>INDEX(FactorTable!$B$2:$Y$301, MATCH(ROUND(MIN(300,MAX(1,D8)),0), FactorTable!$A$2:$A$301,0), Skills!M8+1)</f>
        <v/>
      </c>
      <c r="F8">
        <f>IF(Skills!N8=TRUE,(Skills!L8/10)*(E8/1000),Skills!L8/10)+Skills!O8</f>
        <v/>
      </c>
      <c r="G8">
        <f>Skills!G8*IF(Skills!H8&gt;0,Skills!I8/Skills!H8,1)</f>
        <v/>
      </c>
      <c r="H8">
        <f>1-(1-Skills!J8/100)^Skills!K8</f>
        <v/>
      </c>
      <c r="I8" t="inlineStr">
        <is>
          <t>1</t>
        </is>
      </c>
      <c r="J8">
        <f>Summary!$B$6*(F8/100)</f>
        <v/>
      </c>
      <c r="K8">
        <f>J8*(1+Summary!$B$7/100)*(1+Inputs!$B$15/100)*(1+Inputs!$B$16/100)*(5000/(6000+Inputs!$B$42*(1-Inputs!$B$19/100)))*(1+(Inputs!$B$24+Summary!$B$21)/100)*(1+Artifacts!$B$34/100)*(1+IF(Skills!A8="ENHANCED_RAGING_BLOW",IF(Inputs!$B$3&gt;=134,MAX(0,IF(Inputs!$B$3&gt;=110,7,5)-5)*50,0),0)/100)*(1+(IF(Skills!A8="RAGING_BLOW",Inputs!$B$17+Artifacts!$B$40,Inputs!$B$18+Artifacts!$B$39))/100)*(Summary!$B$13*(1+(Artifacts!$B$38+Artifacts!$B$36)/100)*I8)</f>
        <v/>
      </c>
      <c r="L8">
        <f>K8*(MIN(Inputs!$B$22,Inputs!$B$23)/100+Inputs!$B$23/100)/2</f>
        <v/>
      </c>
      <c r="M8">
        <f>L8*(1+(Inputs!$B$10+Summary!$B$20+Artifacts!$B$33)/100)</f>
        <v/>
      </c>
      <c r="N8">
        <f>L8*(1-MIN((Inputs!$B$9+Summary!$B$14+Artifacts!$B$32),100)/100)+M8*(MIN((Inputs!$B$9+Summary!$B$14+Artifacts!$B$32),100)/100)</f>
        <v/>
      </c>
      <c r="O8">
        <f>(1-Summary!$B$11)*T8+Summary!$B$11*V8</f>
        <v/>
      </c>
      <c r="P8">
        <f>IF(Summary!$B$3=0,0,O8/Summary!$B$3)</f>
        <v/>
      </c>
      <c r="Q8">
        <f>IFERROR(1/(IF(Inputs!$B$38="pvp",15,MAX(0.1,Skills!D8-IF(Skills!E8=TRUE,Inputs!$B$32,0)))*(1-IF(AND(ArtifactsInput!$M$27,Inputs!$B$4="Chapter Hunt"),CHOOSE(ArtifactsInput!$N$27+1,20,24,28,32,36,40),0)/100)),0)</f>
        <v/>
      </c>
      <c r="R8">
        <f>IF(AND(Inputs!$B$38&lt;&gt;"pvp",Inputs!$B$43&gt;0),IF(MAX(0,Inputs!$B$43-Summary!$B$23)&lt;=0,0,(INT(MAX(0,Inputs!$B$43-Summary!$B$23)/(IF(Inputs!$B$38="pvp",15,MAX(0.1,Skills!D8-IF(Skills!E8=TRUE,Inputs!$B$32,0)))*(1-IF(AND(ArtifactsInput!$M$27,Inputs!$B$4="Chapter Hunt"),CHOOSE(ArtifactsInput!$N$27+1,20,24,28,32,36,40),0)/100)))+1)),0)</f>
        <v/>
      </c>
      <c r="S8">
        <f>IFERROR(O8/N8,0)</f>
        <v/>
      </c>
      <c r="T8">
        <f>IF(C8,(H8*N8*IF(AND(Inputs!$B$38&lt;&gt;"pvp",Inputs!$B$43&gt;0),((Skills!G8*((R8-1)*IF(Skills!H8&gt;0,Skills!I8/Skills!H8,1)+IF(Skills!H8&gt;0,MIN(Skills!I8,MAX(0,MAX(0,Inputs!$B$43-Summary!$B$23)-((R8-1)*(IF(Inputs!$B$38="pvp",15,MAX(0.1,Skills!D8-IF(Skills!E8=TRUE,Inputs!$B$32,0)))*(1-IF(AND(ArtifactsInput!$M$27,Inputs!$B$4="Chapter Hunt"),CHOOSE(ArtifactsInput!$N$27+1,20,24,28,32,36,40),0)/100)))))/Skills!H8,1)))/Inputs!$B$43),G8*Q8))*IF(Inputs!$B$38="pvp",1,1+(Inputs!$B$20+Skills!P8+Summary!$B$15+Artifacts!$B$35)/100)*((((5000/(6000+Inputs!$B$42*(1-(100*(1-(1-Inputs!$B$19/100)*(1-Artifacts!$B$51/100)^IF(Inputs!$B$38="pvp",1,2)))/100)))/(5000/(6000+Inputs!$B$42*(1-Inputs!$B$19/100))))*((L8*(1-MIN(100,(Inputs!$B$9+Summary!$B$14+Artifacts!$B$32)+Artifacts!$B$69)/100)+M8*(MIN(100,(Inputs!$B$9+Summary!$B$14+Artifacts!$B$32)+Artifacts!$B$69)/100))/(L8*(1-MIN(100,(Inputs!$B$9+Summary!$B$14+Artifacts!$B$32))/100)+M8*(MIN(100,(Inputs!$B$9+Summary!$B$14+Artifacts!$B$32))/100)))*(1+Artifacts!$B$81/100))),0)</f>
        <v/>
      </c>
      <c r="V8">
        <f>IF(C8,(H8*N8*IF(AND(Inputs!$B$38&lt;&gt;"pvp",Inputs!$B$43&gt;0),((Skills!G8*((R8-1)*IF(Skills!H8&gt;0,Skills!I8/Skills!H8,1)+IF(Skills!H8&gt;0,MIN(Skills!I8,MAX(0,MAX(0,Inputs!$B$43-Summary!$B$23)-((R8-1)*(IF(Inputs!$B$38="pvp",15,MAX(0.1,Skills!D8-IF(Skills!E8=TRUE,Inputs!$B$32,0)))*(1-IF(AND(ArtifactsInput!$M$27,Inputs!$B$4="Chapter Hunt"),CHOOSE(ArtifactsInput!$N$27+1,20,24,28,32,36,40),0)/100)))))/Skills!H8,1)))/Inputs!$B$43),G8*Q8))*IF(Inputs!$B$38="pvp",1,(1+(Inputs!$B$21+Skills!Q8+Summary!$B$15+Artifacts!$B$80)/100)*(MIN(Skills!R8,Inputs!$B$37)))*((1+Artifacts!$B$53/100)),0)</f>
        <v/>
      </c>
    </row>
    <row r="9">
      <c r="A9">
        <f>Skills!A9</f>
        <v/>
      </c>
      <c r="B9">
        <f>Skills!B9</f>
        <v/>
      </c>
      <c r="C9">
        <f>Inputs!$B$3&gt;=69</f>
        <v/>
      </c>
      <c r="D9">
        <f>IF(Skills!C9=1,60+Inputs!$B$25+Inputs!$B$29,IF(Skills!C9=2,90+Inputs!$B$26+Inputs!$B$29,IF(Skills!C9=3,120+Inputs!$B$27+Inputs!$B$29,MAX(0,(Inputs!$B$3-100)*3)+Inputs!$B$28+Inputs!$B$29)))</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Summary!$B$6*(F9/100)</f>
        <v/>
      </c>
      <c r="K9">
        <f>J9*(1+Summary!$B$7/100)*(1+Inputs!$B$15/100)*(1+Inputs!$B$16/100)*(5000/(6000+Inputs!$B$42*(1-Inputs!$B$19/100)))*(1+(Inputs!$B$24+Summary!$B$21)/100)*(1+Artifacts!$B$34/100)*(1+1.0*IF(C12=TRUE,F12,0)/100)*(1+IF(Skills!A9="ENHANCED_RAGING_BLOW",IF(Inputs!$B$3&gt;=134,MAX(0,IF(Inputs!$B$3&gt;=110,7,5)-5)*50,0),0)/100)*(1+(IF(Skills!A9="RAGING_BLOW",Inputs!$B$17+Artifacts!$B$40,Inputs!$B$18+Artifacts!$B$39))/100)*(Summary!$B$13*(1+(Artifacts!$B$38+Artifacts!$B$36)/100)*I9)</f>
        <v/>
      </c>
      <c r="L9">
        <f>K9*(MIN(Inputs!$B$22,Inputs!$B$23)/100+Inputs!$B$23/100)/2</f>
        <v/>
      </c>
      <c r="M9">
        <f>L9*(1+(Inputs!$B$10+Summary!$B$20+Artifacts!$B$33)/100)</f>
        <v/>
      </c>
      <c r="N9">
        <f>L9*(1-MIN((Inputs!$B$9+Summary!$B$14+Artifacts!$B$32),100)/100)+M9*(MIN((Inputs!$B$9+Summary!$B$14+Artifacts!$B$32),100)/100)</f>
        <v/>
      </c>
      <c r="O9">
        <f>(1-Summary!$B$11)*T9+Summary!$B$11*V9</f>
        <v/>
      </c>
      <c r="P9">
        <f>IF(Summary!$B$3=0,0,O9/Summary!$B$3)</f>
        <v/>
      </c>
      <c r="Q9">
        <f>IFERROR(1/(IF(Inputs!$B$38="pvp",15,MAX(0.1,Skills!D9-IF(Skills!E9=TRUE,Inputs!$B$32,0)))*(1-IF(AND(ArtifactsInput!$M$27,Inputs!$B$4="Chapter Hunt"),CHOOSE(ArtifactsInput!$N$27+1,20,24,28,32,36,40),0)/100)),0)</f>
        <v/>
      </c>
      <c r="R9">
        <f>IF(AND(Inputs!$B$38&lt;&gt;"pvp",Inputs!$B$43&gt;0),IF(MAX(0,Inputs!$B$43-Summary!$B$23)&lt;=0,0,(INT(MAX(0,Inputs!$B$43-Summary!$B$23)/(IF(Inputs!$B$38="pvp",15,MAX(0.1,Skills!D9-IF(Skills!E9=TRUE,Inputs!$B$32,0)))*(1-IF(AND(ArtifactsInput!$M$27,Inputs!$B$4="Chapter Hunt"),CHOOSE(ArtifactsInput!$N$27+1,20,24,28,32,36,40),0)/100)))+1)),0)</f>
        <v/>
      </c>
      <c r="S9">
        <f>IFERROR(O9/N9,0)</f>
        <v/>
      </c>
      <c r="T9">
        <f>IF(C9,(H9*N9*IF(AND(Inputs!$B$38&lt;&gt;"pvp",Inputs!$B$43&gt;0),((Skills!G9*((R9-1)*IF(Skills!H9&gt;0,Skills!I9/Skills!H9,1)+IF(Skills!H9&gt;0,MIN(Skills!I9,MAX(0,MAX(0,Inputs!$B$43-Summary!$B$23)-((R9-1)*(IF(Inputs!$B$38="pvp",15,MAX(0.1,Skills!D9-IF(Skills!E9=TRUE,Inputs!$B$32,0)))*(1-IF(AND(ArtifactsInput!$M$27,Inputs!$B$4="Chapter Hunt"),CHOOSE(ArtifactsInput!$N$27+1,20,24,28,32,36,40),0)/100)))))/Skills!H9,1)))/Inputs!$B$43),G9*Q9))*IF(Inputs!$B$38="pvp",1,1+(Inputs!$B$20+Skills!P9+Summary!$B$15+Artifacts!$B$35)/100)*((((5000/(6000+Inputs!$B$42*(1-(100*(1-(1-Inputs!$B$19/100)*(1-Artifacts!$B$51/100)^IF(Inputs!$B$38="pvp",1,2)))/100)))/(5000/(6000+Inputs!$B$42*(1-Inputs!$B$19/100))))*((L9*(1-MIN(100,(Inputs!$B$9+Summary!$B$14+Artifacts!$B$32)+Artifacts!$B$69)/100)+M9*(MIN(100,(Inputs!$B$9+Summary!$B$14+Artifacts!$B$32)+Artifacts!$B$69)/100))/(L9*(1-MIN(100,(Inputs!$B$9+Summary!$B$14+Artifacts!$B$32))/100)+M9*(MIN(100,(Inputs!$B$9+Summary!$B$14+Artifacts!$B$32))/100)))*(1+Artifacts!$B$81/100))),0)</f>
        <v/>
      </c>
      <c r="V9">
        <f>IF(C9,(H9*N9*IF(AND(Inputs!$B$38&lt;&gt;"pvp",Inputs!$B$43&gt;0),((Skills!G9*((R9-1)*IF(Skills!H9&gt;0,Skills!I9/Skills!H9,1)+IF(Skills!H9&gt;0,MIN(Skills!I9,MAX(0,MAX(0,Inputs!$B$43-Summary!$B$23)-((R9-1)*(IF(Inputs!$B$38="pvp",15,MAX(0.1,Skills!D9-IF(Skills!E9=TRUE,Inputs!$B$32,0)))*(1-IF(AND(ArtifactsInput!$M$27,Inputs!$B$4="Chapter Hunt"),CHOOSE(ArtifactsInput!$N$27+1,20,24,28,32,36,40),0)/100)))))/Skills!H9,1)))/Inputs!$B$43),G9*Q9))*IF(Inputs!$B$38="pvp",1,(1+(Inputs!$B$21+Skills!Q9+Summary!$B$15+Artifacts!$B$80)/100)*(MIN(Skills!R9,Inputs!$B$37)))*((1+Artifacts!$B$53/100)),0)</f>
        <v/>
      </c>
    </row>
    <row r="10">
      <c r="A10">
        <f>Skills!A10</f>
        <v/>
      </c>
      <c r="B10">
        <f>Skills!B10</f>
        <v/>
      </c>
      <c r="C10">
        <f>Inputs!$B$3&gt;=63</f>
        <v/>
      </c>
      <c r="D10">
        <f>IF(Skills!C10=1,60+Inputs!$B$25+Inputs!$B$29,IF(Skills!C10=2,90+Inputs!$B$26+Inputs!$B$29,IF(Skills!C10=3,120+Inputs!$B$27+Inputs!$B$29,MAX(0,(Inputs!$B$3-100)*3)+Inputs!$B$28+Inputs!$B$29)))</f>
        <v/>
      </c>
      <c r="E10">
        <f>INDEX(FactorTable!$B$2:$Y$301, MATCH(ROUND(MIN(300,MAX(1,D10)),0), FactorTable!$A$2:$A$301,0), Skills!M10+1)</f>
        <v/>
      </c>
      <c r="F10">
        <f>IF(Skills!N10=TRUE,(Skills!L10/10)*(E10/1000),Skills!L10/10)+Skills!O10</f>
        <v/>
      </c>
      <c r="G10">
        <f>Skills!G10*IF(Skills!H10&gt;0,Skills!I10/Skills!H10,1)</f>
        <v/>
      </c>
      <c r="H10">
        <f>1-(1-Skills!J10/100)^Skills!K10</f>
        <v/>
      </c>
      <c r="I10" t="inlineStr">
        <is>
          <t>1</t>
        </is>
      </c>
      <c r="J10">
        <f>Summary!$B$6*(F10/100)</f>
        <v/>
      </c>
      <c r="K10">
        <f>J10*(1+Summary!$B$7/100)*(1+Inputs!$B$15/100)*(1+Inputs!$B$16/100)*(5000/(6000+Inputs!$B$42*(1-Inputs!$B$19/100)))*(1+(Inputs!$B$24+Summary!$B$21)/100)*(1+Artifacts!$B$34/100)*(1+1.5*IF(C12=TRUE,F12,0)/100)*(1+IF(Skills!A10="ENHANCED_RAGING_BLOW",IF(Inputs!$B$3&gt;=134,MAX(0,IF(Inputs!$B$3&gt;=110,7,5)-5)*50,0),0)/100)*(1+(IF(Skills!A10="RAGING_BLOW",Inputs!$B$17+Artifacts!$B$40,Inputs!$B$18+Artifacts!$B$39))/100)*(Summary!$B$13*(1+(Artifacts!$B$38+Artifacts!$B$36)/100)*I10)</f>
        <v/>
      </c>
      <c r="L10">
        <f>K10*(MIN(Inputs!$B$22,Inputs!$B$23)/100+Inputs!$B$23/100)/2</f>
        <v/>
      </c>
      <c r="M10">
        <f>L10*(1+(Inputs!$B$10+Summary!$B$20+Artifacts!$B$33)/100)</f>
        <v/>
      </c>
      <c r="N10">
        <f>L10*(1-MIN((Inputs!$B$9+Summary!$B$14+Artifacts!$B$32),100)/100)+M10*(MIN((Inputs!$B$9+Summary!$B$14+Artifacts!$B$32),100)/100)</f>
        <v/>
      </c>
      <c r="O10">
        <f>(1-Summary!$B$11)*T10+Summary!$B$11*V10</f>
        <v/>
      </c>
      <c r="P10">
        <f>IF(Summary!$B$3=0,0,O10/Summary!$B$3)</f>
        <v/>
      </c>
      <c r="Q10">
        <f>IFERROR(1/(IF(Inputs!$B$38="pvp",15,MAX(0.1,Skills!D10-IF(Skills!E10=TRUE,Inputs!$B$32,0)))*(1-IF(AND(ArtifactsInput!$M$27,Inputs!$B$4="Chapter Hunt"),CHOOSE(ArtifactsInput!$N$27+1,20,24,28,32,36,40),0)/100)),0)</f>
        <v/>
      </c>
      <c r="R10">
        <f>IF(AND(Inputs!$B$38&lt;&gt;"pvp",Inputs!$B$43&gt;0),IF(MAX(0,Inputs!$B$43-Summary!$B$23)&lt;=0,0,(INT(MAX(0,Inputs!$B$43-Summary!$B$23)/(IF(Inputs!$B$38="pvp",15,MAX(0.1,Skills!D10-IF(Skills!E10=TRUE,Inputs!$B$32,0)))*(1-IF(AND(ArtifactsInput!$M$27,Inputs!$B$4="Chapter Hunt"),CHOOSE(ArtifactsInput!$N$27+1,20,24,28,32,36,40),0)/100)))+1)),0)</f>
        <v/>
      </c>
      <c r="S10">
        <f>IFERROR(O10/N10,0)</f>
        <v/>
      </c>
      <c r="T10">
        <f>IF(C10,(H10*N10*IF(AND(Inputs!$B$38&lt;&gt;"pvp",Inputs!$B$43&gt;0),((Skills!G10*((R10-1)*IF(Skills!H10&gt;0,Skills!I10/Skills!H10,1)+IF(Skills!H10&gt;0,MIN(Skills!I10,MAX(0,MAX(0,Inputs!$B$43-Summary!$B$23)-((R10-1)*(IF(Inputs!$B$38="pvp",15,MAX(0.1,Skills!D10-IF(Skills!E10=TRUE,Inputs!$B$32,0)))*(1-IF(AND(ArtifactsInput!$M$27,Inputs!$B$4="Chapter Hunt"),CHOOSE(ArtifactsInput!$N$27+1,20,24,28,32,36,40),0)/100)))))/Skills!H10,1)))/Inputs!$B$43),G10*Q10))*IF(Inputs!$B$38="pvp",1,1+(Inputs!$B$20+Skills!P10+Summary!$B$15+Artifacts!$B$35)/100)*((((5000/(6000+Inputs!$B$42*(1-(100*(1-(1-Inputs!$B$19/100)*(1-Artifacts!$B$51/100)^IF(Inputs!$B$38="pvp",1,2)))/100)))/(5000/(6000+Inputs!$B$42*(1-Inputs!$B$19/100))))*((L10*(1-MIN(100,(Inputs!$B$9+Summary!$B$14+Artifacts!$B$32)+Artifacts!$B$69)/100)+M10*(MIN(100,(Inputs!$B$9+Summary!$B$14+Artifacts!$B$32)+Artifacts!$B$69)/100))/(L10*(1-MIN(100,(Inputs!$B$9+Summary!$B$14+Artifacts!$B$32))/100)+M10*(MIN(100,(Inputs!$B$9+Summary!$B$14+Artifacts!$B$32))/100)))*(1+Artifacts!$B$81/100))),0)</f>
        <v/>
      </c>
      <c r="V10">
        <f>IF(C10,(H10*N10*IF(AND(Inputs!$B$38&lt;&gt;"pvp",Inputs!$B$43&gt;0),((Skills!G10*((R10-1)*IF(Skills!H10&gt;0,Skills!I10/Skills!H10,1)+IF(Skills!H10&gt;0,MIN(Skills!I10,MAX(0,MAX(0,Inputs!$B$43-Summary!$B$23)-((R10-1)*(IF(Inputs!$B$38="pvp",15,MAX(0.1,Skills!D10-IF(Skills!E10=TRUE,Inputs!$B$32,0)))*(1-IF(AND(ArtifactsInput!$M$27,Inputs!$B$4="Chapter Hunt"),CHOOSE(ArtifactsInput!$N$27+1,20,24,28,32,36,40),0)/100)))))/Skills!H10,1)))/Inputs!$B$43),G10*Q10))*IF(Inputs!$B$38="pvp",1,(1+(Inputs!$B$21+Skills!Q10+Summary!$B$15+Artifacts!$B$80)/100)*(MIN(Skills!R10,Inputs!$B$37)))*((1+Artifacts!$B$53/100)),0)</f>
        <v/>
      </c>
    </row>
    <row r="11">
      <c r="A11">
        <f>Skills!A11</f>
        <v/>
      </c>
      <c r="B11">
        <f>Skills!B11</f>
        <v/>
      </c>
      <c r="C11">
        <f>Inputs!$B$3&gt;=35</f>
        <v/>
      </c>
      <c r="D11">
        <f>IF(Skills!C11=1,60+Inputs!$B$25+Inputs!$B$29,IF(Skills!C11=2,90+Inputs!$B$26+Inputs!$B$29,IF(Skills!C11=3,120+Inputs!$B$27+Inputs!$B$29,MAX(0,(Inputs!$B$3-100)*3)+Inputs!$B$28+Inputs!$B$29)))</f>
        <v/>
      </c>
      <c r="E11">
        <f>INDEX(FactorTable!$B$2:$Y$301, MATCH(ROUND(MIN(300,MAX(1,D11)),0), FactorTable!$A$2:$A$301,0), Skills!M11+1)</f>
        <v/>
      </c>
      <c r="F11">
        <f>IF(Skills!N11=TRUE,(Skills!L11/10)*(E11/1000),Skills!L11/10)+Skills!O11</f>
        <v/>
      </c>
      <c r="G11">
        <f>Skills!G11*IF(Skills!H11&gt;0,Skills!I11/Skills!H11,1)</f>
        <v/>
      </c>
      <c r="H11">
        <f>1-(1-Skills!J11/100)^Skills!K11</f>
        <v/>
      </c>
      <c r="I11" t="inlineStr">
        <is>
          <t>1</t>
        </is>
      </c>
      <c r="J11">
        <f>Summary!$B$6*(F11/100)</f>
        <v/>
      </c>
      <c r="K11">
        <f>J11*(1+Summary!$B$7/100)*(1+Inputs!$B$15/100)*(1+Inputs!$B$16/100)*(5000/(6000+Inputs!$B$42*(1-Inputs!$B$19/100)))*(1+(Inputs!$B$24+Summary!$B$21)/100)*(1+Artifacts!$B$34/100)*(1+4.0*IF(C12=TRUE,F12,0)/100)*(1+IF(Skills!A11="ENHANCED_RAGING_BLOW",IF(Inputs!$B$3&gt;=134,MAX(0,IF(Inputs!$B$3&gt;=110,7,5)-5)*50,0),0)/100)*(1+(IF(Skills!A11="RAGING_BLOW",Inputs!$B$17+Artifacts!$B$40,Inputs!$B$18+Artifacts!$B$39))/100)*(Summary!$B$13*(1+(Artifacts!$B$38+Artifacts!$B$36)/100)*I11)</f>
        <v/>
      </c>
      <c r="L11">
        <f>K11*(MIN(Inputs!$B$22,Inputs!$B$23)/100+Inputs!$B$23/100)/2</f>
        <v/>
      </c>
      <c r="M11">
        <f>L11*(1+(Inputs!$B$10+Summary!$B$20+Artifacts!$B$33)/100)</f>
        <v/>
      </c>
      <c r="N11">
        <f>L11*(1-MIN((Inputs!$B$9+Summary!$B$14+Artifacts!$B$32),100)/100)+M11*(MIN((Inputs!$B$9+Summary!$B$14+Artifacts!$B$32),100)/100)</f>
        <v/>
      </c>
      <c r="O11">
        <f>(1-Summary!$B$11)*T11+Summary!$B$11*V11</f>
        <v/>
      </c>
      <c r="P11">
        <f>IF(Summary!$B$3=0,0,O11/Summary!$B$3)</f>
        <v/>
      </c>
      <c r="Q11">
        <f>IFERROR(1/(IF(Inputs!$B$38="pvp",15,MAX(0.1,Skills!D11-IF(Skills!E11=TRUE,Inputs!$B$32,0)))*(1-IF(AND(ArtifactsInput!$M$27,Inputs!$B$4="Chapter Hunt"),CHOOSE(ArtifactsInput!$N$27+1,20,24,28,32,36,40),0)/100)),0)</f>
        <v/>
      </c>
      <c r="R11">
        <f>IF(AND(Inputs!$B$38&lt;&gt;"pvp",Inputs!$B$43&gt;0),IF(MAX(0,Inputs!$B$43-Summary!$B$23)&lt;=0,0,(INT(MAX(0,Inputs!$B$43-Summary!$B$23)/(IF(Inputs!$B$38="pvp",15,MAX(0.1,Skills!D11-IF(Skills!E11=TRUE,Inputs!$B$32,0)))*(1-IF(AND(ArtifactsInput!$M$27,Inputs!$B$4="Chapter Hunt"),CHOOSE(ArtifactsInput!$N$27+1,20,24,28,32,36,40),0)/100)))+1)),0)</f>
        <v/>
      </c>
      <c r="S11">
        <f>IFERROR(O11/N11,0)</f>
        <v/>
      </c>
      <c r="T11">
        <f>IF(C11,(H11*N11*IF(AND(Inputs!$B$38&lt;&gt;"pvp",Inputs!$B$43&gt;0),((Skills!G11*((R11-1)*IF(Skills!H11&gt;0,Skills!I11/Skills!H11,1)+IF(Skills!H11&gt;0,MIN(Skills!I11,MAX(0,MAX(0,Inputs!$B$43-Summary!$B$23)-((R11-1)*(IF(Inputs!$B$38="pvp",15,MAX(0.1,Skills!D11-IF(Skills!E11=TRUE,Inputs!$B$32,0)))*(1-IF(AND(ArtifactsInput!$M$27,Inputs!$B$4="Chapter Hunt"),CHOOSE(ArtifactsInput!$N$27+1,20,24,28,32,36,40),0)/100)))))/Skills!H11,1)))/Inputs!$B$43),G11*Q11))*IF(Inputs!$B$38="pvp",1,1+(Inputs!$B$20+Skills!P11+Summary!$B$15+Artifacts!$B$35)/100)*((((5000/(6000+Inputs!$B$42*(1-(100*(1-(1-Inputs!$B$19/100)*(1-Artifacts!$B$51/100)^IF(Inputs!$B$38="pvp",1,2)))/100)))/(5000/(6000+Inputs!$B$42*(1-Inputs!$B$19/100))))*((L11*(1-MIN(100,(Inputs!$B$9+Summary!$B$14+Artifacts!$B$32)+Artifacts!$B$69)/100)+M11*(MIN(100,(Inputs!$B$9+Summary!$B$14+Artifacts!$B$32)+Artifacts!$B$69)/100))/(L11*(1-MIN(100,(Inputs!$B$9+Summary!$B$14+Artifacts!$B$32))/100)+M11*(MIN(100,(Inputs!$B$9+Summary!$B$14+Artifacts!$B$32))/100)))*(1+Artifacts!$B$81/100))),0)</f>
        <v/>
      </c>
      <c r="V11">
        <f>IF(C11,(H11*N11*IF(AND(Inputs!$B$38&lt;&gt;"pvp",Inputs!$B$43&gt;0),((Skills!G11*((R11-1)*IF(Skills!H11&gt;0,Skills!I11/Skills!H11,1)+IF(Skills!H11&gt;0,MIN(Skills!I11,MAX(0,MAX(0,Inputs!$B$43-Summary!$B$23)-((R11-1)*(IF(Inputs!$B$38="pvp",15,MAX(0.1,Skills!D11-IF(Skills!E11=TRUE,Inputs!$B$32,0)))*(1-IF(AND(ArtifactsInput!$M$27,Inputs!$B$4="Chapter Hunt"),CHOOSE(ArtifactsInput!$N$27+1,20,24,28,32,36,40),0)/100)))))/Skills!H11,1)))/Inputs!$B$43),G11*Q11))*IF(Inputs!$B$38="pvp",1,(1+(Inputs!$B$21+Skills!Q11+Summary!$B$15+Artifacts!$B$80)/100)*(MIN(Skills!R11,Inputs!$B$37)))*((1+Artifacts!$B$53/100)),0)</f>
        <v/>
      </c>
    </row>
    <row r="12">
      <c r="A12">
        <f>Skills!A12</f>
        <v/>
      </c>
      <c r="B12">
        <f>Skills!B12</f>
        <v/>
      </c>
      <c r="C12">
        <f>Inputs!$B$3&gt;=100</f>
        <v/>
      </c>
      <c r="D12">
        <f>IF(Skills!C12=1,60+Inputs!$B$25+Inputs!$B$29,IF(Skills!C12=2,90+Inputs!$B$26+Inputs!$B$29,IF(Skills!C12=3,120+Inputs!$B$27+Inputs!$B$29,MAX(0,(Inputs!$B$3-100)*3)+Inputs!$B$28+Inputs!$B$29)))</f>
        <v/>
      </c>
      <c r="E12">
        <f>INDEX(FactorTable!$B$2:$Y$301, MATCH(ROUND(MIN(300,MAX(1,D12)),0), FactorTable!$A$2:$A$301,0), Skills!M12+1)</f>
        <v/>
      </c>
      <c r="F12">
        <f>IF(Skills!N12=TRUE,(Skills!L12/10)*(E12/1000),Skills!L12/10)+Skills!O12</f>
        <v/>
      </c>
      <c r="G12" t="inlineStr"/>
      <c r="H12" t="inlineStr"/>
      <c r="I12" t="inlineStr">
        <is>
          <t>1</t>
        </is>
      </c>
      <c r="J12" t="inlineStr"/>
      <c r="K12" t="inlineStr"/>
      <c r="L12" t="inlineStr"/>
      <c r="M12" t="inlineStr"/>
      <c r="N12" t="inlineStr"/>
      <c r="O12" t="inlineStr"/>
      <c r="P12" t="inlineStr"/>
      <c r="Q12" t="inlineStr"/>
      <c r="R12" t="inlineStr"/>
      <c r="S12" t="inlineStr"/>
    </row>
    <row r="13">
      <c r="A13">
        <f>Skills!A13</f>
        <v/>
      </c>
      <c r="B13">
        <f>Skills!B13</f>
        <v/>
      </c>
      <c r="C13">
        <f>Inputs!$B$3&gt;=45</f>
        <v/>
      </c>
      <c r="D13">
        <f>IF(Skills!C13=1,60+Inputs!$B$25+Inputs!$B$29,IF(Skills!C13=2,90+Inputs!$B$26+Inputs!$B$29,IF(Skills!C13=3,120+Inputs!$B$27+Inputs!$B$29,MAX(0,(Inputs!$B$3-100)*3)+Inputs!$B$28+Inputs!$B$29)))</f>
        <v/>
      </c>
      <c r="E13">
        <f>INDEX(FactorTable!$B$2:$Y$301, MATCH(ROUND(MIN(300,MAX(1,D13)),0), FactorTable!$A$2:$A$301,0), Skills!M13+1)</f>
        <v/>
      </c>
      <c r="F13">
        <f>IF(Skills!N13=TRUE,(Skills!L13/10)*(E13/1000),Skills!L13/10)+Skills!O13</f>
        <v/>
      </c>
      <c r="G13">
        <f>Skills!G13*IF(Skills!H13&gt;0,Skills!I13/Skills!H13,1)</f>
        <v/>
      </c>
      <c r="H13">
        <f>1-(1-Skills!J13/100)^Skills!K13</f>
        <v/>
      </c>
      <c r="I13" t="inlineStr">
        <is>
          <t>1</t>
        </is>
      </c>
      <c r="J13" t="inlineStr"/>
      <c r="K13" t="inlineStr"/>
      <c r="L13" t="inlineStr"/>
      <c r="M13" t="inlineStr"/>
      <c r="N13" t="inlineStr"/>
      <c r="O13">
        <f>(1-Summary!$B$11)*T13+Summary!$B$11*V13</f>
        <v/>
      </c>
      <c r="P13">
        <f>IF(Summary!$B$3=0,0,O13/Summary!$B$3)</f>
        <v/>
      </c>
      <c r="Q13" t="n">
        <v>0</v>
      </c>
      <c r="R13" t="n">
        <v>0</v>
      </c>
      <c r="S13">
        <f>IFERROR(O13/N13,0)</f>
        <v/>
      </c>
      <c r="T13" t="n">
        <v>0</v>
      </c>
      <c r="V13" t="n">
        <v>0</v>
      </c>
    </row>
    <row r="14">
      <c r="A14">
        <f>Skills!A14</f>
        <v/>
      </c>
      <c r="B14">
        <f>Skills!B14</f>
        <v/>
      </c>
      <c r="C14">
        <f>Inputs!$B$3&gt;=75</f>
        <v/>
      </c>
      <c r="D14">
        <f>IF(Skills!C14=1,60+Inputs!$B$25+Inputs!$B$29,IF(Skills!C14=2,90+Inputs!$B$26+Inputs!$B$29,IF(Skills!C14=3,120+Inputs!$B$27+Inputs!$B$29,MAX(0,(Inputs!$B$3-100)*3)+Inputs!$B$28+Inputs!$B$29)))</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t="inlineStr"/>
      <c r="K14" t="inlineStr"/>
      <c r="L14" t="inlineStr"/>
      <c r="M14" t="inlineStr"/>
      <c r="N14" t="inlineStr"/>
      <c r="O14">
        <f>(1-Summary!$B$11)*T14+Summary!$B$11*V14</f>
        <v/>
      </c>
      <c r="P14">
        <f>IF(Summary!$B$3=0,0,O14/Summary!$B$3)</f>
        <v/>
      </c>
      <c r="Q14" t="n">
        <v>0</v>
      </c>
      <c r="R14" t="n">
        <v>0</v>
      </c>
      <c r="S14">
        <f>IFERROR(O14/N14,0)</f>
        <v/>
      </c>
      <c r="T14" t="n">
        <v>0</v>
      </c>
      <c r="V14" t="n">
        <v>0</v>
      </c>
    </row>
    <row r="15">
      <c r="A15">
        <f>Skills!A15</f>
        <v/>
      </c>
      <c r="B15">
        <f>Skills!B15</f>
        <v/>
      </c>
      <c r="C15">
        <f>Inputs!$B$3&gt;=40</f>
        <v/>
      </c>
      <c r="D15">
        <f>IF(Skills!C15=1,60+Inputs!$B$25+Inputs!$B$29,IF(Skills!C15=2,90+Inputs!$B$26+Inputs!$B$29,IF(Skills!C15=3,120+Inputs!$B$27+Inputs!$B$29,MAX(0,(Inputs!$B$3-100)*3)+Inputs!$B$28+Inputs!$B$29)))</f>
        <v/>
      </c>
      <c r="E15">
        <f>INDEX(FactorTable!$B$2:$Y$301, MATCH(ROUND(MIN(300,MAX(1,D15)),0), FactorTable!$A$2:$A$301,0), Skills!M15+1)</f>
        <v/>
      </c>
      <c r="F15">
        <f>IF(Skills!N15=TRUE,(Skills!L15/10)*(E15/1000),Skills!L15/10)+Skills!O15</f>
        <v/>
      </c>
      <c r="G15">
        <f>Skills!G15*IF(Skills!H15&gt;0,Skills!I15/Skills!H15,1)</f>
        <v/>
      </c>
      <c r="H15">
        <f>1-(1-Skills!J15/100)^Skills!K15</f>
        <v/>
      </c>
      <c r="I15" t="inlineStr">
        <is>
          <t>1</t>
        </is>
      </c>
      <c r="J15" t="inlineStr"/>
      <c r="K15" t="inlineStr"/>
      <c r="L15" t="inlineStr"/>
      <c r="M15" t="inlineStr"/>
      <c r="N15" t="inlineStr"/>
      <c r="O15">
        <f>(1-Summary!$B$11)*T15+Summary!$B$11*V15</f>
        <v/>
      </c>
      <c r="P15">
        <f>IF(Summary!$B$3=0,0,O15/Summary!$B$3)</f>
        <v/>
      </c>
      <c r="Q15">
        <f>IFERROR(1/(IF(Inputs!$B$38="pvp",15,MAX(0.1,Skills!D15-IF(Skills!E15=TRUE,Inputs!$B$32,0)))*(1-IF(AND(ArtifactsInput!$M$27,Inputs!$B$4="Chapter Hunt"),CHOOSE(ArtifactsInput!$N$27+1,20,24,28,32,36,40),0)/100)),0)</f>
        <v/>
      </c>
      <c r="R15">
        <f>IF(AND(Inputs!$B$38&lt;&gt;"pvp",Inputs!$B$43&gt;0),IF(Inputs!$B$43&lt;=0,0,(INT(Inputs!$B$43/(IF(Inputs!$B$38="pvp",15,MAX(0.1,Skills!D15-IF(Skills!E15=TRUE,Inputs!$B$32,0)))*(1-IF(AND(ArtifactsInput!$M$27,Inputs!$B$4="Chapter Hunt"),CHOOSE(ArtifactsInput!$N$27+1,20,24,28,32,36,40),0)/100)))+1)),0)</f>
        <v/>
      </c>
      <c r="S15">
        <f>IFERROR(O15/N15,0)</f>
        <v/>
      </c>
      <c r="T15" t="n">
        <v>0</v>
      </c>
      <c r="V15" t="n">
        <v>0</v>
      </c>
    </row>
    <row r="16">
      <c r="A16">
        <f>Skills!A16</f>
        <v/>
      </c>
      <c r="B16">
        <f>Skills!B16</f>
        <v/>
      </c>
      <c r="C16">
        <f>Inputs!$B$3&gt;=66</f>
        <v/>
      </c>
      <c r="D16">
        <f>IF(Skills!C16=1,60+Inputs!$B$25+Inputs!$B$29,IF(Skills!C16=2,90+Inputs!$B$26+Inputs!$B$29,IF(Skills!C16=3,120+Inputs!$B$27+Inputs!$B$29,MAX(0,(Inputs!$B$3-100)*3)+Inputs!$B$28+Inputs!$B$29)))</f>
        <v/>
      </c>
      <c r="E16">
        <f>INDEX(FactorTable!$B$2:$Y$301, MATCH(ROUND(MIN(300,MAX(1,D16)),0), FactorTable!$A$2:$A$301,0), Skills!M16+1)</f>
        <v/>
      </c>
      <c r="F16">
        <f>IF(Skills!N16=TRUE,(Skills!L16/10)*(E16/1000),Skills!L16/10)+Skills!O16</f>
        <v/>
      </c>
      <c r="G16">
        <f>Skills!G16*IF(Skills!H16&gt;0,Skills!I16/Skills!H16,1)</f>
        <v/>
      </c>
      <c r="H16">
        <f>1-(1-Skills!J16/100)^Skills!K16</f>
        <v/>
      </c>
      <c r="I16" t="inlineStr">
        <is>
          <t>1</t>
        </is>
      </c>
      <c r="J16" t="inlineStr"/>
      <c r="K16" t="inlineStr"/>
      <c r="L16" t="inlineStr"/>
      <c r="M16" t="inlineStr"/>
      <c r="N16" t="inlineStr"/>
      <c r="O16">
        <f>(1-Summary!$B$11)*T16+Summary!$B$11*V16</f>
        <v/>
      </c>
      <c r="P16">
        <f>IF(Summary!$B$3=0,0,O16/Summary!$B$3)</f>
        <v/>
      </c>
      <c r="Q16">
        <f>IFERROR(1/(IF(Inputs!$B$38="pvp",15,MAX(0.1,Skills!D16-IF(Skills!E16=TRUE,Inputs!$B$32,0)))*(1-IF(AND(ArtifactsInput!$M$27,Inputs!$B$4="Chapter Hunt"),CHOOSE(ArtifactsInput!$N$27+1,20,24,28,32,36,40),0)/100)),0)</f>
        <v/>
      </c>
      <c r="R16">
        <f>IF(AND(Inputs!$B$38&lt;&gt;"pvp",Inputs!$B$43&gt;0),IF(Inputs!$B$43&lt;=0,0,(INT(Inputs!$B$43/(IF(Inputs!$B$38="pvp",15,MAX(0.1,Skills!D16-IF(Skills!E16=TRUE,Inputs!$B$32,0)))*(1-IF(AND(ArtifactsInput!$M$27,Inputs!$B$4="Chapter Hunt"),CHOOSE(ArtifactsInput!$N$27+1,20,24,28,32,36,40),0)/100)))+1)),0)</f>
        <v/>
      </c>
      <c r="S16">
        <f>IFERROR(O16/N16,0)</f>
        <v/>
      </c>
      <c r="T16" t="n">
        <v>0</v>
      </c>
      <c r="V16" t="n">
        <v>0</v>
      </c>
    </row>
    <row r="17">
      <c r="A17">
        <f>Skills!A17</f>
        <v/>
      </c>
      <c r="B17">
        <f>Skills!B17</f>
        <v/>
      </c>
      <c r="C17">
        <f>Inputs!$B$3&gt;=115</f>
        <v/>
      </c>
      <c r="D17">
        <f>IF(Skills!C17=1,60+Inputs!$B$25+Inputs!$B$29,IF(Skills!C17=2,90+Inputs!$B$26+Inputs!$B$29,IF(Skills!C17=3,120+Inputs!$B$27+Inputs!$B$29,MAX(0,(Inputs!$B$3-100)*3)+Inputs!$B$28+Inputs!$B$29)))</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f>(1-Summary!$B$11)*T17+Summary!$B$11*V17</f>
        <v/>
      </c>
      <c r="P17">
        <f>IF(Summary!$B$3=0,0,O17/Summary!$B$3)</f>
        <v/>
      </c>
      <c r="Q17">
        <f>IFERROR(1/(IF(Inputs!$B$38="pvp",15,MAX(0.1,Skills!D17-IF(Skills!E17=TRUE,Inputs!$B$32,0)))*(1-IF(AND(ArtifactsInput!$M$27,Inputs!$B$4="Chapter Hunt"),CHOOSE(ArtifactsInput!$N$27+1,20,24,28,32,36,40),0)/100)),0)</f>
        <v/>
      </c>
      <c r="R17">
        <f>IF(AND(Inputs!$B$38&lt;&gt;"pvp",Inputs!$B$43&gt;0),IF(Inputs!$B$43&lt;=0,0,(INT(Inputs!$B$43/(IF(Inputs!$B$38="pvp",15,MAX(0.1,Skills!D17-IF(Skills!E17=TRUE,Inputs!$B$32,0)))*(1-IF(AND(ArtifactsInput!$M$27,Inputs!$B$4="Chapter Hunt"),CHOOSE(ArtifactsInput!$N$27+1,20,24,28,32,36,40),0)/100)))+1)),0)</f>
        <v/>
      </c>
      <c r="S17">
        <f>IFERROR(O17/N17,0)</f>
        <v/>
      </c>
      <c r="T17" t="n">
        <v>0</v>
      </c>
      <c r="V17" t="n">
        <v>0</v>
      </c>
    </row>
    <row r="18">
      <c r="A18">
        <f>Skills!A18</f>
        <v/>
      </c>
      <c r="B18">
        <f>Skills!B18</f>
        <v/>
      </c>
      <c r="C18">
        <f>Inputs!$B$3&gt;=115</f>
        <v/>
      </c>
      <c r="D18">
        <f>IF(Skills!C18=1,60+Inputs!$B$25+Inputs!$B$29,IF(Skills!C18=2,90+Inputs!$B$26+Inputs!$B$29,IF(Skills!C18=3,120+Inputs!$B$27+Inputs!$B$29,MAX(0,(Inputs!$B$3-100)*3)+Inputs!$B$28+Inputs!$B$29)))</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f>(1-Summary!$B$11)*T18+Summary!$B$11*V18</f>
        <v/>
      </c>
      <c r="P18">
        <f>IF(Summary!$B$3=0,0,O18/Summary!$B$3)</f>
        <v/>
      </c>
      <c r="Q18">
        <f>IFERROR(1/(IF(Inputs!$B$38="pvp",15,MAX(0.1,Skills!D18-IF(Skills!E18=TRUE,Inputs!$B$32,0)))*(1-IF(AND(ArtifactsInput!$M$27,Inputs!$B$4="Chapter Hunt"),CHOOSE(ArtifactsInput!$N$27+1,20,24,28,32,36,40),0)/100)),0)</f>
        <v/>
      </c>
      <c r="R18">
        <f>IF(AND(Inputs!$B$38&lt;&gt;"pvp",Inputs!$B$43&gt;0),IF(Inputs!$B$43&lt;=0,0,(INT(Inputs!$B$43/(IF(Inputs!$B$38="pvp",15,MAX(0.1,Skills!D18-IF(Skills!E18=TRUE,Inputs!$B$32,0)))*(1-IF(AND(ArtifactsInput!$M$27,Inputs!$B$4="Chapter Hunt"),CHOOSE(ArtifactsInput!$N$27+1,20,24,28,32,36,40),0)/100)))+1)),0)</f>
        <v/>
      </c>
      <c r="S18">
        <f>IFERROR(O18/N18,0)</f>
        <v/>
      </c>
      <c r="T18" t="n">
        <v>0</v>
      </c>
      <c r="V18" t="n">
        <v>0</v>
      </c>
    </row>
    <row r="19">
      <c r="A19">
        <f>Skills!A19</f>
        <v/>
      </c>
      <c r="B19">
        <f>Skills!B19</f>
        <v/>
      </c>
      <c r="C19">
        <f>TRUE</f>
        <v/>
      </c>
      <c r="D19">
        <f>IF(Skills!C19=1,60+Inputs!$B$25+Inputs!$B$29,IF(Skills!C19=2,90+Inputs!$B$26+Inputs!$B$29,IF(Skills!C19=3,120+Inputs!$B$27+Inputs!$B$29,MAX(0,(Inputs!$B$3-100)*3)+Inputs!$B$28+Inputs!$B$29)))</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f>(1-Summary!$B$11)*T19+Summary!$B$11*V19</f>
        <v/>
      </c>
      <c r="P19">
        <f>IF(Summary!$B$3=0,0,O19/Summary!$B$3)</f>
        <v/>
      </c>
      <c r="Q19">
        <f>IFERROR(1/(IF(Inputs!$B$38="pvp",15,MAX(0.1,Skills!D19-IF(Skills!E19=TRUE,Inputs!$B$32,0)))*(1-IF(AND(ArtifactsInput!$M$27,Inputs!$B$4="Chapter Hunt"),CHOOSE(ArtifactsInput!$N$27+1,20,24,28,32,36,40),0)/100)),0)</f>
        <v/>
      </c>
      <c r="R19">
        <f>IF(AND(Inputs!$B$38&lt;&gt;"pvp",Inputs!$B$43&gt;0),IF(Inputs!$B$43&lt;=0,0,(INT(Inputs!$B$43/(IF(Inputs!$B$38="pvp",15,MAX(0.1,Skills!D19-IF(Skills!E19=TRUE,Inputs!$B$32,0)))*(1-IF(AND(ArtifactsInput!$M$27,Inputs!$B$4="Chapter Hunt"),CHOOSE(ArtifactsInput!$N$27+1,20,24,28,32,36,40),0)/100)))+1)),0)</f>
        <v/>
      </c>
      <c r="S19">
        <f>IFERROR(O19/N19,0)</f>
        <v/>
      </c>
      <c r="T19" t="n">
        <v>0</v>
      </c>
      <c r="V19" t="n">
        <v>0</v>
      </c>
    </row>
    <row r="20">
      <c r="A20">
        <f>Skills!A20</f>
        <v/>
      </c>
      <c r="B20">
        <f>Skills!B20</f>
        <v/>
      </c>
      <c r="C20">
        <f>Inputs!$B$3&gt;=33</f>
        <v/>
      </c>
      <c r="D20">
        <f>IF(Skills!C20=1,60+Inputs!$B$25+Inputs!$B$29,IF(Skills!C20=2,90+Inputs!$B$26+Inputs!$B$29,IF(Skills!C20=3,120+Inputs!$B$27+Inputs!$B$29,MAX(0,(Inputs!$B$3-100)*3)+Inputs!$B$28+Inputs!$B$29)))</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f>(1-Summary!$B$11)*T20+Summary!$B$11*V20</f>
        <v/>
      </c>
      <c r="P20">
        <f>IF(Summary!$B$3=0,0,O20/Summary!$B$3)</f>
        <v/>
      </c>
      <c r="Q20" t="n">
        <v>0</v>
      </c>
      <c r="R20" t="n">
        <v>0</v>
      </c>
      <c r="S20">
        <f>IFERROR(O20/N20,0)</f>
        <v/>
      </c>
      <c r="T20" t="n">
        <v>0</v>
      </c>
      <c r="V20" t="n">
        <v>0</v>
      </c>
    </row>
    <row r="21">
      <c r="A21">
        <f>Skills!A21</f>
        <v/>
      </c>
      <c r="B21">
        <f>Skills!B21</f>
        <v/>
      </c>
      <c r="C21">
        <f>Inputs!$B$3&gt;=38</f>
        <v/>
      </c>
      <c r="D21">
        <f>IF(Skills!C21=1,60+Inputs!$B$25+Inputs!$B$29,IF(Skills!C21=2,90+Inputs!$B$26+Inputs!$B$29,IF(Skills!C21=3,120+Inputs!$B$27+Inputs!$B$29,MAX(0,(Inputs!$B$3-100)*3)+Inputs!$B$28+Inputs!$B$29)))</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f>(1-Summary!$B$11)*T21+Summary!$B$11*V21</f>
        <v/>
      </c>
      <c r="P21">
        <f>IF(Summary!$B$3=0,0,O21/Summary!$B$3)</f>
        <v/>
      </c>
      <c r="Q21" t="n">
        <v>0</v>
      </c>
      <c r="R21" t="n">
        <v>0</v>
      </c>
      <c r="S21">
        <f>IFERROR(O21/N21,0)</f>
        <v/>
      </c>
      <c r="T21" t="n">
        <v>0</v>
      </c>
      <c r="V21" t="n">
        <v>0</v>
      </c>
    </row>
    <row r="22">
      <c r="A22">
        <f>Skills!A22</f>
        <v/>
      </c>
      <c r="B22">
        <f>Skills!B22</f>
        <v/>
      </c>
      <c r="C22">
        <f>Inputs!$B$3&gt;=43</f>
        <v/>
      </c>
      <c r="D22">
        <f>IF(Skills!C22=1,60+Inputs!$B$25+Inputs!$B$29,IF(Skills!C22=2,90+Inputs!$B$26+Inputs!$B$29,IF(Skills!C22=3,120+Inputs!$B$27+Inputs!$B$29,MAX(0,(Inputs!$B$3-100)*3)+Inputs!$B$28+Inputs!$B$29)))</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f>(1-Summary!$B$11)*T22+Summary!$B$11*V22</f>
        <v/>
      </c>
      <c r="P22">
        <f>IF(Summary!$B$3=0,0,O22/Summary!$B$3)</f>
        <v/>
      </c>
      <c r="Q22" t="n">
        <v>0</v>
      </c>
      <c r="R22" t="n">
        <v>0</v>
      </c>
      <c r="S22">
        <f>IFERROR(O22/N22,0)</f>
        <v/>
      </c>
      <c r="T22" t="n">
        <v>0</v>
      </c>
      <c r="V22" t="n">
        <v>0</v>
      </c>
    </row>
    <row r="23">
      <c r="A23">
        <f>Skills!A23</f>
        <v/>
      </c>
      <c r="B23">
        <f>Skills!B23</f>
        <v/>
      </c>
      <c r="C23">
        <f>Inputs!$B$3&gt;=120</f>
        <v/>
      </c>
      <c r="D23">
        <f>IF(Skills!C23=1,60+Inputs!$B$25+Inputs!$B$29,IF(Skills!C23=2,90+Inputs!$B$26+Inputs!$B$29,IF(Skills!C23=3,120+Inputs!$B$27+Inputs!$B$29,MAX(0,(Inputs!$B$3-100)*3)+Inputs!$B$28+Inputs!$B$29)))</f>
        <v/>
      </c>
      <c r="E23">
        <f>INDEX(FactorTable!$B$2:$Y$301, MATCH(ROUND(MIN(300,MAX(1,D23)),0), FactorTable!$A$2:$A$301,0), Skills!M23+1)</f>
        <v/>
      </c>
      <c r="F23">
        <f>IF(Skills!N23=TRUE,(Skills!L23/10)*(E23/1000),Skills!L23/10)+Skills!O23</f>
        <v/>
      </c>
      <c r="G23">
        <f>Skills!G23*IF(Skills!H23&gt;0,Skills!I23/Skills!H23,1)</f>
        <v/>
      </c>
      <c r="H23">
        <f>1-(1-Skills!J23/100)^Skills!K23</f>
        <v/>
      </c>
      <c r="I23" t="inlineStr">
        <is>
          <t>1</t>
        </is>
      </c>
      <c r="J23" t="inlineStr"/>
      <c r="K23" t="inlineStr"/>
      <c r="L23" t="inlineStr"/>
      <c r="M23" t="inlineStr"/>
      <c r="N23" t="inlineStr"/>
      <c r="O23">
        <f>(1-Summary!$B$11)*T23+Summary!$B$11*V23</f>
        <v/>
      </c>
      <c r="P23">
        <f>IF(Summary!$B$3=0,0,O23/Summary!$B$3)</f>
        <v/>
      </c>
      <c r="Q23" t="n">
        <v>0</v>
      </c>
      <c r="R23" t="n">
        <v>0</v>
      </c>
      <c r="S23">
        <f>IFERROR(O23/N23,0)</f>
        <v/>
      </c>
      <c r="T23" t="n">
        <v>0</v>
      </c>
      <c r="V23" t="n">
        <v>0</v>
      </c>
    </row>
    <row r="24">
      <c r="A24">
        <f>Skills!A24</f>
        <v/>
      </c>
      <c r="B24">
        <f>Skills!B24</f>
        <v/>
      </c>
      <c r="C24">
        <f>Inputs!$B$3&gt;=120</f>
        <v/>
      </c>
      <c r="D24">
        <f>IF(Skills!C24=1,60+Inputs!$B$25+Inputs!$B$29,IF(Skills!C24=2,90+Inputs!$B$26+Inputs!$B$29,IF(Skills!C24=3,120+Inputs!$B$27+Inputs!$B$29,MAX(0,(Inputs!$B$3-100)*3)+Inputs!$B$28+Inputs!$B$29)))</f>
        <v/>
      </c>
      <c r="E24">
        <f>INDEX(FactorTable!$B$2:$Y$301, MATCH(ROUND(MIN(300,MAX(1,D24)),0), FactorTable!$A$2:$A$301,0), Skills!M24+1)</f>
        <v/>
      </c>
      <c r="F24">
        <f>IF(Skills!N24=TRUE,(Skills!L24/10)*(E24/1000),Skills!L24/10)+Skills!O24</f>
        <v/>
      </c>
      <c r="G24">
        <f>Skills!G24*IF(Skills!H24&gt;0,Skills!I24/Skills!H24,1)</f>
        <v/>
      </c>
      <c r="H24">
        <f>1-(1-Skills!J24/100)^Skills!K24</f>
        <v/>
      </c>
      <c r="I24" t="inlineStr">
        <is>
          <t>1</t>
        </is>
      </c>
      <c r="J24" t="inlineStr"/>
      <c r="K24" t="inlineStr"/>
      <c r="L24" t="inlineStr"/>
      <c r="M24" t="inlineStr"/>
      <c r="N24" t="inlineStr"/>
      <c r="O24">
        <f>(1-Summary!$B$11)*T24+Summary!$B$11*V24</f>
        <v/>
      </c>
      <c r="P24">
        <f>IF(Summary!$B$3=0,0,O24/Summary!$B$3)</f>
        <v/>
      </c>
      <c r="Q24" t="n">
        <v>0</v>
      </c>
      <c r="R24" t="n">
        <v>0</v>
      </c>
      <c r="S24">
        <f>IFERROR(O24/N24,0)</f>
        <v/>
      </c>
      <c r="T24" t="n">
        <v>0</v>
      </c>
      <c r="V24" t="n">
        <v>0</v>
      </c>
    </row>
    <row r="25">
      <c r="A25">
        <f>Skills!A25</f>
        <v/>
      </c>
      <c r="B25">
        <f>Skills!B25</f>
        <v/>
      </c>
      <c r="C25">
        <f>Inputs!$B$3&gt;=125</f>
        <v/>
      </c>
      <c r="D25">
        <f>IF(Skills!C25=1,60+Inputs!$B$25+Inputs!$B$29,IF(Skills!C25=2,90+Inputs!$B$26+Inputs!$B$29,IF(Skills!C25=3,120+Inputs!$B$27+Inputs!$B$29,MAX(0,(Inputs!$B$3-100)*3)+Inputs!$B$28+Inputs!$B$29)))</f>
        <v/>
      </c>
      <c r="E25">
        <f>INDEX(FactorTable!$B$2:$Y$301, MATCH(ROUND(MIN(300,MAX(1,D25)),0), FactorTable!$A$2:$A$301,0), Skills!M25+1)</f>
        <v/>
      </c>
      <c r="F25">
        <f>IF(Skills!N25=TRUE,(Skills!L25/10)*(E25/1000),Skills!L25/10)+Skills!O25</f>
        <v/>
      </c>
      <c r="G25">
        <f>Skills!G25*IF(Skills!H25&gt;0,Skills!I25/Skills!H25,1)</f>
        <v/>
      </c>
      <c r="H25">
        <f>1-(1-Skills!J25/100)^Skills!K25</f>
        <v/>
      </c>
      <c r="I25" t="inlineStr">
        <is>
          <t>1</t>
        </is>
      </c>
      <c r="J25" t="inlineStr"/>
      <c r="K25" t="inlineStr"/>
      <c r="L25" t="inlineStr"/>
      <c r="M25" t="inlineStr"/>
      <c r="N25" t="inlineStr"/>
      <c r="O25">
        <f>(1-Summary!$B$11)*T25+Summary!$B$11*V25</f>
        <v/>
      </c>
      <c r="P25">
        <f>IF(Summary!$B$3=0,0,O25/Summary!$B$3)</f>
        <v/>
      </c>
      <c r="Q25" t="n">
        <v>0</v>
      </c>
      <c r="R25" t="n">
        <v>0</v>
      </c>
      <c r="S25">
        <f>IFERROR(O25/N25,0)</f>
        <v/>
      </c>
      <c r="T25" t="n">
        <v>0</v>
      </c>
      <c r="V25" t="n">
        <v>0</v>
      </c>
    </row>
    <row r="26">
      <c r="A26">
        <f>Skills!A26</f>
        <v/>
      </c>
      <c r="B26">
        <f>Skills!B26</f>
        <v/>
      </c>
      <c r="C26">
        <f>Inputs!$B$3&gt;=72</f>
        <v/>
      </c>
      <c r="D26">
        <f>IF(Skills!C26=1,60+Inputs!$B$25+Inputs!$B$29,IF(Skills!C26=2,90+Inputs!$B$26+Inputs!$B$29,IF(Skills!C26=3,120+Inputs!$B$27+Inputs!$B$29,MAX(0,(Inputs!$B$3-100)*3)+Inputs!$B$28+Inputs!$B$29)))</f>
        <v/>
      </c>
      <c r="E26">
        <f>INDEX(FactorTable!$B$2:$Y$301, MATCH(ROUND(MIN(300,MAX(1,D26)),0), FactorTable!$A$2:$A$301,0), Skills!M26+1)</f>
        <v/>
      </c>
      <c r="F26">
        <f>IF(Skills!N26=TRUE,(Skills!L26/10)*(E26/1000),Skills!L26/10)+Skills!O26</f>
        <v/>
      </c>
      <c r="G26">
        <f>Skills!G26*IF(Skills!H26&gt;0,Skills!I26/Skills!H26,1)</f>
        <v/>
      </c>
      <c r="H26">
        <f>1-(1-Skills!J26/100)^Skills!K26</f>
        <v/>
      </c>
      <c r="I26" t="inlineStr">
        <is>
          <t>1</t>
        </is>
      </c>
      <c r="J26" t="inlineStr"/>
      <c r="K26" t="inlineStr"/>
      <c r="L26" t="inlineStr"/>
      <c r="M26" t="inlineStr"/>
      <c r="N26" t="inlineStr"/>
      <c r="O26">
        <f>(1-Summary!$B$11)*T26+Summary!$B$11*V26</f>
        <v/>
      </c>
      <c r="P26">
        <f>IF(Summary!$B$3=0,0,O26/Summary!$B$3)</f>
        <v/>
      </c>
      <c r="Q26" t="n">
        <v>0</v>
      </c>
      <c r="R26" t="n">
        <v>0</v>
      </c>
      <c r="S26">
        <f>IFERROR(O26/N26,0)</f>
        <v/>
      </c>
      <c r="T26" t="n">
        <v>0</v>
      </c>
      <c r="V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Hero — DPS Summary</t>
        </is>
      </c>
    </row>
    <row r="3">
      <c r="A3" s="10" t="inlineStr">
        <is>
          <t>TOTAL DPS</t>
        </is>
      </c>
      <c r="B3" s="10">
        <f>SUM(Calc!O2:O26)</f>
        <v/>
      </c>
    </row>
    <row r="5">
      <c r="A5" s="9" t="inlineStr">
        <is>
          <t>Derived Values (read-only, computed from Inputs)</t>
        </is>
      </c>
    </row>
    <row r="6">
      <c r="A6" t="inlineStr">
        <is>
          <t>ATTACK (= Flat ATTACK x (1+ATTACK%/100))</t>
        </is>
      </c>
      <c r="B6">
        <f>Inputs!$B$6*(1+Inputs!$B$7/100)</f>
        <v/>
      </c>
    </row>
    <row r="7">
      <c r="A7" t="inlineStr">
        <is>
          <t>STAT_DAMAGE % (= 1% of total STR + 0.25% of DEX)</t>
        </is>
      </c>
      <c r="B7">
        <f>(Inputs!$B$12*(1+Inputs!$B$13/100))*0.01+Inputs!$B$14*0.0025</f>
        <v/>
      </c>
    </row>
    <row r="8">
      <c r="A8" t="inlineStr">
        <is>
          <t>Basic Attack (Raging Blow) Input Level (4th job formula)</t>
        </is>
      </c>
      <c r="B8">
        <f>MAX(0,(Inputs!$B$3-100)*3)+Inputs!$B$28+Inputs!$B$29</f>
        <v/>
      </c>
    </row>
    <row r="9">
      <c r="A9" t="inlineStr">
        <is>
          <t>Basic Attack Factor (factorIndex 21, universal 4th-job basic attack)</t>
        </is>
      </c>
      <c r="B9">
        <f>INDEX(FactorTable!$B$2:$Y$301, MATCH(ROUND(MIN(300,MAX(1,Summary!$B$8)),0), FactorTable!$A$2:$A$301,0), 22)</f>
        <v/>
      </c>
    </row>
    <row r="10">
      <c r="A10" t="inlineStr">
        <is>
          <t>SKILL_COEFFICIENT — Raging Blow base coefficient % (before bonuses)</t>
        </is>
      </c>
      <c r="B10">
        <f>290*Summary!$B$9/1000</f>
        <v/>
      </c>
    </row>
    <row r="11">
      <c r="A11" t="inlineStr">
        <is>
          <t>Normal-Monster Weight (= 0 for boss, 1 for normal, Breakthrough Normal Weight % for breakthrough, 0 for pvp)</t>
        </is>
      </c>
      <c r="B11">
        <f>IF(Inputs!$B$38="normal",1,IF(Inputs!$B$38="breakthrough",Inputs!$B$44/100,0))</f>
        <v/>
      </c>
    </row>
    <row r="13">
      <c r="A13" t="inlineStr">
        <is>
          <t>Attack%% Bucket Multiplier (Combo Attack + Spirit Blade + Artifact Attack%%, summed additively)</t>
        </is>
      </c>
      <c r="B13">
        <f>1+(((Calc!C13=TRUE)*Calc!F13*IF(Inputs!$B$3&gt;=110,7,5))+((Calc!C15=TRUE)*Calc!F15*IF(AND(Inputs!$B$38&lt;&gt;"pvp",Inputs!$B$43&gt;0),(((Calc!R15-1)*(Skills!T15*(1+Inputs!$B$34/100))+MIN((Skills!T15*(1+Inputs!$B$34/100)),MAX(0,Inputs!$B$43-((Calc!R15-1)*Skills!D15))))/Inputs!$B$43),IF(Inputs!$B$38="pvp",MIN((Skills!T15*(1+Inputs!$B$34/100)),15)/15,(Skills!T15*(1+Inputs!$B$34/100))/Skills!D15)))+Artifacts!$B$52)/100</f>
        <v/>
      </c>
    </row>
    <row r="14">
      <c r="A14" t="inlineStr">
        <is>
          <t>Global Crit Rate Bonus % (unused — no live Crit-Rate-buff source exists)</t>
        </is>
      </c>
      <c r="B14" t="n">
        <v>0</v>
      </c>
    </row>
    <row r="15">
      <c r="A15" t="inlineStr">
        <is>
          <t>Global Monster Damage-Taken Bonus % (Scaring Sword, proc-chance x duty-cycle)</t>
        </is>
      </c>
      <c r="B15">
        <f>((Calc!C16=TRUE)*Calc!F16*(Skills!J16/100)*IF(AND(Inputs!$B$38&lt;&gt;"pvp",Inputs!$B$43&gt;0),(((Calc!R16-1)*(Skills!T16*(1+Inputs!$B$34/100))+MIN((Skills!T16*(1+Inputs!$B$34/100)),MAX(0,Inputs!$B$43-((Calc!R16-1)*Skills!D16))))/Inputs!$B$43),IF(Inputs!$B$38="pvp",MIN((Skills!T16*(1+Inputs!$B$34/100)),15)/15,(Skills!T16*(1+Inputs!$B$34/100))/Skills!D16)))</f>
        <v/>
      </c>
    </row>
    <row r="16">
      <c r="A16" t="inlineStr">
        <is>
          <t>Attack Speed Buff Bonus % (Nimble Feet, duty-cycle averaged)</t>
        </is>
      </c>
      <c r="B16">
        <f>((Calc!C19=TRUE)*Calc!F19*IF(AND(Inputs!$B$38&lt;&gt;"pvp",Inputs!$B$43&gt;0),(((Calc!R19-1)*(Skills!T19*(1+Inputs!$B$34/100))+MIN((Skills!T19*(1+Inputs!$B$34/100)),MAX(0,Inputs!$B$43-((Calc!R19-1)*Skills!D19))))/Inputs!$B$43),IF(Inputs!$B$38="pvp",MIN((Skills!T19*(1+Inputs!$B$34/100)),15)/15,(Skills!T19*(1+Inputs!$B$34/100))/Skills!D19)))</f>
        <v/>
      </c>
    </row>
    <row r="17">
      <c r="A17" t="inlineStr">
        <is>
          <t>Actions Per Second</t>
        </is>
      </c>
      <c r="B17">
        <f>1+MIN(150,150*(1-(1-Inputs!$B$11/150)*(1-B16/150)))/100</f>
        <v/>
      </c>
    </row>
    <row r="18">
      <c r="A18" t="inlineStr">
        <is>
          <t>Skill + Buff Cast Rate (subtracted from Raging Blow, 1/s)</t>
        </is>
      </c>
      <c r="B18">
        <f>IF(AND(Inputs!$B$38&lt;&gt;"pvp",Inputs!$B$43&gt;0),SUMPRODUCT((Skills!E2:E26=TRUE)*(Calc!C2:C26=TRUE)*Calc!R2:R26*Skills!F2:F26)/Inputs!$B$43,SUMPRODUCT((Skills!E2:E26=TRUE)*(Calc!C2:C26=TRUE)*Calc!Q2:Q26*Skills!F2:F26))</f>
        <v/>
      </c>
    </row>
    <row r="19">
      <c r="A19" t="inlineStr">
        <is>
          <t>Raging Blow (Basic Attack) Casts Per Second</t>
        </is>
      </c>
      <c r="B19">
        <f>MAX(0,B17-B18)</f>
        <v/>
      </c>
    </row>
    <row r="20">
      <c r="A20" t="inlineStr">
        <is>
          <t>Global Critical Damage Bonus % (Enrage, duty-cycled)</t>
        </is>
      </c>
      <c r="B20">
        <f>((Calc!C18=TRUE)*Calc!F18*IF(AND(Inputs!$B$38&lt;&gt;"pvp",Inputs!$B$43&gt;0),(((Calc!R18-1)*(Skills!T18*(1+Inputs!$B$34/100))+MIN((Skills!T18*(1+Inputs!$B$34/100)),MAX(0,Inputs!$B$43-((Calc!R18-1)*Skills!D18))))/Inputs!$B$43),IF(Inputs!$B$38="pvp",MIN((Skills!T18*(1+Inputs!$B$34/100)),15)/15,(Skills!T18*(1+Inputs!$B$34/100))/Skills!D18)))</f>
        <v/>
      </c>
    </row>
    <row r="21">
      <c r="A21" t="inlineStr">
        <is>
          <t>Global Final Damage Bonus % (Enrage + Combo Synergy)</t>
        </is>
      </c>
      <c r="B21">
        <f>((Calc!C17=TRUE)*Calc!F17*IF(AND(Inputs!$B$38&lt;&gt;"pvp",Inputs!$B$43&gt;0),(((Calc!R17-1)*(Skills!T17*(1+Inputs!$B$34/100))+MIN((Skills!T17*(1+Inputs!$B$34/100)),MAX(0,Inputs!$B$43-((Calc!R17-1)*Skills!D17))))/Inputs!$B$43),IF(Inputs!$B$38="pvp",MIN((Skills!T17*(1+Inputs!$B$34/100)),15)/15,(Skills!T17*(1+Inputs!$B$34/100))/Skills!D17)))+((Calc!C14=TRUE)*Calc!F14*IF(Inputs!$B$3&gt;=110,7,5))</f>
        <v/>
      </c>
    </row>
    <row r="22">
      <c r="A22" t="inlineStr">
        <is>
          <t>Raging Blow (Basic Attack) DPS</t>
        </is>
      </c>
      <c r="B22">
        <f>Calc!O2</f>
        <v/>
      </c>
    </row>
    <row r="23">
      <c r="A23" t="inlineStr">
        <is>
          <t>Buff-Casting Startup Delay (s, before first damage-skill cast; fixed-duration only)</t>
        </is>
      </c>
      <c r="B23">
        <f>IF(AND(Inputs!$B$38&lt;&gt;"pvp",Inputs!$B$43&gt;0),SUMPRODUCT((Skills!T2:T26&gt;0)*(Skills!E2:E26=TRUE)*(Calc!C2:C26=TRUE))/B17,0)</f>
        <v/>
      </c>
    </row>
    <row r="24">
      <c r="A24" t="inlineStr">
        <is>
          <t>Boss-Only Total DPS (Sensitivity baseline)</t>
        </is>
      </c>
      <c r="B24">
        <f>SUM(Calc!T2:T26)</f>
        <v/>
      </c>
    </row>
    <row r="25">
      <c r="A25" t="inlineStr">
        <is>
          <t>Normal-Only Total DPS (Sensitivity baseline)</t>
        </is>
      </c>
      <c r="B25">
        <f>SUM(Calc!V2:V26)</f>
        <v/>
      </c>
    </row>
    <row r="27">
      <c r="A27" s="9" t="inlineStr">
        <is>
          <t>Per-Skill DPS Breakdown</t>
        </is>
      </c>
    </row>
    <row r="28">
      <c r="A28" s="5" t="inlineStr">
        <is>
          <t>Skill</t>
        </is>
      </c>
      <c r="B28" s="5" t="inlineStr">
        <is>
          <t>DPS</t>
        </is>
      </c>
      <c r="C28" s="5" t="inlineStr">
        <is>
          <t>% of Total</t>
        </is>
      </c>
    </row>
    <row r="29">
      <c r="A29">
        <f>Calc!B2</f>
        <v/>
      </c>
      <c r="B29">
        <f>Calc!O2</f>
        <v/>
      </c>
      <c r="C29">
        <f>Calc!P2*100</f>
        <v/>
      </c>
    </row>
    <row r="30">
      <c r="A30">
        <f>Calc!B5</f>
        <v/>
      </c>
      <c r="B30">
        <f>Calc!O5</f>
        <v/>
      </c>
      <c r="C30">
        <f>Calc!P5*100</f>
        <v/>
      </c>
    </row>
    <row r="31">
      <c r="A31">
        <f>Calc!B6</f>
        <v/>
      </c>
      <c r="B31">
        <f>Calc!O6</f>
        <v/>
      </c>
      <c r="C31">
        <f>Calc!P6*100</f>
        <v/>
      </c>
    </row>
    <row r="32">
      <c r="A32">
        <f>Calc!B7</f>
        <v/>
      </c>
      <c r="B32">
        <f>Calc!O7</f>
        <v/>
      </c>
      <c r="C32">
        <f>Calc!P7*100</f>
        <v/>
      </c>
    </row>
    <row r="33">
      <c r="A33">
        <f>Calc!B8</f>
        <v/>
      </c>
      <c r="B33">
        <f>Calc!O8</f>
        <v/>
      </c>
      <c r="C33">
        <f>Calc!P8*100</f>
        <v/>
      </c>
    </row>
    <row r="34">
      <c r="A34">
        <f>Calc!B9</f>
        <v/>
      </c>
      <c r="B34">
        <f>Calc!O9</f>
        <v/>
      </c>
      <c r="C34">
        <f>Calc!P9*100</f>
        <v/>
      </c>
    </row>
    <row r="35">
      <c r="A35">
        <f>Calc!B10</f>
        <v/>
      </c>
      <c r="B35">
        <f>Calc!O10</f>
        <v/>
      </c>
      <c r="C35">
        <f>Calc!P10*100</f>
        <v/>
      </c>
    </row>
    <row r="36">
      <c r="A36">
        <f>Calc!B11</f>
        <v/>
      </c>
      <c r="B36">
        <f>Calc!O11</f>
        <v/>
      </c>
      <c r="C36">
        <f>Calc!P11*100</f>
        <v/>
      </c>
    </row>
    <row r="37">
      <c r="A37" s="9" t="inlineStr">
        <is>
          <t>Marginal DPS &amp; Stat Value (see Sensitivity for full detail)</t>
        </is>
      </c>
    </row>
    <row r="39">
      <c r="A39" s="5" t="inlineStr">
        <is>
          <t>Stat</t>
        </is>
      </c>
      <c r="B39" s="5" t="inlineStr">
        <is>
          <t>DPS per +1</t>
        </is>
      </c>
      <c r="C39" s="5" t="inlineStr">
        <is>
          <t>Units per +1% DPS</t>
        </is>
      </c>
    </row>
    <row r="40">
      <c r="A40">
        <f>Sensitivity!A5</f>
        <v/>
      </c>
      <c r="B40">
        <f>Sensitivity!H5</f>
        <v/>
      </c>
      <c r="C40">
        <f>Sensitivity!B5</f>
        <v/>
      </c>
    </row>
    <row r="41">
      <c r="A41">
        <f>Sensitivity!A6</f>
        <v/>
      </c>
      <c r="B41">
        <f>Sensitivity!H6</f>
        <v/>
      </c>
      <c r="C41">
        <f>Sensitivity!B6</f>
        <v/>
      </c>
    </row>
    <row r="42">
      <c r="A42">
        <f>Sensitivity!A7</f>
        <v/>
      </c>
      <c r="B42">
        <f>Sensitivity!H7</f>
        <v/>
      </c>
      <c r="C42">
        <f>Sensitivity!B7</f>
        <v/>
      </c>
    </row>
    <row r="43">
      <c r="A43">
        <f>Sensitivity!A8</f>
        <v/>
      </c>
      <c r="B43">
        <f>Sensitivity!H8</f>
        <v/>
      </c>
      <c r="C43">
        <f>Sensitivity!B8</f>
        <v/>
      </c>
    </row>
    <row r="44">
      <c r="A44">
        <f>Sensitivity!A9</f>
        <v/>
      </c>
      <c r="B44">
        <f>Sensitivity!H9</f>
        <v/>
      </c>
      <c r="C44">
        <f>Sensitivity!B9</f>
        <v/>
      </c>
    </row>
    <row r="45">
      <c r="A45">
        <f>Sensitivity!A10</f>
        <v/>
      </c>
      <c r="B45">
        <f>Sensitivity!H10</f>
        <v/>
      </c>
      <c r="C45">
        <f>Sensitivity!B10</f>
        <v/>
      </c>
    </row>
    <row r="46">
      <c r="A46">
        <f>Sensitivity!A11</f>
        <v/>
      </c>
      <c r="B46">
        <f>Sensitivity!H11</f>
        <v/>
      </c>
      <c r="C46">
        <f>Sensitivity!B11</f>
        <v/>
      </c>
    </row>
    <row r="47">
      <c r="A47">
        <f>Sensitivity!A12</f>
        <v/>
      </c>
      <c r="B47">
        <f>Sensitivity!H12</f>
        <v/>
      </c>
      <c r="C47">
        <f>Sensitivity!B12</f>
        <v/>
      </c>
    </row>
    <row r="48">
      <c r="A48">
        <f>Sensitivity!A13</f>
        <v/>
      </c>
      <c r="B48">
        <f>Sensitivity!H13</f>
        <v/>
      </c>
      <c r="C48">
        <f>Sensitivity!B13</f>
        <v/>
      </c>
    </row>
    <row r="49">
      <c r="A49">
        <f>Sensitivity!A14</f>
        <v/>
      </c>
      <c r="B49">
        <f>Sensitivity!H14</f>
        <v/>
      </c>
      <c r="C49">
        <f>Sensitivity!B14</f>
        <v/>
      </c>
    </row>
    <row r="50">
      <c r="A50">
        <f>Sensitivity!A15</f>
        <v/>
      </c>
      <c r="B50">
        <f>Sensitivity!H15</f>
        <v/>
      </c>
      <c r="C50">
        <f>Sensitivity!B15</f>
        <v/>
      </c>
    </row>
    <row r="51">
      <c r="A51">
        <f>Sensitivity!A16</f>
        <v/>
      </c>
      <c r="B51">
        <f>Sensitivity!H16</f>
        <v/>
      </c>
      <c r="C51">
        <f>Sensitivity!B16</f>
        <v/>
      </c>
    </row>
    <row r="52">
      <c r="A52">
        <f>Sensitivity!A17</f>
        <v/>
      </c>
      <c r="B52">
        <f>Sensitivity!H17</f>
        <v/>
      </c>
      <c r="C52">
        <f>Sensitivity!B17</f>
        <v/>
      </c>
    </row>
    <row r="53">
      <c r="A53">
        <f>Sensitivity!A18</f>
        <v/>
      </c>
      <c r="B53">
        <f>Sensitivity!H18</f>
        <v/>
      </c>
      <c r="C53">
        <f>Sensitivity!B18</f>
        <v/>
      </c>
    </row>
    <row r="54">
      <c r="A54">
        <f>Sensitivity!A19</f>
        <v/>
      </c>
      <c r="B54">
        <f>Sensitivity!H19</f>
        <v/>
      </c>
      <c r="C54">
        <f>Sensitivity!B19</f>
        <v/>
      </c>
    </row>
    <row r="55">
      <c r="A55">
        <f>Sensitivity!A20</f>
        <v/>
      </c>
      <c r="B55">
        <f>Sensitivity!H20</f>
        <v/>
      </c>
      <c r="C55">
        <f>Sensitivity!B20</f>
        <v/>
      </c>
    </row>
    <row r="56">
      <c r="A56">
        <f>Sensitivity!A21</f>
        <v/>
      </c>
      <c r="B56">
        <f>Sensitivity!H21</f>
        <v/>
      </c>
      <c r="C56">
        <f>Sensitivity!B21</f>
        <v/>
      </c>
    </row>
    <row r="57">
      <c r="A57">
        <f>Sensitivity!A22</f>
        <v/>
      </c>
      <c r="B57">
        <f>Sensitivity!H22</f>
        <v/>
      </c>
      <c r="C57">
        <f>Sensitivity!B22</f>
        <v/>
      </c>
    </row>
    <row r="58">
      <c r="A58">
        <f>Sensitivity!A23</f>
        <v/>
      </c>
      <c r="B58">
        <f>Sensitivity!H23</f>
        <v/>
      </c>
      <c r="C58">
        <f>Sensitivity!B23</f>
        <v/>
      </c>
    </row>
    <row r="59">
      <c r="A59">
        <f>Sensitivity!A24</f>
        <v/>
      </c>
      <c r="B59">
        <f>Sensitivity!H24</f>
        <v/>
      </c>
      <c r="C59">
        <f>Sensitivity!B24</f>
        <v/>
      </c>
    </row>
    <row r="60">
      <c r="A60">
        <f>Sensitivity!A25</f>
        <v/>
      </c>
      <c r="B60">
        <f>Sensitivity!H25</f>
        <v/>
      </c>
      <c r="C60">
        <f>Sensitivity!B25</f>
        <v/>
      </c>
    </row>
    <row r="61">
      <c r="A61">
        <f>Sensitivity!A26</f>
        <v/>
      </c>
      <c r="B61">
        <f>Sensitivity!H26</f>
        <v/>
      </c>
      <c r="C61">
        <f>Sensitivity!B26</f>
        <v/>
      </c>
    </row>
    <row r="62">
      <c r="A62">
        <f>Sensitivity!A27</f>
        <v/>
      </c>
      <c r="B62">
        <f>Sensitivity!H27</f>
        <v/>
      </c>
      <c r="C62">
        <f>Sensitivity!B27</f>
        <v/>
      </c>
    </row>
    <row r="63">
      <c r="A63">
        <f>Sensitivity!A28</f>
        <v/>
      </c>
      <c r="B63">
        <f>Sensitivity!H28</f>
        <v/>
      </c>
      <c r="C63">
        <f>Sensitivity!B28</f>
        <v/>
      </c>
    </row>
    <row r="64">
      <c r="A64">
        <f>Sensitivity!A29</f>
        <v/>
      </c>
      <c r="B64">
        <f>Sensitivity!H29</f>
        <v/>
      </c>
      <c r="C64">
        <f>Sensitivity!B29</f>
        <v/>
      </c>
    </row>
    <row r="65">
      <c r="A65">
        <f>Sensitivity!A30</f>
        <v/>
      </c>
      <c r="B65">
        <f>Sensitivity!H30</f>
        <v/>
      </c>
      <c r="C65">
        <f>Sensitivity!B30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106"/>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 hidden="1" width="13" customWidth="1" min="27" max="27"/>
    <col hidden="1" width="13" customWidth="1" min="28" max="28"/>
    <col hidden="1" width="13" customWidth="1" min="29" max="29"/>
    <col hidden="1" width="13" customWidth="1" min="30" max="30"/>
    <col hidden="1" width="13" customWidth="1" min="31" max="31"/>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STR</t>
        </is>
      </c>
      <c r="B5">
        <f>IFERROR(1/(I5-100),"n/a")</f>
        <v/>
      </c>
      <c r="C5" t="inlineStr">
        <is>
          <t>flat</t>
        </is>
      </c>
      <c r="D5">
        <f>Inputs!$B$12+0</f>
        <v/>
      </c>
      <c r="E5">
        <f>(Inputs!$B$12+1)+0</f>
        <v/>
      </c>
      <c r="F5">
        <f>Summary!$B$3</f>
        <v/>
      </c>
      <c r="G5">
        <f>B110</f>
        <v/>
      </c>
      <c r="H5">
        <f>Summary!$B$3*(((1-Summary!$B$11)*IFERROR(B108/Summary!$B$24,1)+Summary!$B$11*IFERROR(B109/Summary!$B$25,1))-1)</f>
        <v/>
      </c>
      <c r="I5">
        <f>((1-Summary!$B$11)*IFERROR(B108/Summary!$B$24,1)+Summary!$B$11*IFERROR(B109/Summary!$B$25,1))*100</f>
        <v/>
      </c>
    </row>
    <row r="6">
      <c r="A6" t="inlineStr">
        <is>
          <t>STR %</t>
        </is>
      </c>
      <c r="B6">
        <f>IFERROR(1/(I6-100),"n/a")</f>
        <v/>
      </c>
      <c r="C6" t="inlineStr">
        <is>
          <t>pct</t>
        </is>
      </c>
      <c r="D6">
        <f>Inputs!$B$13+0</f>
        <v/>
      </c>
      <c r="E6">
        <f>(Inputs!$B$13+1)+0</f>
        <v/>
      </c>
      <c r="F6">
        <f>Summary!$B$3</f>
        <v/>
      </c>
      <c r="G6">
        <f>B152</f>
        <v/>
      </c>
      <c r="H6">
        <f>Summary!$B$3*(((1-Summary!$B$11)*IFERROR(B150/Summary!$B$24,1)+Summary!$B$11*IFERROR(B151/Summary!$B$25,1))-1)</f>
        <v/>
      </c>
      <c r="I6">
        <f>((1-Summary!$B$11)*IFERROR(B150/Summary!$B$24,1)+Summary!$B$11*IFERROR(B151/Summary!$B$25,1))*100</f>
        <v/>
      </c>
    </row>
    <row r="7">
      <c r="A7" t="inlineStr">
        <is>
          <t>DEX</t>
        </is>
      </c>
      <c r="B7">
        <f>IFERROR(1/(I7-100),"n/a")</f>
        <v/>
      </c>
      <c r="C7" t="inlineStr">
        <is>
          <t>flat</t>
        </is>
      </c>
      <c r="D7">
        <f>Inputs!$B$14+0</f>
        <v/>
      </c>
      <c r="E7">
        <f>(Inputs!$B$14+1)+0</f>
        <v/>
      </c>
      <c r="F7">
        <f>Summary!$B$3</f>
        <v/>
      </c>
      <c r="G7">
        <f>B194</f>
        <v/>
      </c>
      <c r="H7">
        <f>Summary!$B$3*(((1-Summary!$B$11)*IFERROR(B192/Summary!$B$24,1)+Summary!$B$11*IFERROR(B193/Summary!$B$25,1))-1)</f>
        <v/>
      </c>
      <c r="I7">
        <f>((1-Summary!$B$11)*IFERROR(B192/Summary!$B$24,1)+Summary!$B$11*IFERROR(B193/Summary!$B$25,1))*100</f>
        <v/>
      </c>
    </row>
    <row r="8">
      <c r="A8" t="inlineStr">
        <is>
          <t>DAMAGE %</t>
        </is>
      </c>
      <c r="B8">
        <f>IFERROR(1/(I8-100),"n/a")</f>
        <v/>
      </c>
      <c r="C8" t="inlineStr">
        <is>
          <t>pct</t>
        </is>
      </c>
      <c r="D8">
        <f>Inputs!$B$15+0</f>
        <v/>
      </c>
      <c r="E8">
        <f>(Inputs!$B$15+1)+0</f>
        <v/>
      </c>
      <c r="F8">
        <f>Summary!$B$3</f>
        <v/>
      </c>
      <c r="G8">
        <f>B236</f>
        <v/>
      </c>
      <c r="H8">
        <f>Summary!$B$3*(((1-Summary!$B$11)*IFERROR(B234/Summary!$B$24,1)+Summary!$B$11*IFERROR(B235/Summary!$B$25,1))-1)</f>
        <v/>
      </c>
      <c r="I8">
        <f>((1-Summary!$B$11)*IFERROR(B234/Summary!$B$24,1)+Summary!$B$11*IFERROR(B235/Summary!$B$25,1))*100</f>
        <v/>
      </c>
    </row>
    <row r="9">
      <c r="A9" t="inlineStr">
        <is>
          <t>DAMAGE_AMP %</t>
        </is>
      </c>
      <c r="B9">
        <f>IFERROR(1/(I9-100),"n/a")</f>
        <v/>
      </c>
      <c r="C9" t="inlineStr">
        <is>
          <t>pct</t>
        </is>
      </c>
      <c r="D9">
        <f>Inputs!$B$16+0</f>
        <v/>
      </c>
      <c r="E9">
        <f>(Inputs!$B$16+1)+0</f>
        <v/>
      </c>
      <c r="F9">
        <f>Summary!$B$3</f>
        <v/>
      </c>
      <c r="G9">
        <f>B278</f>
        <v/>
      </c>
      <c r="H9">
        <f>Summary!$B$3*(((1-Summary!$B$11)*IFERROR(B276/Summary!$B$24,1)+Summary!$B$11*IFERROR(B277/Summary!$B$25,1))-1)</f>
        <v/>
      </c>
      <c r="I9">
        <f>((1-Summary!$B$11)*IFERROR(B276/Summary!$B$24,1)+Summary!$B$11*IFERROR(B277/Summary!$B$25,1))*100</f>
        <v/>
      </c>
    </row>
    <row r="10">
      <c r="A10" t="inlineStr">
        <is>
          <t>BOSS_DAMAGE %</t>
        </is>
      </c>
      <c r="B10">
        <f>IFERROR(1/(I10-100),"n/a")</f>
        <v/>
      </c>
      <c r="C10" t="inlineStr">
        <is>
          <t>pct</t>
        </is>
      </c>
      <c r="D10">
        <f>Inputs!$B$20+0</f>
        <v/>
      </c>
      <c r="E10">
        <f>(Inputs!$B$20+1)+0</f>
        <v/>
      </c>
      <c r="F10">
        <f>Summary!$B$3</f>
        <v/>
      </c>
      <c r="G10">
        <f>B320</f>
        <v/>
      </c>
      <c r="H10">
        <f>Summary!$B$3*(((1-Summary!$B$11)*IFERROR(B318/Summary!$B$24,1)+Summary!$B$11*IFERROR(B319/Summary!$B$25,1))-1)</f>
        <v/>
      </c>
      <c r="I10">
        <f>((1-Summary!$B$11)*IFERROR(B318/Summary!$B$24,1)+Summary!$B$11*IFERROR(B319/Summary!$B$25,1))*100</f>
        <v/>
      </c>
    </row>
    <row r="11">
      <c r="A11" t="inlineStr">
        <is>
          <t>NORMAL_DAMAGE %</t>
        </is>
      </c>
      <c r="B11">
        <f>IFERROR(1/(I11-100),"n/a")</f>
        <v/>
      </c>
      <c r="C11" t="inlineStr">
        <is>
          <t>pct</t>
        </is>
      </c>
      <c r="D11">
        <f>Inputs!$B$21+0</f>
        <v/>
      </c>
      <c r="E11">
        <f>(Inputs!$B$21+1)+0</f>
        <v/>
      </c>
      <c r="F11">
        <f>Summary!$B$3</f>
        <v/>
      </c>
      <c r="G11">
        <f>B362</f>
        <v/>
      </c>
      <c r="H11">
        <f>Summary!$B$3*(((1-Summary!$B$11)*IFERROR(B360/Summary!$B$24,1)+Summary!$B$11*IFERROR(B361/Summary!$B$25,1))-1)</f>
        <v/>
      </c>
      <c r="I11">
        <f>((1-Summary!$B$11)*IFERROR(B360/Summary!$B$24,1)+Summary!$B$11*IFERROR(B361/Summary!$B$25,1))*100</f>
        <v/>
      </c>
    </row>
    <row r="12">
      <c r="A12" t="inlineStr">
        <is>
          <t>FINAL_DAMAGE % (multiplicative source)</t>
        </is>
      </c>
      <c r="B12">
        <f>IFERROR(1/(I12-100),"n/a")</f>
        <v/>
      </c>
      <c r="C12" t="inlineStr">
        <is>
          <t>mult</t>
        </is>
      </c>
      <c r="D12">
        <f>Inputs!$B$24+Summary!$B$21</f>
        <v/>
      </c>
      <c r="E12">
        <f>((((1+(Inputs!$B$24+Summary!$B$21)/100)*(1.01))-1)*100-(Summary!$B$21))+Summary!$B$21</f>
        <v/>
      </c>
      <c r="F12">
        <f>Summary!$B$3</f>
        <v/>
      </c>
      <c r="G12">
        <f>B404</f>
        <v/>
      </c>
      <c r="H12">
        <f>Summary!$B$3*(((1-Summary!$B$11)*IFERROR(B402/Summary!$B$24,1)+Summary!$B$11*IFERROR(B403/Summary!$B$25,1))-1)</f>
        <v/>
      </c>
      <c r="I12">
        <f>((1-Summary!$B$11)*IFERROR(B402/Summary!$B$24,1)+Summary!$B$11*IFERROR(B403/Summary!$B$25,1))*100</f>
        <v/>
      </c>
    </row>
    <row r="13">
      <c r="A13" t="inlineStr">
        <is>
          <t>MIN_DAMAGE %</t>
        </is>
      </c>
      <c r="B13">
        <f>IFERROR(1/(I13-100),"n/a")</f>
        <v/>
      </c>
      <c r="C13" t="inlineStr">
        <is>
          <t>pct</t>
        </is>
      </c>
      <c r="D13">
        <f>Inputs!$B$22+0</f>
        <v/>
      </c>
      <c r="E13">
        <f>(Inputs!$B$22+1)+0</f>
        <v/>
      </c>
      <c r="F13">
        <f>Summary!$B$3</f>
        <v/>
      </c>
      <c r="G13">
        <f>B446</f>
        <v/>
      </c>
      <c r="H13">
        <f>Summary!$B$3*(((1-Summary!$B$11)*IFERROR(B444/Summary!$B$24,1)+Summary!$B$11*IFERROR(B445/Summary!$B$25,1))-1)</f>
        <v/>
      </c>
      <c r="I13">
        <f>((1-Summary!$B$11)*IFERROR(B444/Summary!$B$24,1)+Summary!$B$11*IFERROR(B445/Summary!$B$25,1))*100</f>
        <v/>
      </c>
    </row>
    <row r="14">
      <c r="A14" t="inlineStr">
        <is>
          <t>MAX_DAMAGE %</t>
        </is>
      </c>
      <c r="B14">
        <f>IFERROR(1/(I14-100),"n/a")</f>
        <v/>
      </c>
      <c r="C14" t="inlineStr">
        <is>
          <t>pct</t>
        </is>
      </c>
      <c r="D14">
        <f>Inputs!$B$23+0</f>
        <v/>
      </c>
      <c r="E14">
        <f>(Inputs!$B$23+1)+0</f>
        <v/>
      </c>
      <c r="F14">
        <f>Summary!$B$3</f>
        <v/>
      </c>
      <c r="G14">
        <f>B488</f>
        <v/>
      </c>
      <c r="H14">
        <f>Summary!$B$3*(((1-Summary!$B$11)*IFERROR(B486/Summary!$B$24,1)+Summary!$B$11*IFERROR(B487/Summary!$B$25,1))-1)</f>
        <v/>
      </c>
      <c r="I14">
        <f>((1-Summary!$B$11)*IFERROR(B486/Summary!$B$24,1)+Summary!$B$11*IFERROR(B487/Summary!$B$25,1))*100</f>
        <v/>
      </c>
    </row>
    <row r="15">
      <c r="A15" t="inlineStr">
        <is>
          <t>CRIT_RATE %</t>
        </is>
      </c>
      <c r="B15">
        <f>IFERROR(1/(I15-100),"n/a")</f>
        <v/>
      </c>
      <c r="C15" t="inlineStr">
        <is>
          <t>pct</t>
        </is>
      </c>
      <c r="D15">
        <f>Inputs!$B$9+0</f>
        <v/>
      </c>
      <c r="E15">
        <f>(Inputs!$B$9+1)+0</f>
        <v/>
      </c>
      <c r="F15">
        <f>Summary!$B$3</f>
        <v/>
      </c>
      <c r="G15">
        <f>B530</f>
        <v/>
      </c>
      <c r="H15">
        <f>Summary!$B$3*(((1-Summary!$B$11)*IFERROR(B528/Summary!$B$24,1)+Summary!$B$11*IFERROR(B529/Summary!$B$25,1))-1)</f>
        <v/>
      </c>
      <c r="I15">
        <f>((1-Summary!$B$11)*IFERROR(B528/Summary!$B$24,1)+Summary!$B$11*IFERROR(B529/Summary!$B$25,1))*100</f>
        <v/>
      </c>
    </row>
    <row r="16">
      <c r="A16" t="inlineStr">
        <is>
          <t>CRIT_DAMAGE %</t>
        </is>
      </c>
      <c r="B16">
        <f>IFERROR(1/(I16-100),"n/a")</f>
        <v/>
      </c>
      <c r="C16" t="inlineStr">
        <is>
          <t>pct</t>
        </is>
      </c>
      <c r="D16">
        <f>Inputs!$B$10+0</f>
        <v/>
      </c>
      <c r="E16">
        <f>(Inputs!$B$10+1)+0</f>
        <v/>
      </c>
      <c r="F16">
        <f>Summary!$B$3</f>
        <v/>
      </c>
      <c r="G16">
        <f>B572</f>
        <v/>
      </c>
      <c r="H16">
        <f>Summary!$B$3*(((1-Summary!$B$11)*IFERROR(B570/Summary!$B$24,1)+Summary!$B$11*IFERROR(B571/Summary!$B$25,1))-1)</f>
        <v/>
      </c>
      <c r="I16">
        <f>((1-Summary!$B$11)*IFERROR(B570/Summary!$B$24,1)+Summary!$B$11*IFERROR(B571/Summary!$B$25,1))*100</f>
        <v/>
      </c>
    </row>
    <row r="17">
      <c r="A17" t="inlineStr">
        <is>
          <t>ATTACK_SPEED % (diminishing returns, factor 150)</t>
        </is>
      </c>
      <c r="B17">
        <f>IFERROR(1/(I17-100),"n/a")</f>
        <v/>
      </c>
      <c r="C17" t="inlineStr">
        <is>
          <t>dr150</t>
        </is>
      </c>
      <c r="D17">
        <f>Inputs!$B$11+0</f>
        <v/>
      </c>
      <c r="E17">
        <f>((1-(1-Inputs!$B$11/150)*(1-1/150))*150)+0</f>
        <v/>
      </c>
      <c r="F17">
        <f>Summary!$B$3</f>
        <v/>
      </c>
      <c r="G17">
        <f>B614</f>
        <v/>
      </c>
      <c r="H17">
        <f>Summary!$B$3*(((1-Summary!$B$11)*IFERROR(B612/Summary!$B$24,1)+Summary!$B$11*IFERROR(B613/Summary!$B$25,1))-1)</f>
        <v/>
      </c>
      <c r="I17">
        <f>((1-Summary!$B$11)*IFERROR(B612/Summary!$B$24,1)+Summary!$B$11*IFERROR(B613/Summary!$B$25,1))*100</f>
        <v/>
      </c>
    </row>
    <row r="18">
      <c r="A18" t="inlineStr">
        <is>
          <t>DEF_PEN % (diminishing returns, factor 100)</t>
        </is>
      </c>
      <c r="B18">
        <f>IFERROR(1/(I18-100),"n/a")</f>
        <v/>
      </c>
      <c r="C18" t="inlineStr">
        <is>
          <t>dr100</t>
        </is>
      </c>
      <c r="D18">
        <f>Inputs!$B$19+0</f>
        <v/>
      </c>
      <c r="E18">
        <f>((1-(1-Inputs!$B$19/100)*(1-1/100))*100)+0</f>
        <v/>
      </c>
      <c r="F18">
        <f>Summary!$B$3</f>
        <v/>
      </c>
      <c r="G18">
        <f>B656</f>
        <v/>
      </c>
      <c r="H18">
        <f>Summary!$B$3*(((1-Summary!$B$11)*IFERROR(B654/Summary!$B$24,1)+Summary!$B$11*IFERROR(B655/Summary!$B$25,1))-1)</f>
        <v/>
      </c>
      <c r="I18">
        <f>((1-Summary!$B$11)*IFERROR(B654/Summary!$B$24,1)+Summary!$B$11*IFERROR(B655/Summary!$B$25,1))*100</f>
        <v/>
      </c>
    </row>
    <row r="19">
      <c r="A19" t="inlineStr">
        <is>
          <t>BASIC_ATTACK_DAMAGE %</t>
        </is>
      </c>
      <c r="B19">
        <f>IFERROR(1/(I19-100),"n/a")</f>
        <v/>
      </c>
      <c r="C19" t="inlineStr">
        <is>
          <t>pct</t>
        </is>
      </c>
      <c r="D19">
        <f>Inputs!$B$17+0</f>
        <v/>
      </c>
      <c r="E19">
        <f>(Inputs!$B$17+1)+0</f>
        <v/>
      </c>
      <c r="F19">
        <f>Summary!$B$3</f>
        <v/>
      </c>
      <c r="G19">
        <f>B698</f>
        <v/>
      </c>
      <c r="H19">
        <f>Summary!$B$3*(((1-Summary!$B$11)*IFERROR(B696/Summary!$B$24,1)+Summary!$B$11*IFERROR(B697/Summary!$B$25,1))-1)</f>
        <v/>
      </c>
      <c r="I19">
        <f>((1-Summary!$B$11)*IFERROR(B696/Summary!$B$24,1)+Summary!$B$11*IFERROR(B697/Summary!$B$25,1))*100</f>
        <v/>
      </c>
    </row>
    <row r="20">
      <c r="A20" t="inlineStr">
        <is>
          <t>SKILL_DAMAGE %</t>
        </is>
      </c>
      <c r="B20">
        <f>IFERROR(1/(I20-100),"n/a")</f>
        <v/>
      </c>
      <c r="C20" t="inlineStr">
        <is>
          <t>pct</t>
        </is>
      </c>
      <c r="D20">
        <f>Inputs!$B$18+0</f>
        <v/>
      </c>
      <c r="E20">
        <f>(Inputs!$B$18+1)+0</f>
        <v/>
      </c>
      <c r="F20">
        <f>Summary!$B$3</f>
        <v/>
      </c>
      <c r="G20">
        <f>B740</f>
        <v/>
      </c>
      <c r="H20">
        <f>Summary!$B$3*(((1-Summary!$B$11)*IFERROR(B738/Summary!$B$24,1)+Summary!$B$11*IFERROR(B739/Summary!$B$25,1))-1)</f>
        <v/>
      </c>
      <c r="I20">
        <f>((1-Summary!$B$11)*IFERROR(B738/Summary!$B$24,1)+Summary!$B$11*IFERROR(B739/Summary!$B$25,1))*100</f>
        <v/>
      </c>
    </row>
    <row r="21">
      <c r="A21" t="inlineStr">
        <is>
          <t>Skill Level Bonus — 1st Job</t>
        </is>
      </c>
      <c r="B21">
        <f>IFERROR(1/(I21-100),"n/a")</f>
        <v/>
      </c>
      <c r="C21" t="inlineStr">
        <is>
          <t>level</t>
        </is>
      </c>
      <c r="D21">
        <f>Inputs!$B$25+0</f>
        <v/>
      </c>
      <c r="E21">
        <f>(Inputs!$B$25+1)+0</f>
        <v/>
      </c>
      <c r="F21">
        <f>Summary!$B$3</f>
        <v/>
      </c>
      <c r="G21">
        <f>B782</f>
        <v/>
      </c>
      <c r="H21">
        <f>Summary!$B$3*(((1-Summary!$B$11)*IFERROR(B780/Summary!$B$24,1)+Summary!$B$11*IFERROR(B781/Summary!$B$25,1))-1)</f>
        <v/>
      </c>
      <c r="I21">
        <f>((1-Summary!$B$11)*IFERROR(B780/Summary!$B$24,1)+Summary!$B$11*IFERROR(B781/Summary!$B$25,1))*100</f>
        <v/>
      </c>
    </row>
    <row r="22">
      <c r="A22" t="inlineStr">
        <is>
          <t>Skill Level Bonus — 2nd Job</t>
        </is>
      </c>
      <c r="B22">
        <f>IFERROR(1/(I22-100),"n/a")</f>
        <v/>
      </c>
      <c r="C22" t="inlineStr">
        <is>
          <t>level</t>
        </is>
      </c>
      <c r="D22">
        <f>Inputs!$B$26+0</f>
        <v/>
      </c>
      <c r="E22">
        <f>(Inputs!$B$26+1)+0</f>
        <v/>
      </c>
      <c r="F22">
        <f>Summary!$B$3</f>
        <v/>
      </c>
      <c r="G22">
        <f>B824</f>
        <v/>
      </c>
      <c r="H22">
        <f>Summary!$B$3*(((1-Summary!$B$11)*IFERROR(B822/Summary!$B$24,1)+Summary!$B$11*IFERROR(B823/Summary!$B$25,1))-1)</f>
        <v/>
      </c>
      <c r="I22">
        <f>((1-Summary!$B$11)*IFERROR(B822/Summary!$B$24,1)+Summary!$B$11*IFERROR(B823/Summary!$B$25,1))*100</f>
        <v/>
      </c>
    </row>
    <row r="23">
      <c r="A23" t="inlineStr">
        <is>
          <t>Skill Level Bonus — 3rd Job</t>
        </is>
      </c>
      <c r="B23">
        <f>IFERROR(1/(I23-100),"n/a")</f>
        <v/>
      </c>
      <c r="C23" t="inlineStr">
        <is>
          <t>level</t>
        </is>
      </c>
      <c r="D23">
        <f>Inputs!$B$27+0</f>
        <v/>
      </c>
      <c r="E23">
        <f>(Inputs!$B$27+1)+0</f>
        <v/>
      </c>
      <c r="F23">
        <f>Summary!$B$3</f>
        <v/>
      </c>
      <c r="G23">
        <f>B866</f>
        <v/>
      </c>
      <c r="H23">
        <f>Summary!$B$3*(((1-Summary!$B$11)*IFERROR(B864/Summary!$B$24,1)+Summary!$B$11*IFERROR(B865/Summary!$B$25,1))-1)</f>
        <v/>
      </c>
      <c r="I23">
        <f>((1-Summary!$B$11)*IFERROR(B864/Summary!$B$24,1)+Summary!$B$11*IFERROR(B865/Summary!$B$25,1))*100</f>
        <v/>
      </c>
    </row>
    <row r="24">
      <c r="A24" t="inlineStr">
        <is>
          <t>Skill Level Bonus — 4th Job</t>
        </is>
      </c>
      <c r="B24">
        <f>IFERROR(1/(I24-100),"n/a")</f>
        <v/>
      </c>
      <c r="C24" t="inlineStr">
        <is>
          <t>level</t>
        </is>
      </c>
      <c r="D24">
        <f>Inputs!$B$28+0</f>
        <v/>
      </c>
      <c r="E24">
        <f>(Inputs!$B$28+1)+0</f>
        <v/>
      </c>
      <c r="F24">
        <f>Summary!$B$3</f>
        <v/>
      </c>
      <c r="G24">
        <f>B908</f>
        <v/>
      </c>
      <c r="H24">
        <f>Summary!$B$3*(((1-Summary!$B$11)*IFERROR(B906/Summary!$B$24,1)+Summary!$B$11*IFERROR(B907/Summary!$B$25,1))-1)</f>
        <v/>
      </c>
      <c r="I24">
        <f>((1-Summary!$B$11)*IFERROR(B906/Summary!$B$24,1)+Summary!$B$11*IFERROR(B907/Summary!$B$25,1))*100</f>
        <v/>
      </c>
    </row>
    <row r="25">
      <c r="A25" t="inlineStr">
        <is>
          <t>Skill Level Bonus — All Skills</t>
        </is>
      </c>
      <c r="B25">
        <f>IFERROR(1/(I25-100),"n/a")</f>
        <v/>
      </c>
      <c r="C25" t="inlineStr">
        <is>
          <t>level</t>
        </is>
      </c>
      <c r="D25">
        <f>Inputs!$B$29+0</f>
        <v/>
      </c>
      <c r="E25">
        <f>(Inputs!$B$29+1)+0</f>
        <v/>
      </c>
      <c r="F25">
        <f>Summary!$B$3</f>
        <v/>
      </c>
      <c r="G25">
        <f>B950</f>
        <v/>
      </c>
      <c r="H25">
        <f>Summary!$B$3*(((1-Summary!$B$11)*IFERROR(B948/Summary!$B$24,1)+Summary!$B$11*IFERROR(B949/Summary!$B$25,1))-1)</f>
        <v/>
      </c>
      <c r="I25">
        <f>((1-Summary!$B$11)*IFERROR(B948/Summary!$B$24,1)+Summary!$B$11*IFERROR(B949/Summary!$B$25,1))*100</f>
        <v/>
      </c>
    </row>
    <row r="26">
      <c r="A26" t="inlineStr">
        <is>
          <t>Flat ATTACK</t>
        </is>
      </c>
      <c r="B26">
        <f>IFERROR(1/(I26-100),"n/a")</f>
        <v/>
      </c>
      <c r="C26" t="inlineStr">
        <is>
          <t>flat</t>
        </is>
      </c>
      <c r="D26">
        <f>Inputs!$B$6+0</f>
        <v/>
      </c>
      <c r="E26">
        <f>(Inputs!$B$6+1)+0</f>
        <v/>
      </c>
      <c r="F26">
        <f>Summary!$B$3</f>
        <v/>
      </c>
      <c r="G26">
        <f>B992</f>
        <v/>
      </c>
      <c r="H26">
        <f>Summary!$B$3*(((1-Summary!$B$11)*IFERROR(B990/Summary!$B$24,1)+Summary!$B$11*IFERROR(B991/Summary!$B$25,1))-1)</f>
        <v/>
      </c>
      <c r="I26">
        <f>((1-Summary!$B$11)*IFERROR(B990/Summary!$B$24,1)+Summary!$B$11*IFERROR(B991/Summary!$B$25,1))*100</f>
        <v/>
      </c>
    </row>
    <row r="27">
      <c r="A27" t="inlineStr">
        <is>
          <t>ATTACK %</t>
        </is>
      </c>
      <c r="B27">
        <f>IFERROR(1/(I27-100),"n/a")</f>
        <v/>
      </c>
      <c r="C27" t="inlineStr">
        <is>
          <t>pct</t>
        </is>
      </c>
      <c r="D27">
        <f>Inputs!$B$7+0</f>
        <v/>
      </c>
      <c r="E27">
        <f>(Inputs!$B$7+1)+0</f>
        <v/>
      </c>
      <c r="F27">
        <f>Summary!$B$3</f>
        <v/>
      </c>
      <c r="G27">
        <f>B1034</f>
        <v/>
      </c>
      <c r="H27">
        <f>Summary!$B$3*(((1-Summary!$B$11)*IFERROR(B1032/Summary!$B$24,1)+Summary!$B$11*IFERROR(B1033/Summary!$B$25,1))-1)</f>
        <v/>
      </c>
      <c r="I27">
        <f>((1-Summary!$B$11)*IFERROR(B1032/Summary!$B$24,1)+Summary!$B$11*IFERROR(B1033/Summary!$B$25,1))*100</f>
        <v/>
      </c>
    </row>
    <row r="28">
      <c r="A28" t="inlineStr">
        <is>
          <t>Skill Cooldown Decrease (seconds)</t>
        </is>
      </c>
      <c r="B28">
        <f>IFERROR(1/(I28-100),"n/a")</f>
        <v/>
      </c>
      <c r="C28" t="inlineStr">
        <is>
          <t>flat</t>
        </is>
      </c>
      <c r="D28">
        <f>Inputs!$B$32+0</f>
        <v/>
      </c>
      <c r="E28">
        <f>(Inputs!$B$32+1)+0</f>
        <v/>
      </c>
      <c r="F28">
        <f>Summary!$B$3</f>
        <v/>
      </c>
      <c r="G28">
        <f>B1076</f>
        <v/>
      </c>
      <c r="H28">
        <f>Summary!$B$3*(((1-Summary!$B$11)*IFERROR(B1074/Summary!$B$24,1)+Summary!$B$11*IFERROR(B1075/Summary!$B$25,1))-1)</f>
        <v/>
      </c>
      <c r="I28">
        <f>((1-Summary!$B$11)*IFERROR(B1074/Summary!$B$24,1)+Summary!$B$11*IFERROR(B1075/Summary!$B$25,1))*100</f>
        <v/>
      </c>
    </row>
    <row r="29">
      <c r="A29" t="inlineStr">
        <is>
          <t>Basic Attack Target Increase (flat)</t>
        </is>
      </c>
      <c r="B29">
        <f>IFERROR(1/(I29-100),"n/a")</f>
        <v/>
      </c>
      <c r="C29" t="inlineStr">
        <is>
          <t>flat</t>
        </is>
      </c>
      <c r="D29">
        <f>Inputs!$B$33+0</f>
        <v/>
      </c>
      <c r="E29">
        <f>(Inputs!$B$33+1)+0</f>
        <v/>
      </c>
      <c r="F29">
        <f>Summary!$B$3</f>
        <v/>
      </c>
      <c r="G29">
        <f>B1118</f>
        <v/>
      </c>
      <c r="H29">
        <f>Summary!$B$3*(((1-Summary!$B$11)*IFERROR(B1116/Summary!$B$24,1)+Summary!$B$11*IFERROR(B1117/Summary!$B$25,1))-1)</f>
        <v/>
      </c>
      <c r="I29">
        <f>((1-Summary!$B$11)*IFERROR(B1116/Summary!$B$24,1)+Summary!$B$11*IFERROR(B1117/Summary!$B$25,1))*100</f>
        <v/>
      </c>
    </row>
    <row r="30">
      <c r="A30" t="inlineStr">
        <is>
          <t>Buff Duration Increase %</t>
        </is>
      </c>
      <c r="B30">
        <f>IFERROR(1/(I30-100),"n/a")</f>
        <v/>
      </c>
      <c r="C30" t="inlineStr">
        <is>
          <t>pct</t>
        </is>
      </c>
      <c r="D30">
        <f>Inputs!$B$34+0</f>
        <v/>
      </c>
      <c r="E30">
        <f>(Inputs!$B$34+1)+0</f>
        <v/>
      </c>
      <c r="F30">
        <f>Summary!$B$3</f>
        <v/>
      </c>
      <c r="G30">
        <f>B1160</f>
        <v/>
      </c>
      <c r="H30">
        <f>Summary!$B$3*(((1-Summary!$B$11)*IFERROR(B1158/Summary!$B$24,1)+Summary!$B$11*IFERROR(B1159/Summary!$B$25,1))-1)</f>
        <v/>
      </c>
      <c r="I30">
        <f>((1-Summary!$B$11)*IFERROR(B1158/Summary!$B$24,1)+Summary!$B$11*IFERROR(B1159/Summary!$B$25,1))*100</f>
        <v/>
      </c>
    </row>
    <row r="31">
      <c r="A31" s="9" t="inlineStr">
        <is>
          <t>Artifact Equip-Toggle DPS Gain</t>
        </is>
      </c>
    </row>
    <row r="32">
      <c r="A32" s="5" t="inlineStr">
        <is>
          <t>Artifact</t>
        </is>
      </c>
      <c r="B32" s="5" t="inlineStr">
        <is>
          <t>DPS Gain</t>
        </is>
      </c>
      <c r="C32" s="5" t="inlineStr">
        <is>
          <t>% Gain</t>
        </is>
      </c>
    </row>
    <row r="33">
      <c r="A33">
        <f>IF(1&gt;COUNTIF($AD$33:$AD$68,TRUE),"",INDEX($AA$33:$AA$68,MATCH(1,$AE$33:$AE$68,0)))</f>
        <v/>
      </c>
      <c r="B33">
        <f>IF(1&gt;COUNTIF($AD$33:$AD$68,TRUE),"",INDEX($AB$33:$AB$68,MATCH(1,$AE$33:$AE$68,0)))</f>
        <v/>
      </c>
      <c r="C33">
        <f>IF(1&gt;COUNTIF($AD$33:$AD$68,TRUE),"",INDEX($AC$33:$AC$68,MATCH(1,$AE$33:$AE$68,0)))</f>
        <v/>
      </c>
      <c r="AA33" t="inlineStr">
        <is>
          <t>Charm of the Undead (Equip)</t>
        </is>
      </c>
      <c r="AB33">
        <f>(IF(ArtifactsInput!$M$5,-1,1)*Summary!$B$3*(((1-Summary!$B$11)*IFERROR(B1200/Summary!$B$24,1)+Summary!$B$11*IFERROR(B1201/Summary!$B$25,1))-1)+ArtifactsInput!$L$5)</f>
        <v/>
      </c>
      <c r="AC33">
        <f>IF(ArtifactsInput!$M$5,Summary!$B$3/(Summary!$B$3-(IF(ArtifactsInput!$M$5,-1,1)*Summary!$B$3*(((1-Summary!$B$11)*IFERROR(B1200/Summary!$B$24,1)+Summary!$B$11*IFERROR(B1201/Summary!$B$25,1))-1)+ArtifactsInput!$L$5))*100,(Summary!$B$3+(IF(ArtifactsInput!$M$5,-1,1)*Summary!$B$3*(((1-Summary!$B$11)*IFERROR(B1200/Summary!$B$24,1)+Summary!$B$11*IFERROR(B1201/Summary!$B$25,1))-1)+ArtifactsInput!$L$5))/Summary!$B$3*100)</f>
        <v/>
      </c>
      <c r="AD33">
        <f>ArtifactsInput!$B$5&lt;&gt;"Not Unlocked"</f>
        <v/>
      </c>
      <c r="AE33">
        <f>IF(AD33,SUMPRODUCT(($AD$33:$AD$68)*($AC$33:$AC$68&gt;AC33))+COUNTIFS($AD$33:AD33,TRUE,$AC$33:AC33,AC33),"")</f>
        <v/>
      </c>
    </row>
    <row r="34">
      <c r="A34">
        <f>IF(2&gt;COUNTIF($AD$33:$AD$68,TRUE),"",INDEX($AA$33:$AA$68,MATCH(2,$AE$33:$AE$68,0)))</f>
        <v/>
      </c>
      <c r="B34">
        <f>IF(2&gt;COUNTIF($AD$33:$AD$68,TRUE),"",INDEX($AB$33:$AB$68,MATCH(2,$AE$33:$AE$68,0)))</f>
        <v/>
      </c>
      <c r="C34">
        <f>IF(2&gt;COUNTIF($AD$33:$AD$68,TRUE),"",INDEX($AC$33:$AC$68,MATCH(2,$AE$33:$AE$68,0)))</f>
        <v/>
      </c>
      <c r="AA34" t="inlineStr">
        <is>
          <t>Pig's Ribbon (Equip)</t>
        </is>
      </c>
      <c r="AB34">
        <f>(IF(ArtifactsInput!$M$6,-1,1)*Summary!$B$3*(((1-Summary!$B$11)*IFERROR(B1242/Summary!$B$24,1)+Summary!$B$11*IFERROR(B1243/Summary!$B$25,1))-1)+ArtifactsInput!$L$6)</f>
        <v/>
      </c>
      <c r="AC34">
        <f>IF(ArtifactsInput!$M$6,Summary!$B$3/(Summary!$B$3-(IF(ArtifactsInput!$M$6,-1,1)*Summary!$B$3*(((1-Summary!$B$11)*IFERROR(B1242/Summary!$B$24,1)+Summary!$B$11*IFERROR(B1243/Summary!$B$25,1))-1)+ArtifactsInput!$L$6))*100,(Summary!$B$3+(IF(ArtifactsInput!$M$6,-1,1)*Summary!$B$3*(((1-Summary!$B$11)*IFERROR(B1242/Summary!$B$24,1)+Summary!$B$11*IFERROR(B1243/Summary!$B$25,1))-1)+ArtifactsInput!$L$6))/Summary!$B$3*100)</f>
        <v/>
      </c>
      <c r="AD34">
        <f>ArtifactsInput!$B$6&lt;&gt;"Not Unlocked"</f>
        <v/>
      </c>
      <c r="AE34">
        <f>IF(AD34,SUMPRODUCT(($AD$33:$AD$68)*($AC$33:$AC$68&gt;AC34))+COUNTIFS($AD$33:AD34,TRUE,$AC$33:AC34,AC34),"")</f>
        <v/>
      </c>
    </row>
    <row r="35">
      <c r="A35">
        <f>IF(3&gt;COUNTIF($AD$33:$AD$68,TRUE),"",INDEX($AA$33:$AA$68,MATCH(3,$AE$33:$AE$68,0)))</f>
        <v/>
      </c>
      <c r="B35">
        <f>IF(3&gt;COUNTIF($AD$33:$AD$68,TRUE),"",INDEX($AB$33:$AB$68,MATCH(3,$AE$33:$AE$68,0)))</f>
        <v/>
      </c>
      <c r="C35">
        <f>IF(3&gt;COUNTIF($AD$33:$AD$68,TRUE),"",INDEX($AC$33:$AC$68,MATCH(3,$AE$33:$AE$68,0)))</f>
        <v/>
      </c>
      <c r="AA35" t="inlineStr">
        <is>
          <t>Shamaness Marble (Equip)</t>
        </is>
      </c>
      <c r="AB35">
        <f>(IF(ArtifactsInput!$M$7,-1,1)*Summary!$B$3*(((1-Summary!$B$11)*IFERROR(B1284/Summary!$B$24,1)+Summary!$B$11*IFERROR(B1285/Summary!$B$25,1))-1)+ArtifactsInput!$L$7)</f>
        <v/>
      </c>
      <c r="AC35">
        <f>IF(ArtifactsInput!$M$7,Summary!$B$3/(Summary!$B$3-(IF(ArtifactsInput!$M$7,-1,1)*Summary!$B$3*(((1-Summary!$B$11)*IFERROR(B1284/Summary!$B$24,1)+Summary!$B$11*IFERROR(B1285/Summary!$B$25,1))-1)+ArtifactsInput!$L$7))*100,(Summary!$B$3+(IF(ArtifactsInput!$M$7,-1,1)*Summary!$B$3*(((1-Summary!$B$11)*IFERROR(B1284/Summary!$B$24,1)+Summary!$B$11*IFERROR(B1285/Summary!$B$25,1))-1)+ArtifactsInput!$L$7))/Summary!$B$3*100)</f>
        <v/>
      </c>
      <c r="AD35">
        <f>ArtifactsInput!$B$7&lt;&gt;"Not Unlocked"</f>
        <v/>
      </c>
      <c r="AE35">
        <f>IF(AD35,SUMPRODUCT(($AD$33:$AD$68)*($AC$33:$AC$68&gt;AC35))+COUNTIFS($AD$33:AD35,TRUE,$AC$33:AC35,AC35),"")</f>
        <v/>
      </c>
    </row>
    <row r="36">
      <c r="A36">
        <f>IF(4&gt;COUNTIF($AD$33:$AD$68,TRUE),"",INDEX($AA$33:$AA$68,MATCH(4,$AE$33:$AE$68,0)))</f>
        <v/>
      </c>
      <c r="B36">
        <f>IF(4&gt;COUNTIF($AD$33:$AD$68,TRUE),"",INDEX($AB$33:$AB$68,MATCH(4,$AE$33:$AE$68,0)))</f>
        <v/>
      </c>
      <c r="C36">
        <f>IF(4&gt;COUNTIF($AD$33:$AD$68,TRUE),"",INDEX($AC$33:$AC$68,MATCH(4,$AE$33:$AE$68,0)))</f>
        <v/>
      </c>
      <c r="AA36" t="inlineStr">
        <is>
          <t>The Contract of Darkness (Equip)</t>
        </is>
      </c>
      <c r="AB36">
        <f>(IF(ArtifactsInput!$M$8,-1,1)*Summary!$B$3*(((1-Summary!$B$11)*IFERROR(B1326/Summary!$B$24,1)+Summary!$B$11*IFERROR(B1327/Summary!$B$25,1))-1)+ArtifactsInput!$L$8)</f>
        <v/>
      </c>
      <c r="AC36">
        <f>IF(ArtifactsInput!$M$8,Summary!$B$3/(Summary!$B$3-(IF(ArtifactsInput!$M$8,-1,1)*Summary!$B$3*(((1-Summary!$B$11)*IFERROR(B1326/Summary!$B$24,1)+Summary!$B$11*IFERROR(B1327/Summary!$B$25,1))-1)+ArtifactsInput!$L$8))*100,(Summary!$B$3+(IF(ArtifactsInput!$M$8,-1,1)*Summary!$B$3*(((1-Summary!$B$11)*IFERROR(B1326/Summary!$B$24,1)+Summary!$B$11*IFERROR(B1327/Summary!$B$25,1))-1)+ArtifactsInput!$L$8))/Summary!$B$3*100)</f>
        <v/>
      </c>
      <c r="AD36">
        <f>ArtifactsInput!$B$8&lt;&gt;"Not Unlocked"</f>
        <v/>
      </c>
      <c r="AE36">
        <f>IF(AD36,SUMPRODUCT(($AD$33:$AD$68)*($AC$33:$AC$68&gt;AC36))+COUNTIFS($AD$33:AD36,TRUE,$AC$33:AC36,AC36),"")</f>
        <v/>
      </c>
    </row>
    <row r="37">
      <c r="A37">
        <f>IF(5&gt;COUNTIF($AD$33:$AD$68,TRUE),"",INDEX($AA$33:$AA$68,MATCH(5,$AE$33:$AE$68,0)))</f>
        <v/>
      </c>
      <c r="B37">
        <f>IF(5&gt;COUNTIF($AD$33:$AD$68,TRUE),"",INDEX($AB$33:$AB$68,MATCH(5,$AE$33:$AE$68,0)))</f>
        <v/>
      </c>
      <c r="C37">
        <f>IF(5&gt;COUNTIF($AD$33:$AD$68,TRUE),"",INDEX($AC$33:$AC$68,MATCH(5,$AE$33:$AE$68,0)))</f>
        <v/>
      </c>
      <c r="AA37" t="inlineStr">
        <is>
          <t>Rainbow-colored Snail Shell (Equip)</t>
        </is>
      </c>
      <c r="AB37">
        <f>(IF(ArtifactsInput!$M$10,-1,1)*Summary!$B$3*(((1-Summary!$B$11)*IFERROR(B1368/Summary!$B$24,1)+Summary!$B$11*IFERROR(B1369/Summary!$B$25,1))-1)+ArtifactsInput!$L$10)</f>
        <v/>
      </c>
      <c r="AC37">
        <f>IF(ArtifactsInput!$M$10,Summary!$B$3/(Summary!$B$3-(IF(ArtifactsInput!$M$10,-1,1)*Summary!$B$3*(((1-Summary!$B$11)*IFERROR(B1368/Summary!$B$24,1)+Summary!$B$11*IFERROR(B1369/Summary!$B$25,1))-1)+ArtifactsInput!$L$10))*100,(Summary!$B$3+(IF(ArtifactsInput!$M$10,-1,1)*Summary!$B$3*(((1-Summary!$B$11)*IFERROR(B1368/Summary!$B$24,1)+Summary!$B$11*IFERROR(B1369/Summary!$B$25,1))-1)+ArtifactsInput!$L$10))/Summary!$B$3*100)</f>
        <v/>
      </c>
      <c r="AD37">
        <f>ArtifactsInput!$B$10&lt;&gt;"Not Unlocked"</f>
        <v/>
      </c>
      <c r="AE37">
        <f>IF(AD37,SUMPRODUCT(($AD$33:$AD$68)*($AC$33:$AC$68&gt;AC37))+COUNTIFS($AD$33:AD37,TRUE,$AC$33:AC37,AC37),"")</f>
        <v/>
      </c>
    </row>
    <row r="38">
      <c r="A38">
        <f>IF(6&gt;COUNTIF($AD$33:$AD$68,TRUE),"",INDEX($AA$33:$AA$68,MATCH(6,$AE$33:$AE$68,0)))</f>
        <v/>
      </c>
      <c r="B38">
        <f>IF(6&gt;COUNTIF($AD$33:$AD$68,TRUE),"",INDEX($AB$33:$AB$68,MATCH(6,$AE$33:$AE$68,0)))</f>
        <v/>
      </c>
      <c r="C38">
        <f>IF(6&gt;COUNTIF($AD$33:$AD$68,TRUE),"",INDEX($AC$33:$AC$68,MATCH(6,$AE$33:$AE$68,0)))</f>
        <v/>
      </c>
      <c r="AA38" t="inlineStr">
        <is>
          <t>Hexagon Necklace (Equip)</t>
        </is>
      </c>
      <c r="AB38">
        <f>(IF(ArtifactsInput!$M$11,-1,1)*Summary!$B$3*(((1-Summary!$B$11)*IFERROR(B1410/Summary!$B$24,1)+Summary!$B$11*IFERROR(B1411/Summary!$B$25,1))-1)+ArtifactsInput!$L$11)</f>
        <v/>
      </c>
      <c r="AC38">
        <f>IF(ArtifactsInput!$M$11,Summary!$B$3/(Summary!$B$3-(IF(ArtifactsInput!$M$11,-1,1)*Summary!$B$3*(((1-Summary!$B$11)*IFERROR(B1410/Summary!$B$24,1)+Summary!$B$11*IFERROR(B1411/Summary!$B$25,1))-1)+ArtifactsInput!$L$11))*100,(Summary!$B$3+(IF(ArtifactsInput!$M$11,-1,1)*Summary!$B$3*(((1-Summary!$B$11)*IFERROR(B1410/Summary!$B$24,1)+Summary!$B$11*IFERROR(B1411/Summary!$B$25,1))-1)+ArtifactsInput!$L$11))/Summary!$B$3*100)</f>
        <v/>
      </c>
      <c r="AD38">
        <f>ArtifactsInput!$B$11&lt;&gt;"Not Unlocked"</f>
        <v/>
      </c>
      <c r="AE38">
        <f>IF(AD38,SUMPRODUCT(($AD$33:$AD$68)*($AC$33:$AC$68&gt;AC38))+COUNTIFS($AD$33:AD38,TRUE,$AC$33:AC38,AC38),"")</f>
        <v/>
      </c>
    </row>
    <row r="39">
      <c r="A39">
        <f>IF(7&gt;COUNTIF($AD$33:$AD$68,TRUE),"",INDEX($AA$33:$AA$68,MATCH(7,$AE$33:$AE$68,0)))</f>
        <v/>
      </c>
      <c r="B39">
        <f>IF(7&gt;COUNTIF($AD$33:$AD$68,TRUE),"",INDEX($AB$33:$AB$68,MATCH(7,$AE$33:$AE$68,0)))</f>
        <v/>
      </c>
      <c r="C39">
        <f>IF(7&gt;COUNTIF($AD$33:$AD$68,TRUE),"",INDEX($AC$33:$AC$68,MATCH(7,$AE$33:$AE$68,0)))</f>
        <v/>
      </c>
      <c r="AA39" t="inlineStr">
        <is>
          <t>Arwen's Glass Shoes (Equip)</t>
        </is>
      </c>
      <c r="AB39">
        <f>(IF(ArtifactsInput!$M$12,-1,1)*Summary!$B$3*(((1-Summary!$B$11)*IFERROR(B1452/Summary!$B$24,1)+Summary!$B$11*IFERROR(B1453/Summary!$B$25,1))-1)+ArtifactsInput!$L$12)</f>
        <v/>
      </c>
      <c r="AC39">
        <f>IF(ArtifactsInput!$M$12,Summary!$B$3/(Summary!$B$3-(IF(ArtifactsInput!$M$12,-1,1)*Summary!$B$3*(((1-Summary!$B$11)*IFERROR(B1452/Summary!$B$24,1)+Summary!$B$11*IFERROR(B1453/Summary!$B$25,1))-1)+ArtifactsInput!$L$12))*100,(Summary!$B$3+(IF(ArtifactsInput!$M$12,-1,1)*Summary!$B$3*(((1-Summary!$B$11)*IFERROR(B1452/Summary!$B$24,1)+Summary!$B$11*IFERROR(B1453/Summary!$B$25,1))-1)+ArtifactsInput!$L$12))/Summary!$B$3*100)</f>
        <v/>
      </c>
      <c r="AD39">
        <f>ArtifactsInput!$B$12&lt;&gt;"Not Unlocked"</f>
        <v/>
      </c>
      <c r="AE39">
        <f>IF(AD39,SUMPRODUCT(($AD$33:$AD$68)*($AC$33:$AC$68&gt;AC39))+COUNTIFS($AD$33:AD39,TRUE,$AC$33:AC39,AC39),"")</f>
        <v/>
      </c>
    </row>
    <row r="40">
      <c r="A40">
        <f>IF(8&gt;COUNTIF($AD$33:$AD$68,TRUE),"",INDEX($AA$33:$AA$68,MATCH(8,$AE$33:$AE$68,0)))</f>
        <v/>
      </c>
      <c r="B40">
        <f>IF(8&gt;COUNTIF($AD$33:$AD$68,TRUE),"",INDEX($AB$33:$AB$68,MATCH(8,$AE$33:$AE$68,0)))</f>
        <v/>
      </c>
      <c r="C40">
        <f>IF(8&gt;COUNTIF($AD$33:$AD$68,TRUE),"",INDEX($AC$33:$AC$68,MATCH(8,$AE$33:$AE$68,0)))</f>
        <v/>
      </c>
      <c r="AA40" t="inlineStr">
        <is>
          <t>Mushmom's Cap (Equip)</t>
        </is>
      </c>
      <c r="AB40">
        <f>(IF(ArtifactsInput!$M$13,-1,1)*Summary!$B$3*(((1-Summary!$B$11)*IFERROR(B1494/Summary!$B$24,1)+Summary!$B$11*IFERROR(B1495/Summary!$B$25,1))-1)+ArtifactsInput!$L$13)</f>
        <v/>
      </c>
      <c r="AC40">
        <f>IF(ArtifactsInput!$M$13,Summary!$B$3/(Summary!$B$3-(IF(ArtifactsInput!$M$13,-1,1)*Summary!$B$3*(((1-Summary!$B$11)*IFERROR(B1494/Summary!$B$24,1)+Summary!$B$11*IFERROR(B1495/Summary!$B$25,1))-1)+ArtifactsInput!$L$13))*100,(Summary!$B$3+(IF(ArtifactsInput!$M$13,-1,1)*Summary!$B$3*(((1-Summary!$B$11)*IFERROR(B1494/Summary!$B$24,1)+Summary!$B$11*IFERROR(B1495/Summary!$B$25,1))-1)+ArtifactsInput!$L$13))/Summary!$B$3*100)</f>
        <v/>
      </c>
      <c r="AD40">
        <f>ArtifactsInput!$B$13&lt;&gt;"Not Unlocked"</f>
        <v/>
      </c>
      <c r="AE40">
        <f>IF(AD40,SUMPRODUCT(($AD$33:$AD$68)*($AC$33:$AC$68&gt;AC40))+COUNTIFS($AD$33:AD40,TRUE,$AC$33:AC40,AC40),"")</f>
        <v/>
      </c>
    </row>
    <row r="41">
      <c r="A41">
        <f>IF(9&gt;COUNTIF($AD$33:$AD$68,TRUE),"",INDEX($AA$33:$AA$68,MATCH(9,$AE$33:$AE$68,0)))</f>
        <v/>
      </c>
      <c r="B41">
        <f>IF(9&gt;COUNTIF($AD$33:$AD$68,TRUE),"",INDEX($AB$33:$AB$68,MATCH(9,$AE$33:$AE$68,0)))</f>
        <v/>
      </c>
      <c r="C41">
        <f>IF(9&gt;COUNTIF($AD$33:$AD$68,TRUE),"",INDEX($AC$33:$AC$68,MATCH(9,$AE$33:$AE$68,0)))</f>
        <v/>
      </c>
      <c r="AA41" t="inlineStr">
        <is>
          <t>Clear Spring Water (Equip)</t>
        </is>
      </c>
      <c r="AB41">
        <f>(IF(ArtifactsInput!$M$14,-1,1)*Summary!$B$3*(((1-Summary!$B$11)*IFERROR(B1536/Summary!$B$24,1)+Summary!$B$11*IFERROR(B1537/Summary!$B$25,1))-1)+ArtifactsInput!$L$14)</f>
        <v/>
      </c>
      <c r="AC41">
        <f>IF(ArtifactsInput!$M$14,Summary!$B$3/(Summary!$B$3-(IF(ArtifactsInput!$M$14,-1,1)*Summary!$B$3*(((1-Summary!$B$11)*IFERROR(B1536/Summary!$B$24,1)+Summary!$B$11*IFERROR(B1537/Summary!$B$25,1))-1)+ArtifactsInput!$L$14))*100,(Summary!$B$3+(IF(ArtifactsInput!$M$14,-1,1)*Summary!$B$3*(((1-Summary!$B$11)*IFERROR(B1536/Summary!$B$24,1)+Summary!$B$11*IFERROR(B1537/Summary!$B$25,1))-1)+ArtifactsInput!$L$14))/Summary!$B$3*100)</f>
        <v/>
      </c>
      <c r="AD41">
        <f>ArtifactsInput!$B$14&lt;&gt;"Not Unlocked"</f>
        <v/>
      </c>
      <c r="AE41">
        <f>IF(AD41,SUMPRODUCT(($AD$33:$AD$68)*($AC$33:$AC$68&gt;AC41))+COUNTIFS($AD$33:AD41,TRUE,$AC$33:AC41,AC41),"")</f>
        <v/>
      </c>
    </row>
    <row r="42">
      <c r="A42">
        <f>IF(10&gt;COUNTIF($AD$33:$AD$68,TRUE),"",INDEX($AA$33:$AA$68,MATCH(10,$AE$33:$AE$68,0)))</f>
        <v/>
      </c>
      <c r="B42">
        <f>IF(10&gt;COUNTIF($AD$33:$AD$68,TRUE),"",INDEX($AB$33:$AB$68,MATCH(10,$AE$33:$AE$68,0)))</f>
        <v/>
      </c>
      <c r="C42">
        <f>IF(10&gt;COUNTIF($AD$33:$AD$68,TRUE),"",INDEX($AC$33:$AC$68,MATCH(10,$AE$33:$AE$68,0)))</f>
        <v/>
      </c>
      <c r="AA42" t="inlineStr">
        <is>
          <t>Athena Pierce's Old Gloves (Equip)</t>
        </is>
      </c>
      <c r="AB42">
        <f>(IF(ArtifactsInput!$M$15,-1,1)*Summary!$B$3*(((1-Summary!$B$11)*IFERROR(B1578/Summary!$B$24,1)+Summary!$B$11*IFERROR(B1579/Summary!$B$25,1))-1)+ArtifactsInput!$L$15)</f>
        <v/>
      </c>
      <c r="AC42">
        <f>IF(ArtifactsInput!$M$15,Summary!$B$3/(Summary!$B$3-(IF(ArtifactsInput!$M$15,-1,1)*Summary!$B$3*(((1-Summary!$B$11)*IFERROR(B1578/Summary!$B$24,1)+Summary!$B$11*IFERROR(B1579/Summary!$B$25,1))-1)+ArtifactsInput!$L$15))*100,(Summary!$B$3+(IF(ArtifactsInput!$M$15,-1,1)*Summary!$B$3*(((1-Summary!$B$11)*IFERROR(B1578/Summary!$B$24,1)+Summary!$B$11*IFERROR(B1579/Summary!$B$25,1))-1)+ArtifactsInput!$L$15))/Summary!$B$3*100)</f>
        <v/>
      </c>
      <c r="AD42">
        <f>ArtifactsInput!$B$15&lt;&gt;"Not Unlocked"</f>
        <v/>
      </c>
      <c r="AE42">
        <f>IF(AD42,SUMPRODUCT(($AD$33:$AD$68)*($AC$33:$AC$68&gt;AC42))+COUNTIFS($AD$33:AD42,TRUE,$AC$33:AC42,AC42),"")</f>
        <v/>
      </c>
    </row>
    <row r="43">
      <c r="A43">
        <f>IF(11&gt;COUNTIF($AD$33:$AD$68,TRUE),"",INDEX($AA$33:$AA$68,MATCH(11,$AE$33:$AE$68,0)))</f>
        <v/>
      </c>
      <c r="B43">
        <f>IF(11&gt;COUNTIF($AD$33:$AD$68,TRUE),"",INDEX($AB$33:$AB$68,MATCH(11,$AE$33:$AE$68,0)))</f>
        <v/>
      </c>
      <c r="C43">
        <f>IF(11&gt;COUNTIF($AD$33:$AD$68,TRUE),"",INDEX($AC$33:$AC$68,MATCH(11,$AE$33:$AE$68,0)))</f>
        <v/>
      </c>
      <c r="AA43" t="inlineStr">
        <is>
          <t>Zakum's Stone Piece (Equip)</t>
        </is>
      </c>
      <c r="AB43">
        <f>(IF(ArtifactsInput!$M$16,-1,1)*Summary!$B$3*(((1-Summary!$B$11)*IFERROR(B1620/Summary!$B$24,1)+Summary!$B$11*IFERROR(B1621/Summary!$B$25,1))-1)+ArtifactsInput!$L$16)</f>
        <v/>
      </c>
      <c r="AC43">
        <f>IF(ArtifactsInput!$M$16,Summary!$B$3/(Summary!$B$3-(IF(ArtifactsInput!$M$16,-1,1)*Summary!$B$3*(((1-Summary!$B$11)*IFERROR(B1620/Summary!$B$24,1)+Summary!$B$11*IFERROR(B1621/Summary!$B$25,1))-1)+ArtifactsInput!$L$16))*100,(Summary!$B$3+(IF(ArtifactsInput!$M$16,-1,1)*Summary!$B$3*(((1-Summary!$B$11)*IFERROR(B1620/Summary!$B$24,1)+Summary!$B$11*IFERROR(B1621/Summary!$B$25,1))-1)+ArtifactsInput!$L$16))/Summary!$B$3*100)</f>
        <v/>
      </c>
      <c r="AD43">
        <f>ArtifactsInput!$B$16&lt;&gt;"Not Unlocked"</f>
        <v/>
      </c>
      <c r="AE43">
        <f>IF(AD43,SUMPRODUCT(($AD$33:$AD$68)*($AC$33:$AC$68&gt;AC43))+COUNTIFS($AD$33:AD43,TRUE,$AC$33:AC43,AC43),"")</f>
        <v/>
      </c>
    </row>
    <row r="44">
      <c r="A44">
        <f>IF(12&gt;COUNTIF($AD$33:$AD$68,TRUE),"",INDEX($AA$33:$AA$68,MATCH(12,$AE$33:$AE$68,0)))</f>
        <v/>
      </c>
      <c r="B44">
        <f>IF(12&gt;COUNTIF($AD$33:$AD$68,TRUE),"",INDEX($AB$33:$AB$68,MATCH(12,$AE$33:$AE$68,0)))</f>
        <v/>
      </c>
      <c r="C44">
        <f>IF(12&gt;COUNTIF($AD$33:$AD$68,TRUE),"",INDEX($AC$33:$AC$68,MATCH(12,$AE$33:$AE$68,0)))</f>
        <v/>
      </c>
      <c r="AA44" t="inlineStr">
        <is>
          <t>Horntail's Scale (Equip)</t>
        </is>
      </c>
      <c r="AB44">
        <f>(IF(ArtifactsInput!$M$17,-1,1)*Summary!$B$3*(((1-Summary!$B$11)*IFERROR(B1662/Summary!$B$24,1)+Summary!$B$11*IFERROR(B1663/Summary!$B$25,1))-1)+ArtifactsInput!$L$17)</f>
        <v/>
      </c>
      <c r="AC44">
        <f>IF(ArtifactsInput!$M$17,Summary!$B$3/(Summary!$B$3-(IF(ArtifactsInput!$M$17,-1,1)*Summary!$B$3*(((1-Summary!$B$11)*IFERROR(B1662/Summary!$B$24,1)+Summary!$B$11*IFERROR(B1663/Summary!$B$25,1))-1)+ArtifactsInput!$L$17))*100,(Summary!$B$3+(IF(ArtifactsInput!$M$17,-1,1)*Summary!$B$3*(((1-Summary!$B$11)*IFERROR(B1662/Summary!$B$24,1)+Summary!$B$11*IFERROR(B1663/Summary!$B$25,1))-1)+ArtifactsInput!$L$17))/Summary!$B$3*100)</f>
        <v/>
      </c>
      <c r="AD44">
        <f>ArtifactsInput!$B$17&lt;&gt;"Not Unlocked"</f>
        <v/>
      </c>
      <c r="AE44">
        <f>IF(AD44,SUMPRODUCT(($AD$33:$AD$68)*($AC$33:$AC$68&gt;AC44))+COUNTIFS($AD$33:AD44,TRUE,$AC$33:AC44,AC44),"")</f>
        <v/>
      </c>
    </row>
    <row r="45">
      <c r="A45">
        <f>IF(13&gt;COUNTIF($AD$33:$AD$68,TRUE),"",INDEX($AA$33:$AA$68,MATCH(13,$AE$33:$AE$68,0)))</f>
        <v/>
      </c>
      <c r="B45">
        <f>IF(13&gt;COUNTIF($AD$33:$AD$68,TRUE),"",INDEX($AB$33:$AB$68,MATCH(13,$AE$33:$AE$68,0)))</f>
        <v/>
      </c>
      <c r="C45">
        <f>IF(13&gt;COUNTIF($AD$33:$AD$68,TRUE),"",INDEX($AC$33:$AC$68,MATCH(13,$AE$33:$AE$68,0)))</f>
        <v/>
      </c>
      <c r="AA45" t="inlineStr">
        <is>
          <t>Pink Bean's Giant Rib (Equip)</t>
        </is>
      </c>
      <c r="AB45">
        <f>(IF(ArtifactsInput!$M$18,-1,1)*Summary!$B$3*(((1-Summary!$B$11)*IFERROR(B1704/Summary!$B$24,1)+Summary!$B$11*IFERROR(B1705/Summary!$B$25,1))-1)+ArtifactsInput!$L$18)</f>
        <v/>
      </c>
      <c r="AC45">
        <f>IF(ArtifactsInput!$M$18,Summary!$B$3/(Summary!$B$3-(IF(ArtifactsInput!$M$18,-1,1)*Summary!$B$3*(((1-Summary!$B$11)*IFERROR(B1704/Summary!$B$24,1)+Summary!$B$11*IFERROR(B1705/Summary!$B$25,1))-1)+ArtifactsInput!$L$18))*100,(Summary!$B$3+(IF(ArtifactsInput!$M$18,-1,1)*Summary!$B$3*(((1-Summary!$B$11)*IFERROR(B1704/Summary!$B$24,1)+Summary!$B$11*IFERROR(B1705/Summary!$B$25,1))-1)+ArtifactsInput!$L$18))/Summary!$B$3*100)</f>
        <v/>
      </c>
      <c r="AD45">
        <f>ArtifactsInput!$B$18&lt;&gt;"Not Unlocked"</f>
        <v/>
      </c>
      <c r="AE45">
        <f>IF(AD45,SUMPRODUCT(($AD$33:$AD$68)*($AC$33:$AC$68&gt;AC45))+COUNTIFS($AD$33:AD45,TRUE,$AC$33:AC45,AC45),"")</f>
        <v/>
      </c>
    </row>
    <row r="46">
      <c r="A46">
        <f>IF(14&gt;COUNTIF($AD$33:$AD$68,TRUE),"",INDEX($AA$33:$AA$68,MATCH(14,$AE$33:$AE$68,0)))</f>
        <v/>
      </c>
      <c r="B46">
        <f>IF(14&gt;COUNTIF($AD$33:$AD$68,TRUE),"",INDEX($AB$33:$AB$68,MATCH(14,$AE$33:$AE$68,0)))</f>
        <v/>
      </c>
      <c r="C46">
        <f>IF(14&gt;COUNTIF($AD$33:$AD$68,TRUE),"",INDEX($AC$33:$AC$68,MATCH(14,$AE$33:$AE$68,0)))</f>
        <v/>
      </c>
      <c r="AA46" t="inlineStr">
        <is>
          <t>Chalice (Equip)</t>
        </is>
      </c>
      <c r="AB46">
        <f>(IF(ArtifactsInput!$M$20,-1,1)*Summary!$B$3*(((1-Summary!$B$11)*IFERROR(B1746/Summary!$B$24,1)+Summary!$B$11*IFERROR(B1747/Summary!$B$25,1))-1)+ArtifactsInput!$L$20)</f>
        <v/>
      </c>
      <c r="AC46">
        <f>IF(ArtifactsInput!$M$20,Summary!$B$3/(Summary!$B$3-(IF(ArtifactsInput!$M$20,-1,1)*Summary!$B$3*(((1-Summary!$B$11)*IFERROR(B1746/Summary!$B$24,1)+Summary!$B$11*IFERROR(B1747/Summary!$B$25,1))-1)+ArtifactsInput!$L$20))*100,(Summary!$B$3+(IF(ArtifactsInput!$M$20,-1,1)*Summary!$B$3*(((1-Summary!$B$11)*IFERROR(B1746/Summary!$B$24,1)+Summary!$B$11*IFERROR(B1747/Summary!$B$25,1))-1)+ArtifactsInput!$L$20))/Summary!$B$3*100)</f>
        <v/>
      </c>
      <c r="AD46">
        <f>ArtifactsInput!$B$20&lt;&gt;"Not Unlocked"</f>
        <v/>
      </c>
      <c r="AE46">
        <f>IF(AD46,SUMPRODUCT(($AD$33:$AD$68)*($AC$33:$AC$68&gt;AC46))+COUNTIFS($AD$33:AD46,TRUE,$AC$33:AC46,AC46),"")</f>
        <v/>
      </c>
    </row>
    <row r="47">
      <c r="A47">
        <f>IF(15&gt;COUNTIF($AD$33:$AD$68,TRUE),"",INDEX($AA$33:$AA$68,MATCH(15,$AE$33:$AE$68,0)))</f>
        <v/>
      </c>
      <c r="B47">
        <f>IF(15&gt;COUNTIF($AD$33:$AD$68,TRUE),"",INDEX($AB$33:$AB$68,MATCH(15,$AE$33:$AE$68,0)))</f>
        <v/>
      </c>
      <c r="C47">
        <f>IF(15&gt;COUNTIF($AD$33:$AD$68,TRUE),"",INDEX($AC$33:$AC$68,MATCH(15,$AE$33:$AE$68,0)))</f>
        <v/>
      </c>
      <c r="AA47" t="inlineStr">
        <is>
          <t>Old Music Box (Equip)</t>
        </is>
      </c>
      <c r="AB47">
        <f>(IF(ArtifactsInput!$M$21,-1,1)*Summary!$B$3*(((1-Summary!$B$11)*IFERROR(B1788/Summary!$B$24,1)+Summary!$B$11*IFERROR(B1789/Summary!$B$25,1))-1)+ArtifactsInput!$L$21)</f>
        <v/>
      </c>
      <c r="AC47">
        <f>IF(ArtifactsInput!$M$21,Summary!$B$3/(Summary!$B$3-(IF(ArtifactsInput!$M$21,-1,1)*Summary!$B$3*(((1-Summary!$B$11)*IFERROR(B1788/Summary!$B$24,1)+Summary!$B$11*IFERROR(B1789/Summary!$B$25,1))-1)+ArtifactsInput!$L$21))*100,(Summary!$B$3+(IF(ArtifactsInput!$M$21,-1,1)*Summary!$B$3*(((1-Summary!$B$11)*IFERROR(B1788/Summary!$B$24,1)+Summary!$B$11*IFERROR(B1789/Summary!$B$25,1))-1)+ArtifactsInput!$L$21))/Summary!$B$3*100)</f>
        <v/>
      </c>
      <c r="AD47">
        <f>ArtifactsInput!$B$21&lt;&gt;"Not Unlocked"</f>
        <v/>
      </c>
      <c r="AE47">
        <f>IF(AD47,SUMPRODUCT(($AD$33:$AD$68)*($AC$33:$AC$68&gt;AC47))+COUNTIFS($AD$33:AD47,TRUE,$AC$33:AC47,AC47),"")</f>
        <v/>
      </c>
    </row>
    <row r="48">
      <c r="A48">
        <f>IF(16&gt;COUNTIF($AD$33:$AD$68,TRUE),"",INDEX($AA$33:$AA$68,MATCH(16,$AE$33:$AE$68,0)))</f>
        <v/>
      </c>
      <c r="B48">
        <f>IF(16&gt;COUNTIF($AD$33:$AD$68,TRUE),"",INDEX($AB$33:$AB$68,MATCH(16,$AE$33:$AE$68,0)))</f>
        <v/>
      </c>
      <c r="C48">
        <f>IF(16&gt;COUNTIF($AD$33:$AD$68,TRUE),"",INDEX($AC$33:$AC$68,MATCH(16,$AE$33:$AE$68,0)))</f>
        <v/>
      </c>
      <c r="AA48" t="inlineStr">
        <is>
          <t>Silver Pendant (Equip)</t>
        </is>
      </c>
      <c r="AB48">
        <f>(IF(ArtifactsInput!$M$22,-1,1)*Summary!$B$3*(((1-Summary!$B$11)*IFERROR(B1830/Summary!$B$24,1)+Summary!$B$11*IFERROR(B1831/Summary!$B$25,1))-1)+ArtifactsInput!$L$22)</f>
        <v/>
      </c>
      <c r="AC48">
        <f>IF(ArtifactsInput!$M$22,Summary!$B$3/(Summary!$B$3-(IF(ArtifactsInput!$M$22,-1,1)*Summary!$B$3*(((1-Summary!$B$11)*IFERROR(B1830/Summary!$B$24,1)+Summary!$B$11*IFERROR(B1831/Summary!$B$25,1))-1)+ArtifactsInput!$L$22))*100,(Summary!$B$3+(IF(ArtifactsInput!$M$22,-1,1)*Summary!$B$3*(((1-Summary!$B$11)*IFERROR(B1830/Summary!$B$24,1)+Summary!$B$11*IFERROR(B1831/Summary!$B$25,1))-1)+ArtifactsInput!$L$22))/Summary!$B$3*100)</f>
        <v/>
      </c>
      <c r="AD48">
        <f>ArtifactsInput!$B$22&lt;&gt;"Not Unlocked"</f>
        <v/>
      </c>
      <c r="AE48">
        <f>IF(AD48,SUMPRODUCT(($AD$33:$AD$68)*($AC$33:$AC$68&gt;AC48))+COUNTIFS($AD$33:AD48,TRUE,$AC$33:AC48,AC48),"")</f>
        <v/>
      </c>
    </row>
    <row r="49">
      <c r="A49">
        <f>IF(17&gt;COUNTIF($AD$33:$AD$68,TRUE),"",INDEX($AA$33:$AA$68,MATCH(17,$AE$33:$AE$68,0)))</f>
        <v/>
      </c>
      <c r="B49">
        <f>IF(17&gt;COUNTIF($AD$33:$AD$68,TRUE),"",INDEX($AB$33:$AB$68,MATCH(17,$AE$33:$AE$68,0)))</f>
        <v/>
      </c>
      <c r="C49">
        <f>IF(17&gt;COUNTIF($AD$33:$AD$68,TRUE),"",INDEX($AC$33:$AC$68,MATCH(17,$AE$33:$AE$68,0)))</f>
        <v/>
      </c>
      <c r="AA49" t="inlineStr">
        <is>
          <t>Star Rock (Equip)</t>
        </is>
      </c>
      <c r="AB49">
        <f>(IF(ArtifactsInput!$M$23,-1,1)*Summary!$B$3*(((1-Summary!$B$11)*IFERROR(B1872/Summary!$B$24,1)+Summary!$B$11*IFERROR(B1873/Summary!$B$25,1))-1)+ArtifactsInput!$L$23)</f>
        <v/>
      </c>
      <c r="AC49">
        <f>IF(ArtifactsInput!$M$23,Summary!$B$3/(Summary!$B$3-(IF(ArtifactsInput!$M$23,-1,1)*Summary!$B$3*(((1-Summary!$B$11)*IFERROR(B1872/Summary!$B$24,1)+Summary!$B$11*IFERROR(B1873/Summary!$B$25,1))-1)+ArtifactsInput!$L$23))*100,(Summary!$B$3+(IF(ArtifactsInput!$M$23,-1,1)*Summary!$B$3*(((1-Summary!$B$11)*IFERROR(B1872/Summary!$B$24,1)+Summary!$B$11*IFERROR(B1873/Summary!$B$25,1))-1)+ArtifactsInput!$L$23))/Summary!$B$3*100)</f>
        <v/>
      </c>
      <c r="AD49">
        <f>ArtifactsInput!$B$23&lt;&gt;"Not Unlocked"</f>
        <v/>
      </c>
      <c r="AE49">
        <f>IF(AD49,SUMPRODUCT(($AD$33:$AD$68)*($AC$33:$AC$68&gt;AC49))+COUNTIFS($AD$33:AD49,TRUE,$AC$33:AC49,AC49),"")</f>
        <v/>
      </c>
    </row>
    <row r="50">
      <c r="A50">
        <f>IF(18&gt;COUNTIF($AD$33:$AD$68,TRUE),"",INDEX($AA$33:$AA$68,MATCH(18,$AE$33:$AE$68,0)))</f>
        <v/>
      </c>
      <c r="B50">
        <f>IF(18&gt;COUNTIF($AD$33:$AD$68,TRUE),"",INDEX($AB$33:$AB$68,MATCH(18,$AE$33:$AE$68,0)))</f>
        <v/>
      </c>
      <c r="C50">
        <f>IF(18&gt;COUNTIF($AD$33:$AD$68,TRUE),"",INDEX($AC$33:$AC$68,MATCH(18,$AE$33:$AE$68,0)))</f>
        <v/>
      </c>
      <c r="AA50" t="inlineStr">
        <is>
          <t>Book of Ancient (Equip)</t>
        </is>
      </c>
      <c r="AB50">
        <f>(IF(ArtifactsInput!$M$24,-1,1)*Summary!$B$3*(((1-Summary!$B$11)*IFERROR(B1914/Summary!$B$24,1)+Summary!$B$11*IFERROR(B1915/Summary!$B$25,1))-1)+ArtifactsInput!$L$24)</f>
        <v/>
      </c>
      <c r="AC50">
        <f>IF(ArtifactsInput!$M$24,Summary!$B$3/(Summary!$B$3-(IF(ArtifactsInput!$M$24,-1,1)*Summary!$B$3*(((1-Summary!$B$11)*IFERROR(B1914/Summary!$B$24,1)+Summary!$B$11*IFERROR(B1915/Summary!$B$25,1))-1)+ArtifactsInput!$L$24))*100,(Summary!$B$3+(IF(ArtifactsInput!$M$24,-1,1)*Summary!$B$3*(((1-Summary!$B$11)*IFERROR(B1914/Summary!$B$24,1)+Summary!$B$11*IFERROR(B1915/Summary!$B$25,1))-1)+ArtifactsInput!$L$24))/Summary!$B$3*100)</f>
        <v/>
      </c>
      <c r="AD50">
        <f>ArtifactsInput!$B$24&lt;&gt;"Not Unlocked"</f>
        <v/>
      </c>
      <c r="AE50">
        <f>IF(AD50,SUMPRODUCT(($AD$33:$AD$68)*($AC$33:$AC$68&gt;AC50))+COUNTIFS($AD$33:AD50,TRUE,$AC$33:AC50,AC50),"")</f>
        <v/>
      </c>
    </row>
    <row r="51">
      <c r="A51">
        <f>IF(19&gt;COUNTIF($AD$33:$AD$68,TRUE),"",INDEX($AA$33:$AA$68,MATCH(19,$AE$33:$AE$68,0)))</f>
        <v/>
      </c>
      <c r="B51">
        <f>IF(19&gt;COUNTIF($AD$33:$AD$68,TRUE),"",INDEX($AB$33:$AB$68,MATCH(19,$AE$33:$AE$68,0)))</f>
        <v/>
      </c>
      <c r="C51">
        <f>IF(19&gt;COUNTIF($AD$33:$AD$68,TRUE),"",INDEX($AC$33:$AC$68,MATCH(19,$AE$33:$AE$68,0)))</f>
        <v/>
      </c>
      <c r="AA51" t="inlineStr">
        <is>
          <t>Lunar Dew (Equip)</t>
        </is>
      </c>
      <c r="AB51">
        <f>(IF(ArtifactsInput!$M$25,-1,1)*Summary!$B$3*(((1-Summary!$B$11)*IFERROR(B1956/Summary!$B$24,1)+Summary!$B$11*IFERROR(B1957/Summary!$B$25,1))-1)+ArtifactsInput!$L$25)</f>
        <v/>
      </c>
      <c r="AC51">
        <f>IF(ArtifactsInput!$M$25,Summary!$B$3/(Summary!$B$3-(IF(ArtifactsInput!$M$25,-1,1)*Summary!$B$3*(((1-Summary!$B$11)*IFERROR(B1956/Summary!$B$24,1)+Summary!$B$11*IFERROR(B1957/Summary!$B$25,1))-1)+ArtifactsInput!$L$25))*100,(Summary!$B$3+(IF(ArtifactsInput!$M$25,-1,1)*Summary!$B$3*(((1-Summary!$B$11)*IFERROR(B1956/Summary!$B$24,1)+Summary!$B$11*IFERROR(B1957/Summary!$B$25,1))-1)+ArtifactsInput!$L$25))/Summary!$B$3*100)</f>
        <v/>
      </c>
      <c r="AD51">
        <f>ArtifactsInput!$B$25&lt;&gt;"Not Unlocked"</f>
        <v/>
      </c>
      <c r="AE51">
        <f>IF(AD51,SUMPRODUCT(($AD$33:$AD$68)*($AC$33:$AC$68&gt;AC51))+COUNTIFS($AD$33:AD51,TRUE,$AC$33:AC51,AC51),"")</f>
        <v/>
      </c>
    </row>
    <row r="52">
      <c r="A52">
        <f>IF(20&gt;COUNTIF($AD$33:$AD$68,TRUE),"",INDEX($AA$33:$AA$68,MATCH(20,$AE$33:$AE$68,0)))</f>
        <v/>
      </c>
      <c r="B52">
        <f>IF(20&gt;COUNTIF($AD$33:$AD$68,TRUE),"",INDEX($AB$33:$AB$68,MATCH(20,$AE$33:$AE$68,0)))</f>
        <v/>
      </c>
      <c r="C52">
        <f>IF(20&gt;COUNTIF($AD$33:$AD$68,TRUE),"",INDEX($AC$33:$AC$68,MATCH(20,$AE$33:$AE$68,0)))</f>
        <v/>
      </c>
      <c r="AA52" t="inlineStr">
        <is>
          <t>Fire Flower (Equip)</t>
        </is>
      </c>
      <c r="AB52">
        <f>(IF(ArtifactsInput!$M$26,-1,1)*Summary!$B$3*(((1-Summary!$B$11)*IFERROR(B1998/Summary!$B$24,1)+Summary!$B$11*IFERROR(B1999/Summary!$B$25,1))-1)+ArtifactsInput!$L$26)</f>
        <v/>
      </c>
      <c r="AC52">
        <f>IF(ArtifactsInput!$M$26,Summary!$B$3/(Summary!$B$3-(IF(ArtifactsInput!$M$26,-1,1)*Summary!$B$3*(((1-Summary!$B$11)*IFERROR(B1998/Summary!$B$24,1)+Summary!$B$11*IFERROR(B1999/Summary!$B$25,1))-1)+ArtifactsInput!$L$26))*100,(Summary!$B$3+(IF(ArtifactsInput!$M$26,-1,1)*Summary!$B$3*(((1-Summary!$B$11)*IFERROR(B1998/Summary!$B$24,1)+Summary!$B$11*IFERROR(B1999/Summary!$B$25,1))-1)+ArtifactsInput!$L$26))/Summary!$B$3*100)</f>
        <v/>
      </c>
      <c r="AD52">
        <f>ArtifactsInput!$B$26&lt;&gt;"Not Unlocked"</f>
        <v/>
      </c>
      <c r="AE52">
        <f>IF(AD52,SUMPRODUCT(($AD$33:$AD$68)*($AC$33:$AC$68&gt;AC52))+COUNTIFS($AD$33:AD52,TRUE,$AC$33:AC52,AC52),"")</f>
        <v/>
      </c>
    </row>
    <row r="53">
      <c r="A53">
        <f>IF(21&gt;COUNTIF($AD$33:$AD$68,TRUE),"",INDEX($AA$33:$AA$68,MATCH(21,$AE$33:$AE$68,0)))</f>
        <v/>
      </c>
      <c r="B53">
        <f>IF(21&gt;COUNTIF($AD$33:$AD$68,TRUE),"",INDEX($AB$33:$AB$68,MATCH(21,$AE$33:$AE$68,0)))</f>
        <v/>
      </c>
      <c r="C53">
        <f>IF(21&gt;COUNTIF($AD$33:$AD$68,TRUE),"",INDEX($AC$33:$AC$68,MATCH(21,$AE$33:$AE$68,0)))</f>
        <v/>
      </c>
      <c r="AA53" t="inlineStr">
        <is>
          <t>Soul Contract (Equip)</t>
        </is>
      </c>
      <c r="AB53">
        <f>(IF(ArtifactsInput!$M$27,-1,1)*Summary!$B$3*(((1-Summary!$B$11)*IFERROR(B2040/Summary!$B$24,1)+Summary!$B$11*IFERROR(B2041/Summary!$B$25,1))-1)+ArtifactsInput!$L$27)</f>
        <v/>
      </c>
      <c r="AC53">
        <f>IF(ArtifactsInput!$M$27,Summary!$B$3/(Summary!$B$3-(IF(ArtifactsInput!$M$27,-1,1)*Summary!$B$3*(((1-Summary!$B$11)*IFERROR(B2040/Summary!$B$24,1)+Summary!$B$11*IFERROR(B2041/Summary!$B$25,1))-1)+ArtifactsInput!$L$27))*100,(Summary!$B$3+(IF(ArtifactsInput!$M$27,-1,1)*Summary!$B$3*(((1-Summary!$B$11)*IFERROR(B2040/Summary!$B$24,1)+Summary!$B$11*IFERROR(B2041/Summary!$B$25,1))-1)+ArtifactsInput!$L$27))/Summary!$B$3*100)</f>
        <v/>
      </c>
      <c r="AD53">
        <f>ArtifactsInput!$B$27&lt;&gt;"Not Unlocked"</f>
        <v/>
      </c>
      <c r="AE53">
        <f>IF(AD53,SUMPRODUCT(($AD$33:$AD$68)*($AC$33:$AC$68&gt;AC53))+COUNTIFS($AD$33:AD53,TRUE,$AC$33:AC53,AC53),"")</f>
        <v/>
      </c>
    </row>
    <row r="54">
      <c r="A54">
        <f>IF(22&gt;COUNTIF($AD$33:$AD$68,TRUE),"",INDEX($AA$33:$AA$68,MATCH(22,$AE$33:$AE$68,0)))</f>
        <v/>
      </c>
      <c r="B54">
        <f>IF(22&gt;COUNTIF($AD$33:$AD$68,TRUE),"",INDEX($AB$33:$AB$68,MATCH(22,$AE$33:$AE$68,0)))</f>
        <v/>
      </c>
      <c r="C54">
        <f>IF(22&gt;COUNTIF($AD$33:$AD$68,TRUE),"",INDEX($AC$33:$AC$68,MATCH(22,$AE$33:$AE$68,0)))</f>
        <v/>
      </c>
      <c r="AA54" t="inlineStr">
        <is>
          <t>Lit Lamp (Equip)</t>
        </is>
      </c>
      <c r="AB54">
        <f>(IF(ArtifactsInput!$M$28,-1,1)*Summary!$B$3*(((1-Summary!$B$11)*IFERROR(B2082/Summary!$B$24,1)+Summary!$B$11*IFERROR(B2083/Summary!$B$25,1))-1)+ArtifactsInput!$L$28)</f>
        <v/>
      </c>
      <c r="AC54">
        <f>IF(ArtifactsInput!$M$28,Summary!$B$3/(Summary!$B$3-(IF(ArtifactsInput!$M$28,-1,1)*Summary!$B$3*(((1-Summary!$B$11)*IFERROR(B2082/Summary!$B$24,1)+Summary!$B$11*IFERROR(B2083/Summary!$B$25,1))-1)+ArtifactsInput!$L$28))*100,(Summary!$B$3+(IF(ArtifactsInput!$M$28,-1,1)*Summary!$B$3*(((1-Summary!$B$11)*IFERROR(B2082/Summary!$B$24,1)+Summary!$B$11*IFERROR(B2083/Summary!$B$25,1))-1)+ArtifactsInput!$L$28))/Summary!$B$3*100)</f>
        <v/>
      </c>
      <c r="AD54">
        <f>ArtifactsInput!$B$28&lt;&gt;"Not Unlocked"</f>
        <v/>
      </c>
      <c r="AE54">
        <f>IF(AD54,SUMPRODUCT(($AD$33:$AD$68)*($AC$33:$AC$68&gt;AC54))+COUNTIFS($AD$33:AD54,TRUE,$AC$33:AC54,AC54),"")</f>
        <v/>
      </c>
    </row>
    <row r="55">
      <c r="A55">
        <f>IF(23&gt;COUNTIF($AD$33:$AD$68,TRUE),"",INDEX($AA$33:$AA$68,MATCH(23,$AE$33:$AE$68,0)))</f>
        <v/>
      </c>
      <c r="B55">
        <f>IF(23&gt;COUNTIF($AD$33:$AD$68,TRUE),"",INDEX($AB$33:$AB$68,MATCH(23,$AE$33:$AE$68,0)))</f>
        <v/>
      </c>
      <c r="C55">
        <f>IF(23&gt;COUNTIF($AD$33:$AD$68,TRUE),"",INDEX($AC$33:$AC$68,MATCH(23,$AE$33:$AE$68,0)))</f>
        <v/>
      </c>
      <c r="AA55" t="inlineStr">
        <is>
          <t>Soul Pouch (Equip)</t>
        </is>
      </c>
      <c r="AB55">
        <f>(IF(ArtifactsInput!$M$29,-1,1)*Summary!$B$3*(((1-Summary!$B$11)*IFERROR(B2124/Summary!$B$24,1)+Summary!$B$11*IFERROR(B2125/Summary!$B$25,1))-1)+ArtifactsInput!$L$29)</f>
        <v/>
      </c>
      <c r="AC55">
        <f>IF(ArtifactsInput!$M$29,Summary!$B$3/(Summary!$B$3-(IF(ArtifactsInput!$M$29,-1,1)*Summary!$B$3*(((1-Summary!$B$11)*IFERROR(B2124/Summary!$B$24,1)+Summary!$B$11*IFERROR(B2125/Summary!$B$25,1))-1)+ArtifactsInput!$L$29))*100,(Summary!$B$3+(IF(ArtifactsInput!$M$29,-1,1)*Summary!$B$3*(((1-Summary!$B$11)*IFERROR(B2124/Summary!$B$24,1)+Summary!$B$11*IFERROR(B2125/Summary!$B$25,1))-1)+ArtifactsInput!$L$29))/Summary!$B$3*100)</f>
        <v/>
      </c>
      <c r="AD55">
        <f>ArtifactsInput!$B$29&lt;&gt;"Not Unlocked"</f>
        <v/>
      </c>
      <c r="AE55">
        <f>IF(AD55,SUMPRODUCT(($AD$33:$AD$68)*($AC$33:$AC$68&gt;AC55))+COUNTIFS($AD$33:AD55,TRUE,$AC$33:AC55,AC55),"")</f>
        <v/>
      </c>
    </row>
    <row r="56">
      <c r="A56">
        <f>IF(24&gt;COUNTIF($AD$33:$AD$68,TRUE),"",INDEX($AA$33:$AA$68,MATCH(24,$AE$33:$AE$68,0)))</f>
        <v/>
      </c>
      <c r="B56">
        <f>IF(24&gt;COUNTIF($AD$33:$AD$68,TRUE),"",INDEX($AB$33:$AB$68,MATCH(24,$AE$33:$AE$68,0)))</f>
        <v/>
      </c>
      <c r="C56">
        <f>IF(24&gt;COUNTIF($AD$33:$AD$68,TRUE),"",INDEX($AC$33:$AC$68,MATCH(24,$AE$33:$AE$68,0)))</f>
        <v/>
      </c>
      <c r="AA56" t="inlineStr">
        <is>
          <t>Ancient Text Piece (Equip)</t>
        </is>
      </c>
      <c r="AB56">
        <f>(IF(ArtifactsInput!$M$30,-1,1)*Summary!$B$3*(((1-Summary!$B$11)*IFERROR(B2166/Summary!$B$24,1)+Summary!$B$11*IFERROR(B2167/Summary!$B$25,1))-1)+ArtifactsInput!$L$30)</f>
        <v/>
      </c>
      <c r="AC56">
        <f>IF(ArtifactsInput!$M$30,Summary!$B$3/(Summary!$B$3-(IF(ArtifactsInput!$M$30,-1,1)*Summary!$B$3*(((1-Summary!$B$11)*IFERROR(B2166/Summary!$B$24,1)+Summary!$B$11*IFERROR(B2167/Summary!$B$25,1))-1)+ArtifactsInput!$L$30))*100,(Summary!$B$3+(IF(ArtifactsInput!$M$30,-1,1)*Summary!$B$3*(((1-Summary!$B$11)*IFERROR(B2166/Summary!$B$24,1)+Summary!$B$11*IFERROR(B2167/Summary!$B$25,1))-1)+ArtifactsInput!$L$30))/Summary!$B$3*100)</f>
        <v/>
      </c>
      <c r="AD56">
        <f>ArtifactsInput!$B$30&lt;&gt;"Not Unlocked"</f>
        <v/>
      </c>
      <c r="AE56">
        <f>IF(AD56,SUMPRODUCT(($AD$33:$AD$68)*($AC$33:$AC$68&gt;AC56))+COUNTIFS($AD$33:AD56,TRUE,$AC$33:AC56,AC56),"")</f>
        <v/>
      </c>
    </row>
    <row r="57">
      <c r="A57">
        <f>IF(25&gt;COUNTIF($AD$33:$AD$68,TRUE),"",INDEX($AA$33:$AA$68,MATCH(25,$AE$33:$AE$68,0)))</f>
        <v/>
      </c>
      <c r="B57">
        <f>IF(25&gt;COUNTIF($AD$33:$AD$68,TRUE),"",INDEX($AB$33:$AB$68,MATCH(25,$AE$33:$AE$68,0)))</f>
        <v/>
      </c>
      <c r="C57">
        <f>IF(25&gt;COUNTIF($AD$33:$AD$68,TRUE),"",INDEX($AC$33:$AC$68,MATCH(25,$AE$33:$AE$68,0)))</f>
        <v/>
      </c>
      <c r="AA57" t="inlineStr">
        <is>
          <t>Icy Soul Rock (Equip)</t>
        </is>
      </c>
      <c r="AB57">
        <f>(IF(ArtifactsInput!$M$31,-1,1)*Summary!$B$3*(((1-Summary!$B$11)*IFERROR(B2208/Summary!$B$24,1)+Summary!$B$11*IFERROR(B2209/Summary!$B$25,1))-1)+ArtifactsInput!$L$31)</f>
        <v/>
      </c>
      <c r="AC57">
        <f>IF(ArtifactsInput!$M$31,Summary!$B$3/(Summary!$B$3-(IF(ArtifactsInput!$M$31,-1,1)*Summary!$B$3*(((1-Summary!$B$11)*IFERROR(B2208/Summary!$B$24,1)+Summary!$B$11*IFERROR(B2209/Summary!$B$25,1))-1)+ArtifactsInput!$L$31))*100,(Summary!$B$3+(IF(ArtifactsInput!$M$31,-1,1)*Summary!$B$3*(((1-Summary!$B$11)*IFERROR(B2208/Summary!$B$24,1)+Summary!$B$11*IFERROR(B2209/Summary!$B$25,1))-1)+ArtifactsInput!$L$31))/Summary!$B$3*100)</f>
        <v/>
      </c>
      <c r="AD57">
        <f>ArtifactsInput!$B$31&lt;&gt;"Not Unlocked"</f>
        <v/>
      </c>
      <c r="AE57">
        <f>IF(AD57,SUMPRODUCT(($AD$33:$AD$68)*($AC$33:$AC$68&gt;AC57))+COUNTIFS($AD$33:AD57,TRUE,$AC$33:AC57,AC57),"")</f>
        <v/>
      </c>
    </row>
    <row r="58">
      <c r="A58">
        <f>IF(26&gt;COUNTIF($AD$33:$AD$68,TRUE),"",INDEX($AA$33:$AA$68,MATCH(26,$AE$33:$AE$68,0)))</f>
        <v/>
      </c>
      <c r="B58">
        <f>IF(26&gt;COUNTIF($AD$33:$AD$68,TRUE),"",INDEX($AB$33:$AB$68,MATCH(26,$AE$33:$AE$68,0)))</f>
        <v/>
      </c>
      <c r="C58">
        <f>IF(26&gt;COUNTIF($AD$33:$AD$68,TRUE),"",INDEX($AC$33:$AC$68,MATCH(26,$AE$33:$AE$68,0)))</f>
        <v/>
      </c>
      <c r="AA58" t="inlineStr">
        <is>
          <t>Flaming Lava (Equip)</t>
        </is>
      </c>
      <c r="AB58">
        <f>(IF(ArtifactsInput!$M$32,-1,1)*Summary!$B$3*(((1-Summary!$B$11)*IFERROR(B2250/Summary!$B$24,1)+Summary!$B$11*IFERROR(B2251/Summary!$B$25,1))-1)+ArtifactsInput!$L$32)</f>
        <v/>
      </c>
      <c r="AC58">
        <f>IF(ArtifactsInput!$M$32,Summary!$B$3/(Summary!$B$3-(IF(ArtifactsInput!$M$32,-1,1)*Summary!$B$3*(((1-Summary!$B$11)*IFERROR(B2250/Summary!$B$24,1)+Summary!$B$11*IFERROR(B2251/Summary!$B$25,1))-1)+ArtifactsInput!$L$32))*100,(Summary!$B$3+(IF(ArtifactsInput!$M$32,-1,1)*Summary!$B$3*(((1-Summary!$B$11)*IFERROR(B2250/Summary!$B$24,1)+Summary!$B$11*IFERROR(B2251/Summary!$B$25,1))-1)+ArtifactsInput!$L$32))/Summary!$B$3*100)</f>
        <v/>
      </c>
      <c r="AD58">
        <f>ArtifactsInput!$B$32&lt;&gt;"Not Unlocked"</f>
        <v/>
      </c>
      <c r="AE58">
        <f>IF(AD58,SUMPRODUCT(($AD$33:$AD$68)*($AC$33:$AC$68&gt;AC58))+COUNTIFS($AD$33:AD58,TRUE,$AC$33:AC58,AC58),"")</f>
        <v/>
      </c>
    </row>
    <row r="59">
      <c r="A59">
        <f>IF(27&gt;COUNTIF($AD$33:$AD$68,TRUE),"",INDEX($AA$33:$AA$68,MATCH(27,$AE$33:$AE$68,0)))</f>
        <v/>
      </c>
      <c r="B59">
        <f>IF(27&gt;COUNTIF($AD$33:$AD$68,TRUE),"",INDEX($AB$33:$AB$68,MATCH(27,$AE$33:$AE$68,0)))</f>
        <v/>
      </c>
      <c r="C59">
        <f>IF(27&gt;COUNTIF($AD$33:$AD$68,TRUE),"",INDEX($AC$33:$AC$68,MATCH(27,$AE$33:$AE$68,0)))</f>
        <v/>
      </c>
      <c r="AA59" t="inlineStr">
        <is>
          <t>Sayram's Necklace (Equip)</t>
        </is>
      </c>
      <c r="AB59">
        <f>(IF(ArtifactsInput!$M$33,-1,1)*Summary!$B$3*(((1-Summary!$B$11)*IFERROR(B2292/Summary!$B$24,1)+Summary!$B$11*IFERROR(B2293/Summary!$B$25,1))-1)+ArtifactsInput!$L$33)</f>
        <v/>
      </c>
      <c r="AC59">
        <f>IF(ArtifactsInput!$M$33,Summary!$B$3/(Summary!$B$3-(IF(ArtifactsInput!$M$33,-1,1)*Summary!$B$3*(((1-Summary!$B$11)*IFERROR(B2292/Summary!$B$24,1)+Summary!$B$11*IFERROR(B2293/Summary!$B$25,1))-1)+ArtifactsInput!$L$33))*100,(Summary!$B$3+(IF(ArtifactsInput!$M$33,-1,1)*Summary!$B$3*(((1-Summary!$B$11)*IFERROR(B2292/Summary!$B$24,1)+Summary!$B$11*IFERROR(B2293/Summary!$B$25,1))-1)+ArtifactsInput!$L$33))/Summary!$B$3*100)</f>
        <v/>
      </c>
      <c r="AD59">
        <f>ArtifactsInput!$B$33&lt;&gt;"Not Unlocked"</f>
        <v/>
      </c>
      <c r="AE59">
        <f>IF(AD59,SUMPRODUCT(($AD$33:$AD$68)*($AC$33:$AC$68&gt;AC59))+COUNTIFS($AD$33:AD59,TRUE,$AC$33:AC59,AC59),"")</f>
        <v/>
      </c>
    </row>
    <row r="60">
      <c r="A60">
        <f>IF(28&gt;COUNTIF($AD$33:$AD$68,TRUE),"",INDEX($AA$33:$AA$68,MATCH(28,$AE$33:$AE$68,0)))</f>
        <v/>
      </c>
      <c r="B60">
        <f>IF(28&gt;COUNTIF($AD$33:$AD$68,TRUE),"",INDEX($AB$33:$AB$68,MATCH(28,$AE$33:$AE$68,0)))</f>
        <v/>
      </c>
      <c r="C60">
        <f>IF(28&gt;COUNTIF($AD$33:$AD$68,TRUE),"",INDEX($AC$33:$AC$68,MATCH(28,$AE$33:$AE$68,0)))</f>
        <v/>
      </c>
      <c r="AA60" t="inlineStr">
        <is>
          <t>Bottle of Emotion (Equip)</t>
        </is>
      </c>
      <c r="AB60">
        <f>(IF(ArtifactsInput!$M$34,-1,1)*Summary!$B$3*(((1-Summary!$B$11)*IFERROR(B2334/Summary!$B$24,1)+Summary!$B$11*IFERROR(B2335/Summary!$B$25,1))-1)+ArtifactsInput!$L$34)</f>
        <v/>
      </c>
      <c r="AC60">
        <f>IF(ArtifactsInput!$M$34,Summary!$B$3/(Summary!$B$3-(IF(ArtifactsInput!$M$34,-1,1)*Summary!$B$3*(((1-Summary!$B$11)*IFERROR(B2334/Summary!$B$24,1)+Summary!$B$11*IFERROR(B2335/Summary!$B$25,1))-1)+ArtifactsInput!$L$34))*100,(Summary!$B$3+(IF(ArtifactsInput!$M$34,-1,1)*Summary!$B$3*(((1-Summary!$B$11)*IFERROR(B2334/Summary!$B$24,1)+Summary!$B$11*IFERROR(B2335/Summary!$B$25,1))-1)+ArtifactsInput!$L$34))/Summary!$B$3*100)</f>
        <v/>
      </c>
      <c r="AD60">
        <f>ArtifactsInput!$B$34&lt;&gt;"Not Unlocked"</f>
        <v/>
      </c>
      <c r="AE60">
        <f>IF(AD60,SUMPRODUCT(($AD$33:$AD$68)*($AC$33:$AC$68&gt;AC60))+COUNTIFS($AD$33:AD60,TRUE,$AC$33:AC60,AC60),"")</f>
        <v/>
      </c>
    </row>
    <row r="61">
      <c r="A61">
        <f>IF(29&gt;COUNTIF($AD$33:$AD$68,TRUE),"",INDEX($AA$33:$AA$68,MATCH(29,$AE$33:$AE$68,0)))</f>
        <v/>
      </c>
      <c r="B61">
        <f>IF(29&gt;COUNTIF($AD$33:$AD$68,TRUE),"",INDEX($AB$33:$AB$68,MATCH(29,$AE$33:$AE$68,0)))</f>
        <v/>
      </c>
      <c r="C61">
        <f>IF(29&gt;COUNTIF($AD$33:$AD$68,TRUE),"",INDEX($AC$33:$AC$68,MATCH(29,$AE$33:$AE$68,0)))</f>
        <v/>
      </c>
      <c r="AA61" t="inlineStr">
        <is>
          <t>Peach Tree Herb Pouch (Equip)</t>
        </is>
      </c>
      <c r="AB61">
        <f>(IF(ArtifactsInput!$M$35,-1,1)*Summary!$B$3*(((1-Summary!$B$11)*IFERROR(B2376/Summary!$B$24,1)+Summary!$B$11*IFERROR(B2377/Summary!$B$25,1))-1)+ArtifactsInput!$L$35)</f>
        <v/>
      </c>
      <c r="AC61">
        <f>IF(ArtifactsInput!$M$35,Summary!$B$3/(Summary!$B$3-(IF(ArtifactsInput!$M$35,-1,1)*Summary!$B$3*(((1-Summary!$B$11)*IFERROR(B2376/Summary!$B$24,1)+Summary!$B$11*IFERROR(B2377/Summary!$B$25,1))-1)+ArtifactsInput!$L$35))*100,(Summary!$B$3+(IF(ArtifactsInput!$M$35,-1,1)*Summary!$B$3*(((1-Summary!$B$11)*IFERROR(B2376/Summary!$B$24,1)+Summary!$B$11*IFERROR(B2377/Summary!$B$25,1))-1)+ArtifactsInput!$L$35))/Summary!$B$3*100)</f>
        <v/>
      </c>
      <c r="AD61">
        <f>ArtifactsInput!$B$35&lt;&gt;"Not Unlocked"</f>
        <v/>
      </c>
      <c r="AE61">
        <f>IF(AD61,SUMPRODUCT(($AD$33:$AD$68)*($AC$33:$AC$68&gt;AC61))+COUNTIFS($AD$33:AD61,TRUE,$AC$33:AC61,AC61),"")</f>
        <v/>
      </c>
    </row>
    <row r="62">
      <c r="A62">
        <f>IF(30&gt;COUNTIF($AD$33:$AD$68,TRUE),"",INDEX($AA$33:$AA$68,MATCH(30,$AE$33:$AE$68,0)))</f>
        <v/>
      </c>
      <c r="B62">
        <f>IF(30&gt;COUNTIF($AD$33:$AD$68,TRUE),"",INDEX($AB$33:$AB$68,MATCH(30,$AE$33:$AE$68,0)))</f>
        <v/>
      </c>
      <c r="C62">
        <f>IF(30&gt;COUNTIF($AD$33:$AD$68,TRUE),"",INDEX($AC$33:$AC$68,MATCH(30,$AE$33:$AE$68,0)))</f>
        <v/>
      </c>
      <c r="AA62" t="inlineStr">
        <is>
          <t>Candle (Equip)</t>
        </is>
      </c>
      <c r="AB62">
        <f>(IF(ArtifactsInput!$M$36,-1,1)*Summary!$B$3*(((1-Summary!$B$11)*IFERROR(B2418/Summary!$B$24,1)+Summary!$B$11*IFERROR(B2419/Summary!$B$25,1))-1)+ArtifactsInput!$L$36)</f>
        <v/>
      </c>
      <c r="AC62">
        <f>IF(ArtifactsInput!$M$36,Summary!$B$3/(Summary!$B$3-(IF(ArtifactsInput!$M$36,-1,1)*Summary!$B$3*(((1-Summary!$B$11)*IFERROR(B2418/Summary!$B$24,1)+Summary!$B$11*IFERROR(B2419/Summary!$B$25,1))-1)+ArtifactsInput!$L$36))*100,(Summary!$B$3+(IF(ArtifactsInput!$M$36,-1,1)*Summary!$B$3*(((1-Summary!$B$11)*IFERROR(B2418/Summary!$B$24,1)+Summary!$B$11*IFERROR(B2419/Summary!$B$25,1))-1)+ArtifactsInput!$L$36))/Summary!$B$3*100)</f>
        <v/>
      </c>
      <c r="AD62">
        <f>ArtifactsInput!$B$36&lt;&gt;"Not Unlocked"</f>
        <v/>
      </c>
      <c r="AE62">
        <f>IF(AD62,SUMPRODUCT(($AD$33:$AD$68)*($AC$33:$AC$68&gt;AC62))+COUNTIFS($AD$33:AD62,TRUE,$AC$33:AC62,AC62),"")</f>
        <v/>
      </c>
    </row>
    <row r="63">
      <c r="A63">
        <f>IF(31&gt;COUNTIF($AD$33:$AD$68,TRUE),"",INDEX($AA$33:$AA$68,MATCH(31,$AE$33:$AE$68,0)))</f>
        <v/>
      </c>
      <c r="B63">
        <f>IF(31&gt;COUNTIF($AD$33:$AD$68,TRUE),"",INDEX($AB$33:$AB$68,MATCH(31,$AE$33:$AE$68,0)))</f>
        <v/>
      </c>
      <c r="C63">
        <f>IF(31&gt;COUNTIF($AD$33:$AD$68,TRUE),"",INDEX($AC$33:$AC$68,MATCH(31,$AE$33:$AE$68,0)))</f>
        <v/>
      </c>
      <c r="AA63" t="inlineStr">
        <is>
          <t>Alliance Badge (Equip)</t>
        </is>
      </c>
      <c r="AB63">
        <f>(IF(ArtifactsInput!$M$37,-1,1)*Summary!$B$3*(((1-Summary!$B$11)*IFERROR(B2460/Summary!$B$24,1)+Summary!$B$11*IFERROR(B2461/Summary!$B$25,1))-1)+ArtifactsInput!$L$37)</f>
        <v/>
      </c>
      <c r="AC63">
        <f>IF(ArtifactsInput!$M$37,Summary!$B$3/(Summary!$B$3-(IF(ArtifactsInput!$M$37,-1,1)*Summary!$B$3*(((1-Summary!$B$11)*IFERROR(B2460/Summary!$B$24,1)+Summary!$B$11*IFERROR(B2461/Summary!$B$25,1))-1)+ArtifactsInput!$L$37))*100,(Summary!$B$3+(IF(ArtifactsInput!$M$37,-1,1)*Summary!$B$3*(((1-Summary!$B$11)*IFERROR(B2460/Summary!$B$24,1)+Summary!$B$11*IFERROR(B2461/Summary!$B$25,1))-1)+ArtifactsInput!$L$37))/Summary!$B$3*100)</f>
        <v/>
      </c>
      <c r="AD63">
        <f>ArtifactsInput!$B$37&lt;&gt;"Not Unlocked"</f>
        <v/>
      </c>
      <c r="AE63">
        <f>IF(AD63,SUMPRODUCT(($AD$33:$AD$68)*($AC$33:$AC$68&gt;AC63))+COUNTIFS($AD$33:AD63,TRUE,$AC$33:AC63,AC63),"")</f>
        <v/>
      </c>
    </row>
    <row r="64">
      <c r="A64">
        <f>IF(32&gt;COUNTIF($AD$33:$AD$68,TRUE),"",INDEX($AA$33:$AA$68,MATCH(32,$AE$33:$AE$68,0)))</f>
        <v/>
      </c>
      <c r="B64">
        <f>IF(32&gt;COUNTIF($AD$33:$AD$68,TRUE),"",INDEX($AB$33:$AB$68,MATCH(32,$AE$33:$AE$68,0)))</f>
        <v/>
      </c>
      <c r="C64">
        <f>IF(32&gt;COUNTIF($AD$33:$AD$68,TRUE),"",INDEX($AC$33:$AC$68,MATCH(32,$AE$33:$AE$68,0)))</f>
        <v/>
      </c>
      <c r="AA64" t="inlineStr">
        <is>
          <t>Horn Flute (Equip)</t>
        </is>
      </c>
      <c r="AB64">
        <f>(IF(ArtifactsInput!$M$38,-1,1)*Summary!$B$3*(((1-Summary!$B$11)*IFERROR(B2502/Summary!$B$24,1)+Summary!$B$11*IFERROR(B2503/Summary!$B$25,1))-1)+ArtifactsInput!$L$38)</f>
        <v/>
      </c>
      <c r="AC64">
        <f>IF(ArtifactsInput!$M$38,Summary!$B$3/(Summary!$B$3-(IF(ArtifactsInput!$M$38,-1,1)*Summary!$B$3*(((1-Summary!$B$11)*IFERROR(B2502/Summary!$B$24,1)+Summary!$B$11*IFERROR(B2503/Summary!$B$25,1))-1)+ArtifactsInput!$L$38))*100,(Summary!$B$3+(IF(ArtifactsInput!$M$38,-1,1)*Summary!$B$3*(((1-Summary!$B$11)*IFERROR(B2502/Summary!$B$24,1)+Summary!$B$11*IFERROR(B2503/Summary!$B$25,1))-1)+ArtifactsInput!$L$38))/Summary!$B$3*100)</f>
        <v/>
      </c>
      <c r="AD64">
        <f>ArtifactsInput!$B$38&lt;&gt;"Not Unlocked"</f>
        <v/>
      </c>
      <c r="AE64">
        <f>IF(AD64,SUMPRODUCT(($AD$33:$AD$68)*($AC$33:$AC$68&gt;AC64))+COUNTIFS($AD$33:AD64,TRUE,$AC$33:AC64,AC64),"")</f>
        <v/>
      </c>
    </row>
    <row r="65">
      <c r="A65">
        <f>IF(33&gt;COUNTIF($AD$33:$AD$68,TRUE),"",INDEX($AA$33:$AA$68,MATCH(33,$AE$33:$AE$68,0)))</f>
        <v/>
      </c>
      <c r="B65">
        <f>IF(33&gt;COUNTIF($AD$33:$AD$68,TRUE),"",INDEX($AB$33:$AB$68,MATCH(33,$AE$33:$AE$68,0)))</f>
        <v/>
      </c>
      <c r="C65">
        <f>IF(33&gt;COUNTIF($AD$33:$AD$68,TRUE),"",INDEX($AC$33:$AC$68,MATCH(33,$AE$33:$AE$68,0)))</f>
        <v/>
      </c>
      <c r="AA65" t="inlineStr">
        <is>
          <t>Cursed Doll (Equip)</t>
        </is>
      </c>
      <c r="AB65">
        <f>(IF(ArtifactsInput!$M$39,-1,1)*Summary!$B$3*(((1-Summary!$B$11)*IFERROR(B2544/Summary!$B$24,1)+Summary!$B$11*IFERROR(B2545/Summary!$B$25,1))-1)+ArtifactsInput!$L$39)</f>
        <v/>
      </c>
      <c r="AC65">
        <f>IF(ArtifactsInput!$M$39,Summary!$B$3/(Summary!$B$3-(IF(ArtifactsInput!$M$39,-1,1)*Summary!$B$3*(((1-Summary!$B$11)*IFERROR(B2544/Summary!$B$24,1)+Summary!$B$11*IFERROR(B2545/Summary!$B$25,1))-1)+ArtifactsInput!$L$39))*100,(Summary!$B$3+(IF(ArtifactsInput!$M$39,-1,1)*Summary!$B$3*(((1-Summary!$B$11)*IFERROR(B2544/Summary!$B$24,1)+Summary!$B$11*IFERROR(B2545/Summary!$B$25,1))-1)+ArtifactsInput!$L$39))/Summary!$B$3*100)</f>
        <v/>
      </c>
      <c r="AD65">
        <f>ArtifactsInput!$B$39&lt;&gt;"Not Unlocked"</f>
        <v/>
      </c>
      <c r="AE65">
        <f>IF(AD65,SUMPRODUCT(($AD$33:$AD$68)*($AC$33:$AC$68&gt;AC65))+COUNTIFS($AD$33:AD65,TRUE,$AC$33:AC65,AC65),"")</f>
        <v/>
      </c>
    </row>
    <row r="66">
      <c r="A66">
        <f>IF(34&gt;COUNTIF($AD$33:$AD$68,TRUE),"",INDEX($AA$33:$AA$68,MATCH(34,$AE$33:$AE$68,0)))</f>
        <v/>
      </c>
      <c r="B66">
        <f>IF(34&gt;COUNTIF($AD$33:$AD$68,TRUE),"",INDEX($AB$33:$AB$68,MATCH(34,$AE$33:$AE$68,0)))</f>
        <v/>
      </c>
      <c r="C66">
        <f>IF(34&gt;COUNTIF($AD$33:$AD$68,TRUE),"",INDEX($AC$33:$AC$68,MATCH(34,$AE$33:$AE$68,0)))</f>
        <v/>
      </c>
      <c r="AA66" t="inlineStr">
        <is>
          <t>Reindeer's Spear (Equip)</t>
        </is>
      </c>
      <c r="AB66">
        <f>(IF(ArtifactsInput!$M$40,-1,1)*Summary!$B$3*(((1-Summary!$B$11)*IFERROR(B2586/Summary!$B$24,1)+Summary!$B$11*IFERROR(B2587/Summary!$B$25,1))-1)+ArtifactsInput!$L$40)</f>
        <v/>
      </c>
      <c r="AC66">
        <f>IF(ArtifactsInput!$M$40,Summary!$B$3/(Summary!$B$3-(IF(ArtifactsInput!$M$40,-1,1)*Summary!$B$3*(((1-Summary!$B$11)*IFERROR(B2586/Summary!$B$24,1)+Summary!$B$11*IFERROR(B2587/Summary!$B$25,1))-1)+ArtifactsInput!$L$40))*100,(Summary!$B$3+(IF(ArtifactsInput!$M$40,-1,1)*Summary!$B$3*(((1-Summary!$B$11)*IFERROR(B2586/Summary!$B$24,1)+Summary!$B$11*IFERROR(B2587/Summary!$B$25,1))-1)+ArtifactsInput!$L$40))/Summary!$B$3*100)</f>
        <v/>
      </c>
      <c r="AD66">
        <f>ArtifactsInput!$B$40&lt;&gt;"Not Unlocked"</f>
        <v/>
      </c>
      <c r="AE66">
        <f>IF(AD66,SUMPRODUCT(($AD$33:$AD$68)*($AC$33:$AC$68&gt;AC66))+COUNTIFS($AD$33:AD66,TRUE,$AC$33:AC66,AC66),"")</f>
        <v/>
      </c>
    </row>
    <row r="67">
      <c r="A67">
        <f>IF(35&gt;COUNTIF($AD$33:$AD$68,TRUE),"",INDEX($AA$33:$AA$68,MATCH(35,$AE$33:$AE$68,0)))</f>
        <v/>
      </c>
      <c r="B67">
        <f>IF(35&gt;COUNTIF($AD$33:$AD$68,TRUE),"",INDEX($AB$33:$AB$68,MATCH(35,$AE$33:$AE$68,0)))</f>
        <v/>
      </c>
      <c r="C67">
        <f>IF(35&gt;COUNTIF($AD$33:$AD$68,TRUE),"",INDEX($AC$33:$AC$68,MATCH(35,$AE$33:$AE$68,0)))</f>
        <v/>
      </c>
      <c r="AA67" t="inlineStr">
        <is>
          <t>Secret Map (Equip)</t>
        </is>
      </c>
      <c r="AB67">
        <f>(IF(ArtifactsInput!$M$41,-1,1)*Summary!$B$3*(((1-Summary!$B$11)*IFERROR(B2628/Summary!$B$24,1)+Summary!$B$11*IFERROR(B2629/Summary!$B$25,1))-1)+ArtifactsInput!$L$41)</f>
        <v/>
      </c>
      <c r="AC67">
        <f>IF(ArtifactsInput!$M$41,Summary!$B$3/(Summary!$B$3-(IF(ArtifactsInput!$M$41,-1,1)*Summary!$B$3*(((1-Summary!$B$11)*IFERROR(B2628/Summary!$B$24,1)+Summary!$B$11*IFERROR(B2629/Summary!$B$25,1))-1)+ArtifactsInput!$L$41))*100,(Summary!$B$3+(IF(ArtifactsInput!$M$41,-1,1)*Summary!$B$3*(((1-Summary!$B$11)*IFERROR(B2628/Summary!$B$24,1)+Summary!$B$11*IFERROR(B2629/Summary!$B$25,1))-1)+ArtifactsInput!$L$41))/Summary!$B$3*100)</f>
        <v/>
      </c>
      <c r="AD67">
        <f>ArtifactsInput!$B$41&lt;&gt;"Not Unlocked"</f>
        <v/>
      </c>
      <c r="AE67">
        <f>IF(AD67,SUMPRODUCT(($AD$33:$AD$68)*($AC$33:$AC$68&gt;AC67))+COUNTIFS($AD$33:AD67,TRUE,$AC$33:AC67,AC67),"")</f>
        <v/>
      </c>
    </row>
    <row r="68">
      <c r="A68">
        <f>IF(36&gt;COUNTIF($AD$33:$AD$68,TRUE),"",INDEX($AA$33:$AA$68,MATCH(36,$AE$33:$AE$68,0)))</f>
        <v/>
      </c>
      <c r="B68">
        <f>IF(36&gt;COUNTIF($AD$33:$AD$68,TRUE),"",INDEX($AB$33:$AB$68,MATCH(36,$AE$33:$AE$68,0)))</f>
        <v/>
      </c>
      <c r="C68">
        <f>IF(36&gt;COUNTIF($AD$33:$AD$68,TRUE),"",INDEX($AC$33:$AC$68,MATCH(36,$AE$33:$AE$68,0)))</f>
        <v/>
      </c>
      <c r="AA68" t="inlineStr">
        <is>
          <t>Ring of Cycles (Equip)</t>
        </is>
      </c>
      <c r="AB68">
        <f>(IF(ArtifactsInput!$M$42,-1,1)*Summary!$B$3*(((1-Summary!$B$11)*IFERROR(B2670/Summary!$B$24,1)+Summary!$B$11*IFERROR(B2671/Summary!$B$25,1))-1)+ArtifactsInput!$L$42)</f>
        <v/>
      </c>
      <c r="AC68">
        <f>IF(ArtifactsInput!$M$42,Summary!$B$3/(Summary!$B$3-(IF(ArtifactsInput!$M$42,-1,1)*Summary!$B$3*(((1-Summary!$B$11)*IFERROR(B2670/Summary!$B$24,1)+Summary!$B$11*IFERROR(B2671/Summary!$B$25,1))-1)+ArtifactsInput!$L$42))*100,(Summary!$B$3+(IF(ArtifactsInput!$M$42,-1,1)*Summary!$B$3*(((1-Summary!$B$11)*IFERROR(B2670/Summary!$B$24,1)+Summary!$B$11*IFERROR(B2671/Summary!$B$25,1))-1)+ArtifactsInput!$L$42))/Summary!$B$3*100)</f>
        <v/>
      </c>
      <c r="AD68">
        <f>ArtifactsInput!$B$42&lt;&gt;"Not Unlocked"</f>
        <v/>
      </c>
      <c r="AE68">
        <f>IF(AD68,SUMPRODUCT(($AD$33:$AD$68)*($AC$33:$AC$68&gt;AC68))+COUNTIFS($AD$33:AD68,TRUE,$AC$33:AC68,AC68),"")</f>
        <v/>
      </c>
    </row>
    <row r="71">
      <c r="A71" s="6" t="inlineStr">
        <is>
          <t>Stat: Flat STR</t>
        </is>
      </c>
    </row>
    <row r="72">
      <c r="A72" s="5" t="inlineStr">
        <is>
          <t>Key</t>
        </is>
      </c>
      <c r="B72" s="5" t="inlineStr">
        <is>
          <t>Name</t>
        </is>
      </c>
      <c r="C72" s="5" t="inlineStr">
        <is>
          <t>Unlocked</t>
        </is>
      </c>
      <c r="D72" s="5" t="inlineStr">
        <is>
          <t>InputLevel</t>
        </is>
      </c>
      <c r="E72" s="5" t="inlineStr">
        <is>
          <t>Factor</t>
        </is>
      </c>
      <c r="F72" s="5" t="inlineStr">
        <is>
          <t>CoefficientPercent</t>
        </is>
      </c>
      <c r="G72" s="5" t="inlineStr">
        <is>
          <t>EffectiveHits</t>
        </is>
      </c>
      <c r="H72" s="5" t="inlineStr">
        <is>
          <t>ProcProbability</t>
        </is>
      </c>
      <c r="I72" s="5" t="inlineStr">
        <is>
          <t>MapleHeroMultiplier</t>
        </is>
      </c>
      <c r="J72" s="5" t="inlineStr">
        <is>
          <t>BaseDamage</t>
        </is>
      </c>
      <c r="K72" s="5" t="inlineStr">
        <is>
          <t>BaseHitDamage</t>
        </is>
      </c>
      <c r="L72" s="5" t="inlineStr">
        <is>
          <t>NonCritAvg</t>
        </is>
      </c>
      <c r="M72" s="5" t="inlineStr">
        <is>
          <t>CritAvg</t>
        </is>
      </c>
      <c r="N72" s="5" t="inlineStr">
        <is>
          <t>ExpectedDamage(perHit)</t>
        </is>
      </c>
      <c r="O72" s="5" t="inlineStr">
        <is>
          <t>DPS</t>
        </is>
      </c>
      <c r="P72" s="5" t="inlineStr">
        <is>
          <t>% of Total</t>
        </is>
      </c>
      <c r="Q72" s="5" t="inlineStr">
        <is>
          <t>InvCooldown</t>
        </is>
      </c>
      <c r="R72" s="5" t="inlineStr">
        <is>
          <t>CastsInFight</t>
        </is>
      </c>
      <c r="S72" s="5" t="inlineStr">
        <is>
          <t>HitRate(perSec)</t>
        </is>
      </c>
      <c r="U72" t="inlineStr">
        <is>
          <t>helpers</t>
        </is>
      </c>
    </row>
    <row r="73">
      <c r="A73">
        <f>Skills!A2</f>
        <v/>
      </c>
      <c r="B73">
        <f>Skills!B2</f>
        <v/>
      </c>
      <c r="C73">
        <f>Inputs!$B$3&gt;=100</f>
        <v/>
      </c>
      <c r="D73" t="inlineStr"/>
      <c r="E73" t="inlineStr"/>
      <c r="F73">
        <f>U75+Skills!O2</f>
        <v/>
      </c>
      <c r="G73">
        <f>Skills!G2*IF(Skills!H2&gt;0,Skills!I2/Skills!H2,1)</f>
        <v/>
      </c>
      <c r="H73">
        <f>1-(1-Skills!J2/100)^Skills!K2</f>
        <v/>
      </c>
      <c r="I73" t="inlineStr">
        <is>
          <t>1</t>
        </is>
      </c>
      <c r="J73">
        <f>((Inputs!$B$6*(1+Inputs!$B$7/100))+((((Inputs!$B$12+1)*(1+Inputs!$B$13/100))-(Inputs!$B$12*(1+Inputs!$B$13/100)))+0.25*(Inputs!$B$14-Inputs!$B$14))*(1+Inputs!$B$7/100))*(F73/100)</f>
        <v/>
      </c>
      <c r="K73">
        <f>J73*(1+(((Inputs!$B$12+1)*(1+Inputs!$B$13/100))*0.01+Inputs!$B$14*0.0025)/100)*(1+Inputs!$B$15/100)*(1+Inputs!$B$16/100)*(5000/(6000+Inputs!$B$42*(1-(100*(1-(1-(Inputs!$B$19+0)/100)*(1-CHOOSE(ArtifactsInput!$N$40+1,5,6,7,8,9,10)/100)^(ArtifactsInput!$M$40-ArtifactsInput!$M$40)))/100)))*(1+(Inputs!$B$24+((C96=TRUE)*(F96-Calc!F25))+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92=TRUE)*(F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TRUE)*F84*IF(Inputs!$B$3&gt;=110,7,5))+((C86=TRUE)*F86*IF(AND(Inputs!$B$38&lt;&gt;"pvp",Inputs!$B$43&gt;0),(((R86-1)*(Skills!T15*(1+(Inputs!$B$34+(ArtifactsInput!$M$7-ArtifactsInput!$M$7)*CHOOSE(ArtifactsInput!$N$7+1,6,7.2,8.4,9.6,10.8,12))/100))+MIN((Skills!T15*(1+(Inputs!$B$34+(ArtifactsInput!$M$7-ArtifactsInput!$M$7)*CHOOSE(ArtifactsInput!$N$7+1,6,7.2,8.4,9.6,10.8,12))/100)),MAX(0,Inputs!$B$43-((R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100)*I73)</f>
        <v/>
      </c>
      <c r="L73">
        <f>K73*(MIN(Inputs!$B$22+((C93=TRUE)*(F93-Calc!F22)),(Inputs!$B$23+((C95=TRUE)*(F95-Calc!F24))+(IF(ArtifactsInput!$M$15,CHOOSE(ArtifactsInput!$N$15+1,25,30,35,40,45,50)/100*(Inputs!$B$11-Inputs!$B$11),0))))/100+(Inputs!$B$23+((C95=TRUE)*(F95-Calc!F24))+(IF(ArtifactsInput!$M$15,CHOOSE(ArtifactsInput!$N$15+1,25,30,35,40,45,50)/100*(Inputs!$B$11-Inputs!$B$11),0)))/100)/2</f>
        <v/>
      </c>
      <c r="M73">
        <f>L73*(1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
        <f>L73*(1-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
        <f>(1-Summary!$B$11)*T73+Summary!$B$11*V73</f>
        <v/>
      </c>
      <c r="P73">
        <f>IF(B110=0,0,O73/B110)</f>
        <v/>
      </c>
      <c r="Q73" t="n">
        <v>0</v>
      </c>
      <c r="R73" t="n">
        <v>0</v>
      </c>
      <c r="S73">
        <f>IFERROR(O73/N73,0)</f>
        <v/>
      </c>
      <c r="T73">
        <f>IF(C73,(Skills!G2*N73*B104)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73*(1-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
        <f>MAX(0,(Inputs!$B$3-100)*3)+Inputs!$B$28+Inputs!$B$29</f>
        <v/>
      </c>
      <c r="V73">
        <f>IF(C73,(Skills!G2*N73*B104)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
      <c r="A74">
        <f>Skills!A3</f>
        <v/>
      </c>
      <c r="B74">
        <f>Skills!B3</f>
        <v/>
      </c>
      <c r="C74">
        <f>Inputs!$B$3&gt;=50</f>
        <v/>
      </c>
      <c r="D74">
        <f>IF(Skills!C3=1,60+Inputs!$B$25+Inputs!$B$29,IF(Skills!C3=2,90+Inputs!$B$26+Inputs!$B$29,IF(Skills!C3=3,120+Inputs!$B$27+Inputs!$B$29,MAX(0,(Inputs!$B$3-100)*3)+Inputs!$B$28+Inputs!$B$29)))</f>
        <v/>
      </c>
      <c r="E74">
        <f>INDEX(FactorTable!$B$2:$Y$301, MATCH(ROUND(MIN(300,MAX(1,D74)),0), FactorTable!$A$2:$A$301,0), Skills!M3+1)</f>
        <v/>
      </c>
      <c r="F74">
        <f>IF(Skills!N3=TRUE,(Skills!L3/10)*(E74/1000),Skills!L3/10)+Skills!O3</f>
        <v/>
      </c>
      <c r="G74" t="inlineStr"/>
      <c r="H74" t="inlineStr"/>
      <c r="I74" t="inlineStr">
        <is>
          <t>1</t>
        </is>
      </c>
      <c r="J74" t="inlineStr"/>
      <c r="K74" t="inlineStr"/>
      <c r="L74" t="inlineStr"/>
      <c r="M74" t="inlineStr"/>
      <c r="N74" t="inlineStr"/>
      <c r="O74" t="inlineStr"/>
      <c r="P74" t="inlineStr"/>
      <c r="Q74" t="inlineStr"/>
      <c r="R74" t="inlineStr"/>
      <c r="S74" t="inlineStr"/>
      <c r="U74">
        <f>INDEX(FactorTable!$B$2:$Y$301, MATCH(ROUND(MIN(300,MAX(1,U73)),0), FactorTable!$A$2:$A$301,0), 22)</f>
        <v/>
      </c>
    </row>
    <row r="75">
      <c r="A75">
        <f>Skills!A4</f>
        <v/>
      </c>
      <c r="B75">
        <f>Skills!B4</f>
        <v/>
      </c>
      <c r="C75">
        <f>Inputs!$B$3&gt;=105</f>
        <v/>
      </c>
      <c r="D75">
        <f>IF(Skills!C4=1,60+Inputs!$B$25+Inputs!$B$29,IF(Skills!C4=2,90+Inputs!$B$26+Inputs!$B$29,IF(Skills!C4=3,120+Inputs!$B$27+Inputs!$B$29,MAX(0,(Inputs!$B$3-100)*3)+Inputs!$B$28+Inputs!$B$29)))</f>
        <v/>
      </c>
      <c r="E75">
        <f>INDEX(FactorTable!$B$2:$Y$301, MATCH(ROUND(MIN(300,MAX(1,D75)),0), FactorTable!$A$2:$A$301,0), Skills!M4+1)</f>
        <v/>
      </c>
      <c r="F75">
        <f>IF(Skills!N4=TRUE,(Skills!L4/10)*(E75/1000),Skills!L4/10)+Skills!O4</f>
        <v/>
      </c>
      <c r="G75" t="inlineStr"/>
      <c r="H75" t="inlineStr"/>
      <c r="I75" t="inlineStr">
        <is>
          <t>1</t>
        </is>
      </c>
      <c r="J75" t="inlineStr"/>
      <c r="K75" t="inlineStr"/>
      <c r="L75" t="inlineStr"/>
      <c r="M75" t="inlineStr"/>
      <c r="N75" t="inlineStr"/>
      <c r="O75" t="inlineStr"/>
      <c r="P75" t="inlineStr"/>
      <c r="Q75" t="inlineStr"/>
      <c r="R75" t="inlineStr"/>
      <c r="S75" t="inlineStr"/>
      <c r="U75">
        <f>290*U74/1000</f>
        <v/>
      </c>
    </row>
    <row r="76">
      <c r="A76">
        <f>Skills!A5</f>
        <v/>
      </c>
      <c r="B76">
        <f>Skills!B5</f>
        <v/>
      </c>
      <c r="C76">
        <f>Inputs!$B$3&gt;=103</f>
        <v/>
      </c>
      <c r="D76">
        <f>IF(Skills!C5=1,60+Inputs!$B$25+Inputs!$B$29,IF(Skills!C5=2,90+Inputs!$B$26+Inputs!$B$29,IF(Skills!C5=3,120+Inputs!$B$27+Inputs!$B$29,MAX(0,(Inputs!$B$3-100)*3)+Inputs!$B$28+Inputs!$B$29)))</f>
        <v/>
      </c>
      <c r="E76">
        <f>INDEX(FactorTable!$B$2:$Y$301, MATCH(ROUND(MIN(300,MAX(1,D76)),0), FactorTable!$A$2:$A$301,0), Skills!M5+1)</f>
        <v/>
      </c>
      <c r="F76">
        <f>IF(Skills!N5=TRUE,(Skills!L5/10)*(E76/1000),Skills!L5/10)+Skills!O5</f>
        <v/>
      </c>
      <c r="G76">
        <f>Skills!G5*IF(Skills!H5&gt;0,Skills!I5/Skills!H5,1)</f>
        <v/>
      </c>
      <c r="H76">
        <f>1-(1-Skills!J5/100)^Skills!K5</f>
        <v/>
      </c>
      <c r="I76" t="inlineStr">
        <is>
          <t>1</t>
        </is>
      </c>
      <c r="J76">
        <f>((Inputs!$B$6*(1+Inputs!$B$7/100))+((((Inputs!$B$12+1)*(1+Inputs!$B$13/100))-(Inputs!$B$12*(1+Inputs!$B$13/100)))+0.25*(Inputs!$B$14-Inputs!$B$14))*(1+Inputs!$B$7/100))*(F76/100)</f>
        <v/>
      </c>
      <c r="K76">
        <f>J76*(1+(((Inputs!$B$12+1)*(1+Inputs!$B$13/100))*0.01+Inputs!$B$14*0.0025)/100)*(1+Inputs!$B$15/100)*(1+Inputs!$B$16/100)*(5000/(6000+Inputs!$B$42*(1-(100*(1-(1-(Inputs!$B$19+0)/100)*(1-CHOOSE(ArtifactsInput!$N$40+1,5,6,7,8,9,10)/100)^(ArtifactsInput!$M$40-ArtifactsInput!$M$40)))/100)))*(1+(Inputs!$B$24+((C96=TRUE)*(F96-Calc!F25))+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92=TRUE)*(F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TRUE)*F84*IF(Inputs!$B$3&gt;=110,7,5))+((C86=TRUE)*F86*IF(AND(Inputs!$B$38&lt;&gt;"pvp",Inputs!$B$43&gt;0),(((R86-1)*(Skills!T15*(1+(Inputs!$B$34+(ArtifactsInput!$M$7-ArtifactsInput!$M$7)*CHOOSE(ArtifactsInput!$N$7+1,6,7.2,8.4,9.6,10.8,12))/100))+MIN((Skills!T15*(1+(Inputs!$B$34+(ArtifactsInput!$M$7-ArtifactsInput!$M$7)*CHOOSE(ArtifactsInput!$N$7+1,6,7.2,8.4,9.6,10.8,12))/100)),MAX(0,Inputs!$B$43-((R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100)*I76)</f>
        <v/>
      </c>
      <c r="L76">
        <f>K76*(MIN(Inputs!$B$22+((C93=TRUE)*(F93-Calc!F22)),(Inputs!$B$23+((C95=TRUE)*(F95-Calc!F24))+(IF(ArtifactsInput!$M$15,CHOOSE(ArtifactsInput!$N$15+1,25,30,35,40,45,50)/100*(Inputs!$B$11-Inputs!$B$11),0))))/100+(Inputs!$B$23+((C95=TRUE)*(F95-Calc!F24))+(IF(ArtifactsInput!$M$15,CHOOSE(ArtifactsInput!$N$15+1,25,30,35,40,45,50)/100*(Inputs!$B$11-Inputs!$B$11),0)))/100)/2</f>
        <v/>
      </c>
      <c r="M76">
        <f>L76*(1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
        <f>L76*(1-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
        <f>(1-Summary!$B$11)*T76+Summary!$B$11*V76</f>
        <v/>
      </c>
      <c r="P76">
        <f>IF(B110=0,0,O76/B110)</f>
        <v/>
      </c>
      <c r="Q76">
        <f>IFERROR(1/(IF(Inputs!$B$38="pvp",15,MAX(0.1,Skills!D5-IF(Skills!E5=TRUE,Inputs!$B$32,0)))*(1-IF(AND(ArtifactsInput!$M$27,Inputs!$B$4="Chapter Hunt"),CHOOSE(ArtifactsInput!$N$27+1,20,24,28,32,36,40),0)/100)),0)</f>
        <v/>
      </c>
      <c r="R76">
        <f>IF(AND(Inputs!$B$38&lt;&gt;"pvp",Inputs!$B$43&gt;0),IF(MAX(0,Inputs!$B$43-B107)&lt;=0,0,(INT(MAX(0,Inputs!$B$43-B107)/(IF(Inputs!$B$38="pvp",15,MAX(0.1,Skills!D5-IF(Skills!E5=TRUE,Inputs!$B$32,0)))*(1-IF(AND(ArtifactsInput!$M$27,Inputs!$B$4="Chapter Hunt"),CHOOSE(ArtifactsInput!$N$27+1,20,24,28,32,36,40),0)/100)))+1)),0)</f>
        <v/>
      </c>
      <c r="S76">
        <f>IFERROR(O76/N76,0)</f>
        <v/>
      </c>
      <c r="T76">
        <f>IF(C76,(H76*N76*IF(AND(Inputs!$B$38&lt;&gt;"pvp",Inputs!$B$43&gt;0),((Skills!G5*((R76-1)*IF(Skills!H5&gt;0,Skills!I5/Skills!H5,1)+IF(Skills!H5&gt;0,MIN(Skills!I5,MAX(0,MAX(0,Inputs!$B$43-B107)-((R76-1)*(IF(Inputs!$B$38="pvp",15,MAX(0.1,Skills!D5-IF(Skills!E5=TRUE,Inputs!$B$32,0)))*(1-IF(AND(ArtifactsInput!$M$27,Inputs!$B$4="Chapter Hunt"),CHOOSE(ArtifactsInput!$N$27+1,20,24,28,32,36,40),0)/100)))))/Skills!H5,1)))/Inputs!$B$43),G76*Q76)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
        <f>IF(C76,(H76*N76*IF(AND(Inputs!$B$38&lt;&gt;"pvp",Inputs!$B$43&gt;0),((Skills!G5*((R76-1)*IF(Skills!H5&gt;0,Skills!I5/Skills!H5,1)+IF(Skills!H5&gt;0,MIN(Skills!I5,MAX(0,MAX(0,Inputs!$B$43-B107)-((R76-1)*(IF(Inputs!$B$38="pvp",15,MAX(0.1,Skills!D5-IF(Skills!E5=TRUE,Inputs!$B$32,0)))*(1-IF(AND(ArtifactsInput!$M$27,Inputs!$B$4="Chapter Hunt"),CHOOSE(ArtifactsInput!$N$27+1,20,24,28,32,36,40),0)/100)))))/Skills!H5,1)))/Inputs!$B$43),G76*Q76)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
      <c r="A77">
        <f>Skills!A6</f>
        <v/>
      </c>
      <c r="B77">
        <f>Skills!B6</f>
        <v/>
      </c>
      <c r="C77">
        <f>Inputs!$B$3&gt;=103</f>
        <v/>
      </c>
      <c r="D77">
        <f>IF(Skills!C6=1,60+Inputs!$B$25+Inputs!$B$29,IF(Skills!C6=2,90+Inputs!$B$26+Inputs!$B$29,IF(Skills!C6=3,120+Inputs!$B$27+Inputs!$B$29,MAX(0,(Inputs!$B$3-100)*3)+Inputs!$B$28+Inputs!$B$29)))</f>
        <v/>
      </c>
      <c r="E77">
        <f>INDEX(FactorTable!$B$2:$Y$301, MATCH(ROUND(MIN(300,MAX(1,D77)),0), FactorTable!$A$2:$A$301,0), Skills!M6+1)</f>
        <v/>
      </c>
      <c r="F77">
        <f>IF(Skills!N6=TRUE,(Skills!L6/10)*(E77/1000),Skills!L6/10)+Skills!O6</f>
        <v/>
      </c>
      <c r="G77">
        <f>Skills!G6*IF(Skills!H6&gt;0,Skills!I6/Skills!H6,1)</f>
        <v/>
      </c>
      <c r="H77">
        <f>1-(1-Skills!J6/100)^Skills!K6</f>
        <v/>
      </c>
      <c r="I77" t="inlineStr">
        <is>
          <t>1</t>
        </is>
      </c>
      <c r="J77">
        <f>((Inputs!$B$6*(1+Inputs!$B$7/100))+((((Inputs!$B$12+1)*(1+Inputs!$B$13/100))-(Inputs!$B$12*(1+Inputs!$B$13/100)))+0.25*(Inputs!$B$14-Inputs!$B$14))*(1+Inputs!$B$7/100))*(F77/100)</f>
        <v/>
      </c>
      <c r="K77">
        <f>J77*(1+(((Inputs!$B$12+1)*(1+Inputs!$B$13/100))*0.01+Inputs!$B$14*0.0025)/100)*(1+Inputs!$B$15/100)*(1+Inputs!$B$16/100)*(5000/(6000+Inputs!$B$42*(1-(100*(1-(1-(Inputs!$B$19+0)/100)*(1-CHOOSE(ArtifactsInput!$N$40+1,5,6,7,8,9,10)/100)^(ArtifactsInput!$M$40-ArtifactsInput!$M$40)))/100)))*(1+(Inputs!$B$24+((C96=TRUE)*(F96-Calc!F25))+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92=TRUE)*(F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TRUE)*F84*IF(Inputs!$B$3&gt;=110,7,5))+((C86=TRUE)*F86*IF(AND(Inputs!$B$38&lt;&gt;"pvp",Inputs!$B$43&gt;0),(((R86-1)*(Skills!T15*(1+(Inputs!$B$34+(ArtifactsInput!$M$7-ArtifactsInput!$M$7)*CHOOSE(ArtifactsInput!$N$7+1,6,7.2,8.4,9.6,10.8,12))/100))+MIN((Skills!T15*(1+(Inputs!$B$34+(ArtifactsInput!$M$7-ArtifactsInput!$M$7)*CHOOSE(ArtifactsInput!$N$7+1,6,7.2,8.4,9.6,10.8,12))/100)),MAX(0,Inputs!$B$43-((R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100)*I77)</f>
        <v/>
      </c>
      <c r="L77">
        <f>K77*(MIN(Inputs!$B$22+((C93=TRUE)*(F93-Calc!F22)),(Inputs!$B$23+((C95=TRUE)*(F95-Calc!F24))+(IF(ArtifactsInput!$M$15,CHOOSE(ArtifactsInput!$N$15+1,25,30,35,40,45,50)/100*(Inputs!$B$11-Inputs!$B$11),0))))/100+(Inputs!$B$23+((C95=TRUE)*(F95-Calc!F24))+(IF(ArtifactsInput!$M$15,CHOOSE(ArtifactsInput!$N$15+1,25,30,35,40,45,50)/100*(Inputs!$B$11-Inputs!$B$11),0)))/100)/2</f>
        <v/>
      </c>
      <c r="M77">
        <f>L77*(1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
        <f>L77*(1-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
        <f>(1-Summary!$B$11)*T77+Summary!$B$11*V77</f>
        <v/>
      </c>
      <c r="P77">
        <f>IF(B110=0,0,O77/B110)</f>
        <v/>
      </c>
      <c r="Q77">
        <f>IFERROR(1/(IF(Inputs!$B$38="pvp",15,MAX(0.1,Skills!D6-IF(Skills!E6=TRUE,Inputs!$B$32,0)))*(1-IF(AND(ArtifactsInput!$M$27,Inputs!$B$4="Chapter Hunt"),CHOOSE(ArtifactsInput!$N$27+1,20,24,28,32,36,40),0)/100)),0)</f>
        <v/>
      </c>
      <c r="R77">
        <f>IF(AND(Inputs!$B$38&lt;&gt;"pvp",Inputs!$B$43&gt;0),IF(MAX(0,Inputs!$B$43-B107)&lt;=0,0,(INT(MAX(0,Inputs!$B$43-B107)/(IF(Inputs!$B$38="pvp",15,MAX(0.1,Skills!D6-IF(Skills!E6=TRUE,Inputs!$B$32,0)))*(1-IF(AND(ArtifactsInput!$M$27,Inputs!$B$4="Chapter Hunt"),CHOOSE(ArtifactsInput!$N$27+1,20,24,28,32,36,40),0)/100)))+1)),0)</f>
        <v/>
      </c>
      <c r="S77">
        <f>IFERROR(O77/N77,0)</f>
        <v/>
      </c>
      <c r="T77">
        <f>IF(C77,(H77*N77*IF(AND(Inputs!$B$38&lt;&gt;"pvp",Inputs!$B$43&gt;0),((Skills!G6*((R77-1)*IF(Skills!H6&gt;0,Skills!I6/Skills!H6,1)+IF(Skills!H6&gt;0,MIN(Skills!I6,MAX(0,MAX(0,Inputs!$B$43-B107)-((R77-1)*(IF(Inputs!$B$38="pvp",15,MAX(0.1,Skills!D6-IF(Skills!E6=TRUE,Inputs!$B$32,0)))*(1-IF(AND(ArtifactsInput!$M$27,Inputs!$B$4="Chapter Hunt"),CHOOSE(ArtifactsInput!$N$27+1,20,24,28,32,36,40),0)/100)))))/Skills!H6,1)))/Inputs!$B$43),G77*Q77)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77*(1-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
        <f>IF(C77,(H77*N77*IF(AND(Inputs!$B$38&lt;&gt;"pvp",Inputs!$B$43&gt;0),((Skills!G6*((R77-1)*IF(Skills!H6&gt;0,Skills!I6/Skills!H6,1)+IF(Skills!H6&gt;0,MIN(Skills!I6,MAX(0,MAX(0,Inputs!$B$43-B107)-((R77-1)*(IF(Inputs!$B$38="pvp",15,MAX(0.1,Skills!D6-IF(Skills!E6=TRUE,Inputs!$B$32,0)))*(1-IF(AND(ArtifactsInput!$M$27,Inputs!$B$4="Chapter Hunt"),CHOOSE(ArtifactsInput!$N$27+1,20,24,28,32,36,40),0)/100)))))/Skills!H6,1)))/Inputs!$B$43),G77*Q77)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
      <c r="A78">
        <f>Skills!A7</f>
        <v/>
      </c>
      <c r="B78">
        <f>Skills!B7</f>
        <v/>
      </c>
      <c r="C78">
        <f>Inputs!$B$3&gt;=107</f>
        <v/>
      </c>
      <c r="D78">
        <f>IF(Skills!C7=1,60+Inputs!$B$25+Inputs!$B$29,IF(Skills!C7=2,90+Inputs!$B$26+Inputs!$B$29,IF(Skills!C7=3,120+Inputs!$B$27+Inputs!$B$29,MAX(0,(Inputs!$B$3-100)*3)+Inputs!$B$28+Inputs!$B$29)))</f>
        <v/>
      </c>
      <c r="E78">
        <f>INDEX(FactorTable!$B$2:$Y$301, MATCH(ROUND(MIN(300,MAX(1,D78)),0), FactorTable!$A$2:$A$301,0), Skills!M7+1)</f>
        <v/>
      </c>
      <c r="F78">
        <f>IF(Skills!N7=TRUE,(Skills!L7/10)*(E78/1000),Skills!L7/10)+Skills!O7</f>
        <v/>
      </c>
      <c r="G78">
        <f>Skills!G7*IF(Skills!H7&gt;0,Skills!I7/Skills!H7,1)</f>
        <v/>
      </c>
      <c r="H78">
        <f>1-(1-Skills!J7/100)^Skills!K7</f>
        <v/>
      </c>
      <c r="I78" t="inlineStr">
        <is>
          <t>1</t>
        </is>
      </c>
      <c r="J78">
        <f>((Inputs!$B$6*(1+Inputs!$B$7/100))+((((Inputs!$B$12+1)*(1+Inputs!$B$13/100))-(Inputs!$B$12*(1+Inputs!$B$13/100)))+0.25*(Inputs!$B$14-Inputs!$B$14))*(1+Inputs!$B$7/100))*(F78/100)</f>
        <v/>
      </c>
      <c r="K78">
        <f>J78*(1+(((Inputs!$B$12+1)*(1+Inputs!$B$13/100))*0.01+Inputs!$B$14*0.0025)/100)*(1+Inputs!$B$15/100)*(1+Inputs!$B$16/100)*(5000/(6000+Inputs!$B$42*(1-(100*(1-(1-(Inputs!$B$19+0)/100)*(1-CHOOSE(ArtifactsInput!$N$40+1,5,6,7,8,9,10)/100)^(ArtifactsInput!$M$40-ArtifactsInput!$M$40)))/100)))*(1+(Inputs!$B$24+((C96=TRUE)*(F96-Calc!F25))+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92=TRUE)*(F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TRUE)*F84*IF(Inputs!$B$3&gt;=110,7,5))+((C86=TRUE)*F86*IF(AND(Inputs!$B$38&lt;&gt;"pvp",Inputs!$B$43&gt;0),(((R86-1)*(Skills!T15*(1+(Inputs!$B$34+(ArtifactsInput!$M$7-ArtifactsInput!$M$7)*CHOOSE(ArtifactsInput!$N$7+1,6,7.2,8.4,9.6,10.8,12))/100))+MIN((Skills!T15*(1+(Inputs!$B$34+(ArtifactsInput!$M$7-ArtifactsInput!$M$7)*CHOOSE(ArtifactsInput!$N$7+1,6,7.2,8.4,9.6,10.8,12))/100)),MAX(0,Inputs!$B$43-((R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100)*I78)</f>
        <v/>
      </c>
      <c r="L78">
        <f>K78*(MIN(Inputs!$B$22+((C93=TRUE)*(F93-Calc!F22)),(Inputs!$B$23+((C95=TRUE)*(F95-Calc!F24))+(IF(ArtifactsInput!$M$15,CHOOSE(ArtifactsInput!$N$15+1,25,30,35,40,45,50)/100*(Inputs!$B$11-Inputs!$B$11),0))))/100+(Inputs!$B$23+((C95=TRUE)*(F95-Calc!F24))+(IF(ArtifactsInput!$M$15,CHOOSE(ArtifactsInput!$N$15+1,25,30,35,40,45,50)/100*(Inputs!$B$11-Inputs!$B$11),0)))/100)/2</f>
        <v/>
      </c>
      <c r="M78">
        <f>L78*(1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
        <f>L78*(1-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
        <f>(1-Summary!$B$11)*T78+Summary!$B$11*V78</f>
        <v/>
      </c>
      <c r="P78">
        <f>IF(B110=0,0,O78/B110)</f>
        <v/>
      </c>
      <c r="Q78">
        <f>IFERROR(1/(IF(Inputs!$B$38="pvp",15,MAX(0.1,Skills!D7-IF(Skills!E7=TRUE,Inputs!$B$32,0)))*(1-IF(AND(ArtifactsInput!$M$27,Inputs!$B$4="Chapter Hunt"),CHOOSE(ArtifactsInput!$N$27+1,20,24,28,32,36,40),0)/100)),0)</f>
        <v/>
      </c>
      <c r="R78">
        <f>IF(AND(Inputs!$B$38&lt;&gt;"pvp",Inputs!$B$43&gt;0),IF(MAX(0,Inputs!$B$43-B107)&lt;=0,0,(INT(MAX(0,Inputs!$B$43-B107)/(IF(Inputs!$B$38="pvp",15,MAX(0.1,Skills!D7-IF(Skills!E7=TRUE,Inputs!$B$32,0)))*(1-IF(AND(ArtifactsInput!$M$27,Inputs!$B$4="Chapter Hunt"),CHOOSE(ArtifactsInput!$N$27+1,20,24,28,32,36,40),0)/100)))+1)),0)</f>
        <v/>
      </c>
      <c r="S78">
        <f>IFERROR(O78/N78,0)</f>
        <v/>
      </c>
      <c r="T78">
        <f>IF(C78,(H78*N78*IF(AND(Inputs!$B$38&lt;&gt;"pvp",Inputs!$B$43&gt;0),((Skills!G7*((R78-1)*IF(Skills!H7&gt;0,Skills!I7/Skills!H7,1)+IF(Skills!H7&gt;0,MIN(Skills!I7,MAX(0,MAX(0,Inputs!$B$43-B107)-((R78-1)*(IF(Inputs!$B$38="pvp",15,MAX(0.1,Skills!D7-IF(Skills!E7=TRUE,Inputs!$B$32,0)))*(1-IF(AND(ArtifactsInput!$M$27,Inputs!$B$4="Chapter Hunt"),CHOOSE(ArtifactsInput!$N$27+1,20,24,28,32,36,40),0)/100)))))/Skills!H7,1)))/Inputs!$B$43),G78*Q78)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78*(1-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8">
        <f>IF(C78,(H78*N78*IF(AND(Inputs!$B$38&lt;&gt;"pvp",Inputs!$B$43&gt;0),((Skills!G7*((R78-1)*IF(Skills!H7&gt;0,Skills!I7/Skills!H7,1)+IF(Skills!H7&gt;0,MIN(Skills!I7,MAX(0,MAX(0,Inputs!$B$43-B107)-((R78-1)*(IF(Inputs!$B$38="pvp",15,MAX(0.1,Skills!D7-IF(Skills!E7=TRUE,Inputs!$B$32,0)))*(1-IF(AND(ArtifactsInput!$M$27,Inputs!$B$4="Chapter Hunt"),CHOOSE(ArtifactsInput!$N$27+1,20,24,28,32,36,40),0)/100)))))/Skills!H7,1)))/Inputs!$B$43),G78*Q78)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
      <c r="A79">
        <f>Skills!A8</f>
        <v/>
      </c>
      <c r="B79">
        <f>Skills!B8</f>
        <v/>
      </c>
      <c r="C79">
        <f>Inputs!$B$3&gt;=117</f>
        <v/>
      </c>
      <c r="D79">
        <f>IF(Skills!C8=1,60+Inputs!$B$25+Inputs!$B$29,IF(Skills!C8=2,90+Inputs!$B$26+Inputs!$B$29,IF(Skills!C8=3,120+Inputs!$B$27+Inputs!$B$29,MAX(0,(Inputs!$B$3-100)*3)+Inputs!$B$28+Inputs!$B$29)))</f>
        <v/>
      </c>
      <c r="E79">
        <f>INDEX(FactorTable!$B$2:$Y$301, MATCH(ROUND(MIN(300,MAX(1,D79)),0), FactorTable!$A$2:$A$301,0), Skills!M8+1)</f>
        <v/>
      </c>
      <c r="F79">
        <f>IF(Skills!N8=TRUE,(Skills!L8/10)*(E79/1000),Skills!L8/10)+Skills!O8</f>
        <v/>
      </c>
      <c r="G79">
        <f>Skills!G8*IF(Skills!H8&gt;0,Skills!I8/Skills!H8,1)</f>
        <v/>
      </c>
      <c r="H79">
        <f>1-(1-Skills!J8/100)^Skills!K8</f>
        <v/>
      </c>
      <c r="I79" t="inlineStr">
        <is>
          <t>1</t>
        </is>
      </c>
      <c r="J79">
        <f>((Inputs!$B$6*(1+Inputs!$B$7/100))+((((Inputs!$B$12+1)*(1+Inputs!$B$13/100))-(Inputs!$B$12*(1+Inputs!$B$13/100)))+0.25*(Inputs!$B$14-Inputs!$B$14))*(1+Inputs!$B$7/100))*(F79/100)</f>
        <v/>
      </c>
      <c r="K79">
        <f>J79*(1+(((Inputs!$B$12+1)*(1+Inputs!$B$13/100))*0.01+Inputs!$B$14*0.0025)/100)*(1+Inputs!$B$15/100)*(1+Inputs!$B$16/100)*(5000/(6000+Inputs!$B$42*(1-(100*(1-(1-(Inputs!$B$19+0)/100)*(1-CHOOSE(ArtifactsInput!$N$40+1,5,6,7,8,9,10)/100)^(ArtifactsInput!$M$40-ArtifactsInput!$M$40)))/100)))*(1+(Inputs!$B$24+((C96=TRUE)*(F96-Calc!F25))+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92=TRUE)*(F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TRUE)*F84*IF(Inputs!$B$3&gt;=110,7,5))+((C86=TRUE)*F86*IF(AND(Inputs!$B$38&lt;&gt;"pvp",Inputs!$B$43&gt;0),(((R86-1)*(Skills!T15*(1+(Inputs!$B$34+(ArtifactsInput!$M$7-ArtifactsInput!$M$7)*CHOOSE(ArtifactsInput!$N$7+1,6,7.2,8.4,9.6,10.8,12))/100))+MIN((Skills!T15*(1+(Inputs!$B$34+(ArtifactsInput!$M$7-ArtifactsInput!$M$7)*CHOOSE(ArtifactsInput!$N$7+1,6,7.2,8.4,9.6,10.8,12))/100)),MAX(0,Inputs!$B$43-((R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100)*I79)</f>
        <v/>
      </c>
      <c r="L79">
        <f>K79*(MIN(Inputs!$B$22+((C93=TRUE)*(F93-Calc!F22)),(Inputs!$B$23+((C95=TRUE)*(F95-Calc!F24))+(IF(ArtifactsInput!$M$15,CHOOSE(ArtifactsInput!$N$15+1,25,30,35,40,45,50)/100*(Inputs!$B$11-Inputs!$B$11),0))))/100+(Inputs!$B$23+((C95=TRUE)*(F95-Calc!F24))+(IF(ArtifactsInput!$M$15,CHOOSE(ArtifactsInput!$N$15+1,25,30,35,40,45,50)/100*(Inputs!$B$11-Inputs!$B$11),0)))/100)/2</f>
        <v/>
      </c>
      <c r="M79">
        <f>L79*(1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
        <f>L79*(1-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
        <f>(1-Summary!$B$11)*T79+Summary!$B$11*V79</f>
        <v/>
      </c>
      <c r="P79">
        <f>IF(B110=0,0,O79/B110)</f>
        <v/>
      </c>
      <c r="Q79">
        <f>IFERROR(1/(IF(Inputs!$B$38="pvp",15,MAX(0.1,Skills!D8-IF(Skills!E8=TRUE,Inputs!$B$32,0)))*(1-IF(AND(ArtifactsInput!$M$27,Inputs!$B$4="Chapter Hunt"),CHOOSE(ArtifactsInput!$N$27+1,20,24,28,32,36,40),0)/100)),0)</f>
        <v/>
      </c>
      <c r="R79">
        <f>IF(AND(Inputs!$B$38&lt;&gt;"pvp",Inputs!$B$43&gt;0),IF(MAX(0,Inputs!$B$43-B107)&lt;=0,0,(INT(MAX(0,Inputs!$B$43-B107)/(IF(Inputs!$B$38="pvp",15,MAX(0.1,Skills!D8-IF(Skills!E8=TRUE,Inputs!$B$32,0)))*(1-IF(AND(ArtifactsInput!$M$27,Inputs!$B$4="Chapter Hunt"),CHOOSE(ArtifactsInput!$N$27+1,20,24,28,32,36,40),0)/100)))+1)),0)</f>
        <v/>
      </c>
      <c r="S79">
        <f>IFERROR(O79/N79,0)</f>
        <v/>
      </c>
      <c r="T79">
        <f>IF(C79,(H79*N79*IF(AND(Inputs!$B$38&lt;&gt;"pvp",Inputs!$B$43&gt;0),((Skills!G8*((R79-1)*IF(Skills!H8&gt;0,Skills!I8/Skills!H8,1)+IF(Skills!H8&gt;0,MIN(Skills!I8,MAX(0,MAX(0,Inputs!$B$43-B107)-((R79-1)*(IF(Inputs!$B$38="pvp",15,MAX(0.1,Skills!D8-IF(Skills!E8=TRUE,Inputs!$B$32,0)))*(1-IF(AND(ArtifactsInput!$M$27,Inputs!$B$4="Chapter Hunt"),CHOOSE(ArtifactsInput!$N$27+1,20,24,28,32,36,40),0)/100)))))/Skills!H8,1)))/Inputs!$B$43),G79*Q79)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
        <f>IF(C79,(H79*N79*IF(AND(Inputs!$B$38&lt;&gt;"pvp",Inputs!$B$43&gt;0),((Skills!G8*((R79-1)*IF(Skills!H8&gt;0,Skills!I8/Skills!H8,1)+IF(Skills!H8&gt;0,MIN(Skills!I8,MAX(0,MAX(0,Inputs!$B$43-B107)-((R79-1)*(IF(Inputs!$B$38="pvp",15,MAX(0.1,Skills!D8-IF(Skills!E8=TRUE,Inputs!$B$32,0)))*(1-IF(AND(ArtifactsInput!$M$27,Inputs!$B$4="Chapter Hunt"),CHOOSE(ArtifactsInput!$N$27+1,20,24,28,32,36,40),0)/100)))))/Skills!H8,1)))/Inputs!$B$43),G79*Q79)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
      <c r="A80">
        <f>Skills!A9</f>
        <v/>
      </c>
      <c r="B80">
        <f>Skills!B9</f>
        <v/>
      </c>
      <c r="C80">
        <f>Inputs!$B$3&gt;=69</f>
        <v/>
      </c>
      <c r="D80">
        <f>IF(Skills!C9=1,60+Inputs!$B$25+Inputs!$B$29,IF(Skills!C9=2,90+Inputs!$B$26+Inputs!$B$29,IF(Skills!C9=3,120+Inputs!$B$27+Inputs!$B$29,MAX(0,(Inputs!$B$3-100)*3)+Inputs!$B$28+Inputs!$B$29)))</f>
        <v/>
      </c>
      <c r="E80">
        <f>INDEX(FactorTable!$B$2:$Y$301, MATCH(ROUND(MIN(300,MAX(1,D80)),0), FactorTable!$A$2:$A$301,0), Skills!M9+1)</f>
        <v/>
      </c>
      <c r="F80">
        <f>IF(Skills!N9=TRUE,(Skills!L9/10)*(E80/1000),Skills!L9/10)+Skills!O9</f>
        <v/>
      </c>
      <c r="G80">
        <f>Skills!G9*IF(Skills!H9&gt;0,Skills!I9/Skills!H9,1)</f>
        <v/>
      </c>
      <c r="H80">
        <f>1-(1-Skills!J9/100)^Skills!K9</f>
        <v/>
      </c>
      <c r="I80" t="inlineStr">
        <is>
          <t>1</t>
        </is>
      </c>
      <c r="J80">
        <f>((Inputs!$B$6*(1+Inputs!$B$7/100))+((((Inputs!$B$12+1)*(1+Inputs!$B$13/100))-(Inputs!$B$12*(1+Inputs!$B$13/100)))+0.25*(Inputs!$B$14-Inputs!$B$14))*(1+Inputs!$B$7/100))*(F80/100)</f>
        <v/>
      </c>
      <c r="K80">
        <f>J80*(1+(((Inputs!$B$12+1)*(1+Inputs!$B$13/100))*0.01+Inputs!$B$14*0.0025)/100)*(1+Inputs!$B$15/100)*(1+Inputs!$B$16/100)*(5000/(6000+Inputs!$B$42*(1-(100*(1-(1-(Inputs!$B$19+0)/100)*(1-CHOOSE(ArtifactsInput!$N$40+1,5,6,7,8,9,10)/100)^(ArtifactsInput!$M$40-ArtifactsInput!$M$40)))/100)))*(1+(Inputs!$B$24+((C96=TRUE)*(F96-Calc!F25))+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83=TRUE,F83,0)/100)*(1+IF(Skills!A9="ENHANCED_RAGING_BLOW",IF(Inputs!$B$3&gt;=134,MAX(0,IF(Inputs!$B$3&gt;=110,7,5)-5)*50,0),0)/100)*(1+(IF(Skills!A9="RAGING_BLOW",Inputs!$B$17+((C92=TRUE)*(F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TRUE)*F84*IF(Inputs!$B$3&gt;=110,7,5))+((C86=TRUE)*F86*IF(AND(Inputs!$B$38&lt;&gt;"pvp",Inputs!$B$43&gt;0),(((R86-1)*(Skills!T15*(1+(Inputs!$B$34+(ArtifactsInput!$M$7-ArtifactsInput!$M$7)*CHOOSE(ArtifactsInput!$N$7+1,6,7.2,8.4,9.6,10.8,12))/100))+MIN((Skills!T15*(1+(Inputs!$B$34+(ArtifactsInput!$M$7-ArtifactsInput!$M$7)*CHOOSE(ArtifactsInput!$N$7+1,6,7.2,8.4,9.6,10.8,12))/100)),MAX(0,Inputs!$B$43-((R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100)*I80)</f>
        <v/>
      </c>
      <c r="L80">
        <f>K80*(MIN(Inputs!$B$22+((C93=TRUE)*(F93-Calc!F22)),(Inputs!$B$23+((C95=TRUE)*(F95-Calc!F24))+(IF(ArtifactsInput!$M$15,CHOOSE(ArtifactsInput!$N$15+1,25,30,35,40,45,50)/100*(Inputs!$B$11-Inputs!$B$11),0))))/100+(Inputs!$B$23+((C95=TRUE)*(F95-Calc!F24))+(IF(ArtifactsInput!$M$15,CHOOSE(ArtifactsInput!$N$15+1,25,30,35,40,45,50)/100*(Inputs!$B$11-Inputs!$B$11),0)))/100)/2</f>
        <v/>
      </c>
      <c r="M80">
        <f>L80*(1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
        <f>L80*(1-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
        <f>(1-Summary!$B$11)*T80+Summary!$B$11*V80</f>
        <v/>
      </c>
      <c r="P80">
        <f>IF(B110=0,0,O80/B110)</f>
        <v/>
      </c>
      <c r="Q80">
        <f>IFERROR(1/(IF(Inputs!$B$38="pvp",15,MAX(0.1,Skills!D9-IF(Skills!E9=TRUE,Inputs!$B$32,0)))*(1-IF(AND(ArtifactsInput!$M$27,Inputs!$B$4="Chapter Hunt"),CHOOSE(ArtifactsInput!$N$27+1,20,24,28,32,36,40),0)/100)),0)</f>
        <v/>
      </c>
      <c r="R80">
        <f>IF(AND(Inputs!$B$38&lt;&gt;"pvp",Inputs!$B$43&gt;0),IF(MAX(0,Inputs!$B$43-B107)&lt;=0,0,(INT(MAX(0,Inputs!$B$43-B107)/(IF(Inputs!$B$38="pvp",15,MAX(0.1,Skills!D9-IF(Skills!E9=TRUE,Inputs!$B$32,0)))*(1-IF(AND(ArtifactsInput!$M$27,Inputs!$B$4="Chapter Hunt"),CHOOSE(ArtifactsInput!$N$27+1,20,24,28,32,36,40),0)/100)))+1)),0)</f>
        <v/>
      </c>
      <c r="S80">
        <f>IFERROR(O80/N80,0)</f>
        <v/>
      </c>
      <c r="T80">
        <f>IF(C80,(H80*N80*IF(AND(Inputs!$B$38&lt;&gt;"pvp",Inputs!$B$43&gt;0),((Skills!G9*((R80-1)*IF(Skills!H9&gt;0,Skills!I9/Skills!H9,1)+IF(Skills!H9&gt;0,MIN(Skills!I9,MAX(0,MAX(0,Inputs!$B$43-B107)-((R80-1)*(IF(Inputs!$B$38="pvp",15,MAX(0.1,Skills!D9-IF(Skills!E9=TRUE,Inputs!$B$32,0)))*(1-IF(AND(ArtifactsInput!$M$27,Inputs!$B$4="Chapter Hunt"),CHOOSE(ArtifactsInput!$N$27+1,20,24,28,32,36,40),0)/100)))))/Skills!H9,1)))/Inputs!$B$43),G80*Q80)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
        <f>IF(C80,(H80*N80*IF(AND(Inputs!$B$38&lt;&gt;"pvp",Inputs!$B$43&gt;0),((Skills!G9*((R80-1)*IF(Skills!H9&gt;0,Skills!I9/Skills!H9,1)+IF(Skills!H9&gt;0,MIN(Skills!I9,MAX(0,MAX(0,Inputs!$B$43-B107)-((R80-1)*(IF(Inputs!$B$38="pvp",15,MAX(0.1,Skills!D9-IF(Skills!E9=TRUE,Inputs!$B$32,0)))*(1-IF(AND(ArtifactsInput!$M$27,Inputs!$B$4="Chapter Hunt"),CHOOSE(ArtifactsInput!$N$27+1,20,24,28,32,36,40),0)/100)))))/Skills!H9,1)))/Inputs!$B$43),G80*Q80)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
      <c r="A81">
        <f>Skills!A10</f>
        <v/>
      </c>
      <c r="B81">
        <f>Skills!B10</f>
        <v/>
      </c>
      <c r="C81">
        <f>Inputs!$B$3&gt;=63</f>
        <v/>
      </c>
      <c r="D81">
        <f>IF(Skills!C10=1,60+Inputs!$B$25+Inputs!$B$29,IF(Skills!C10=2,90+Inputs!$B$26+Inputs!$B$29,IF(Skills!C10=3,120+Inputs!$B$27+Inputs!$B$29,MAX(0,(Inputs!$B$3-100)*3)+Inputs!$B$28+Inputs!$B$29)))</f>
        <v/>
      </c>
      <c r="E81">
        <f>INDEX(FactorTable!$B$2:$Y$301, MATCH(ROUND(MIN(300,MAX(1,D81)),0), FactorTable!$A$2:$A$301,0), Skills!M10+1)</f>
        <v/>
      </c>
      <c r="F81">
        <f>IF(Skills!N10=TRUE,(Skills!L10/10)*(E81/1000),Skills!L10/10)+Skills!O10</f>
        <v/>
      </c>
      <c r="G81">
        <f>Skills!G10*IF(Skills!H10&gt;0,Skills!I10/Skills!H10,1)</f>
        <v/>
      </c>
      <c r="H81">
        <f>1-(1-Skills!J10/100)^Skills!K10</f>
        <v/>
      </c>
      <c r="I81" t="inlineStr">
        <is>
          <t>1</t>
        </is>
      </c>
      <c r="J81">
        <f>((Inputs!$B$6*(1+Inputs!$B$7/100))+((((Inputs!$B$12+1)*(1+Inputs!$B$13/100))-(Inputs!$B$12*(1+Inputs!$B$13/100)))+0.25*(Inputs!$B$14-Inputs!$B$14))*(1+Inputs!$B$7/100))*(F81/100)</f>
        <v/>
      </c>
      <c r="K81">
        <f>J81*(1+(((Inputs!$B$12+1)*(1+Inputs!$B$13/100))*0.01+Inputs!$B$14*0.0025)/100)*(1+Inputs!$B$15/100)*(1+Inputs!$B$16/100)*(5000/(6000+Inputs!$B$42*(1-(100*(1-(1-(Inputs!$B$19+0)/100)*(1-CHOOSE(ArtifactsInput!$N$40+1,5,6,7,8,9,10)/100)^(ArtifactsInput!$M$40-ArtifactsInput!$M$40)))/100)))*(1+(Inputs!$B$24+((C96=TRUE)*(F96-Calc!F25))+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83=TRUE,F83,0)/100)*(1+IF(Skills!A10="ENHANCED_RAGING_BLOW",IF(Inputs!$B$3&gt;=134,MAX(0,IF(Inputs!$B$3&gt;=110,7,5)-5)*50,0),0)/100)*(1+(IF(Skills!A10="RAGING_BLOW",Inputs!$B$17+((C92=TRUE)*(F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TRUE)*F84*IF(Inputs!$B$3&gt;=110,7,5))+((C86=TRUE)*F86*IF(AND(Inputs!$B$38&lt;&gt;"pvp",Inputs!$B$43&gt;0),(((R86-1)*(Skills!T15*(1+(Inputs!$B$34+(ArtifactsInput!$M$7-ArtifactsInput!$M$7)*CHOOSE(ArtifactsInput!$N$7+1,6,7.2,8.4,9.6,10.8,12))/100))+MIN((Skills!T15*(1+(Inputs!$B$34+(ArtifactsInput!$M$7-ArtifactsInput!$M$7)*CHOOSE(ArtifactsInput!$N$7+1,6,7.2,8.4,9.6,10.8,12))/100)),MAX(0,Inputs!$B$43-((R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100)*I81)</f>
        <v/>
      </c>
      <c r="L81">
        <f>K81*(MIN(Inputs!$B$22+((C93=TRUE)*(F93-Calc!F22)),(Inputs!$B$23+((C95=TRUE)*(F95-Calc!F24))+(IF(ArtifactsInput!$M$15,CHOOSE(ArtifactsInput!$N$15+1,25,30,35,40,45,50)/100*(Inputs!$B$11-Inputs!$B$11),0))))/100+(Inputs!$B$23+((C95=TRUE)*(F95-Calc!F24))+(IF(ArtifactsInput!$M$15,CHOOSE(ArtifactsInput!$N$15+1,25,30,35,40,45,50)/100*(Inputs!$B$11-Inputs!$B$11),0)))/100)/2</f>
        <v/>
      </c>
      <c r="M81">
        <f>L81*(1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
        <f>L81*(1-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
        <f>(1-Summary!$B$11)*T81+Summary!$B$11*V81</f>
        <v/>
      </c>
      <c r="P81">
        <f>IF(B110=0,0,O81/B110)</f>
        <v/>
      </c>
      <c r="Q81">
        <f>IFERROR(1/(IF(Inputs!$B$38="pvp",15,MAX(0.1,Skills!D10-IF(Skills!E10=TRUE,Inputs!$B$32,0)))*(1-IF(AND(ArtifactsInput!$M$27,Inputs!$B$4="Chapter Hunt"),CHOOSE(ArtifactsInput!$N$27+1,20,24,28,32,36,40),0)/100)),0)</f>
        <v/>
      </c>
      <c r="R81">
        <f>IF(AND(Inputs!$B$38&lt;&gt;"pvp",Inputs!$B$43&gt;0),IF(MAX(0,Inputs!$B$43-B107)&lt;=0,0,(INT(MAX(0,Inputs!$B$43-B107)/(IF(Inputs!$B$38="pvp",15,MAX(0.1,Skills!D10-IF(Skills!E10=TRUE,Inputs!$B$32,0)))*(1-IF(AND(ArtifactsInput!$M$27,Inputs!$B$4="Chapter Hunt"),CHOOSE(ArtifactsInput!$N$27+1,20,24,28,32,36,40),0)/100)))+1)),0)</f>
        <v/>
      </c>
      <c r="S81">
        <f>IFERROR(O81/N81,0)</f>
        <v/>
      </c>
      <c r="T81">
        <f>IF(C81,(H81*N81*IF(AND(Inputs!$B$38&lt;&gt;"pvp",Inputs!$B$43&gt;0),((Skills!G10*((R81-1)*IF(Skills!H10&gt;0,Skills!I10/Skills!H10,1)+IF(Skills!H10&gt;0,MIN(Skills!I10,MAX(0,MAX(0,Inputs!$B$43-B107)-((R81-1)*(IF(Inputs!$B$38="pvp",15,MAX(0.1,Skills!D10-IF(Skills!E10=TRUE,Inputs!$B$32,0)))*(1-IF(AND(ArtifactsInput!$M$27,Inputs!$B$4="Chapter Hunt"),CHOOSE(ArtifactsInput!$N$27+1,20,24,28,32,36,40),0)/100)))))/Skills!H10,1)))/Inputs!$B$43),G81*Q81)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
        <f>IF(C81,(H81*N81*IF(AND(Inputs!$B$38&lt;&gt;"pvp",Inputs!$B$43&gt;0),((Skills!G10*((R81-1)*IF(Skills!H10&gt;0,Skills!I10/Skills!H10,1)+IF(Skills!H10&gt;0,MIN(Skills!I10,MAX(0,MAX(0,Inputs!$B$43-B107)-((R81-1)*(IF(Inputs!$B$38="pvp",15,MAX(0.1,Skills!D10-IF(Skills!E10=TRUE,Inputs!$B$32,0)))*(1-IF(AND(ArtifactsInput!$M$27,Inputs!$B$4="Chapter Hunt"),CHOOSE(ArtifactsInput!$N$27+1,20,24,28,32,36,40),0)/100)))))/Skills!H10,1)))/Inputs!$B$43),G81*Q81)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
      <c r="A82">
        <f>Skills!A11</f>
        <v/>
      </c>
      <c r="B82">
        <f>Skills!B11</f>
        <v/>
      </c>
      <c r="C82">
        <f>Inputs!$B$3&gt;=35</f>
        <v/>
      </c>
      <c r="D82">
        <f>IF(Skills!C11=1,60+Inputs!$B$25+Inputs!$B$29,IF(Skills!C11=2,90+Inputs!$B$26+Inputs!$B$29,IF(Skills!C11=3,120+Inputs!$B$27+Inputs!$B$29,MAX(0,(Inputs!$B$3-100)*3)+Inputs!$B$28+Inputs!$B$29)))</f>
        <v/>
      </c>
      <c r="E82">
        <f>INDEX(FactorTable!$B$2:$Y$301, MATCH(ROUND(MIN(300,MAX(1,D82)),0), FactorTable!$A$2:$A$301,0), Skills!M11+1)</f>
        <v/>
      </c>
      <c r="F82">
        <f>IF(Skills!N11=TRUE,(Skills!L11/10)*(E82/1000),Skills!L11/10)+Skills!O11</f>
        <v/>
      </c>
      <c r="G82">
        <f>Skills!G11*IF(Skills!H11&gt;0,Skills!I11/Skills!H11,1)</f>
        <v/>
      </c>
      <c r="H82">
        <f>1-(1-Skills!J11/100)^Skills!K11</f>
        <v/>
      </c>
      <c r="I82" t="inlineStr">
        <is>
          <t>1</t>
        </is>
      </c>
      <c r="J82">
        <f>((Inputs!$B$6*(1+Inputs!$B$7/100))+((((Inputs!$B$12+1)*(1+Inputs!$B$13/100))-(Inputs!$B$12*(1+Inputs!$B$13/100)))+0.25*(Inputs!$B$14-Inputs!$B$14))*(1+Inputs!$B$7/100))*(F82/100)</f>
        <v/>
      </c>
      <c r="K82">
        <f>J82*(1+(((Inputs!$B$12+1)*(1+Inputs!$B$13/100))*0.01+Inputs!$B$14*0.0025)/100)*(1+Inputs!$B$15/100)*(1+Inputs!$B$16/100)*(5000/(6000+Inputs!$B$42*(1-(100*(1-(1-(Inputs!$B$19+0)/100)*(1-CHOOSE(ArtifactsInput!$N$40+1,5,6,7,8,9,10)/100)^(ArtifactsInput!$M$40-ArtifactsInput!$M$40)))/100)))*(1+(Inputs!$B$24+((C96=TRUE)*(F96-Calc!F25))+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83=TRUE,F83,0)/100)*(1+IF(Skills!A11="ENHANCED_RAGING_BLOW",IF(Inputs!$B$3&gt;=134,MAX(0,IF(Inputs!$B$3&gt;=110,7,5)-5)*50,0),0)/100)*(1+(IF(Skills!A11="RAGING_BLOW",Inputs!$B$17+((C92=TRUE)*(F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TRUE)*F84*IF(Inputs!$B$3&gt;=110,7,5))+((C86=TRUE)*F86*IF(AND(Inputs!$B$38&lt;&gt;"pvp",Inputs!$B$43&gt;0),(((R86-1)*(Skills!T15*(1+(Inputs!$B$34+(ArtifactsInput!$M$7-ArtifactsInput!$M$7)*CHOOSE(ArtifactsInput!$N$7+1,6,7.2,8.4,9.6,10.8,12))/100))+MIN((Skills!T15*(1+(Inputs!$B$34+(ArtifactsInput!$M$7-ArtifactsInput!$M$7)*CHOOSE(ArtifactsInput!$N$7+1,6,7.2,8.4,9.6,10.8,12))/100)),MAX(0,Inputs!$B$43-((R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100)*I82)</f>
        <v/>
      </c>
      <c r="L82">
        <f>K82*(MIN(Inputs!$B$22+((C93=TRUE)*(F93-Calc!F22)),(Inputs!$B$23+((C95=TRUE)*(F95-Calc!F24))+(IF(ArtifactsInput!$M$15,CHOOSE(ArtifactsInput!$N$15+1,25,30,35,40,45,50)/100*(Inputs!$B$11-Inputs!$B$11),0))))/100+(Inputs!$B$23+((C95=TRUE)*(F95-Calc!F24))+(IF(ArtifactsInput!$M$15,CHOOSE(ArtifactsInput!$N$15+1,25,30,35,40,45,50)/100*(Inputs!$B$11-Inputs!$B$11),0)))/100)/2</f>
        <v/>
      </c>
      <c r="M82">
        <f>L82*(1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
        <f>L82*(1-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MIN((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
        <f>(1-Summary!$B$11)*T82+Summary!$B$11*V82</f>
        <v/>
      </c>
      <c r="P82">
        <f>IF(B110=0,0,O82/B110)</f>
        <v/>
      </c>
      <c r="Q82">
        <f>IFERROR(1/(IF(Inputs!$B$38="pvp",15,MAX(0.1,Skills!D11-IF(Skills!E11=TRUE,Inputs!$B$32,0)))*(1-IF(AND(ArtifactsInput!$M$27,Inputs!$B$4="Chapter Hunt"),CHOOSE(ArtifactsInput!$N$27+1,20,24,28,32,36,40),0)/100)),0)</f>
        <v/>
      </c>
      <c r="R82">
        <f>IF(AND(Inputs!$B$38&lt;&gt;"pvp",Inputs!$B$43&gt;0),IF(MAX(0,Inputs!$B$43-B107)&lt;=0,0,(INT(MAX(0,Inputs!$B$43-B107)/(IF(Inputs!$B$38="pvp",15,MAX(0.1,Skills!D11-IF(Skills!E11=TRUE,Inputs!$B$32,0)))*(1-IF(AND(ArtifactsInput!$M$27,Inputs!$B$4="Chapter Hunt"),CHOOSE(ArtifactsInput!$N$27+1,20,24,28,32,36,40),0)/100)))+1)),0)</f>
        <v/>
      </c>
      <c r="S82">
        <f>IFERROR(O82/N82,0)</f>
        <v/>
      </c>
      <c r="T82">
        <f>IF(C82,(H82*N82*IF(AND(Inputs!$B$38&lt;&gt;"pvp",Inputs!$B$43&gt;0),((Skills!G11*((R82-1)*IF(Skills!H11&gt;0,Skills!I11/Skills!H11,1)+IF(Skills!H11&gt;0,MIN(Skills!I11,MAX(0,MAX(0,Inputs!$B$43-B107)-((R82-1)*(IF(Inputs!$B$38="pvp",15,MAX(0.1,Skills!D11-IF(Skills!E11=TRUE,Inputs!$B$32,0)))*(1-IF(AND(ArtifactsInput!$M$27,Inputs!$B$4="Chapter Hunt"),CHOOSE(ArtifactsInput!$N$27+1,20,24,28,32,36,40),0)/100)))))/Skills!H11,1)))/Inputs!$B$43),G82*Q82)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82*(1-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(1-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MIN(100,(Inputs!$B$9+((C97=TRUE)*(F97-Calc!F26))+B100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2">
        <f>IF(C82,(H82*N82*IF(AND(Inputs!$B$38&lt;&gt;"pvp",Inputs!$B$43&gt;0),((Skills!G11*((R82-1)*IF(Skills!H11&gt;0,Skills!I11/Skills!H11,1)+IF(Skills!H11&gt;0,MIN(Skills!I11,MAX(0,MAX(0,Inputs!$B$43-B107)-((R82-1)*(IF(Inputs!$B$38="pvp",15,MAX(0.1,Skills!D11-IF(Skills!E11=TRUE,Inputs!$B$32,0)))*(1-IF(AND(ArtifactsInput!$M$27,Inputs!$B$4="Chapter Hunt"),CHOOSE(ArtifactsInput!$N$27+1,20,24,28,32,36,40),0)/100)))))/Skills!H11,1)))/Inputs!$B$43),G82*Q82)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
      <c r="A83">
        <f>Skills!A12</f>
        <v/>
      </c>
      <c r="B83">
        <f>Skills!B12</f>
        <v/>
      </c>
      <c r="C83">
        <f>Inputs!$B$3&gt;=100</f>
        <v/>
      </c>
      <c r="D83">
        <f>IF(Skills!C12=1,60+Inputs!$B$25+Inputs!$B$29,IF(Skills!C12=2,90+Inputs!$B$26+Inputs!$B$29,IF(Skills!C12=3,120+Inputs!$B$27+Inputs!$B$29,MAX(0,(Inputs!$B$3-100)*3)+Inputs!$B$28+Inputs!$B$29)))</f>
        <v/>
      </c>
      <c r="E83">
        <f>INDEX(FactorTable!$B$2:$Y$301, MATCH(ROUND(MIN(300,MAX(1,D83)),0), FactorTable!$A$2:$A$301,0), Skills!M12+1)</f>
        <v/>
      </c>
      <c r="F83">
        <f>IF(Skills!N12=TRUE,(Skills!L12/10)*(E83/1000),Skills!L12/10)+Skills!O12</f>
        <v/>
      </c>
      <c r="G83" t="inlineStr"/>
      <c r="H83" t="inlineStr"/>
      <c r="I83" t="inlineStr">
        <is>
          <t>1</t>
        </is>
      </c>
      <c r="J83" t="inlineStr"/>
      <c r="K83" t="inlineStr"/>
      <c r="L83" t="inlineStr"/>
      <c r="M83" t="inlineStr"/>
      <c r="N83" t="inlineStr"/>
      <c r="O83" t="inlineStr"/>
      <c r="P83" t="inlineStr"/>
      <c r="Q83" t="inlineStr"/>
      <c r="R83" t="inlineStr"/>
      <c r="S83" t="inlineStr"/>
    </row>
    <row r="84">
      <c r="A84">
        <f>Skills!A13</f>
        <v/>
      </c>
      <c r="B84">
        <f>Skills!B13</f>
        <v/>
      </c>
      <c r="C84">
        <f>Inputs!$B$3&gt;=45</f>
        <v/>
      </c>
      <c r="D84">
        <f>IF(Skills!C13=1,60+Inputs!$B$25+Inputs!$B$29,IF(Skills!C13=2,90+Inputs!$B$26+Inputs!$B$29,IF(Skills!C13=3,120+Inputs!$B$27+Inputs!$B$29,MAX(0,(Inputs!$B$3-100)*3)+Inputs!$B$28+Inputs!$B$29)))</f>
        <v/>
      </c>
      <c r="E84">
        <f>INDEX(FactorTable!$B$2:$Y$301, MATCH(ROUND(MIN(300,MAX(1,D84)),0), FactorTable!$A$2:$A$301,0), Skills!M13+1)</f>
        <v/>
      </c>
      <c r="F84">
        <f>IF(Skills!N13=TRUE,(Skills!L13/10)*(E84/1000),Skills!L13/10)+Skills!O13</f>
        <v/>
      </c>
      <c r="G84">
        <f>Skills!G13*IF(Skills!H13&gt;0,Skills!I13/Skills!H13,1)</f>
        <v/>
      </c>
      <c r="H84">
        <f>1-(1-Skills!J13/100)^Skills!K13</f>
        <v/>
      </c>
      <c r="I84" t="inlineStr">
        <is>
          <t>1</t>
        </is>
      </c>
      <c r="J84" t="inlineStr"/>
      <c r="K84" t="inlineStr"/>
      <c r="L84" t="inlineStr"/>
      <c r="M84" t="inlineStr"/>
      <c r="N84" t="inlineStr"/>
      <c r="O84">
        <f>(1-Summary!$B$11)*T84+Summary!$B$11*V84</f>
        <v/>
      </c>
      <c r="P84">
        <f>IF(B110=0,0,O84/B110)</f>
        <v/>
      </c>
      <c r="Q84" t="n">
        <v>0</v>
      </c>
      <c r="R84" t="n">
        <v>0</v>
      </c>
      <c r="S84">
        <f>IFERROR(O84/N84,0)</f>
        <v/>
      </c>
      <c r="T84" t="n">
        <v>0</v>
      </c>
      <c r="V84" t="n">
        <v>0</v>
      </c>
    </row>
    <row r="85">
      <c r="A85">
        <f>Skills!A14</f>
        <v/>
      </c>
      <c r="B85">
        <f>Skills!B14</f>
        <v/>
      </c>
      <c r="C85">
        <f>Inputs!$B$3&gt;=75</f>
        <v/>
      </c>
      <c r="D85">
        <f>IF(Skills!C14=1,60+Inputs!$B$25+Inputs!$B$29,IF(Skills!C14=2,90+Inputs!$B$26+Inputs!$B$29,IF(Skills!C14=3,120+Inputs!$B$27+Inputs!$B$29,MAX(0,(Inputs!$B$3-100)*3)+Inputs!$B$28+Inputs!$B$29)))</f>
        <v/>
      </c>
      <c r="E85">
        <f>INDEX(FactorTable!$B$2:$Y$301, MATCH(ROUND(MIN(300,MAX(1,D85)),0), FactorTable!$A$2:$A$301,0), Skills!M14+1)</f>
        <v/>
      </c>
      <c r="F85">
        <f>IF(Skills!N14=TRUE,(Skills!L14/10)*(E85/1000),Skills!L14/10)+Skills!O14</f>
        <v/>
      </c>
      <c r="G85">
        <f>Skills!G14*IF(Skills!H14&gt;0,Skills!I14/Skills!H14,1)</f>
        <v/>
      </c>
      <c r="H85">
        <f>1-(1-Skills!J14/100)^Skills!K14</f>
        <v/>
      </c>
      <c r="I85" t="inlineStr">
        <is>
          <t>1</t>
        </is>
      </c>
      <c r="J85" t="inlineStr"/>
      <c r="K85" t="inlineStr"/>
      <c r="L85" t="inlineStr"/>
      <c r="M85" t="inlineStr"/>
      <c r="N85" t="inlineStr"/>
      <c r="O85">
        <f>(1-Summary!$B$11)*T85+Summary!$B$11*V85</f>
        <v/>
      </c>
      <c r="P85">
        <f>IF(B110=0,0,O85/B110)</f>
        <v/>
      </c>
      <c r="Q85" t="n">
        <v>0</v>
      </c>
      <c r="R85" t="n">
        <v>0</v>
      </c>
      <c r="S85">
        <f>IFERROR(O85/N85,0)</f>
        <v/>
      </c>
      <c r="T85" t="n">
        <v>0</v>
      </c>
      <c r="V85" t="n">
        <v>0</v>
      </c>
    </row>
    <row r="86">
      <c r="A86">
        <f>Skills!A15</f>
        <v/>
      </c>
      <c r="B86">
        <f>Skills!B15</f>
        <v/>
      </c>
      <c r="C86">
        <f>Inputs!$B$3&gt;=40</f>
        <v/>
      </c>
      <c r="D86">
        <f>IF(Skills!C15=1,60+Inputs!$B$25+Inputs!$B$29,IF(Skills!C15=2,90+Inputs!$B$26+Inputs!$B$29,IF(Skills!C15=3,120+Inputs!$B$27+Inputs!$B$29,MAX(0,(Inputs!$B$3-100)*3)+Inputs!$B$28+Inputs!$B$29)))</f>
        <v/>
      </c>
      <c r="E86">
        <f>INDEX(FactorTable!$B$2:$Y$301, MATCH(ROUND(MIN(300,MAX(1,D86)),0), FactorTable!$A$2:$A$301,0), Skills!M15+1)</f>
        <v/>
      </c>
      <c r="F86">
        <f>IF(Skills!N15=TRUE,(Skills!L15/10)*(E86/1000),Skills!L15/10)+Skills!O15</f>
        <v/>
      </c>
      <c r="G86">
        <f>Skills!G15*IF(Skills!H15&gt;0,Skills!I15/Skills!H15,1)</f>
        <v/>
      </c>
      <c r="H86">
        <f>1-(1-Skills!J15/100)^Skills!K15</f>
        <v/>
      </c>
      <c r="I86" t="inlineStr">
        <is>
          <t>1</t>
        </is>
      </c>
      <c r="J86" t="inlineStr"/>
      <c r="K86" t="inlineStr"/>
      <c r="L86" t="inlineStr"/>
      <c r="M86" t="inlineStr"/>
      <c r="N86" t="inlineStr"/>
      <c r="O86">
        <f>(1-Summary!$B$11)*T86+Summary!$B$11*V86</f>
        <v/>
      </c>
      <c r="P86">
        <f>IF(B110=0,0,O86/B110)</f>
        <v/>
      </c>
      <c r="Q86">
        <f>IFERROR(1/(IF(Inputs!$B$38="pvp",15,MAX(0.1,Skills!D15-IF(Skills!E15=TRUE,Inputs!$B$32,0)))*(1-IF(AND(ArtifactsInput!$M$27,Inputs!$B$4="Chapter Hunt"),CHOOSE(ArtifactsInput!$N$27+1,20,24,28,32,36,40),0)/100)),0)</f>
        <v/>
      </c>
      <c r="R86">
        <f>IF(AND(Inputs!$B$38&lt;&gt;"pvp",Inputs!$B$43&gt;0),IF(Inputs!$B$43&lt;=0,0,(INT(Inputs!$B$43/(IF(Inputs!$B$38="pvp",15,MAX(0.1,Skills!D15-IF(Skills!E15=TRUE,Inputs!$B$32,0)))*(1-IF(AND(ArtifactsInput!$M$27,Inputs!$B$4="Chapter Hunt"),CHOOSE(ArtifactsInput!$N$27+1,20,24,28,32,36,40),0)/100)))+1)),0)</f>
        <v/>
      </c>
      <c r="S86">
        <f>IFERROR(O86/N86,0)</f>
        <v/>
      </c>
      <c r="T86" t="n">
        <v>0</v>
      </c>
      <c r="V86" t="n">
        <v>0</v>
      </c>
    </row>
    <row r="87">
      <c r="A87">
        <f>Skills!A16</f>
        <v/>
      </c>
      <c r="B87">
        <f>Skills!B16</f>
        <v/>
      </c>
      <c r="C87">
        <f>Inputs!$B$3&gt;=66</f>
        <v/>
      </c>
      <c r="D87">
        <f>IF(Skills!C16=1,60+Inputs!$B$25+Inputs!$B$29,IF(Skills!C16=2,90+Inputs!$B$26+Inputs!$B$29,IF(Skills!C16=3,120+Inputs!$B$27+Inputs!$B$29,MAX(0,(Inputs!$B$3-100)*3)+Inputs!$B$28+Inputs!$B$29)))</f>
        <v/>
      </c>
      <c r="E87">
        <f>INDEX(FactorTable!$B$2:$Y$301, MATCH(ROUND(MIN(300,MAX(1,D87)),0), FactorTable!$A$2:$A$301,0), Skills!M16+1)</f>
        <v/>
      </c>
      <c r="F87">
        <f>IF(Skills!N16=TRUE,(Skills!L16/10)*(E87/1000),Skills!L16/10)+Skills!O16</f>
        <v/>
      </c>
      <c r="G87">
        <f>Skills!G16*IF(Skills!H16&gt;0,Skills!I16/Skills!H16,1)</f>
        <v/>
      </c>
      <c r="H87">
        <f>1-(1-Skills!J16/100)^Skills!K16</f>
        <v/>
      </c>
      <c r="I87" t="inlineStr">
        <is>
          <t>1</t>
        </is>
      </c>
      <c r="J87" t="inlineStr"/>
      <c r="K87" t="inlineStr"/>
      <c r="L87" t="inlineStr"/>
      <c r="M87" t="inlineStr"/>
      <c r="N87" t="inlineStr"/>
      <c r="O87">
        <f>(1-Summary!$B$11)*T87+Summary!$B$11*V87</f>
        <v/>
      </c>
      <c r="P87">
        <f>IF(B110=0,0,O87/B110)</f>
        <v/>
      </c>
      <c r="Q87">
        <f>IFERROR(1/(IF(Inputs!$B$38="pvp",15,MAX(0.1,Skills!D16-IF(Skills!E16=TRUE,Inputs!$B$32,0)))*(1-IF(AND(ArtifactsInput!$M$27,Inputs!$B$4="Chapter Hunt"),CHOOSE(ArtifactsInput!$N$27+1,20,24,28,32,36,40),0)/100)),0)</f>
        <v/>
      </c>
      <c r="R87">
        <f>IF(AND(Inputs!$B$38&lt;&gt;"pvp",Inputs!$B$43&gt;0),IF(Inputs!$B$43&lt;=0,0,(INT(Inputs!$B$43/(IF(Inputs!$B$38="pvp",15,MAX(0.1,Skills!D16-IF(Skills!E16=TRUE,Inputs!$B$32,0)))*(1-IF(AND(ArtifactsInput!$M$27,Inputs!$B$4="Chapter Hunt"),CHOOSE(ArtifactsInput!$N$27+1,20,24,28,32,36,40),0)/100)))+1)),0)</f>
        <v/>
      </c>
      <c r="S87">
        <f>IFERROR(O87/N87,0)</f>
        <v/>
      </c>
      <c r="T87" t="n">
        <v>0</v>
      </c>
      <c r="V87" t="n">
        <v>0</v>
      </c>
    </row>
    <row r="88">
      <c r="A88">
        <f>Skills!A17</f>
        <v/>
      </c>
      <c r="B88">
        <f>Skills!B17</f>
        <v/>
      </c>
      <c r="C88">
        <f>Inputs!$B$3&gt;=115</f>
        <v/>
      </c>
      <c r="D88">
        <f>IF(Skills!C17=1,60+Inputs!$B$25+Inputs!$B$29,IF(Skills!C17=2,90+Inputs!$B$26+Inputs!$B$29,IF(Skills!C17=3,120+Inputs!$B$27+Inputs!$B$29,MAX(0,(Inputs!$B$3-100)*3)+Inputs!$B$28+Inputs!$B$29)))</f>
        <v/>
      </c>
      <c r="E88">
        <f>INDEX(FactorTable!$B$2:$Y$301, MATCH(ROUND(MIN(300,MAX(1,D88)),0), FactorTable!$A$2:$A$301,0), Skills!M17+1)</f>
        <v/>
      </c>
      <c r="F88">
        <f>IF(Skills!N17=TRUE,(Skills!L17/10)*(E88/1000),Skills!L17/10)+Skills!O17</f>
        <v/>
      </c>
      <c r="G88">
        <f>Skills!G17*IF(Skills!H17&gt;0,Skills!I17/Skills!H17,1)</f>
        <v/>
      </c>
      <c r="H88">
        <f>1-(1-Skills!J17/100)^Skills!K17</f>
        <v/>
      </c>
      <c r="I88" t="inlineStr">
        <is>
          <t>1</t>
        </is>
      </c>
      <c r="J88" t="inlineStr"/>
      <c r="K88" t="inlineStr"/>
      <c r="L88" t="inlineStr"/>
      <c r="M88" t="inlineStr"/>
      <c r="N88" t="inlineStr"/>
      <c r="O88">
        <f>(1-Summary!$B$11)*T88+Summary!$B$11*V88</f>
        <v/>
      </c>
      <c r="P88">
        <f>IF(B110=0,0,O88/B110)</f>
        <v/>
      </c>
      <c r="Q88">
        <f>IFERROR(1/(IF(Inputs!$B$38="pvp",15,MAX(0.1,Skills!D17-IF(Skills!E17=TRUE,Inputs!$B$32,0)))*(1-IF(AND(ArtifactsInput!$M$27,Inputs!$B$4="Chapter Hunt"),CHOOSE(ArtifactsInput!$N$27+1,20,24,28,32,36,40),0)/100)),0)</f>
        <v/>
      </c>
      <c r="R88">
        <f>IF(AND(Inputs!$B$38&lt;&gt;"pvp",Inputs!$B$43&gt;0),IF(Inputs!$B$43&lt;=0,0,(INT(Inputs!$B$43/(IF(Inputs!$B$38="pvp",15,MAX(0.1,Skills!D17-IF(Skills!E17=TRUE,Inputs!$B$32,0)))*(1-IF(AND(ArtifactsInput!$M$27,Inputs!$B$4="Chapter Hunt"),CHOOSE(ArtifactsInput!$N$27+1,20,24,28,32,36,40),0)/100)))+1)),0)</f>
        <v/>
      </c>
      <c r="S88">
        <f>IFERROR(O88/N88,0)</f>
        <v/>
      </c>
      <c r="T88" t="n">
        <v>0</v>
      </c>
      <c r="V88" t="n">
        <v>0</v>
      </c>
    </row>
    <row r="89">
      <c r="A89">
        <f>Skills!A18</f>
        <v/>
      </c>
      <c r="B89">
        <f>Skills!B18</f>
        <v/>
      </c>
      <c r="C89">
        <f>Inputs!$B$3&gt;=115</f>
        <v/>
      </c>
      <c r="D89">
        <f>IF(Skills!C18=1,60+Inputs!$B$25+Inputs!$B$29,IF(Skills!C18=2,90+Inputs!$B$26+Inputs!$B$29,IF(Skills!C18=3,120+Inputs!$B$27+Inputs!$B$29,MAX(0,(Inputs!$B$3-100)*3)+Inputs!$B$28+Inputs!$B$29)))</f>
        <v/>
      </c>
      <c r="E89">
        <f>INDEX(FactorTable!$B$2:$Y$301, MATCH(ROUND(MIN(300,MAX(1,D89)),0), FactorTable!$A$2:$A$301,0), Skills!M18+1)</f>
        <v/>
      </c>
      <c r="F89">
        <f>IF(Skills!N18=TRUE,(Skills!L18/10)*(E89/1000),Skills!L18/10)+Skills!O18</f>
        <v/>
      </c>
      <c r="G89">
        <f>Skills!G18*IF(Skills!H18&gt;0,Skills!I18/Skills!H18,1)</f>
        <v/>
      </c>
      <c r="H89">
        <f>1-(1-Skills!J18/100)^Skills!K18</f>
        <v/>
      </c>
      <c r="I89" t="inlineStr">
        <is>
          <t>1</t>
        </is>
      </c>
      <c r="J89" t="inlineStr"/>
      <c r="K89" t="inlineStr"/>
      <c r="L89" t="inlineStr"/>
      <c r="M89" t="inlineStr"/>
      <c r="N89" t="inlineStr"/>
      <c r="O89">
        <f>(1-Summary!$B$11)*T89+Summary!$B$11*V89</f>
        <v/>
      </c>
      <c r="P89">
        <f>IF(B110=0,0,O89/B110)</f>
        <v/>
      </c>
      <c r="Q89">
        <f>IFERROR(1/(IF(Inputs!$B$38="pvp",15,MAX(0.1,Skills!D18-IF(Skills!E18=TRUE,Inputs!$B$32,0)))*(1-IF(AND(ArtifactsInput!$M$27,Inputs!$B$4="Chapter Hunt"),CHOOSE(ArtifactsInput!$N$27+1,20,24,28,32,36,40),0)/100)),0)</f>
        <v/>
      </c>
      <c r="R89">
        <f>IF(AND(Inputs!$B$38&lt;&gt;"pvp",Inputs!$B$43&gt;0),IF(Inputs!$B$43&lt;=0,0,(INT(Inputs!$B$43/(IF(Inputs!$B$38="pvp",15,MAX(0.1,Skills!D18-IF(Skills!E18=TRUE,Inputs!$B$32,0)))*(1-IF(AND(ArtifactsInput!$M$27,Inputs!$B$4="Chapter Hunt"),CHOOSE(ArtifactsInput!$N$27+1,20,24,28,32,36,40),0)/100)))+1)),0)</f>
        <v/>
      </c>
      <c r="S89">
        <f>IFERROR(O89/N89,0)</f>
        <v/>
      </c>
      <c r="T89" t="n">
        <v>0</v>
      </c>
      <c r="V89" t="n">
        <v>0</v>
      </c>
    </row>
    <row r="90">
      <c r="A90">
        <f>Skills!A19</f>
        <v/>
      </c>
      <c r="B90">
        <f>Skills!B19</f>
        <v/>
      </c>
      <c r="C90">
        <f>TRUE</f>
        <v/>
      </c>
      <c r="D90">
        <f>IF(Skills!C19=1,60+Inputs!$B$25+Inputs!$B$29,IF(Skills!C19=2,90+Inputs!$B$26+Inputs!$B$29,IF(Skills!C19=3,120+Inputs!$B$27+Inputs!$B$29,MAX(0,(Inputs!$B$3-100)*3)+Inputs!$B$28+Inputs!$B$29)))</f>
        <v/>
      </c>
      <c r="E90">
        <f>INDEX(FactorTable!$B$2:$Y$301, MATCH(ROUND(MIN(300,MAX(1,D90)),0), FactorTable!$A$2:$A$301,0), Skills!M19+1)</f>
        <v/>
      </c>
      <c r="F90">
        <f>IF(Skills!N19=TRUE,(Skills!L19/10)*(E90/1000),Skills!L19/10)+Skills!O19</f>
        <v/>
      </c>
      <c r="G90">
        <f>Skills!G19*IF(Skills!H19&gt;0,Skills!I19/Skills!H19,1)</f>
        <v/>
      </c>
      <c r="H90">
        <f>1-(1-Skills!J19/100)^Skills!K19</f>
        <v/>
      </c>
      <c r="I90" t="inlineStr">
        <is>
          <t>1</t>
        </is>
      </c>
      <c r="J90" t="inlineStr"/>
      <c r="K90" t="inlineStr"/>
      <c r="L90" t="inlineStr"/>
      <c r="M90" t="inlineStr"/>
      <c r="N90" t="inlineStr"/>
      <c r="O90">
        <f>(1-Summary!$B$11)*T90+Summary!$B$11*V90</f>
        <v/>
      </c>
      <c r="P90">
        <f>IF(B110=0,0,O90/B110)</f>
        <v/>
      </c>
      <c r="Q90">
        <f>IFERROR(1/(IF(Inputs!$B$38="pvp",15,MAX(0.1,Skills!D19-IF(Skills!E19=TRUE,Inputs!$B$32,0)))*(1-IF(AND(ArtifactsInput!$M$27,Inputs!$B$4="Chapter Hunt"),CHOOSE(ArtifactsInput!$N$27+1,20,24,28,32,36,40),0)/100)),0)</f>
        <v/>
      </c>
      <c r="R90">
        <f>IF(AND(Inputs!$B$38&lt;&gt;"pvp",Inputs!$B$43&gt;0),IF(Inputs!$B$43&lt;=0,0,(INT(Inputs!$B$43/(IF(Inputs!$B$38="pvp",15,MAX(0.1,Skills!D19-IF(Skills!E19=TRUE,Inputs!$B$32,0)))*(1-IF(AND(ArtifactsInput!$M$27,Inputs!$B$4="Chapter Hunt"),CHOOSE(ArtifactsInput!$N$27+1,20,24,28,32,36,40),0)/100)))+1)),0)</f>
        <v/>
      </c>
      <c r="S90">
        <f>IFERROR(O90/N90,0)</f>
        <v/>
      </c>
      <c r="T90" t="n">
        <v>0</v>
      </c>
      <c r="V90" t="n">
        <v>0</v>
      </c>
    </row>
    <row r="91">
      <c r="A91">
        <f>Skills!A20</f>
        <v/>
      </c>
      <c r="B91">
        <f>Skills!B20</f>
        <v/>
      </c>
      <c r="C91">
        <f>Inputs!$B$3&gt;=33</f>
        <v/>
      </c>
      <c r="D91">
        <f>IF(Skills!C20=1,60+Inputs!$B$25+Inputs!$B$29,IF(Skills!C20=2,90+Inputs!$B$26+Inputs!$B$29,IF(Skills!C20=3,120+Inputs!$B$27+Inputs!$B$29,MAX(0,(Inputs!$B$3-100)*3)+Inputs!$B$28+Inputs!$B$29)))</f>
        <v/>
      </c>
      <c r="E91">
        <f>INDEX(FactorTable!$B$2:$Y$301, MATCH(ROUND(MIN(300,MAX(1,D91)),0), FactorTable!$A$2:$A$301,0), Skills!M20+1)</f>
        <v/>
      </c>
      <c r="F91">
        <f>IF(Skills!N20=TRUE,(Skills!L20/10)*(E91/1000),Skills!L20/10)+Skills!O20</f>
        <v/>
      </c>
      <c r="G91">
        <f>Skills!G20*IF(Skills!H20&gt;0,Skills!I20/Skills!H20,1)</f>
        <v/>
      </c>
      <c r="H91">
        <f>1-(1-Skills!J20/100)^Skills!K20</f>
        <v/>
      </c>
      <c r="I91" t="inlineStr">
        <is>
          <t>1</t>
        </is>
      </c>
      <c r="J91" t="inlineStr"/>
      <c r="K91" t="inlineStr"/>
      <c r="L91" t="inlineStr"/>
      <c r="M91" t="inlineStr"/>
      <c r="N91" t="inlineStr"/>
      <c r="O91">
        <f>(1-Summary!$B$11)*T91+Summary!$B$11*V91</f>
        <v/>
      </c>
      <c r="P91">
        <f>IF(B110=0,0,O91/B110)</f>
        <v/>
      </c>
      <c r="Q91" t="n">
        <v>0</v>
      </c>
      <c r="R91" t="n">
        <v>0</v>
      </c>
      <c r="S91">
        <f>IFERROR(O91/N91,0)</f>
        <v/>
      </c>
      <c r="T91" t="n">
        <v>0</v>
      </c>
      <c r="V91" t="n">
        <v>0</v>
      </c>
    </row>
    <row r="92">
      <c r="A92">
        <f>Skills!A21</f>
        <v/>
      </c>
      <c r="B92">
        <f>Skills!B21</f>
        <v/>
      </c>
      <c r="C92">
        <f>Inputs!$B$3&gt;=38</f>
        <v/>
      </c>
      <c r="D92">
        <f>IF(Skills!C21=1,60+Inputs!$B$25+Inputs!$B$29,IF(Skills!C21=2,90+Inputs!$B$26+Inputs!$B$29,IF(Skills!C21=3,120+Inputs!$B$27+Inputs!$B$29,MAX(0,(Inputs!$B$3-100)*3)+Inputs!$B$28+Inputs!$B$29)))</f>
        <v/>
      </c>
      <c r="E92">
        <f>INDEX(FactorTable!$B$2:$Y$301, MATCH(ROUND(MIN(300,MAX(1,D92)),0), FactorTable!$A$2:$A$301,0), Skills!M21+1)</f>
        <v/>
      </c>
      <c r="F92">
        <f>IF(Skills!N21=TRUE,(Skills!L21/10)*(E92/1000),Skills!L21/10)+Skills!O21</f>
        <v/>
      </c>
      <c r="G92">
        <f>Skills!G21*IF(Skills!H21&gt;0,Skills!I21/Skills!H21,1)</f>
        <v/>
      </c>
      <c r="H92">
        <f>1-(1-Skills!J21/100)^Skills!K21</f>
        <v/>
      </c>
      <c r="I92" t="inlineStr">
        <is>
          <t>1</t>
        </is>
      </c>
      <c r="J92" t="inlineStr"/>
      <c r="K92" t="inlineStr"/>
      <c r="L92" t="inlineStr"/>
      <c r="M92" t="inlineStr"/>
      <c r="N92" t="inlineStr"/>
      <c r="O92">
        <f>(1-Summary!$B$11)*T92+Summary!$B$11*V92</f>
        <v/>
      </c>
      <c r="P92">
        <f>IF(B110=0,0,O92/B110)</f>
        <v/>
      </c>
      <c r="Q92" t="n">
        <v>0</v>
      </c>
      <c r="R92" t="n">
        <v>0</v>
      </c>
      <c r="S92">
        <f>IFERROR(O92/N92,0)</f>
        <v/>
      </c>
      <c r="T92" t="n">
        <v>0</v>
      </c>
      <c r="V92" t="n">
        <v>0</v>
      </c>
    </row>
    <row r="93">
      <c r="A93">
        <f>Skills!A22</f>
        <v/>
      </c>
      <c r="B93">
        <f>Skills!B22</f>
        <v/>
      </c>
      <c r="C93">
        <f>Inputs!$B$3&gt;=43</f>
        <v/>
      </c>
      <c r="D93">
        <f>IF(Skills!C22=1,60+Inputs!$B$25+Inputs!$B$29,IF(Skills!C22=2,90+Inputs!$B$26+Inputs!$B$29,IF(Skills!C22=3,120+Inputs!$B$27+Inputs!$B$29,MAX(0,(Inputs!$B$3-100)*3)+Inputs!$B$28+Inputs!$B$29)))</f>
        <v/>
      </c>
      <c r="E93">
        <f>INDEX(FactorTable!$B$2:$Y$301, MATCH(ROUND(MIN(300,MAX(1,D93)),0), FactorTable!$A$2:$A$301,0), Skills!M22+1)</f>
        <v/>
      </c>
      <c r="F93">
        <f>IF(Skills!N22=TRUE,(Skills!L22/10)*(E93/1000),Skills!L22/10)+Skills!O22</f>
        <v/>
      </c>
      <c r="G93">
        <f>Skills!G22*IF(Skills!H22&gt;0,Skills!I22/Skills!H22,1)</f>
        <v/>
      </c>
      <c r="H93">
        <f>1-(1-Skills!J22/100)^Skills!K22</f>
        <v/>
      </c>
      <c r="I93" t="inlineStr">
        <is>
          <t>1</t>
        </is>
      </c>
      <c r="J93" t="inlineStr"/>
      <c r="K93" t="inlineStr"/>
      <c r="L93" t="inlineStr"/>
      <c r="M93" t="inlineStr"/>
      <c r="N93" t="inlineStr"/>
      <c r="O93">
        <f>(1-Summary!$B$11)*T93+Summary!$B$11*V93</f>
        <v/>
      </c>
      <c r="P93">
        <f>IF(B110=0,0,O93/B110)</f>
        <v/>
      </c>
      <c r="Q93" t="n">
        <v>0</v>
      </c>
      <c r="R93" t="n">
        <v>0</v>
      </c>
      <c r="S93">
        <f>IFERROR(O93/N93,0)</f>
        <v/>
      </c>
      <c r="T93" t="n">
        <v>0</v>
      </c>
      <c r="V93" t="n">
        <v>0</v>
      </c>
    </row>
    <row r="94">
      <c r="A94">
        <f>Skills!A23</f>
        <v/>
      </c>
      <c r="B94">
        <f>Skills!B23</f>
        <v/>
      </c>
      <c r="C94">
        <f>Inputs!$B$3&gt;=120</f>
        <v/>
      </c>
      <c r="D94">
        <f>IF(Skills!C23=1,60+Inputs!$B$25+Inputs!$B$29,IF(Skills!C23=2,90+Inputs!$B$26+Inputs!$B$29,IF(Skills!C23=3,120+Inputs!$B$27+Inputs!$B$29,MAX(0,(Inputs!$B$3-100)*3)+Inputs!$B$28+Inputs!$B$29)))</f>
        <v/>
      </c>
      <c r="E94">
        <f>INDEX(FactorTable!$B$2:$Y$301, MATCH(ROUND(MIN(300,MAX(1,D94)),0), FactorTable!$A$2:$A$301,0), Skills!M23+1)</f>
        <v/>
      </c>
      <c r="F94">
        <f>IF(Skills!N23=TRUE,(Skills!L23/10)*(E94/1000),Skills!L23/10)+Skills!O23</f>
        <v/>
      </c>
      <c r="G94">
        <f>Skills!G23*IF(Skills!H23&gt;0,Skills!I23/Skills!H23,1)</f>
        <v/>
      </c>
      <c r="H94">
        <f>1-(1-Skills!J23/100)^Skills!K23</f>
        <v/>
      </c>
      <c r="I94" t="inlineStr">
        <is>
          <t>1</t>
        </is>
      </c>
      <c r="J94" t="inlineStr"/>
      <c r="K94" t="inlineStr"/>
      <c r="L94" t="inlineStr"/>
      <c r="M94" t="inlineStr"/>
      <c r="N94" t="inlineStr"/>
      <c r="O94">
        <f>(1-Summary!$B$11)*T94+Summary!$B$11*V94</f>
        <v/>
      </c>
      <c r="P94">
        <f>IF(B110=0,0,O94/B110)</f>
        <v/>
      </c>
      <c r="Q94" t="n">
        <v>0</v>
      </c>
      <c r="R94" t="n">
        <v>0</v>
      </c>
      <c r="S94">
        <f>IFERROR(O94/N94,0)</f>
        <v/>
      </c>
      <c r="T94" t="n">
        <v>0</v>
      </c>
      <c r="V94" t="n">
        <v>0</v>
      </c>
    </row>
    <row r="95">
      <c r="A95">
        <f>Skills!A24</f>
        <v/>
      </c>
      <c r="B95">
        <f>Skills!B24</f>
        <v/>
      </c>
      <c r="C95">
        <f>Inputs!$B$3&gt;=120</f>
        <v/>
      </c>
      <c r="D95">
        <f>IF(Skills!C24=1,60+Inputs!$B$25+Inputs!$B$29,IF(Skills!C24=2,90+Inputs!$B$26+Inputs!$B$29,IF(Skills!C24=3,120+Inputs!$B$27+Inputs!$B$29,MAX(0,(Inputs!$B$3-100)*3)+Inputs!$B$28+Inputs!$B$29)))</f>
        <v/>
      </c>
      <c r="E95">
        <f>INDEX(FactorTable!$B$2:$Y$301, MATCH(ROUND(MIN(300,MAX(1,D95)),0), FactorTable!$A$2:$A$301,0), Skills!M24+1)</f>
        <v/>
      </c>
      <c r="F95">
        <f>IF(Skills!N24=TRUE,(Skills!L24/10)*(E95/1000),Skills!L24/10)+Skills!O24</f>
        <v/>
      </c>
      <c r="G95">
        <f>Skills!G24*IF(Skills!H24&gt;0,Skills!I24/Skills!H24,1)</f>
        <v/>
      </c>
      <c r="H95">
        <f>1-(1-Skills!J24/100)^Skills!K24</f>
        <v/>
      </c>
      <c r="I95" t="inlineStr">
        <is>
          <t>1</t>
        </is>
      </c>
      <c r="J95" t="inlineStr"/>
      <c r="K95" t="inlineStr"/>
      <c r="L95" t="inlineStr"/>
      <c r="M95" t="inlineStr"/>
      <c r="N95" t="inlineStr"/>
      <c r="O95">
        <f>(1-Summary!$B$11)*T95+Summary!$B$11*V95</f>
        <v/>
      </c>
      <c r="P95">
        <f>IF(B110=0,0,O95/B110)</f>
        <v/>
      </c>
      <c r="Q95" t="n">
        <v>0</v>
      </c>
      <c r="R95" t="n">
        <v>0</v>
      </c>
      <c r="S95">
        <f>IFERROR(O95/N95,0)</f>
        <v/>
      </c>
      <c r="T95" t="n">
        <v>0</v>
      </c>
      <c r="V95" t="n">
        <v>0</v>
      </c>
    </row>
    <row r="96">
      <c r="A96">
        <f>Skills!A25</f>
        <v/>
      </c>
      <c r="B96">
        <f>Skills!B25</f>
        <v/>
      </c>
      <c r="C96">
        <f>Inputs!$B$3&gt;=125</f>
        <v/>
      </c>
      <c r="D96">
        <f>IF(Skills!C25=1,60+Inputs!$B$25+Inputs!$B$29,IF(Skills!C25=2,90+Inputs!$B$26+Inputs!$B$29,IF(Skills!C25=3,120+Inputs!$B$27+Inputs!$B$29,MAX(0,(Inputs!$B$3-100)*3)+Inputs!$B$28+Inputs!$B$29)))</f>
        <v/>
      </c>
      <c r="E96">
        <f>INDEX(FactorTable!$B$2:$Y$301, MATCH(ROUND(MIN(300,MAX(1,D96)),0), FactorTable!$A$2:$A$301,0), Skills!M25+1)</f>
        <v/>
      </c>
      <c r="F96">
        <f>IF(Skills!N25=TRUE,(Skills!L25/10)*(E96/1000),Skills!L25/10)+Skills!O25</f>
        <v/>
      </c>
      <c r="G96">
        <f>Skills!G25*IF(Skills!H25&gt;0,Skills!I25/Skills!H25,1)</f>
        <v/>
      </c>
      <c r="H96">
        <f>1-(1-Skills!J25/100)^Skills!K25</f>
        <v/>
      </c>
      <c r="I96" t="inlineStr">
        <is>
          <t>1</t>
        </is>
      </c>
      <c r="J96" t="inlineStr"/>
      <c r="K96" t="inlineStr"/>
      <c r="L96" t="inlineStr"/>
      <c r="M96" t="inlineStr"/>
      <c r="N96" t="inlineStr"/>
      <c r="O96">
        <f>(1-Summary!$B$11)*T96+Summary!$B$11*V96</f>
        <v/>
      </c>
      <c r="P96">
        <f>IF(B110=0,0,O96/B110)</f>
        <v/>
      </c>
      <c r="Q96" t="n">
        <v>0</v>
      </c>
      <c r="R96" t="n">
        <v>0</v>
      </c>
      <c r="S96">
        <f>IFERROR(O96/N96,0)</f>
        <v/>
      </c>
      <c r="T96" t="n">
        <v>0</v>
      </c>
      <c r="V96" t="n">
        <v>0</v>
      </c>
    </row>
    <row r="97">
      <c r="A97">
        <f>Skills!A26</f>
        <v/>
      </c>
      <c r="B97">
        <f>Skills!B26</f>
        <v/>
      </c>
      <c r="C97">
        <f>Inputs!$B$3&gt;=72</f>
        <v/>
      </c>
      <c r="D97">
        <f>IF(Skills!C26=1,60+Inputs!$B$25+Inputs!$B$29,IF(Skills!C26=2,90+Inputs!$B$26+Inputs!$B$29,IF(Skills!C26=3,120+Inputs!$B$27+Inputs!$B$29,MAX(0,(Inputs!$B$3-100)*3)+Inputs!$B$28+Inputs!$B$29)))</f>
        <v/>
      </c>
      <c r="E97">
        <f>INDEX(FactorTable!$B$2:$Y$301, MATCH(ROUND(MIN(300,MAX(1,D97)),0), FactorTable!$A$2:$A$301,0), Skills!M26+1)</f>
        <v/>
      </c>
      <c r="F97">
        <f>IF(Skills!N26=TRUE,(Skills!L26/10)*(E97/1000),Skills!L26/10)+Skills!O26</f>
        <v/>
      </c>
      <c r="G97">
        <f>Skills!G26*IF(Skills!H26&gt;0,Skills!I26/Skills!H26,1)</f>
        <v/>
      </c>
      <c r="H97">
        <f>1-(1-Skills!J26/100)^Skills!K26</f>
        <v/>
      </c>
      <c r="I97" t="inlineStr">
        <is>
          <t>1</t>
        </is>
      </c>
      <c r="J97" t="inlineStr"/>
      <c r="K97" t="inlineStr"/>
      <c r="L97" t="inlineStr"/>
      <c r="M97" t="inlineStr"/>
      <c r="N97" t="inlineStr"/>
      <c r="O97">
        <f>(1-Summary!$B$11)*T97+Summary!$B$11*V97</f>
        <v/>
      </c>
      <c r="P97">
        <f>IF(B110=0,0,O97/B110)</f>
        <v/>
      </c>
      <c r="Q97" t="n">
        <v>0</v>
      </c>
      <c r="R97" t="n">
        <v>0</v>
      </c>
      <c r="S97">
        <f>IFERROR(O97/N97,0)</f>
        <v/>
      </c>
      <c r="T97" t="n">
        <v>0</v>
      </c>
      <c r="V97" t="n">
        <v>0</v>
      </c>
    </row>
    <row r="99">
      <c r="A99" t="inlineStr">
        <is>
          <t>Attack% Bucket Multiplier</t>
        </is>
      </c>
      <c r="B99">
        <f>(1+(((C84=TRUE)*F84*IF(Inputs!$B$3&gt;=110,7,5))+((C86=TRUE)*F86*IF(AND(Inputs!$B$38&lt;&gt;"pvp",Inputs!$B$43&gt;0),(((R86-1)*(Skills!T15*(1+(Inputs!$B$34+(ArtifactsInput!$M$7-ArtifactsInput!$M$7)*CHOOSE(ArtifactsInput!$N$7+1,6,7.2,8.4,9.6,10.8,12))/100))+MIN((Skills!T15*(1+(Inputs!$B$34+(ArtifactsInput!$M$7-ArtifactsInput!$M$7)*CHOOSE(ArtifactsInput!$N$7+1,6,7.2,8.4,9.6,10.8,12))/100)),MAX(0,Inputs!$B$43-((R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0">
      <c r="A100" t="inlineStr">
        <is>
          <t>Global Crit Rate Bonus %</t>
        </is>
      </c>
      <c r="B100" t="n">
        <v>0</v>
      </c>
    </row>
    <row r="101">
      <c r="A101" t="inlineStr">
        <is>
          <t>Attack Speed Buff Bonus %</t>
        </is>
      </c>
      <c r="B101">
        <f>((C90=TRUE)*F90*IF(AND(Inputs!$B$38&lt;&gt;"pvp",Inputs!$B$43&gt;0),(((R90-1)*(Skills!T19*(1+(Inputs!$B$34+(ArtifactsInput!$M$7-ArtifactsInput!$M$7)*CHOOSE(ArtifactsInput!$N$7+1,6,7.2,8.4,9.6,10.8,12))/100))+MIN((Skills!T19*(1+(Inputs!$B$34+(ArtifactsInput!$M$7-ArtifactsInput!$M$7)*CHOOSE(ArtifactsInput!$N$7+1,6,7.2,8.4,9.6,10.8,12))/100)),MAX(0,Inputs!$B$43-((R90-1)*Skills!D19))))/Inputs!$B$43),IF(Inputs!$B$38="pvp",MIN((Skills!T19*(1+(Inputs!$B$34+(ArtifactsInput!$M$7-ArtifactsInput!$M$7)*CHOOSE(ArtifactsInput!$N$7+1,6,7.2,8.4,9.6,10.8,12))/100)),15)/15,(Skills!T19*(1+(Inputs!$B$34+(ArtifactsInput!$M$7-ArtifactsInput!$M$7)*CHOOSE(ArtifactsInput!$N$7+1,6,7.2,8.4,9.6,10.8,12))/100))/Skills!D19)))</f>
        <v/>
      </c>
    </row>
    <row r="102">
      <c r="A102" t="inlineStr">
        <is>
          <t>Actions Per Second</t>
        </is>
      </c>
      <c r="B102">
        <f>1+MIN(150,150*(1-(1-(Inputs!$B$11+((C91=TRUE)*(F91-Calc!F20)))/150)*(1-B101/150)))/100</f>
        <v/>
      </c>
    </row>
    <row r="103">
      <c r="A103" t="inlineStr">
        <is>
          <t>Skill + Buff Cast Rate</t>
        </is>
      </c>
      <c r="B103">
        <f>IF(AND(Inputs!$B$38&lt;&gt;"pvp",Inputs!$B$43&gt;0),SUMPRODUCT((Skills!E2:E26=TRUE)*(C73:C97=TRUE)*R73:R97*Skills!F2:F26)/Inputs!$B$43,SUMPRODUCT((Skills!E2:E26=TRUE)*(C73:C97=TRUE)*Q73:Q97*Skills!F2:F26))</f>
        <v/>
      </c>
    </row>
    <row r="104">
      <c r="A104" t="inlineStr">
        <is>
          <t>Raging Blow Casts Per Second</t>
        </is>
      </c>
      <c r="B104">
        <f>MAX(0,B102-B103)</f>
        <v/>
      </c>
    </row>
    <row r="105">
      <c r="A105" t="inlineStr">
        <is>
          <t>Global Critical Damage Bonus % (Enrage)</t>
        </is>
      </c>
      <c r="B105">
        <f>((C89=TRUE)*F89*IF(AND(Inputs!$B$38&lt;&gt;"pvp",Inputs!$B$43&gt;0),(((R89-1)*(Skills!T18*(1+(Inputs!$B$34+(ArtifactsInput!$M$7-ArtifactsInput!$M$7)*CHOOSE(ArtifactsInput!$N$7+1,6,7.2,8.4,9.6,10.8,12))/100))+MIN((Skills!T18*(1+(Inputs!$B$34+(ArtifactsInput!$M$7-ArtifactsInput!$M$7)*CHOOSE(ArtifactsInput!$N$7+1,6,7.2,8.4,9.6,10.8,12))/100)),MAX(0,Inputs!$B$43-((R89-1)*Skills!D18))))/Inputs!$B$43),IF(Inputs!$B$38="pvp",MIN((Skills!T18*(1+(Inputs!$B$34+(ArtifactsInput!$M$7-ArtifactsInput!$M$7)*CHOOSE(ArtifactsInput!$N$7+1,6,7.2,8.4,9.6,10.8,12))/100)),15)/15,(Skills!T18*(1+(Inputs!$B$34+(ArtifactsInput!$M$7-ArtifactsInput!$M$7)*CHOOSE(ArtifactsInput!$N$7+1,6,7.2,8.4,9.6,10.8,12))/100))/Skills!D18)))</f>
        <v/>
      </c>
    </row>
    <row r="106">
      <c r="A106" t="inlineStr">
        <is>
          <t>Global Final Damage Bonus % (Enrage + Combo Synergy)</t>
        </is>
      </c>
      <c r="B106">
        <f>((C88=TRUE)*F88*IF(AND(Inputs!$B$38&lt;&gt;"pvp",Inputs!$B$43&gt;0),(((R88-1)*(Skills!T17*(1+(Inputs!$B$34+(ArtifactsInput!$M$7-ArtifactsInput!$M$7)*CHOOSE(ArtifactsInput!$N$7+1,6,7.2,8.4,9.6,10.8,12))/100))+MIN((Skills!T17*(1+(Inputs!$B$34+(ArtifactsInput!$M$7-ArtifactsInput!$M$7)*CHOOSE(ArtifactsInput!$N$7+1,6,7.2,8.4,9.6,10.8,12))/100)),MAX(0,Inputs!$B$43-((R88-1)*Skills!D17))))/Inputs!$B$43),IF(Inputs!$B$38="pvp",MIN((Skills!T17*(1+(Inputs!$B$34+(ArtifactsInput!$M$7-ArtifactsInput!$M$7)*CHOOSE(ArtifactsInput!$N$7+1,6,7.2,8.4,9.6,10.8,12))/100)),15)/15,(Skills!T17*(1+(Inputs!$B$34+(ArtifactsInput!$M$7-ArtifactsInput!$M$7)*CHOOSE(ArtifactsInput!$N$7+1,6,7.2,8.4,9.6,10.8,12))/100))/Skills!D17)))+((C85=TRUE)*F85*IF(Inputs!$B$3&gt;=110,7,5))</f>
        <v/>
      </c>
    </row>
    <row r="107">
      <c r="A107" t="inlineStr">
        <is>
          <t>Buff-Casting Startup Delay (s, fixed-duration only)</t>
        </is>
      </c>
      <c r="B107">
        <f>IF(AND(Inputs!$B$38&lt;&gt;"pvp",Inputs!$B$43&gt;0),SUMPRODUCT((Skills!T2:T26&gt;0)*(Skills!E2:E26=TRUE)*(C73:C97=TRUE))/B102,0)</f>
        <v/>
      </c>
    </row>
    <row r="108">
      <c r="A108" t="inlineStr">
        <is>
          <t>Boss-Only Total DPS (this block's swept value)</t>
        </is>
      </c>
      <c r="B108">
        <f>SUM(T73:T97)</f>
        <v/>
      </c>
    </row>
    <row r="109">
      <c r="A109" t="inlineStr">
        <is>
          <t>Normal-Only Total DPS (this block's swept value)</t>
        </is>
      </c>
      <c r="B109">
        <f>SUM(V73:V97)</f>
        <v/>
      </c>
    </row>
    <row r="110">
      <c r="A110" s="6" t="inlineStr">
        <is>
          <t>TOTAL DPS</t>
        </is>
      </c>
      <c r="B110" s="6">
        <f>SUM(O73:O97)</f>
        <v/>
      </c>
    </row>
    <row r="113">
      <c r="A113" s="6" t="inlineStr">
        <is>
          <t>Stat: STR %</t>
        </is>
      </c>
    </row>
    <row r="114">
      <c r="A114" s="5" t="inlineStr">
        <is>
          <t>Key</t>
        </is>
      </c>
      <c r="B114" s="5" t="inlineStr">
        <is>
          <t>Name</t>
        </is>
      </c>
      <c r="C114" s="5" t="inlineStr">
        <is>
          <t>Unlocked</t>
        </is>
      </c>
      <c r="D114" s="5" t="inlineStr">
        <is>
          <t>InputLevel</t>
        </is>
      </c>
      <c r="E114" s="5" t="inlineStr">
        <is>
          <t>Factor</t>
        </is>
      </c>
      <c r="F114" s="5" t="inlineStr">
        <is>
          <t>CoefficientPercent</t>
        </is>
      </c>
      <c r="G114" s="5" t="inlineStr">
        <is>
          <t>EffectiveHits</t>
        </is>
      </c>
      <c r="H114" s="5" t="inlineStr">
        <is>
          <t>ProcProbability</t>
        </is>
      </c>
      <c r="I114" s="5" t="inlineStr">
        <is>
          <t>MapleHeroMultiplier</t>
        </is>
      </c>
      <c r="J114" s="5" t="inlineStr">
        <is>
          <t>BaseDamage</t>
        </is>
      </c>
      <c r="K114" s="5" t="inlineStr">
        <is>
          <t>BaseHitDamage</t>
        </is>
      </c>
      <c r="L114" s="5" t="inlineStr">
        <is>
          <t>NonCritAvg</t>
        </is>
      </c>
      <c r="M114" s="5" t="inlineStr">
        <is>
          <t>CritAvg</t>
        </is>
      </c>
      <c r="N114" s="5" t="inlineStr">
        <is>
          <t>ExpectedDamage(perHit)</t>
        </is>
      </c>
      <c r="O114" s="5" t="inlineStr">
        <is>
          <t>DPS</t>
        </is>
      </c>
      <c r="P114" s="5" t="inlineStr">
        <is>
          <t>% of Total</t>
        </is>
      </c>
      <c r="Q114" s="5" t="inlineStr">
        <is>
          <t>InvCooldown</t>
        </is>
      </c>
      <c r="R114" s="5" t="inlineStr">
        <is>
          <t>CastsInFight</t>
        </is>
      </c>
      <c r="S114" s="5" t="inlineStr">
        <is>
          <t>HitRate(perSec)</t>
        </is>
      </c>
      <c r="U114" t="inlineStr">
        <is>
          <t>helpers</t>
        </is>
      </c>
    </row>
    <row r="115">
      <c r="A115">
        <f>Skills!A2</f>
        <v/>
      </c>
      <c r="B115">
        <f>Skills!B2</f>
        <v/>
      </c>
      <c r="C115">
        <f>Inputs!$B$3&gt;=100</f>
        <v/>
      </c>
      <c r="D115" t="inlineStr"/>
      <c r="E115" t="inlineStr"/>
      <c r="F115">
        <f>U117+Skills!O2</f>
        <v/>
      </c>
      <c r="G115">
        <f>Skills!G2*IF(Skills!H2&gt;0,Skills!I2/Skills!H2,1)</f>
        <v/>
      </c>
      <c r="H115">
        <f>1-(1-Skills!J2/100)^Skills!K2</f>
        <v/>
      </c>
      <c r="I115" t="inlineStr">
        <is>
          <t>1</t>
        </is>
      </c>
      <c r="J115">
        <f>((Inputs!$B$6*(1+Inputs!$B$7/100))+(((Inputs!$B$12*(1+(Inputs!$B$13+1)/100))-(Inputs!$B$12*(1+Inputs!$B$13/100)))+0.25*(Inputs!$B$14-Inputs!$B$14))*(1+Inputs!$B$7/100))*(F115/100)</f>
        <v/>
      </c>
      <c r="K115">
        <f>J115*(1+((Inputs!$B$12*(1+(Inputs!$B$13+1)/100))*0.01+Inputs!$B$14*0.0025)/100)*(1+Inputs!$B$15/100)*(1+Inputs!$B$16/100)*(5000/(6000+Inputs!$B$42*(1-(100*(1-(1-(Inputs!$B$19+0)/100)*(1-CHOOSE(ArtifactsInput!$N$40+1,5,6,7,8,9,10)/100)^(ArtifactsInput!$M$40-ArtifactsInput!$M$40)))/100)))*(1+(Inputs!$B$24+((C138=TRUE)*(F138-Calc!F25))+B148)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134=TRUE)*(F134-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136=TRUE)*(F136-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TRUE)*F126*IF(Inputs!$B$3&gt;=110,7,5))+((C128=TRUE)*F128*IF(AND(Inputs!$B$38&lt;&gt;"pvp",Inputs!$B$43&gt;0),(((R128-1)*(Skills!T15*(1+(Inputs!$B$34+(ArtifactsInput!$M$7-ArtifactsInput!$M$7)*CHOOSE(ArtifactsInput!$N$7+1,6,7.2,8.4,9.6,10.8,12))/100))+MIN((Skills!T15*(1+(Inputs!$B$34+(ArtifactsInput!$M$7-ArtifactsInput!$M$7)*CHOOSE(ArtifactsInput!$N$7+1,6,7.2,8.4,9.6,10.8,12))/100)),MAX(0,Inputs!$B$43-((R128-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Hunt"),CHOOSE(ArtifactsInput!$N$35+1,15,18,21,24,27,30)*(1-EXP(-(0.2*B144)*5)),0)+IF(AND(ArtifactsInput!$M$22,Inputs!$B$4&lt;&gt;"Chapter Hunt"),CHOOSE(ArtifactsInput!$N$22+1,10,12,14,16,18,20)*((0*(((0.15*B144*5))^0/1)+1*(((0.15*B144*5))^1/1)+2*(((0.15*B144*5))^2/2)+3*(((0.15*B144*5))^3/6)+4*(((0.15*B144*5))^4/24)+5*(((0.15*B144*5))^5/120))/((((0.15*B144*5))^0/1)+(((0.15*B144*5))^1/1)+(((0.15*B144*5))^2/2)+(((0.15*B144*5))^3/6)+(((0.15*B144*5))^4/24)+(((0.15*B144*5))^5/120))),0)))/100)*I115)</f>
        <v/>
      </c>
      <c r="L115">
        <f>K115*(MIN(Inputs!$B$22+((C135=TRUE)*(F135-Calc!F22)),(Inputs!$B$23+((C137=TRUE)*(F137-Calc!F24))+(IF(ArtifactsInput!$M$15,CHOOSE(ArtifactsInput!$N$15+1,25,30,35,40,45,50)/100*(Inputs!$B$11-Inputs!$B$11),0))))/100+(Inputs!$B$23+((C137=TRUE)*(F137-Calc!F24))+(IF(ArtifactsInput!$M$15,CHOOSE(ArtifactsInput!$N$15+1,25,30,35,40,45,50)/100*(Inputs!$B$11-Inputs!$B$11),0)))/100)/2</f>
        <v/>
      </c>
      <c r="M115">
        <f>L115*(1+(Inputs!$B$10+0+B147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
        <f>L115*(1-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
        <f>(1-Summary!$B$11)*T115+Summary!$B$11*V115</f>
        <v/>
      </c>
      <c r="P115">
        <f>IF(B152=0,0,O115/B152)</f>
        <v/>
      </c>
      <c r="Q115" t="n">
        <v>0</v>
      </c>
      <c r="R115" t="n">
        <v>0</v>
      </c>
      <c r="S115">
        <f>IFERROR(O115/N115,0)</f>
        <v/>
      </c>
      <c r="T115">
        <f>IF(C115,(Skills!G2*N115*B146)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
        <f>MAX(0,(Inputs!$B$3-100)*3)+Inputs!$B$28+Inputs!$B$29</f>
        <v/>
      </c>
      <c r="V115">
        <f>IF(C115,(Skills!G2*N115*B146)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
      <c r="A116">
        <f>Skills!A3</f>
        <v/>
      </c>
      <c r="B116">
        <f>Skills!B3</f>
        <v/>
      </c>
      <c r="C116">
        <f>Inputs!$B$3&gt;=50</f>
        <v/>
      </c>
      <c r="D116">
        <f>IF(Skills!C3=1,60+Inputs!$B$25+Inputs!$B$29,IF(Skills!C3=2,90+Inputs!$B$26+Inputs!$B$29,IF(Skills!C3=3,120+Inputs!$B$27+Inputs!$B$29,MAX(0,(Inputs!$B$3-100)*3)+Inputs!$B$28+Inputs!$B$29)))</f>
        <v/>
      </c>
      <c r="E116">
        <f>INDEX(FactorTable!$B$2:$Y$301, MATCH(ROUND(MIN(300,MAX(1,D116)),0), FactorTable!$A$2:$A$301,0), Skills!M3+1)</f>
        <v/>
      </c>
      <c r="F116">
        <f>IF(Skills!N3=TRUE,(Skills!L3/10)*(E116/1000),Skills!L3/10)+Skills!O3</f>
        <v/>
      </c>
      <c r="G116" t="inlineStr"/>
      <c r="H116" t="inlineStr"/>
      <c r="I116" t="inlineStr">
        <is>
          <t>1</t>
        </is>
      </c>
      <c r="J116" t="inlineStr"/>
      <c r="K116" t="inlineStr"/>
      <c r="L116" t="inlineStr"/>
      <c r="M116" t="inlineStr"/>
      <c r="N116" t="inlineStr"/>
      <c r="O116" t="inlineStr"/>
      <c r="P116" t="inlineStr"/>
      <c r="Q116" t="inlineStr"/>
      <c r="R116" t="inlineStr"/>
      <c r="S116" t="inlineStr"/>
      <c r="U116">
        <f>INDEX(FactorTable!$B$2:$Y$301, MATCH(ROUND(MIN(300,MAX(1,U115)),0), FactorTable!$A$2:$A$301,0), 22)</f>
        <v/>
      </c>
    </row>
    <row r="117">
      <c r="A117">
        <f>Skills!A4</f>
        <v/>
      </c>
      <c r="B117">
        <f>Skills!B4</f>
        <v/>
      </c>
      <c r="C117">
        <f>Inputs!$B$3&gt;=105</f>
        <v/>
      </c>
      <c r="D117">
        <f>IF(Skills!C4=1,60+Inputs!$B$25+Inputs!$B$29,IF(Skills!C4=2,90+Inputs!$B$26+Inputs!$B$29,IF(Skills!C4=3,120+Inputs!$B$27+Inputs!$B$29,MAX(0,(Inputs!$B$3-100)*3)+Inputs!$B$28+Inputs!$B$29)))</f>
        <v/>
      </c>
      <c r="E117">
        <f>INDEX(FactorTable!$B$2:$Y$301, MATCH(ROUND(MIN(300,MAX(1,D117)),0), FactorTable!$A$2:$A$301,0), Skills!M4+1)</f>
        <v/>
      </c>
      <c r="F117">
        <f>IF(Skills!N4=TRUE,(Skills!L4/10)*(E117/1000),Skills!L4/10)+Skills!O4</f>
        <v/>
      </c>
      <c r="G117" t="inlineStr"/>
      <c r="H117" t="inlineStr"/>
      <c r="I117" t="inlineStr">
        <is>
          <t>1</t>
        </is>
      </c>
      <c r="J117" t="inlineStr"/>
      <c r="K117" t="inlineStr"/>
      <c r="L117" t="inlineStr"/>
      <c r="M117" t="inlineStr"/>
      <c r="N117" t="inlineStr"/>
      <c r="O117" t="inlineStr"/>
      <c r="P117" t="inlineStr"/>
      <c r="Q117" t="inlineStr"/>
      <c r="R117" t="inlineStr"/>
      <c r="S117" t="inlineStr"/>
      <c r="U117">
        <f>290*U116/1000</f>
        <v/>
      </c>
    </row>
    <row r="118">
      <c r="A118">
        <f>Skills!A5</f>
        <v/>
      </c>
      <c r="B118">
        <f>Skills!B5</f>
        <v/>
      </c>
      <c r="C118">
        <f>Inputs!$B$3&gt;=103</f>
        <v/>
      </c>
      <c r="D118">
        <f>IF(Skills!C5=1,60+Inputs!$B$25+Inputs!$B$29,IF(Skills!C5=2,90+Inputs!$B$26+Inputs!$B$29,IF(Skills!C5=3,120+Inputs!$B$27+Inputs!$B$29,MAX(0,(Inputs!$B$3-100)*3)+Inputs!$B$28+Inputs!$B$29)))</f>
        <v/>
      </c>
      <c r="E118">
        <f>INDEX(FactorTable!$B$2:$Y$301, MATCH(ROUND(MIN(300,MAX(1,D118)),0), FactorTable!$A$2:$A$301,0), Skills!M5+1)</f>
        <v/>
      </c>
      <c r="F118">
        <f>IF(Skills!N5=TRUE,(Skills!L5/10)*(E118/1000),Skills!L5/10)+Skills!O5</f>
        <v/>
      </c>
      <c r="G118">
        <f>Skills!G5*IF(Skills!H5&gt;0,Skills!I5/Skills!H5,1)</f>
        <v/>
      </c>
      <c r="H118">
        <f>1-(1-Skills!J5/100)^Skills!K5</f>
        <v/>
      </c>
      <c r="I118" t="inlineStr">
        <is>
          <t>1</t>
        </is>
      </c>
      <c r="J118">
        <f>((Inputs!$B$6*(1+Inputs!$B$7/100))+(((Inputs!$B$12*(1+(Inputs!$B$13+1)/100))-(Inputs!$B$12*(1+Inputs!$B$13/100)))+0.25*(Inputs!$B$14-Inputs!$B$14))*(1+Inputs!$B$7/100))*(F118/100)</f>
        <v/>
      </c>
      <c r="K118">
        <f>J118*(1+((Inputs!$B$12*(1+(Inputs!$B$13+1)/100))*0.01+Inputs!$B$14*0.0025)/100)*(1+Inputs!$B$15/100)*(1+Inputs!$B$16/100)*(5000/(6000+Inputs!$B$42*(1-(100*(1-(1-(Inputs!$B$19+0)/100)*(1-CHOOSE(ArtifactsInput!$N$40+1,5,6,7,8,9,10)/100)^(ArtifactsInput!$M$40-ArtifactsInput!$M$40)))/100)))*(1+(Inputs!$B$24+((C138=TRUE)*(F138-Calc!F25))+B148)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134=TRUE)*(F134-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136=TRUE)*(F136-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TRUE)*F126*IF(Inputs!$B$3&gt;=110,7,5))+((C128=TRUE)*F128*IF(AND(Inputs!$B$38&lt;&gt;"pvp",Inputs!$B$43&gt;0),(((R128-1)*(Skills!T15*(1+(Inputs!$B$34+(ArtifactsInput!$M$7-ArtifactsInput!$M$7)*CHOOSE(ArtifactsInput!$N$7+1,6,7.2,8.4,9.6,10.8,12))/100))+MIN((Skills!T15*(1+(Inputs!$B$34+(ArtifactsInput!$M$7-ArtifactsInput!$M$7)*CHOOSE(ArtifactsInput!$N$7+1,6,7.2,8.4,9.6,10.8,12))/100)),MAX(0,Inputs!$B$43-((R128-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Hunt"),CHOOSE(ArtifactsInput!$N$35+1,15,18,21,24,27,30)*(1-EXP(-(0.2*B144)*5)),0)+IF(AND(ArtifactsInput!$M$22,Inputs!$B$4&lt;&gt;"Chapter Hunt"),CHOOSE(ArtifactsInput!$N$22+1,10,12,14,16,18,20)*((0*(((0.15*B144*5))^0/1)+1*(((0.15*B144*5))^1/1)+2*(((0.15*B144*5))^2/2)+3*(((0.15*B144*5))^3/6)+4*(((0.15*B144*5))^4/24)+5*(((0.15*B144*5))^5/120))/((((0.15*B144*5))^0/1)+(((0.15*B144*5))^1/1)+(((0.15*B144*5))^2/2)+(((0.15*B144*5))^3/6)+(((0.15*B144*5))^4/24)+(((0.15*B144*5))^5/120))),0)))/100)*I118)</f>
        <v/>
      </c>
      <c r="L118">
        <f>K118*(MIN(Inputs!$B$22+((C135=TRUE)*(F135-Calc!F22)),(Inputs!$B$23+((C137=TRUE)*(F137-Calc!F24))+(IF(ArtifactsInput!$M$15,CHOOSE(ArtifactsInput!$N$15+1,25,30,35,40,45,50)/100*(Inputs!$B$11-Inputs!$B$11),0))))/100+(Inputs!$B$23+((C137=TRUE)*(F137-Calc!F24))+(IF(ArtifactsInput!$M$15,CHOOSE(ArtifactsInput!$N$15+1,25,30,35,40,45,50)/100*(Inputs!$B$11-Inputs!$B$11),0)))/100)/2</f>
        <v/>
      </c>
      <c r="M118">
        <f>L118*(1+(Inputs!$B$10+0+B147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
        <f>L118*(1-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
        <f>(1-Summary!$B$11)*T118+Summary!$B$11*V118</f>
        <v/>
      </c>
      <c r="P118">
        <f>IF(B152=0,0,O118/B152)</f>
        <v/>
      </c>
      <c r="Q118">
        <f>IFERROR(1/(IF(Inputs!$B$38="pvp",15,MAX(0.1,Skills!D5-IF(Skills!E5=TRUE,Inputs!$B$32,0)))*(1-IF(AND(ArtifactsInput!$M$27,Inputs!$B$4="Chapter Hunt"),CHOOSE(ArtifactsInput!$N$27+1,20,24,28,32,36,40),0)/100)),0)</f>
        <v/>
      </c>
      <c r="R118">
        <f>IF(AND(Inputs!$B$38&lt;&gt;"pvp",Inputs!$B$43&gt;0),IF(MAX(0,Inputs!$B$43-B149)&lt;=0,0,(INT(MAX(0,Inputs!$B$43-B149)/(IF(Inputs!$B$38="pvp",15,MAX(0.1,Skills!D5-IF(Skills!E5=TRUE,Inputs!$B$32,0)))*(1-IF(AND(ArtifactsInput!$M$27,Inputs!$B$4="Chapter Hunt"),CHOOSE(ArtifactsInput!$N$27+1,20,24,28,32,36,40),0)/100)))+1)),0)</f>
        <v/>
      </c>
      <c r="S118">
        <f>IFERROR(O118/N118,0)</f>
        <v/>
      </c>
      <c r="T118">
        <f>IF(C118,(H118*N118*IF(AND(Inputs!$B$38&lt;&gt;"pvp",Inputs!$B$43&gt;0),((Skills!G5*((R118-1)*IF(Skills!H5&gt;0,Skills!I5/Skills!H5,1)+IF(Skills!H5&gt;0,MIN(Skills!I5,MAX(0,MAX(0,Inputs!$B$43-B149)-((R118-1)*(IF(Inputs!$B$38="pvp",15,MAX(0.1,Skills!D5-IF(Skills!E5=TRUE,Inputs!$B$32,0)))*(1-IF(AND(ArtifactsInput!$M$27,Inputs!$B$4="Chapter Hunt"),CHOOSE(ArtifactsInput!$N$27+1,20,24,28,32,36,40),0)/100)))))/Skills!H5,1)))/Inputs!$B$43),G118*Q118)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
        <f>IF(C118,(H118*N118*IF(AND(Inputs!$B$38&lt;&gt;"pvp",Inputs!$B$43&gt;0),((Skills!G5*((R118-1)*IF(Skills!H5&gt;0,Skills!I5/Skills!H5,1)+IF(Skills!H5&gt;0,MIN(Skills!I5,MAX(0,MAX(0,Inputs!$B$43-B149)-((R118-1)*(IF(Inputs!$B$38="pvp",15,MAX(0.1,Skills!D5-IF(Skills!E5=TRUE,Inputs!$B$32,0)))*(1-IF(AND(ArtifactsInput!$M$27,Inputs!$B$4="Chapter Hunt"),CHOOSE(ArtifactsInput!$N$27+1,20,24,28,32,36,40),0)/100)))))/Skills!H5,1)))/Inputs!$B$43),G118*Q118)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
      <c r="A119">
        <f>Skills!A6</f>
        <v/>
      </c>
      <c r="B119">
        <f>Skills!B6</f>
        <v/>
      </c>
      <c r="C119">
        <f>Inputs!$B$3&gt;=103</f>
        <v/>
      </c>
      <c r="D119">
        <f>IF(Skills!C6=1,60+Inputs!$B$25+Inputs!$B$29,IF(Skills!C6=2,90+Inputs!$B$26+Inputs!$B$29,IF(Skills!C6=3,120+Inputs!$B$27+Inputs!$B$29,MAX(0,(Inputs!$B$3-100)*3)+Inputs!$B$28+Inputs!$B$29)))</f>
        <v/>
      </c>
      <c r="E119">
        <f>INDEX(FactorTable!$B$2:$Y$301, MATCH(ROUND(MIN(300,MAX(1,D119)),0), FactorTable!$A$2:$A$301,0), Skills!M6+1)</f>
        <v/>
      </c>
      <c r="F119">
        <f>IF(Skills!N6=TRUE,(Skills!L6/10)*(E119/1000),Skills!L6/10)+Skills!O6</f>
        <v/>
      </c>
      <c r="G119">
        <f>Skills!G6*IF(Skills!H6&gt;0,Skills!I6/Skills!H6,1)</f>
        <v/>
      </c>
      <c r="H119">
        <f>1-(1-Skills!J6/100)^Skills!K6</f>
        <v/>
      </c>
      <c r="I119" t="inlineStr">
        <is>
          <t>1</t>
        </is>
      </c>
      <c r="J119">
        <f>((Inputs!$B$6*(1+Inputs!$B$7/100))+(((Inputs!$B$12*(1+(Inputs!$B$13+1)/100))-(Inputs!$B$12*(1+Inputs!$B$13/100)))+0.25*(Inputs!$B$14-Inputs!$B$14))*(1+Inputs!$B$7/100))*(F119/100)</f>
        <v/>
      </c>
      <c r="K119">
        <f>J119*(1+((Inputs!$B$12*(1+(Inputs!$B$13+1)/100))*0.01+Inputs!$B$14*0.0025)/100)*(1+Inputs!$B$15/100)*(1+Inputs!$B$16/100)*(5000/(6000+Inputs!$B$42*(1-(100*(1-(1-(Inputs!$B$19+0)/100)*(1-CHOOSE(ArtifactsInput!$N$40+1,5,6,7,8,9,10)/100)^(ArtifactsInput!$M$40-ArtifactsInput!$M$40)))/100)))*(1+(Inputs!$B$24+((C138=TRUE)*(F138-Calc!F25))+B148)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134=TRUE)*(F134-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136=TRUE)*(F136-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TRUE)*F126*IF(Inputs!$B$3&gt;=110,7,5))+((C128=TRUE)*F128*IF(AND(Inputs!$B$38&lt;&gt;"pvp",Inputs!$B$43&gt;0),(((R128-1)*(Skills!T15*(1+(Inputs!$B$34+(ArtifactsInput!$M$7-ArtifactsInput!$M$7)*CHOOSE(ArtifactsInput!$N$7+1,6,7.2,8.4,9.6,10.8,12))/100))+MIN((Skills!T15*(1+(Inputs!$B$34+(ArtifactsInput!$M$7-ArtifactsInput!$M$7)*CHOOSE(ArtifactsInput!$N$7+1,6,7.2,8.4,9.6,10.8,12))/100)),MAX(0,Inputs!$B$43-((R128-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Hunt"),CHOOSE(ArtifactsInput!$N$35+1,15,18,21,24,27,30)*(1-EXP(-(0.2*B144)*5)),0)+IF(AND(ArtifactsInput!$M$22,Inputs!$B$4&lt;&gt;"Chapter Hunt"),CHOOSE(ArtifactsInput!$N$22+1,10,12,14,16,18,20)*((0*(((0.15*B144*5))^0/1)+1*(((0.15*B144*5))^1/1)+2*(((0.15*B144*5))^2/2)+3*(((0.15*B144*5))^3/6)+4*(((0.15*B144*5))^4/24)+5*(((0.15*B144*5))^5/120))/((((0.15*B144*5))^0/1)+(((0.15*B144*5))^1/1)+(((0.15*B144*5))^2/2)+(((0.15*B144*5))^3/6)+(((0.15*B144*5))^4/24)+(((0.15*B144*5))^5/120))),0)))/100)*I119)</f>
        <v/>
      </c>
      <c r="L119">
        <f>K119*(MIN(Inputs!$B$22+((C135=TRUE)*(F135-Calc!F22)),(Inputs!$B$23+((C137=TRUE)*(F137-Calc!F24))+(IF(ArtifactsInput!$M$15,CHOOSE(ArtifactsInput!$N$15+1,25,30,35,40,45,50)/100*(Inputs!$B$11-Inputs!$B$11),0))))/100+(Inputs!$B$23+((C137=TRUE)*(F137-Calc!F24))+(IF(ArtifactsInput!$M$15,CHOOSE(ArtifactsInput!$N$15+1,25,30,35,40,45,50)/100*(Inputs!$B$11-Inputs!$B$11),0)))/100)/2</f>
        <v/>
      </c>
      <c r="M119">
        <f>L119*(1+(Inputs!$B$10+0+B147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
        <f>L119*(1-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
        <f>(1-Summary!$B$11)*T119+Summary!$B$11*V119</f>
        <v/>
      </c>
      <c r="P119">
        <f>IF(B152=0,0,O119/B152)</f>
        <v/>
      </c>
      <c r="Q119">
        <f>IFERROR(1/(IF(Inputs!$B$38="pvp",15,MAX(0.1,Skills!D6-IF(Skills!E6=TRUE,Inputs!$B$32,0)))*(1-IF(AND(ArtifactsInput!$M$27,Inputs!$B$4="Chapter Hunt"),CHOOSE(ArtifactsInput!$N$27+1,20,24,28,32,36,40),0)/100)),0)</f>
        <v/>
      </c>
      <c r="R119">
        <f>IF(AND(Inputs!$B$38&lt;&gt;"pvp",Inputs!$B$43&gt;0),IF(MAX(0,Inputs!$B$43-B149)&lt;=0,0,(INT(MAX(0,Inputs!$B$43-B149)/(IF(Inputs!$B$38="pvp",15,MAX(0.1,Skills!D6-IF(Skills!E6=TRUE,Inputs!$B$32,0)))*(1-IF(AND(ArtifactsInput!$M$27,Inputs!$B$4="Chapter Hunt"),CHOOSE(ArtifactsInput!$N$27+1,20,24,28,32,36,40),0)/100)))+1)),0)</f>
        <v/>
      </c>
      <c r="S119">
        <f>IFERROR(O119/N119,0)</f>
        <v/>
      </c>
      <c r="T119">
        <f>IF(C119,(H119*N119*IF(AND(Inputs!$B$38&lt;&gt;"pvp",Inputs!$B$43&gt;0),((Skills!G6*((R119-1)*IF(Skills!H6&gt;0,Skills!I6/Skills!H6,1)+IF(Skills!H6&gt;0,MIN(Skills!I6,MAX(0,MAX(0,Inputs!$B$43-B149)-((R119-1)*(IF(Inputs!$B$38="pvp",15,MAX(0.1,Skills!D6-IF(Skills!E6=TRUE,Inputs!$B$32,0)))*(1-IF(AND(ArtifactsInput!$M$27,Inputs!$B$4="Chapter Hunt"),CHOOSE(ArtifactsInput!$N$27+1,20,24,28,32,36,40),0)/100)))))/Skills!H6,1)))/Inputs!$B$43),G119*Q119)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9">
        <f>IF(C119,(H119*N119*IF(AND(Inputs!$B$38&lt;&gt;"pvp",Inputs!$B$43&gt;0),((Skills!G6*((R119-1)*IF(Skills!H6&gt;0,Skills!I6/Skills!H6,1)+IF(Skills!H6&gt;0,MIN(Skills!I6,MAX(0,MAX(0,Inputs!$B$43-B149)-((R119-1)*(IF(Inputs!$B$38="pvp",15,MAX(0.1,Skills!D6-IF(Skills!E6=TRUE,Inputs!$B$32,0)))*(1-IF(AND(ArtifactsInput!$M$27,Inputs!$B$4="Chapter Hunt"),CHOOSE(ArtifactsInput!$N$27+1,20,24,28,32,36,40),0)/100)))))/Skills!H6,1)))/Inputs!$B$43),G119*Q119)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
      <c r="A120">
        <f>Skills!A7</f>
        <v/>
      </c>
      <c r="B120">
        <f>Skills!B7</f>
        <v/>
      </c>
      <c r="C120">
        <f>Inputs!$B$3&gt;=107</f>
        <v/>
      </c>
      <c r="D120">
        <f>IF(Skills!C7=1,60+Inputs!$B$25+Inputs!$B$29,IF(Skills!C7=2,90+Inputs!$B$26+Inputs!$B$29,IF(Skills!C7=3,120+Inputs!$B$27+Inputs!$B$29,MAX(0,(Inputs!$B$3-100)*3)+Inputs!$B$28+Inputs!$B$29)))</f>
        <v/>
      </c>
      <c r="E120">
        <f>INDEX(FactorTable!$B$2:$Y$301, MATCH(ROUND(MIN(300,MAX(1,D120)),0), FactorTable!$A$2:$A$301,0), Skills!M7+1)</f>
        <v/>
      </c>
      <c r="F120">
        <f>IF(Skills!N7=TRUE,(Skills!L7/10)*(E120/1000),Skills!L7/10)+Skills!O7</f>
        <v/>
      </c>
      <c r="G120">
        <f>Skills!G7*IF(Skills!H7&gt;0,Skills!I7/Skills!H7,1)</f>
        <v/>
      </c>
      <c r="H120">
        <f>1-(1-Skills!J7/100)^Skills!K7</f>
        <v/>
      </c>
      <c r="I120" t="inlineStr">
        <is>
          <t>1</t>
        </is>
      </c>
      <c r="J120">
        <f>((Inputs!$B$6*(1+Inputs!$B$7/100))+(((Inputs!$B$12*(1+(Inputs!$B$13+1)/100))-(Inputs!$B$12*(1+Inputs!$B$13/100)))+0.25*(Inputs!$B$14-Inputs!$B$14))*(1+Inputs!$B$7/100))*(F120/100)</f>
        <v/>
      </c>
      <c r="K120">
        <f>J120*(1+((Inputs!$B$12*(1+(Inputs!$B$13+1)/100))*0.01+Inputs!$B$14*0.0025)/100)*(1+Inputs!$B$15/100)*(1+Inputs!$B$16/100)*(5000/(6000+Inputs!$B$42*(1-(100*(1-(1-(Inputs!$B$19+0)/100)*(1-CHOOSE(ArtifactsInput!$N$40+1,5,6,7,8,9,10)/100)^(ArtifactsInput!$M$40-ArtifactsInput!$M$40)))/100)))*(1+(Inputs!$B$24+((C138=TRUE)*(F138-Calc!F25))+B148)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134=TRUE)*(F134-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136=TRUE)*(F136-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TRUE)*F126*IF(Inputs!$B$3&gt;=110,7,5))+((C128=TRUE)*F128*IF(AND(Inputs!$B$38&lt;&gt;"pvp",Inputs!$B$43&gt;0),(((R128-1)*(Skills!T15*(1+(Inputs!$B$34+(ArtifactsInput!$M$7-ArtifactsInput!$M$7)*CHOOSE(ArtifactsInput!$N$7+1,6,7.2,8.4,9.6,10.8,12))/100))+MIN((Skills!T15*(1+(Inputs!$B$34+(ArtifactsInput!$M$7-ArtifactsInput!$M$7)*CHOOSE(ArtifactsInput!$N$7+1,6,7.2,8.4,9.6,10.8,12))/100)),MAX(0,Inputs!$B$43-((R128-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Hunt"),CHOOSE(ArtifactsInput!$N$35+1,15,18,21,24,27,30)*(1-EXP(-(0.2*B144)*5)),0)+IF(AND(ArtifactsInput!$M$22,Inputs!$B$4&lt;&gt;"Chapter Hunt"),CHOOSE(ArtifactsInput!$N$22+1,10,12,14,16,18,20)*((0*(((0.15*B144*5))^0/1)+1*(((0.15*B144*5))^1/1)+2*(((0.15*B144*5))^2/2)+3*(((0.15*B144*5))^3/6)+4*(((0.15*B144*5))^4/24)+5*(((0.15*B144*5))^5/120))/((((0.15*B144*5))^0/1)+(((0.15*B144*5))^1/1)+(((0.15*B144*5))^2/2)+(((0.15*B144*5))^3/6)+(((0.15*B144*5))^4/24)+(((0.15*B144*5))^5/120))),0)))/100)*I120)</f>
        <v/>
      </c>
      <c r="L120">
        <f>K120*(MIN(Inputs!$B$22+((C135=TRUE)*(F135-Calc!F22)),(Inputs!$B$23+((C137=TRUE)*(F137-Calc!F24))+(IF(ArtifactsInput!$M$15,CHOOSE(ArtifactsInput!$N$15+1,25,30,35,40,45,50)/100*(Inputs!$B$11-Inputs!$B$11),0))))/100+(Inputs!$B$23+((C137=TRUE)*(F137-Calc!F24))+(IF(ArtifactsInput!$M$15,CHOOSE(ArtifactsInput!$N$15+1,25,30,35,40,45,50)/100*(Inputs!$B$11-Inputs!$B$11),0)))/100)/2</f>
        <v/>
      </c>
      <c r="M120">
        <f>L120*(1+(Inputs!$B$10+0+B147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
        <f>L120*(1-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
        <f>(1-Summary!$B$11)*T120+Summary!$B$11*V120</f>
        <v/>
      </c>
      <c r="P120">
        <f>IF(B152=0,0,O120/B152)</f>
        <v/>
      </c>
      <c r="Q120">
        <f>IFERROR(1/(IF(Inputs!$B$38="pvp",15,MAX(0.1,Skills!D7-IF(Skills!E7=TRUE,Inputs!$B$32,0)))*(1-IF(AND(ArtifactsInput!$M$27,Inputs!$B$4="Chapter Hunt"),CHOOSE(ArtifactsInput!$N$27+1,20,24,28,32,36,40),0)/100)),0)</f>
        <v/>
      </c>
      <c r="R120">
        <f>IF(AND(Inputs!$B$38&lt;&gt;"pvp",Inputs!$B$43&gt;0),IF(MAX(0,Inputs!$B$43-B149)&lt;=0,0,(INT(MAX(0,Inputs!$B$43-B149)/(IF(Inputs!$B$38="pvp",15,MAX(0.1,Skills!D7-IF(Skills!E7=TRUE,Inputs!$B$32,0)))*(1-IF(AND(ArtifactsInput!$M$27,Inputs!$B$4="Chapter Hunt"),CHOOSE(ArtifactsInput!$N$27+1,20,24,28,32,36,40),0)/100)))+1)),0)</f>
        <v/>
      </c>
      <c r="S120">
        <f>IFERROR(O120/N120,0)</f>
        <v/>
      </c>
      <c r="T120">
        <f>IF(C120,(H120*N120*IF(AND(Inputs!$B$38&lt;&gt;"pvp",Inputs!$B$43&gt;0),((Skills!G7*((R120-1)*IF(Skills!H7&gt;0,Skills!I7/Skills!H7,1)+IF(Skills!H7&gt;0,MIN(Skills!I7,MAX(0,MAX(0,Inputs!$B$43-B149)-((R120-1)*(IF(Inputs!$B$38="pvp",15,MAX(0.1,Skills!D7-IF(Skills!E7=TRUE,Inputs!$B$32,0)))*(1-IF(AND(ArtifactsInput!$M$27,Inputs!$B$4="Chapter Hunt"),CHOOSE(ArtifactsInput!$N$27+1,20,24,28,32,36,40),0)/100)))))/Skills!H7,1)))/Inputs!$B$43),G120*Q120)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
        <f>IF(C120,(H120*N120*IF(AND(Inputs!$B$38&lt;&gt;"pvp",Inputs!$B$43&gt;0),((Skills!G7*((R120-1)*IF(Skills!H7&gt;0,Skills!I7/Skills!H7,1)+IF(Skills!H7&gt;0,MIN(Skills!I7,MAX(0,MAX(0,Inputs!$B$43-B149)-((R120-1)*(IF(Inputs!$B$38="pvp",15,MAX(0.1,Skills!D7-IF(Skills!E7=TRUE,Inputs!$B$32,0)))*(1-IF(AND(ArtifactsInput!$M$27,Inputs!$B$4="Chapter Hunt"),CHOOSE(ArtifactsInput!$N$27+1,20,24,28,32,36,40),0)/100)))))/Skills!H7,1)))/Inputs!$B$43),G120*Q120)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
      <c r="A121">
        <f>Skills!A8</f>
        <v/>
      </c>
      <c r="B121">
        <f>Skills!B8</f>
        <v/>
      </c>
      <c r="C121">
        <f>Inputs!$B$3&gt;=117</f>
        <v/>
      </c>
      <c r="D121">
        <f>IF(Skills!C8=1,60+Inputs!$B$25+Inputs!$B$29,IF(Skills!C8=2,90+Inputs!$B$26+Inputs!$B$29,IF(Skills!C8=3,120+Inputs!$B$27+Inputs!$B$29,MAX(0,(Inputs!$B$3-100)*3)+Inputs!$B$28+Inputs!$B$29)))</f>
        <v/>
      </c>
      <c r="E121">
        <f>INDEX(FactorTable!$B$2:$Y$301, MATCH(ROUND(MIN(300,MAX(1,D121)),0), FactorTable!$A$2:$A$301,0), Skills!M8+1)</f>
        <v/>
      </c>
      <c r="F121">
        <f>IF(Skills!N8=TRUE,(Skills!L8/10)*(E121/1000),Skills!L8/10)+Skills!O8</f>
        <v/>
      </c>
      <c r="G121">
        <f>Skills!G8*IF(Skills!H8&gt;0,Skills!I8/Skills!H8,1)</f>
        <v/>
      </c>
      <c r="H121">
        <f>1-(1-Skills!J8/100)^Skills!K8</f>
        <v/>
      </c>
      <c r="I121" t="inlineStr">
        <is>
          <t>1</t>
        </is>
      </c>
      <c r="J121">
        <f>((Inputs!$B$6*(1+Inputs!$B$7/100))+(((Inputs!$B$12*(1+(Inputs!$B$13+1)/100))-(Inputs!$B$12*(1+Inputs!$B$13/100)))+0.25*(Inputs!$B$14-Inputs!$B$14))*(1+Inputs!$B$7/100))*(F121/100)</f>
        <v/>
      </c>
      <c r="K121">
        <f>J121*(1+((Inputs!$B$12*(1+(Inputs!$B$13+1)/100))*0.01+Inputs!$B$14*0.0025)/100)*(1+Inputs!$B$15/100)*(1+Inputs!$B$16/100)*(5000/(6000+Inputs!$B$42*(1-(100*(1-(1-(Inputs!$B$19+0)/100)*(1-CHOOSE(ArtifactsInput!$N$40+1,5,6,7,8,9,10)/100)^(ArtifactsInput!$M$40-ArtifactsInput!$M$40)))/100)))*(1+(Inputs!$B$24+((C138=TRUE)*(F138-Calc!F25))+B148)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134=TRUE)*(F134-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136=TRUE)*(F136-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TRUE)*F126*IF(Inputs!$B$3&gt;=110,7,5))+((C128=TRUE)*F128*IF(AND(Inputs!$B$38&lt;&gt;"pvp",Inputs!$B$43&gt;0),(((R128-1)*(Skills!T15*(1+(Inputs!$B$34+(ArtifactsInput!$M$7-ArtifactsInput!$M$7)*CHOOSE(ArtifactsInput!$N$7+1,6,7.2,8.4,9.6,10.8,12))/100))+MIN((Skills!T15*(1+(Inputs!$B$34+(ArtifactsInput!$M$7-ArtifactsInput!$M$7)*CHOOSE(ArtifactsInput!$N$7+1,6,7.2,8.4,9.6,10.8,12))/100)),MAX(0,Inputs!$B$43-((R128-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Hunt"),CHOOSE(ArtifactsInput!$N$35+1,15,18,21,24,27,30)*(1-EXP(-(0.2*B144)*5)),0)+IF(AND(ArtifactsInput!$M$22,Inputs!$B$4&lt;&gt;"Chapter Hunt"),CHOOSE(ArtifactsInput!$N$22+1,10,12,14,16,18,20)*((0*(((0.15*B144*5))^0/1)+1*(((0.15*B144*5))^1/1)+2*(((0.15*B144*5))^2/2)+3*(((0.15*B144*5))^3/6)+4*(((0.15*B144*5))^4/24)+5*(((0.15*B144*5))^5/120))/((((0.15*B144*5))^0/1)+(((0.15*B144*5))^1/1)+(((0.15*B144*5))^2/2)+(((0.15*B144*5))^3/6)+(((0.15*B144*5))^4/24)+(((0.15*B144*5))^5/120))),0)))/100)*I121)</f>
        <v/>
      </c>
      <c r="L121">
        <f>K121*(MIN(Inputs!$B$22+((C135=TRUE)*(F135-Calc!F22)),(Inputs!$B$23+((C137=TRUE)*(F137-Calc!F24))+(IF(ArtifactsInput!$M$15,CHOOSE(ArtifactsInput!$N$15+1,25,30,35,40,45,50)/100*(Inputs!$B$11-Inputs!$B$11),0))))/100+(Inputs!$B$23+((C137=TRUE)*(F137-Calc!F24))+(IF(ArtifactsInput!$M$15,CHOOSE(ArtifactsInput!$N$15+1,25,30,35,40,45,50)/100*(Inputs!$B$11-Inputs!$B$11),0)))/100)/2</f>
        <v/>
      </c>
      <c r="M121">
        <f>L121*(1+(Inputs!$B$10+0+B147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
        <f>L121*(1-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
        <f>(1-Summary!$B$11)*T121+Summary!$B$11*V121</f>
        <v/>
      </c>
      <c r="P121">
        <f>IF(B152=0,0,O121/B152)</f>
        <v/>
      </c>
      <c r="Q121">
        <f>IFERROR(1/(IF(Inputs!$B$38="pvp",15,MAX(0.1,Skills!D8-IF(Skills!E8=TRUE,Inputs!$B$32,0)))*(1-IF(AND(ArtifactsInput!$M$27,Inputs!$B$4="Chapter Hunt"),CHOOSE(ArtifactsInput!$N$27+1,20,24,28,32,36,40),0)/100)),0)</f>
        <v/>
      </c>
      <c r="R121">
        <f>IF(AND(Inputs!$B$38&lt;&gt;"pvp",Inputs!$B$43&gt;0),IF(MAX(0,Inputs!$B$43-B149)&lt;=0,0,(INT(MAX(0,Inputs!$B$43-B149)/(IF(Inputs!$B$38="pvp",15,MAX(0.1,Skills!D8-IF(Skills!E8=TRUE,Inputs!$B$32,0)))*(1-IF(AND(ArtifactsInput!$M$27,Inputs!$B$4="Chapter Hunt"),CHOOSE(ArtifactsInput!$N$27+1,20,24,28,32,36,40),0)/100)))+1)),0)</f>
        <v/>
      </c>
      <c r="S121">
        <f>IFERROR(O121/N121,0)</f>
        <v/>
      </c>
      <c r="T121">
        <f>IF(C121,(H121*N121*IF(AND(Inputs!$B$38&lt;&gt;"pvp",Inputs!$B$43&gt;0),((Skills!G8*((R121-1)*IF(Skills!H8&gt;0,Skills!I8/Skills!H8,1)+IF(Skills!H8&gt;0,MIN(Skills!I8,MAX(0,MAX(0,Inputs!$B$43-B149)-((R121-1)*(IF(Inputs!$B$38="pvp",15,MAX(0.1,Skills!D8-IF(Skills!E8=TRUE,Inputs!$B$32,0)))*(1-IF(AND(ArtifactsInput!$M$27,Inputs!$B$4="Chapter Hunt"),CHOOSE(ArtifactsInput!$N$27+1,20,24,28,32,36,40),0)/100)))))/Skills!H8,1)))/Inputs!$B$43),G121*Q121)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121*(1-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1">
        <f>IF(C121,(H121*N121*IF(AND(Inputs!$B$38&lt;&gt;"pvp",Inputs!$B$43&gt;0),((Skills!G8*((R121-1)*IF(Skills!H8&gt;0,Skills!I8/Skills!H8,1)+IF(Skills!H8&gt;0,MIN(Skills!I8,MAX(0,MAX(0,Inputs!$B$43-B149)-((R121-1)*(IF(Inputs!$B$38="pvp",15,MAX(0.1,Skills!D8-IF(Skills!E8=TRUE,Inputs!$B$32,0)))*(1-IF(AND(ArtifactsInput!$M$27,Inputs!$B$4="Chapter Hunt"),CHOOSE(ArtifactsInput!$N$27+1,20,24,28,32,36,40),0)/100)))))/Skills!H8,1)))/Inputs!$B$43),G121*Q121)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
      <c r="A122">
        <f>Skills!A9</f>
        <v/>
      </c>
      <c r="B122">
        <f>Skills!B9</f>
        <v/>
      </c>
      <c r="C122">
        <f>Inputs!$B$3&gt;=69</f>
        <v/>
      </c>
      <c r="D122">
        <f>IF(Skills!C9=1,60+Inputs!$B$25+Inputs!$B$29,IF(Skills!C9=2,90+Inputs!$B$26+Inputs!$B$29,IF(Skills!C9=3,120+Inputs!$B$27+Inputs!$B$29,MAX(0,(Inputs!$B$3-100)*3)+Inputs!$B$28+Inputs!$B$29)))</f>
        <v/>
      </c>
      <c r="E122">
        <f>INDEX(FactorTable!$B$2:$Y$301, MATCH(ROUND(MIN(300,MAX(1,D122)),0), FactorTable!$A$2:$A$301,0), Skills!M9+1)</f>
        <v/>
      </c>
      <c r="F122">
        <f>IF(Skills!N9=TRUE,(Skills!L9/10)*(E122/1000),Skills!L9/10)+Skills!O9</f>
        <v/>
      </c>
      <c r="G122">
        <f>Skills!G9*IF(Skills!H9&gt;0,Skills!I9/Skills!H9,1)</f>
        <v/>
      </c>
      <c r="H122">
        <f>1-(1-Skills!J9/100)^Skills!K9</f>
        <v/>
      </c>
      <c r="I122" t="inlineStr">
        <is>
          <t>1</t>
        </is>
      </c>
      <c r="J122">
        <f>((Inputs!$B$6*(1+Inputs!$B$7/100))+(((Inputs!$B$12*(1+(Inputs!$B$13+1)/100))-(Inputs!$B$12*(1+Inputs!$B$13/100)))+0.25*(Inputs!$B$14-Inputs!$B$14))*(1+Inputs!$B$7/100))*(F122/100)</f>
        <v/>
      </c>
      <c r="K122">
        <f>J122*(1+((Inputs!$B$12*(1+(Inputs!$B$13+1)/100))*0.01+Inputs!$B$14*0.0025)/100)*(1+Inputs!$B$15/100)*(1+Inputs!$B$16/100)*(5000/(6000+Inputs!$B$42*(1-(100*(1-(1-(Inputs!$B$19+0)/100)*(1-CHOOSE(ArtifactsInput!$N$40+1,5,6,7,8,9,10)/100)^(ArtifactsInput!$M$40-ArtifactsInput!$M$40)))/100)))*(1+(Inputs!$B$24+((C138=TRUE)*(F138-Calc!F25))+B148)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125=TRUE,F125,0)/100)*(1+IF(Skills!A9="ENHANCED_RAGING_BLOW",IF(Inputs!$B$3&gt;=134,MAX(0,IF(Inputs!$B$3&gt;=110,7,5)-5)*50,0),0)/100)*(1+(IF(Skills!A9="RAGING_BLOW",Inputs!$B$17+((C134=TRUE)*(F134-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136=TRUE)*(F136-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TRUE)*F126*IF(Inputs!$B$3&gt;=110,7,5))+((C128=TRUE)*F128*IF(AND(Inputs!$B$38&lt;&gt;"pvp",Inputs!$B$43&gt;0),(((R128-1)*(Skills!T15*(1+(Inputs!$B$34+(ArtifactsInput!$M$7-ArtifactsInput!$M$7)*CHOOSE(ArtifactsInput!$N$7+1,6,7.2,8.4,9.6,10.8,12))/100))+MIN((Skills!T15*(1+(Inputs!$B$34+(ArtifactsInput!$M$7-ArtifactsInput!$M$7)*CHOOSE(ArtifactsInput!$N$7+1,6,7.2,8.4,9.6,10.8,12))/100)),MAX(0,Inputs!$B$43-((R128-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Hunt"),CHOOSE(ArtifactsInput!$N$35+1,15,18,21,24,27,30)*(1-EXP(-(0.2*B144)*5)),0)+IF(AND(ArtifactsInput!$M$22,Inputs!$B$4&lt;&gt;"Chapter Hunt"),CHOOSE(ArtifactsInput!$N$22+1,10,12,14,16,18,20)*((0*(((0.15*B144*5))^0/1)+1*(((0.15*B144*5))^1/1)+2*(((0.15*B144*5))^2/2)+3*(((0.15*B144*5))^3/6)+4*(((0.15*B144*5))^4/24)+5*(((0.15*B144*5))^5/120))/((((0.15*B144*5))^0/1)+(((0.15*B144*5))^1/1)+(((0.15*B144*5))^2/2)+(((0.15*B144*5))^3/6)+(((0.15*B144*5))^4/24)+(((0.15*B144*5))^5/120))),0)))/100)*I122)</f>
        <v/>
      </c>
      <c r="L122">
        <f>K122*(MIN(Inputs!$B$22+((C135=TRUE)*(F135-Calc!F22)),(Inputs!$B$23+((C137=TRUE)*(F137-Calc!F24))+(IF(ArtifactsInput!$M$15,CHOOSE(ArtifactsInput!$N$15+1,25,30,35,40,45,50)/100*(Inputs!$B$11-Inputs!$B$11),0))))/100+(Inputs!$B$23+((C137=TRUE)*(F137-Calc!F24))+(IF(ArtifactsInput!$M$15,CHOOSE(ArtifactsInput!$N$15+1,25,30,35,40,45,50)/100*(Inputs!$B$11-Inputs!$B$11),0)))/100)/2</f>
        <v/>
      </c>
      <c r="M122">
        <f>L122*(1+(Inputs!$B$10+0+B147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
        <f>L122*(1-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
        <f>(1-Summary!$B$11)*T122+Summary!$B$11*V122</f>
        <v/>
      </c>
      <c r="P122">
        <f>IF(B152=0,0,O122/B152)</f>
        <v/>
      </c>
      <c r="Q122">
        <f>IFERROR(1/(IF(Inputs!$B$38="pvp",15,MAX(0.1,Skills!D9-IF(Skills!E9=TRUE,Inputs!$B$32,0)))*(1-IF(AND(ArtifactsInput!$M$27,Inputs!$B$4="Chapter Hunt"),CHOOSE(ArtifactsInput!$N$27+1,20,24,28,32,36,40),0)/100)),0)</f>
        <v/>
      </c>
      <c r="R122">
        <f>IF(AND(Inputs!$B$38&lt;&gt;"pvp",Inputs!$B$43&gt;0),IF(MAX(0,Inputs!$B$43-B149)&lt;=0,0,(INT(MAX(0,Inputs!$B$43-B149)/(IF(Inputs!$B$38="pvp",15,MAX(0.1,Skills!D9-IF(Skills!E9=TRUE,Inputs!$B$32,0)))*(1-IF(AND(ArtifactsInput!$M$27,Inputs!$B$4="Chapter Hunt"),CHOOSE(ArtifactsInput!$N$27+1,20,24,28,32,36,40),0)/100)))+1)),0)</f>
        <v/>
      </c>
      <c r="S122">
        <f>IFERROR(O122/N122,0)</f>
        <v/>
      </c>
      <c r="T122">
        <f>IF(C122,(H122*N122*IF(AND(Inputs!$B$38&lt;&gt;"pvp",Inputs!$B$43&gt;0),((Skills!G9*((R122-1)*IF(Skills!H9&gt;0,Skills!I9/Skills!H9,1)+IF(Skills!H9&gt;0,MIN(Skills!I9,MAX(0,MAX(0,Inputs!$B$43-B149)-((R122-1)*(IF(Inputs!$B$38="pvp",15,MAX(0.1,Skills!D9-IF(Skills!E9=TRUE,Inputs!$B$32,0)))*(1-IF(AND(ArtifactsInput!$M$27,Inputs!$B$4="Chapter Hunt"),CHOOSE(ArtifactsInput!$N$27+1,20,24,28,32,36,40),0)/100)))))/Skills!H9,1)))/Inputs!$B$43),G122*Q122)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2">
        <f>IF(C122,(H122*N122*IF(AND(Inputs!$B$38&lt;&gt;"pvp",Inputs!$B$43&gt;0),((Skills!G9*((R122-1)*IF(Skills!H9&gt;0,Skills!I9/Skills!H9,1)+IF(Skills!H9&gt;0,MIN(Skills!I9,MAX(0,MAX(0,Inputs!$B$43-B149)-((R122-1)*(IF(Inputs!$B$38="pvp",15,MAX(0.1,Skills!D9-IF(Skills!E9=TRUE,Inputs!$B$32,0)))*(1-IF(AND(ArtifactsInput!$M$27,Inputs!$B$4="Chapter Hunt"),CHOOSE(ArtifactsInput!$N$27+1,20,24,28,32,36,40),0)/100)))))/Skills!H9,1)))/Inputs!$B$43),G122*Q122)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
      <c r="A123">
        <f>Skills!A10</f>
        <v/>
      </c>
      <c r="B123">
        <f>Skills!B10</f>
        <v/>
      </c>
      <c r="C123">
        <f>Inputs!$B$3&gt;=63</f>
        <v/>
      </c>
      <c r="D123">
        <f>IF(Skills!C10=1,60+Inputs!$B$25+Inputs!$B$29,IF(Skills!C10=2,90+Inputs!$B$26+Inputs!$B$29,IF(Skills!C10=3,120+Inputs!$B$27+Inputs!$B$29,MAX(0,(Inputs!$B$3-100)*3)+Inputs!$B$28+Inputs!$B$29)))</f>
        <v/>
      </c>
      <c r="E123">
        <f>INDEX(FactorTable!$B$2:$Y$301, MATCH(ROUND(MIN(300,MAX(1,D123)),0), FactorTable!$A$2:$A$301,0), Skills!M10+1)</f>
        <v/>
      </c>
      <c r="F123">
        <f>IF(Skills!N10=TRUE,(Skills!L10/10)*(E123/1000),Skills!L10/10)+Skills!O10</f>
        <v/>
      </c>
      <c r="G123">
        <f>Skills!G10*IF(Skills!H10&gt;0,Skills!I10/Skills!H10,1)</f>
        <v/>
      </c>
      <c r="H123">
        <f>1-(1-Skills!J10/100)^Skills!K10</f>
        <v/>
      </c>
      <c r="I123" t="inlineStr">
        <is>
          <t>1</t>
        </is>
      </c>
      <c r="J123">
        <f>((Inputs!$B$6*(1+Inputs!$B$7/100))+(((Inputs!$B$12*(1+(Inputs!$B$13+1)/100))-(Inputs!$B$12*(1+Inputs!$B$13/100)))+0.25*(Inputs!$B$14-Inputs!$B$14))*(1+Inputs!$B$7/100))*(F123/100)</f>
        <v/>
      </c>
      <c r="K123">
        <f>J123*(1+((Inputs!$B$12*(1+(Inputs!$B$13+1)/100))*0.01+Inputs!$B$14*0.0025)/100)*(1+Inputs!$B$15/100)*(1+Inputs!$B$16/100)*(5000/(6000+Inputs!$B$42*(1-(100*(1-(1-(Inputs!$B$19+0)/100)*(1-CHOOSE(ArtifactsInput!$N$40+1,5,6,7,8,9,10)/100)^(ArtifactsInput!$M$40-ArtifactsInput!$M$40)))/100)))*(1+(Inputs!$B$24+((C138=TRUE)*(F138-Calc!F25))+B148)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125=TRUE,F125,0)/100)*(1+IF(Skills!A10="ENHANCED_RAGING_BLOW",IF(Inputs!$B$3&gt;=134,MAX(0,IF(Inputs!$B$3&gt;=110,7,5)-5)*50,0),0)/100)*(1+(IF(Skills!A10="RAGING_BLOW",Inputs!$B$17+((C134=TRUE)*(F134-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136=TRUE)*(F136-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TRUE)*F126*IF(Inputs!$B$3&gt;=110,7,5))+((C128=TRUE)*F128*IF(AND(Inputs!$B$38&lt;&gt;"pvp",Inputs!$B$43&gt;0),(((R128-1)*(Skills!T15*(1+(Inputs!$B$34+(ArtifactsInput!$M$7-ArtifactsInput!$M$7)*CHOOSE(ArtifactsInput!$N$7+1,6,7.2,8.4,9.6,10.8,12))/100))+MIN((Skills!T15*(1+(Inputs!$B$34+(ArtifactsInput!$M$7-ArtifactsInput!$M$7)*CHOOSE(ArtifactsInput!$N$7+1,6,7.2,8.4,9.6,10.8,12))/100)),MAX(0,Inputs!$B$43-((R128-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Hunt"),CHOOSE(ArtifactsInput!$N$35+1,15,18,21,24,27,30)*(1-EXP(-(0.2*B144)*5)),0)+IF(AND(ArtifactsInput!$M$22,Inputs!$B$4&lt;&gt;"Chapter Hunt"),CHOOSE(ArtifactsInput!$N$22+1,10,12,14,16,18,20)*((0*(((0.15*B144*5))^0/1)+1*(((0.15*B144*5))^1/1)+2*(((0.15*B144*5))^2/2)+3*(((0.15*B144*5))^3/6)+4*(((0.15*B144*5))^4/24)+5*(((0.15*B144*5))^5/120))/((((0.15*B144*5))^0/1)+(((0.15*B144*5))^1/1)+(((0.15*B144*5))^2/2)+(((0.15*B144*5))^3/6)+(((0.15*B144*5))^4/24)+(((0.15*B144*5))^5/120))),0)))/100)*I123)</f>
        <v/>
      </c>
      <c r="L123">
        <f>K123*(MIN(Inputs!$B$22+((C135=TRUE)*(F135-Calc!F22)),(Inputs!$B$23+((C137=TRUE)*(F137-Calc!F24))+(IF(ArtifactsInput!$M$15,CHOOSE(ArtifactsInput!$N$15+1,25,30,35,40,45,50)/100*(Inputs!$B$11-Inputs!$B$11),0))))/100+(Inputs!$B$23+((C137=TRUE)*(F137-Calc!F24))+(IF(ArtifactsInput!$M$15,CHOOSE(ArtifactsInput!$N$15+1,25,30,35,40,45,50)/100*(Inputs!$B$11-Inputs!$B$11),0)))/100)/2</f>
        <v/>
      </c>
      <c r="M123">
        <f>L123*(1+(Inputs!$B$10+0+B147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
        <f>L123*(1-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
        <f>(1-Summary!$B$11)*T123+Summary!$B$11*V123</f>
        <v/>
      </c>
      <c r="P123">
        <f>IF(B152=0,0,O123/B152)</f>
        <v/>
      </c>
      <c r="Q123">
        <f>IFERROR(1/(IF(Inputs!$B$38="pvp",15,MAX(0.1,Skills!D10-IF(Skills!E10=TRUE,Inputs!$B$32,0)))*(1-IF(AND(ArtifactsInput!$M$27,Inputs!$B$4="Chapter Hunt"),CHOOSE(ArtifactsInput!$N$27+1,20,24,28,32,36,40),0)/100)),0)</f>
        <v/>
      </c>
      <c r="R123">
        <f>IF(AND(Inputs!$B$38&lt;&gt;"pvp",Inputs!$B$43&gt;0),IF(MAX(0,Inputs!$B$43-B149)&lt;=0,0,(INT(MAX(0,Inputs!$B$43-B149)/(IF(Inputs!$B$38="pvp",15,MAX(0.1,Skills!D10-IF(Skills!E10=TRUE,Inputs!$B$32,0)))*(1-IF(AND(ArtifactsInput!$M$27,Inputs!$B$4="Chapter Hunt"),CHOOSE(ArtifactsInput!$N$27+1,20,24,28,32,36,40),0)/100)))+1)),0)</f>
        <v/>
      </c>
      <c r="S123">
        <f>IFERROR(O123/N123,0)</f>
        <v/>
      </c>
      <c r="T123">
        <f>IF(C123,(H123*N123*IF(AND(Inputs!$B$38&lt;&gt;"pvp",Inputs!$B$43&gt;0),((Skills!G10*((R123-1)*IF(Skills!H10&gt;0,Skills!I10/Skills!H10,1)+IF(Skills!H10&gt;0,MIN(Skills!I10,MAX(0,MAX(0,Inputs!$B$43-B149)-((R123-1)*(IF(Inputs!$B$38="pvp",15,MAX(0.1,Skills!D10-IF(Skills!E10=TRUE,Inputs!$B$32,0)))*(1-IF(AND(ArtifactsInput!$M$27,Inputs!$B$4="Chapter Hunt"),CHOOSE(ArtifactsInput!$N$27+1,20,24,28,32,36,40),0)/100)))))/Skills!H10,1)))/Inputs!$B$43),G123*Q123)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
        <f>IF(C123,(H123*N123*IF(AND(Inputs!$B$38&lt;&gt;"pvp",Inputs!$B$43&gt;0),((Skills!G10*((R123-1)*IF(Skills!H10&gt;0,Skills!I10/Skills!H10,1)+IF(Skills!H10&gt;0,MIN(Skills!I10,MAX(0,MAX(0,Inputs!$B$43-B149)-((R123-1)*(IF(Inputs!$B$38="pvp",15,MAX(0.1,Skills!D10-IF(Skills!E10=TRUE,Inputs!$B$32,0)))*(1-IF(AND(ArtifactsInput!$M$27,Inputs!$B$4="Chapter Hunt"),CHOOSE(ArtifactsInput!$N$27+1,20,24,28,32,36,40),0)/100)))))/Skills!H10,1)))/Inputs!$B$43),G123*Q123)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
      <c r="A124">
        <f>Skills!A11</f>
        <v/>
      </c>
      <c r="B124">
        <f>Skills!B11</f>
        <v/>
      </c>
      <c r="C124">
        <f>Inputs!$B$3&gt;=35</f>
        <v/>
      </c>
      <c r="D124">
        <f>IF(Skills!C11=1,60+Inputs!$B$25+Inputs!$B$29,IF(Skills!C11=2,90+Inputs!$B$26+Inputs!$B$29,IF(Skills!C11=3,120+Inputs!$B$27+Inputs!$B$29,MAX(0,(Inputs!$B$3-100)*3)+Inputs!$B$28+Inputs!$B$29)))</f>
        <v/>
      </c>
      <c r="E124">
        <f>INDEX(FactorTable!$B$2:$Y$301, MATCH(ROUND(MIN(300,MAX(1,D124)),0), FactorTable!$A$2:$A$301,0), Skills!M11+1)</f>
        <v/>
      </c>
      <c r="F124">
        <f>IF(Skills!N11=TRUE,(Skills!L11/10)*(E124/1000),Skills!L11/10)+Skills!O11</f>
        <v/>
      </c>
      <c r="G124">
        <f>Skills!G11*IF(Skills!H11&gt;0,Skills!I11/Skills!H11,1)</f>
        <v/>
      </c>
      <c r="H124">
        <f>1-(1-Skills!J11/100)^Skills!K11</f>
        <v/>
      </c>
      <c r="I124" t="inlineStr">
        <is>
          <t>1</t>
        </is>
      </c>
      <c r="J124">
        <f>((Inputs!$B$6*(1+Inputs!$B$7/100))+(((Inputs!$B$12*(1+(Inputs!$B$13+1)/100))-(Inputs!$B$12*(1+Inputs!$B$13/100)))+0.25*(Inputs!$B$14-Inputs!$B$14))*(1+Inputs!$B$7/100))*(F124/100)</f>
        <v/>
      </c>
      <c r="K124">
        <f>J124*(1+((Inputs!$B$12*(1+(Inputs!$B$13+1)/100))*0.01+Inputs!$B$14*0.0025)/100)*(1+Inputs!$B$15/100)*(1+Inputs!$B$16/100)*(5000/(6000+Inputs!$B$42*(1-(100*(1-(1-(Inputs!$B$19+0)/100)*(1-CHOOSE(ArtifactsInput!$N$40+1,5,6,7,8,9,10)/100)^(ArtifactsInput!$M$40-ArtifactsInput!$M$40)))/100)))*(1+(Inputs!$B$24+((C138=TRUE)*(F138-Calc!F25))+B148)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125=TRUE,F125,0)/100)*(1+IF(Skills!A11="ENHANCED_RAGING_BLOW",IF(Inputs!$B$3&gt;=134,MAX(0,IF(Inputs!$B$3&gt;=110,7,5)-5)*50,0),0)/100)*(1+(IF(Skills!A11="RAGING_BLOW",Inputs!$B$17+((C134=TRUE)*(F134-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136=TRUE)*(F136-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TRUE)*F126*IF(Inputs!$B$3&gt;=110,7,5))+((C128=TRUE)*F128*IF(AND(Inputs!$B$38&lt;&gt;"pvp",Inputs!$B$43&gt;0),(((R128-1)*(Skills!T15*(1+(Inputs!$B$34+(ArtifactsInput!$M$7-ArtifactsInput!$M$7)*CHOOSE(ArtifactsInput!$N$7+1,6,7.2,8.4,9.6,10.8,12))/100))+MIN((Skills!T15*(1+(Inputs!$B$34+(ArtifactsInput!$M$7-ArtifactsInput!$M$7)*CHOOSE(ArtifactsInput!$N$7+1,6,7.2,8.4,9.6,10.8,12))/100)),MAX(0,Inputs!$B$43-((R128-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Hunt"),CHOOSE(ArtifactsInput!$N$35+1,15,18,21,24,27,30)*(1-EXP(-(0.2*B144)*5)),0)+IF(AND(ArtifactsInput!$M$22,Inputs!$B$4&lt;&gt;"Chapter Hunt"),CHOOSE(ArtifactsInput!$N$22+1,10,12,14,16,18,20)*((0*(((0.15*B144*5))^0/1)+1*(((0.15*B144*5))^1/1)+2*(((0.15*B144*5))^2/2)+3*(((0.15*B144*5))^3/6)+4*(((0.15*B144*5))^4/24)+5*(((0.15*B144*5))^5/120))/((((0.15*B144*5))^0/1)+(((0.15*B144*5))^1/1)+(((0.15*B144*5))^2/2)+(((0.15*B144*5))^3/6)+(((0.15*B144*5))^4/24)+(((0.15*B144*5))^5/120))),0)))/100)*I124)</f>
        <v/>
      </c>
      <c r="L124">
        <f>K124*(MIN(Inputs!$B$22+((C135=TRUE)*(F135-Calc!F22)),(Inputs!$B$23+((C137=TRUE)*(F137-Calc!F24))+(IF(ArtifactsInput!$M$15,CHOOSE(ArtifactsInput!$N$15+1,25,30,35,40,45,50)/100*(Inputs!$B$11-Inputs!$B$11),0))))/100+(Inputs!$B$23+((C137=TRUE)*(F137-Calc!F24))+(IF(ArtifactsInput!$M$15,CHOOSE(ArtifactsInput!$N$15+1,25,30,35,40,45,50)/100*(Inputs!$B$11-Inputs!$B$11),0)))/100)/2</f>
        <v/>
      </c>
      <c r="M124">
        <f>L124*(1+(Inputs!$B$10+0+B147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
        <f>L124*(1-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MIN((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
        <f>(1-Summary!$B$11)*T124+Summary!$B$11*V124</f>
        <v/>
      </c>
      <c r="P124">
        <f>IF(B152=0,0,O124/B152)</f>
        <v/>
      </c>
      <c r="Q124">
        <f>IFERROR(1/(IF(Inputs!$B$38="pvp",15,MAX(0.1,Skills!D11-IF(Skills!E11=TRUE,Inputs!$B$32,0)))*(1-IF(AND(ArtifactsInput!$M$27,Inputs!$B$4="Chapter Hunt"),CHOOSE(ArtifactsInput!$N$27+1,20,24,28,32,36,40),0)/100)),0)</f>
        <v/>
      </c>
      <c r="R124">
        <f>IF(AND(Inputs!$B$38&lt;&gt;"pvp",Inputs!$B$43&gt;0),IF(MAX(0,Inputs!$B$43-B149)&lt;=0,0,(INT(MAX(0,Inputs!$B$43-B149)/(IF(Inputs!$B$38="pvp",15,MAX(0.1,Skills!D11-IF(Skills!E11=TRUE,Inputs!$B$32,0)))*(1-IF(AND(ArtifactsInput!$M$27,Inputs!$B$4="Chapter Hunt"),CHOOSE(ArtifactsInput!$N$27+1,20,24,28,32,36,40),0)/100)))+1)),0)</f>
        <v/>
      </c>
      <c r="S124">
        <f>IFERROR(O124/N124,0)</f>
        <v/>
      </c>
      <c r="T124">
        <f>IF(C124,(H124*N124*IF(AND(Inputs!$B$38&lt;&gt;"pvp",Inputs!$B$43&gt;0),((Skills!G11*((R124-1)*IF(Skills!H11&gt;0,Skills!I11/Skills!H11,1)+IF(Skills!H11&gt;0,MIN(Skills!I11,MAX(0,MAX(0,Inputs!$B$43-B149)-((R124-1)*(IF(Inputs!$B$38="pvp",15,MAX(0.1,Skills!D11-IF(Skills!E11=TRUE,Inputs!$B$32,0)))*(1-IF(AND(ArtifactsInput!$M$27,Inputs!$B$4="Chapter Hunt"),CHOOSE(ArtifactsInput!$N$27+1,20,24,28,32,36,40),0)/100)))))/Skills!H11,1)))/Inputs!$B$43),G124*Q124)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(1-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MIN(100,(Inputs!$B$9+((C139=TRUE)*(F139-Calc!F26))+B142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
        <f>IF(C124,(H124*N124*IF(AND(Inputs!$B$38&lt;&gt;"pvp",Inputs!$B$43&gt;0),((Skills!G11*((R124-1)*IF(Skills!H11&gt;0,Skills!I11/Skills!H11,1)+IF(Skills!H11&gt;0,MIN(Skills!I11,MAX(0,MAX(0,Inputs!$B$43-B149)-((R124-1)*(IF(Inputs!$B$38="pvp",15,MAX(0.1,Skills!D11-IF(Skills!E11=TRUE,Inputs!$B$32,0)))*(1-IF(AND(ArtifactsInput!$M$27,Inputs!$B$4="Chapter Hunt"),CHOOSE(ArtifactsInput!$N$27+1,20,24,28,32,36,40),0)/100)))))/Skills!H11,1)))/Inputs!$B$43),G124*Q124)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
      <c r="A125">
        <f>Skills!A12</f>
        <v/>
      </c>
      <c r="B125">
        <f>Skills!B12</f>
        <v/>
      </c>
      <c r="C125">
        <f>Inputs!$B$3&gt;=100</f>
        <v/>
      </c>
      <c r="D125">
        <f>IF(Skills!C12=1,60+Inputs!$B$25+Inputs!$B$29,IF(Skills!C12=2,90+Inputs!$B$26+Inputs!$B$29,IF(Skills!C12=3,120+Inputs!$B$27+Inputs!$B$29,MAX(0,(Inputs!$B$3-100)*3)+Inputs!$B$28+Inputs!$B$29)))</f>
        <v/>
      </c>
      <c r="E125">
        <f>INDEX(FactorTable!$B$2:$Y$301, MATCH(ROUND(MIN(300,MAX(1,D125)),0), FactorTable!$A$2:$A$301,0), Skills!M12+1)</f>
        <v/>
      </c>
      <c r="F125">
        <f>IF(Skills!N12=TRUE,(Skills!L12/10)*(E125/1000),Skills!L12/10)+Skills!O12</f>
        <v/>
      </c>
      <c r="G125" t="inlineStr"/>
      <c r="H125" t="inlineStr"/>
      <c r="I125" t="inlineStr">
        <is>
          <t>1</t>
        </is>
      </c>
      <c r="J125" t="inlineStr"/>
      <c r="K125" t="inlineStr"/>
      <c r="L125" t="inlineStr"/>
      <c r="M125" t="inlineStr"/>
      <c r="N125" t="inlineStr"/>
      <c r="O125" t="inlineStr"/>
      <c r="P125" t="inlineStr"/>
      <c r="Q125" t="inlineStr"/>
      <c r="R125" t="inlineStr"/>
      <c r="S125" t="inlineStr"/>
    </row>
    <row r="126">
      <c r="A126">
        <f>Skills!A13</f>
        <v/>
      </c>
      <c r="B126">
        <f>Skills!B13</f>
        <v/>
      </c>
      <c r="C126">
        <f>Inputs!$B$3&gt;=45</f>
        <v/>
      </c>
      <c r="D126">
        <f>IF(Skills!C13=1,60+Inputs!$B$25+Inputs!$B$29,IF(Skills!C13=2,90+Inputs!$B$26+Inputs!$B$29,IF(Skills!C13=3,120+Inputs!$B$27+Inputs!$B$29,MAX(0,(Inputs!$B$3-100)*3)+Inputs!$B$28+Inputs!$B$29)))</f>
        <v/>
      </c>
      <c r="E126">
        <f>INDEX(FactorTable!$B$2:$Y$301, MATCH(ROUND(MIN(300,MAX(1,D126)),0), FactorTable!$A$2:$A$301,0), Skills!M13+1)</f>
        <v/>
      </c>
      <c r="F126">
        <f>IF(Skills!N13=TRUE,(Skills!L13/10)*(E126/1000),Skills!L13/10)+Skills!O13</f>
        <v/>
      </c>
      <c r="G126">
        <f>Skills!G13*IF(Skills!H13&gt;0,Skills!I13/Skills!H13,1)</f>
        <v/>
      </c>
      <c r="H126">
        <f>1-(1-Skills!J13/100)^Skills!K13</f>
        <v/>
      </c>
      <c r="I126" t="inlineStr">
        <is>
          <t>1</t>
        </is>
      </c>
      <c r="J126" t="inlineStr"/>
      <c r="K126" t="inlineStr"/>
      <c r="L126" t="inlineStr"/>
      <c r="M126" t="inlineStr"/>
      <c r="N126" t="inlineStr"/>
      <c r="O126">
        <f>(1-Summary!$B$11)*T126+Summary!$B$11*V126</f>
        <v/>
      </c>
      <c r="P126">
        <f>IF(B152=0,0,O126/B152)</f>
        <v/>
      </c>
      <c r="Q126" t="n">
        <v>0</v>
      </c>
      <c r="R126" t="n">
        <v>0</v>
      </c>
      <c r="S126">
        <f>IFERROR(O126/N126,0)</f>
        <v/>
      </c>
      <c r="T126" t="n">
        <v>0</v>
      </c>
      <c r="V126" t="n">
        <v>0</v>
      </c>
    </row>
    <row r="127">
      <c r="A127">
        <f>Skills!A14</f>
        <v/>
      </c>
      <c r="B127">
        <f>Skills!B14</f>
        <v/>
      </c>
      <c r="C127">
        <f>Inputs!$B$3&gt;=75</f>
        <v/>
      </c>
      <c r="D127">
        <f>IF(Skills!C14=1,60+Inputs!$B$25+Inputs!$B$29,IF(Skills!C14=2,90+Inputs!$B$26+Inputs!$B$29,IF(Skills!C14=3,120+Inputs!$B$27+Inputs!$B$29,MAX(0,(Inputs!$B$3-100)*3)+Inputs!$B$28+Inputs!$B$29)))</f>
        <v/>
      </c>
      <c r="E127">
        <f>INDEX(FactorTable!$B$2:$Y$301, MATCH(ROUND(MIN(300,MAX(1,D127)),0), FactorTable!$A$2:$A$301,0), Skills!M14+1)</f>
        <v/>
      </c>
      <c r="F127">
        <f>IF(Skills!N14=TRUE,(Skills!L14/10)*(E127/1000),Skills!L14/10)+Skills!O14</f>
        <v/>
      </c>
      <c r="G127">
        <f>Skills!G14*IF(Skills!H14&gt;0,Skills!I14/Skills!H14,1)</f>
        <v/>
      </c>
      <c r="H127">
        <f>1-(1-Skills!J14/100)^Skills!K14</f>
        <v/>
      </c>
      <c r="I127" t="inlineStr">
        <is>
          <t>1</t>
        </is>
      </c>
      <c r="J127" t="inlineStr"/>
      <c r="K127" t="inlineStr"/>
      <c r="L127" t="inlineStr"/>
      <c r="M127" t="inlineStr"/>
      <c r="N127" t="inlineStr"/>
      <c r="O127">
        <f>(1-Summary!$B$11)*T127+Summary!$B$11*V127</f>
        <v/>
      </c>
      <c r="P127">
        <f>IF(B152=0,0,O127/B152)</f>
        <v/>
      </c>
      <c r="Q127" t="n">
        <v>0</v>
      </c>
      <c r="R127" t="n">
        <v>0</v>
      </c>
      <c r="S127">
        <f>IFERROR(O127/N127,0)</f>
        <v/>
      </c>
      <c r="T127" t="n">
        <v>0</v>
      </c>
      <c r="V127" t="n">
        <v>0</v>
      </c>
    </row>
    <row r="128">
      <c r="A128">
        <f>Skills!A15</f>
        <v/>
      </c>
      <c r="B128">
        <f>Skills!B15</f>
        <v/>
      </c>
      <c r="C128">
        <f>Inputs!$B$3&gt;=40</f>
        <v/>
      </c>
      <c r="D128">
        <f>IF(Skills!C15=1,60+Inputs!$B$25+Inputs!$B$29,IF(Skills!C15=2,90+Inputs!$B$26+Inputs!$B$29,IF(Skills!C15=3,120+Inputs!$B$27+Inputs!$B$29,MAX(0,(Inputs!$B$3-100)*3)+Inputs!$B$28+Inputs!$B$29)))</f>
        <v/>
      </c>
      <c r="E128">
        <f>INDEX(FactorTable!$B$2:$Y$301, MATCH(ROUND(MIN(300,MAX(1,D128)),0), FactorTable!$A$2:$A$301,0), Skills!M15+1)</f>
        <v/>
      </c>
      <c r="F128">
        <f>IF(Skills!N15=TRUE,(Skills!L15/10)*(E128/1000),Skills!L15/10)+Skills!O15</f>
        <v/>
      </c>
      <c r="G128">
        <f>Skills!G15*IF(Skills!H15&gt;0,Skills!I15/Skills!H15,1)</f>
        <v/>
      </c>
      <c r="H128">
        <f>1-(1-Skills!J15/100)^Skills!K15</f>
        <v/>
      </c>
      <c r="I128" t="inlineStr">
        <is>
          <t>1</t>
        </is>
      </c>
      <c r="J128" t="inlineStr"/>
      <c r="K128" t="inlineStr"/>
      <c r="L128" t="inlineStr"/>
      <c r="M128" t="inlineStr"/>
      <c r="N128" t="inlineStr"/>
      <c r="O128">
        <f>(1-Summary!$B$11)*T128+Summary!$B$11*V128</f>
        <v/>
      </c>
      <c r="P128">
        <f>IF(B152=0,0,O128/B152)</f>
        <v/>
      </c>
      <c r="Q128">
        <f>IFERROR(1/(IF(Inputs!$B$38="pvp",15,MAX(0.1,Skills!D15-IF(Skills!E15=TRUE,Inputs!$B$32,0)))*(1-IF(AND(ArtifactsInput!$M$27,Inputs!$B$4="Chapter Hunt"),CHOOSE(ArtifactsInput!$N$27+1,20,24,28,32,36,40),0)/100)),0)</f>
        <v/>
      </c>
      <c r="R128">
        <f>IF(AND(Inputs!$B$38&lt;&gt;"pvp",Inputs!$B$43&gt;0),IF(Inputs!$B$43&lt;=0,0,(INT(Inputs!$B$43/(IF(Inputs!$B$38="pvp",15,MAX(0.1,Skills!D15-IF(Skills!E15=TRUE,Inputs!$B$32,0)))*(1-IF(AND(ArtifactsInput!$M$27,Inputs!$B$4="Chapter Hunt"),CHOOSE(ArtifactsInput!$N$27+1,20,24,28,32,36,40),0)/100)))+1)),0)</f>
        <v/>
      </c>
      <c r="S128">
        <f>IFERROR(O128/N128,0)</f>
        <v/>
      </c>
      <c r="T128" t="n">
        <v>0</v>
      </c>
      <c r="V128" t="n">
        <v>0</v>
      </c>
    </row>
    <row r="129">
      <c r="A129">
        <f>Skills!A16</f>
        <v/>
      </c>
      <c r="B129">
        <f>Skills!B16</f>
        <v/>
      </c>
      <c r="C129">
        <f>Inputs!$B$3&gt;=66</f>
        <v/>
      </c>
      <c r="D129">
        <f>IF(Skills!C16=1,60+Inputs!$B$25+Inputs!$B$29,IF(Skills!C16=2,90+Inputs!$B$26+Inputs!$B$29,IF(Skills!C16=3,120+Inputs!$B$27+Inputs!$B$29,MAX(0,(Inputs!$B$3-100)*3)+Inputs!$B$28+Inputs!$B$29)))</f>
        <v/>
      </c>
      <c r="E129">
        <f>INDEX(FactorTable!$B$2:$Y$301, MATCH(ROUND(MIN(300,MAX(1,D129)),0), FactorTable!$A$2:$A$301,0), Skills!M16+1)</f>
        <v/>
      </c>
      <c r="F129">
        <f>IF(Skills!N16=TRUE,(Skills!L16/10)*(E129/1000),Skills!L16/10)+Skills!O16</f>
        <v/>
      </c>
      <c r="G129">
        <f>Skills!G16*IF(Skills!H16&gt;0,Skills!I16/Skills!H16,1)</f>
        <v/>
      </c>
      <c r="H129">
        <f>1-(1-Skills!J16/100)^Skills!K16</f>
        <v/>
      </c>
      <c r="I129" t="inlineStr">
        <is>
          <t>1</t>
        </is>
      </c>
      <c r="J129" t="inlineStr"/>
      <c r="K129" t="inlineStr"/>
      <c r="L129" t="inlineStr"/>
      <c r="M129" t="inlineStr"/>
      <c r="N129" t="inlineStr"/>
      <c r="O129">
        <f>(1-Summary!$B$11)*T129+Summary!$B$11*V129</f>
        <v/>
      </c>
      <c r="P129">
        <f>IF(B152=0,0,O129/B152)</f>
        <v/>
      </c>
      <c r="Q129">
        <f>IFERROR(1/(IF(Inputs!$B$38="pvp",15,MAX(0.1,Skills!D16-IF(Skills!E16=TRUE,Inputs!$B$32,0)))*(1-IF(AND(ArtifactsInput!$M$27,Inputs!$B$4="Chapter Hunt"),CHOOSE(ArtifactsInput!$N$27+1,20,24,28,32,36,40),0)/100)),0)</f>
        <v/>
      </c>
      <c r="R129">
        <f>IF(AND(Inputs!$B$38&lt;&gt;"pvp",Inputs!$B$43&gt;0),IF(Inputs!$B$43&lt;=0,0,(INT(Inputs!$B$43/(IF(Inputs!$B$38="pvp",15,MAX(0.1,Skills!D16-IF(Skills!E16=TRUE,Inputs!$B$32,0)))*(1-IF(AND(ArtifactsInput!$M$27,Inputs!$B$4="Chapter Hunt"),CHOOSE(ArtifactsInput!$N$27+1,20,24,28,32,36,40),0)/100)))+1)),0)</f>
        <v/>
      </c>
      <c r="S129">
        <f>IFERROR(O129/N129,0)</f>
        <v/>
      </c>
      <c r="T129" t="n">
        <v>0</v>
      </c>
      <c r="V129" t="n">
        <v>0</v>
      </c>
    </row>
    <row r="130">
      <c r="A130">
        <f>Skills!A17</f>
        <v/>
      </c>
      <c r="B130">
        <f>Skills!B17</f>
        <v/>
      </c>
      <c r="C130">
        <f>Inputs!$B$3&gt;=115</f>
        <v/>
      </c>
      <c r="D130">
        <f>IF(Skills!C17=1,60+Inputs!$B$25+Inputs!$B$29,IF(Skills!C17=2,90+Inputs!$B$26+Inputs!$B$29,IF(Skills!C17=3,120+Inputs!$B$27+Inputs!$B$29,MAX(0,(Inputs!$B$3-100)*3)+Inputs!$B$28+Inputs!$B$29)))</f>
        <v/>
      </c>
      <c r="E130">
        <f>INDEX(FactorTable!$B$2:$Y$301, MATCH(ROUND(MIN(300,MAX(1,D130)),0), FactorTable!$A$2:$A$301,0), Skills!M17+1)</f>
        <v/>
      </c>
      <c r="F130">
        <f>IF(Skills!N17=TRUE,(Skills!L17/10)*(E130/1000),Skills!L17/10)+Skills!O17</f>
        <v/>
      </c>
      <c r="G130">
        <f>Skills!G17*IF(Skills!H17&gt;0,Skills!I17/Skills!H17,1)</f>
        <v/>
      </c>
      <c r="H130">
        <f>1-(1-Skills!J17/100)^Skills!K17</f>
        <v/>
      </c>
      <c r="I130" t="inlineStr">
        <is>
          <t>1</t>
        </is>
      </c>
      <c r="J130" t="inlineStr"/>
      <c r="K130" t="inlineStr"/>
      <c r="L130" t="inlineStr"/>
      <c r="M130" t="inlineStr"/>
      <c r="N130" t="inlineStr"/>
      <c r="O130">
        <f>(1-Summary!$B$11)*T130+Summary!$B$11*V130</f>
        <v/>
      </c>
      <c r="P130">
        <f>IF(B152=0,0,O130/B152)</f>
        <v/>
      </c>
      <c r="Q130">
        <f>IFERROR(1/(IF(Inputs!$B$38="pvp",15,MAX(0.1,Skills!D17-IF(Skills!E17=TRUE,Inputs!$B$32,0)))*(1-IF(AND(ArtifactsInput!$M$27,Inputs!$B$4="Chapter Hunt"),CHOOSE(ArtifactsInput!$N$27+1,20,24,28,32,36,40),0)/100)),0)</f>
        <v/>
      </c>
      <c r="R130">
        <f>IF(AND(Inputs!$B$38&lt;&gt;"pvp",Inputs!$B$43&gt;0),IF(Inputs!$B$43&lt;=0,0,(INT(Inputs!$B$43/(IF(Inputs!$B$38="pvp",15,MAX(0.1,Skills!D17-IF(Skills!E17=TRUE,Inputs!$B$32,0)))*(1-IF(AND(ArtifactsInput!$M$27,Inputs!$B$4="Chapter Hunt"),CHOOSE(ArtifactsInput!$N$27+1,20,24,28,32,36,40),0)/100)))+1)),0)</f>
        <v/>
      </c>
      <c r="S130">
        <f>IFERROR(O130/N130,0)</f>
        <v/>
      </c>
      <c r="T130" t="n">
        <v>0</v>
      </c>
      <c r="V130" t="n">
        <v>0</v>
      </c>
    </row>
    <row r="131">
      <c r="A131">
        <f>Skills!A18</f>
        <v/>
      </c>
      <c r="B131">
        <f>Skills!B18</f>
        <v/>
      </c>
      <c r="C131">
        <f>Inputs!$B$3&gt;=115</f>
        <v/>
      </c>
      <c r="D131">
        <f>IF(Skills!C18=1,60+Inputs!$B$25+Inputs!$B$29,IF(Skills!C18=2,90+Inputs!$B$26+Inputs!$B$29,IF(Skills!C18=3,120+Inputs!$B$27+Inputs!$B$29,MAX(0,(Inputs!$B$3-100)*3)+Inputs!$B$28+Inputs!$B$29)))</f>
        <v/>
      </c>
      <c r="E131">
        <f>INDEX(FactorTable!$B$2:$Y$301, MATCH(ROUND(MIN(300,MAX(1,D131)),0), FactorTable!$A$2:$A$301,0), Skills!M18+1)</f>
        <v/>
      </c>
      <c r="F131">
        <f>IF(Skills!N18=TRUE,(Skills!L18/10)*(E131/1000),Skills!L18/10)+Skills!O18</f>
        <v/>
      </c>
      <c r="G131">
        <f>Skills!G18*IF(Skills!H18&gt;0,Skills!I18/Skills!H18,1)</f>
        <v/>
      </c>
      <c r="H131">
        <f>1-(1-Skills!J18/100)^Skills!K18</f>
        <v/>
      </c>
      <c r="I131" t="inlineStr">
        <is>
          <t>1</t>
        </is>
      </c>
      <c r="J131" t="inlineStr"/>
      <c r="K131" t="inlineStr"/>
      <c r="L131" t="inlineStr"/>
      <c r="M131" t="inlineStr"/>
      <c r="N131" t="inlineStr"/>
      <c r="O131">
        <f>(1-Summary!$B$11)*T131+Summary!$B$11*V131</f>
        <v/>
      </c>
      <c r="P131">
        <f>IF(B152=0,0,O131/B152)</f>
        <v/>
      </c>
      <c r="Q131">
        <f>IFERROR(1/(IF(Inputs!$B$38="pvp",15,MAX(0.1,Skills!D18-IF(Skills!E18=TRUE,Inputs!$B$32,0)))*(1-IF(AND(ArtifactsInput!$M$27,Inputs!$B$4="Chapter Hunt"),CHOOSE(ArtifactsInput!$N$27+1,20,24,28,32,36,40),0)/100)),0)</f>
        <v/>
      </c>
      <c r="R131">
        <f>IF(AND(Inputs!$B$38&lt;&gt;"pvp",Inputs!$B$43&gt;0),IF(Inputs!$B$43&lt;=0,0,(INT(Inputs!$B$43/(IF(Inputs!$B$38="pvp",15,MAX(0.1,Skills!D18-IF(Skills!E18=TRUE,Inputs!$B$32,0)))*(1-IF(AND(ArtifactsInput!$M$27,Inputs!$B$4="Chapter Hunt"),CHOOSE(ArtifactsInput!$N$27+1,20,24,28,32,36,40),0)/100)))+1)),0)</f>
        <v/>
      </c>
      <c r="S131">
        <f>IFERROR(O131/N131,0)</f>
        <v/>
      </c>
      <c r="T131" t="n">
        <v>0</v>
      </c>
      <c r="V131" t="n">
        <v>0</v>
      </c>
    </row>
    <row r="132">
      <c r="A132">
        <f>Skills!A19</f>
        <v/>
      </c>
      <c r="B132">
        <f>Skills!B19</f>
        <v/>
      </c>
      <c r="C132">
        <f>TRUE</f>
        <v/>
      </c>
      <c r="D132">
        <f>IF(Skills!C19=1,60+Inputs!$B$25+Inputs!$B$29,IF(Skills!C19=2,90+Inputs!$B$26+Inputs!$B$29,IF(Skills!C19=3,120+Inputs!$B$27+Inputs!$B$29,MAX(0,(Inputs!$B$3-100)*3)+Inputs!$B$28+Inputs!$B$29)))</f>
        <v/>
      </c>
      <c r="E132">
        <f>INDEX(FactorTable!$B$2:$Y$301, MATCH(ROUND(MIN(300,MAX(1,D132)),0), FactorTable!$A$2:$A$301,0), Skills!M19+1)</f>
        <v/>
      </c>
      <c r="F132">
        <f>IF(Skills!N19=TRUE,(Skills!L19/10)*(E132/1000),Skills!L19/10)+Skills!O19</f>
        <v/>
      </c>
      <c r="G132">
        <f>Skills!G19*IF(Skills!H19&gt;0,Skills!I19/Skills!H19,1)</f>
        <v/>
      </c>
      <c r="H132">
        <f>1-(1-Skills!J19/100)^Skills!K19</f>
        <v/>
      </c>
      <c r="I132" t="inlineStr">
        <is>
          <t>1</t>
        </is>
      </c>
      <c r="J132" t="inlineStr"/>
      <c r="K132" t="inlineStr"/>
      <c r="L132" t="inlineStr"/>
      <c r="M132" t="inlineStr"/>
      <c r="N132" t="inlineStr"/>
      <c r="O132">
        <f>(1-Summary!$B$11)*T132+Summary!$B$11*V132</f>
        <v/>
      </c>
      <c r="P132">
        <f>IF(B152=0,0,O132/B152)</f>
        <v/>
      </c>
      <c r="Q132">
        <f>IFERROR(1/(IF(Inputs!$B$38="pvp",15,MAX(0.1,Skills!D19-IF(Skills!E19=TRUE,Inputs!$B$32,0)))*(1-IF(AND(ArtifactsInput!$M$27,Inputs!$B$4="Chapter Hunt"),CHOOSE(ArtifactsInput!$N$27+1,20,24,28,32,36,40),0)/100)),0)</f>
        <v/>
      </c>
      <c r="R132">
        <f>IF(AND(Inputs!$B$38&lt;&gt;"pvp",Inputs!$B$43&gt;0),IF(Inputs!$B$43&lt;=0,0,(INT(Inputs!$B$43/(IF(Inputs!$B$38="pvp",15,MAX(0.1,Skills!D19-IF(Skills!E19=TRUE,Inputs!$B$32,0)))*(1-IF(AND(ArtifactsInput!$M$27,Inputs!$B$4="Chapter Hunt"),CHOOSE(ArtifactsInput!$N$27+1,20,24,28,32,36,40),0)/100)))+1)),0)</f>
        <v/>
      </c>
      <c r="S132">
        <f>IFERROR(O132/N132,0)</f>
        <v/>
      </c>
      <c r="T132" t="n">
        <v>0</v>
      </c>
      <c r="V132" t="n">
        <v>0</v>
      </c>
    </row>
    <row r="133">
      <c r="A133">
        <f>Skills!A20</f>
        <v/>
      </c>
      <c r="B133">
        <f>Skills!B20</f>
        <v/>
      </c>
      <c r="C133">
        <f>Inputs!$B$3&gt;=33</f>
        <v/>
      </c>
      <c r="D133">
        <f>IF(Skills!C20=1,60+Inputs!$B$25+Inputs!$B$29,IF(Skills!C20=2,90+Inputs!$B$26+Inputs!$B$29,IF(Skills!C20=3,120+Inputs!$B$27+Inputs!$B$29,MAX(0,(Inputs!$B$3-100)*3)+Inputs!$B$28+Inputs!$B$29)))</f>
        <v/>
      </c>
      <c r="E133">
        <f>INDEX(FactorTable!$B$2:$Y$301, MATCH(ROUND(MIN(300,MAX(1,D133)),0), FactorTable!$A$2:$A$301,0), Skills!M20+1)</f>
        <v/>
      </c>
      <c r="F133">
        <f>IF(Skills!N20=TRUE,(Skills!L20/10)*(E133/1000),Skills!L20/10)+Skills!O20</f>
        <v/>
      </c>
      <c r="G133">
        <f>Skills!G20*IF(Skills!H20&gt;0,Skills!I20/Skills!H20,1)</f>
        <v/>
      </c>
      <c r="H133">
        <f>1-(1-Skills!J20/100)^Skills!K20</f>
        <v/>
      </c>
      <c r="I133" t="inlineStr">
        <is>
          <t>1</t>
        </is>
      </c>
      <c r="J133" t="inlineStr"/>
      <c r="K133" t="inlineStr"/>
      <c r="L133" t="inlineStr"/>
      <c r="M133" t="inlineStr"/>
      <c r="N133" t="inlineStr"/>
      <c r="O133">
        <f>(1-Summary!$B$11)*T133+Summary!$B$11*V133</f>
        <v/>
      </c>
      <c r="P133">
        <f>IF(B152=0,0,O133/B152)</f>
        <v/>
      </c>
      <c r="Q133" t="n">
        <v>0</v>
      </c>
      <c r="R133" t="n">
        <v>0</v>
      </c>
      <c r="S133">
        <f>IFERROR(O133/N133,0)</f>
        <v/>
      </c>
      <c r="T133" t="n">
        <v>0</v>
      </c>
      <c r="V133" t="n">
        <v>0</v>
      </c>
    </row>
    <row r="134">
      <c r="A134">
        <f>Skills!A21</f>
        <v/>
      </c>
      <c r="B134">
        <f>Skills!B21</f>
        <v/>
      </c>
      <c r="C134">
        <f>Inputs!$B$3&gt;=38</f>
        <v/>
      </c>
      <c r="D134">
        <f>IF(Skills!C21=1,60+Inputs!$B$25+Inputs!$B$29,IF(Skills!C21=2,90+Inputs!$B$26+Inputs!$B$29,IF(Skills!C21=3,120+Inputs!$B$27+Inputs!$B$29,MAX(0,(Inputs!$B$3-100)*3)+Inputs!$B$28+Inputs!$B$29)))</f>
        <v/>
      </c>
      <c r="E134">
        <f>INDEX(FactorTable!$B$2:$Y$301, MATCH(ROUND(MIN(300,MAX(1,D134)),0), FactorTable!$A$2:$A$301,0), Skills!M21+1)</f>
        <v/>
      </c>
      <c r="F134">
        <f>IF(Skills!N21=TRUE,(Skills!L21/10)*(E134/1000),Skills!L21/10)+Skills!O21</f>
        <v/>
      </c>
      <c r="G134">
        <f>Skills!G21*IF(Skills!H21&gt;0,Skills!I21/Skills!H21,1)</f>
        <v/>
      </c>
      <c r="H134">
        <f>1-(1-Skills!J21/100)^Skills!K21</f>
        <v/>
      </c>
      <c r="I134" t="inlineStr">
        <is>
          <t>1</t>
        </is>
      </c>
      <c r="J134" t="inlineStr"/>
      <c r="K134" t="inlineStr"/>
      <c r="L134" t="inlineStr"/>
      <c r="M134" t="inlineStr"/>
      <c r="N134" t="inlineStr"/>
      <c r="O134">
        <f>(1-Summary!$B$11)*T134+Summary!$B$11*V134</f>
        <v/>
      </c>
      <c r="P134">
        <f>IF(B152=0,0,O134/B152)</f>
        <v/>
      </c>
      <c r="Q134" t="n">
        <v>0</v>
      </c>
      <c r="R134" t="n">
        <v>0</v>
      </c>
      <c r="S134">
        <f>IFERROR(O134/N134,0)</f>
        <v/>
      </c>
      <c r="T134" t="n">
        <v>0</v>
      </c>
      <c r="V134" t="n">
        <v>0</v>
      </c>
    </row>
    <row r="135">
      <c r="A135">
        <f>Skills!A22</f>
        <v/>
      </c>
      <c r="B135">
        <f>Skills!B22</f>
        <v/>
      </c>
      <c r="C135">
        <f>Inputs!$B$3&gt;=43</f>
        <v/>
      </c>
      <c r="D135">
        <f>IF(Skills!C22=1,60+Inputs!$B$25+Inputs!$B$29,IF(Skills!C22=2,90+Inputs!$B$26+Inputs!$B$29,IF(Skills!C22=3,120+Inputs!$B$27+Inputs!$B$29,MAX(0,(Inputs!$B$3-100)*3)+Inputs!$B$28+Inputs!$B$29)))</f>
        <v/>
      </c>
      <c r="E135">
        <f>INDEX(FactorTable!$B$2:$Y$301, MATCH(ROUND(MIN(300,MAX(1,D135)),0), FactorTable!$A$2:$A$301,0), Skills!M22+1)</f>
        <v/>
      </c>
      <c r="F135">
        <f>IF(Skills!N22=TRUE,(Skills!L22/10)*(E135/1000),Skills!L22/10)+Skills!O22</f>
        <v/>
      </c>
      <c r="G135">
        <f>Skills!G22*IF(Skills!H22&gt;0,Skills!I22/Skills!H22,1)</f>
        <v/>
      </c>
      <c r="H135">
        <f>1-(1-Skills!J22/100)^Skills!K22</f>
        <v/>
      </c>
      <c r="I135" t="inlineStr">
        <is>
          <t>1</t>
        </is>
      </c>
      <c r="J135" t="inlineStr"/>
      <c r="K135" t="inlineStr"/>
      <c r="L135" t="inlineStr"/>
      <c r="M135" t="inlineStr"/>
      <c r="N135" t="inlineStr"/>
      <c r="O135">
        <f>(1-Summary!$B$11)*T135+Summary!$B$11*V135</f>
        <v/>
      </c>
      <c r="P135">
        <f>IF(B152=0,0,O135/B152)</f>
        <v/>
      </c>
      <c r="Q135" t="n">
        <v>0</v>
      </c>
      <c r="R135" t="n">
        <v>0</v>
      </c>
      <c r="S135">
        <f>IFERROR(O135/N135,0)</f>
        <v/>
      </c>
      <c r="T135" t="n">
        <v>0</v>
      </c>
      <c r="V135" t="n">
        <v>0</v>
      </c>
    </row>
    <row r="136">
      <c r="A136">
        <f>Skills!A23</f>
        <v/>
      </c>
      <c r="B136">
        <f>Skills!B23</f>
        <v/>
      </c>
      <c r="C136">
        <f>Inputs!$B$3&gt;=120</f>
        <v/>
      </c>
      <c r="D136">
        <f>IF(Skills!C23=1,60+Inputs!$B$25+Inputs!$B$29,IF(Skills!C23=2,90+Inputs!$B$26+Inputs!$B$29,IF(Skills!C23=3,120+Inputs!$B$27+Inputs!$B$29,MAX(0,(Inputs!$B$3-100)*3)+Inputs!$B$28+Inputs!$B$29)))</f>
        <v/>
      </c>
      <c r="E136">
        <f>INDEX(FactorTable!$B$2:$Y$301, MATCH(ROUND(MIN(300,MAX(1,D136)),0), FactorTable!$A$2:$A$301,0), Skills!M23+1)</f>
        <v/>
      </c>
      <c r="F136">
        <f>IF(Skills!N23=TRUE,(Skills!L23/10)*(E136/1000),Skills!L23/10)+Skills!O23</f>
        <v/>
      </c>
      <c r="G136">
        <f>Skills!G23*IF(Skills!H23&gt;0,Skills!I23/Skills!H23,1)</f>
        <v/>
      </c>
      <c r="H136">
        <f>1-(1-Skills!J23/100)^Skills!K23</f>
        <v/>
      </c>
      <c r="I136" t="inlineStr">
        <is>
          <t>1</t>
        </is>
      </c>
      <c r="J136" t="inlineStr"/>
      <c r="K136" t="inlineStr"/>
      <c r="L136" t="inlineStr"/>
      <c r="M136" t="inlineStr"/>
      <c r="N136" t="inlineStr"/>
      <c r="O136">
        <f>(1-Summary!$B$11)*T136+Summary!$B$11*V136</f>
        <v/>
      </c>
      <c r="P136">
        <f>IF(B152=0,0,O136/B152)</f>
        <v/>
      </c>
      <c r="Q136" t="n">
        <v>0</v>
      </c>
      <c r="R136" t="n">
        <v>0</v>
      </c>
      <c r="S136">
        <f>IFERROR(O136/N136,0)</f>
        <v/>
      </c>
      <c r="T136" t="n">
        <v>0</v>
      </c>
      <c r="V136" t="n">
        <v>0</v>
      </c>
    </row>
    <row r="137">
      <c r="A137">
        <f>Skills!A24</f>
        <v/>
      </c>
      <c r="B137">
        <f>Skills!B24</f>
        <v/>
      </c>
      <c r="C137">
        <f>Inputs!$B$3&gt;=120</f>
        <v/>
      </c>
      <c r="D137">
        <f>IF(Skills!C24=1,60+Inputs!$B$25+Inputs!$B$29,IF(Skills!C24=2,90+Inputs!$B$26+Inputs!$B$29,IF(Skills!C24=3,120+Inputs!$B$27+Inputs!$B$29,MAX(0,(Inputs!$B$3-100)*3)+Inputs!$B$28+Inputs!$B$29)))</f>
        <v/>
      </c>
      <c r="E137">
        <f>INDEX(FactorTable!$B$2:$Y$301, MATCH(ROUND(MIN(300,MAX(1,D137)),0), FactorTable!$A$2:$A$301,0), Skills!M24+1)</f>
        <v/>
      </c>
      <c r="F137">
        <f>IF(Skills!N24=TRUE,(Skills!L24/10)*(E137/1000),Skills!L24/10)+Skills!O24</f>
        <v/>
      </c>
      <c r="G137">
        <f>Skills!G24*IF(Skills!H24&gt;0,Skills!I24/Skills!H24,1)</f>
        <v/>
      </c>
      <c r="H137">
        <f>1-(1-Skills!J24/100)^Skills!K24</f>
        <v/>
      </c>
      <c r="I137" t="inlineStr">
        <is>
          <t>1</t>
        </is>
      </c>
      <c r="J137" t="inlineStr"/>
      <c r="K137" t="inlineStr"/>
      <c r="L137" t="inlineStr"/>
      <c r="M137" t="inlineStr"/>
      <c r="N137" t="inlineStr"/>
      <c r="O137">
        <f>(1-Summary!$B$11)*T137+Summary!$B$11*V137</f>
        <v/>
      </c>
      <c r="P137">
        <f>IF(B152=0,0,O137/B152)</f>
        <v/>
      </c>
      <c r="Q137" t="n">
        <v>0</v>
      </c>
      <c r="R137" t="n">
        <v>0</v>
      </c>
      <c r="S137">
        <f>IFERROR(O137/N137,0)</f>
        <v/>
      </c>
      <c r="T137" t="n">
        <v>0</v>
      </c>
      <c r="V137" t="n">
        <v>0</v>
      </c>
    </row>
    <row r="138">
      <c r="A138">
        <f>Skills!A25</f>
        <v/>
      </c>
      <c r="B138">
        <f>Skills!B25</f>
        <v/>
      </c>
      <c r="C138">
        <f>Inputs!$B$3&gt;=125</f>
        <v/>
      </c>
      <c r="D138">
        <f>IF(Skills!C25=1,60+Inputs!$B$25+Inputs!$B$29,IF(Skills!C25=2,90+Inputs!$B$26+Inputs!$B$29,IF(Skills!C25=3,120+Inputs!$B$27+Inputs!$B$29,MAX(0,(Inputs!$B$3-100)*3)+Inputs!$B$28+Inputs!$B$29)))</f>
        <v/>
      </c>
      <c r="E138">
        <f>INDEX(FactorTable!$B$2:$Y$301, MATCH(ROUND(MIN(300,MAX(1,D138)),0), FactorTable!$A$2:$A$301,0), Skills!M25+1)</f>
        <v/>
      </c>
      <c r="F138">
        <f>IF(Skills!N25=TRUE,(Skills!L25/10)*(E138/1000),Skills!L25/10)+Skills!O25</f>
        <v/>
      </c>
      <c r="G138">
        <f>Skills!G25*IF(Skills!H25&gt;0,Skills!I25/Skills!H25,1)</f>
        <v/>
      </c>
      <c r="H138">
        <f>1-(1-Skills!J25/100)^Skills!K25</f>
        <v/>
      </c>
      <c r="I138" t="inlineStr">
        <is>
          <t>1</t>
        </is>
      </c>
      <c r="J138" t="inlineStr"/>
      <c r="K138" t="inlineStr"/>
      <c r="L138" t="inlineStr"/>
      <c r="M138" t="inlineStr"/>
      <c r="N138" t="inlineStr"/>
      <c r="O138">
        <f>(1-Summary!$B$11)*T138+Summary!$B$11*V138</f>
        <v/>
      </c>
      <c r="P138">
        <f>IF(B152=0,0,O138/B152)</f>
        <v/>
      </c>
      <c r="Q138" t="n">
        <v>0</v>
      </c>
      <c r="R138" t="n">
        <v>0</v>
      </c>
      <c r="S138">
        <f>IFERROR(O138/N138,0)</f>
        <v/>
      </c>
      <c r="T138" t="n">
        <v>0</v>
      </c>
      <c r="V138" t="n">
        <v>0</v>
      </c>
    </row>
    <row r="139">
      <c r="A139">
        <f>Skills!A26</f>
        <v/>
      </c>
      <c r="B139">
        <f>Skills!B26</f>
        <v/>
      </c>
      <c r="C139">
        <f>Inputs!$B$3&gt;=72</f>
        <v/>
      </c>
      <c r="D139">
        <f>IF(Skills!C26=1,60+Inputs!$B$25+Inputs!$B$29,IF(Skills!C26=2,90+Inputs!$B$26+Inputs!$B$29,IF(Skills!C26=3,120+Inputs!$B$27+Inputs!$B$29,MAX(0,(Inputs!$B$3-100)*3)+Inputs!$B$28+Inputs!$B$29)))</f>
        <v/>
      </c>
      <c r="E139">
        <f>INDEX(FactorTable!$B$2:$Y$301, MATCH(ROUND(MIN(300,MAX(1,D139)),0), FactorTable!$A$2:$A$301,0), Skills!M26+1)</f>
        <v/>
      </c>
      <c r="F139">
        <f>IF(Skills!N26=TRUE,(Skills!L26/10)*(E139/1000),Skills!L26/10)+Skills!O26</f>
        <v/>
      </c>
      <c r="G139">
        <f>Skills!G26*IF(Skills!H26&gt;0,Skills!I26/Skills!H26,1)</f>
        <v/>
      </c>
      <c r="H139">
        <f>1-(1-Skills!J26/100)^Skills!K26</f>
        <v/>
      </c>
      <c r="I139" t="inlineStr">
        <is>
          <t>1</t>
        </is>
      </c>
      <c r="J139" t="inlineStr"/>
      <c r="K139" t="inlineStr"/>
      <c r="L139" t="inlineStr"/>
      <c r="M139" t="inlineStr"/>
      <c r="N139" t="inlineStr"/>
      <c r="O139">
        <f>(1-Summary!$B$11)*T139+Summary!$B$11*V139</f>
        <v/>
      </c>
      <c r="P139">
        <f>IF(B152=0,0,O139/B152)</f>
        <v/>
      </c>
      <c r="Q139" t="n">
        <v>0</v>
      </c>
      <c r="R139" t="n">
        <v>0</v>
      </c>
      <c r="S139">
        <f>IFERROR(O139/N139,0)</f>
        <v/>
      </c>
      <c r="T139" t="n">
        <v>0</v>
      </c>
      <c r="V139" t="n">
        <v>0</v>
      </c>
    </row>
    <row r="141">
      <c r="A141" t="inlineStr">
        <is>
          <t>Attack% Bucket Multiplier</t>
        </is>
      </c>
      <c r="B141">
        <f>(1+(((C126=TRUE)*F126*IF(Inputs!$B$3&gt;=110,7,5))+((C128=TRUE)*F128*IF(AND(Inputs!$B$38&lt;&gt;"pvp",Inputs!$B$43&gt;0),(((R128-1)*(Skills!T15*(1+(Inputs!$B$34+(ArtifactsInput!$M$7-ArtifactsInput!$M$7)*CHOOSE(ArtifactsInput!$N$7+1,6,7.2,8.4,9.6,10.8,12))/100))+MIN((Skills!T15*(1+(Inputs!$B$34+(ArtifactsInput!$M$7-ArtifactsInput!$M$7)*CHOOSE(ArtifactsInput!$N$7+1,6,7.2,8.4,9.6,10.8,12))/100)),MAX(0,Inputs!$B$43-((R128-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2">
      <c r="A142" t="inlineStr">
        <is>
          <t>Global Crit Rate Bonus %</t>
        </is>
      </c>
      <c r="B142" t="n">
        <v>0</v>
      </c>
    </row>
    <row r="143">
      <c r="A143" t="inlineStr">
        <is>
          <t>Attack Speed Buff Bonus %</t>
        </is>
      </c>
      <c r="B143">
        <f>((C132=TRUE)*F132*IF(AND(Inputs!$B$38&lt;&gt;"pvp",Inputs!$B$43&gt;0),(((R132-1)*(Skills!T19*(1+(Inputs!$B$34+(ArtifactsInput!$M$7-ArtifactsInput!$M$7)*CHOOSE(ArtifactsInput!$N$7+1,6,7.2,8.4,9.6,10.8,12))/100))+MIN((Skills!T19*(1+(Inputs!$B$34+(ArtifactsInput!$M$7-ArtifactsInput!$M$7)*CHOOSE(ArtifactsInput!$N$7+1,6,7.2,8.4,9.6,10.8,12))/100)),MAX(0,Inputs!$B$43-((R132-1)*Skills!D19))))/Inputs!$B$43),IF(Inputs!$B$38="pvp",MIN((Skills!T19*(1+(Inputs!$B$34+(ArtifactsInput!$M$7-ArtifactsInput!$M$7)*CHOOSE(ArtifactsInput!$N$7+1,6,7.2,8.4,9.6,10.8,12))/100)),15)/15,(Skills!T19*(1+(Inputs!$B$34+(ArtifactsInput!$M$7-ArtifactsInput!$M$7)*CHOOSE(ArtifactsInput!$N$7+1,6,7.2,8.4,9.6,10.8,12))/100))/Skills!D19)))</f>
        <v/>
      </c>
    </row>
    <row r="144">
      <c r="A144" t="inlineStr">
        <is>
          <t>Actions Per Second</t>
        </is>
      </c>
      <c r="B144">
        <f>1+MIN(150,150*(1-(1-(Inputs!$B$11+((C133=TRUE)*(F133-Calc!F20)))/150)*(1-B143/150)))/100</f>
        <v/>
      </c>
    </row>
    <row r="145">
      <c r="A145" t="inlineStr">
        <is>
          <t>Skill + Buff Cast Rate</t>
        </is>
      </c>
      <c r="B145">
        <f>IF(AND(Inputs!$B$38&lt;&gt;"pvp",Inputs!$B$43&gt;0),SUMPRODUCT((Skills!E2:E26=TRUE)*(C115:C139=TRUE)*R115:R139*Skills!F2:F26)/Inputs!$B$43,SUMPRODUCT((Skills!E2:E26=TRUE)*(C115:C139=TRUE)*Q115:Q139*Skills!F2:F26))</f>
        <v/>
      </c>
    </row>
    <row r="146">
      <c r="A146" t="inlineStr">
        <is>
          <t>Raging Blow Casts Per Second</t>
        </is>
      </c>
      <c r="B146">
        <f>MAX(0,B144-B145)</f>
        <v/>
      </c>
    </row>
    <row r="147">
      <c r="A147" t="inlineStr">
        <is>
          <t>Global Critical Damage Bonus % (Enrage)</t>
        </is>
      </c>
      <c r="B147">
        <f>((C131=TRUE)*F131*IF(AND(Inputs!$B$38&lt;&gt;"pvp",Inputs!$B$43&gt;0),(((R131-1)*(Skills!T18*(1+(Inputs!$B$34+(ArtifactsInput!$M$7-ArtifactsInput!$M$7)*CHOOSE(ArtifactsInput!$N$7+1,6,7.2,8.4,9.6,10.8,12))/100))+MIN((Skills!T18*(1+(Inputs!$B$34+(ArtifactsInput!$M$7-ArtifactsInput!$M$7)*CHOOSE(ArtifactsInput!$N$7+1,6,7.2,8.4,9.6,10.8,12))/100)),MAX(0,Inputs!$B$43-((R131-1)*Skills!D18))))/Inputs!$B$43),IF(Inputs!$B$38="pvp",MIN((Skills!T18*(1+(Inputs!$B$34+(ArtifactsInput!$M$7-ArtifactsInput!$M$7)*CHOOSE(ArtifactsInput!$N$7+1,6,7.2,8.4,9.6,10.8,12))/100)),15)/15,(Skills!T18*(1+(Inputs!$B$34+(ArtifactsInput!$M$7-ArtifactsInput!$M$7)*CHOOSE(ArtifactsInput!$N$7+1,6,7.2,8.4,9.6,10.8,12))/100))/Skills!D18)))</f>
        <v/>
      </c>
    </row>
    <row r="148">
      <c r="A148" t="inlineStr">
        <is>
          <t>Global Final Damage Bonus % (Enrage + Combo Synergy)</t>
        </is>
      </c>
      <c r="B148">
        <f>((C130=TRUE)*F130*IF(AND(Inputs!$B$38&lt;&gt;"pvp",Inputs!$B$43&gt;0),(((R130-1)*(Skills!T17*(1+(Inputs!$B$34+(ArtifactsInput!$M$7-ArtifactsInput!$M$7)*CHOOSE(ArtifactsInput!$N$7+1,6,7.2,8.4,9.6,10.8,12))/100))+MIN((Skills!T17*(1+(Inputs!$B$34+(ArtifactsInput!$M$7-ArtifactsInput!$M$7)*CHOOSE(ArtifactsInput!$N$7+1,6,7.2,8.4,9.6,10.8,12))/100)),MAX(0,Inputs!$B$43-((R130-1)*Skills!D17))))/Inputs!$B$43),IF(Inputs!$B$38="pvp",MIN((Skills!T17*(1+(Inputs!$B$34+(ArtifactsInput!$M$7-ArtifactsInput!$M$7)*CHOOSE(ArtifactsInput!$N$7+1,6,7.2,8.4,9.6,10.8,12))/100)),15)/15,(Skills!T17*(1+(Inputs!$B$34+(ArtifactsInput!$M$7-ArtifactsInput!$M$7)*CHOOSE(ArtifactsInput!$N$7+1,6,7.2,8.4,9.6,10.8,12))/100))/Skills!D17)))+((C127=TRUE)*F127*IF(Inputs!$B$3&gt;=110,7,5))</f>
        <v/>
      </c>
    </row>
    <row r="149">
      <c r="A149" t="inlineStr">
        <is>
          <t>Buff-Casting Startup Delay (s, fixed-duration only)</t>
        </is>
      </c>
      <c r="B149">
        <f>IF(AND(Inputs!$B$38&lt;&gt;"pvp",Inputs!$B$43&gt;0),SUMPRODUCT((Skills!T2:T26&gt;0)*(Skills!E2:E26=TRUE)*(C115:C139=TRUE))/B144,0)</f>
        <v/>
      </c>
    </row>
    <row r="150">
      <c r="A150" t="inlineStr">
        <is>
          <t>Boss-Only Total DPS (this block's swept value)</t>
        </is>
      </c>
      <c r="B150">
        <f>SUM(T115:T139)</f>
        <v/>
      </c>
    </row>
    <row r="151">
      <c r="A151" t="inlineStr">
        <is>
          <t>Normal-Only Total DPS (this block's swept value)</t>
        </is>
      </c>
      <c r="B151">
        <f>SUM(V115:V139)</f>
        <v/>
      </c>
    </row>
    <row r="152">
      <c r="A152" s="6" t="inlineStr">
        <is>
          <t>TOTAL DPS</t>
        </is>
      </c>
      <c r="B152" s="6">
        <f>SUM(O115:O139)</f>
        <v/>
      </c>
    </row>
    <row r="155">
      <c r="A155" s="6" t="inlineStr">
        <is>
          <t>Stat: DEX</t>
        </is>
      </c>
    </row>
    <row r="156">
      <c r="A156" s="5" t="inlineStr">
        <is>
          <t>Key</t>
        </is>
      </c>
      <c r="B156" s="5" t="inlineStr">
        <is>
          <t>Name</t>
        </is>
      </c>
      <c r="C156" s="5" t="inlineStr">
        <is>
          <t>Unlocked</t>
        </is>
      </c>
      <c r="D156" s="5" t="inlineStr">
        <is>
          <t>InputLevel</t>
        </is>
      </c>
      <c r="E156" s="5" t="inlineStr">
        <is>
          <t>Factor</t>
        </is>
      </c>
      <c r="F156" s="5" t="inlineStr">
        <is>
          <t>CoefficientPercent</t>
        </is>
      </c>
      <c r="G156" s="5" t="inlineStr">
        <is>
          <t>EffectiveHits</t>
        </is>
      </c>
      <c r="H156" s="5" t="inlineStr">
        <is>
          <t>ProcProbability</t>
        </is>
      </c>
      <c r="I156" s="5" t="inlineStr">
        <is>
          <t>MapleHeroMultiplier</t>
        </is>
      </c>
      <c r="J156" s="5" t="inlineStr">
        <is>
          <t>BaseDamage</t>
        </is>
      </c>
      <c r="K156" s="5" t="inlineStr">
        <is>
          <t>BaseHitDamage</t>
        </is>
      </c>
      <c r="L156" s="5" t="inlineStr">
        <is>
          <t>NonCritAvg</t>
        </is>
      </c>
      <c r="M156" s="5" t="inlineStr">
        <is>
          <t>CritAvg</t>
        </is>
      </c>
      <c r="N156" s="5" t="inlineStr">
        <is>
          <t>ExpectedDamage(perHit)</t>
        </is>
      </c>
      <c r="O156" s="5" t="inlineStr">
        <is>
          <t>DPS</t>
        </is>
      </c>
      <c r="P156" s="5" t="inlineStr">
        <is>
          <t>% of Total</t>
        </is>
      </c>
      <c r="Q156" s="5" t="inlineStr">
        <is>
          <t>InvCooldown</t>
        </is>
      </c>
      <c r="R156" s="5" t="inlineStr">
        <is>
          <t>CastsInFight</t>
        </is>
      </c>
      <c r="S156" s="5" t="inlineStr">
        <is>
          <t>HitRate(perSec)</t>
        </is>
      </c>
      <c r="U156" t="inlineStr">
        <is>
          <t>helpers</t>
        </is>
      </c>
    </row>
    <row r="157">
      <c r="A157">
        <f>Skills!A2</f>
        <v/>
      </c>
      <c r="B157">
        <f>Skills!B2</f>
        <v/>
      </c>
      <c r="C157">
        <f>Inputs!$B$3&gt;=100</f>
        <v/>
      </c>
      <c r="D157" t="inlineStr"/>
      <c r="E157" t="inlineStr"/>
      <c r="F157">
        <f>U159+Skills!O2</f>
        <v/>
      </c>
      <c r="G157">
        <f>Skills!G2*IF(Skills!H2&gt;0,Skills!I2/Skills!H2,1)</f>
        <v/>
      </c>
      <c r="H157">
        <f>1-(1-Skills!J2/100)^Skills!K2</f>
        <v/>
      </c>
      <c r="I157" t="inlineStr">
        <is>
          <t>1</t>
        </is>
      </c>
      <c r="J157">
        <f>((Inputs!$B$6*(1+Inputs!$B$7/100))+(((Inputs!$B$12*(1+Inputs!$B$13/100))-(Inputs!$B$12*(1+Inputs!$B$13/100)))+0.25*((Inputs!$B$14+1)-Inputs!$B$14))*(1+Inputs!$B$7/100))*(F157/100)</f>
        <v/>
      </c>
      <c r="K157">
        <f>J157*(1+((Inputs!$B$12*(1+Inputs!$B$13/100))*0.01+(Inputs!$B$14+1)*0.0025)/100)*(1+Inputs!$B$15/100)*(1+Inputs!$B$16/100)*(5000/(6000+Inputs!$B$42*(1-(100*(1-(1-(Inputs!$B$19+0)/100)*(1-CHOOSE(ArtifactsInput!$N$40+1,5,6,7,8,9,10)/100)^(ArtifactsInput!$M$40-ArtifactsInput!$M$40)))/100)))*(1+(Inputs!$B$24+((C180=TRUE)*(F180-Calc!F25))+B190)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176=TRUE)*(F176-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178=TRUE)*(F178-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TRUE)*F168*IF(Inputs!$B$3&gt;=110,7,5))+((C170=TRUE)*F170*IF(AND(Inputs!$B$38&lt;&gt;"pvp",Inputs!$B$43&gt;0),(((R170-1)*(Skills!T15*(1+(Inputs!$B$34+(ArtifactsInput!$M$7-ArtifactsInput!$M$7)*CHOOSE(ArtifactsInput!$N$7+1,6,7.2,8.4,9.6,10.8,12))/100))+MIN((Skills!T15*(1+(Inputs!$B$34+(ArtifactsInput!$M$7-ArtifactsInput!$M$7)*CHOOSE(ArtifactsInput!$N$7+1,6,7.2,8.4,9.6,10.8,12))/100)),MAX(0,Inputs!$B$43-((R170-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Hunt"),CHOOSE(ArtifactsInput!$N$35+1,15,18,21,24,27,30)*(1-EXP(-(0.2*B186)*5)),0)+IF(AND(ArtifactsInput!$M$22,Inputs!$B$4&lt;&gt;"Chapter Hunt"),CHOOSE(ArtifactsInput!$N$22+1,10,12,14,16,18,20)*((0*(((0.15*B186*5))^0/1)+1*(((0.15*B186*5))^1/1)+2*(((0.15*B186*5))^2/2)+3*(((0.15*B186*5))^3/6)+4*(((0.15*B186*5))^4/24)+5*(((0.15*B186*5))^5/120))/((((0.15*B186*5))^0/1)+(((0.15*B186*5))^1/1)+(((0.15*B186*5))^2/2)+(((0.15*B186*5))^3/6)+(((0.15*B186*5))^4/24)+(((0.15*B186*5))^5/120))),0)))/100)*I157)</f>
        <v/>
      </c>
      <c r="L157">
        <f>K157*(MIN(Inputs!$B$22+((C177=TRUE)*(F177-Calc!F22)),(Inputs!$B$23+((C179=TRUE)*(F179-Calc!F24))+(IF(ArtifactsInput!$M$15,CHOOSE(ArtifactsInput!$N$15+1,25,30,35,40,45,50)/100*(Inputs!$B$11-Inputs!$B$11),0))))/100+(Inputs!$B$23+((C179=TRUE)*(F179-Calc!F24))+(IF(ArtifactsInput!$M$15,CHOOSE(ArtifactsInput!$N$15+1,25,30,35,40,45,50)/100*(Inputs!$B$11-Inputs!$B$11),0)))/100)/2</f>
        <v/>
      </c>
      <c r="M157">
        <f>L157*(1+(Inputs!$B$10+0+B189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
        <f>L157*(1-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
        <f>(1-Summary!$B$11)*T157+Summary!$B$11*V157</f>
        <v/>
      </c>
      <c r="P157">
        <f>IF(B194=0,0,O157/B194)</f>
        <v/>
      </c>
      <c r="Q157" t="n">
        <v>0</v>
      </c>
      <c r="R157" t="n">
        <v>0</v>
      </c>
      <c r="S157">
        <f>IFERROR(O157/N157,0)</f>
        <v/>
      </c>
      <c r="T157">
        <f>IF(C157,(Skills!G2*N157*B188)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157*(1-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7">
        <f>MAX(0,(Inputs!$B$3-100)*3)+Inputs!$B$28+Inputs!$B$29</f>
        <v/>
      </c>
      <c r="V157">
        <f>IF(C157,(Skills!G2*N157*B188)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
      <c r="A158">
        <f>Skills!A3</f>
        <v/>
      </c>
      <c r="B158">
        <f>Skills!B3</f>
        <v/>
      </c>
      <c r="C158">
        <f>Inputs!$B$3&gt;=50</f>
        <v/>
      </c>
      <c r="D158">
        <f>IF(Skills!C3=1,60+Inputs!$B$25+Inputs!$B$29,IF(Skills!C3=2,90+Inputs!$B$26+Inputs!$B$29,IF(Skills!C3=3,120+Inputs!$B$27+Inputs!$B$29,MAX(0,(Inputs!$B$3-100)*3)+Inputs!$B$28+Inputs!$B$29)))</f>
        <v/>
      </c>
      <c r="E158">
        <f>INDEX(FactorTable!$B$2:$Y$301, MATCH(ROUND(MIN(300,MAX(1,D158)),0), FactorTable!$A$2:$A$301,0), Skills!M3+1)</f>
        <v/>
      </c>
      <c r="F158">
        <f>IF(Skills!N3=TRUE,(Skills!L3/10)*(E158/1000),Skills!L3/10)+Skills!O3</f>
        <v/>
      </c>
      <c r="G158" t="inlineStr"/>
      <c r="H158" t="inlineStr"/>
      <c r="I158" t="inlineStr">
        <is>
          <t>1</t>
        </is>
      </c>
      <c r="J158" t="inlineStr"/>
      <c r="K158" t="inlineStr"/>
      <c r="L158" t="inlineStr"/>
      <c r="M158" t="inlineStr"/>
      <c r="N158" t="inlineStr"/>
      <c r="O158" t="inlineStr"/>
      <c r="P158" t="inlineStr"/>
      <c r="Q158" t="inlineStr"/>
      <c r="R158" t="inlineStr"/>
      <c r="S158" t="inlineStr"/>
      <c r="U158">
        <f>INDEX(FactorTable!$B$2:$Y$301, MATCH(ROUND(MIN(300,MAX(1,U157)),0), FactorTable!$A$2:$A$301,0), 22)</f>
        <v/>
      </c>
    </row>
    <row r="159">
      <c r="A159">
        <f>Skills!A4</f>
        <v/>
      </c>
      <c r="B159">
        <f>Skills!B4</f>
        <v/>
      </c>
      <c r="C159">
        <f>Inputs!$B$3&gt;=105</f>
        <v/>
      </c>
      <c r="D159">
        <f>IF(Skills!C4=1,60+Inputs!$B$25+Inputs!$B$29,IF(Skills!C4=2,90+Inputs!$B$26+Inputs!$B$29,IF(Skills!C4=3,120+Inputs!$B$27+Inputs!$B$29,MAX(0,(Inputs!$B$3-100)*3)+Inputs!$B$28+Inputs!$B$29)))</f>
        <v/>
      </c>
      <c r="E159">
        <f>INDEX(FactorTable!$B$2:$Y$301, MATCH(ROUND(MIN(300,MAX(1,D159)),0), FactorTable!$A$2:$A$301,0), Skills!M4+1)</f>
        <v/>
      </c>
      <c r="F159">
        <f>IF(Skills!N4=TRUE,(Skills!L4/10)*(E159/1000),Skills!L4/10)+Skills!O4</f>
        <v/>
      </c>
      <c r="G159" t="inlineStr"/>
      <c r="H159" t="inlineStr"/>
      <c r="I159" t="inlineStr">
        <is>
          <t>1</t>
        </is>
      </c>
      <c r="J159" t="inlineStr"/>
      <c r="K159" t="inlineStr"/>
      <c r="L159" t="inlineStr"/>
      <c r="M159" t="inlineStr"/>
      <c r="N159" t="inlineStr"/>
      <c r="O159" t="inlineStr"/>
      <c r="P159" t="inlineStr"/>
      <c r="Q159" t="inlineStr"/>
      <c r="R159" t="inlineStr"/>
      <c r="S159" t="inlineStr"/>
      <c r="U159">
        <f>290*U158/1000</f>
        <v/>
      </c>
    </row>
    <row r="160">
      <c r="A160">
        <f>Skills!A5</f>
        <v/>
      </c>
      <c r="B160">
        <f>Skills!B5</f>
        <v/>
      </c>
      <c r="C160">
        <f>Inputs!$B$3&gt;=103</f>
        <v/>
      </c>
      <c r="D160">
        <f>IF(Skills!C5=1,60+Inputs!$B$25+Inputs!$B$29,IF(Skills!C5=2,90+Inputs!$B$26+Inputs!$B$29,IF(Skills!C5=3,120+Inputs!$B$27+Inputs!$B$29,MAX(0,(Inputs!$B$3-100)*3)+Inputs!$B$28+Inputs!$B$29)))</f>
        <v/>
      </c>
      <c r="E160">
        <f>INDEX(FactorTable!$B$2:$Y$301, MATCH(ROUND(MIN(300,MAX(1,D160)),0), FactorTable!$A$2:$A$301,0), Skills!M5+1)</f>
        <v/>
      </c>
      <c r="F160">
        <f>IF(Skills!N5=TRUE,(Skills!L5/10)*(E160/1000),Skills!L5/10)+Skills!O5</f>
        <v/>
      </c>
      <c r="G160">
        <f>Skills!G5*IF(Skills!H5&gt;0,Skills!I5/Skills!H5,1)</f>
        <v/>
      </c>
      <c r="H160">
        <f>1-(1-Skills!J5/100)^Skills!K5</f>
        <v/>
      </c>
      <c r="I160" t="inlineStr">
        <is>
          <t>1</t>
        </is>
      </c>
      <c r="J160">
        <f>((Inputs!$B$6*(1+Inputs!$B$7/100))+(((Inputs!$B$12*(1+Inputs!$B$13/100))-(Inputs!$B$12*(1+Inputs!$B$13/100)))+0.25*((Inputs!$B$14+1)-Inputs!$B$14))*(1+Inputs!$B$7/100))*(F160/100)</f>
        <v/>
      </c>
      <c r="K160">
        <f>J160*(1+((Inputs!$B$12*(1+Inputs!$B$13/100))*0.01+(Inputs!$B$14+1)*0.0025)/100)*(1+Inputs!$B$15/100)*(1+Inputs!$B$16/100)*(5000/(6000+Inputs!$B$42*(1-(100*(1-(1-(Inputs!$B$19+0)/100)*(1-CHOOSE(ArtifactsInput!$N$40+1,5,6,7,8,9,10)/100)^(ArtifactsInput!$M$40-ArtifactsInput!$M$40)))/100)))*(1+(Inputs!$B$24+((C180=TRUE)*(F180-Calc!F25))+B190)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176=TRUE)*(F176-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178=TRUE)*(F178-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TRUE)*F168*IF(Inputs!$B$3&gt;=110,7,5))+((C170=TRUE)*F170*IF(AND(Inputs!$B$38&lt;&gt;"pvp",Inputs!$B$43&gt;0),(((R170-1)*(Skills!T15*(1+(Inputs!$B$34+(ArtifactsInput!$M$7-ArtifactsInput!$M$7)*CHOOSE(ArtifactsInput!$N$7+1,6,7.2,8.4,9.6,10.8,12))/100))+MIN((Skills!T15*(1+(Inputs!$B$34+(ArtifactsInput!$M$7-ArtifactsInput!$M$7)*CHOOSE(ArtifactsInput!$N$7+1,6,7.2,8.4,9.6,10.8,12))/100)),MAX(0,Inputs!$B$43-((R170-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Hunt"),CHOOSE(ArtifactsInput!$N$35+1,15,18,21,24,27,30)*(1-EXP(-(0.2*B186)*5)),0)+IF(AND(ArtifactsInput!$M$22,Inputs!$B$4&lt;&gt;"Chapter Hunt"),CHOOSE(ArtifactsInput!$N$22+1,10,12,14,16,18,20)*((0*(((0.15*B186*5))^0/1)+1*(((0.15*B186*5))^1/1)+2*(((0.15*B186*5))^2/2)+3*(((0.15*B186*5))^3/6)+4*(((0.15*B186*5))^4/24)+5*(((0.15*B186*5))^5/120))/((((0.15*B186*5))^0/1)+(((0.15*B186*5))^1/1)+(((0.15*B186*5))^2/2)+(((0.15*B186*5))^3/6)+(((0.15*B186*5))^4/24)+(((0.15*B186*5))^5/120))),0)))/100)*I160)</f>
        <v/>
      </c>
      <c r="L160">
        <f>K160*(MIN(Inputs!$B$22+((C177=TRUE)*(F177-Calc!F22)),(Inputs!$B$23+((C179=TRUE)*(F179-Calc!F24))+(IF(ArtifactsInput!$M$15,CHOOSE(ArtifactsInput!$N$15+1,25,30,35,40,45,50)/100*(Inputs!$B$11-Inputs!$B$11),0))))/100+(Inputs!$B$23+((C179=TRUE)*(F179-Calc!F24))+(IF(ArtifactsInput!$M$15,CHOOSE(ArtifactsInput!$N$15+1,25,30,35,40,45,50)/100*(Inputs!$B$11-Inputs!$B$11),0)))/100)/2</f>
        <v/>
      </c>
      <c r="M160">
        <f>L160*(1+(Inputs!$B$10+0+B189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
        <f>L160*(1-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
        <f>(1-Summary!$B$11)*T160+Summary!$B$11*V160</f>
        <v/>
      </c>
      <c r="P160">
        <f>IF(B194=0,0,O160/B194)</f>
        <v/>
      </c>
      <c r="Q160">
        <f>IFERROR(1/(IF(Inputs!$B$38="pvp",15,MAX(0.1,Skills!D5-IF(Skills!E5=TRUE,Inputs!$B$32,0)))*(1-IF(AND(ArtifactsInput!$M$27,Inputs!$B$4="Chapter Hunt"),CHOOSE(ArtifactsInput!$N$27+1,20,24,28,32,36,40),0)/100)),0)</f>
        <v/>
      </c>
      <c r="R160">
        <f>IF(AND(Inputs!$B$38&lt;&gt;"pvp",Inputs!$B$43&gt;0),IF(MAX(0,Inputs!$B$43-B191)&lt;=0,0,(INT(MAX(0,Inputs!$B$43-B191)/(IF(Inputs!$B$38="pvp",15,MAX(0.1,Skills!D5-IF(Skills!E5=TRUE,Inputs!$B$32,0)))*(1-IF(AND(ArtifactsInput!$M$27,Inputs!$B$4="Chapter Hunt"),CHOOSE(ArtifactsInput!$N$27+1,20,24,28,32,36,40),0)/100)))+1)),0)</f>
        <v/>
      </c>
      <c r="S160">
        <f>IFERROR(O160/N160,0)</f>
        <v/>
      </c>
      <c r="T160">
        <f>IF(C160,(H160*N160*IF(AND(Inputs!$B$38&lt;&gt;"pvp",Inputs!$B$43&gt;0),((Skills!G5*((R160-1)*IF(Skills!H5&gt;0,Skills!I5/Skills!H5,1)+IF(Skills!H5&gt;0,MIN(Skills!I5,MAX(0,MAX(0,Inputs!$B$43-B191)-((R160-1)*(IF(Inputs!$B$38="pvp",15,MAX(0.1,Skills!D5-IF(Skills!E5=TRUE,Inputs!$B$32,0)))*(1-IF(AND(ArtifactsInput!$M$27,Inputs!$B$4="Chapter Hunt"),CHOOSE(ArtifactsInput!$N$27+1,20,24,28,32,36,40),0)/100)))))/Skills!H5,1)))/Inputs!$B$43),G160*Q160)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
        <f>IF(C160,(H160*N160*IF(AND(Inputs!$B$38&lt;&gt;"pvp",Inputs!$B$43&gt;0),((Skills!G5*((R160-1)*IF(Skills!H5&gt;0,Skills!I5/Skills!H5,1)+IF(Skills!H5&gt;0,MIN(Skills!I5,MAX(0,MAX(0,Inputs!$B$43-B191)-((R160-1)*(IF(Inputs!$B$38="pvp",15,MAX(0.1,Skills!D5-IF(Skills!E5=TRUE,Inputs!$B$32,0)))*(1-IF(AND(ArtifactsInput!$M$27,Inputs!$B$4="Chapter Hunt"),CHOOSE(ArtifactsInput!$N$27+1,20,24,28,32,36,40),0)/100)))))/Skills!H5,1)))/Inputs!$B$43),G160*Q160)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
      <c r="A161">
        <f>Skills!A6</f>
        <v/>
      </c>
      <c r="B161">
        <f>Skills!B6</f>
        <v/>
      </c>
      <c r="C161">
        <f>Inputs!$B$3&gt;=103</f>
        <v/>
      </c>
      <c r="D161">
        <f>IF(Skills!C6=1,60+Inputs!$B$25+Inputs!$B$29,IF(Skills!C6=2,90+Inputs!$B$26+Inputs!$B$29,IF(Skills!C6=3,120+Inputs!$B$27+Inputs!$B$29,MAX(0,(Inputs!$B$3-100)*3)+Inputs!$B$28+Inputs!$B$29)))</f>
        <v/>
      </c>
      <c r="E161">
        <f>INDEX(FactorTable!$B$2:$Y$301, MATCH(ROUND(MIN(300,MAX(1,D161)),0), FactorTable!$A$2:$A$301,0), Skills!M6+1)</f>
        <v/>
      </c>
      <c r="F161">
        <f>IF(Skills!N6=TRUE,(Skills!L6/10)*(E161/1000),Skills!L6/10)+Skills!O6</f>
        <v/>
      </c>
      <c r="G161">
        <f>Skills!G6*IF(Skills!H6&gt;0,Skills!I6/Skills!H6,1)</f>
        <v/>
      </c>
      <c r="H161">
        <f>1-(1-Skills!J6/100)^Skills!K6</f>
        <v/>
      </c>
      <c r="I161" t="inlineStr">
        <is>
          <t>1</t>
        </is>
      </c>
      <c r="J161">
        <f>((Inputs!$B$6*(1+Inputs!$B$7/100))+(((Inputs!$B$12*(1+Inputs!$B$13/100))-(Inputs!$B$12*(1+Inputs!$B$13/100)))+0.25*((Inputs!$B$14+1)-Inputs!$B$14))*(1+Inputs!$B$7/100))*(F161/100)</f>
        <v/>
      </c>
      <c r="K161">
        <f>J161*(1+((Inputs!$B$12*(1+Inputs!$B$13/100))*0.01+(Inputs!$B$14+1)*0.0025)/100)*(1+Inputs!$B$15/100)*(1+Inputs!$B$16/100)*(5000/(6000+Inputs!$B$42*(1-(100*(1-(1-(Inputs!$B$19+0)/100)*(1-CHOOSE(ArtifactsInput!$N$40+1,5,6,7,8,9,10)/100)^(ArtifactsInput!$M$40-ArtifactsInput!$M$40)))/100)))*(1+(Inputs!$B$24+((C180=TRUE)*(F180-Calc!F25))+B190)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176=TRUE)*(F176-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178=TRUE)*(F178-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TRUE)*F168*IF(Inputs!$B$3&gt;=110,7,5))+((C170=TRUE)*F170*IF(AND(Inputs!$B$38&lt;&gt;"pvp",Inputs!$B$43&gt;0),(((R170-1)*(Skills!T15*(1+(Inputs!$B$34+(ArtifactsInput!$M$7-ArtifactsInput!$M$7)*CHOOSE(ArtifactsInput!$N$7+1,6,7.2,8.4,9.6,10.8,12))/100))+MIN((Skills!T15*(1+(Inputs!$B$34+(ArtifactsInput!$M$7-ArtifactsInput!$M$7)*CHOOSE(ArtifactsInput!$N$7+1,6,7.2,8.4,9.6,10.8,12))/100)),MAX(0,Inputs!$B$43-((R170-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Hunt"),CHOOSE(ArtifactsInput!$N$35+1,15,18,21,24,27,30)*(1-EXP(-(0.2*B186)*5)),0)+IF(AND(ArtifactsInput!$M$22,Inputs!$B$4&lt;&gt;"Chapter Hunt"),CHOOSE(ArtifactsInput!$N$22+1,10,12,14,16,18,20)*((0*(((0.15*B186*5))^0/1)+1*(((0.15*B186*5))^1/1)+2*(((0.15*B186*5))^2/2)+3*(((0.15*B186*5))^3/6)+4*(((0.15*B186*5))^4/24)+5*(((0.15*B186*5))^5/120))/((((0.15*B186*5))^0/1)+(((0.15*B186*5))^1/1)+(((0.15*B186*5))^2/2)+(((0.15*B186*5))^3/6)+(((0.15*B186*5))^4/24)+(((0.15*B186*5))^5/120))),0)))/100)*I161)</f>
        <v/>
      </c>
      <c r="L161">
        <f>K161*(MIN(Inputs!$B$22+((C177=TRUE)*(F177-Calc!F22)),(Inputs!$B$23+((C179=TRUE)*(F179-Calc!F24))+(IF(ArtifactsInput!$M$15,CHOOSE(ArtifactsInput!$N$15+1,25,30,35,40,45,50)/100*(Inputs!$B$11-Inputs!$B$11),0))))/100+(Inputs!$B$23+((C179=TRUE)*(F179-Calc!F24))+(IF(ArtifactsInput!$M$15,CHOOSE(ArtifactsInput!$N$15+1,25,30,35,40,45,50)/100*(Inputs!$B$11-Inputs!$B$11),0)))/100)/2</f>
        <v/>
      </c>
      <c r="M161">
        <f>L161*(1+(Inputs!$B$10+0+B189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
        <f>L161*(1-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
        <f>(1-Summary!$B$11)*T161+Summary!$B$11*V161</f>
        <v/>
      </c>
      <c r="P161">
        <f>IF(B194=0,0,O161/B194)</f>
        <v/>
      </c>
      <c r="Q161">
        <f>IFERROR(1/(IF(Inputs!$B$38="pvp",15,MAX(0.1,Skills!D6-IF(Skills!E6=TRUE,Inputs!$B$32,0)))*(1-IF(AND(ArtifactsInput!$M$27,Inputs!$B$4="Chapter Hunt"),CHOOSE(ArtifactsInput!$N$27+1,20,24,28,32,36,40),0)/100)),0)</f>
        <v/>
      </c>
      <c r="R161">
        <f>IF(AND(Inputs!$B$38&lt;&gt;"pvp",Inputs!$B$43&gt;0),IF(MAX(0,Inputs!$B$43-B191)&lt;=0,0,(INT(MAX(0,Inputs!$B$43-B191)/(IF(Inputs!$B$38="pvp",15,MAX(0.1,Skills!D6-IF(Skills!E6=TRUE,Inputs!$B$32,0)))*(1-IF(AND(ArtifactsInput!$M$27,Inputs!$B$4="Chapter Hunt"),CHOOSE(ArtifactsInput!$N$27+1,20,24,28,32,36,40),0)/100)))+1)),0)</f>
        <v/>
      </c>
      <c r="S161">
        <f>IFERROR(O161/N161,0)</f>
        <v/>
      </c>
      <c r="T161">
        <f>IF(C161,(H161*N161*IF(AND(Inputs!$B$38&lt;&gt;"pvp",Inputs!$B$43&gt;0),((Skills!G6*((R161-1)*IF(Skills!H6&gt;0,Skills!I6/Skills!H6,1)+IF(Skills!H6&gt;0,MIN(Skills!I6,MAX(0,MAX(0,Inputs!$B$43-B191)-((R161-1)*(IF(Inputs!$B$38="pvp",15,MAX(0.1,Skills!D6-IF(Skills!E6=TRUE,Inputs!$B$32,0)))*(1-IF(AND(ArtifactsInput!$M$27,Inputs!$B$4="Chapter Hunt"),CHOOSE(ArtifactsInput!$N$27+1,20,24,28,32,36,40),0)/100)))))/Skills!H6,1)))/Inputs!$B$43),G161*Q161)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161*(1-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1">
        <f>IF(C161,(H161*N161*IF(AND(Inputs!$B$38&lt;&gt;"pvp",Inputs!$B$43&gt;0),((Skills!G6*((R161-1)*IF(Skills!H6&gt;0,Skills!I6/Skills!H6,1)+IF(Skills!H6&gt;0,MIN(Skills!I6,MAX(0,MAX(0,Inputs!$B$43-B191)-((R161-1)*(IF(Inputs!$B$38="pvp",15,MAX(0.1,Skills!D6-IF(Skills!E6=TRUE,Inputs!$B$32,0)))*(1-IF(AND(ArtifactsInput!$M$27,Inputs!$B$4="Chapter Hunt"),CHOOSE(ArtifactsInput!$N$27+1,20,24,28,32,36,40),0)/100)))))/Skills!H6,1)))/Inputs!$B$43),G161*Q161)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
      <c r="A162">
        <f>Skills!A7</f>
        <v/>
      </c>
      <c r="B162">
        <f>Skills!B7</f>
        <v/>
      </c>
      <c r="C162">
        <f>Inputs!$B$3&gt;=107</f>
        <v/>
      </c>
      <c r="D162">
        <f>IF(Skills!C7=1,60+Inputs!$B$25+Inputs!$B$29,IF(Skills!C7=2,90+Inputs!$B$26+Inputs!$B$29,IF(Skills!C7=3,120+Inputs!$B$27+Inputs!$B$29,MAX(0,(Inputs!$B$3-100)*3)+Inputs!$B$28+Inputs!$B$29)))</f>
        <v/>
      </c>
      <c r="E162">
        <f>INDEX(FactorTable!$B$2:$Y$301, MATCH(ROUND(MIN(300,MAX(1,D162)),0), FactorTable!$A$2:$A$301,0), Skills!M7+1)</f>
        <v/>
      </c>
      <c r="F162">
        <f>IF(Skills!N7=TRUE,(Skills!L7/10)*(E162/1000),Skills!L7/10)+Skills!O7</f>
        <v/>
      </c>
      <c r="G162">
        <f>Skills!G7*IF(Skills!H7&gt;0,Skills!I7/Skills!H7,1)</f>
        <v/>
      </c>
      <c r="H162">
        <f>1-(1-Skills!J7/100)^Skills!K7</f>
        <v/>
      </c>
      <c r="I162" t="inlineStr">
        <is>
          <t>1</t>
        </is>
      </c>
      <c r="J162">
        <f>((Inputs!$B$6*(1+Inputs!$B$7/100))+(((Inputs!$B$12*(1+Inputs!$B$13/100))-(Inputs!$B$12*(1+Inputs!$B$13/100)))+0.25*((Inputs!$B$14+1)-Inputs!$B$14))*(1+Inputs!$B$7/100))*(F162/100)</f>
        <v/>
      </c>
      <c r="K162">
        <f>J162*(1+((Inputs!$B$12*(1+Inputs!$B$13/100))*0.01+(Inputs!$B$14+1)*0.0025)/100)*(1+Inputs!$B$15/100)*(1+Inputs!$B$16/100)*(5000/(6000+Inputs!$B$42*(1-(100*(1-(1-(Inputs!$B$19+0)/100)*(1-CHOOSE(ArtifactsInput!$N$40+1,5,6,7,8,9,10)/100)^(ArtifactsInput!$M$40-ArtifactsInput!$M$40)))/100)))*(1+(Inputs!$B$24+((C180=TRUE)*(F180-Calc!F25))+B190)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176=TRUE)*(F176-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178=TRUE)*(F178-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TRUE)*F168*IF(Inputs!$B$3&gt;=110,7,5))+((C170=TRUE)*F170*IF(AND(Inputs!$B$38&lt;&gt;"pvp",Inputs!$B$43&gt;0),(((R170-1)*(Skills!T15*(1+(Inputs!$B$34+(ArtifactsInput!$M$7-ArtifactsInput!$M$7)*CHOOSE(ArtifactsInput!$N$7+1,6,7.2,8.4,9.6,10.8,12))/100))+MIN((Skills!T15*(1+(Inputs!$B$34+(ArtifactsInput!$M$7-ArtifactsInput!$M$7)*CHOOSE(ArtifactsInput!$N$7+1,6,7.2,8.4,9.6,10.8,12))/100)),MAX(0,Inputs!$B$43-((R170-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Hunt"),CHOOSE(ArtifactsInput!$N$35+1,15,18,21,24,27,30)*(1-EXP(-(0.2*B186)*5)),0)+IF(AND(ArtifactsInput!$M$22,Inputs!$B$4&lt;&gt;"Chapter Hunt"),CHOOSE(ArtifactsInput!$N$22+1,10,12,14,16,18,20)*((0*(((0.15*B186*5))^0/1)+1*(((0.15*B186*5))^1/1)+2*(((0.15*B186*5))^2/2)+3*(((0.15*B186*5))^3/6)+4*(((0.15*B186*5))^4/24)+5*(((0.15*B186*5))^5/120))/((((0.15*B186*5))^0/1)+(((0.15*B186*5))^1/1)+(((0.15*B186*5))^2/2)+(((0.15*B186*5))^3/6)+(((0.15*B186*5))^4/24)+(((0.15*B186*5))^5/120))),0)))/100)*I162)</f>
        <v/>
      </c>
      <c r="L162">
        <f>K162*(MIN(Inputs!$B$22+((C177=TRUE)*(F177-Calc!F22)),(Inputs!$B$23+((C179=TRUE)*(F179-Calc!F24))+(IF(ArtifactsInput!$M$15,CHOOSE(ArtifactsInput!$N$15+1,25,30,35,40,45,50)/100*(Inputs!$B$11-Inputs!$B$11),0))))/100+(Inputs!$B$23+((C179=TRUE)*(F179-Calc!F24))+(IF(ArtifactsInput!$M$15,CHOOSE(ArtifactsInput!$N$15+1,25,30,35,40,45,50)/100*(Inputs!$B$11-Inputs!$B$11),0)))/100)/2</f>
        <v/>
      </c>
      <c r="M162">
        <f>L162*(1+(Inputs!$B$10+0+B189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
        <f>L162*(1-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
        <f>(1-Summary!$B$11)*T162+Summary!$B$11*V162</f>
        <v/>
      </c>
      <c r="P162">
        <f>IF(B194=0,0,O162/B194)</f>
        <v/>
      </c>
      <c r="Q162">
        <f>IFERROR(1/(IF(Inputs!$B$38="pvp",15,MAX(0.1,Skills!D7-IF(Skills!E7=TRUE,Inputs!$B$32,0)))*(1-IF(AND(ArtifactsInput!$M$27,Inputs!$B$4="Chapter Hunt"),CHOOSE(ArtifactsInput!$N$27+1,20,24,28,32,36,40),0)/100)),0)</f>
        <v/>
      </c>
      <c r="R162">
        <f>IF(AND(Inputs!$B$38&lt;&gt;"pvp",Inputs!$B$43&gt;0),IF(MAX(0,Inputs!$B$43-B191)&lt;=0,0,(INT(MAX(0,Inputs!$B$43-B191)/(IF(Inputs!$B$38="pvp",15,MAX(0.1,Skills!D7-IF(Skills!E7=TRUE,Inputs!$B$32,0)))*(1-IF(AND(ArtifactsInput!$M$27,Inputs!$B$4="Chapter Hunt"),CHOOSE(ArtifactsInput!$N$27+1,20,24,28,32,36,40),0)/100)))+1)),0)</f>
        <v/>
      </c>
      <c r="S162">
        <f>IFERROR(O162/N162,0)</f>
        <v/>
      </c>
      <c r="T162">
        <f>IF(C162,(H162*N162*IF(AND(Inputs!$B$38&lt;&gt;"pvp",Inputs!$B$43&gt;0),((Skills!G7*((R162-1)*IF(Skills!H7&gt;0,Skills!I7/Skills!H7,1)+IF(Skills!H7&gt;0,MIN(Skills!I7,MAX(0,MAX(0,Inputs!$B$43-B191)-((R162-1)*(IF(Inputs!$B$38="pvp",15,MAX(0.1,Skills!D7-IF(Skills!E7=TRUE,Inputs!$B$32,0)))*(1-IF(AND(ArtifactsInput!$M$27,Inputs!$B$4="Chapter Hunt"),CHOOSE(ArtifactsInput!$N$27+1,20,24,28,32,36,40),0)/100)))))/Skills!H7,1)))/Inputs!$B$43),G162*Q162)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162*(1-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2">
        <f>IF(C162,(H162*N162*IF(AND(Inputs!$B$38&lt;&gt;"pvp",Inputs!$B$43&gt;0),((Skills!G7*((R162-1)*IF(Skills!H7&gt;0,Skills!I7/Skills!H7,1)+IF(Skills!H7&gt;0,MIN(Skills!I7,MAX(0,MAX(0,Inputs!$B$43-B191)-((R162-1)*(IF(Inputs!$B$38="pvp",15,MAX(0.1,Skills!D7-IF(Skills!E7=TRUE,Inputs!$B$32,0)))*(1-IF(AND(ArtifactsInput!$M$27,Inputs!$B$4="Chapter Hunt"),CHOOSE(ArtifactsInput!$N$27+1,20,24,28,32,36,40),0)/100)))))/Skills!H7,1)))/Inputs!$B$43),G162*Q162)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
      <c r="A163">
        <f>Skills!A8</f>
        <v/>
      </c>
      <c r="B163">
        <f>Skills!B8</f>
        <v/>
      </c>
      <c r="C163">
        <f>Inputs!$B$3&gt;=117</f>
        <v/>
      </c>
      <c r="D163">
        <f>IF(Skills!C8=1,60+Inputs!$B$25+Inputs!$B$29,IF(Skills!C8=2,90+Inputs!$B$26+Inputs!$B$29,IF(Skills!C8=3,120+Inputs!$B$27+Inputs!$B$29,MAX(0,(Inputs!$B$3-100)*3)+Inputs!$B$28+Inputs!$B$29)))</f>
        <v/>
      </c>
      <c r="E163">
        <f>INDEX(FactorTable!$B$2:$Y$301, MATCH(ROUND(MIN(300,MAX(1,D163)),0), FactorTable!$A$2:$A$301,0), Skills!M8+1)</f>
        <v/>
      </c>
      <c r="F163">
        <f>IF(Skills!N8=TRUE,(Skills!L8/10)*(E163/1000),Skills!L8/10)+Skills!O8</f>
        <v/>
      </c>
      <c r="G163">
        <f>Skills!G8*IF(Skills!H8&gt;0,Skills!I8/Skills!H8,1)</f>
        <v/>
      </c>
      <c r="H163">
        <f>1-(1-Skills!J8/100)^Skills!K8</f>
        <v/>
      </c>
      <c r="I163" t="inlineStr">
        <is>
          <t>1</t>
        </is>
      </c>
      <c r="J163">
        <f>((Inputs!$B$6*(1+Inputs!$B$7/100))+(((Inputs!$B$12*(1+Inputs!$B$13/100))-(Inputs!$B$12*(1+Inputs!$B$13/100)))+0.25*((Inputs!$B$14+1)-Inputs!$B$14))*(1+Inputs!$B$7/100))*(F163/100)</f>
        <v/>
      </c>
      <c r="K163">
        <f>J163*(1+((Inputs!$B$12*(1+Inputs!$B$13/100))*0.01+(Inputs!$B$14+1)*0.0025)/100)*(1+Inputs!$B$15/100)*(1+Inputs!$B$16/100)*(5000/(6000+Inputs!$B$42*(1-(100*(1-(1-(Inputs!$B$19+0)/100)*(1-CHOOSE(ArtifactsInput!$N$40+1,5,6,7,8,9,10)/100)^(ArtifactsInput!$M$40-ArtifactsInput!$M$40)))/100)))*(1+(Inputs!$B$24+((C180=TRUE)*(F180-Calc!F25))+B190)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176=TRUE)*(F176-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178=TRUE)*(F178-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TRUE)*F168*IF(Inputs!$B$3&gt;=110,7,5))+((C170=TRUE)*F170*IF(AND(Inputs!$B$38&lt;&gt;"pvp",Inputs!$B$43&gt;0),(((R170-1)*(Skills!T15*(1+(Inputs!$B$34+(ArtifactsInput!$M$7-ArtifactsInput!$M$7)*CHOOSE(ArtifactsInput!$N$7+1,6,7.2,8.4,9.6,10.8,12))/100))+MIN((Skills!T15*(1+(Inputs!$B$34+(ArtifactsInput!$M$7-ArtifactsInput!$M$7)*CHOOSE(ArtifactsInput!$N$7+1,6,7.2,8.4,9.6,10.8,12))/100)),MAX(0,Inputs!$B$43-((R170-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Hunt"),CHOOSE(ArtifactsInput!$N$35+1,15,18,21,24,27,30)*(1-EXP(-(0.2*B186)*5)),0)+IF(AND(ArtifactsInput!$M$22,Inputs!$B$4&lt;&gt;"Chapter Hunt"),CHOOSE(ArtifactsInput!$N$22+1,10,12,14,16,18,20)*((0*(((0.15*B186*5))^0/1)+1*(((0.15*B186*5))^1/1)+2*(((0.15*B186*5))^2/2)+3*(((0.15*B186*5))^3/6)+4*(((0.15*B186*5))^4/24)+5*(((0.15*B186*5))^5/120))/((((0.15*B186*5))^0/1)+(((0.15*B186*5))^1/1)+(((0.15*B186*5))^2/2)+(((0.15*B186*5))^3/6)+(((0.15*B186*5))^4/24)+(((0.15*B186*5))^5/120))),0)))/100)*I163)</f>
        <v/>
      </c>
      <c r="L163">
        <f>K163*(MIN(Inputs!$B$22+((C177=TRUE)*(F177-Calc!F22)),(Inputs!$B$23+((C179=TRUE)*(F179-Calc!F24))+(IF(ArtifactsInput!$M$15,CHOOSE(ArtifactsInput!$N$15+1,25,30,35,40,45,50)/100*(Inputs!$B$11-Inputs!$B$11),0))))/100+(Inputs!$B$23+((C179=TRUE)*(F179-Calc!F24))+(IF(ArtifactsInput!$M$15,CHOOSE(ArtifactsInput!$N$15+1,25,30,35,40,45,50)/100*(Inputs!$B$11-Inputs!$B$11),0)))/100)/2</f>
        <v/>
      </c>
      <c r="M163">
        <f>L163*(1+(Inputs!$B$10+0+B189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
        <f>L163*(1-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
        <f>(1-Summary!$B$11)*T163+Summary!$B$11*V163</f>
        <v/>
      </c>
      <c r="P163">
        <f>IF(B194=0,0,O163/B194)</f>
        <v/>
      </c>
      <c r="Q163">
        <f>IFERROR(1/(IF(Inputs!$B$38="pvp",15,MAX(0.1,Skills!D8-IF(Skills!E8=TRUE,Inputs!$B$32,0)))*(1-IF(AND(ArtifactsInput!$M$27,Inputs!$B$4="Chapter Hunt"),CHOOSE(ArtifactsInput!$N$27+1,20,24,28,32,36,40),0)/100)),0)</f>
        <v/>
      </c>
      <c r="R163">
        <f>IF(AND(Inputs!$B$38&lt;&gt;"pvp",Inputs!$B$43&gt;0),IF(MAX(0,Inputs!$B$43-B191)&lt;=0,0,(INT(MAX(0,Inputs!$B$43-B191)/(IF(Inputs!$B$38="pvp",15,MAX(0.1,Skills!D8-IF(Skills!E8=TRUE,Inputs!$B$32,0)))*(1-IF(AND(ArtifactsInput!$M$27,Inputs!$B$4="Chapter Hunt"),CHOOSE(ArtifactsInput!$N$27+1,20,24,28,32,36,40),0)/100)))+1)),0)</f>
        <v/>
      </c>
      <c r="S163">
        <f>IFERROR(O163/N163,0)</f>
        <v/>
      </c>
      <c r="T163">
        <f>IF(C163,(H163*N163*IF(AND(Inputs!$B$38&lt;&gt;"pvp",Inputs!$B$43&gt;0),((Skills!G8*((R163-1)*IF(Skills!H8&gt;0,Skills!I8/Skills!H8,1)+IF(Skills!H8&gt;0,MIN(Skills!I8,MAX(0,MAX(0,Inputs!$B$43-B191)-((R163-1)*(IF(Inputs!$B$38="pvp",15,MAX(0.1,Skills!D8-IF(Skills!E8=TRUE,Inputs!$B$32,0)))*(1-IF(AND(ArtifactsInput!$M$27,Inputs!$B$4="Chapter Hunt"),CHOOSE(ArtifactsInput!$N$27+1,20,24,28,32,36,40),0)/100)))))/Skills!H8,1)))/Inputs!$B$43),G163*Q163)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
        <f>IF(C163,(H163*N163*IF(AND(Inputs!$B$38&lt;&gt;"pvp",Inputs!$B$43&gt;0),((Skills!G8*((R163-1)*IF(Skills!H8&gt;0,Skills!I8/Skills!H8,1)+IF(Skills!H8&gt;0,MIN(Skills!I8,MAX(0,MAX(0,Inputs!$B$43-B191)-((R163-1)*(IF(Inputs!$B$38="pvp",15,MAX(0.1,Skills!D8-IF(Skills!E8=TRUE,Inputs!$B$32,0)))*(1-IF(AND(ArtifactsInput!$M$27,Inputs!$B$4="Chapter Hunt"),CHOOSE(ArtifactsInput!$N$27+1,20,24,28,32,36,40),0)/100)))))/Skills!H8,1)))/Inputs!$B$43),G163*Q163)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
      <c r="A164">
        <f>Skills!A9</f>
        <v/>
      </c>
      <c r="B164">
        <f>Skills!B9</f>
        <v/>
      </c>
      <c r="C164">
        <f>Inputs!$B$3&gt;=69</f>
        <v/>
      </c>
      <c r="D164">
        <f>IF(Skills!C9=1,60+Inputs!$B$25+Inputs!$B$29,IF(Skills!C9=2,90+Inputs!$B$26+Inputs!$B$29,IF(Skills!C9=3,120+Inputs!$B$27+Inputs!$B$29,MAX(0,(Inputs!$B$3-100)*3)+Inputs!$B$28+Inputs!$B$29)))</f>
        <v/>
      </c>
      <c r="E164">
        <f>INDEX(FactorTable!$B$2:$Y$301, MATCH(ROUND(MIN(300,MAX(1,D164)),0), FactorTable!$A$2:$A$301,0), Skills!M9+1)</f>
        <v/>
      </c>
      <c r="F164">
        <f>IF(Skills!N9=TRUE,(Skills!L9/10)*(E164/1000),Skills!L9/10)+Skills!O9</f>
        <v/>
      </c>
      <c r="G164">
        <f>Skills!G9*IF(Skills!H9&gt;0,Skills!I9/Skills!H9,1)</f>
        <v/>
      </c>
      <c r="H164">
        <f>1-(1-Skills!J9/100)^Skills!K9</f>
        <v/>
      </c>
      <c r="I164" t="inlineStr">
        <is>
          <t>1</t>
        </is>
      </c>
      <c r="J164">
        <f>((Inputs!$B$6*(1+Inputs!$B$7/100))+(((Inputs!$B$12*(1+Inputs!$B$13/100))-(Inputs!$B$12*(1+Inputs!$B$13/100)))+0.25*((Inputs!$B$14+1)-Inputs!$B$14))*(1+Inputs!$B$7/100))*(F164/100)</f>
        <v/>
      </c>
      <c r="K164">
        <f>J164*(1+((Inputs!$B$12*(1+Inputs!$B$13/100))*0.01+(Inputs!$B$14+1)*0.0025)/100)*(1+Inputs!$B$15/100)*(1+Inputs!$B$16/100)*(5000/(6000+Inputs!$B$42*(1-(100*(1-(1-(Inputs!$B$19+0)/100)*(1-CHOOSE(ArtifactsInput!$N$40+1,5,6,7,8,9,10)/100)^(ArtifactsInput!$M$40-ArtifactsInput!$M$40)))/100)))*(1+(Inputs!$B$24+((C180=TRUE)*(F180-Calc!F25))+B190)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167=TRUE,F167,0)/100)*(1+IF(Skills!A9="ENHANCED_RAGING_BLOW",IF(Inputs!$B$3&gt;=134,MAX(0,IF(Inputs!$B$3&gt;=110,7,5)-5)*50,0),0)/100)*(1+(IF(Skills!A9="RAGING_BLOW",Inputs!$B$17+((C176=TRUE)*(F176-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178=TRUE)*(F178-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TRUE)*F168*IF(Inputs!$B$3&gt;=110,7,5))+((C170=TRUE)*F170*IF(AND(Inputs!$B$38&lt;&gt;"pvp",Inputs!$B$43&gt;0),(((R170-1)*(Skills!T15*(1+(Inputs!$B$34+(ArtifactsInput!$M$7-ArtifactsInput!$M$7)*CHOOSE(ArtifactsInput!$N$7+1,6,7.2,8.4,9.6,10.8,12))/100))+MIN((Skills!T15*(1+(Inputs!$B$34+(ArtifactsInput!$M$7-ArtifactsInput!$M$7)*CHOOSE(ArtifactsInput!$N$7+1,6,7.2,8.4,9.6,10.8,12))/100)),MAX(0,Inputs!$B$43-((R170-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Hunt"),CHOOSE(ArtifactsInput!$N$35+1,15,18,21,24,27,30)*(1-EXP(-(0.2*B186)*5)),0)+IF(AND(ArtifactsInput!$M$22,Inputs!$B$4&lt;&gt;"Chapter Hunt"),CHOOSE(ArtifactsInput!$N$22+1,10,12,14,16,18,20)*((0*(((0.15*B186*5))^0/1)+1*(((0.15*B186*5))^1/1)+2*(((0.15*B186*5))^2/2)+3*(((0.15*B186*5))^3/6)+4*(((0.15*B186*5))^4/24)+5*(((0.15*B186*5))^5/120))/((((0.15*B186*5))^0/1)+(((0.15*B186*5))^1/1)+(((0.15*B186*5))^2/2)+(((0.15*B186*5))^3/6)+(((0.15*B186*5))^4/24)+(((0.15*B186*5))^5/120))),0)))/100)*I164)</f>
        <v/>
      </c>
      <c r="L164">
        <f>K164*(MIN(Inputs!$B$22+((C177=TRUE)*(F177-Calc!F22)),(Inputs!$B$23+((C179=TRUE)*(F179-Calc!F24))+(IF(ArtifactsInput!$M$15,CHOOSE(ArtifactsInput!$N$15+1,25,30,35,40,45,50)/100*(Inputs!$B$11-Inputs!$B$11),0))))/100+(Inputs!$B$23+((C179=TRUE)*(F179-Calc!F24))+(IF(ArtifactsInput!$M$15,CHOOSE(ArtifactsInput!$N$15+1,25,30,35,40,45,50)/100*(Inputs!$B$11-Inputs!$B$11),0)))/100)/2</f>
        <v/>
      </c>
      <c r="M164">
        <f>L164*(1+(Inputs!$B$10+0+B189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
        <f>L164*(1-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
        <f>(1-Summary!$B$11)*T164+Summary!$B$11*V164</f>
        <v/>
      </c>
      <c r="P164">
        <f>IF(B194=0,0,O164/B194)</f>
        <v/>
      </c>
      <c r="Q164">
        <f>IFERROR(1/(IF(Inputs!$B$38="pvp",15,MAX(0.1,Skills!D9-IF(Skills!E9=TRUE,Inputs!$B$32,0)))*(1-IF(AND(ArtifactsInput!$M$27,Inputs!$B$4="Chapter Hunt"),CHOOSE(ArtifactsInput!$N$27+1,20,24,28,32,36,40),0)/100)),0)</f>
        <v/>
      </c>
      <c r="R164">
        <f>IF(AND(Inputs!$B$38&lt;&gt;"pvp",Inputs!$B$43&gt;0),IF(MAX(0,Inputs!$B$43-B191)&lt;=0,0,(INT(MAX(0,Inputs!$B$43-B191)/(IF(Inputs!$B$38="pvp",15,MAX(0.1,Skills!D9-IF(Skills!E9=TRUE,Inputs!$B$32,0)))*(1-IF(AND(ArtifactsInput!$M$27,Inputs!$B$4="Chapter Hunt"),CHOOSE(ArtifactsInput!$N$27+1,20,24,28,32,36,40),0)/100)))+1)),0)</f>
        <v/>
      </c>
      <c r="S164">
        <f>IFERROR(O164/N164,0)</f>
        <v/>
      </c>
      <c r="T164">
        <f>IF(C164,(H164*N164*IF(AND(Inputs!$B$38&lt;&gt;"pvp",Inputs!$B$43&gt;0),((Skills!G9*((R164-1)*IF(Skills!H9&gt;0,Skills!I9/Skills!H9,1)+IF(Skills!H9&gt;0,MIN(Skills!I9,MAX(0,MAX(0,Inputs!$B$43-B191)-((R164-1)*(IF(Inputs!$B$38="pvp",15,MAX(0.1,Skills!D9-IF(Skills!E9=TRUE,Inputs!$B$32,0)))*(1-IF(AND(ArtifactsInput!$M$27,Inputs!$B$4="Chapter Hunt"),CHOOSE(ArtifactsInput!$N$27+1,20,24,28,32,36,40),0)/100)))))/Skills!H9,1)))/Inputs!$B$43),G164*Q164)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
        <f>IF(C164,(H164*N164*IF(AND(Inputs!$B$38&lt;&gt;"pvp",Inputs!$B$43&gt;0),((Skills!G9*((R164-1)*IF(Skills!H9&gt;0,Skills!I9/Skills!H9,1)+IF(Skills!H9&gt;0,MIN(Skills!I9,MAX(0,MAX(0,Inputs!$B$43-B191)-((R164-1)*(IF(Inputs!$B$38="pvp",15,MAX(0.1,Skills!D9-IF(Skills!E9=TRUE,Inputs!$B$32,0)))*(1-IF(AND(ArtifactsInput!$M$27,Inputs!$B$4="Chapter Hunt"),CHOOSE(ArtifactsInput!$N$27+1,20,24,28,32,36,40),0)/100)))))/Skills!H9,1)))/Inputs!$B$43),G164*Q164)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
      <c r="A165">
        <f>Skills!A10</f>
        <v/>
      </c>
      <c r="B165">
        <f>Skills!B10</f>
        <v/>
      </c>
      <c r="C165">
        <f>Inputs!$B$3&gt;=63</f>
        <v/>
      </c>
      <c r="D165">
        <f>IF(Skills!C10=1,60+Inputs!$B$25+Inputs!$B$29,IF(Skills!C10=2,90+Inputs!$B$26+Inputs!$B$29,IF(Skills!C10=3,120+Inputs!$B$27+Inputs!$B$29,MAX(0,(Inputs!$B$3-100)*3)+Inputs!$B$28+Inputs!$B$29)))</f>
        <v/>
      </c>
      <c r="E165">
        <f>INDEX(FactorTable!$B$2:$Y$301, MATCH(ROUND(MIN(300,MAX(1,D165)),0), FactorTable!$A$2:$A$301,0), Skills!M10+1)</f>
        <v/>
      </c>
      <c r="F165">
        <f>IF(Skills!N10=TRUE,(Skills!L10/10)*(E165/1000),Skills!L10/10)+Skills!O10</f>
        <v/>
      </c>
      <c r="G165">
        <f>Skills!G10*IF(Skills!H10&gt;0,Skills!I10/Skills!H10,1)</f>
        <v/>
      </c>
      <c r="H165">
        <f>1-(1-Skills!J10/100)^Skills!K10</f>
        <v/>
      </c>
      <c r="I165" t="inlineStr">
        <is>
          <t>1</t>
        </is>
      </c>
      <c r="J165">
        <f>((Inputs!$B$6*(1+Inputs!$B$7/100))+(((Inputs!$B$12*(1+Inputs!$B$13/100))-(Inputs!$B$12*(1+Inputs!$B$13/100)))+0.25*((Inputs!$B$14+1)-Inputs!$B$14))*(1+Inputs!$B$7/100))*(F165/100)</f>
        <v/>
      </c>
      <c r="K165">
        <f>J165*(1+((Inputs!$B$12*(1+Inputs!$B$13/100))*0.01+(Inputs!$B$14+1)*0.0025)/100)*(1+Inputs!$B$15/100)*(1+Inputs!$B$16/100)*(5000/(6000+Inputs!$B$42*(1-(100*(1-(1-(Inputs!$B$19+0)/100)*(1-CHOOSE(ArtifactsInput!$N$40+1,5,6,7,8,9,10)/100)^(ArtifactsInput!$M$40-ArtifactsInput!$M$40)))/100)))*(1+(Inputs!$B$24+((C180=TRUE)*(F180-Calc!F25))+B190)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167=TRUE,F167,0)/100)*(1+IF(Skills!A10="ENHANCED_RAGING_BLOW",IF(Inputs!$B$3&gt;=134,MAX(0,IF(Inputs!$B$3&gt;=110,7,5)-5)*50,0),0)/100)*(1+(IF(Skills!A10="RAGING_BLOW",Inputs!$B$17+((C176=TRUE)*(F176-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178=TRUE)*(F178-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TRUE)*F168*IF(Inputs!$B$3&gt;=110,7,5))+((C170=TRUE)*F170*IF(AND(Inputs!$B$38&lt;&gt;"pvp",Inputs!$B$43&gt;0),(((R170-1)*(Skills!T15*(1+(Inputs!$B$34+(ArtifactsInput!$M$7-ArtifactsInput!$M$7)*CHOOSE(ArtifactsInput!$N$7+1,6,7.2,8.4,9.6,10.8,12))/100))+MIN((Skills!T15*(1+(Inputs!$B$34+(ArtifactsInput!$M$7-ArtifactsInput!$M$7)*CHOOSE(ArtifactsInput!$N$7+1,6,7.2,8.4,9.6,10.8,12))/100)),MAX(0,Inputs!$B$43-((R170-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Hunt"),CHOOSE(ArtifactsInput!$N$35+1,15,18,21,24,27,30)*(1-EXP(-(0.2*B186)*5)),0)+IF(AND(ArtifactsInput!$M$22,Inputs!$B$4&lt;&gt;"Chapter Hunt"),CHOOSE(ArtifactsInput!$N$22+1,10,12,14,16,18,20)*((0*(((0.15*B186*5))^0/1)+1*(((0.15*B186*5))^1/1)+2*(((0.15*B186*5))^2/2)+3*(((0.15*B186*5))^3/6)+4*(((0.15*B186*5))^4/24)+5*(((0.15*B186*5))^5/120))/((((0.15*B186*5))^0/1)+(((0.15*B186*5))^1/1)+(((0.15*B186*5))^2/2)+(((0.15*B186*5))^3/6)+(((0.15*B186*5))^4/24)+(((0.15*B186*5))^5/120))),0)))/100)*I165)</f>
        <v/>
      </c>
      <c r="L165">
        <f>K165*(MIN(Inputs!$B$22+((C177=TRUE)*(F177-Calc!F22)),(Inputs!$B$23+((C179=TRUE)*(F179-Calc!F24))+(IF(ArtifactsInput!$M$15,CHOOSE(ArtifactsInput!$N$15+1,25,30,35,40,45,50)/100*(Inputs!$B$11-Inputs!$B$11),0))))/100+(Inputs!$B$23+((C179=TRUE)*(F179-Calc!F24))+(IF(ArtifactsInput!$M$15,CHOOSE(ArtifactsInput!$N$15+1,25,30,35,40,45,50)/100*(Inputs!$B$11-Inputs!$B$11),0)))/100)/2</f>
        <v/>
      </c>
      <c r="M165">
        <f>L165*(1+(Inputs!$B$10+0+B189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
        <f>L165*(1-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
        <f>(1-Summary!$B$11)*T165+Summary!$B$11*V165</f>
        <v/>
      </c>
      <c r="P165">
        <f>IF(B194=0,0,O165/B194)</f>
        <v/>
      </c>
      <c r="Q165">
        <f>IFERROR(1/(IF(Inputs!$B$38="pvp",15,MAX(0.1,Skills!D10-IF(Skills!E10=TRUE,Inputs!$B$32,0)))*(1-IF(AND(ArtifactsInput!$M$27,Inputs!$B$4="Chapter Hunt"),CHOOSE(ArtifactsInput!$N$27+1,20,24,28,32,36,40),0)/100)),0)</f>
        <v/>
      </c>
      <c r="R165">
        <f>IF(AND(Inputs!$B$38&lt;&gt;"pvp",Inputs!$B$43&gt;0),IF(MAX(0,Inputs!$B$43-B191)&lt;=0,0,(INT(MAX(0,Inputs!$B$43-B191)/(IF(Inputs!$B$38="pvp",15,MAX(0.1,Skills!D10-IF(Skills!E10=TRUE,Inputs!$B$32,0)))*(1-IF(AND(ArtifactsInput!$M$27,Inputs!$B$4="Chapter Hunt"),CHOOSE(ArtifactsInput!$N$27+1,20,24,28,32,36,40),0)/100)))+1)),0)</f>
        <v/>
      </c>
      <c r="S165">
        <f>IFERROR(O165/N165,0)</f>
        <v/>
      </c>
      <c r="T165">
        <f>IF(C165,(H165*N165*IF(AND(Inputs!$B$38&lt;&gt;"pvp",Inputs!$B$43&gt;0),((Skills!G10*((R165-1)*IF(Skills!H10&gt;0,Skills!I10/Skills!H10,1)+IF(Skills!H10&gt;0,MIN(Skills!I10,MAX(0,MAX(0,Inputs!$B$43-B191)-((R165-1)*(IF(Inputs!$B$38="pvp",15,MAX(0.1,Skills!D10-IF(Skills!E10=TRUE,Inputs!$B$32,0)))*(1-IF(AND(ArtifactsInput!$M$27,Inputs!$B$4="Chapter Hunt"),CHOOSE(ArtifactsInput!$N$27+1,20,24,28,32,36,40),0)/100)))))/Skills!H10,1)))/Inputs!$B$43),G165*Q165)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
        <f>IF(C165,(H165*N165*IF(AND(Inputs!$B$38&lt;&gt;"pvp",Inputs!$B$43&gt;0),((Skills!G10*((R165-1)*IF(Skills!H10&gt;0,Skills!I10/Skills!H10,1)+IF(Skills!H10&gt;0,MIN(Skills!I10,MAX(0,MAX(0,Inputs!$B$43-B191)-((R165-1)*(IF(Inputs!$B$38="pvp",15,MAX(0.1,Skills!D10-IF(Skills!E10=TRUE,Inputs!$B$32,0)))*(1-IF(AND(ArtifactsInput!$M$27,Inputs!$B$4="Chapter Hunt"),CHOOSE(ArtifactsInput!$N$27+1,20,24,28,32,36,40),0)/100)))))/Skills!H10,1)))/Inputs!$B$43),G165*Q165)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6">
      <c r="A166">
        <f>Skills!A11</f>
        <v/>
      </c>
      <c r="B166">
        <f>Skills!B11</f>
        <v/>
      </c>
      <c r="C166">
        <f>Inputs!$B$3&gt;=35</f>
        <v/>
      </c>
      <c r="D166">
        <f>IF(Skills!C11=1,60+Inputs!$B$25+Inputs!$B$29,IF(Skills!C11=2,90+Inputs!$B$26+Inputs!$B$29,IF(Skills!C11=3,120+Inputs!$B$27+Inputs!$B$29,MAX(0,(Inputs!$B$3-100)*3)+Inputs!$B$28+Inputs!$B$29)))</f>
        <v/>
      </c>
      <c r="E166">
        <f>INDEX(FactorTable!$B$2:$Y$301, MATCH(ROUND(MIN(300,MAX(1,D166)),0), FactorTable!$A$2:$A$301,0), Skills!M11+1)</f>
        <v/>
      </c>
      <c r="F166">
        <f>IF(Skills!N11=TRUE,(Skills!L11/10)*(E166/1000),Skills!L11/10)+Skills!O11</f>
        <v/>
      </c>
      <c r="G166">
        <f>Skills!G11*IF(Skills!H11&gt;0,Skills!I11/Skills!H11,1)</f>
        <v/>
      </c>
      <c r="H166">
        <f>1-(1-Skills!J11/100)^Skills!K11</f>
        <v/>
      </c>
      <c r="I166" t="inlineStr">
        <is>
          <t>1</t>
        </is>
      </c>
      <c r="J166">
        <f>((Inputs!$B$6*(1+Inputs!$B$7/100))+(((Inputs!$B$12*(1+Inputs!$B$13/100))-(Inputs!$B$12*(1+Inputs!$B$13/100)))+0.25*((Inputs!$B$14+1)-Inputs!$B$14))*(1+Inputs!$B$7/100))*(F166/100)</f>
        <v/>
      </c>
      <c r="K166">
        <f>J166*(1+((Inputs!$B$12*(1+Inputs!$B$13/100))*0.01+(Inputs!$B$14+1)*0.0025)/100)*(1+Inputs!$B$15/100)*(1+Inputs!$B$16/100)*(5000/(6000+Inputs!$B$42*(1-(100*(1-(1-(Inputs!$B$19+0)/100)*(1-CHOOSE(ArtifactsInput!$N$40+1,5,6,7,8,9,10)/100)^(ArtifactsInput!$M$40-ArtifactsInput!$M$40)))/100)))*(1+(Inputs!$B$24+((C180=TRUE)*(F180-Calc!F25))+B190)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167=TRUE,F167,0)/100)*(1+IF(Skills!A11="ENHANCED_RAGING_BLOW",IF(Inputs!$B$3&gt;=134,MAX(0,IF(Inputs!$B$3&gt;=110,7,5)-5)*50,0),0)/100)*(1+(IF(Skills!A11="RAGING_BLOW",Inputs!$B$17+((C176=TRUE)*(F176-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178=TRUE)*(F178-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TRUE)*F168*IF(Inputs!$B$3&gt;=110,7,5))+((C170=TRUE)*F170*IF(AND(Inputs!$B$38&lt;&gt;"pvp",Inputs!$B$43&gt;0),(((R170-1)*(Skills!T15*(1+(Inputs!$B$34+(ArtifactsInput!$M$7-ArtifactsInput!$M$7)*CHOOSE(ArtifactsInput!$N$7+1,6,7.2,8.4,9.6,10.8,12))/100))+MIN((Skills!T15*(1+(Inputs!$B$34+(ArtifactsInput!$M$7-ArtifactsInput!$M$7)*CHOOSE(ArtifactsInput!$N$7+1,6,7.2,8.4,9.6,10.8,12))/100)),MAX(0,Inputs!$B$43-((R170-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Hunt"),CHOOSE(ArtifactsInput!$N$35+1,15,18,21,24,27,30)*(1-EXP(-(0.2*B186)*5)),0)+IF(AND(ArtifactsInput!$M$22,Inputs!$B$4&lt;&gt;"Chapter Hunt"),CHOOSE(ArtifactsInput!$N$22+1,10,12,14,16,18,20)*((0*(((0.15*B186*5))^0/1)+1*(((0.15*B186*5))^1/1)+2*(((0.15*B186*5))^2/2)+3*(((0.15*B186*5))^3/6)+4*(((0.15*B186*5))^4/24)+5*(((0.15*B186*5))^5/120))/((((0.15*B186*5))^0/1)+(((0.15*B186*5))^1/1)+(((0.15*B186*5))^2/2)+(((0.15*B186*5))^3/6)+(((0.15*B186*5))^4/24)+(((0.15*B186*5))^5/120))),0)))/100)*I166)</f>
        <v/>
      </c>
      <c r="L166">
        <f>K166*(MIN(Inputs!$B$22+((C177=TRUE)*(F177-Calc!F22)),(Inputs!$B$23+((C179=TRUE)*(F179-Calc!F24))+(IF(ArtifactsInput!$M$15,CHOOSE(ArtifactsInput!$N$15+1,25,30,35,40,45,50)/100*(Inputs!$B$11-Inputs!$B$11),0))))/100+(Inputs!$B$23+((C179=TRUE)*(F179-Calc!F24))+(IF(ArtifactsInput!$M$15,CHOOSE(ArtifactsInput!$N$15+1,25,30,35,40,45,50)/100*(Inputs!$B$11-Inputs!$B$11),0)))/100)/2</f>
        <v/>
      </c>
      <c r="M166">
        <f>L166*(1+(Inputs!$B$10+0+B189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
        <f>L166*(1-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MIN((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
        <f>(1-Summary!$B$11)*T166+Summary!$B$11*V166</f>
        <v/>
      </c>
      <c r="P166">
        <f>IF(B194=0,0,O166/B194)</f>
        <v/>
      </c>
      <c r="Q166">
        <f>IFERROR(1/(IF(Inputs!$B$38="pvp",15,MAX(0.1,Skills!D11-IF(Skills!E11=TRUE,Inputs!$B$32,0)))*(1-IF(AND(ArtifactsInput!$M$27,Inputs!$B$4="Chapter Hunt"),CHOOSE(ArtifactsInput!$N$27+1,20,24,28,32,36,40),0)/100)),0)</f>
        <v/>
      </c>
      <c r="R166">
        <f>IF(AND(Inputs!$B$38&lt;&gt;"pvp",Inputs!$B$43&gt;0),IF(MAX(0,Inputs!$B$43-B191)&lt;=0,0,(INT(MAX(0,Inputs!$B$43-B191)/(IF(Inputs!$B$38="pvp",15,MAX(0.1,Skills!D11-IF(Skills!E11=TRUE,Inputs!$B$32,0)))*(1-IF(AND(ArtifactsInput!$M$27,Inputs!$B$4="Chapter Hunt"),CHOOSE(ArtifactsInput!$N$27+1,20,24,28,32,36,40),0)/100)))+1)),0)</f>
        <v/>
      </c>
      <c r="S166">
        <f>IFERROR(O166/N166,0)</f>
        <v/>
      </c>
      <c r="T166">
        <f>IF(C166,(H166*N166*IF(AND(Inputs!$B$38&lt;&gt;"pvp",Inputs!$B$43&gt;0),((Skills!G11*((R166-1)*IF(Skills!H11&gt;0,Skills!I11/Skills!H11,1)+IF(Skills!H11&gt;0,MIN(Skills!I11,MAX(0,MAX(0,Inputs!$B$43-B191)-((R166-1)*(IF(Inputs!$B$38="pvp",15,MAX(0.1,Skills!D11-IF(Skills!E11=TRUE,Inputs!$B$32,0)))*(1-IF(AND(ArtifactsInput!$M$27,Inputs!$B$4="Chapter Hunt"),CHOOSE(ArtifactsInput!$N$27+1,20,24,28,32,36,40),0)/100)))))/Skills!H11,1)))/Inputs!$B$43),G166*Q166)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166*(1-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(1-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MIN(100,(Inputs!$B$9+((C181=TRUE)*(F181-Calc!F26))+B184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6">
        <f>IF(C166,(H166*N166*IF(AND(Inputs!$B$38&lt;&gt;"pvp",Inputs!$B$43&gt;0),((Skills!G11*((R166-1)*IF(Skills!H11&gt;0,Skills!I11/Skills!H11,1)+IF(Skills!H11&gt;0,MIN(Skills!I11,MAX(0,MAX(0,Inputs!$B$43-B191)-((R166-1)*(IF(Inputs!$B$38="pvp",15,MAX(0.1,Skills!D11-IF(Skills!E11=TRUE,Inputs!$B$32,0)))*(1-IF(AND(ArtifactsInput!$M$27,Inputs!$B$4="Chapter Hunt"),CHOOSE(ArtifactsInput!$N$27+1,20,24,28,32,36,40),0)/100)))))/Skills!H11,1)))/Inputs!$B$43),G166*Q166)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
      <c r="A167">
        <f>Skills!A12</f>
        <v/>
      </c>
      <c r="B167">
        <f>Skills!B12</f>
        <v/>
      </c>
      <c r="C167">
        <f>Inputs!$B$3&gt;=100</f>
        <v/>
      </c>
      <c r="D167">
        <f>IF(Skills!C12=1,60+Inputs!$B$25+Inputs!$B$29,IF(Skills!C12=2,90+Inputs!$B$26+Inputs!$B$29,IF(Skills!C12=3,120+Inputs!$B$27+Inputs!$B$29,MAX(0,(Inputs!$B$3-100)*3)+Inputs!$B$28+Inputs!$B$29)))</f>
        <v/>
      </c>
      <c r="E167">
        <f>INDEX(FactorTable!$B$2:$Y$301, MATCH(ROUND(MIN(300,MAX(1,D167)),0), FactorTable!$A$2:$A$301,0), Skills!M12+1)</f>
        <v/>
      </c>
      <c r="F167">
        <f>IF(Skills!N12=TRUE,(Skills!L12/10)*(E167/1000),Skills!L12/10)+Skills!O12</f>
        <v/>
      </c>
      <c r="G167" t="inlineStr"/>
      <c r="H167" t="inlineStr"/>
      <c r="I167" t="inlineStr">
        <is>
          <t>1</t>
        </is>
      </c>
      <c r="J167" t="inlineStr"/>
      <c r="K167" t="inlineStr"/>
      <c r="L167" t="inlineStr"/>
      <c r="M167" t="inlineStr"/>
      <c r="N167" t="inlineStr"/>
      <c r="O167" t="inlineStr"/>
      <c r="P167" t="inlineStr"/>
      <c r="Q167" t="inlineStr"/>
      <c r="R167" t="inlineStr"/>
      <c r="S167" t="inlineStr"/>
    </row>
    <row r="168">
      <c r="A168">
        <f>Skills!A13</f>
        <v/>
      </c>
      <c r="B168">
        <f>Skills!B13</f>
        <v/>
      </c>
      <c r="C168">
        <f>Inputs!$B$3&gt;=45</f>
        <v/>
      </c>
      <c r="D168">
        <f>IF(Skills!C13=1,60+Inputs!$B$25+Inputs!$B$29,IF(Skills!C13=2,90+Inputs!$B$26+Inputs!$B$29,IF(Skills!C13=3,120+Inputs!$B$27+Inputs!$B$29,MAX(0,(Inputs!$B$3-100)*3)+Inputs!$B$28+Inputs!$B$29)))</f>
        <v/>
      </c>
      <c r="E168">
        <f>INDEX(FactorTable!$B$2:$Y$301, MATCH(ROUND(MIN(300,MAX(1,D168)),0), FactorTable!$A$2:$A$301,0), Skills!M13+1)</f>
        <v/>
      </c>
      <c r="F168">
        <f>IF(Skills!N13=TRUE,(Skills!L13/10)*(E168/1000),Skills!L13/10)+Skills!O13</f>
        <v/>
      </c>
      <c r="G168">
        <f>Skills!G13*IF(Skills!H13&gt;0,Skills!I13/Skills!H13,1)</f>
        <v/>
      </c>
      <c r="H168">
        <f>1-(1-Skills!J13/100)^Skills!K13</f>
        <v/>
      </c>
      <c r="I168" t="inlineStr">
        <is>
          <t>1</t>
        </is>
      </c>
      <c r="J168" t="inlineStr"/>
      <c r="K168" t="inlineStr"/>
      <c r="L168" t="inlineStr"/>
      <c r="M168" t="inlineStr"/>
      <c r="N168" t="inlineStr"/>
      <c r="O168">
        <f>(1-Summary!$B$11)*T168+Summary!$B$11*V168</f>
        <v/>
      </c>
      <c r="P168">
        <f>IF(B194=0,0,O168/B194)</f>
        <v/>
      </c>
      <c r="Q168" t="n">
        <v>0</v>
      </c>
      <c r="R168" t="n">
        <v>0</v>
      </c>
      <c r="S168">
        <f>IFERROR(O168/N168,0)</f>
        <v/>
      </c>
      <c r="T168" t="n">
        <v>0</v>
      </c>
      <c r="V168" t="n">
        <v>0</v>
      </c>
    </row>
    <row r="169">
      <c r="A169">
        <f>Skills!A14</f>
        <v/>
      </c>
      <c r="B169">
        <f>Skills!B14</f>
        <v/>
      </c>
      <c r="C169">
        <f>Inputs!$B$3&gt;=75</f>
        <v/>
      </c>
      <c r="D169">
        <f>IF(Skills!C14=1,60+Inputs!$B$25+Inputs!$B$29,IF(Skills!C14=2,90+Inputs!$B$26+Inputs!$B$29,IF(Skills!C14=3,120+Inputs!$B$27+Inputs!$B$29,MAX(0,(Inputs!$B$3-100)*3)+Inputs!$B$28+Inputs!$B$29)))</f>
        <v/>
      </c>
      <c r="E169">
        <f>INDEX(FactorTable!$B$2:$Y$301, MATCH(ROUND(MIN(300,MAX(1,D169)),0), FactorTable!$A$2:$A$301,0), Skills!M14+1)</f>
        <v/>
      </c>
      <c r="F169">
        <f>IF(Skills!N14=TRUE,(Skills!L14/10)*(E169/1000),Skills!L14/10)+Skills!O14</f>
        <v/>
      </c>
      <c r="G169">
        <f>Skills!G14*IF(Skills!H14&gt;0,Skills!I14/Skills!H14,1)</f>
        <v/>
      </c>
      <c r="H169">
        <f>1-(1-Skills!J14/100)^Skills!K14</f>
        <v/>
      </c>
      <c r="I169" t="inlineStr">
        <is>
          <t>1</t>
        </is>
      </c>
      <c r="J169" t="inlineStr"/>
      <c r="K169" t="inlineStr"/>
      <c r="L169" t="inlineStr"/>
      <c r="M169" t="inlineStr"/>
      <c r="N169" t="inlineStr"/>
      <c r="O169">
        <f>(1-Summary!$B$11)*T169+Summary!$B$11*V169</f>
        <v/>
      </c>
      <c r="P169">
        <f>IF(B194=0,0,O169/B194)</f>
        <v/>
      </c>
      <c r="Q169" t="n">
        <v>0</v>
      </c>
      <c r="R169" t="n">
        <v>0</v>
      </c>
      <c r="S169">
        <f>IFERROR(O169/N169,0)</f>
        <v/>
      </c>
      <c r="T169" t="n">
        <v>0</v>
      </c>
      <c r="V169" t="n">
        <v>0</v>
      </c>
    </row>
    <row r="170">
      <c r="A170">
        <f>Skills!A15</f>
        <v/>
      </c>
      <c r="B170">
        <f>Skills!B15</f>
        <v/>
      </c>
      <c r="C170">
        <f>Inputs!$B$3&gt;=40</f>
        <v/>
      </c>
      <c r="D170">
        <f>IF(Skills!C15=1,60+Inputs!$B$25+Inputs!$B$29,IF(Skills!C15=2,90+Inputs!$B$26+Inputs!$B$29,IF(Skills!C15=3,120+Inputs!$B$27+Inputs!$B$29,MAX(0,(Inputs!$B$3-100)*3)+Inputs!$B$28+Inputs!$B$29)))</f>
        <v/>
      </c>
      <c r="E170">
        <f>INDEX(FactorTable!$B$2:$Y$301, MATCH(ROUND(MIN(300,MAX(1,D170)),0), FactorTable!$A$2:$A$301,0), Skills!M15+1)</f>
        <v/>
      </c>
      <c r="F170">
        <f>IF(Skills!N15=TRUE,(Skills!L15/10)*(E170/1000),Skills!L15/10)+Skills!O15</f>
        <v/>
      </c>
      <c r="G170">
        <f>Skills!G15*IF(Skills!H15&gt;0,Skills!I15/Skills!H15,1)</f>
        <v/>
      </c>
      <c r="H170">
        <f>1-(1-Skills!J15/100)^Skills!K15</f>
        <v/>
      </c>
      <c r="I170" t="inlineStr">
        <is>
          <t>1</t>
        </is>
      </c>
      <c r="J170" t="inlineStr"/>
      <c r="K170" t="inlineStr"/>
      <c r="L170" t="inlineStr"/>
      <c r="M170" t="inlineStr"/>
      <c r="N170" t="inlineStr"/>
      <c r="O170">
        <f>(1-Summary!$B$11)*T170+Summary!$B$11*V170</f>
        <v/>
      </c>
      <c r="P170">
        <f>IF(B194=0,0,O170/B194)</f>
        <v/>
      </c>
      <c r="Q170">
        <f>IFERROR(1/(IF(Inputs!$B$38="pvp",15,MAX(0.1,Skills!D15-IF(Skills!E15=TRUE,Inputs!$B$32,0)))*(1-IF(AND(ArtifactsInput!$M$27,Inputs!$B$4="Chapter Hunt"),CHOOSE(ArtifactsInput!$N$27+1,20,24,28,32,36,40),0)/100)),0)</f>
        <v/>
      </c>
      <c r="R170">
        <f>IF(AND(Inputs!$B$38&lt;&gt;"pvp",Inputs!$B$43&gt;0),IF(Inputs!$B$43&lt;=0,0,(INT(Inputs!$B$43/(IF(Inputs!$B$38="pvp",15,MAX(0.1,Skills!D15-IF(Skills!E15=TRUE,Inputs!$B$32,0)))*(1-IF(AND(ArtifactsInput!$M$27,Inputs!$B$4="Chapter Hunt"),CHOOSE(ArtifactsInput!$N$27+1,20,24,28,32,36,40),0)/100)))+1)),0)</f>
        <v/>
      </c>
      <c r="S170">
        <f>IFERROR(O170/N170,0)</f>
        <v/>
      </c>
      <c r="T170" t="n">
        <v>0</v>
      </c>
      <c r="V170" t="n">
        <v>0</v>
      </c>
    </row>
    <row r="171">
      <c r="A171">
        <f>Skills!A16</f>
        <v/>
      </c>
      <c r="B171">
        <f>Skills!B16</f>
        <v/>
      </c>
      <c r="C171">
        <f>Inputs!$B$3&gt;=66</f>
        <v/>
      </c>
      <c r="D171">
        <f>IF(Skills!C16=1,60+Inputs!$B$25+Inputs!$B$29,IF(Skills!C16=2,90+Inputs!$B$26+Inputs!$B$29,IF(Skills!C16=3,120+Inputs!$B$27+Inputs!$B$29,MAX(0,(Inputs!$B$3-100)*3)+Inputs!$B$28+Inputs!$B$29)))</f>
        <v/>
      </c>
      <c r="E171">
        <f>INDEX(FactorTable!$B$2:$Y$301, MATCH(ROUND(MIN(300,MAX(1,D171)),0), FactorTable!$A$2:$A$301,0), Skills!M16+1)</f>
        <v/>
      </c>
      <c r="F171">
        <f>IF(Skills!N16=TRUE,(Skills!L16/10)*(E171/1000),Skills!L16/10)+Skills!O16</f>
        <v/>
      </c>
      <c r="G171">
        <f>Skills!G16*IF(Skills!H16&gt;0,Skills!I16/Skills!H16,1)</f>
        <v/>
      </c>
      <c r="H171">
        <f>1-(1-Skills!J16/100)^Skills!K16</f>
        <v/>
      </c>
      <c r="I171" t="inlineStr">
        <is>
          <t>1</t>
        </is>
      </c>
      <c r="J171" t="inlineStr"/>
      <c r="K171" t="inlineStr"/>
      <c r="L171" t="inlineStr"/>
      <c r="M171" t="inlineStr"/>
      <c r="N171" t="inlineStr"/>
      <c r="O171">
        <f>(1-Summary!$B$11)*T171+Summary!$B$11*V171</f>
        <v/>
      </c>
      <c r="P171">
        <f>IF(B194=0,0,O171/B194)</f>
        <v/>
      </c>
      <c r="Q171">
        <f>IFERROR(1/(IF(Inputs!$B$38="pvp",15,MAX(0.1,Skills!D16-IF(Skills!E16=TRUE,Inputs!$B$32,0)))*(1-IF(AND(ArtifactsInput!$M$27,Inputs!$B$4="Chapter Hunt"),CHOOSE(ArtifactsInput!$N$27+1,20,24,28,32,36,40),0)/100)),0)</f>
        <v/>
      </c>
      <c r="R171">
        <f>IF(AND(Inputs!$B$38&lt;&gt;"pvp",Inputs!$B$43&gt;0),IF(Inputs!$B$43&lt;=0,0,(INT(Inputs!$B$43/(IF(Inputs!$B$38="pvp",15,MAX(0.1,Skills!D16-IF(Skills!E16=TRUE,Inputs!$B$32,0)))*(1-IF(AND(ArtifactsInput!$M$27,Inputs!$B$4="Chapter Hunt"),CHOOSE(ArtifactsInput!$N$27+1,20,24,28,32,36,40),0)/100)))+1)),0)</f>
        <v/>
      </c>
      <c r="S171">
        <f>IFERROR(O171/N171,0)</f>
        <v/>
      </c>
      <c r="T171" t="n">
        <v>0</v>
      </c>
      <c r="V171" t="n">
        <v>0</v>
      </c>
    </row>
    <row r="172">
      <c r="A172">
        <f>Skills!A17</f>
        <v/>
      </c>
      <c r="B172">
        <f>Skills!B17</f>
        <v/>
      </c>
      <c r="C172">
        <f>Inputs!$B$3&gt;=115</f>
        <v/>
      </c>
      <c r="D172">
        <f>IF(Skills!C17=1,60+Inputs!$B$25+Inputs!$B$29,IF(Skills!C17=2,90+Inputs!$B$26+Inputs!$B$29,IF(Skills!C17=3,120+Inputs!$B$27+Inputs!$B$29,MAX(0,(Inputs!$B$3-100)*3)+Inputs!$B$28+Inputs!$B$29)))</f>
        <v/>
      </c>
      <c r="E172">
        <f>INDEX(FactorTable!$B$2:$Y$301, MATCH(ROUND(MIN(300,MAX(1,D172)),0), FactorTable!$A$2:$A$301,0), Skills!M17+1)</f>
        <v/>
      </c>
      <c r="F172">
        <f>IF(Skills!N17=TRUE,(Skills!L17/10)*(E172/1000),Skills!L17/10)+Skills!O17</f>
        <v/>
      </c>
      <c r="G172">
        <f>Skills!G17*IF(Skills!H17&gt;0,Skills!I17/Skills!H17,1)</f>
        <v/>
      </c>
      <c r="H172">
        <f>1-(1-Skills!J17/100)^Skills!K17</f>
        <v/>
      </c>
      <c r="I172" t="inlineStr">
        <is>
          <t>1</t>
        </is>
      </c>
      <c r="J172" t="inlineStr"/>
      <c r="K172" t="inlineStr"/>
      <c r="L172" t="inlineStr"/>
      <c r="M172" t="inlineStr"/>
      <c r="N172" t="inlineStr"/>
      <c r="O172">
        <f>(1-Summary!$B$11)*T172+Summary!$B$11*V172</f>
        <v/>
      </c>
      <c r="P172">
        <f>IF(B194=0,0,O172/B194)</f>
        <v/>
      </c>
      <c r="Q172">
        <f>IFERROR(1/(IF(Inputs!$B$38="pvp",15,MAX(0.1,Skills!D17-IF(Skills!E17=TRUE,Inputs!$B$32,0)))*(1-IF(AND(ArtifactsInput!$M$27,Inputs!$B$4="Chapter Hunt"),CHOOSE(ArtifactsInput!$N$27+1,20,24,28,32,36,40),0)/100)),0)</f>
        <v/>
      </c>
      <c r="R172">
        <f>IF(AND(Inputs!$B$38&lt;&gt;"pvp",Inputs!$B$43&gt;0),IF(Inputs!$B$43&lt;=0,0,(INT(Inputs!$B$43/(IF(Inputs!$B$38="pvp",15,MAX(0.1,Skills!D17-IF(Skills!E17=TRUE,Inputs!$B$32,0)))*(1-IF(AND(ArtifactsInput!$M$27,Inputs!$B$4="Chapter Hunt"),CHOOSE(ArtifactsInput!$N$27+1,20,24,28,32,36,40),0)/100)))+1)),0)</f>
        <v/>
      </c>
      <c r="S172">
        <f>IFERROR(O172/N172,0)</f>
        <v/>
      </c>
      <c r="T172" t="n">
        <v>0</v>
      </c>
      <c r="V172" t="n">
        <v>0</v>
      </c>
    </row>
    <row r="173">
      <c r="A173">
        <f>Skills!A18</f>
        <v/>
      </c>
      <c r="B173">
        <f>Skills!B18</f>
        <v/>
      </c>
      <c r="C173">
        <f>Inputs!$B$3&gt;=115</f>
        <v/>
      </c>
      <c r="D173">
        <f>IF(Skills!C18=1,60+Inputs!$B$25+Inputs!$B$29,IF(Skills!C18=2,90+Inputs!$B$26+Inputs!$B$29,IF(Skills!C18=3,120+Inputs!$B$27+Inputs!$B$29,MAX(0,(Inputs!$B$3-100)*3)+Inputs!$B$28+Inputs!$B$29)))</f>
        <v/>
      </c>
      <c r="E173">
        <f>INDEX(FactorTable!$B$2:$Y$301, MATCH(ROUND(MIN(300,MAX(1,D173)),0), FactorTable!$A$2:$A$301,0), Skills!M18+1)</f>
        <v/>
      </c>
      <c r="F173">
        <f>IF(Skills!N18=TRUE,(Skills!L18/10)*(E173/1000),Skills!L18/10)+Skills!O18</f>
        <v/>
      </c>
      <c r="G173">
        <f>Skills!G18*IF(Skills!H18&gt;0,Skills!I18/Skills!H18,1)</f>
        <v/>
      </c>
      <c r="H173">
        <f>1-(1-Skills!J18/100)^Skills!K18</f>
        <v/>
      </c>
      <c r="I173" t="inlineStr">
        <is>
          <t>1</t>
        </is>
      </c>
      <c r="J173" t="inlineStr"/>
      <c r="K173" t="inlineStr"/>
      <c r="L173" t="inlineStr"/>
      <c r="M173" t="inlineStr"/>
      <c r="N173" t="inlineStr"/>
      <c r="O173">
        <f>(1-Summary!$B$11)*T173+Summary!$B$11*V173</f>
        <v/>
      </c>
      <c r="P173">
        <f>IF(B194=0,0,O173/B194)</f>
        <v/>
      </c>
      <c r="Q173">
        <f>IFERROR(1/(IF(Inputs!$B$38="pvp",15,MAX(0.1,Skills!D18-IF(Skills!E18=TRUE,Inputs!$B$32,0)))*(1-IF(AND(ArtifactsInput!$M$27,Inputs!$B$4="Chapter Hunt"),CHOOSE(ArtifactsInput!$N$27+1,20,24,28,32,36,40),0)/100)),0)</f>
        <v/>
      </c>
      <c r="R173">
        <f>IF(AND(Inputs!$B$38&lt;&gt;"pvp",Inputs!$B$43&gt;0),IF(Inputs!$B$43&lt;=0,0,(INT(Inputs!$B$43/(IF(Inputs!$B$38="pvp",15,MAX(0.1,Skills!D18-IF(Skills!E18=TRUE,Inputs!$B$32,0)))*(1-IF(AND(ArtifactsInput!$M$27,Inputs!$B$4="Chapter Hunt"),CHOOSE(ArtifactsInput!$N$27+1,20,24,28,32,36,40),0)/100)))+1)),0)</f>
        <v/>
      </c>
      <c r="S173">
        <f>IFERROR(O173/N173,0)</f>
        <v/>
      </c>
      <c r="T173" t="n">
        <v>0</v>
      </c>
      <c r="V173" t="n">
        <v>0</v>
      </c>
    </row>
    <row r="174">
      <c r="A174">
        <f>Skills!A19</f>
        <v/>
      </c>
      <c r="B174">
        <f>Skills!B19</f>
        <v/>
      </c>
      <c r="C174">
        <f>TRUE</f>
        <v/>
      </c>
      <c r="D174">
        <f>IF(Skills!C19=1,60+Inputs!$B$25+Inputs!$B$29,IF(Skills!C19=2,90+Inputs!$B$26+Inputs!$B$29,IF(Skills!C19=3,120+Inputs!$B$27+Inputs!$B$29,MAX(0,(Inputs!$B$3-100)*3)+Inputs!$B$28+Inputs!$B$29)))</f>
        <v/>
      </c>
      <c r="E174">
        <f>INDEX(FactorTable!$B$2:$Y$301, MATCH(ROUND(MIN(300,MAX(1,D174)),0), FactorTable!$A$2:$A$301,0), Skills!M19+1)</f>
        <v/>
      </c>
      <c r="F174">
        <f>IF(Skills!N19=TRUE,(Skills!L19/10)*(E174/1000),Skills!L19/10)+Skills!O19</f>
        <v/>
      </c>
      <c r="G174">
        <f>Skills!G19*IF(Skills!H19&gt;0,Skills!I19/Skills!H19,1)</f>
        <v/>
      </c>
      <c r="H174">
        <f>1-(1-Skills!J19/100)^Skills!K19</f>
        <v/>
      </c>
      <c r="I174" t="inlineStr">
        <is>
          <t>1</t>
        </is>
      </c>
      <c r="J174" t="inlineStr"/>
      <c r="K174" t="inlineStr"/>
      <c r="L174" t="inlineStr"/>
      <c r="M174" t="inlineStr"/>
      <c r="N174" t="inlineStr"/>
      <c r="O174">
        <f>(1-Summary!$B$11)*T174+Summary!$B$11*V174</f>
        <v/>
      </c>
      <c r="P174">
        <f>IF(B194=0,0,O174/B194)</f>
        <v/>
      </c>
      <c r="Q174">
        <f>IFERROR(1/(IF(Inputs!$B$38="pvp",15,MAX(0.1,Skills!D19-IF(Skills!E19=TRUE,Inputs!$B$32,0)))*(1-IF(AND(ArtifactsInput!$M$27,Inputs!$B$4="Chapter Hunt"),CHOOSE(ArtifactsInput!$N$27+1,20,24,28,32,36,40),0)/100)),0)</f>
        <v/>
      </c>
      <c r="R174">
        <f>IF(AND(Inputs!$B$38&lt;&gt;"pvp",Inputs!$B$43&gt;0),IF(Inputs!$B$43&lt;=0,0,(INT(Inputs!$B$43/(IF(Inputs!$B$38="pvp",15,MAX(0.1,Skills!D19-IF(Skills!E19=TRUE,Inputs!$B$32,0)))*(1-IF(AND(ArtifactsInput!$M$27,Inputs!$B$4="Chapter Hunt"),CHOOSE(ArtifactsInput!$N$27+1,20,24,28,32,36,40),0)/100)))+1)),0)</f>
        <v/>
      </c>
      <c r="S174">
        <f>IFERROR(O174/N174,0)</f>
        <v/>
      </c>
      <c r="T174" t="n">
        <v>0</v>
      </c>
      <c r="V174" t="n">
        <v>0</v>
      </c>
    </row>
    <row r="175">
      <c r="A175">
        <f>Skills!A20</f>
        <v/>
      </c>
      <c r="B175">
        <f>Skills!B20</f>
        <v/>
      </c>
      <c r="C175">
        <f>Inputs!$B$3&gt;=33</f>
        <v/>
      </c>
      <c r="D175">
        <f>IF(Skills!C20=1,60+Inputs!$B$25+Inputs!$B$29,IF(Skills!C20=2,90+Inputs!$B$26+Inputs!$B$29,IF(Skills!C20=3,120+Inputs!$B$27+Inputs!$B$29,MAX(0,(Inputs!$B$3-100)*3)+Inputs!$B$28+Inputs!$B$29)))</f>
        <v/>
      </c>
      <c r="E175">
        <f>INDEX(FactorTable!$B$2:$Y$301, MATCH(ROUND(MIN(300,MAX(1,D175)),0), FactorTable!$A$2:$A$301,0), Skills!M20+1)</f>
        <v/>
      </c>
      <c r="F175">
        <f>IF(Skills!N20=TRUE,(Skills!L20/10)*(E175/1000),Skills!L20/10)+Skills!O20</f>
        <v/>
      </c>
      <c r="G175">
        <f>Skills!G20*IF(Skills!H20&gt;0,Skills!I20/Skills!H20,1)</f>
        <v/>
      </c>
      <c r="H175">
        <f>1-(1-Skills!J20/100)^Skills!K20</f>
        <v/>
      </c>
      <c r="I175" t="inlineStr">
        <is>
          <t>1</t>
        </is>
      </c>
      <c r="J175" t="inlineStr"/>
      <c r="K175" t="inlineStr"/>
      <c r="L175" t="inlineStr"/>
      <c r="M175" t="inlineStr"/>
      <c r="N175" t="inlineStr"/>
      <c r="O175">
        <f>(1-Summary!$B$11)*T175+Summary!$B$11*V175</f>
        <v/>
      </c>
      <c r="P175">
        <f>IF(B194=0,0,O175/B194)</f>
        <v/>
      </c>
      <c r="Q175" t="n">
        <v>0</v>
      </c>
      <c r="R175" t="n">
        <v>0</v>
      </c>
      <c r="S175">
        <f>IFERROR(O175/N175,0)</f>
        <v/>
      </c>
      <c r="T175" t="n">
        <v>0</v>
      </c>
      <c r="V175" t="n">
        <v>0</v>
      </c>
    </row>
    <row r="176">
      <c r="A176">
        <f>Skills!A21</f>
        <v/>
      </c>
      <c r="B176">
        <f>Skills!B21</f>
        <v/>
      </c>
      <c r="C176">
        <f>Inputs!$B$3&gt;=38</f>
        <v/>
      </c>
      <c r="D176">
        <f>IF(Skills!C21=1,60+Inputs!$B$25+Inputs!$B$29,IF(Skills!C21=2,90+Inputs!$B$26+Inputs!$B$29,IF(Skills!C21=3,120+Inputs!$B$27+Inputs!$B$29,MAX(0,(Inputs!$B$3-100)*3)+Inputs!$B$28+Inputs!$B$29)))</f>
        <v/>
      </c>
      <c r="E176">
        <f>INDEX(FactorTable!$B$2:$Y$301, MATCH(ROUND(MIN(300,MAX(1,D176)),0), FactorTable!$A$2:$A$301,0), Skills!M21+1)</f>
        <v/>
      </c>
      <c r="F176">
        <f>IF(Skills!N21=TRUE,(Skills!L21/10)*(E176/1000),Skills!L21/10)+Skills!O21</f>
        <v/>
      </c>
      <c r="G176">
        <f>Skills!G21*IF(Skills!H21&gt;0,Skills!I21/Skills!H21,1)</f>
        <v/>
      </c>
      <c r="H176">
        <f>1-(1-Skills!J21/100)^Skills!K21</f>
        <v/>
      </c>
      <c r="I176" t="inlineStr">
        <is>
          <t>1</t>
        </is>
      </c>
      <c r="J176" t="inlineStr"/>
      <c r="K176" t="inlineStr"/>
      <c r="L176" t="inlineStr"/>
      <c r="M176" t="inlineStr"/>
      <c r="N176" t="inlineStr"/>
      <c r="O176">
        <f>(1-Summary!$B$11)*T176+Summary!$B$11*V176</f>
        <v/>
      </c>
      <c r="P176">
        <f>IF(B194=0,0,O176/B194)</f>
        <v/>
      </c>
      <c r="Q176" t="n">
        <v>0</v>
      </c>
      <c r="R176" t="n">
        <v>0</v>
      </c>
      <c r="S176">
        <f>IFERROR(O176/N176,0)</f>
        <v/>
      </c>
      <c r="T176" t="n">
        <v>0</v>
      </c>
      <c r="V176" t="n">
        <v>0</v>
      </c>
    </row>
    <row r="177">
      <c r="A177">
        <f>Skills!A22</f>
        <v/>
      </c>
      <c r="B177">
        <f>Skills!B22</f>
        <v/>
      </c>
      <c r="C177">
        <f>Inputs!$B$3&gt;=43</f>
        <v/>
      </c>
      <c r="D177">
        <f>IF(Skills!C22=1,60+Inputs!$B$25+Inputs!$B$29,IF(Skills!C22=2,90+Inputs!$B$26+Inputs!$B$29,IF(Skills!C22=3,120+Inputs!$B$27+Inputs!$B$29,MAX(0,(Inputs!$B$3-100)*3)+Inputs!$B$28+Inputs!$B$29)))</f>
        <v/>
      </c>
      <c r="E177">
        <f>INDEX(FactorTable!$B$2:$Y$301, MATCH(ROUND(MIN(300,MAX(1,D177)),0), FactorTable!$A$2:$A$301,0), Skills!M22+1)</f>
        <v/>
      </c>
      <c r="F177">
        <f>IF(Skills!N22=TRUE,(Skills!L22/10)*(E177/1000),Skills!L22/10)+Skills!O22</f>
        <v/>
      </c>
      <c r="G177">
        <f>Skills!G22*IF(Skills!H22&gt;0,Skills!I22/Skills!H22,1)</f>
        <v/>
      </c>
      <c r="H177">
        <f>1-(1-Skills!J22/100)^Skills!K22</f>
        <v/>
      </c>
      <c r="I177" t="inlineStr">
        <is>
          <t>1</t>
        </is>
      </c>
      <c r="J177" t="inlineStr"/>
      <c r="K177" t="inlineStr"/>
      <c r="L177" t="inlineStr"/>
      <c r="M177" t="inlineStr"/>
      <c r="N177" t="inlineStr"/>
      <c r="O177">
        <f>(1-Summary!$B$11)*T177+Summary!$B$11*V177</f>
        <v/>
      </c>
      <c r="P177">
        <f>IF(B194=0,0,O177/B194)</f>
        <v/>
      </c>
      <c r="Q177" t="n">
        <v>0</v>
      </c>
      <c r="R177" t="n">
        <v>0</v>
      </c>
      <c r="S177">
        <f>IFERROR(O177/N177,0)</f>
        <v/>
      </c>
      <c r="T177" t="n">
        <v>0</v>
      </c>
      <c r="V177" t="n">
        <v>0</v>
      </c>
    </row>
    <row r="178">
      <c r="A178">
        <f>Skills!A23</f>
        <v/>
      </c>
      <c r="B178">
        <f>Skills!B23</f>
        <v/>
      </c>
      <c r="C178">
        <f>Inputs!$B$3&gt;=120</f>
        <v/>
      </c>
      <c r="D178">
        <f>IF(Skills!C23=1,60+Inputs!$B$25+Inputs!$B$29,IF(Skills!C23=2,90+Inputs!$B$26+Inputs!$B$29,IF(Skills!C23=3,120+Inputs!$B$27+Inputs!$B$29,MAX(0,(Inputs!$B$3-100)*3)+Inputs!$B$28+Inputs!$B$29)))</f>
        <v/>
      </c>
      <c r="E178">
        <f>INDEX(FactorTable!$B$2:$Y$301, MATCH(ROUND(MIN(300,MAX(1,D178)),0), FactorTable!$A$2:$A$301,0), Skills!M23+1)</f>
        <v/>
      </c>
      <c r="F178">
        <f>IF(Skills!N23=TRUE,(Skills!L23/10)*(E178/1000),Skills!L23/10)+Skills!O23</f>
        <v/>
      </c>
      <c r="G178">
        <f>Skills!G23*IF(Skills!H23&gt;0,Skills!I23/Skills!H23,1)</f>
        <v/>
      </c>
      <c r="H178">
        <f>1-(1-Skills!J23/100)^Skills!K23</f>
        <v/>
      </c>
      <c r="I178" t="inlineStr">
        <is>
          <t>1</t>
        </is>
      </c>
      <c r="J178" t="inlineStr"/>
      <c r="K178" t="inlineStr"/>
      <c r="L178" t="inlineStr"/>
      <c r="M178" t="inlineStr"/>
      <c r="N178" t="inlineStr"/>
      <c r="O178">
        <f>(1-Summary!$B$11)*T178+Summary!$B$11*V178</f>
        <v/>
      </c>
      <c r="P178">
        <f>IF(B194=0,0,O178/B194)</f>
        <v/>
      </c>
      <c r="Q178" t="n">
        <v>0</v>
      </c>
      <c r="R178" t="n">
        <v>0</v>
      </c>
      <c r="S178">
        <f>IFERROR(O178/N178,0)</f>
        <v/>
      </c>
      <c r="T178" t="n">
        <v>0</v>
      </c>
      <c r="V178" t="n">
        <v>0</v>
      </c>
    </row>
    <row r="179">
      <c r="A179">
        <f>Skills!A24</f>
        <v/>
      </c>
      <c r="B179">
        <f>Skills!B24</f>
        <v/>
      </c>
      <c r="C179">
        <f>Inputs!$B$3&gt;=120</f>
        <v/>
      </c>
      <c r="D179">
        <f>IF(Skills!C24=1,60+Inputs!$B$25+Inputs!$B$29,IF(Skills!C24=2,90+Inputs!$B$26+Inputs!$B$29,IF(Skills!C24=3,120+Inputs!$B$27+Inputs!$B$29,MAX(0,(Inputs!$B$3-100)*3)+Inputs!$B$28+Inputs!$B$29)))</f>
        <v/>
      </c>
      <c r="E179">
        <f>INDEX(FactorTable!$B$2:$Y$301, MATCH(ROUND(MIN(300,MAX(1,D179)),0), FactorTable!$A$2:$A$301,0), Skills!M24+1)</f>
        <v/>
      </c>
      <c r="F179">
        <f>IF(Skills!N24=TRUE,(Skills!L24/10)*(E179/1000),Skills!L24/10)+Skills!O24</f>
        <v/>
      </c>
      <c r="G179">
        <f>Skills!G24*IF(Skills!H24&gt;0,Skills!I24/Skills!H24,1)</f>
        <v/>
      </c>
      <c r="H179">
        <f>1-(1-Skills!J24/100)^Skills!K24</f>
        <v/>
      </c>
      <c r="I179" t="inlineStr">
        <is>
          <t>1</t>
        </is>
      </c>
      <c r="J179" t="inlineStr"/>
      <c r="K179" t="inlineStr"/>
      <c r="L179" t="inlineStr"/>
      <c r="M179" t="inlineStr"/>
      <c r="N179" t="inlineStr"/>
      <c r="O179">
        <f>(1-Summary!$B$11)*T179+Summary!$B$11*V179</f>
        <v/>
      </c>
      <c r="P179">
        <f>IF(B194=0,0,O179/B194)</f>
        <v/>
      </c>
      <c r="Q179" t="n">
        <v>0</v>
      </c>
      <c r="R179" t="n">
        <v>0</v>
      </c>
      <c r="S179">
        <f>IFERROR(O179/N179,0)</f>
        <v/>
      </c>
      <c r="T179" t="n">
        <v>0</v>
      </c>
      <c r="V179" t="n">
        <v>0</v>
      </c>
    </row>
    <row r="180">
      <c r="A180">
        <f>Skills!A25</f>
        <v/>
      </c>
      <c r="B180">
        <f>Skills!B25</f>
        <v/>
      </c>
      <c r="C180">
        <f>Inputs!$B$3&gt;=125</f>
        <v/>
      </c>
      <c r="D180">
        <f>IF(Skills!C25=1,60+Inputs!$B$25+Inputs!$B$29,IF(Skills!C25=2,90+Inputs!$B$26+Inputs!$B$29,IF(Skills!C25=3,120+Inputs!$B$27+Inputs!$B$29,MAX(0,(Inputs!$B$3-100)*3)+Inputs!$B$28+Inputs!$B$29)))</f>
        <v/>
      </c>
      <c r="E180">
        <f>INDEX(FactorTable!$B$2:$Y$301, MATCH(ROUND(MIN(300,MAX(1,D180)),0), FactorTable!$A$2:$A$301,0), Skills!M25+1)</f>
        <v/>
      </c>
      <c r="F180">
        <f>IF(Skills!N25=TRUE,(Skills!L25/10)*(E180/1000),Skills!L25/10)+Skills!O25</f>
        <v/>
      </c>
      <c r="G180">
        <f>Skills!G25*IF(Skills!H25&gt;0,Skills!I25/Skills!H25,1)</f>
        <v/>
      </c>
      <c r="H180">
        <f>1-(1-Skills!J25/100)^Skills!K25</f>
        <v/>
      </c>
      <c r="I180" t="inlineStr">
        <is>
          <t>1</t>
        </is>
      </c>
      <c r="J180" t="inlineStr"/>
      <c r="K180" t="inlineStr"/>
      <c r="L180" t="inlineStr"/>
      <c r="M180" t="inlineStr"/>
      <c r="N180" t="inlineStr"/>
      <c r="O180">
        <f>(1-Summary!$B$11)*T180+Summary!$B$11*V180</f>
        <v/>
      </c>
      <c r="P180">
        <f>IF(B194=0,0,O180/B194)</f>
        <v/>
      </c>
      <c r="Q180" t="n">
        <v>0</v>
      </c>
      <c r="R180" t="n">
        <v>0</v>
      </c>
      <c r="S180">
        <f>IFERROR(O180/N180,0)</f>
        <v/>
      </c>
      <c r="T180" t="n">
        <v>0</v>
      </c>
      <c r="V180" t="n">
        <v>0</v>
      </c>
    </row>
    <row r="181">
      <c r="A181">
        <f>Skills!A26</f>
        <v/>
      </c>
      <c r="B181">
        <f>Skills!B26</f>
        <v/>
      </c>
      <c r="C181">
        <f>Inputs!$B$3&gt;=72</f>
        <v/>
      </c>
      <c r="D181">
        <f>IF(Skills!C26=1,60+Inputs!$B$25+Inputs!$B$29,IF(Skills!C26=2,90+Inputs!$B$26+Inputs!$B$29,IF(Skills!C26=3,120+Inputs!$B$27+Inputs!$B$29,MAX(0,(Inputs!$B$3-100)*3)+Inputs!$B$28+Inputs!$B$29)))</f>
        <v/>
      </c>
      <c r="E181">
        <f>INDEX(FactorTable!$B$2:$Y$301, MATCH(ROUND(MIN(300,MAX(1,D181)),0), FactorTable!$A$2:$A$301,0), Skills!M26+1)</f>
        <v/>
      </c>
      <c r="F181">
        <f>IF(Skills!N26=TRUE,(Skills!L26/10)*(E181/1000),Skills!L26/10)+Skills!O26</f>
        <v/>
      </c>
      <c r="G181">
        <f>Skills!G26*IF(Skills!H26&gt;0,Skills!I26/Skills!H26,1)</f>
        <v/>
      </c>
      <c r="H181">
        <f>1-(1-Skills!J26/100)^Skills!K26</f>
        <v/>
      </c>
      <c r="I181" t="inlineStr">
        <is>
          <t>1</t>
        </is>
      </c>
      <c r="J181" t="inlineStr"/>
      <c r="K181" t="inlineStr"/>
      <c r="L181" t="inlineStr"/>
      <c r="M181" t="inlineStr"/>
      <c r="N181" t="inlineStr"/>
      <c r="O181">
        <f>(1-Summary!$B$11)*T181+Summary!$B$11*V181</f>
        <v/>
      </c>
      <c r="P181">
        <f>IF(B194=0,0,O181/B194)</f>
        <v/>
      </c>
      <c r="Q181" t="n">
        <v>0</v>
      </c>
      <c r="R181" t="n">
        <v>0</v>
      </c>
      <c r="S181">
        <f>IFERROR(O181/N181,0)</f>
        <v/>
      </c>
      <c r="T181" t="n">
        <v>0</v>
      </c>
      <c r="V181" t="n">
        <v>0</v>
      </c>
    </row>
    <row r="183">
      <c r="A183" t="inlineStr">
        <is>
          <t>Attack% Bucket Multiplier</t>
        </is>
      </c>
      <c r="B183">
        <f>(1+(((C168=TRUE)*F168*IF(Inputs!$B$3&gt;=110,7,5))+((C170=TRUE)*F170*IF(AND(Inputs!$B$38&lt;&gt;"pvp",Inputs!$B$43&gt;0),(((R170-1)*(Skills!T15*(1+(Inputs!$B$34+(ArtifactsInput!$M$7-ArtifactsInput!$M$7)*CHOOSE(ArtifactsInput!$N$7+1,6,7.2,8.4,9.6,10.8,12))/100))+MIN((Skills!T15*(1+(Inputs!$B$34+(ArtifactsInput!$M$7-ArtifactsInput!$M$7)*CHOOSE(ArtifactsInput!$N$7+1,6,7.2,8.4,9.6,10.8,12))/100)),MAX(0,Inputs!$B$43-((R170-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4">
      <c r="A184" t="inlineStr">
        <is>
          <t>Global Crit Rate Bonus %</t>
        </is>
      </c>
      <c r="B184" t="n">
        <v>0</v>
      </c>
    </row>
    <row r="185">
      <c r="A185" t="inlineStr">
        <is>
          <t>Attack Speed Buff Bonus %</t>
        </is>
      </c>
      <c r="B185">
        <f>((C174=TRUE)*F174*IF(AND(Inputs!$B$38&lt;&gt;"pvp",Inputs!$B$43&gt;0),(((R174-1)*(Skills!T19*(1+(Inputs!$B$34+(ArtifactsInput!$M$7-ArtifactsInput!$M$7)*CHOOSE(ArtifactsInput!$N$7+1,6,7.2,8.4,9.6,10.8,12))/100))+MIN((Skills!T19*(1+(Inputs!$B$34+(ArtifactsInput!$M$7-ArtifactsInput!$M$7)*CHOOSE(ArtifactsInput!$N$7+1,6,7.2,8.4,9.6,10.8,12))/100)),MAX(0,Inputs!$B$43-((R174-1)*Skills!D19))))/Inputs!$B$43),IF(Inputs!$B$38="pvp",MIN((Skills!T19*(1+(Inputs!$B$34+(ArtifactsInput!$M$7-ArtifactsInput!$M$7)*CHOOSE(ArtifactsInput!$N$7+1,6,7.2,8.4,9.6,10.8,12))/100)),15)/15,(Skills!T19*(1+(Inputs!$B$34+(ArtifactsInput!$M$7-ArtifactsInput!$M$7)*CHOOSE(ArtifactsInput!$N$7+1,6,7.2,8.4,9.6,10.8,12))/100))/Skills!D19)))</f>
        <v/>
      </c>
    </row>
    <row r="186">
      <c r="A186" t="inlineStr">
        <is>
          <t>Actions Per Second</t>
        </is>
      </c>
      <c r="B186">
        <f>1+MIN(150,150*(1-(1-(Inputs!$B$11+((C175=TRUE)*(F175-Calc!F20)))/150)*(1-B185/150)))/100</f>
        <v/>
      </c>
    </row>
    <row r="187">
      <c r="A187" t="inlineStr">
        <is>
          <t>Skill + Buff Cast Rate</t>
        </is>
      </c>
      <c r="B187">
        <f>IF(AND(Inputs!$B$38&lt;&gt;"pvp",Inputs!$B$43&gt;0),SUMPRODUCT((Skills!E2:E26=TRUE)*(C157:C181=TRUE)*R157:R181*Skills!F2:F26)/Inputs!$B$43,SUMPRODUCT((Skills!E2:E26=TRUE)*(C157:C181=TRUE)*Q157:Q181*Skills!F2:F26))</f>
        <v/>
      </c>
    </row>
    <row r="188">
      <c r="A188" t="inlineStr">
        <is>
          <t>Raging Blow Casts Per Second</t>
        </is>
      </c>
      <c r="B188">
        <f>MAX(0,B186-B187)</f>
        <v/>
      </c>
    </row>
    <row r="189">
      <c r="A189" t="inlineStr">
        <is>
          <t>Global Critical Damage Bonus % (Enrage)</t>
        </is>
      </c>
      <c r="B189">
        <f>((C173=TRUE)*F173*IF(AND(Inputs!$B$38&lt;&gt;"pvp",Inputs!$B$43&gt;0),(((R173-1)*(Skills!T18*(1+(Inputs!$B$34+(ArtifactsInput!$M$7-ArtifactsInput!$M$7)*CHOOSE(ArtifactsInput!$N$7+1,6,7.2,8.4,9.6,10.8,12))/100))+MIN((Skills!T18*(1+(Inputs!$B$34+(ArtifactsInput!$M$7-ArtifactsInput!$M$7)*CHOOSE(ArtifactsInput!$N$7+1,6,7.2,8.4,9.6,10.8,12))/100)),MAX(0,Inputs!$B$43-((R173-1)*Skills!D18))))/Inputs!$B$43),IF(Inputs!$B$38="pvp",MIN((Skills!T18*(1+(Inputs!$B$34+(ArtifactsInput!$M$7-ArtifactsInput!$M$7)*CHOOSE(ArtifactsInput!$N$7+1,6,7.2,8.4,9.6,10.8,12))/100)),15)/15,(Skills!T18*(1+(Inputs!$B$34+(ArtifactsInput!$M$7-ArtifactsInput!$M$7)*CHOOSE(ArtifactsInput!$N$7+1,6,7.2,8.4,9.6,10.8,12))/100))/Skills!D18)))</f>
        <v/>
      </c>
    </row>
    <row r="190">
      <c r="A190" t="inlineStr">
        <is>
          <t>Global Final Damage Bonus % (Enrage + Combo Synergy)</t>
        </is>
      </c>
      <c r="B190">
        <f>((C172=TRUE)*F172*IF(AND(Inputs!$B$38&lt;&gt;"pvp",Inputs!$B$43&gt;0),(((R172-1)*(Skills!T17*(1+(Inputs!$B$34+(ArtifactsInput!$M$7-ArtifactsInput!$M$7)*CHOOSE(ArtifactsInput!$N$7+1,6,7.2,8.4,9.6,10.8,12))/100))+MIN((Skills!T17*(1+(Inputs!$B$34+(ArtifactsInput!$M$7-ArtifactsInput!$M$7)*CHOOSE(ArtifactsInput!$N$7+1,6,7.2,8.4,9.6,10.8,12))/100)),MAX(0,Inputs!$B$43-((R172-1)*Skills!D17))))/Inputs!$B$43),IF(Inputs!$B$38="pvp",MIN((Skills!T17*(1+(Inputs!$B$34+(ArtifactsInput!$M$7-ArtifactsInput!$M$7)*CHOOSE(ArtifactsInput!$N$7+1,6,7.2,8.4,9.6,10.8,12))/100)),15)/15,(Skills!T17*(1+(Inputs!$B$34+(ArtifactsInput!$M$7-ArtifactsInput!$M$7)*CHOOSE(ArtifactsInput!$N$7+1,6,7.2,8.4,9.6,10.8,12))/100))/Skills!D17)))+((C169=TRUE)*F169*IF(Inputs!$B$3&gt;=110,7,5))</f>
        <v/>
      </c>
    </row>
    <row r="191">
      <c r="A191" t="inlineStr">
        <is>
          <t>Buff-Casting Startup Delay (s, fixed-duration only)</t>
        </is>
      </c>
      <c r="B191">
        <f>IF(AND(Inputs!$B$38&lt;&gt;"pvp",Inputs!$B$43&gt;0),SUMPRODUCT((Skills!T2:T26&gt;0)*(Skills!E2:E26=TRUE)*(C157:C181=TRUE))/B186,0)</f>
        <v/>
      </c>
    </row>
    <row r="192">
      <c r="A192" t="inlineStr">
        <is>
          <t>Boss-Only Total DPS (this block's swept value)</t>
        </is>
      </c>
      <c r="B192">
        <f>SUM(T157:T181)</f>
        <v/>
      </c>
    </row>
    <row r="193">
      <c r="A193" t="inlineStr">
        <is>
          <t>Normal-Only Total DPS (this block's swept value)</t>
        </is>
      </c>
      <c r="B193">
        <f>SUM(V157:V181)</f>
        <v/>
      </c>
    </row>
    <row r="194">
      <c r="A194" s="6" t="inlineStr">
        <is>
          <t>TOTAL DPS</t>
        </is>
      </c>
      <c r="B194" s="6">
        <f>SUM(O157:O181)</f>
        <v/>
      </c>
    </row>
    <row r="197">
      <c r="A197" s="6" t="inlineStr">
        <is>
          <t>Stat: DAMAGE %</t>
        </is>
      </c>
    </row>
    <row r="198">
      <c r="A198" s="5" t="inlineStr">
        <is>
          <t>Key</t>
        </is>
      </c>
      <c r="B198" s="5" t="inlineStr">
        <is>
          <t>Name</t>
        </is>
      </c>
      <c r="C198" s="5" t="inlineStr">
        <is>
          <t>Unlocked</t>
        </is>
      </c>
      <c r="D198" s="5" t="inlineStr">
        <is>
          <t>InputLevel</t>
        </is>
      </c>
      <c r="E198" s="5" t="inlineStr">
        <is>
          <t>Factor</t>
        </is>
      </c>
      <c r="F198" s="5" t="inlineStr">
        <is>
          <t>CoefficientPercent</t>
        </is>
      </c>
      <c r="G198" s="5" t="inlineStr">
        <is>
          <t>EffectiveHits</t>
        </is>
      </c>
      <c r="H198" s="5" t="inlineStr">
        <is>
          <t>ProcProbability</t>
        </is>
      </c>
      <c r="I198" s="5" t="inlineStr">
        <is>
          <t>MapleHeroMultiplier</t>
        </is>
      </c>
      <c r="J198" s="5" t="inlineStr">
        <is>
          <t>BaseDamage</t>
        </is>
      </c>
      <c r="K198" s="5" t="inlineStr">
        <is>
          <t>BaseHitDamage</t>
        </is>
      </c>
      <c r="L198" s="5" t="inlineStr">
        <is>
          <t>NonCritAvg</t>
        </is>
      </c>
      <c r="M198" s="5" t="inlineStr">
        <is>
          <t>CritAvg</t>
        </is>
      </c>
      <c r="N198" s="5" t="inlineStr">
        <is>
          <t>ExpectedDamage(perHit)</t>
        </is>
      </c>
      <c r="O198" s="5" t="inlineStr">
        <is>
          <t>DPS</t>
        </is>
      </c>
      <c r="P198" s="5" t="inlineStr">
        <is>
          <t>% of Total</t>
        </is>
      </c>
      <c r="Q198" s="5" t="inlineStr">
        <is>
          <t>InvCooldown</t>
        </is>
      </c>
      <c r="R198" s="5" t="inlineStr">
        <is>
          <t>CastsInFight</t>
        </is>
      </c>
      <c r="S198" s="5" t="inlineStr">
        <is>
          <t>HitRate(perSec)</t>
        </is>
      </c>
      <c r="U198" t="inlineStr">
        <is>
          <t>helpers</t>
        </is>
      </c>
    </row>
    <row r="199">
      <c r="A199">
        <f>Skills!A2</f>
        <v/>
      </c>
      <c r="B199">
        <f>Skills!B2</f>
        <v/>
      </c>
      <c r="C199">
        <f>Inputs!$B$3&gt;=100</f>
        <v/>
      </c>
      <c r="D199" t="inlineStr"/>
      <c r="E199" t="inlineStr"/>
      <c r="F199">
        <f>U201+Skills!O2</f>
        <v/>
      </c>
      <c r="G199">
        <f>Skills!G2*IF(Skills!H2&gt;0,Skills!I2/Skills!H2,1)</f>
        <v/>
      </c>
      <c r="H199">
        <f>1-(1-Skills!J2/100)^Skills!K2</f>
        <v/>
      </c>
      <c r="I199" t="inlineStr">
        <is>
          <t>1</t>
        </is>
      </c>
      <c r="J199">
        <f>((Inputs!$B$6*(1+Inputs!$B$7/100))+(((Inputs!$B$12*(1+Inputs!$B$13/100))-(Inputs!$B$12*(1+Inputs!$B$13/100)))+0.25*(Inputs!$B$14-Inputs!$B$14))*(1+Inputs!$B$7/100))*(F199/100)</f>
        <v/>
      </c>
      <c r="K199">
        <f>J199*(1+((Inputs!$B$12*(1+Inputs!$B$13/100))*0.01+Inputs!$B$14*0.0025)/100)*(1+(Inputs!$B$15+1)/100)*(1+Inputs!$B$16/100)*(5000/(6000+Inputs!$B$42*(1-(100*(1-(1-(Inputs!$B$19+0)/100)*(1-CHOOSE(ArtifactsInput!$N$40+1,5,6,7,8,9,10)/100)^(ArtifactsInput!$M$40-ArtifactsInput!$M$40)))/100)))*(1+(Inputs!$B$24+((C222=TRUE)*(F222-Calc!F25))+B232)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218=TRUE)*(F218-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220=TRUE)*(F220-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TRUE)*F210*IF(Inputs!$B$3&gt;=110,7,5))+((C212=TRUE)*F212*IF(AND(Inputs!$B$38&lt;&gt;"pvp",Inputs!$B$43&gt;0),(((R212-1)*(Skills!T15*(1+(Inputs!$B$34+(ArtifactsInput!$M$7-ArtifactsInput!$M$7)*CHOOSE(ArtifactsInput!$N$7+1,6,7.2,8.4,9.6,10.8,12))/100))+MIN((Skills!T15*(1+(Inputs!$B$34+(ArtifactsInput!$M$7-ArtifactsInput!$M$7)*CHOOSE(ArtifactsInput!$N$7+1,6,7.2,8.4,9.6,10.8,12))/100)),MAX(0,Inputs!$B$43-((R212-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Hunt"),CHOOSE(ArtifactsInput!$N$35+1,15,18,21,24,27,30)*(1-EXP(-(0.2*B228)*5)),0)+IF(AND(ArtifactsInput!$M$22,Inputs!$B$4&lt;&gt;"Chapter Hunt"),CHOOSE(ArtifactsInput!$N$22+1,10,12,14,16,18,20)*((0*(((0.15*B228*5))^0/1)+1*(((0.15*B228*5))^1/1)+2*(((0.15*B228*5))^2/2)+3*(((0.15*B228*5))^3/6)+4*(((0.15*B228*5))^4/24)+5*(((0.15*B228*5))^5/120))/((((0.15*B228*5))^0/1)+(((0.15*B228*5))^1/1)+(((0.15*B228*5))^2/2)+(((0.15*B228*5))^3/6)+(((0.15*B228*5))^4/24)+(((0.15*B228*5))^5/120))),0)))/100)*I199)</f>
        <v/>
      </c>
      <c r="L199">
        <f>K199*(MIN(Inputs!$B$22+((C219=TRUE)*(F219-Calc!F22)),(Inputs!$B$23+((C221=TRUE)*(F221-Calc!F24))+(IF(ArtifactsInput!$M$15,CHOOSE(ArtifactsInput!$N$15+1,25,30,35,40,45,50)/100*(Inputs!$B$11-Inputs!$B$11),0))))/100+(Inputs!$B$23+((C221=TRUE)*(F221-Calc!F24))+(IF(ArtifactsInput!$M$15,CHOOSE(ArtifactsInput!$N$15+1,25,30,35,40,45,50)/100*(Inputs!$B$11-Inputs!$B$11),0)))/100)/2</f>
        <v/>
      </c>
      <c r="M199">
        <f>L199*(1+(Inputs!$B$10+0+B231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9">
        <f>L199*(1-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199*(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9">
        <f>(1-Summary!$B$11)*T199+Summary!$B$11*V199</f>
        <v/>
      </c>
      <c r="P199">
        <f>IF(B236=0,0,O199/B236)</f>
        <v/>
      </c>
      <c r="Q199" t="n">
        <v>0</v>
      </c>
      <c r="R199" t="n">
        <v>0</v>
      </c>
      <c r="S199">
        <f>IFERROR(O199/N199,0)</f>
        <v/>
      </c>
      <c r="T199">
        <f>IF(C199,(Skills!G2*N199*B230)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199*(1-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199*(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199*(1-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199*(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9">
        <f>MAX(0,(Inputs!$B$3-100)*3)+Inputs!$B$28+Inputs!$B$29</f>
        <v/>
      </c>
      <c r="V199">
        <f>IF(C199,(Skills!G2*N199*B230)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
      <c r="A200">
        <f>Skills!A3</f>
        <v/>
      </c>
      <c r="B200">
        <f>Skills!B3</f>
        <v/>
      </c>
      <c r="C200">
        <f>Inputs!$B$3&gt;=50</f>
        <v/>
      </c>
      <c r="D200">
        <f>IF(Skills!C3=1,60+Inputs!$B$25+Inputs!$B$29,IF(Skills!C3=2,90+Inputs!$B$26+Inputs!$B$29,IF(Skills!C3=3,120+Inputs!$B$27+Inputs!$B$29,MAX(0,(Inputs!$B$3-100)*3)+Inputs!$B$28+Inputs!$B$29)))</f>
        <v/>
      </c>
      <c r="E200">
        <f>INDEX(FactorTable!$B$2:$Y$301, MATCH(ROUND(MIN(300,MAX(1,D200)),0), FactorTable!$A$2:$A$301,0), Skills!M3+1)</f>
        <v/>
      </c>
      <c r="F200">
        <f>IF(Skills!N3=TRUE,(Skills!L3/10)*(E200/1000),Skills!L3/10)+Skills!O3</f>
        <v/>
      </c>
      <c r="G200" t="inlineStr"/>
      <c r="H200" t="inlineStr"/>
      <c r="I200" t="inlineStr">
        <is>
          <t>1</t>
        </is>
      </c>
      <c r="J200" t="inlineStr"/>
      <c r="K200" t="inlineStr"/>
      <c r="L200" t="inlineStr"/>
      <c r="M200" t="inlineStr"/>
      <c r="N200" t="inlineStr"/>
      <c r="O200" t="inlineStr"/>
      <c r="P200" t="inlineStr"/>
      <c r="Q200" t="inlineStr"/>
      <c r="R200" t="inlineStr"/>
      <c r="S200" t="inlineStr"/>
      <c r="U200">
        <f>INDEX(FactorTable!$B$2:$Y$301, MATCH(ROUND(MIN(300,MAX(1,U199)),0), FactorTable!$A$2:$A$301,0), 22)</f>
        <v/>
      </c>
    </row>
    <row r="201">
      <c r="A201">
        <f>Skills!A4</f>
        <v/>
      </c>
      <c r="B201">
        <f>Skills!B4</f>
        <v/>
      </c>
      <c r="C201">
        <f>Inputs!$B$3&gt;=105</f>
        <v/>
      </c>
      <c r="D201">
        <f>IF(Skills!C4=1,60+Inputs!$B$25+Inputs!$B$29,IF(Skills!C4=2,90+Inputs!$B$26+Inputs!$B$29,IF(Skills!C4=3,120+Inputs!$B$27+Inputs!$B$29,MAX(0,(Inputs!$B$3-100)*3)+Inputs!$B$28+Inputs!$B$29)))</f>
        <v/>
      </c>
      <c r="E201">
        <f>INDEX(FactorTable!$B$2:$Y$301, MATCH(ROUND(MIN(300,MAX(1,D201)),0), FactorTable!$A$2:$A$301,0), Skills!M4+1)</f>
        <v/>
      </c>
      <c r="F201">
        <f>IF(Skills!N4=TRUE,(Skills!L4/10)*(E201/1000),Skills!L4/10)+Skills!O4</f>
        <v/>
      </c>
      <c r="G201" t="inlineStr"/>
      <c r="H201" t="inlineStr"/>
      <c r="I201" t="inlineStr">
        <is>
          <t>1</t>
        </is>
      </c>
      <c r="J201" t="inlineStr"/>
      <c r="K201" t="inlineStr"/>
      <c r="L201" t="inlineStr"/>
      <c r="M201" t="inlineStr"/>
      <c r="N201" t="inlineStr"/>
      <c r="O201" t="inlineStr"/>
      <c r="P201" t="inlineStr"/>
      <c r="Q201" t="inlineStr"/>
      <c r="R201" t="inlineStr"/>
      <c r="S201" t="inlineStr"/>
      <c r="U201">
        <f>290*U200/1000</f>
        <v/>
      </c>
    </row>
    <row r="202">
      <c r="A202">
        <f>Skills!A5</f>
        <v/>
      </c>
      <c r="B202">
        <f>Skills!B5</f>
        <v/>
      </c>
      <c r="C202">
        <f>Inputs!$B$3&gt;=103</f>
        <v/>
      </c>
      <c r="D202">
        <f>IF(Skills!C5=1,60+Inputs!$B$25+Inputs!$B$29,IF(Skills!C5=2,90+Inputs!$B$26+Inputs!$B$29,IF(Skills!C5=3,120+Inputs!$B$27+Inputs!$B$29,MAX(0,(Inputs!$B$3-100)*3)+Inputs!$B$28+Inputs!$B$29)))</f>
        <v/>
      </c>
      <c r="E202">
        <f>INDEX(FactorTable!$B$2:$Y$301, MATCH(ROUND(MIN(300,MAX(1,D202)),0), FactorTable!$A$2:$A$301,0), Skills!M5+1)</f>
        <v/>
      </c>
      <c r="F202">
        <f>IF(Skills!N5=TRUE,(Skills!L5/10)*(E202/1000),Skills!L5/10)+Skills!O5</f>
        <v/>
      </c>
      <c r="G202">
        <f>Skills!G5*IF(Skills!H5&gt;0,Skills!I5/Skills!H5,1)</f>
        <v/>
      </c>
      <c r="H202">
        <f>1-(1-Skills!J5/100)^Skills!K5</f>
        <v/>
      </c>
      <c r="I202" t="inlineStr">
        <is>
          <t>1</t>
        </is>
      </c>
      <c r="J202">
        <f>((Inputs!$B$6*(1+Inputs!$B$7/100))+(((Inputs!$B$12*(1+Inputs!$B$13/100))-(Inputs!$B$12*(1+Inputs!$B$13/100)))+0.25*(Inputs!$B$14-Inputs!$B$14))*(1+Inputs!$B$7/100))*(F202/100)</f>
        <v/>
      </c>
      <c r="K202">
        <f>J202*(1+((Inputs!$B$12*(1+Inputs!$B$13/100))*0.01+Inputs!$B$14*0.0025)/100)*(1+(Inputs!$B$15+1)/100)*(1+Inputs!$B$16/100)*(5000/(6000+Inputs!$B$42*(1-(100*(1-(1-(Inputs!$B$19+0)/100)*(1-CHOOSE(ArtifactsInput!$N$40+1,5,6,7,8,9,10)/100)^(ArtifactsInput!$M$40-ArtifactsInput!$M$40)))/100)))*(1+(Inputs!$B$24+((C222=TRUE)*(F222-Calc!F25))+B232)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218=TRUE)*(F218-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220=TRUE)*(F220-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TRUE)*F210*IF(Inputs!$B$3&gt;=110,7,5))+((C212=TRUE)*F212*IF(AND(Inputs!$B$38&lt;&gt;"pvp",Inputs!$B$43&gt;0),(((R212-1)*(Skills!T15*(1+(Inputs!$B$34+(ArtifactsInput!$M$7-ArtifactsInput!$M$7)*CHOOSE(ArtifactsInput!$N$7+1,6,7.2,8.4,9.6,10.8,12))/100))+MIN((Skills!T15*(1+(Inputs!$B$34+(ArtifactsInput!$M$7-ArtifactsInput!$M$7)*CHOOSE(ArtifactsInput!$N$7+1,6,7.2,8.4,9.6,10.8,12))/100)),MAX(0,Inputs!$B$43-((R212-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Hunt"),CHOOSE(ArtifactsInput!$N$35+1,15,18,21,24,27,30)*(1-EXP(-(0.2*B228)*5)),0)+IF(AND(ArtifactsInput!$M$22,Inputs!$B$4&lt;&gt;"Chapter Hunt"),CHOOSE(ArtifactsInput!$N$22+1,10,12,14,16,18,20)*((0*(((0.15*B228*5))^0/1)+1*(((0.15*B228*5))^1/1)+2*(((0.15*B228*5))^2/2)+3*(((0.15*B228*5))^3/6)+4*(((0.15*B228*5))^4/24)+5*(((0.15*B228*5))^5/120))/((((0.15*B228*5))^0/1)+(((0.15*B228*5))^1/1)+(((0.15*B228*5))^2/2)+(((0.15*B228*5))^3/6)+(((0.15*B228*5))^4/24)+(((0.15*B228*5))^5/120))),0)))/100)*I202)</f>
        <v/>
      </c>
      <c r="L202">
        <f>K202*(MIN(Inputs!$B$22+((C219=TRUE)*(F219-Calc!F22)),(Inputs!$B$23+((C221=TRUE)*(F221-Calc!F24))+(IF(ArtifactsInput!$M$15,CHOOSE(ArtifactsInput!$N$15+1,25,30,35,40,45,50)/100*(Inputs!$B$11-Inputs!$B$11),0))))/100+(Inputs!$B$23+((C221=TRUE)*(F221-Calc!F24))+(IF(ArtifactsInput!$M$15,CHOOSE(ArtifactsInput!$N$15+1,25,30,35,40,45,50)/100*(Inputs!$B$11-Inputs!$B$11),0)))/100)/2</f>
        <v/>
      </c>
      <c r="M202">
        <f>L202*(1+(Inputs!$B$10+0+B231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2">
        <f>L202*(1-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202*(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2">
        <f>(1-Summary!$B$11)*T202+Summary!$B$11*V202</f>
        <v/>
      </c>
      <c r="P202">
        <f>IF(B236=0,0,O202/B236)</f>
        <v/>
      </c>
      <c r="Q202">
        <f>IFERROR(1/(IF(Inputs!$B$38="pvp",15,MAX(0.1,Skills!D5-IF(Skills!E5=TRUE,Inputs!$B$32,0)))*(1-IF(AND(ArtifactsInput!$M$27,Inputs!$B$4="Chapter Hunt"),CHOOSE(ArtifactsInput!$N$27+1,20,24,28,32,36,40),0)/100)),0)</f>
        <v/>
      </c>
      <c r="R202">
        <f>IF(AND(Inputs!$B$38&lt;&gt;"pvp",Inputs!$B$43&gt;0),IF(MAX(0,Inputs!$B$43-B233)&lt;=0,0,(INT(MAX(0,Inputs!$B$43-B233)/(IF(Inputs!$B$38="pvp",15,MAX(0.1,Skills!D5-IF(Skills!E5=TRUE,Inputs!$B$32,0)))*(1-IF(AND(ArtifactsInput!$M$27,Inputs!$B$4="Chapter Hunt"),CHOOSE(ArtifactsInput!$N$27+1,20,24,28,32,36,40),0)/100)))+1)),0)</f>
        <v/>
      </c>
      <c r="S202">
        <f>IFERROR(O202/N202,0)</f>
        <v/>
      </c>
      <c r="T202">
        <f>IF(C202,(H202*N202*IF(AND(Inputs!$B$38&lt;&gt;"pvp",Inputs!$B$43&gt;0),((Skills!G5*((R202-1)*IF(Skills!H5&gt;0,Skills!I5/Skills!H5,1)+IF(Skills!H5&gt;0,MIN(Skills!I5,MAX(0,MAX(0,Inputs!$B$43-B233)-((R202-1)*(IF(Inputs!$B$38="pvp",15,MAX(0.1,Skills!D5-IF(Skills!E5=TRUE,Inputs!$B$32,0)))*(1-IF(AND(ArtifactsInput!$M$27,Inputs!$B$4="Chapter Hunt"),CHOOSE(ArtifactsInput!$N$27+1,20,24,28,32,36,40),0)/100)))))/Skills!H5,1)))/Inputs!$B$43),G202*Q202)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202*(1-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202*(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202*(1-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202*(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2">
        <f>IF(C202,(H202*N202*IF(AND(Inputs!$B$38&lt;&gt;"pvp",Inputs!$B$43&gt;0),((Skills!G5*((R202-1)*IF(Skills!H5&gt;0,Skills!I5/Skills!H5,1)+IF(Skills!H5&gt;0,MIN(Skills!I5,MAX(0,MAX(0,Inputs!$B$43-B233)-((R202-1)*(IF(Inputs!$B$38="pvp",15,MAX(0.1,Skills!D5-IF(Skills!E5=TRUE,Inputs!$B$32,0)))*(1-IF(AND(ArtifactsInput!$M$27,Inputs!$B$4="Chapter Hunt"),CHOOSE(ArtifactsInput!$N$27+1,20,24,28,32,36,40),0)/100)))))/Skills!H5,1)))/Inputs!$B$43),G202*Q202)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3">
      <c r="A203">
        <f>Skills!A6</f>
        <v/>
      </c>
      <c r="B203">
        <f>Skills!B6</f>
        <v/>
      </c>
      <c r="C203">
        <f>Inputs!$B$3&gt;=103</f>
        <v/>
      </c>
      <c r="D203">
        <f>IF(Skills!C6=1,60+Inputs!$B$25+Inputs!$B$29,IF(Skills!C6=2,90+Inputs!$B$26+Inputs!$B$29,IF(Skills!C6=3,120+Inputs!$B$27+Inputs!$B$29,MAX(0,(Inputs!$B$3-100)*3)+Inputs!$B$28+Inputs!$B$29)))</f>
        <v/>
      </c>
      <c r="E203">
        <f>INDEX(FactorTable!$B$2:$Y$301, MATCH(ROUND(MIN(300,MAX(1,D203)),0), FactorTable!$A$2:$A$301,0), Skills!M6+1)</f>
        <v/>
      </c>
      <c r="F203">
        <f>IF(Skills!N6=TRUE,(Skills!L6/10)*(E203/1000),Skills!L6/10)+Skills!O6</f>
        <v/>
      </c>
      <c r="G203">
        <f>Skills!G6*IF(Skills!H6&gt;0,Skills!I6/Skills!H6,1)</f>
        <v/>
      </c>
      <c r="H203">
        <f>1-(1-Skills!J6/100)^Skills!K6</f>
        <v/>
      </c>
      <c r="I203" t="inlineStr">
        <is>
          <t>1</t>
        </is>
      </c>
      <c r="J203">
        <f>((Inputs!$B$6*(1+Inputs!$B$7/100))+(((Inputs!$B$12*(1+Inputs!$B$13/100))-(Inputs!$B$12*(1+Inputs!$B$13/100)))+0.25*(Inputs!$B$14-Inputs!$B$14))*(1+Inputs!$B$7/100))*(F203/100)</f>
        <v/>
      </c>
      <c r="K203">
        <f>J203*(1+((Inputs!$B$12*(1+Inputs!$B$13/100))*0.01+Inputs!$B$14*0.0025)/100)*(1+(Inputs!$B$15+1)/100)*(1+Inputs!$B$16/100)*(5000/(6000+Inputs!$B$42*(1-(100*(1-(1-(Inputs!$B$19+0)/100)*(1-CHOOSE(ArtifactsInput!$N$40+1,5,6,7,8,9,10)/100)^(ArtifactsInput!$M$40-ArtifactsInput!$M$40)))/100)))*(1+(Inputs!$B$24+((C222=TRUE)*(F222-Calc!F25))+B232)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218=TRUE)*(F218-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220=TRUE)*(F220-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TRUE)*F210*IF(Inputs!$B$3&gt;=110,7,5))+((C212=TRUE)*F212*IF(AND(Inputs!$B$38&lt;&gt;"pvp",Inputs!$B$43&gt;0),(((R212-1)*(Skills!T15*(1+(Inputs!$B$34+(ArtifactsInput!$M$7-ArtifactsInput!$M$7)*CHOOSE(ArtifactsInput!$N$7+1,6,7.2,8.4,9.6,10.8,12))/100))+MIN((Skills!T15*(1+(Inputs!$B$34+(ArtifactsInput!$M$7-ArtifactsInput!$M$7)*CHOOSE(ArtifactsInput!$N$7+1,6,7.2,8.4,9.6,10.8,12))/100)),MAX(0,Inputs!$B$43-((R212-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Hunt"),CHOOSE(ArtifactsInput!$N$35+1,15,18,21,24,27,30)*(1-EXP(-(0.2*B228)*5)),0)+IF(AND(ArtifactsInput!$M$22,Inputs!$B$4&lt;&gt;"Chapter Hunt"),CHOOSE(ArtifactsInput!$N$22+1,10,12,14,16,18,20)*((0*(((0.15*B228*5))^0/1)+1*(((0.15*B228*5))^1/1)+2*(((0.15*B228*5))^2/2)+3*(((0.15*B228*5))^3/6)+4*(((0.15*B228*5))^4/24)+5*(((0.15*B228*5))^5/120))/((((0.15*B228*5))^0/1)+(((0.15*B228*5))^1/1)+(((0.15*B228*5))^2/2)+(((0.15*B228*5))^3/6)+(((0.15*B228*5))^4/24)+(((0.15*B228*5))^5/120))),0)))/100)*I203)</f>
        <v/>
      </c>
      <c r="L203">
        <f>K203*(MIN(Inputs!$B$22+((C219=TRUE)*(F219-Calc!F22)),(Inputs!$B$23+((C221=TRUE)*(F221-Calc!F24))+(IF(ArtifactsInput!$M$15,CHOOSE(ArtifactsInput!$N$15+1,25,30,35,40,45,50)/100*(Inputs!$B$11-Inputs!$B$11),0))))/100+(Inputs!$B$23+((C221=TRUE)*(F221-Calc!F24))+(IF(ArtifactsInput!$M$15,CHOOSE(ArtifactsInput!$N$15+1,25,30,35,40,45,50)/100*(Inputs!$B$11-Inputs!$B$11),0)))/100)/2</f>
        <v/>
      </c>
      <c r="M203">
        <f>L203*(1+(Inputs!$B$10+0+B231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3">
        <f>L203*(1-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203*(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3">
        <f>(1-Summary!$B$11)*T203+Summary!$B$11*V203</f>
        <v/>
      </c>
      <c r="P203">
        <f>IF(B236=0,0,O203/B236)</f>
        <v/>
      </c>
      <c r="Q203">
        <f>IFERROR(1/(IF(Inputs!$B$38="pvp",15,MAX(0.1,Skills!D6-IF(Skills!E6=TRUE,Inputs!$B$32,0)))*(1-IF(AND(ArtifactsInput!$M$27,Inputs!$B$4="Chapter Hunt"),CHOOSE(ArtifactsInput!$N$27+1,20,24,28,32,36,40),0)/100)),0)</f>
        <v/>
      </c>
      <c r="R203">
        <f>IF(AND(Inputs!$B$38&lt;&gt;"pvp",Inputs!$B$43&gt;0),IF(MAX(0,Inputs!$B$43-B233)&lt;=0,0,(INT(MAX(0,Inputs!$B$43-B233)/(IF(Inputs!$B$38="pvp",15,MAX(0.1,Skills!D6-IF(Skills!E6=TRUE,Inputs!$B$32,0)))*(1-IF(AND(ArtifactsInput!$M$27,Inputs!$B$4="Chapter Hunt"),CHOOSE(ArtifactsInput!$N$27+1,20,24,28,32,36,40),0)/100)))+1)),0)</f>
        <v/>
      </c>
      <c r="S203">
        <f>IFERROR(O203/N203,0)</f>
        <v/>
      </c>
      <c r="T203">
        <f>IF(C203,(H203*N203*IF(AND(Inputs!$B$38&lt;&gt;"pvp",Inputs!$B$43&gt;0),((Skills!G6*((R203-1)*IF(Skills!H6&gt;0,Skills!I6/Skills!H6,1)+IF(Skills!H6&gt;0,MIN(Skills!I6,MAX(0,MAX(0,Inputs!$B$43-B233)-((R203-1)*(IF(Inputs!$B$38="pvp",15,MAX(0.1,Skills!D6-IF(Skills!E6=TRUE,Inputs!$B$32,0)))*(1-IF(AND(ArtifactsInput!$M$27,Inputs!$B$4="Chapter Hunt"),CHOOSE(ArtifactsInput!$N$27+1,20,24,28,32,36,40),0)/100)))))/Skills!H6,1)))/Inputs!$B$43),G203*Q203)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203*(1-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203*(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203*(1-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203*(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3">
        <f>IF(C203,(H203*N203*IF(AND(Inputs!$B$38&lt;&gt;"pvp",Inputs!$B$43&gt;0),((Skills!G6*((R203-1)*IF(Skills!H6&gt;0,Skills!I6/Skills!H6,1)+IF(Skills!H6&gt;0,MIN(Skills!I6,MAX(0,MAX(0,Inputs!$B$43-B233)-((R203-1)*(IF(Inputs!$B$38="pvp",15,MAX(0.1,Skills!D6-IF(Skills!E6=TRUE,Inputs!$B$32,0)))*(1-IF(AND(ArtifactsInput!$M$27,Inputs!$B$4="Chapter Hunt"),CHOOSE(ArtifactsInput!$N$27+1,20,24,28,32,36,40),0)/100)))))/Skills!H6,1)))/Inputs!$B$43),G203*Q203)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
      <c r="A204">
        <f>Skills!A7</f>
        <v/>
      </c>
      <c r="B204">
        <f>Skills!B7</f>
        <v/>
      </c>
      <c r="C204">
        <f>Inputs!$B$3&gt;=107</f>
        <v/>
      </c>
      <c r="D204">
        <f>IF(Skills!C7=1,60+Inputs!$B$25+Inputs!$B$29,IF(Skills!C7=2,90+Inputs!$B$26+Inputs!$B$29,IF(Skills!C7=3,120+Inputs!$B$27+Inputs!$B$29,MAX(0,(Inputs!$B$3-100)*3)+Inputs!$B$28+Inputs!$B$29)))</f>
        <v/>
      </c>
      <c r="E204">
        <f>INDEX(FactorTable!$B$2:$Y$301, MATCH(ROUND(MIN(300,MAX(1,D204)),0), FactorTable!$A$2:$A$301,0), Skills!M7+1)</f>
        <v/>
      </c>
      <c r="F204">
        <f>IF(Skills!N7=TRUE,(Skills!L7/10)*(E204/1000),Skills!L7/10)+Skills!O7</f>
        <v/>
      </c>
      <c r="G204">
        <f>Skills!G7*IF(Skills!H7&gt;0,Skills!I7/Skills!H7,1)</f>
        <v/>
      </c>
      <c r="H204">
        <f>1-(1-Skills!J7/100)^Skills!K7</f>
        <v/>
      </c>
      <c r="I204" t="inlineStr">
        <is>
          <t>1</t>
        </is>
      </c>
      <c r="J204">
        <f>((Inputs!$B$6*(1+Inputs!$B$7/100))+(((Inputs!$B$12*(1+Inputs!$B$13/100))-(Inputs!$B$12*(1+Inputs!$B$13/100)))+0.25*(Inputs!$B$14-Inputs!$B$14))*(1+Inputs!$B$7/100))*(F204/100)</f>
        <v/>
      </c>
      <c r="K204">
        <f>J204*(1+((Inputs!$B$12*(1+Inputs!$B$13/100))*0.01+Inputs!$B$14*0.0025)/100)*(1+(Inputs!$B$15+1)/100)*(1+Inputs!$B$16/100)*(5000/(6000+Inputs!$B$42*(1-(100*(1-(1-(Inputs!$B$19+0)/100)*(1-CHOOSE(ArtifactsInput!$N$40+1,5,6,7,8,9,10)/100)^(ArtifactsInput!$M$40-ArtifactsInput!$M$40)))/100)))*(1+(Inputs!$B$24+((C222=TRUE)*(F222-Calc!F25))+B232)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218=TRUE)*(F218-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220=TRUE)*(F220-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TRUE)*F210*IF(Inputs!$B$3&gt;=110,7,5))+((C212=TRUE)*F212*IF(AND(Inputs!$B$38&lt;&gt;"pvp",Inputs!$B$43&gt;0),(((R212-1)*(Skills!T15*(1+(Inputs!$B$34+(ArtifactsInput!$M$7-ArtifactsInput!$M$7)*CHOOSE(ArtifactsInput!$N$7+1,6,7.2,8.4,9.6,10.8,12))/100))+MIN((Skills!T15*(1+(Inputs!$B$34+(ArtifactsInput!$M$7-ArtifactsInput!$M$7)*CHOOSE(ArtifactsInput!$N$7+1,6,7.2,8.4,9.6,10.8,12))/100)),MAX(0,Inputs!$B$43-((R212-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Hunt"),CHOOSE(ArtifactsInput!$N$35+1,15,18,21,24,27,30)*(1-EXP(-(0.2*B228)*5)),0)+IF(AND(ArtifactsInput!$M$22,Inputs!$B$4&lt;&gt;"Chapter Hunt"),CHOOSE(ArtifactsInput!$N$22+1,10,12,14,16,18,20)*((0*(((0.15*B228*5))^0/1)+1*(((0.15*B228*5))^1/1)+2*(((0.15*B228*5))^2/2)+3*(((0.15*B228*5))^3/6)+4*(((0.15*B228*5))^4/24)+5*(((0.15*B228*5))^5/120))/((((0.15*B228*5))^0/1)+(((0.15*B228*5))^1/1)+(((0.15*B228*5))^2/2)+(((0.15*B228*5))^3/6)+(((0.15*B228*5))^4/24)+(((0.15*B228*5))^5/120))),0)))/100)*I204)</f>
        <v/>
      </c>
      <c r="L204">
        <f>K204*(MIN(Inputs!$B$22+((C219=TRUE)*(F219-Calc!F22)),(Inputs!$B$23+((C221=TRUE)*(F221-Calc!F24))+(IF(ArtifactsInput!$M$15,CHOOSE(ArtifactsInput!$N$15+1,25,30,35,40,45,50)/100*(Inputs!$B$11-Inputs!$B$11),0))))/100+(Inputs!$B$23+((C221=TRUE)*(F221-Calc!F24))+(IF(ArtifactsInput!$M$15,CHOOSE(ArtifactsInput!$N$15+1,25,30,35,40,45,50)/100*(Inputs!$B$11-Inputs!$B$11),0)))/100)/2</f>
        <v/>
      </c>
      <c r="M204">
        <f>L204*(1+(Inputs!$B$10+0+B231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
        <f>L204*(1-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
        <f>(1-Summary!$B$11)*T204+Summary!$B$11*V204</f>
        <v/>
      </c>
      <c r="P204">
        <f>IF(B236=0,0,O204/B236)</f>
        <v/>
      </c>
      <c r="Q204">
        <f>IFERROR(1/(IF(Inputs!$B$38="pvp",15,MAX(0.1,Skills!D7-IF(Skills!E7=TRUE,Inputs!$B$32,0)))*(1-IF(AND(ArtifactsInput!$M$27,Inputs!$B$4="Chapter Hunt"),CHOOSE(ArtifactsInput!$N$27+1,20,24,28,32,36,40),0)/100)),0)</f>
        <v/>
      </c>
      <c r="R204">
        <f>IF(AND(Inputs!$B$38&lt;&gt;"pvp",Inputs!$B$43&gt;0),IF(MAX(0,Inputs!$B$43-B233)&lt;=0,0,(INT(MAX(0,Inputs!$B$43-B233)/(IF(Inputs!$B$38="pvp",15,MAX(0.1,Skills!D7-IF(Skills!E7=TRUE,Inputs!$B$32,0)))*(1-IF(AND(ArtifactsInput!$M$27,Inputs!$B$4="Chapter Hunt"),CHOOSE(ArtifactsInput!$N$27+1,20,24,28,32,36,40),0)/100)))+1)),0)</f>
        <v/>
      </c>
      <c r="S204">
        <f>IFERROR(O204/N204,0)</f>
        <v/>
      </c>
      <c r="T204">
        <f>IF(C204,(H204*N204*IF(AND(Inputs!$B$38&lt;&gt;"pvp",Inputs!$B$43&gt;0),((Skills!G7*((R204-1)*IF(Skills!H7&gt;0,Skills!I7/Skills!H7,1)+IF(Skills!H7&gt;0,MIN(Skills!I7,MAX(0,MAX(0,Inputs!$B$43-B233)-((R204-1)*(IF(Inputs!$B$38="pvp",15,MAX(0.1,Skills!D7-IF(Skills!E7=TRUE,Inputs!$B$32,0)))*(1-IF(AND(ArtifactsInput!$M$27,Inputs!$B$4="Chapter Hunt"),CHOOSE(ArtifactsInput!$N$27+1,20,24,28,32,36,40),0)/100)))))/Skills!H7,1)))/Inputs!$B$43),G204*Q204)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204*(1-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4">
        <f>IF(C204,(H204*N204*IF(AND(Inputs!$B$38&lt;&gt;"pvp",Inputs!$B$43&gt;0),((Skills!G7*((R204-1)*IF(Skills!H7&gt;0,Skills!I7/Skills!H7,1)+IF(Skills!H7&gt;0,MIN(Skills!I7,MAX(0,MAX(0,Inputs!$B$43-B233)-((R204-1)*(IF(Inputs!$B$38="pvp",15,MAX(0.1,Skills!D7-IF(Skills!E7=TRUE,Inputs!$B$32,0)))*(1-IF(AND(ArtifactsInput!$M$27,Inputs!$B$4="Chapter Hunt"),CHOOSE(ArtifactsInput!$N$27+1,20,24,28,32,36,40),0)/100)))))/Skills!H7,1)))/Inputs!$B$43),G204*Q204)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
      <c r="A205">
        <f>Skills!A8</f>
        <v/>
      </c>
      <c r="B205">
        <f>Skills!B8</f>
        <v/>
      </c>
      <c r="C205">
        <f>Inputs!$B$3&gt;=117</f>
        <v/>
      </c>
      <c r="D205">
        <f>IF(Skills!C8=1,60+Inputs!$B$25+Inputs!$B$29,IF(Skills!C8=2,90+Inputs!$B$26+Inputs!$B$29,IF(Skills!C8=3,120+Inputs!$B$27+Inputs!$B$29,MAX(0,(Inputs!$B$3-100)*3)+Inputs!$B$28+Inputs!$B$29)))</f>
        <v/>
      </c>
      <c r="E205">
        <f>INDEX(FactorTable!$B$2:$Y$301, MATCH(ROUND(MIN(300,MAX(1,D205)),0), FactorTable!$A$2:$A$301,0), Skills!M8+1)</f>
        <v/>
      </c>
      <c r="F205">
        <f>IF(Skills!N8=TRUE,(Skills!L8/10)*(E205/1000),Skills!L8/10)+Skills!O8</f>
        <v/>
      </c>
      <c r="G205">
        <f>Skills!G8*IF(Skills!H8&gt;0,Skills!I8/Skills!H8,1)</f>
        <v/>
      </c>
      <c r="H205">
        <f>1-(1-Skills!J8/100)^Skills!K8</f>
        <v/>
      </c>
      <c r="I205" t="inlineStr">
        <is>
          <t>1</t>
        </is>
      </c>
      <c r="J205">
        <f>((Inputs!$B$6*(1+Inputs!$B$7/100))+(((Inputs!$B$12*(1+Inputs!$B$13/100))-(Inputs!$B$12*(1+Inputs!$B$13/100)))+0.25*(Inputs!$B$14-Inputs!$B$14))*(1+Inputs!$B$7/100))*(F205/100)</f>
        <v/>
      </c>
      <c r="K205">
        <f>J205*(1+((Inputs!$B$12*(1+Inputs!$B$13/100))*0.01+Inputs!$B$14*0.0025)/100)*(1+(Inputs!$B$15+1)/100)*(1+Inputs!$B$16/100)*(5000/(6000+Inputs!$B$42*(1-(100*(1-(1-(Inputs!$B$19+0)/100)*(1-CHOOSE(ArtifactsInput!$N$40+1,5,6,7,8,9,10)/100)^(ArtifactsInput!$M$40-ArtifactsInput!$M$40)))/100)))*(1+(Inputs!$B$24+((C222=TRUE)*(F222-Calc!F25))+B232)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218=TRUE)*(F218-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220=TRUE)*(F220-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TRUE)*F210*IF(Inputs!$B$3&gt;=110,7,5))+((C212=TRUE)*F212*IF(AND(Inputs!$B$38&lt;&gt;"pvp",Inputs!$B$43&gt;0),(((R212-1)*(Skills!T15*(1+(Inputs!$B$34+(ArtifactsInput!$M$7-ArtifactsInput!$M$7)*CHOOSE(ArtifactsInput!$N$7+1,6,7.2,8.4,9.6,10.8,12))/100))+MIN((Skills!T15*(1+(Inputs!$B$34+(ArtifactsInput!$M$7-ArtifactsInput!$M$7)*CHOOSE(ArtifactsInput!$N$7+1,6,7.2,8.4,9.6,10.8,12))/100)),MAX(0,Inputs!$B$43-((R212-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Hunt"),CHOOSE(ArtifactsInput!$N$35+1,15,18,21,24,27,30)*(1-EXP(-(0.2*B228)*5)),0)+IF(AND(ArtifactsInput!$M$22,Inputs!$B$4&lt;&gt;"Chapter Hunt"),CHOOSE(ArtifactsInput!$N$22+1,10,12,14,16,18,20)*((0*(((0.15*B228*5))^0/1)+1*(((0.15*B228*5))^1/1)+2*(((0.15*B228*5))^2/2)+3*(((0.15*B228*5))^3/6)+4*(((0.15*B228*5))^4/24)+5*(((0.15*B228*5))^5/120))/((((0.15*B228*5))^0/1)+(((0.15*B228*5))^1/1)+(((0.15*B228*5))^2/2)+(((0.15*B228*5))^3/6)+(((0.15*B228*5))^4/24)+(((0.15*B228*5))^5/120))),0)))/100)*I205)</f>
        <v/>
      </c>
      <c r="L205">
        <f>K205*(MIN(Inputs!$B$22+((C219=TRUE)*(F219-Calc!F22)),(Inputs!$B$23+((C221=TRUE)*(F221-Calc!F24))+(IF(ArtifactsInput!$M$15,CHOOSE(ArtifactsInput!$N$15+1,25,30,35,40,45,50)/100*(Inputs!$B$11-Inputs!$B$11),0))))/100+(Inputs!$B$23+((C221=TRUE)*(F221-Calc!F24))+(IF(ArtifactsInput!$M$15,CHOOSE(ArtifactsInput!$N$15+1,25,30,35,40,45,50)/100*(Inputs!$B$11-Inputs!$B$11),0)))/100)/2</f>
        <v/>
      </c>
      <c r="M205">
        <f>L205*(1+(Inputs!$B$10+0+B231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
        <f>L205*(1-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
        <f>(1-Summary!$B$11)*T205+Summary!$B$11*V205</f>
        <v/>
      </c>
      <c r="P205">
        <f>IF(B236=0,0,O205/B236)</f>
        <v/>
      </c>
      <c r="Q205">
        <f>IFERROR(1/(IF(Inputs!$B$38="pvp",15,MAX(0.1,Skills!D8-IF(Skills!E8=TRUE,Inputs!$B$32,0)))*(1-IF(AND(ArtifactsInput!$M$27,Inputs!$B$4="Chapter Hunt"),CHOOSE(ArtifactsInput!$N$27+1,20,24,28,32,36,40),0)/100)),0)</f>
        <v/>
      </c>
      <c r="R205">
        <f>IF(AND(Inputs!$B$38&lt;&gt;"pvp",Inputs!$B$43&gt;0),IF(MAX(0,Inputs!$B$43-B233)&lt;=0,0,(INT(MAX(0,Inputs!$B$43-B233)/(IF(Inputs!$B$38="pvp",15,MAX(0.1,Skills!D8-IF(Skills!E8=TRUE,Inputs!$B$32,0)))*(1-IF(AND(ArtifactsInput!$M$27,Inputs!$B$4="Chapter Hunt"),CHOOSE(ArtifactsInput!$N$27+1,20,24,28,32,36,40),0)/100)))+1)),0)</f>
        <v/>
      </c>
      <c r="S205">
        <f>IFERROR(O205/N205,0)</f>
        <v/>
      </c>
      <c r="T205">
        <f>IF(C205,(H205*N205*IF(AND(Inputs!$B$38&lt;&gt;"pvp",Inputs!$B$43&gt;0),((Skills!G8*((R205-1)*IF(Skills!H8&gt;0,Skills!I8/Skills!H8,1)+IF(Skills!H8&gt;0,MIN(Skills!I8,MAX(0,MAX(0,Inputs!$B$43-B233)-((R205-1)*(IF(Inputs!$B$38="pvp",15,MAX(0.1,Skills!D8-IF(Skills!E8=TRUE,Inputs!$B$32,0)))*(1-IF(AND(ArtifactsInput!$M$27,Inputs!$B$4="Chapter Hunt"),CHOOSE(ArtifactsInput!$N$27+1,20,24,28,32,36,40),0)/100)))))/Skills!H8,1)))/Inputs!$B$43),G205*Q205)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
        <f>IF(C205,(H205*N205*IF(AND(Inputs!$B$38&lt;&gt;"pvp",Inputs!$B$43&gt;0),((Skills!G8*((R205-1)*IF(Skills!H8&gt;0,Skills!I8/Skills!H8,1)+IF(Skills!H8&gt;0,MIN(Skills!I8,MAX(0,MAX(0,Inputs!$B$43-B233)-((R205-1)*(IF(Inputs!$B$38="pvp",15,MAX(0.1,Skills!D8-IF(Skills!E8=TRUE,Inputs!$B$32,0)))*(1-IF(AND(ArtifactsInput!$M$27,Inputs!$B$4="Chapter Hunt"),CHOOSE(ArtifactsInput!$N$27+1,20,24,28,32,36,40),0)/100)))))/Skills!H8,1)))/Inputs!$B$43),G205*Q205)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
      <c r="A206">
        <f>Skills!A9</f>
        <v/>
      </c>
      <c r="B206">
        <f>Skills!B9</f>
        <v/>
      </c>
      <c r="C206">
        <f>Inputs!$B$3&gt;=69</f>
        <v/>
      </c>
      <c r="D206">
        <f>IF(Skills!C9=1,60+Inputs!$B$25+Inputs!$B$29,IF(Skills!C9=2,90+Inputs!$B$26+Inputs!$B$29,IF(Skills!C9=3,120+Inputs!$B$27+Inputs!$B$29,MAX(0,(Inputs!$B$3-100)*3)+Inputs!$B$28+Inputs!$B$29)))</f>
        <v/>
      </c>
      <c r="E206">
        <f>INDEX(FactorTable!$B$2:$Y$301, MATCH(ROUND(MIN(300,MAX(1,D206)),0), FactorTable!$A$2:$A$301,0), Skills!M9+1)</f>
        <v/>
      </c>
      <c r="F206">
        <f>IF(Skills!N9=TRUE,(Skills!L9/10)*(E206/1000),Skills!L9/10)+Skills!O9</f>
        <v/>
      </c>
      <c r="G206">
        <f>Skills!G9*IF(Skills!H9&gt;0,Skills!I9/Skills!H9,1)</f>
        <v/>
      </c>
      <c r="H206">
        <f>1-(1-Skills!J9/100)^Skills!K9</f>
        <v/>
      </c>
      <c r="I206" t="inlineStr">
        <is>
          <t>1</t>
        </is>
      </c>
      <c r="J206">
        <f>((Inputs!$B$6*(1+Inputs!$B$7/100))+(((Inputs!$B$12*(1+Inputs!$B$13/100))-(Inputs!$B$12*(1+Inputs!$B$13/100)))+0.25*(Inputs!$B$14-Inputs!$B$14))*(1+Inputs!$B$7/100))*(F206/100)</f>
        <v/>
      </c>
      <c r="K206">
        <f>J206*(1+((Inputs!$B$12*(1+Inputs!$B$13/100))*0.01+Inputs!$B$14*0.0025)/100)*(1+(Inputs!$B$15+1)/100)*(1+Inputs!$B$16/100)*(5000/(6000+Inputs!$B$42*(1-(100*(1-(1-(Inputs!$B$19+0)/100)*(1-CHOOSE(ArtifactsInput!$N$40+1,5,6,7,8,9,10)/100)^(ArtifactsInput!$M$40-ArtifactsInput!$M$40)))/100)))*(1+(Inputs!$B$24+((C222=TRUE)*(F222-Calc!F25))+B232)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209=TRUE,F209,0)/100)*(1+IF(Skills!A9="ENHANCED_RAGING_BLOW",IF(Inputs!$B$3&gt;=134,MAX(0,IF(Inputs!$B$3&gt;=110,7,5)-5)*50,0),0)/100)*(1+(IF(Skills!A9="RAGING_BLOW",Inputs!$B$17+((C218=TRUE)*(F218-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220=TRUE)*(F220-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TRUE)*F210*IF(Inputs!$B$3&gt;=110,7,5))+((C212=TRUE)*F212*IF(AND(Inputs!$B$38&lt;&gt;"pvp",Inputs!$B$43&gt;0),(((R212-1)*(Skills!T15*(1+(Inputs!$B$34+(ArtifactsInput!$M$7-ArtifactsInput!$M$7)*CHOOSE(ArtifactsInput!$N$7+1,6,7.2,8.4,9.6,10.8,12))/100))+MIN((Skills!T15*(1+(Inputs!$B$34+(ArtifactsInput!$M$7-ArtifactsInput!$M$7)*CHOOSE(ArtifactsInput!$N$7+1,6,7.2,8.4,9.6,10.8,12))/100)),MAX(0,Inputs!$B$43-((R212-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Hunt"),CHOOSE(ArtifactsInput!$N$35+1,15,18,21,24,27,30)*(1-EXP(-(0.2*B228)*5)),0)+IF(AND(ArtifactsInput!$M$22,Inputs!$B$4&lt;&gt;"Chapter Hunt"),CHOOSE(ArtifactsInput!$N$22+1,10,12,14,16,18,20)*((0*(((0.15*B228*5))^0/1)+1*(((0.15*B228*5))^1/1)+2*(((0.15*B228*5))^2/2)+3*(((0.15*B228*5))^3/6)+4*(((0.15*B228*5))^4/24)+5*(((0.15*B228*5))^5/120))/((((0.15*B228*5))^0/1)+(((0.15*B228*5))^1/1)+(((0.15*B228*5))^2/2)+(((0.15*B228*5))^3/6)+(((0.15*B228*5))^4/24)+(((0.15*B228*5))^5/120))),0)))/100)*I206)</f>
        <v/>
      </c>
      <c r="L206">
        <f>K206*(MIN(Inputs!$B$22+((C219=TRUE)*(F219-Calc!F22)),(Inputs!$B$23+((C221=TRUE)*(F221-Calc!F24))+(IF(ArtifactsInput!$M$15,CHOOSE(ArtifactsInput!$N$15+1,25,30,35,40,45,50)/100*(Inputs!$B$11-Inputs!$B$11),0))))/100+(Inputs!$B$23+((C221=TRUE)*(F221-Calc!F24))+(IF(ArtifactsInput!$M$15,CHOOSE(ArtifactsInput!$N$15+1,25,30,35,40,45,50)/100*(Inputs!$B$11-Inputs!$B$11),0)))/100)/2</f>
        <v/>
      </c>
      <c r="M206">
        <f>L206*(1+(Inputs!$B$10+0+B231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
        <f>L206*(1-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
        <f>(1-Summary!$B$11)*T206+Summary!$B$11*V206</f>
        <v/>
      </c>
      <c r="P206">
        <f>IF(B236=0,0,O206/B236)</f>
        <v/>
      </c>
      <c r="Q206">
        <f>IFERROR(1/(IF(Inputs!$B$38="pvp",15,MAX(0.1,Skills!D9-IF(Skills!E9=TRUE,Inputs!$B$32,0)))*(1-IF(AND(ArtifactsInput!$M$27,Inputs!$B$4="Chapter Hunt"),CHOOSE(ArtifactsInput!$N$27+1,20,24,28,32,36,40),0)/100)),0)</f>
        <v/>
      </c>
      <c r="R206">
        <f>IF(AND(Inputs!$B$38&lt;&gt;"pvp",Inputs!$B$43&gt;0),IF(MAX(0,Inputs!$B$43-B233)&lt;=0,0,(INT(MAX(0,Inputs!$B$43-B233)/(IF(Inputs!$B$38="pvp",15,MAX(0.1,Skills!D9-IF(Skills!E9=TRUE,Inputs!$B$32,0)))*(1-IF(AND(ArtifactsInput!$M$27,Inputs!$B$4="Chapter Hunt"),CHOOSE(ArtifactsInput!$N$27+1,20,24,28,32,36,40),0)/100)))+1)),0)</f>
        <v/>
      </c>
      <c r="S206">
        <f>IFERROR(O206/N206,0)</f>
        <v/>
      </c>
      <c r="T206">
        <f>IF(C206,(H206*N206*IF(AND(Inputs!$B$38&lt;&gt;"pvp",Inputs!$B$43&gt;0),((Skills!G9*((R206-1)*IF(Skills!H9&gt;0,Skills!I9/Skills!H9,1)+IF(Skills!H9&gt;0,MIN(Skills!I9,MAX(0,MAX(0,Inputs!$B$43-B233)-((R206-1)*(IF(Inputs!$B$38="pvp",15,MAX(0.1,Skills!D9-IF(Skills!E9=TRUE,Inputs!$B$32,0)))*(1-IF(AND(ArtifactsInput!$M$27,Inputs!$B$4="Chapter Hunt"),CHOOSE(ArtifactsInput!$N$27+1,20,24,28,32,36,40),0)/100)))))/Skills!H9,1)))/Inputs!$B$43),G206*Q206)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206*(1-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6">
        <f>IF(C206,(H206*N206*IF(AND(Inputs!$B$38&lt;&gt;"pvp",Inputs!$B$43&gt;0),((Skills!G9*((R206-1)*IF(Skills!H9&gt;0,Skills!I9/Skills!H9,1)+IF(Skills!H9&gt;0,MIN(Skills!I9,MAX(0,MAX(0,Inputs!$B$43-B233)-((R206-1)*(IF(Inputs!$B$38="pvp",15,MAX(0.1,Skills!D9-IF(Skills!E9=TRUE,Inputs!$B$32,0)))*(1-IF(AND(ArtifactsInput!$M$27,Inputs!$B$4="Chapter Hunt"),CHOOSE(ArtifactsInput!$N$27+1,20,24,28,32,36,40),0)/100)))))/Skills!H9,1)))/Inputs!$B$43),G206*Q206)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7">
      <c r="A207">
        <f>Skills!A10</f>
        <v/>
      </c>
      <c r="B207">
        <f>Skills!B10</f>
        <v/>
      </c>
      <c r="C207">
        <f>Inputs!$B$3&gt;=63</f>
        <v/>
      </c>
      <c r="D207">
        <f>IF(Skills!C10=1,60+Inputs!$B$25+Inputs!$B$29,IF(Skills!C10=2,90+Inputs!$B$26+Inputs!$B$29,IF(Skills!C10=3,120+Inputs!$B$27+Inputs!$B$29,MAX(0,(Inputs!$B$3-100)*3)+Inputs!$B$28+Inputs!$B$29)))</f>
        <v/>
      </c>
      <c r="E207">
        <f>INDEX(FactorTable!$B$2:$Y$301, MATCH(ROUND(MIN(300,MAX(1,D207)),0), FactorTable!$A$2:$A$301,0), Skills!M10+1)</f>
        <v/>
      </c>
      <c r="F207">
        <f>IF(Skills!N10=TRUE,(Skills!L10/10)*(E207/1000),Skills!L10/10)+Skills!O10</f>
        <v/>
      </c>
      <c r="G207">
        <f>Skills!G10*IF(Skills!H10&gt;0,Skills!I10/Skills!H10,1)</f>
        <v/>
      </c>
      <c r="H207">
        <f>1-(1-Skills!J10/100)^Skills!K10</f>
        <v/>
      </c>
      <c r="I207" t="inlineStr">
        <is>
          <t>1</t>
        </is>
      </c>
      <c r="J207">
        <f>((Inputs!$B$6*(1+Inputs!$B$7/100))+(((Inputs!$B$12*(1+Inputs!$B$13/100))-(Inputs!$B$12*(1+Inputs!$B$13/100)))+0.25*(Inputs!$B$14-Inputs!$B$14))*(1+Inputs!$B$7/100))*(F207/100)</f>
        <v/>
      </c>
      <c r="K207">
        <f>J207*(1+((Inputs!$B$12*(1+Inputs!$B$13/100))*0.01+Inputs!$B$14*0.0025)/100)*(1+(Inputs!$B$15+1)/100)*(1+Inputs!$B$16/100)*(5000/(6000+Inputs!$B$42*(1-(100*(1-(1-(Inputs!$B$19+0)/100)*(1-CHOOSE(ArtifactsInput!$N$40+1,5,6,7,8,9,10)/100)^(ArtifactsInput!$M$40-ArtifactsInput!$M$40)))/100)))*(1+(Inputs!$B$24+((C222=TRUE)*(F222-Calc!F25))+B232)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209=TRUE,F209,0)/100)*(1+IF(Skills!A10="ENHANCED_RAGING_BLOW",IF(Inputs!$B$3&gt;=134,MAX(0,IF(Inputs!$B$3&gt;=110,7,5)-5)*50,0),0)/100)*(1+(IF(Skills!A10="RAGING_BLOW",Inputs!$B$17+((C218=TRUE)*(F218-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220=TRUE)*(F220-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TRUE)*F210*IF(Inputs!$B$3&gt;=110,7,5))+((C212=TRUE)*F212*IF(AND(Inputs!$B$38&lt;&gt;"pvp",Inputs!$B$43&gt;0),(((R212-1)*(Skills!T15*(1+(Inputs!$B$34+(ArtifactsInput!$M$7-ArtifactsInput!$M$7)*CHOOSE(ArtifactsInput!$N$7+1,6,7.2,8.4,9.6,10.8,12))/100))+MIN((Skills!T15*(1+(Inputs!$B$34+(ArtifactsInput!$M$7-ArtifactsInput!$M$7)*CHOOSE(ArtifactsInput!$N$7+1,6,7.2,8.4,9.6,10.8,12))/100)),MAX(0,Inputs!$B$43-((R212-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Hunt"),CHOOSE(ArtifactsInput!$N$35+1,15,18,21,24,27,30)*(1-EXP(-(0.2*B228)*5)),0)+IF(AND(ArtifactsInput!$M$22,Inputs!$B$4&lt;&gt;"Chapter Hunt"),CHOOSE(ArtifactsInput!$N$22+1,10,12,14,16,18,20)*((0*(((0.15*B228*5))^0/1)+1*(((0.15*B228*5))^1/1)+2*(((0.15*B228*5))^2/2)+3*(((0.15*B228*5))^3/6)+4*(((0.15*B228*5))^4/24)+5*(((0.15*B228*5))^5/120))/((((0.15*B228*5))^0/1)+(((0.15*B228*5))^1/1)+(((0.15*B228*5))^2/2)+(((0.15*B228*5))^3/6)+(((0.15*B228*5))^4/24)+(((0.15*B228*5))^5/120))),0)))/100)*I207)</f>
        <v/>
      </c>
      <c r="L207">
        <f>K207*(MIN(Inputs!$B$22+((C219=TRUE)*(F219-Calc!F22)),(Inputs!$B$23+((C221=TRUE)*(F221-Calc!F24))+(IF(ArtifactsInput!$M$15,CHOOSE(ArtifactsInput!$N$15+1,25,30,35,40,45,50)/100*(Inputs!$B$11-Inputs!$B$11),0))))/100+(Inputs!$B$23+((C221=TRUE)*(F221-Calc!F24))+(IF(ArtifactsInput!$M$15,CHOOSE(ArtifactsInput!$N$15+1,25,30,35,40,45,50)/100*(Inputs!$B$11-Inputs!$B$11),0)))/100)/2</f>
        <v/>
      </c>
      <c r="M207">
        <f>L207*(1+(Inputs!$B$10+0+B231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7">
        <f>L207*(1-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207*(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7">
        <f>(1-Summary!$B$11)*T207+Summary!$B$11*V207</f>
        <v/>
      </c>
      <c r="P207">
        <f>IF(B236=0,0,O207/B236)</f>
        <v/>
      </c>
      <c r="Q207">
        <f>IFERROR(1/(IF(Inputs!$B$38="pvp",15,MAX(0.1,Skills!D10-IF(Skills!E10=TRUE,Inputs!$B$32,0)))*(1-IF(AND(ArtifactsInput!$M$27,Inputs!$B$4="Chapter Hunt"),CHOOSE(ArtifactsInput!$N$27+1,20,24,28,32,36,40),0)/100)),0)</f>
        <v/>
      </c>
      <c r="R207">
        <f>IF(AND(Inputs!$B$38&lt;&gt;"pvp",Inputs!$B$43&gt;0),IF(MAX(0,Inputs!$B$43-B233)&lt;=0,0,(INT(MAX(0,Inputs!$B$43-B233)/(IF(Inputs!$B$38="pvp",15,MAX(0.1,Skills!D10-IF(Skills!E10=TRUE,Inputs!$B$32,0)))*(1-IF(AND(ArtifactsInput!$M$27,Inputs!$B$4="Chapter Hunt"),CHOOSE(ArtifactsInput!$N$27+1,20,24,28,32,36,40),0)/100)))+1)),0)</f>
        <v/>
      </c>
      <c r="S207">
        <f>IFERROR(O207/N207,0)</f>
        <v/>
      </c>
      <c r="T207">
        <f>IF(C207,(H207*N207*IF(AND(Inputs!$B$38&lt;&gt;"pvp",Inputs!$B$43&gt;0),((Skills!G10*((R207-1)*IF(Skills!H10&gt;0,Skills!I10/Skills!H10,1)+IF(Skills!H10&gt;0,MIN(Skills!I10,MAX(0,MAX(0,Inputs!$B$43-B233)-((R207-1)*(IF(Inputs!$B$38="pvp",15,MAX(0.1,Skills!D10-IF(Skills!E10=TRUE,Inputs!$B$32,0)))*(1-IF(AND(ArtifactsInput!$M$27,Inputs!$B$4="Chapter Hunt"),CHOOSE(ArtifactsInput!$N$27+1,20,24,28,32,36,40),0)/100)))))/Skills!H10,1)))/Inputs!$B$43),G207*Q207)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207*(1-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207*(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207*(1-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207*(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7">
        <f>IF(C207,(H207*N207*IF(AND(Inputs!$B$38&lt;&gt;"pvp",Inputs!$B$43&gt;0),((Skills!G10*((R207-1)*IF(Skills!H10&gt;0,Skills!I10/Skills!H10,1)+IF(Skills!H10&gt;0,MIN(Skills!I10,MAX(0,MAX(0,Inputs!$B$43-B233)-((R207-1)*(IF(Inputs!$B$38="pvp",15,MAX(0.1,Skills!D10-IF(Skills!E10=TRUE,Inputs!$B$32,0)))*(1-IF(AND(ArtifactsInput!$M$27,Inputs!$B$4="Chapter Hunt"),CHOOSE(ArtifactsInput!$N$27+1,20,24,28,32,36,40),0)/100)))))/Skills!H10,1)))/Inputs!$B$43),G207*Q207)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
      <c r="A208">
        <f>Skills!A11</f>
        <v/>
      </c>
      <c r="B208">
        <f>Skills!B11</f>
        <v/>
      </c>
      <c r="C208">
        <f>Inputs!$B$3&gt;=35</f>
        <v/>
      </c>
      <c r="D208">
        <f>IF(Skills!C11=1,60+Inputs!$B$25+Inputs!$B$29,IF(Skills!C11=2,90+Inputs!$B$26+Inputs!$B$29,IF(Skills!C11=3,120+Inputs!$B$27+Inputs!$B$29,MAX(0,(Inputs!$B$3-100)*3)+Inputs!$B$28+Inputs!$B$29)))</f>
        <v/>
      </c>
      <c r="E208">
        <f>INDEX(FactorTable!$B$2:$Y$301, MATCH(ROUND(MIN(300,MAX(1,D208)),0), FactorTable!$A$2:$A$301,0), Skills!M11+1)</f>
        <v/>
      </c>
      <c r="F208">
        <f>IF(Skills!N11=TRUE,(Skills!L11/10)*(E208/1000),Skills!L11/10)+Skills!O11</f>
        <v/>
      </c>
      <c r="G208">
        <f>Skills!G11*IF(Skills!H11&gt;0,Skills!I11/Skills!H11,1)</f>
        <v/>
      </c>
      <c r="H208">
        <f>1-(1-Skills!J11/100)^Skills!K11</f>
        <v/>
      </c>
      <c r="I208" t="inlineStr">
        <is>
          <t>1</t>
        </is>
      </c>
      <c r="J208">
        <f>((Inputs!$B$6*(1+Inputs!$B$7/100))+(((Inputs!$B$12*(1+Inputs!$B$13/100))-(Inputs!$B$12*(1+Inputs!$B$13/100)))+0.25*(Inputs!$B$14-Inputs!$B$14))*(1+Inputs!$B$7/100))*(F208/100)</f>
        <v/>
      </c>
      <c r="K208">
        <f>J208*(1+((Inputs!$B$12*(1+Inputs!$B$13/100))*0.01+Inputs!$B$14*0.0025)/100)*(1+(Inputs!$B$15+1)/100)*(1+Inputs!$B$16/100)*(5000/(6000+Inputs!$B$42*(1-(100*(1-(1-(Inputs!$B$19+0)/100)*(1-CHOOSE(ArtifactsInput!$N$40+1,5,6,7,8,9,10)/100)^(ArtifactsInput!$M$40-ArtifactsInput!$M$40)))/100)))*(1+(Inputs!$B$24+((C222=TRUE)*(F222-Calc!F25))+B232)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209=TRUE,F209,0)/100)*(1+IF(Skills!A11="ENHANCED_RAGING_BLOW",IF(Inputs!$B$3&gt;=134,MAX(0,IF(Inputs!$B$3&gt;=110,7,5)-5)*50,0),0)/100)*(1+(IF(Skills!A11="RAGING_BLOW",Inputs!$B$17+((C218=TRUE)*(F218-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220=TRUE)*(F220-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TRUE)*F210*IF(Inputs!$B$3&gt;=110,7,5))+((C212=TRUE)*F212*IF(AND(Inputs!$B$38&lt;&gt;"pvp",Inputs!$B$43&gt;0),(((R212-1)*(Skills!T15*(1+(Inputs!$B$34+(ArtifactsInput!$M$7-ArtifactsInput!$M$7)*CHOOSE(ArtifactsInput!$N$7+1,6,7.2,8.4,9.6,10.8,12))/100))+MIN((Skills!T15*(1+(Inputs!$B$34+(ArtifactsInput!$M$7-ArtifactsInput!$M$7)*CHOOSE(ArtifactsInput!$N$7+1,6,7.2,8.4,9.6,10.8,12))/100)),MAX(0,Inputs!$B$43-((R212-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Hunt"),CHOOSE(ArtifactsInput!$N$35+1,15,18,21,24,27,30)*(1-EXP(-(0.2*B228)*5)),0)+IF(AND(ArtifactsInput!$M$22,Inputs!$B$4&lt;&gt;"Chapter Hunt"),CHOOSE(ArtifactsInput!$N$22+1,10,12,14,16,18,20)*((0*(((0.15*B228*5))^0/1)+1*(((0.15*B228*5))^1/1)+2*(((0.15*B228*5))^2/2)+3*(((0.15*B228*5))^3/6)+4*(((0.15*B228*5))^4/24)+5*(((0.15*B228*5))^5/120))/((((0.15*B228*5))^0/1)+(((0.15*B228*5))^1/1)+(((0.15*B228*5))^2/2)+(((0.15*B228*5))^3/6)+(((0.15*B228*5))^4/24)+(((0.15*B228*5))^5/120))),0)))/100)*I208)</f>
        <v/>
      </c>
      <c r="L208">
        <f>K208*(MIN(Inputs!$B$22+((C219=TRUE)*(F219-Calc!F22)),(Inputs!$B$23+((C221=TRUE)*(F221-Calc!F24))+(IF(ArtifactsInput!$M$15,CHOOSE(ArtifactsInput!$N$15+1,25,30,35,40,45,50)/100*(Inputs!$B$11-Inputs!$B$11),0))))/100+(Inputs!$B$23+((C221=TRUE)*(F221-Calc!F24))+(IF(ArtifactsInput!$M$15,CHOOSE(ArtifactsInput!$N$15+1,25,30,35,40,45,50)/100*(Inputs!$B$11-Inputs!$B$11),0)))/100)/2</f>
        <v/>
      </c>
      <c r="M208">
        <f>L208*(1+(Inputs!$B$10+0+B231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8">
        <f>L208*(1-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MIN((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
        <f>(1-Summary!$B$11)*T208+Summary!$B$11*V208</f>
        <v/>
      </c>
      <c r="P208">
        <f>IF(B236=0,0,O208/B236)</f>
        <v/>
      </c>
      <c r="Q208">
        <f>IFERROR(1/(IF(Inputs!$B$38="pvp",15,MAX(0.1,Skills!D11-IF(Skills!E11=TRUE,Inputs!$B$32,0)))*(1-IF(AND(ArtifactsInput!$M$27,Inputs!$B$4="Chapter Hunt"),CHOOSE(ArtifactsInput!$N$27+1,20,24,28,32,36,40),0)/100)),0)</f>
        <v/>
      </c>
      <c r="R208">
        <f>IF(AND(Inputs!$B$38&lt;&gt;"pvp",Inputs!$B$43&gt;0),IF(MAX(0,Inputs!$B$43-B233)&lt;=0,0,(INT(MAX(0,Inputs!$B$43-B233)/(IF(Inputs!$B$38="pvp",15,MAX(0.1,Skills!D11-IF(Skills!E11=TRUE,Inputs!$B$32,0)))*(1-IF(AND(ArtifactsInput!$M$27,Inputs!$B$4="Chapter Hunt"),CHOOSE(ArtifactsInput!$N$27+1,20,24,28,32,36,40),0)/100)))+1)),0)</f>
        <v/>
      </c>
      <c r="S208">
        <f>IFERROR(O208/N208,0)</f>
        <v/>
      </c>
      <c r="T208">
        <f>IF(C208,(H208*N208*IF(AND(Inputs!$B$38&lt;&gt;"pvp",Inputs!$B$43&gt;0),((Skills!G11*((R208-1)*IF(Skills!H11&gt;0,Skills!I11/Skills!H11,1)+IF(Skills!H11&gt;0,MIN(Skills!I11,MAX(0,MAX(0,Inputs!$B$43-B233)-((R208-1)*(IF(Inputs!$B$38="pvp",15,MAX(0.1,Skills!D11-IF(Skills!E11=TRUE,Inputs!$B$32,0)))*(1-IF(AND(ArtifactsInput!$M$27,Inputs!$B$4="Chapter Hunt"),CHOOSE(ArtifactsInput!$N$27+1,20,24,28,32,36,40),0)/100)))))/Skills!H11,1)))/Inputs!$B$43),G208*Q208)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208*(1-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(1-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MIN(100,(Inputs!$B$9+((C223=TRUE)*(F223-Calc!F26))+B226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8">
        <f>IF(C208,(H208*N208*IF(AND(Inputs!$B$38&lt;&gt;"pvp",Inputs!$B$43&gt;0),((Skills!G11*((R208-1)*IF(Skills!H11&gt;0,Skills!I11/Skills!H11,1)+IF(Skills!H11&gt;0,MIN(Skills!I11,MAX(0,MAX(0,Inputs!$B$43-B233)-((R208-1)*(IF(Inputs!$B$38="pvp",15,MAX(0.1,Skills!D11-IF(Skills!E11=TRUE,Inputs!$B$32,0)))*(1-IF(AND(ArtifactsInput!$M$27,Inputs!$B$4="Chapter Hunt"),CHOOSE(ArtifactsInput!$N$27+1,20,24,28,32,36,40),0)/100)))))/Skills!H11,1)))/Inputs!$B$43),G208*Q208)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
      <c r="A209">
        <f>Skills!A12</f>
        <v/>
      </c>
      <c r="B209">
        <f>Skills!B12</f>
        <v/>
      </c>
      <c r="C209">
        <f>Inputs!$B$3&gt;=100</f>
        <v/>
      </c>
      <c r="D209">
        <f>IF(Skills!C12=1,60+Inputs!$B$25+Inputs!$B$29,IF(Skills!C12=2,90+Inputs!$B$26+Inputs!$B$29,IF(Skills!C12=3,120+Inputs!$B$27+Inputs!$B$29,MAX(0,(Inputs!$B$3-100)*3)+Inputs!$B$28+Inputs!$B$29)))</f>
        <v/>
      </c>
      <c r="E209">
        <f>INDEX(FactorTable!$B$2:$Y$301, MATCH(ROUND(MIN(300,MAX(1,D209)),0), FactorTable!$A$2:$A$301,0), Skills!M12+1)</f>
        <v/>
      </c>
      <c r="F209">
        <f>IF(Skills!N12=TRUE,(Skills!L12/10)*(E209/1000),Skills!L12/10)+Skills!O12</f>
        <v/>
      </c>
      <c r="G209" t="inlineStr"/>
      <c r="H209" t="inlineStr"/>
      <c r="I209" t="inlineStr">
        <is>
          <t>1</t>
        </is>
      </c>
      <c r="J209" t="inlineStr"/>
      <c r="K209" t="inlineStr"/>
      <c r="L209" t="inlineStr"/>
      <c r="M209" t="inlineStr"/>
      <c r="N209" t="inlineStr"/>
      <c r="O209" t="inlineStr"/>
      <c r="P209" t="inlineStr"/>
      <c r="Q209" t="inlineStr"/>
      <c r="R209" t="inlineStr"/>
      <c r="S209" t="inlineStr"/>
    </row>
    <row r="210">
      <c r="A210">
        <f>Skills!A13</f>
        <v/>
      </c>
      <c r="B210">
        <f>Skills!B13</f>
        <v/>
      </c>
      <c r="C210">
        <f>Inputs!$B$3&gt;=45</f>
        <v/>
      </c>
      <c r="D210">
        <f>IF(Skills!C13=1,60+Inputs!$B$25+Inputs!$B$29,IF(Skills!C13=2,90+Inputs!$B$26+Inputs!$B$29,IF(Skills!C13=3,120+Inputs!$B$27+Inputs!$B$29,MAX(0,(Inputs!$B$3-100)*3)+Inputs!$B$28+Inputs!$B$29)))</f>
        <v/>
      </c>
      <c r="E210">
        <f>INDEX(FactorTable!$B$2:$Y$301, MATCH(ROUND(MIN(300,MAX(1,D210)),0), FactorTable!$A$2:$A$301,0), Skills!M13+1)</f>
        <v/>
      </c>
      <c r="F210">
        <f>IF(Skills!N13=TRUE,(Skills!L13/10)*(E210/1000),Skills!L13/10)+Skills!O13</f>
        <v/>
      </c>
      <c r="G210">
        <f>Skills!G13*IF(Skills!H13&gt;0,Skills!I13/Skills!H13,1)</f>
        <v/>
      </c>
      <c r="H210">
        <f>1-(1-Skills!J13/100)^Skills!K13</f>
        <v/>
      </c>
      <c r="I210" t="inlineStr">
        <is>
          <t>1</t>
        </is>
      </c>
      <c r="J210" t="inlineStr"/>
      <c r="K210" t="inlineStr"/>
      <c r="L210" t="inlineStr"/>
      <c r="M210" t="inlineStr"/>
      <c r="N210" t="inlineStr"/>
      <c r="O210">
        <f>(1-Summary!$B$11)*T210+Summary!$B$11*V210</f>
        <v/>
      </c>
      <c r="P210">
        <f>IF(B236=0,0,O210/B236)</f>
        <v/>
      </c>
      <c r="Q210" t="n">
        <v>0</v>
      </c>
      <c r="R210" t="n">
        <v>0</v>
      </c>
      <c r="S210">
        <f>IFERROR(O210/N210,0)</f>
        <v/>
      </c>
      <c r="T210" t="n">
        <v>0</v>
      </c>
      <c r="V210" t="n">
        <v>0</v>
      </c>
    </row>
    <row r="211">
      <c r="A211">
        <f>Skills!A14</f>
        <v/>
      </c>
      <c r="B211">
        <f>Skills!B14</f>
        <v/>
      </c>
      <c r="C211">
        <f>Inputs!$B$3&gt;=75</f>
        <v/>
      </c>
      <c r="D211">
        <f>IF(Skills!C14=1,60+Inputs!$B$25+Inputs!$B$29,IF(Skills!C14=2,90+Inputs!$B$26+Inputs!$B$29,IF(Skills!C14=3,120+Inputs!$B$27+Inputs!$B$29,MAX(0,(Inputs!$B$3-100)*3)+Inputs!$B$28+Inputs!$B$29)))</f>
        <v/>
      </c>
      <c r="E211">
        <f>INDEX(FactorTable!$B$2:$Y$301, MATCH(ROUND(MIN(300,MAX(1,D211)),0), FactorTable!$A$2:$A$301,0), Skills!M14+1)</f>
        <v/>
      </c>
      <c r="F211">
        <f>IF(Skills!N14=TRUE,(Skills!L14/10)*(E211/1000),Skills!L14/10)+Skills!O14</f>
        <v/>
      </c>
      <c r="G211">
        <f>Skills!G14*IF(Skills!H14&gt;0,Skills!I14/Skills!H14,1)</f>
        <v/>
      </c>
      <c r="H211">
        <f>1-(1-Skills!J14/100)^Skills!K14</f>
        <v/>
      </c>
      <c r="I211" t="inlineStr">
        <is>
          <t>1</t>
        </is>
      </c>
      <c r="J211" t="inlineStr"/>
      <c r="K211" t="inlineStr"/>
      <c r="L211" t="inlineStr"/>
      <c r="M211" t="inlineStr"/>
      <c r="N211" t="inlineStr"/>
      <c r="O211">
        <f>(1-Summary!$B$11)*T211+Summary!$B$11*V211</f>
        <v/>
      </c>
      <c r="P211">
        <f>IF(B236=0,0,O211/B236)</f>
        <v/>
      </c>
      <c r="Q211" t="n">
        <v>0</v>
      </c>
      <c r="R211" t="n">
        <v>0</v>
      </c>
      <c r="S211">
        <f>IFERROR(O211/N211,0)</f>
        <v/>
      </c>
      <c r="T211" t="n">
        <v>0</v>
      </c>
      <c r="V211" t="n">
        <v>0</v>
      </c>
    </row>
    <row r="212">
      <c r="A212">
        <f>Skills!A15</f>
        <v/>
      </c>
      <c r="B212">
        <f>Skills!B15</f>
        <v/>
      </c>
      <c r="C212">
        <f>Inputs!$B$3&gt;=40</f>
        <v/>
      </c>
      <c r="D212">
        <f>IF(Skills!C15=1,60+Inputs!$B$25+Inputs!$B$29,IF(Skills!C15=2,90+Inputs!$B$26+Inputs!$B$29,IF(Skills!C15=3,120+Inputs!$B$27+Inputs!$B$29,MAX(0,(Inputs!$B$3-100)*3)+Inputs!$B$28+Inputs!$B$29)))</f>
        <v/>
      </c>
      <c r="E212">
        <f>INDEX(FactorTable!$B$2:$Y$301, MATCH(ROUND(MIN(300,MAX(1,D212)),0), FactorTable!$A$2:$A$301,0), Skills!M15+1)</f>
        <v/>
      </c>
      <c r="F212">
        <f>IF(Skills!N15=TRUE,(Skills!L15/10)*(E212/1000),Skills!L15/10)+Skills!O15</f>
        <v/>
      </c>
      <c r="G212">
        <f>Skills!G15*IF(Skills!H15&gt;0,Skills!I15/Skills!H15,1)</f>
        <v/>
      </c>
      <c r="H212">
        <f>1-(1-Skills!J15/100)^Skills!K15</f>
        <v/>
      </c>
      <c r="I212" t="inlineStr">
        <is>
          <t>1</t>
        </is>
      </c>
      <c r="J212" t="inlineStr"/>
      <c r="K212" t="inlineStr"/>
      <c r="L212" t="inlineStr"/>
      <c r="M212" t="inlineStr"/>
      <c r="N212" t="inlineStr"/>
      <c r="O212">
        <f>(1-Summary!$B$11)*T212+Summary!$B$11*V212</f>
        <v/>
      </c>
      <c r="P212">
        <f>IF(B236=0,0,O212/B236)</f>
        <v/>
      </c>
      <c r="Q212">
        <f>IFERROR(1/(IF(Inputs!$B$38="pvp",15,MAX(0.1,Skills!D15-IF(Skills!E15=TRUE,Inputs!$B$32,0)))*(1-IF(AND(ArtifactsInput!$M$27,Inputs!$B$4="Chapter Hunt"),CHOOSE(ArtifactsInput!$N$27+1,20,24,28,32,36,40),0)/100)),0)</f>
        <v/>
      </c>
      <c r="R212">
        <f>IF(AND(Inputs!$B$38&lt;&gt;"pvp",Inputs!$B$43&gt;0),IF(Inputs!$B$43&lt;=0,0,(INT(Inputs!$B$43/(IF(Inputs!$B$38="pvp",15,MAX(0.1,Skills!D15-IF(Skills!E15=TRUE,Inputs!$B$32,0)))*(1-IF(AND(ArtifactsInput!$M$27,Inputs!$B$4="Chapter Hunt"),CHOOSE(ArtifactsInput!$N$27+1,20,24,28,32,36,40),0)/100)))+1)),0)</f>
        <v/>
      </c>
      <c r="S212">
        <f>IFERROR(O212/N212,0)</f>
        <v/>
      </c>
      <c r="T212" t="n">
        <v>0</v>
      </c>
      <c r="V212" t="n">
        <v>0</v>
      </c>
    </row>
    <row r="213">
      <c r="A213">
        <f>Skills!A16</f>
        <v/>
      </c>
      <c r="B213">
        <f>Skills!B16</f>
        <v/>
      </c>
      <c r="C213">
        <f>Inputs!$B$3&gt;=66</f>
        <v/>
      </c>
      <c r="D213">
        <f>IF(Skills!C16=1,60+Inputs!$B$25+Inputs!$B$29,IF(Skills!C16=2,90+Inputs!$B$26+Inputs!$B$29,IF(Skills!C16=3,120+Inputs!$B$27+Inputs!$B$29,MAX(0,(Inputs!$B$3-100)*3)+Inputs!$B$28+Inputs!$B$29)))</f>
        <v/>
      </c>
      <c r="E213">
        <f>INDEX(FactorTable!$B$2:$Y$301, MATCH(ROUND(MIN(300,MAX(1,D213)),0), FactorTable!$A$2:$A$301,0), Skills!M16+1)</f>
        <v/>
      </c>
      <c r="F213">
        <f>IF(Skills!N16=TRUE,(Skills!L16/10)*(E213/1000),Skills!L16/10)+Skills!O16</f>
        <v/>
      </c>
      <c r="G213">
        <f>Skills!G16*IF(Skills!H16&gt;0,Skills!I16/Skills!H16,1)</f>
        <v/>
      </c>
      <c r="H213">
        <f>1-(1-Skills!J16/100)^Skills!K16</f>
        <v/>
      </c>
      <c r="I213" t="inlineStr">
        <is>
          <t>1</t>
        </is>
      </c>
      <c r="J213" t="inlineStr"/>
      <c r="K213" t="inlineStr"/>
      <c r="L213" t="inlineStr"/>
      <c r="M213" t="inlineStr"/>
      <c r="N213" t="inlineStr"/>
      <c r="O213">
        <f>(1-Summary!$B$11)*T213+Summary!$B$11*V213</f>
        <v/>
      </c>
      <c r="P213">
        <f>IF(B236=0,0,O213/B236)</f>
        <v/>
      </c>
      <c r="Q213">
        <f>IFERROR(1/(IF(Inputs!$B$38="pvp",15,MAX(0.1,Skills!D16-IF(Skills!E16=TRUE,Inputs!$B$32,0)))*(1-IF(AND(ArtifactsInput!$M$27,Inputs!$B$4="Chapter Hunt"),CHOOSE(ArtifactsInput!$N$27+1,20,24,28,32,36,40),0)/100)),0)</f>
        <v/>
      </c>
      <c r="R213">
        <f>IF(AND(Inputs!$B$38&lt;&gt;"pvp",Inputs!$B$43&gt;0),IF(Inputs!$B$43&lt;=0,0,(INT(Inputs!$B$43/(IF(Inputs!$B$38="pvp",15,MAX(0.1,Skills!D16-IF(Skills!E16=TRUE,Inputs!$B$32,0)))*(1-IF(AND(ArtifactsInput!$M$27,Inputs!$B$4="Chapter Hunt"),CHOOSE(ArtifactsInput!$N$27+1,20,24,28,32,36,40),0)/100)))+1)),0)</f>
        <v/>
      </c>
      <c r="S213">
        <f>IFERROR(O213/N213,0)</f>
        <v/>
      </c>
      <c r="T213" t="n">
        <v>0</v>
      </c>
      <c r="V213" t="n">
        <v>0</v>
      </c>
    </row>
    <row r="214">
      <c r="A214">
        <f>Skills!A17</f>
        <v/>
      </c>
      <c r="B214">
        <f>Skills!B17</f>
        <v/>
      </c>
      <c r="C214">
        <f>Inputs!$B$3&gt;=115</f>
        <v/>
      </c>
      <c r="D214">
        <f>IF(Skills!C17=1,60+Inputs!$B$25+Inputs!$B$29,IF(Skills!C17=2,90+Inputs!$B$26+Inputs!$B$29,IF(Skills!C17=3,120+Inputs!$B$27+Inputs!$B$29,MAX(0,(Inputs!$B$3-100)*3)+Inputs!$B$28+Inputs!$B$29)))</f>
        <v/>
      </c>
      <c r="E214">
        <f>INDEX(FactorTable!$B$2:$Y$301, MATCH(ROUND(MIN(300,MAX(1,D214)),0), FactorTable!$A$2:$A$301,0), Skills!M17+1)</f>
        <v/>
      </c>
      <c r="F214">
        <f>IF(Skills!N17=TRUE,(Skills!L17/10)*(E214/1000),Skills!L17/10)+Skills!O17</f>
        <v/>
      </c>
      <c r="G214">
        <f>Skills!G17*IF(Skills!H17&gt;0,Skills!I17/Skills!H17,1)</f>
        <v/>
      </c>
      <c r="H214">
        <f>1-(1-Skills!J17/100)^Skills!K17</f>
        <v/>
      </c>
      <c r="I214" t="inlineStr">
        <is>
          <t>1</t>
        </is>
      </c>
      <c r="J214" t="inlineStr"/>
      <c r="K214" t="inlineStr"/>
      <c r="L214" t="inlineStr"/>
      <c r="M214" t="inlineStr"/>
      <c r="N214" t="inlineStr"/>
      <c r="O214">
        <f>(1-Summary!$B$11)*T214+Summary!$B$11*V214</f>
        <v/>
      </c>
      <c r="P214">
        <f>IF(B236=0,0,O214/B236)</f>
        <v/>
      </c>
      <c r="Q214">
        <f>IFERROR(1/(IF(Inputs!$B$38="pvp",15,MAX(0.1,Skills!D17-IF(Skills!E17=TRUE,Inputs!$B$32,0)))*(1-IF(AND(ArtifactsInput!$M$27,Inputs!$B$4="Chapter Hunt"),CHOOSE(ArtifactsInput!$N$27+1,20,24,28,32,36,40),0)/100)),0)</f>
        <v/>
      </c>
      <c r="R214">
        <f>IF(AND(Inputs!$B$38&lt;&gt;"pvp",Inputs!$B$43&gt;0),IF(Inputs!$B$43&lt;=0,0,(INT(Inputs!$B$43/(IF(Inputs!$B$38="pvp",15,MAX(0.1,Skills!D17-IF(Skills!E17=TRUE,Inputs!$B$32,0)))*(1-IF(AND(ArtifactsInput!$M$27,Inputs!$B$4="Chapter Hunt"),CHOOSE(ArtifactsInput!$N$27+1,20,24,28,32,36,40),0)/100)))+1)),0)</f>
        <v/>
      </c>
      <c r="S214">
        <f>IFERROR(O214/N214,0)</f>
        <v/>
      </c>
      <c r="T214" t="n">
        <v>0</v>
      </c>
      <c r="V214" t="n">
        <v>0</v>
      </c>
    </row>
    <row r="215">
      <c r="A215">
        <f>Skills!A18</f>
        <v/>
      </c>
      <c r="B215">
        <f>Skills!B18</f>
        <v/>
      </c>
      <c r="C215">
        <f>Inputs!$B$3&gt;=115</f>
        <v/>
      </c>
      <c r="D215">
        <f>IF(Skills!C18=1,60+Inputs!$B$25+Inputs!$B$29,IF(Skills!C18=2,90+Inputs!$B$26+Inputs!$B$29,IF(Skills!C18=3,120+Inputs!$B$27+Inputs!$B$29,MAX(0,(Inputs!$B$3-100)*3)+Inputs!$B$28+Inputs!$B$29)))</f>
        <v/>
      </c>
      <c r="E215">
        <f>INDEX(FactorTable!$B$2:$Y$301, MATCH(ROUND(MIN(300,MAX(1,D215)),0), FactorTable!$A$2:$A$301,0), Skills!M18+1)</f>
        <v/>
      </c>
      <c r="F215">
        <f>IF(Skills!N18=TRUE,(Skills!L18/10)*(E215/1000),Skills!L18/10)+Skills!O18</f>
        <v/>
      </c>
      <c r="G215">
        <f>Skills!G18*IF(Skills!H18&gt;0,Skills!I18/Skills!H18,1)</f>
        <v/>
      </c>
      <c r="H215">
        <f>1-(1-Skills!J18/100)^Skills!K18</f>
        <v/>
      </c>
      <c r="I215" t="inlineStr">
        <is>
          <t>1</t>
        </is>
      </c>
      <c r="J215" t="inlineStr"/>
      <c r="K215" t="inlineStr"/>
      <c r="L215" t="inlineStr"/>
      <c r="M215" t="inlineStr"/>
      <c r="N215" t="inlineStr"/>
      <c r="O215">
        <f>(1-Summary!$B$11)*T215+Summary!$B$11*V215</f>
        <v/>
      </c>
      <c r="P215">
        <f>IF(B236=0,0,O215/B236)</f>
        <v/>
      </c>
      <c r="Q215">
        <f>IFERROR(1/(IF(Inputs!$B$38="pvp",15,MAX(0.1,Skills!D18-IF(Skills!E18=TRUE,Inputs!$B$32,0)))*(1-IF(AND(ArtifactsInput!$M$27,Inputs!$B$4="Chapter Hunt"),CHOOSE(ArtifactsInput!$N$27+1,20,24,28,32,36,40),0)/100)),0)</f>
        <v/>
      </c>
      <c r="R215">
        <f>IF(AND(Inputs!$B$38&lt;&gt;"pvp",Inputs!$B$43&gt;0),IF(Inputs!$B$43&lt;=0,0,(INT(Inputs!$B$43/(IF(Inputs!$B$38="pvp",15,MAX(0.1,Skills!D18-IF(Skills!E18=TRUE,Inputs!$B$32,0)))*(1-IF(AND(ArtifactsInput!$M$27,Inputs!$B$4="Chapter Hunt"),CHOOSE(ArtifactsInput!$N$27+1,20,24,28,32,36,40),0)/100)))+1)),0)</f>
        <v/>
      </c>
      <c r="S215">
        <f>IFERROR(O215/N215,0)</f>
        <v/>
      </c>
      <c r="T215" t="n">
        <v>0</v>
      </c>
      <c r="V215" t="n">
        <v>0</v>
      </c>
    </row>
    <row r="216">
      <c r="A216">
        <f>Skills!A19</f>
        <v/>
      </c>
      <c r="B216">
        <f>Skills!B19</f>
        <v/>
      </c>
      <c r="C216">
        <f>TRUE</f>
        <v/>
      </c>
      <c r="D216">
        <f>IF(Skills!C19=1,60+Inputs!$B$25+Inputs!$B$29,IF(Skills!C19=2,90+Inputs!$B$26+Inputs!$B$29,IF(Skills!C19=3,120+Inputs!$B$27+Inputs!$B$29,MAX(0,(Inputs!$B$3-100)*3)+Inputs!$B$28+Inputs!$B$29)))</f>
        <v/>
      </c>
      <c r="E216">
        <f>INDEX(FactorTable!$B$2:$Y$301, MATCH(ROUND(MIN(300,MAX(1,D216)),0), FactorTable!$A$2:$A$301,0), Skills!M19+1)</f>
        <v/>
      </c>
      <c r="F216">
        <f>IF(Skills!N19=TRUE,(Skills!L19/10)*(E216/1000),Skills!L19/10)+Skills!O19</f>
        <v/>
      </c>
      <c r="G216">
        <f>Skills!G19*IF(Skills!H19&gt;0,Skills!I19/Skills!H19,1)</f>
        <v/>
      </c>
      <c r="H216">
        <f>1-(1-Skills!J19/100)^Skills!K19</f>
        <v/>
      </c>
      <c r="I216" t="inlineStr">
        <is>
          <t>1</t>
        </is>
      </c>
      <c r="J216" t="inlineStr"/>
      <c r="K216" t="inlineStr"/>
      <c r="L216" t="inlineStr"/>
      <c r="M216" t="inlineStr"/>
      <c r="N216" t="inlineStr"/>
      <c r="O216">
        <f>(1-Summary!$B$11)*T216+Summary!$B$11*V216</f>
        <v/>
      </c>
      <c r="P216">
        <f>IF(B236=0,0,O216/B236)</f>
        <v/>
      </c>
      <c r="Q216">
        <f>IFERROR(1/(IF(Inputs!$B$38="pvp",15,MAX(0.1,Skills!D19-IF(Skills!E19=TRUE,Inputs!$B$32,0)))*(1-IF(AND(ArtifactsInput!$M$27,Inputs!$B$4="Chapter Hunt"),CHOOSE(ArtifactsInput!$N$27+1,20,24,28,32,36,40),0)/100)),0)</f>
        <v/>
      </c>
      <c r="R216">
        <f>IF(AND(Inputs!$B$38&lt;&gt;"pvp",Inputs!$B$43&gt;0),IF(Inputs!$B$43&lt;=0,0,(INT(Inputs!$B$43/(IF(Inputs!$B$38="pvp",15,MAX(0.1,Skills!D19-IF(Skills!E19=TRUE,Inputs!$B$32,0)))*(1-IF(AND(ArtifactsInput!$M$27,Inputs!$B$4="Chapter Hunt"),CHOOSE(ArtifactsInput!$N$27+1,20,24,28,32,36,40),0)/100)))+1)),0)</f>
        <v/>
      </c>
      <c r="S216">
        <f>IFERROR(O216/N216,0)</f>
        <v/>
      </c>
      <c r="T216" t="n">
        <v>0</v>
      </c>
      <c r="V216" t="n">
        <v>0</v>
      </c>
    </row>
    <row r="217">
      <c r="A217">
        <f>Skills!A20</f>
        <v/>
      </c>
      <c r="B217">
        <f>Skills!B20</f>
        <v/>
      </c>
      <c r="C217">
        <f>Inputs!$B$3&gt;=33</f>
        <v/>
      </c>
      <c r="D217">
        <f>IF(Skills!C20=1,60+Inputs!$B$25+Inputs!$B$29,IF(Skills!C20=2,90+Inputs!$B$26+Inputs!$B$29,IF(Skills!C20=3,120+Inputs!$B$27+Inputs!$B$29,MAX(0,(Inputs!$B$3-100)*3)+Inputs!$B$28+Inputs!$B$29)))</f>
        <v/>
      </c>
      <c r="E217">
        <f>INDEX(FactorTable!$B$2:$Y$301, MATCH(ROUND(MIN(300,MAX(1,D217)),0), FactorTable!$A$2:$A$301,0), Skills!M20+1)</f>
        <v/>
      </c>
      <c r="F217">
        <f>IF(Skills!N20=TRUE,(Skills!L20/10)*(E217/1000),Skills!L20/10)+Skills!O20</f>
        <v/>
      </c>
      <c r="G217">
        <f>Skills!G20*IF(Skills!H20&gt;0,Skills!I20/Skills!H20,1)</f>
        <v/>
      </c>
      <c r="H217">
        <f>1-(1-Skills!J20/100)^Skills!K20</f>
        <v/>
      </c>
      <c r="I217" t="inlineStr">
        <is>
          <t>1</t>
        </is>
      </c>
      <c r="J217" t="inlineStr"/>
      <c r="K217" t="inlineStr"/>
      <c r="L217" t="inlineStr"/>
      <c r="M217" t="inlineStr"/>
      <c r="N217" t="inlineStr"/>
      <c r="O217">
        <f>(1-Summary!$B$11)*T217+Summary!$B$11*V217</f>
        <v/>
      </c>
      <c r="P217">
        <f>IF(B236=0,0,O217/B236)</f>
        <v/>
      </c>
      <c r="Q217" t="n">
        <v>0</v>
      </c>
      <c r="R217" t="n">
        <v>0</v>
      </c>
      <c r="S217">
        <f>IFERROR(O217/N217,0)</f>
        <v/>
      </c>
      <c r="T217" t="n">
        <v>0</v>
      </c>
      <c r="V217" t="n">
        <v>0</v>
      </c>
    </row>
    <row r="218">
      <c r="A218">
        <f>Skills!A21</f>
        <v/>
      </c>
      <c r="B218">
        <f>Skills!B21</f>
        <v/>
      </c>
      <c r="C218">
        <f>Inputs!$B$3&gt;=38</f>
        <v/>
      </c>
      <c r="D218">
        <f>IF(Skills!C21=1,60+Inputs!$B$25+Inputs!$B$29,IF(Skills!C21=2,90+Inputs!$B$26+Inputs!$B$29,IF(Skills!C21=3,120+Inputs!$B$27+Inputs!$B$29,MAX(0,(Inputs!$B$3-100)*3)+Inputs!$B$28+Inputs!$B$29)))</f>
        <v/>
      </c>
      <c r="E218">
        <f>INDEX(FactorTable!$B$2:$Y$301, MATCH(ROUND(MIN(300,MAX(1,D218)),0), FactorTable!$A$2:$A$301,0), Skills!M21+1)</f>
        <v/>
      </c>
      <c r="F218">
        <f>IF(Skills!N21=TRUE,(Skills!L21/10)*(E218/1000),Skills!L21/10)+Skills!O21</f>
        <v/>
      </c>
      <c r="G218">
        <f>Skills!G21*IF(Skills!H21&gt;0,Skills!I21/Skills!H21,1)</f>
        <v/>
      </c>
      <c r="H218">
        <f>1-(1-Skills!J21/100)^Skills!K21</f>
        <v/>
      </c>
      <c r="I218" t="inlineStr">
        <is>
          <t>1</t>
        </is>
      </c>
      <c r="J218" t="inlineStr"/>
      <c r="K218" t="inlineStr"/>
      <c r="L218" t="inlineStr"/>
      <c r="M218" t="inlineStr"/>
      <c r="N218" t="inlineStr"/>
      <c r="O218">
        <f>(1-Summary!$B$11)*T218+Summary!$B$11*V218</f>
        <v/>
      </c>
      <c r="P218">
        <f>IF(B236=0,0,O218/B236)</f>
        <v/>
      </c>
      <c r="Q218" t="n">
        <v>0</v>
      </c>
      <c r="R218" t="n">
        <v>0</v>
      </c>
      <c r="S218">
        <f>IFERROR(O218/N218,0)</f>
        <v/>
      </c>
      <c r="T218" t="n">
        <v>0</v>
      </c>
      <c r="V218" t="n">
        <v>0</v>
      </c>
    </row>
    <row r="219">
      <c r="A219">
        <f>Skills!A22</f>
        <v/>
      </c>
      <c r="B219">
        <f>Skills!B22</f>
        <v/>
      </c>
      <c r="C219">
        <f>Inputs!$B$3&gt;=43</f>
        <v/>
      </c>
      <c r="D219">
        <f>IF(Skills!C22=1,60+Inputs!$B$25+Inputs!$B$29,IF(Skills!C22=2,90+Inputs!$B$26+Inputs!$B$29,IF(Skills!C22=3,120+Inputs!$B$27+Inputs!$B$29,MAX(0,(Inputs!$B$3-100)*3)+Inputs!$B$28+Inputs!$B$29)))</f>
        <v/>
      </c>
      <c r="E219">
        <f>INDEX(FactorTable!$B$2:$Y$301, MATCH(ROUND(MIN(300,MAX(1,D219)),0), FactorTable!$A$2:$A$301,0), Skills!M22+1)</f>
        <v/>
      </c>
      <c r="F219">
        <f>IF(Skills!N22=TRUE,(Skills!L22/10)*(E219/1000),Skills!L22/10)+Skills!O22</f>
        <v/>
      </c>
      <c r="G219">
        <f>Skills!G22*IF(Skills!H22&gt;0,Skills!I22/Skills!H22,1)</f>
        <v/>
      </c>
      <c r="H219">
        <f>1-(1-Skills!J22/100)^Skills!K22</f>
        <v/>
      </c>
      <c r="I219" t="inlineStr">
        <is>
          <t>1</t>
        </is>
      </c>
      <c r="J219" t="inlineStr"/>
      <c r="K219" t="inlineStr"/>
      <c r="L219" t="inlineStr"/>
      <c r="M219" t="inlineStr"/>
      <c r="N219" t="inlineStr"/>
      <c r="O219">
        <f>(1-Summary!$B$11)*T219+Summary!$B$11*V219</f>
        <v/>
      </c>
      <c r="P219">
        <f>IF(B236=0,0,O219/B236)</f>
        <v/>
      </c>
      <c r="Q219" t="n">
        <v>0</v>
      </c>
      <c r="R219" t="n">
        <v>0</v>
      </c>
      <c r="S219">
        <f>IFERROR(O219/N219,0)</f>
        <v/>
      </c>
      <c r="T219" t="n">
        <v>0</v>
      </c>
      <c r="V219" t="n">
        <v>0</v>
      </c>
    </row>
    <row r="220">
      <c r="A220">
        <f>Skills!A23</f>
        <v/>
      </c>
      <c r="B220">
        <f>Skills!B23</f>
        <v/>
      </c>
      <c r="C220">
        <f>Inputs!$B$3&gt;=120</f>
        <v/>
      </c>
      <c r="D220">
        <f>IF(Skills!C23=1,60+Inputs!$B$25+Inputs!$B$29,IF(Skills!C23=2,90+Inputs!$B$26+Inputs!$B$29,IF(Skills!C23=3,120+Inputs!$B$27+Inputs!$B$29,MAX(0,(Inputs!$B$3-100)*3)+Inputs!$B$28+Inputs!$B$29)))</f>
        <v/>
      </c>
      <c r="E220">
        <f>INDEX(FactorTable!$B$2:$Y$301, MATCH(ROUND(MIN(300,MAX(1,D220)),0), FactorTable!$A$2:$A$301,0), Skills!M23+1)</f>
        <v/>
      </c>
      <c r="F220">
        <f>IF(Skills!N23=TRUE,(Skills!L23/10)*(E220/1000),Skills!L23/10)+Skills!O23</f>
        <v/>
      </c>
      <c r="G220">
        <f>Skills!G23*IF(Skills!H23&gt;0,Skills!I23/Skills!H23,1)</f>
        <v/>
      </c>
      <c r="H220">
        <f>1-(1-Skills!J23/100)^Skills!K23</f>
        <v/>
      </c>
      <c r="I220" t="inlineStr">
        <is>
          <t>1</t>
        </is>
      </c>
      <c r="J220" t="inlineStr"/>
      <c r="K220" t="inlineStr"/>
      <c r="L220" t="inlineStr"/>
      <c r="M220" t="inlineStr"/>
      <c r="N220" t="inlineStr"/>
      <c r="O220">
        <f>(1-Summary!$B$11)*T220+Summary!$B$11*V220</f>
        <v/>
      </c>
      <c r="P220">
        <f>IF(B236=0,0,O220/B236)</f>
        <v/>
      </c>
      <c r="Q220" t="n">
        <v>0</v>
      </c>
      <c r="R220" t="n">
        <v>0</v>
      </c>
      <c r="S220">
        <f>IFERROR(O220/N220,0)</f>
        <v/>
      </c>
      <c r="T220" t="n">
        <v>0</v>
      </c>
      <c r="V220" t="n">
        <v>0</v>
      </c>
    </row>
    <row r="221">
      <c r="A221">
        <f>Skills!A24</f>
        <v/>
      </c>
      <c r="B221">
        <f>Skills!B24</f>
        <v/>
      </c>
      <c r="C221">
        <f>Inputs!$B$3&gt;=120</f>
        <v/>
      </c>
      <c r="D221">
        <f>IF(Skills!C24=1,60+Inputs!$B$25+Inputs!$B$29,IF(Skills!C24=2,90+Inputs!$B$26+Inputs!$B$29,IF(Skills!C24=3,120+Inputs!$B$27+Inputs!$B$29,MAX(0,(Inputs!$B$3-100)*3)+Inputs!$B$28+Inputs!$B$29)))</f>
        <v/>
      </c>
      <c r="E221">
        <f>INDEX(FactorTable!$B$2:$Y$301, MATCH(ROUND(MIN(300,MAX(1,D221)),0), FactorTable!$A$2:$A$301,0), Skills!M24+1)</f>
        <v/>
      </c>
      <c r="F221">
        <f>IF(Skills!N24=TRUE,(Skills!L24/10)*(E221/1000),Skills!L24/10)+Skills!O24</f>
        <v/>
      </c>
      <c r="G221">
        <f>Skills!G24*IF(Skills!H24&gt;0,Skills!I24/Skills!H24,1)</f>
        <v/>
      </c>
      <c r="H221">
        <f>1-(1-Skills!J24/100)^Skills!K24</f>
        <v/>
      </c>
      <c r="I221" t="inlineStr">
        <is>
          <t>1</t>
        </is>
      </c>
      <c r="J221" t="inlineStr"/>
      <c r="K221" t="inlineStr"/>
      <c r="L221" t="inlineStr"/>
      <c r="M221" t="inlineStr"/>
      <c r="N221" t="inlineStr"/>
      <c r="O221">
        <f>(1-Summary!$B$11)*T221+Summary!$B$11*V221</f>
        <v/>
      </c>
      <c r="P221">
        <f>IF(B236=0,0,O221/B236)</f>
        <v/>
      </c>
      <c r="Q221" t="n">
        <v>0</v>
      </c>
      <c r="R221" t="n">
        <v>0</v>
      </c>
      <c r="S221">
        <f>IFERROR(O221/N221,0)</f>
        <v/>
      </c>
      <c r="T221" t="n">
        <v>0</v>
      </c>
      <c r="V221" t="n">
        <v>0</v>
      </c>
    </row>
    <row r="222">
      <c r="A222">
        <f>Skills!A25</f>
        <v/>
      </c>
      <c r="B222">
        <f>Skills!B25</f>
        <v/>
      </c>
      <c r="C222">
        <f>Inputs!$B$3&gt;=125</f>
        <v/>
      </c>
      <c r="D222">
        <f>IF(Skills!C25=1,60+Inputs!$B$25+Inputs!$B$29,IF(Skills!C25=2,90+Inputs!$B$26+Inputs!$B$29,IF(Skills!C25=3,120+Inputs!$B$27+Inputs!$B$29,MAX(0,(Inputs!$B$3-100)*3)+Inputs!$B$28+Inputs!$B$29)))</f>
        <v/>
      </c>
      <c r="E222">
        <f>INDEX(FactorTable!$B$2:$Y$301, MATCH(ROUND(MIN(300,MAX(1,D222)),0), FactorTable!$A$2:$A$301,0), Skills!M25+1)</f>
        <v/>
      </c>
      <c r="F222">
        <f>IF(Skills!N25=TRUE,(Skills!L25/10)*(E222/1000),Skills!L25/10)+Skills!O25</f>
        <v/>
      </c>
      <c r="G222">
        <f>Skills!G25*IF(Skills!H25&gt;0,Skills!I25/Skills!H25,1)</f>
        <v/>
      </c>
      <c r="H222">
        <f>1-(1-Skills!J25/100)^Skills!K25</f>
        <v/>
      </c>
      <c r="I222" t="inlineStr">
        <is>
          <t>1</t>
        </is>
      </c>
      <c r="J222" t="inlineStr"/>
      <c r="K222" t="inlineStr"/>
      <c r="L222" t="inlineStr"/>
      <c r="M222" t="inlineStr"/>
      <c r="N222" t="inlineStr"/>
      <c r="O222">
        <f>(1-Summary!$B$11)*T222+Summary!$B$11*V222</f>
        <v/>
      </c>
      <c r="P222">
        <f>IF(B236=0,0,O222/B236)</f>
        <v/>
      </c>
      <c r="Q222" t="n">
        <v>0</v>
      </c>
      <c r="R222" t="n">
        <v>0</v>
      </c>
      <c r="S222">
        <f>IFERROR(O222/N222,0)</f>
        <v/>
      </c>
      <c r="T222" t="n">
        <v>0</v>
      </c>
      <c r="V222" t="n">
        <v>0</v>
      </c>
    </row>
    <row r="223">
      <c r="A223">
        <f>Skills!A26</f>
        <v/>
      </c>
      <c r="B223">
        <f>Skills!B26</f>
        <v/>
      </c>
      <c r="C223">
        <f>Inputs!$B$3&gt;=72</f>
        <v/>
      </c>
      <c r="D223">
        <f>IF(Skills!C26=1,60+Inputs!$B$25+Inputs!$B$29,IF(Skills!C26=2,90+Inputs!$B$26+Inputs!$B$29,IF(Skills!C26=3,120+Inputs!$B$27+Inputs!$B$29,MAX(0,(Inputs!$B$3-100)*3)+Inputs!$B$28+Inputs!$B$29)))</f>
        <v/>
      </c>
      <c r="E223">
        <f>INDEX(FactorTable!$B$2:$Y$301, MATCH(ROUND(MIN(300,MAX(1,D223)),0), FactorTable!$A$2:$A$301,0), Skills!M26+1)</f>
        <v/>
      </c>
      <c r="F223">
        <f>IF(Skills!N26=TRUE,(Skills!L26/10)*(E223/1000),Skills!L26/10)+Skills!O26</f>
        <v/>
      </c>
      <c r="G223">
        <f>Skills!G26*IF(Skills!H26&gt;0,Skills!I26/Skills!H26,1)</f>
        <v/>
      </c>
      <c r="H223">
        <f>1-(1-Skills!J26/100)^Skills!K26</f>
        <v/>
      </c>
      <c r="I223" t="inlineStr">
        <is>
          <t>1</t>
        </is>
      </c>
      <c r="J223" t="inlineStr"/>
      <c r="K223" t="inlineStr"/>
      <c r="L223" t="inlineStr"/>
      <c r="M223" t="inlineStr"/>
      <c r="N223" t="inlineStr"/>
      <c r="O223">
        <f>(1-Summary!$B$11)*T223+Summary!$B$11*V223</f>
        <v/>
      </c>
      <c r="P223">
        <f>IF(B236=0,0,O223/B236)</f>
        <v/>
      </c>
      <c r="Q223" t="n">
        <v>0</v>
      </c>
      <c r="R223" t="n">
        <v>0</v>
      </c>
      <c r="S223">
        <f>IFERROR(O223/N223,0)</f>
        <v/>
      </c>
      <c r="T223" t="n">
        <v>0</v>
      </c>
      <c r="V223" t="n">
        <v>0</v>
      </c>
    </row>
    <row r="225">
      <c r="A225" t="inlineStr">
        <is>
          <t>Attack% Bucket Multiplier</t>
        </is>
      </c>
      <c r="B225">
        <f>(1+(((C210=TRUE)*F210*IF(Inputs!$B$3&gt;=110,7,5))+((C212=TRUE)*F212*IF(AND(Inputs!$B$38&lt;&gt;"pvp",Inputs!$B$43&gt;0),(((R212-1)*(Skills!T15*(1+(Inputs!$B$34+(ArtifactsInput!$M$7-ArtifactsInput!$M$7)*CHOOSE(ArtifactsInput!$N$7+1,6,7.2,8.4,9.6,10.8,12))/100))+MIN((Skills!T15*(1+(Inputs!$B$34+(ArtifactsInput!$M$7-ArtifactsInput!$M$7)*CHOOSE(ArtifactsInput!$N$7+1,6,7.2,8.4,9.6,10.8,12))/100)),MAX(0,Inputs!$B$43-((R212-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6">
      <c r="A226" t="inlineStr">
        <is>
          <t>Global Crit Rate Bonus %</t>
        </is>
      </c>
      <c r="B226" t="n">
        <v>0</v>
      </c>
    </row>
    <row r="227">
      <c r="A227" t="inlineStr">
        <is>
          <t>Attack Speed Buff Bonus %</t>
        </is>
      </c>
      <c r="B227">
        <f>((C216=TRUE)*F216*IF(AND(Inputs!$B$38&lt;&gt;"pvp",Inputs!$B$43&gt;0),(((R216-1)*(Skills!T19*(1+(Inputs!$B$34+(ArtifactsInput!$M$7-ArtifactsInput!$M$7)*CHOOSE(ArtifactsInput!$N$7+1,6,7.2,8.4,9.6,10.8,12))/100))+MIN((Skills!T19*(1+(Inputs!$B$34+(ArtifactsInput!$M$7-ArtifactsInput!$M$7)*CHOOSE(ArtifactsInput!$N$7+1,6,7.2,8.4,9.6,10.8,12))/100)),MAX(0,Inputs!$B$43-((R216-1)*Skills!D19))))/Inputs!$B$43),IF(Inputs!$B$38="pvp",MIN((Skills!T19*(1+(Inputs!$B$34+(ArtifactsInput!$M$7-ArtifactsInput!$M$7)*CHOOSE(ArtifactsInput!$N$7+1,6,7.2,8.4,9.6,10.8,12))/100)),15)/15,(Skills!T19*(1+(Inputs!$B$34+(ArtifactsInput!$M$7-ArtifactsInput!$M$7)*CHOOSE(ArtifactsInput!$N$7+1,6,7.2,8.4,9.6,10.8,12))/100))/Skills!D19)))</f>
        <v/>
      </c>
    </row>
    <row r="228">
      <c r="A228" t="inlineStr">
        <is>
          <t>Actions Per Second</t>
        </is>
      </c>
      <c r="B228">
        <f>1+MIN(150,150*(1-(1-(Inputs!$B$11+((C217=TRUE)*(F217-Calc!F20)))/150)*(1-B227/150)))/100</f>
        <v/>
      </c>
    </row>
    <row r="229">
      <c r="A229" t="inlineStr">
        <is>
          <t>Skill + Buff Cast Rate</t>
        </is>
      </c>
      <c r="B229">
        <f>IF(AND(Inputs!$B$38&lt;&gt;"pvp",Inputs!$B$43&gt;0),SUMPRODUCT((Skills!E2:E26=TRUE)*(C199:C223=TRUE)*R199:R223*Skills!F2:F26)/Inputs!$B$43,SUMPRODUCT((Skills!E2:E26=TRUE)*(C199:C223=TRUE)*Q199:Q223*Skills!F2:F26))</f>
        <v/>
      </c>
    </row>
    <row r="230">
      <c r="A230" t="inlineStr">
        <is>
          <t>Raging Blow Casts Per Second</t>
        </is>
      </c>
      <c r="B230">
        <f>MAX(0,B228-B229)</f>
        <v/>
      </c>
    </row>
    <row r="231">
      <c r="A231" t="inlineStr">
        <is>
          <t>Global Critical Damage Bonus % (Enrage)</t>
        </is>
      </c>
      <c r="B231">
        <f>((C215=TRUE)*F215*IF(AND(Inputs!$B$38&lt;&gt;"pvp",Inputs!$B$43&gt;0),(((R215-1)*(Skills!T18*(1+(Inputs!$B$34+(ArtifactsInput!$M$7-ArtifactsInput!$M$7)*CHOOSE(ArtifactsInput!$N$7+1,6,7.2,8.4,9.6,10.8,12))/100))+MIN((Skills!T18*(1+(Inputs!$B$34+(ArtifactsInput!$M$7-ArtifactsInput!$M$7)*CHOOSE(ArtifactsInput!$N$7+1,6,7.2,8.4,9.6,10.8,12))/100)),MAX(0,Inputs!$B$43-((R215-1)*Skills!D18))))/Inputs!$B$43),IF(Inputs!$B$38="pvp",MIN((Skills!T18*(1+(Inputs!$B$34+(ArtifactsInput!$M$7-ArtifactsInput!$M$7)*CHOOSE(ArtifactsInput!$N$7+1,6,7.2,8.4,9.6,10.8,12))/100)),15)/15,(Skills!T18*(1+(Inputs!$B$34+(ArtifactsInput!$M$7-ArtifactsInput!$M$7)*CHOOSE(ArtifactsInput!$N$7+1,6,7.2,8.4,9.6,10.8,12))/100))/Skills!D18)))</f>
        <v/>
      </c>
    </row>
    <row r="232">
      <c r="A232" t="inlineStr">
        <is>
          <t>Global Final Damage Bonus % (Enrage + Combo Synergy)</t>
        </is>
      </c>
      <c r="B232">
        <f>((C214=TRUE)*F214*IF(AND(Inputs!$B$38&lt;&gt;"pvp",Inputs!$B$43&gt;0),(((R214-1)*(Skills!T17*(1+(Inputs!$B$34+(ArtifactsInput!$M$7-ArtifactsInput!$M$7)*CHOOSE(ArtifactsInput!$N$7+1,6,7.2,8.4,9.6,10.8,12))/100))+MIN((Skills!T17*(1+(Inputs!$B$34+(ArtifactsInput!$M$7-ArtifactsInput!$M$7)*CHOOSE(ArtifactsInput!$N$7+1,6,7.2,8.4,9.6,10.8,12))/100)),MAX(0,Inputs!$B$43-((R214-1)*Skills!D17))))/Inputs!$B$43),IF(Inputs!$B$38="pvp",MIN((Skills!T17*(1+(Inputs!$B$34+(ArtifactsInput!$M$7-ArtifactsInput!$M$7)*CHOOSE(ArtifactsInput!$N$7+1,6,7.2,8.4,9.6,10.8,12))/100)),15)/15,(Skills!T17*(1+(Inputs!$B$34+(ArtifactsInput!$M$7-ArtifactsInput!$M$7)*CHOOSE(ArtifactsInput!$N$7+1,6,7.2,8.4,9.6,10.8,12))/100))/Skills!D17)))+((C211=TRUE)*F211*IF(Inputs!$B$3&gt;=110,7,5))</f>
        <v/>
      </c>
    </row>
    <row r="233">
      <c r="A233" t="inlineStr">
        <is>
          <t>Buff-Casting Startup Delay (s, fixed-duration only)</t>
        </is>
      </c>
      <c r="B233">
        <f>IF(AND(Inputs!$B$38&lt;&gt;"pvp",Inputs!$B$43&gt;0),SUMPRODUCT((Skills!T2:T26&gt;0)*(Skills!E2:E26=TRUE)*(C199:C223=TRUE))/B228,0)</f>
        <v/>
      </c>
    </row>
    <row r="234">
      <c r="A234" t="inlineStr">
        <is>
          <t>Boss-Only Total DPS (this block's swept value)</t>
        </is>
      </c>
      <c r="B234">
        <f>SUM(T199:T223)</f>
        <v/>
      </c>
    </row>
    <row r="235">
      <c r="A235" t="inlineStr">
        <is>
          <t>Normal-Only Total DPS (this block's swept value)</t>
        </is>
      </c>
      <c r="B235">
        <f>SUM(V199:V223)</f>
        <v/>
      </c>
    </row>
    <row r="236">
      <c r="A236" s="6" t="inlineStr">
        <is>
          <t>TOTAL DPS</t>
        </is>
      </c>
      <c r="B236" s="6">
        <f>SUM(O199:O223)</f>
        <v/>
      </c>
    </row>
    <row r="239">
      <c r="A239" s="6" t="inlineStr">
        <is>
          <t>Stat: DAMAGE_AMP %</t>
        </is>
      </c>
    </row>
    <row r="240">
      <c r="A240" s="5" t="inlineStr">
        <is>
          <t>Key</t>
        </is>
      </c>
      <c r="B240" s="5" t="inlineStr">
        <is>
          <t>Name</t>
        </is>
      </c>
      <c r="C240" s="5" t="inlineStr">
        <is>
          <t>Unlocked</t>
        </is>
      </c>
      <c r="D240" s="5" t="inlineStr">
        <is>
          <t>InputLevel</t>
        </is>
      </c>
      <c r="E240" s="5" t="inlineStr">
        <is>
          <t>Factor</t>
        </is>
      </c>
      <c r="F240" s="5" t="inlineStr">
        <is>
          <t>CoefficientPercent</t>
        </is>
      </c>
      <c r="G240" s="5" t="inlineStr">
        <is>
          <t>EffectiveHits</t>
        </is>
      </c>
      <c r="H240" s="5" t="inlineStr">
        <is>
          <t>ProcProbability</t>
        </is>
      </c>
      <c r="I240" s="5" t="inlineStr">
        <is>
          <t>MapleHeroMultiplier</t>
        </is>
      </c>
      <c r="J240" s="5" t="inlineStr">
        <is>
          <t>BaseDamage</t>
        </is>
      </c>
      <c r="K240" s="5" t="inlineStr">
        <is>
          <t>BaseHitDamage</t>
        </is>
      </c>
      <c r="L240" s="5" t="inlineStr">
        <is>
          <t>NonCritAvg</t>
        </is>
      </c>
      <c r="M240" s="5" t="inlineStr">
        <is>
          <t>CritAvg</t>
        </is>
      </c>
      <c r="N240" s="5" t="inlineStr">
        <is>
          <t>ExpectedDamage(perHit)</t>
        </is>
      </c>
      <c r="O240" s="5" t="inlineStr">
        <is>
          <t>DPS</t>
        </is>
      </c>
      <c r="P240" s="5" t="inlineStr">
        <is>
          <t>% of Total</t>
        </is>
      </c>
      <c r="Q240" s="5" t="inlineStr">
        <is>
          <t>InvCooldown</t>
        </is>
      </c>
      <c r="R240" s="5" t="inlineStr">
        <is>
          <t>CastsInFight</t>
        </is>
      </c>
      <c r="S240" s="5" t="inlineStr">
        <is>
          <t>HitRate(perSec)</t>
        </is>
      </c>
      <c r="U240" t="inlineStr">
        <is>
          <t>helpers</t>
        </is>
      </c>
    </row>
    <row r="241">
      <c r="A241">
        <f>Skills!A2</f>
        <v/>
      </c>
      <c r="B241">
        <f>Skills!B2</f>
        <v/>
      </c>
      <c r="C241">
        <f>Inputs!$B$3&gt;=100</f>
        <v/>
      </c>
      <c r="D241" t="inlineStr"/>
      <c r="E241" t="inlineStr"/>
      <c r="F241">
        <f>U243+Skills!O2</f>
        <v/>
      </c>
      <c r="G241">
        <f>Skills!G2*IF(Skills!H2&gt;0,Skills!I2/Skills!H2,1)</f>
        <v/>
      </c>
      <c r="H241">
        <f>1-(1-Skills!J2/100)^Skills!K2</f>
        <v/>
      </c>
      <c r="I241" t="inlineStr">
        <is>
          <t>1</t>
        </is>
      </c>
      <c r="J241">
        <f>((Inputs!$B$6*(1+Inputs!$B$7/100))+(((Inputs!$B$12*(1+Inputs!$B$13/100))-(Inputs!$B$12*(1+Inputs!$B$13/100)))+0.25*(Inputs!$B$14-Inputs!$B$14))*(1+Inputs!$B$7/100))*(F241/100)</f>
        <v/>
      </c>
      <c r="K241">
        <f>J241*(1+((Inputs!$B$12*(1+Inputs!$B$13/100))*0.01+Inputs!$B$14*0.0025)/100)*(1+Inputs!$B$15/100)*(1+(Inputs!$B$16+1)/100)*(5000/(6000+Inputs!$B$42*(1-(100*(1-(1-(Inputs!$B$19+0)/100)*(1-CHOOSE(ArtifactsInput!$N$40+1,5,6,7,8,9,10)/100)^(ArtifactsInput!$M$40-ArtifactsInput!$M$40)))/100)))*(1+(Inputs!$B$24+((C264=TRUE)*(F264-Calc!F25))+B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260=TRUE)*(F260-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262=TRUE)*(F262-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TRUE)*F252*IF(Inputs!$B$3&gt;=110,7,5))+((C254=TRUE)*F254*IF(AND(Inputs!$B$38&lt;&gt;"pvp",Inputs!$B$43&gt;0),(((R254-1)*(Skills!T15*(1+(Inputs!$B$34+(ArtifactsInput!$M$7-ArtifactsInput!$M$7)*CHOOSE(ArtifactsInput!$N$7+1,6,7.2,8.4,9.6,10.8,12))/100))+MIN((Skills!T15*(1+(Inputs!$B$34+(ArtifactsInput!$M$7-ArtifactsInput!$M$7)*CHOOSE(ArtifactsInput!$N$7+1,6,7.2,8.4,9.6,10.8,12))/100)),MAX(0,Inputs!$B$43-((R254-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Hunt"),CHOOSE(ArtifactsInput!$N$35+1,15,18,21,24,27,30)*(1-EXP(-(0.2*B270)*5)),0)+IF(AND(ArtifactsInput!$M$22,Inputs!$B$4&lt;&gt;"Chapter Hunt"),CHOOSE(ArtifactsInput!$N$22+1,10,12,14,16,18,20)*((0*(((0.15*B270*5))^0/1)+1*(((0.15*B270*5))^1/1)+2*(((0.15*B270*5))^2/2)+3*(((0.15*B270*5))^3/6)+4*(((0.15*B270*5))^4/24)+5*(((0.15*B270*5))^5/120))/((((0.15*B270*5))^0/1)+(((0.15*B270*5))^1/1)+(((0.15*B270*5))^2/2)+(((0.15*B270*5))^3/6)+(((0.15*B270*5))^4/24)+(((0.15*B270*5))^5/120))),0)))/100)*I241)</f>
        <v/>
      </c>
      <c r="L241">
        <f>K241*(MIN(Inputs!$B$22+((C261=TRUE)*(F261-Calc!F22)),(Inputs!$B$23+((C263=TRUE)*(F263-Calc!F24))+(IF(ArtifactsInput!$M$15,CHOOSE(ArtifactsInput!$N$15+1,25,30,35,40,45,50)/100*(Inputs!$B$11-Inputs!$B$11),0))))/100+(Inputs!$B$23+((C263=TRUE)*(F263-Calc!F24))+(IF(ArtifactsInput!$M$15,CHOOSE(ArtifactsInput!$N$15+1,25,30,35,40,45,50)/100*(Inputs!$B$11-Inputs!$B$11),0)))/100)/2</f>
        <v/>
      </c>
      <c r="M241">
        <f>L241*(1+(Inputs!$B$10+0+B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
        <f>L241*(1-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
        <f>(1-Summary!$B$11)*T241+Summary!$B$11*V241</f>
        <v/>
      </c>
      <c r="P241">
        <f>IF(B278=0,0,O241/B278)</f>
        <v/>
      </c>
      <c r="Q241" t="n">
        <v>0</v>
      </c>
      <c r="R241" t="n">
        <v>0</v>
      </c>
      <c r="S241">
        <f>IFERROR(O241/N241,0)</f>
        <v/>
      </c>
      <c r="T241">
        <f>IF(C241,(Skills!G2*N241*B272)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
        <f>MAX(0,(Inputs!$B$3-100)*3)+Inputs!$B$28+Inputs!$B$29</f>
        <v/>
      </c>
      <c r="V241">
        <f>IF(C241,(Skills!G2*N241*B272)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
      <c r="A242">
        <f>Skills!A3</f>
        <v/>
      </c>
      <c r="B242">
        <f>Skills!B3</f>
        <v/>
      </c>
      <c r="C242">
        <f>Inputs!$B$3&gt;=50</f>
        <v/>
      </c>
      <c r="D242">
        <f>IF(Skills!C3=1,60+Inputs!$B$25+Inputs!$B$29,IF(Skills!C3=2,90+Inputs!$B$26+Inputs!$B$29,IF(Skills!C3=3,120+Inputs!$B$27+Inputs!$B$29,MAX(0,(Inputs!$B$3-100)*3)+Inputs!$B$28+Inputs!$B$29)))</f>
        <v/>
      </c>
      <c r="E242">
        <f>INDEX(FactorTable!$B$2:$Y$301, MATCH(ROUND(MIN(300,MAX(1,D242)),0), FactorTable!$A$2:$A$301,0), Skills!M3+1)</f>
        <v/>
      </c>
      <c r="F242">
        <f>IF(Skills!N3=TRUE,(Skills!L3/10)*(E242/1000),Skills!L3/10)+Skills!O3</f>
        <v/>
      </c>
      <c r="G242" t="inlineStr"/>
      <c r="H242" t="inlineStr"/>
      <c r="I242" t="inlineStr">
        <is>
          <t>1</t>
        </is>
      </c>
      <c r="J242" t="inlineStr"/>
      <c r="K242" t="inlineStr"/>
      <c r="L242" t="inlineStr"/>
      <c r="M242" t="inlineStr"/>
      <c r="N242" t="inlineStr"/>
      <c r="O242" t="inlineStr"/>
      <c r="P242" t="inlineStr"/>
      <c r="Q242" t="inlineStr"/>
      <c r="R242" t="inlineStr"/>
      <c r="S242" t="inlineStr"/>
      <c r="U242">
        <f>INDEX(FactorTable!$B$2:$Y$301, MATCH(ROUND(MIN(300,MAX(1,U241)),0), FactorTable!$A$2:$A$301,0), 22)</f>
        <v/>
      </c>
    </row>
    <row r="243">
      <c r="A243">
        <f>Skills!A4</f>
        <v/>
      </c>
      <c r="B243">
        <f>Skills!B4</f>
        <v/>
      </c>
      <c r="C243">
        <f>Inputs!$B$3&gt;=105</f>
        <v/>
      </c>
      <c r="D243">
        <f>IF(Skills!C4=1,60+Inputs!$B$25+Inputs!$B$29,IF(Skills!C4=2,90+Inputs!$B$26+Inputs!$B$29,IF(Skills!C4=3,120+Inputs!$B$27+Inputs!$B$29,MAX(0,(Inputs!$B$3-100)*3)+Inputs!$B$28+Inputs!$B$29)))</f>
        <v/>
      </c>
      <c r="E243">
        <f>INDEX(FactorTable!$B$2:$Y$301, MATCH(ROUND(MIN(300,MAX(1,D243)),0), FactorTable!$A$2:$A$301,0), Skills!M4+1)</f>
        <v/>
      </c>
      <c r="F243">
        <f>IF(Skills!N4=TRUE,(Skills!L4/10)*(E243/1000),Skills!L4/10)+Skills!O4</f>
        <v/>
      </c>
      <c r="G243" t="inlineStr"/>
      <c r="H243" t="inlineStr"/>
      <c r="I243" t="inlineStr">
        <is>
          <t>1</t>
        </is>
      </c>
      <c r="J243" t="inlineStr"/>
      <c r="K243" t="inlineStr"/>
      <c r="L243" t="inlineStr"/>
      <c r="M243" t="inlineStr"/>
      <c r="N243" t="inlineStr"/>
      <c r="O243" t="inlineStr"/>
      <c r="P243" t="inlineStr"/>
      <c r="Q243" t="inlineStr"/>
      <c r="R243" t="inlineStr"/>
      <c r="S243" t="inlineStr"/>
      <c r="U243">
        <f>290*U242/1000</f>
        <v/>
      </c>
    </row>
    <row r="244">
      <c r="A244">
        <f>Skills!A5</f>
        <v/>
      </c>
      <c r="B244">
        <f>Skills!B5</f>
        <v/>
      </c>
      <c r="C244">
        <f>Inputs!$B$3&gt;=103</f>
        <v/>
      </c>
      <c r="D244">
        <f>IF(Skills!C5=1,60+Inputs!$B$25+Inputs!$B$29,IF(Skills!C5=2,90+Inputs!$B$26+Inputs!$B$29,IF(Skills!C5=3,120+Inputs!$B$27+Inputs!$B$29,MAX(0,(Inputs!$B$3-100)*3)+Inputs!$B$28+Inputs!$B$29)))</f>
        <v/>
      </c>
      <c r="E244">
        <f>INDEX(FactorTable!$B$2:$Y$301, MATCH(ROUND(MIN(300,MAX(1,D244)),0), FactorTable!$A$2:$A$301,0), Skills!M5+1)</f>
        <v/>
      </c>
      <c r="F244">
        <f>IF(Skills!N5=TRUE,(Skills!L5/10)*(E244/1000),Skills!L5/10)+Skills!O5</f>
        <v/>
      </c>
      <c r="G244">
        <f>Skills!G5*IF(Skills!H5&gt;0,Skills!I5/Skills!H5,1)</f>
        <v/>
      </c>
      <c r="H244">
        <f>1-(1-Skills!J5/100)^Skills!K5</f>
        <v/>
      </c>
      <c r="I244" t="inlineStr">
        <is>
          <t>1</t>
        </is>
      </c>
      <c r="J244">
        <f>((Inputs!$B$6*(1+Inputs!$B$7/100))+(((Inputs!$B$12*(1+Inputs!$B$13/100))-(Inputs!$B$12*(1+Inputs!$B$13/100)))+0.25*(Inputs!$B$14-Inputs!$B$14))*(1+Inputs!$B$7/100))*(F244/100)</f>
        <v/>
      </c>
      <c r="K244">
        <f>J244*(1+((Inputs!$B$12*(1+Inputs!$B$13/100))*0.01+Inputs!$B$14*0.0025)/100)*(1+Inputs!$B$15/100)*(1+(Inputs!$B$16+1)/100)*(5000/(6000+Inputs!$B$42*(1-(100*(1-(1-(Inputs!$B$19+0)/100)*(1-CHOOSE(ArtifactsInput!$N$40+1,5,6,7,8,9,10)/100)^(ArtifactsInput!$M$40-ArtifactsInput!$M$40)))/100)))*(1+(Inputs!$B$24+((C264=TRUE)*(F264-Calc!F25))+B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260=TRUE)*(F260-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262=TRUE)*(F262-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TRUE)*F252*IF(Inputs!$B$3&gt;=110,7,5))+((C254=TRUE)*F254*IF(AND(Inputs!$B$38&lt;&gt;"pvp",Inputs!$B$43&gt;0),(((R254-1)*(Skills!T15*(1+(Inputs!$B$34+(ArtifactsInput!$M$7-ArtifactsInput!$M$7)*CHOOSE(ArtifactsInput!$N$7+1,6,7.2,8.4,9.6,10.8,12))/100))+MIN((Skills!T15*(1+(Inputs!$B$34+(ArtifactsInput!$M$7-ArtifactsInput!$M$7)*CHOOSE(ArtifactsInput!$N$7+1,6,7.2,8.4,9.6,10.8,12))/100)),MAX(0,Inputs!$B$43-((R254-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Hunt"),CHOOSE(ArtifactsInput!$N$35+1,15,18,21,24,27,30)*(1-EXP(-(0.2*B270)*5)),0)+IF(AND(ArtifactsInput!$M$22,Inputs!$B$4&lt;&gt;"Chapter Hunt"),CHOOSE(ArtifactsInput!$N$22+1,10,12,14,16,18,20)*((0*(((0.15*B270*5))^0/1)+1*(((0.15*B270*5))^1/1)+2*(((0.15*B270*5))^2/2)+3*(((0.15*B270*5))^3/6)+4*(((0.15*B270*5))^4/24)+5*(((0.15*B270*5))^5/120))/((((0.15*B270*5))^0/1)+(((0.15*B270*5))^1/1)+(((0.15*B270*5))^2/2)+(((0.15*B270*5))^3/6)+(((0.15*B270*5))^4/24)+(((0.15*B270*5))^5/120))),0)))/100)*I244)</f>
        <v/>
      </c>
      <c r="L244">
        <f>K244*(MIN(Inputs!$B$22+((C261=TRUE)*(F261-Calc!F22)),(Inputs!$B$23+((C263=TRUE)*(F263-Calc!F24))+(IF(ArtifactsInput!$M$15,CHOOSE(ArtifactsInput!$N$15+1,25,30,35,40,45,50)/100*(Inputs!$B$11-Inputs!$B$11),0))))/100+(Inputs!$B$23+((C263=TRUE)*(F263-Calc!F24))+(IF(ArtifactsInput!$M$15,CHOOSE(ArtifactsInput!$N$15+1,25,30,35,40,45,50)/100*(Inputs!$B$11-Inputs!$B$11),0)))/100)/2</f>
        <v/>
      </c>
      <c r="M244">
        <f>L244*(1+(Inputs!$B$10+0+B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4">
        <f>L244*(1-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244*(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4">
        <f>(1-Summary!$B$11)*T244+Summary!$B$11*V244</f>
        <v/>
      </c>
      <c r="P244">
        <f>IF(B278=0,0,O244/B278)</f>
        <v/>
      </c>
      <c r="Q244">
        <f>IFERROR(1/(IF(Inputs!$B$38="pvp",15,MAX(0.1,Skills!D5-IF(Skills!E5=TRUE,Inputs!$B$32,0)))*(1-IF(AND(ArtifactsInput!$M$27,Inputs!$B$4="Chapter Hunt"),CHOOSE(ArtifactsInput!$N$27+1,20,24,28,32,36,40),0)/100)),0)</f>
        <v/>
      </c>
      <c r="R244">
        <f>IF(AND(Inputs!$B$38&lt;&gt;"pvp",Inputs!$B$43&gt;0),IF(MAX(0,Inputs!$B$43-B275)&lt;=0,0,(INT(MAX(0,Inputs!$B$43-B275)/(IF(Inputs!$B$38="pvp",15,MAX(0.1,Skills!D5-IF(Skills!E5=TRUE,Inputs!$B$32,0)))*(1-IF(AND(ArtifactsInput!$M$27,Inputs!$B$4="Chapter Hunt"),CHOOSE(ArtifactsInput!$N$27+1,20,24,28,32,36,40),0)/100)))+1)),0)</f>
        <v/>
      </c>
      <c r="S244">
        <f>IFERROR(O244/N244,0)</f>
        <v/>
      </c>
      <c r="T244">
        <f>IF(C244,(H244*N244*IF(AND(Inputs!$B$38&lt;&gt;"pvp",Inputs!$B$43&gt;0),((Skills!G5*((R244-1)*IF(Skills!H5&gt;0,Skills!I5/Skills!H5,1)+IF(Skills!H5&gt;0,MIN(Skills!I5,MAX(0,MAX(0,Inputs!$B$43-B275)-((R244-1)*(IF(Inputs!$B$38="pvp",15,MAX(0.1,Skills!D5-IF(Skills!E5=TRUE,Inputs!$B$32,0)))*(1-IF(AND(ArtifactsInput!$M$27,Inputs!$B$4="Chapter Hunt"),CHOOSE(ArtifactsInput!$N$27+1,20,24,28,32,36,40),0)/100)))))/Skills!H5,1)))/Inputs!$B$43),G244*Q244)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244*(1-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244*(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244*(1-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244*(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4">
        <f>IF(C244,(H244*N244*IF(AND(Inputs!$B$38&lt;&gt;"pvp",Inputs!$B$43&gt;0),((Skills!G5*((R244-1)*IF(Skills!H5&gt;0,Skills!I5/Skills!H5,1)+IF(Skills!H5&gt;0,MIN(Skills!I5,MAX(0,MAX(0,Inputs!$B$43-B275)-((R244-1)*(IF(Inputs!$B$38="pvp",15,MAX(0.1,Skills!D5-IF(Skills!E5=TRUE,Inputs!$B$32,0)))*(1-IF(AND(ArtifactsInput!$M$27,Inputs!$B$4="Chapter Hunt"),CHOOSE(ArtifactsInput!$N$27+1,20,24,28,32,36,40),0)/100)))))/Skills!H5,1)))/Inputs!$B$43),G244*Q244)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
      <c r="A245">
        <f>Skills!A6</f>
        <v/>
      </c>
      <c r="B245">
        <f>Skills!B6</f>
        <v/>
      </c>
      <c r="C245">
        <f>Inputs!$B$3&gt;=103</f>
        <v/>
      </c>
      <c r="D245">
        <f>IF(Skills!C6=1,60+Inputs!$B$25+Inputs!$B$29,IF(Skills!C6=2,90+Inputs!$B$26+Inputs!$B$29,IF(Skills!C6=3,120+Inputs!$B$27+Inputs!$B$29,MAX(0,(Inputs!$B$3-100)*3)+Inputs!$B$28+Inputs!$B$29)))</f>
        <v/>
      </c>
      <c r="E245">
        <f>INDEX(FactorTable!$B$2:$Y$301, MATCH(ROUND(MIN(300,MAX(1,D245)),0), FactorTable!$A$2:$A$301,0), Skills!M6+1)</f>
        <v/>
      </c>
      <c r="F245">
        <f>IF(Skills!N6=TRUE,(Skills!L6/10)*(E245/1000),Skills!L6/10)+Skills!O6</f>
        <v/>
      </c>
      <c r="G245">
        <f>Skills!G6*IF(Skills!H6&gt;0,Skills!I6/Skills!H6,1)</f>
        <v/>
      </c>
      <c r="H245">
        <f>1-(1-Skills!J6/100)^Skills!K6</f>
        <v/>
      </c>
      <c r="I245" t="inlineStr">
        <is>
          <t>1</t>
        </is>
      </c>
      <c r="J245">
        <f>((Inputs!$B$6*(1+Inputs!$B$7/100))+(((Inputs!$B$12*(1+Inputs!$B$13/100))-(Inputs!$B$12*(1+Inputs!$B$13/100)))+0.25*(Inputs!$B$14-Inputs!$B$14))*(1+Inputs!$B$7/100))*(F245/100)</f>
        <v/>
      </c>
      <c r="K245">
        <f>J245*(1+((Inputs!$B$12*(1+Inputs!$B$13/100))*0.01+Inputs!$B$14*0.0025)/100)*(1+Inputs!$B$15/100)*(1+(Inputs!$B$16+1)/100)*(5000/(6000+Inputs!$B$42*(1-(100*(1-(1-(Inputs!$B$19+0)/100)*(1-CHOOSE(ArtifactsInput!$N$40+1,5,6,7,8,9,10)/100)^(ArtifactsInput!$M$40-ArtifactsInput!$M$40)))/100)))*(1+(Inputs!$B$24+((C264=TRUE)*(F264-Calc!F25))+B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260=TRUE)*(F260-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262=TRUE)*(F262-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TRUE)*F252*IF(Inputs!$B$3&gt;=110,7,5))+((C254=TRUE)*F254*IF(AND(Inputs!$B$38&lt;&gt;"pvp",Inputs!$B$43&gt;0),(((R254-1)*(Skills!T15*(1+(Inputs!$B$34+(ArtifactsInput!$M$7-ArtifactsInput!$M$7)*CHOOSE(ArtifactsInput!$N$7+1,6,7.2,8.4,9.6,10.8,12))/100))+MIN((Skills!T15*(1+(Inputs!$B$34+(ArtifactsInput!$M$7-ArtifactsInput!$M$7)*CHOOSE(ArtifactsInput!$N$7+1,6,7.2,8.4,9.6,10.8,12))/100)),MAX(0,Inputs!$B$43-((R254-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Hunt"),CHOOSE(ArtifactsInput!$N$35+1,15,18,21,24,27,30)*(1-EXP(-(0.2*B270)*5)),0)+IF(AND(ArtifactsInput!$M$22,Inputs!$B$4&lt;&gt;"Chapter Hunt"),CHOOSE(ArtifactsInput!$N$22+1,10,12,14,16,18,20)*((0*(((0.15*B270*5))^0/1)+1*(((0.15*B270*5))^1/1)+2*(((0.15*B270*5))^2/2)+3*(((0.15*B270*5))^3/6)+4*(((0.15*B270*5))^4/24)+5*(((0.15*B270*5))^5/120))/((((0.15*B270*5))^0/1)+(((0.15*B270*5))^1/1)+(((0.15*B270*5))^2/2)+(((0.15*B270*5))^3/6)+(((0.15*B270*5))^4/24)+(((0.15*B270*5))^5/120))),0)))/100)*I245)</f>
        <v/>
      </c>
      <c r="L245">
        <f>K245*(MIN(Inputs!$B$22+((C261=TRUE)*(F261-Calc!F22)),(Inputs!$B$23+((C263=TRUE)*(F263-Calc!F24))+(IF(ArtifactsInput!$M$15,CHOOSE(ArtifactsInput!$N$15+1,25,30,35,40,45,50)/100*(Inputs!$B$11-Inputs!$B$11),0))))/100+(Inputs!$B$23+((C263=TRUE)*(F263-Calc!F24))+(IF(ArtifactsInput!$M$15,CHOOSE(ArtifactsInput!$N$15+1,25,30,35,40,45,50)/100*(Inputs!$B$11-Inputs!$B$11),0)))/100)/2</f>
        <v/>
      </c>
      <c r="M245">
        <f>L245*(1+(Inputs!$B$10+0+B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
        <f>L245*(1-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
        <f>(1-Summary!$B$11)*T245+Summary!$B$11*V245</f>
        <v/>
      </c>
      <c r="P245">
        <f>IF(B278=0,0,O245/B278)</f>
        <v/>
      </c>
      <c r="Q245">
        <f>IFERROR(1/(IF(Inputs!$B$38="pvp",15,MAX(0.1,Skills!D6-IF(Skills!E6=TRUE,Inputs!$B$32,0)))*(1-IF(AND(ArtifactsInput!$M$27,Inputs!$B$4="Chapter Hunt"),CHOOSE(ArtifactsInput!$N$27+1,20,24,28,32,36,40),0)/100)),0)</f>
        <v/>
      </c>
      <c r="R245">
        <f>IF(AND(Inputs!$B$38&lt;&gt;"pvp",Inputs!$B$43&gt;0),IF(MAX(0,Inputs!$B$43-B275)&lt;=0,0,(INT(MAX(0,Inputs!$B$43-B275)/(IF(Inputs!$B$38="pvp",15,MAX(0.1,Skills!D6-IF(Skills!E6=TRUE,Inputs!$B$32,0)))*(1-IF(AND(ArtifactsInput!$M$27,Inputs!$B$4="Chapter Hunt"),CHOOSE(ArtifactsInput!$N$27+1,20,24,28,32,36,40),0)/100)))+1)),0)</f>
        <v/>
      </c>
      <c r="S245">
        <f>IFERROR(O245/N245,0)</f>
        <v/>
      </c>
      <c r="T245">
        <f>IF(C245,(H245*N245*IF(AND(Inputs!$B$38&lt;&gt;"pvp",Inputs!$B$43&gt;0),((Skills!G6*((R245-1)*IF(Skills!H6&gt;0,Skills!I6/Skills!H6,1)+IF(Skills!H6&gt;0,MIN(Skills!I6,MAX(0,MAX(0,Inputs!$B$43-B275)-((R245-1)*(IF(Inputs!$B$38="pvp",15,MAX(0.1,Skills!D6-IF(Skills!E6=TRUE,Inputs!$B$32,0)))*(1-IF(AND(ArtifactsInput!$M$27,Inputs!$B$4="Chapter Hunt"),CHOOSE(ArtifactsInput!$N$27+1,20,24,28,32,36,40),0)/100)))))/Skills!H6,1)))/Inputs!$B$43),G245*Q245)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245*(1-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5">
        <f>IF(C245,(H245*N245*IF(AND(Inputs!$B$38&lt;&gt;"pvp",Inputs!$B$43&gt;0),((Skills!G6*((R245-1)*IF(Skills!H6&gt;0,Skills!I6/Skills!H6,1)+IF(Skills!H6&gt;0,MIN(Skills!I6,MAX(0,MAX(0,Inputs!$B$43-B275)-((R245-1)*(IF(Inputs!$B$38="pvp",15,MAX(0.1,Skills!D6-IF(Skills!E6=TRUE,Inputs!$B$32,0)))*(1-IF(AND(ArtifactsInput!$M$27,Inputs!$B$4="Chapter Hunt"),CHOOSE(ArtifactsInput!$N$27+1,20,24,28,32,36,40),0)/100)))))/Skills!H6,1)))/Inputs!$B$43),G245*Q245)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
      <c r="A246">
        <f>Skills!A7</f>
        <v/>
      </c>
      <c r="B246">
        <f>Skills!B7</f>
        <v/>
      </c>
      <c r="C246">
        <f>Inputs!$B$3&gt;=107</f>
        <v/>
      </c>
      <c r="D246">
        <f>IF(Skills!C7=1,60+Inputs!$B$25+Inputs!$B$29,IF(Skills!C7=2,90+Inputs!$B$26+Inputs!$B$29,IF(Skills!C7=3,120+Inputs!$B$27+Inputs!$B$29,MAX(0,(Inputs!$B$3-100)*3)+Inputs!$B$28+Inputs!$B$29)))</f>
        <v/>
      </c>
      <c r="E246">
        <f>INDEX(FactorTable!$B$2:$Y$301, MATCH(ROUND(MIN(300,MAX(1,D246)),0), FactorTable!$A$2:$A$301,0), Skills!M7+1)</f>
        <v/>
      </c>
      <c r="F246">
        <f>IF(Skills!N7=TRUE,(Skills!L7/10)*(E246/1000),Skills!L7/10)+Skills!O7</f>
        <v/>
      </c>
      <c r="G246">
        <f>Skills!G7*IF(Skills!H7&gt;0,Skills!I7/Skills!H7,1)</f>
        <v/>
      </c>
      <c r="H246">
        <f>1-(1-Skills!J7/100)^Skills!K7</f>
        <v/>
      </c>
      <c r="I246" t="inlineStr">
        <is>
          <t>1</t>
        </is>
      </c>
      <c r="J246">
        <f>((Inputs!$B$6*(1+Inputs!$B$7/100))+(((Inputs!$B$12*(1+Inputs!$B$13/100))-(Inputs!$B$12*(1+Inputs!$B$13/100)))+0.25*(Inputs!$B$14-Inputs!$B$14))*(1+Inputs!$B$7/100))*(F246/100)</f>
        <v/>
      </c>
      <c r="K246">
        <f>J246*(1+((Inputs!$B$12*(1+Inputs!$B$13/100))*0.01+Inputs!$B$14*0.0025)/100)*(1+Inputs!$B$15/100)*(1+(Inputs!$B$16+1)/100)*(5000/(6000+Inputs!$B$42*(1-(100*(1-(1-(Inputs!$B$19+0)/100)*(1-CHOOSE(ArtifactsInput!$N$40+1,5,6,7,8,9,10)/100)^(ArtifactsInput!$M$40-ArtifactsInput!$M$40)))/100)))*(1+(Inputs!$B$24+((C264=TRUE)*(F264-Calc!F25))+B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260=TRUE)*(F260-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262=TRUE)*(F262-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TRUE)*F252*IF(Inputs!$B$3&gt;=110,7,5))+((C254=TRUE)*F254*IF(AND(Inputs!$B$38&lt;&gt;"pvp",Inputs!$B$43&gt;0),(((R254-1)*(Skills!T15*(1+(Inputs!$B$34+(ArtifactsInput!$M$7-ArtifactsInput!$M$7)*CHOOSE(ArtifactsInput!$N$7+1,6,7.2,8.4,9.6,10.8,12))/100))+MIN((Skills!T15*(1+(Inputs!$B$34+(ArtifactsInput!$M$7-ArtifactsInput!$M$7)*CHOOSE(ArtifactsInput!$N$7+1,6,7.2,8.4,9.6,10.8,12))/100)),MAX(0,Inputs!$B$43-((R254-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Hunt"),CHOOSE(ArtifactsInput!$N$35+1,15,18,21,24,27,30)*(1-EXP(-(0.2*B270)*5)),0)+IF(AND(ArtifactsInput!$M$22,Inputs!$B$4&lt;&gt;"Chapter Hunt"),CHOOSE(ArtifactsInput!$N$22+1,10,12,14,16,18,20)*((0*(((0.15*B270*5))^0/1)+1*(((0.15*B270*5))^1/1)+2*(((0.15*B270*5))^2/2)+3*(((0.15*B270*5))^3/6)+4*(((0.15*B270*5))^4/24)+5*(((0.15*B270*5))^5/120))/((((0.15*B270*5))^0/1)+(((0.15*B270*5))^1/1)+(((0.15*B270*5))^2/2)+(((0.15*B270*5))^3/6)+(((0.15*B270*5))^4/24)+(((0.15*B270*5))^5/120))),0)))/100)*I246)</f>
        <v/>
      </c>
      <c r="L246">
        <f>K246*(MIN(Inputs!$B$22+((C261=TRUE)*(F261-Calc!F22)),(Inputs!$B$23+((C263=TRUE)*(F263-Calc!F24))+(IF(ArtifactsInput!$M$15,CHOOSE(ArtifactsInput!$N$15+1,25,30,35,40,45,50)/100*(Inputs!$B$11-Inputs!$B$11),0))))/100+(Inputs!$B$23+((C263=TRUE)*(F263-Calc!F24))+(IF(ArtifactsInput!$M$15,CHOOSE(ArtifactsInput!$N$15+1,25,30,35,40,45,50)/100*(Inputs!$B$11-Inputs!$B$11),0)))/100)/2</f>
        <v/>
      </c>
      <c r="M246">
        <f>L246*(1+(Inputs!$B$10+0+B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
        <f>L246*(1-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
        <f>(1-Summary!$B$11)*T246+Summary!$B$11*V246</f>
        <v/>
      </c>
      <c r="P246">
        <f>IF(B278=0,0,O246/B278)</f>
        <v/>
      </c>
      <c r="Q246">
        <f>IFERROR(1/(IF(Inputs!$B$38="pvp",15,MAX(0.1,Skills!D7-IF(Skills!E7=TRUE,Inputs!$B$32,0)))*(1-IF(AND(ArtifactsInput!$M$27,Inputs!$B$4="Chapter Hunt"),CHOOSE(ArtifactsInput!$N$27+1,20,24,28,32,36,40),0)/100)),0)</f>
        <v/>
      </c>
      <c r="R246">
        <f>IF(AND(Inputs!$B$38&lt;&gt;"pvp",Inputs!$B$43&gt;0),IF(MAX(0,Inputs!$B$43-B275)&lt;=0,0,(INT(MAX(0,Inputs!$B$43-B275)/(IF(Inputs!$B$38="pvp",15,MAX(0.1,Skills!D7-IF(Skills!E7=TRUE,Inputs!$B$32,0)))*(1-IF(AND(ArtifactsInput!$M$27,Inputs!$B$4="Chapter Hunt"),CHOOSE(ArtifactsInput!$N$27+1,20,24,28,32,36,40),0)/100)))+1)),0)</f>
        <v/>
      </c>
      <c r="S246">
        <f>IFERROR(O246/N246,0)</f>
        <v/>
      </c>
      <c r="T246">
        <f>IF(C246,(H246*N246*IF(AND(Inputs!$B$38&lt;&gt;"pvp",Inputs!$B$43&gt;0),((Skills!G7*((R246-1)*IF(Skills!H7&gt;0,Skills!I7/Skills!H7,1)+IF(Skills!H7&gt;0,MIN(Skills!I7,MAX(0,MAX(0,Inputs!$B$43-B275)-((R246-1)*(IF(Inputs!$B$38="pvp",15,MAX(0.1,Skills!D7-IF(Skills!E7=TRUE,Inputs!$B$32,0)))*(1-IF(AND(ArtifactsInput!$M$27,Inputs!$B$4="Chapter Hunt"),CHOOSE(ArtifactsInput!$N$27+1,20,24,28,32,36,40),0)/100)))))/Skills!H7,1)))/Inputs!$B$43),G246*Q246)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
        <f>IF(C246,(H246*N246*IF(AND(Inputs!$B$38&lt;&gt;"pvp",Inputs!$B$43&gt;0),((Skills!G7*((R246-1)*IF(Skills!H7&gt;0,Skills!I7/Skills!H7,1)+IF(Skills!H7&gt;0,MIN(Skills!I7,MAX(0,MAX(0,Inputs!$B$43-B275)-((R246-1)*(IF(Inputs!$B$38="pvp",15,MAX(0.1,Skills!D7-IF(Skills!E7=TRUE,Inputs!$B$32,0)))*(1-IF(AND(ArtifactsInput!$M$27,Inputs!$B$4="Chapter Hunt"),CHOOSE(ArtifactsInput!$N$27+1,20,24,28,32,36,40),0)/100)))))/Skills!H7,1)))/Inputs!$B$43),G246*Q246)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
      <c r="A247">
        <f>Skills!A8</f>
        <v/>
      </c>
      <c r="B247">
        <f>Skills!B8</f>
        <v/>
      </c>
      <c r="C247">
        <f>Inputs!$B$3&gt;=117</f>
        <v/>
      </c>
      <c r="D247">
        <f>IF(Skills!C8=1,60+Inputs!$B$25+Inputs!$B$29,IF(Skills!C8=2,90+Inputs!$B$26+Inputs!$B$29,IF(Skills!C8=3,120+Inputs!$B$27+Inputs!$B$29,MAX(0,(Inputs!$B$3-100)*3)+Inputs!$B$28+Inputs!$B$29)))</f>
        <v/>
      </c>
      <c r="E247">
        <f>INDEX(FactorTable!$B$2:$Y$301, MATCH(ROUND(MIN(300,MAX(1,D247)),0), FactorTable!$A$2:$A$301,0), Skills!M8+1)</f>
        <v/>
      </c>
      <c r="F247">
        <f>IF(Skills!N8=TRUE,(Skills!L8/10)*(E247/1000),Skills!L8/10)+Skills!O8</f>
        <v/>
      </c>
      <c r="G247">
        <f>Skills!G8*IF(Skills!H8&gt;0,Skills!I8/Skills!H8,1)</f>
        <v/>
      </c>
      <c r="H247">
        <f>1-(1-Skills!J8/100)^Skills!K8</f>
        <v/>
      </c>
      <c r="I247" t="inlineStr">
        <is>
          <t>1</t>
        </is>
      </c>
      <c r="J247">
        <f>((Inputs!$B$6*(1+Inputs!$B$7/100))+(((Inputs!$B$12*(1+Inputs!$B$13/100))-(Inputs!$B$12*(1+Inputs!$B$13/100)))+0.25*(Inputs!$B$14-Inputs!$B$14))*(1+Inputs!$B$7/100))*(F247/100)</f>
        <v/>
      </c>
      <c r="K247">
        <f>J247*(1+((Inputs!$B$12*(1+Inputs!$B$13/100))*0.01+Inputs!$B$14*0.0025)/100)*(1+Inputs!$B$15/100)*(1+(Inputs!$B$16+1)/100)*(5000/(6000+Inputs!$B$42*(1-(100*(1-(1-(Inputs!$B$19+0)/100)*(1-CHOOSE(ArtifactsInput!$N$40+1,5,6,7,8,9,10)/100)^(ArtifactsInput!$M$40-ArtifactsInput!$M$40)))/100)))*(1+(Inputs!$B$24+((C264=TRUE)*(F264-Calc!F25))+B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260=TRUE)*(F260-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262=TRUE)*(F262-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TRUE)*F252*IF(Inputs!$B$3&gt;=110,7,5))+((C254=TRUE)*F254*IF(AND(Inputs!$B$38&lt;&gt;"pvp",Inputs!$B$43&gt;0),(((R254-1)*(Skills!T15*(1+(Inputs!$B$34+(ArtifactsInput!$M$7-ArtifactsInput!$M$7)*CHOOSE(ArtifactsInput!$N$7+1,6,7.2,8.4,9.6,10.8,12))/100))+MIN((Skills!T15*(1+(Inputs!$B$34+(ArtifactsInput!$M$7-ArtifactsInput!$M$7)*CHOOSE(ArtifactsInput!$N$7+1,6,7.2,8.4,9.6,10.8,12))/100)),MAX(0,Inputs!$B$43-((R254-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Hunt"),CHOOSE(ArtifactsInput!$N$35+1,15,18,21,24,27,30)*(1-EXP(-(0.2*B270)*5)),0)+IF(AND(ArtifactsInput!$M$22,Inputs!$B$4&lt;&gt;"Chapter Hunt"),CHOOSE(ArtifactsInput!$N$22+1,10,12,14,16,18,20)*((0*(((0.15*B270*5))^0/1)+1*(((0.15*B270*5))^1/1)+2*(((0.15*B270*5))^2/2)+3*(((0.15*B270*5))^3/6)+4*(((0.15*B270*5))^4/24)+5*(((0.15*B270*5))^5/120))/((((0.15*B270*5))^0/1)+(((0.15*B270*5))^1/1)+(((0.15*B270*5))^2/2)+(((0.15*B270*5))^3/6)+(((0.15*B270*5))^4/24)+(((0.15*B270*5))^5/120))),0)))/100)*I247)</f>
        <v/>
      </c>
      <c r="L247">
        <f>K247*(MIN(Inputs!$B$22+((C261=TRUE)*(F261-Calc!F22)),(Inputs!$B$23+((C263=TRUE)*(F263-Calc!F24))+(IF(ArtifactsInput!$M$15,CHOOSE(ArtifactsInput!$N$15+1,25,30,35,40,45,50)/100*(Inputs!$B$11-Inputs!$B$11),0))))/100+(Inputs!$B$23+((C263=TRUE)*(F263-Calc!F24))+(IF(ArtifactsInput!$M$15,CHOOSE(ArtifactsInput!$N$15+1,25,30,35,40,45,50)/100*(Inputs!$B$11-Inputs!$B$11),0)))/100)/2</f>
        <v/>
      </c>
      <c r="M247">
        <f>L247*(1+(Inputs!$B$10+0+B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
        <f>L247*(1-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
        <f>(1-Summary!$B$11)*T247+Summary!$B$11*V247</f>
        <v/>
      </c>
      <c r="P247">
        <f>IF(B278=0,0,O247/B278)</f>
        <v/>
      </c>
      <c r="Q247">
        <f>IFERROR(1/(IF(Inputs!$B$38="pvp",15,MAX(0.1,Skills!D8-IF(Skills!E8=TRUE,Inputs!$B$32,0)))*(1-IF(AND(ArtifactsInput!$M$27,Inputs!$B$4="Chapter Hunt"),CHOOSE(ArtifactsInput!$N$27+1,20,24,28,32,36,40),0)/100)),0)</f>
        <v/>
      </c>
      <c r="R247">
        <f>IF(AND(Inputs!$B$38&lt;&gt;"pvp",Inputs!$B$43&gt;0),IF(MAX(0,Inputs!$B$43-B275)&lt;=0,0,(INT(MAX(0,Inputs!$B$43-B275)/(IF(Inputs!$B$38="pvp",15,MAX(0.1,Skills!D8-IF(Skills!E8=TRUE,Inputs!$B$32,0)))*(1-IF(AND(ArtifactsInput!$M$27,Inputs!$B$4="Chapter Hunt"),CHOOSE(ArtifactsInput!$N$27+1,20,24,28,32,36,40),0)/100)))+1)),0)</f>
        <v/>
      </c>
      <c r="S247">
        <f>IFERROR(O247/N247,0)</f>
        <v/>
      </c>
      <c r="T247">
        <f>IF(C247,(H247*N247*IF(AND(Inputs!$B$38&lt;&gt;"pvp",Inputs!$B$43&gt;0),((Skills!G8*((R247-1)*IF(Skills!H8&gt;0,Skills!I8/Skills!H8,1)+IF(Skills!H8&gt;0,MIN(Skills!I8,MAX(0,MAX(0,Inputs!$B$43-B275)-((R247-1)*(IF(Inputs!$B$38="pvp",15,MAX(0.1,Skills!D8-IF(Skills!E8=TRUE,Inputs!$B$32,0)))*(1-IF(AND(ArtifactsInput!$M$27,Inputs!$B$4="Chapter Hunt"),CHOOSE(ArtifactsInput!$N$27+1,20,24,28,32,36,40),0)/100)))))/Skills!H8,1)))/Inputs!$B$43),G247*Q247)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
        <f>IF(C247,(H247*N247*IF(AND(Inputs!$B$38&lt;&gt;"pvp",Inputs!$B$43&gt;0),((Skills!G8*((R247-1)*IF(Skills!H8&gt;0,Skills!I8/Skills!H8,1)+IF(Skills!H8&gt;0,MIN(Skills!I8,MAX(0,MAX(0,Inputs!$B$43-B275)-((R247-1)*(IF(Inputs!$B$38="pvp",15,MAX(0.1,Skills!D8-IF(Skills!E8=TRUE,Inputs!$B$32,0)))*(1-IF(AND(ArtifactsInput!$M$27,Inputs!$B$4="Chapter Hunt"),CHOOSE(ArtifactsInput!$N$27+1,20,24,28,32,36,40),0)/100)))))/Skills!H8,1)))/Inputs!$B$43),G247*Q247)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8">
      <c r="A248">
        <f>Skills!A9</f>
        <v/>
      </c>
      <c r="B248">
        <f>Skills!B9</f>
        <v/>
      </c>
      <c r="C248">
        <f>Inputs!$B$3&gt;=69</f>
        <v/>
      </c>
      <c r="D248">
        <f>IF(Skills!C9=1,60+Inputs!$B$25+Inputs!$B$29,IF(Skills!C9=2,90+Inputs!$B$26+Inputs!$B$29,IF(Skills!C9=3,120+Inputs!$B$27+Inputs!$B$29,MAX(0,(Inputs!$B$3-100)*3)+Inputs!$B$28+Inputs!$B$29)))</f>
        <v/>
      </c>
      <c r="E248">
        <f>INDEX(FactorTable!$B$2:$Y$301, MATCH(ROUND(MIN(300,MAX(1,D248)),0), FactorTable!$A$2:$A$301,0), Skills!M9+1)</f>
        <v/>
      </c>
      <c r="F248">
        <f>IF(Skills!N9=TRUE,(Skills!L9/10)*(E248/1000),Skills!L9/10)+Skills!O9</f>
        <v/>
      </c>
      <c r="G248">
        <f>Skills!G9*IF(Skills!H9&gt;0,Skills!I9/Skills!H9,1)</f>
        <v/>
      </c>
      <c r="H248">
        <f>1-(1-Skills!J9/100)^Skills!K9</f>
        <v/>
      </c>
      <c r="I248" t="inlineStr">
        <is>
          <t>1</t>
        </is>
      </c>
      <c r="J248">
        <f>((Inputs!$B$6*(1+Inputs!$B$7/100))+(((Inputs!$B$12*(1+Inputs!$B$13/100))-(Inputs!$B$12*(1+Inputs!$B$13/100)))+0.25*(Inputs!$B$14-Inputs!$B$14))*(1+Inputs!$B$7/100))*(F248/100)</f>
        <v/>
      </c>
      <c r="K248">
        <f>J248*(1+((Inputs!$B$12*(1+Inputs!$B$13/100))*0.01+Inputs!$B$14*0.0025)/100)*(1+Inputs!$B$15/100)*(1+(Inputs!$B$16+1)/100)*(5000/(6000+Inputs!$B$42*(1-(100*(1-(1-(Inputs!$B$19+0)/100)*(1-CHOOSE(ArtifactsInput!$N$40+1,5,6,7,8,9,10)/100)^(ArtifactsInput!$M$40-ArtifactsInput!$M$40)))/100)))*(1+(Inputs!$B$24+((C264=TRUE)*(F264-Calc!F25))+B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251=TRUE,F251,0)/100)*(1+IF(Skills!A9="ENHANCED_RAGING_BLOW",IF(Inputs!$B$3&gt;=134,MAX(0,IF(Inputs!$B$3&gt;=110,7,5)-5)*50,0),0)/100)*(1+(IF(Skills!A9="RAGING_BLOW",Inputs!$B$17+((C260=TRUE)*(F260-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262=TRUE)*(F262-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TRUE)*F252*IF(Inputs!$B$3&gt;=110,7,5))+((C254=TRUE)*F254*IF(AND(Inputs!$B$38&lt;&gt;"pvp",Inputs!$B$43&gt;0),(((R254-1)*(Skills!T15*(1+(Inputs!$B$34+(ArtifactsInput!$M$7-ArtifactsInput!$M$7)*CHOOSE(ArtifactsInput!$N$7+1,6,7.2,8.4,9.6,10.8,12))/100))+MIN((Skills!T15*(1+(Inputs!$B$34+(ArtifactsInput!$M$7-ArtifactsInput!$M$7)*CHOOSE(ArtifactsInput!$N$7+1,6,7.2,8.4,9.6,10.8,12))/100)),MAX(0,Inputs!$B$43-((R254-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Hunt"),CHOOSE(ArtifactsInput!$N$35+1,15,18,21,24,27,30)*(1-EXP(-(0.2*B270)*5)),0)+IF(AND(ArtifactsInput!$M$22,Inputs!$B$4&lt;&gt;"Chapter Hunt"),CHOOSE(ArtifactsInput!$N$22+1,10,12,14,16,18,20)*((0*(((0.15*B270*5))^0/1)+1*(((0.15*B270*5))^1/1)+2*(((0.15*B270*5))^2/2)+3*(((0.15*B270*5))^3/6)+4*(((0.15*B270*5))^4/24)+5*(((0.15*B270*5))^5/120))/((((0.15*B270*5))^0/1)+(((0.15*B270*5))^1/1)+(((0.15*B270*5))^2/2)+(((0.15*B270*5))^3/6)+(((0.15*B270*5))^4/24)+(((0.15*B270*5))^5/120))),0)))/100)*I248)</f>
        <v/>
      </c>
      <c r="L248">
        <f>K248*(MIN(Inputs!$B$22+((C261=TRUE)*(F261-Calc!F22)),(Inputs!$B$23+((C263=TRUE)*(F263-Calc!F24))+(IF(ArtifactsInput!$M$15,CHOOSE(ArtifactsInput!$N$15+1,25,30,35,40,45,50)/100*(Inputs!$B$11-Inputs!$B$11),0))))/100+(Inputs!$B$23+((C263=TRUE)*(F263-Calc!F24))+(IF(ArtifactsInput!$M$15,CHOOSE(ArtifactsInput!$N$15+1,25,30,35,40,45,50)/100*(Inputs!$B$11-Inputs!$B$11),0)))/100)/2</f>
        <v/>
      </c>
      <c r="M248">
        <f>L248*(1+(Inputs!$B$10+0+B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8">
        <f>L248*(1-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248*(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8">
        <f>(1-Summary!$B$11)*T248+Summary!$B$11*V248</f>
        <v/>
      </c>
      <c r="P248">
        <f>IF(B278=0,0,O248/B278)</f>
        <v/>
      </c>
      <c r="Q248">
        <f>IFERROR(1/(IF(Inputs!$B$38="pvp",15,MAX(0.1,Skills!D9-IF(Skills!E9=TRUE,Inputs!$B$32,0)))*(1-IF(AND(ArtifactsInput!$M$27,Inputs!$B$4="Chapter Hunt"),CHOOSE(ArtifactsInput!$N$27+1,20,24,28,32,36,40),0)/100)),0)</f>
        <v/>
      </c>
      <c r="R248">
        <f>IF(AND(Inputs!$B$38&lt;&gt;"pvp",Inputs!$B$43&gt;0),IF(MAX(0,Inputs!$B$43-B275)&lt;=0,0,(INT(MAX(0,Inputs!$B$43-B275)/(IF(Inputs!$B$38="pvp",15,MAX(0.1,Skills!D9-IF(Skills!E9=TRUE,Inputs!$B$32,0)))*(1-IF(AND(ArtifactsInput!$M$27,Inputs!$B$4="Chapter Hunt"),CHOOSE(ArtifactsInput!$N$27+1,20,24,28,32,36,40),0)/100)))+1)),0)</f>
        <v/>
      </c>
      <c r="S248">
        <f>IFERROR(O248/N248,0)</f>
        <v/>
      </c>
      <c r="T248">
        <f>IF(C248,(H248*N248*IF(AND(Inputs!$B$38&lt;&gt;"pvp",Inputs!$B$43&gt;0),((Skills!G9*((R248-1)*IF(Skills!H9&gt;0,Skills!I9/Skills!H9,1)+IF(Skills!H9&gt;0,MIN(Skills!I9,MAX(0,MAX(0,Inputs!$B$43-B275)-((R248-1)*(IF(Inputs!$B$38="pvp",15,MAX(0.1,Skills!D9-IF(Skills!E9=TRUE,Inputs!$B$32,0)))*(1-IF(AND(ArtifactsInput!$M$27,Inputs!$B$4="Chapter Hunt"),CHOOSE(ArtifactsInput!$N$27+1,20,24,28,32,36,40),0)/100)))))/Skills!H9,1)))/Inputs!$B$43),G248*Q248)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248*(1-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248*(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248*(1-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248*(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8">
        <f>IF(C248,(H248*N248*IF(AND(Inputs!$B$38&lt;&gt;"pvp",Inputs!$B$43&gt;0),((Skills!G9*((R248-1)*IF(Skills!H9&gt;0,Skills!I9/Skills!H9,1)+IF(Skills!H9&gt;0,MIN(Skills!I9,MAX(0,MAX(0,Inputs!$B$43-B275)-((R248-1)*(IF(Inputs!$B$38="pvp",15,MAX(0.1,Skills!D9-IF(Skills!E9=TRUE,Inputs!$B$32,0)))*(1-IF(AND(ArtifactsInput!$M$27,Inputs!$B$4="Chapter Hunt"),CHOOSE(ArtifactsInput!$N$27+1,20,24,28,32,36,40),0)/100)))))/Skills!H9,1)))/Inputs!$B$43),G248*Q248)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9">
      <c r="A249">
        <f>Skills!A10</f>
        <v/>
      </c>
      <c r="B249">
        <f>Skills!B10</f>
        <v/>
      </c>
      <c r="C249">
        <f>Inputs!$B$3&gt;=63</f>
        <v/>
      </c>
      <c r="D249">
        <f>IF(Skills!C10=1,60+Inputs!$B$25+Inputs!$B$29,IF(Skills!C10=2,90+Inputs!$B$26+Inputs!$B$29,IF(Skills!C10=3,120+Inputs!$B$27+Inputs!$B$29,MAX(0,(Inputs!$B$3-100)*3)+Inputs!$B$28+Inputs!$B$29)))</f>
        <v/>
      </c>
      <c r="E249">
        <f>INDEX(FactorTable!$B$2:$Y$301, MATCH(ROUND(MIN(300,MAX(1,D249)),0), FactorTable!$A$2:$A$301,0), Skills!M10+1)</f>
        <v/>
      </c>
      <c r="F249">
        <f>IF(Skills!N10=TRUE,(Skills!L10/10)*(E249/1000),Skills!L10/10)+Skills!O10</f>
        <v/>
      </c>
      <c r="G249">
        <f>Skills!G10*IF(Skills!H10&gt;0,Skills!I10/Skills!H10,1)</f>
        <v/>
      </c>
      <c r="H249">
        <f>1-(1-Skills!J10/100)^Skills!K10</f>
        <v/>
      </c>
      <c r="I249" t="inlineStr">
        <is>
          <t>1</t>
        </is>
      </c>
      <c r="J249">
        <f>((Inputs!$B$6*(1+Inputs!$B$7/100))+(((Inputs!$B$12*(1+Inputs!$B$13/100))-(Inputs!$B$12*(1+Inputs!$B$13/100)))+0.25*(Inputs!$B$14-Inputs!$B$14))*(1+Inputs!$B$7/100))*(F249/100)</f>
        <v/>
      </c>
      <c r="K249">
        <f>J249*(1+((Inputs!$B$12*(1+Inputs!$B$13/100))*0.01+Inputs!$B$14*0.0025)/100)*(1+Inputs!$B$15/100)*(1+(Inputs!$B$16+1)/100)*(5000/(6000+Inputs!$B$42*(1-(100*(1-(1-(Inputs!$B$19+0)/100)*(1-CHOOSE(ArtifactsInput!$N$40+1,5,6,7,8,9,10)/100)^(ArtifactsInput!$M$40-ArtifactsInput!$M$40)))/100)))*(1+(Inputs!$B$24+((C264=TRUE)*(F264-Calc!F25))+B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251=TRUE,F251,0)/100)*(1+IF(Skills!A10="ENHANCED_RAGING_BLOW",IF(Inputs!$B$3&gt;=134,MAX(0,IF(Inputs!$B$3&gt;=110,7,5)-5)*50,0),0)/100)*(1+(IF(Skills!A10="RAGING_BLOW",Inputs!$B$17+((C260=TRUE)*(F260-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262=TRUE)*(F262-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TRUE)*F252*IF(Inputs!$B$3&gt;=110,7,5))+((C254=TRUE)*F254*IF(AND(Inputs!$B$38&lt;&gt;"pvp",Inputs!$B$43&gt;0),(((R254-1)*(Skills!T15*(1+(Inputs!$B$34+(ArtifactsInput!$M$7-ArtifactsInput!$M$7)*CHOOSE(ArtifactsInput!$N$7+1,6,7.2,8.4,9.6,10.8,12))/100))+MIN((Skills!T15*(1+(Inputs!$B$34+(ArtifactsInput!$M$7-ArtifactsInput!$M$7)*CHOOSE(ArtifactsInput!$N$7+1,6,7.2,8.4,9.6,10.8,12))/100)),MAX(0,Inputs!$B$43-((R254-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Hunt"),CHOOSE(ArtifactsInput!$N$35+1,15,18,21,24,27,30)*(1-EXP(-(0.2*B270)*5)),0)+IF(AND(ArtifactsInput!$M$22,Inputs!$B$4&lt;&gt;"Chapter Hunt"),CHOOSE(ArtifactsInput!$N$22+1,10,12,14,16,18,20)*((0*(((0.15*B270*5))^0/1)+1*(((0.15*B270*5))^1/1)+2*(((0.15*B270*5))^2/2)+3*(((0.15*B270*5))^3/6)+4*(((0.15*B270*5))^4/24)+5*(((0.15*B270*5))^5/120))/((((0.15*B270*5))^0/1)+(((0.15*B270*5))^1/1)+(((0.15*B270*5))^2/2)+(((0.15*B270*5))^3/6)+(((0.15*B270*5))^4/24)+(((0.15*B270*5))^5/120))),0)))/100)*I249)</f>
        <v/>
      </c>
      <c r="L249">
        <f>K249*(MIN(Inputs!$B$22+((C261=TRUE)*(F261-Calc!F22)),(Inputs!$B$23+((C263=TRUE)*(F263-Calc!F24))+(IF(ArtifactsInput!$M$15,CHOOSE(ArtifactsInput!$N$15+1,25,30,35,40,45,50)/100*(Inputs!$B$11-Inputs!$B$11),0))))/100+(Inputs!$B$23+((C263=TRUE)*(F263-Calc!F24))+(IF(ArtifactsInput!$M$15,CHOOSE(ArtifactsInput!$N$15+1,25,30,35,40,45,50)/100*(Inputs!$B$11-Inputs!$B$11),0)))/100)/2</f>
        <v/>
      </c>
      <c r="M249">
        <f>L249*(1+(Inputs!$B$10+0+B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
        <f>L249*(1-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
        <f>(1-Summary!$B$11)*T249+Summary!$B$11*V249</f>
        <v/>
      </c>
      <c r="P249">
        <f>IF(B278=0,0,O249/B278)</f>
        <v/>
      </c>
      <c r="Q249">
        <f>IFERROR(1/(IF(Inputs!$B$38="pvp",15,MAX(0.1,Skills!D10-IF(Skills!E10=TRUE,Inputs!$B$32,0)))*(1-IF(AND(ArtifactsInput!$M$27,Inputs!$B$4="Chapter Hunt"),CHOOSE(ArtifactsInput!$N$27+1,20,24,28,32,36,40),0)/100)),0)</f>
        <v/>
      </c>
      <c r="R249">
        <f>IF(AND(Inputs!$B$38&lt;&gt;"pvp",Inputs!$B$43&gt;0),IF(MAX(0,Inputs!$B$43-B275)&lt;=0,0,(INT(MAX(0,Inputs!$B$43-B275)/(IF(Inputs!$B$38="pvp",15,MAX(0.1,Skills!D10-IF(Skills!E10=TRUE,Inputs!$B$32,0)))*(1-IF(AND(ArtifactsInput!$M$27,Inputs!$B$4="Chapter Hunt"),CHOOSE(ArtifactsInput!$N$27+1,20,24,28,32,36,40),0)/100)))+1)),0)</f>
        <v/>
      </c>
      <c r="S249">
        <f>IFERROR(O249/N249,0)</f>
        <v/>
      </c>
      <c r="T249">
        <f>IF(C249,(H249*N249*IF(AND(Inputs!$B$38&lt;&gt;"pvp",Inputs!$B$43&gt;0),((Skills!G10*((R249-1)*IF(Skills!H10&gt;0,Skills!I10/Skills!H10,1)+IF(Skills!H10&gt;0,MIN(Skills!I10,MAX(0,MAX(0,Inputs!$B$43-B275)-((R249-1)*(IF(Inputs!$B$38="pvp",15,MAX(0.1,Skills!D10-IF(Skills!E10=TRUE,Inputs!$B$32,0)))*(1-IF(AND(ArtifactsInput!$M$27,Inputs!$B$4="Chapter Hunt"),CHOOSE(ArtifactsInput!$N$27+1,20,24,28,32,36,40),0)/100)))))/Skills!H10,1)))/Inputs!$B$43),G249*Q249)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249*(1-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9">
        <f>IF(C249,(H249*N249*IF(AND(Inputs!$B$38&lt;&gt;"pvp",Inputs!$B$43&gt;0),((Skills!G10*((R249-1)*IF(Skills!H10&gt;0,Skills!I10/Skills!H10,1)+IF(Skills!H10&gt;0,MIN(Skills!I10,MAX(0,MAX(0,Inputs!$B$43-B275)-((R249-1)*(IF(Inputs!$B$38="pvp",15,MAX(0.1,Skills!D10-IF(Skills!E10=TRUE,Inputs!$B$32,0)))*(1-IF(AND(ArtifactsInput!$M$27,Inputs!$B$4="Chapter Hunt"),CHOOSE(ArtifactsInput!$N$27+1,20,24,28,32,36,40),0)/100)))))/Skills!H10,1)))/Inputs!$B$43),G249*Q249)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
      <c r="A250">
        <f>Skills!A11</f>
        <v/>
      </c>
      <c r="B250">
        <f>Skills!B11</f>
        <v/>
      </c>
      <c r="C250">
        <f>Inputs!$B$3&gt;=35</f>
        <v/>
      </c>
      <c r="D250">
        <f>IF(Skills!C11=1,60+Inputs!$B$25+Inputs!$B$29,IF(Skills!C11=2,90+Inputs!$B$26+Inputs!$B$29,IF(Skills!C11=3,120+Inputs!$B$27+Inputs!$B$29,MAX(0,(Inputs!$B$3-100)*3)+Inputs!$B$28+Inputs!$B$29)))</f>
        <v/>
      </c>
      <c r="E250">
        <f>INDEX(FactorTable!$B$2:$Y$301, MATCH(ROUND(MIN(300,MAX(1,D250)),0), FactorTable!$A$2:$A$301,0), Skills!M11+1)</f>
        <v/>
      </c>
      <c r="F250">
        <f>IF(Skills!N11=TRUE,(Skills!L11/10)*(E250/1000),Skills!L11/10)+Skills!O11</f>
        <v/>
      </c>
      <c r="G250">
        <f>Skills!G11*IF(Skills!H11&gt;0,Skills!I11/Skills!H11,1)</f>
        <v/>
      </c>
      <c r="H250">
        <f>1-(1-Skills!J11/100)^Skills!K11</f>
        <v/>
      </c>
      <c r="I250" t="inlineStr">
        <is>
          <t>1</t>
        </is>
      </c>
      <c r="J250">
        <f>((Inputs!$B$6*(1+Inputs!$B$7/100))+(((Inputs!$B$12*(1+Inputs!$B$13/100))-(Inputs!$B$12*(1+Inputs!$B$13/100)))+0.25*(Inputs!$B$14-Inputs!$B$14))*(1+Inputs!$B$7/100))*(F250/100)</f>
        <v/>
      </c>
      <c r="K250">
        <f>J250*(1+((Inputs!$B$12*(1+Inputs!$B$13/100))*0.01+Inputs!$B$14*0.0025)/100)*(1+Inputs!$B$15/100)*(1+(Inputs!$B$16+1)/100)*(5000/(6000+Inputs!$B$42*(1-(100*(1-(1-(Inputs!$B$19+0)/100)*(1-CHOOSE(ArtifactsInput!$N$40+1,5,6,7,8,9,10)/100)^(ArtifactsInput!$M$40-ArtifactsInput!$M$40)))/100)))*(1+(Inputs!$B$24+((C264=TRUE)*(F264-Calc!F25))+B274)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251=TRUE,F251,0)/100)*(1+IF(Skills!A11="ENHANCED_RAGING_BLOW",IF(Inputs!$B$3&gt;=134,MAX(0,IF(Inputs!$B$3&gt;=110,7,5)-5)*50,0),0)/100)*(1+(IF(Skills!A11="RAGING_BLOW",Inputs!$B$17+((C260=TRUE)*(F260-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262=TRUE)*(F262-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TRUE)*F252*IF(Inputs!$B$3&gt;=110,7,5))+((C254=TRUE)*F254*IF(AND(Inputs!$B$38&lt;&gt;"pvp",Inputs!$B$43&gt;0),(((R254-1)*(Skills!T15*(1+(Inputs!$B$34+(ArtifactsInput!$M$7-ArtifactsInput!$M$7)*CHOOSE(ArtifactsInput!$N$7+1,6,7.2,8.4,9.6,10.8,12))/100))+MIN((Skills!T15*(1+(Inputs!$B$34+(ArtifactsInput!$M$7-ArtifactsInput!$M$7)*CHOOSE(ArtifactsInput!$N$7+1,6,7.2,8.4,9.6,10.8,12))/100)),MAX(0,Inputs!$B$43-((R254-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Hunt"),CHOOSE(ArtifactsInput!$N$35+1,15,18,21,24,27,30)*(1-EXP(-(0.2*B270)*5)),0)+IF(AND(ArtifactsInput!$M$22,Inputs!$B$4&lt;&gt;"Chapter Hunt"),CHOOSE(ArtifactsInput!$N$22+1,10,12,14,16,18,20)*((0*(((0.15*B270*5))^0/1)+1*(((0.15*B270*5))^1/1)+2*(((0.15*B270*5))^2/2)+3*(((0.15*B270*5))^3/6)+4*(((0.15*B270*5))^4/24)+5*(((0.15*B270*5))^5/120))/((((0.15*B270*5))^0/1)+(((0.15*B270*5))^1/1)+(((0.15*B270*5))^2/2)+(((0.15*B270*5))^3/6)+(((0.15*B270*5))^4/24)+(((0.15*B270*5))^5/120))),0)))/100)*I250)</f>
        <v/>
      </c>
      <c r="L250">
        <f>K250*(MIN(Inputs!$B$22+((C261=TRUE)*(F261-Calc!F22)),(Inputs!$B$23+((C263=TRUE)*(F263-Calc!F24))+(IF(ArtifactsInput!$M$15,CHOOSE(ArtifactsInput!$N$15+1,25,30,35,40,45,50)/100*(Inputs!$B$11-Inputs!$B$11),0))))/100+(Inputs!$B$23+((C263=TRUE)*(F263-Calc!F24))+(IF(ArtifactsInput!$M$15,CHOOSE(ArtifactsInput!$N$15+1,25,30,35,40,45,50)/100*(Inputs!$B$11-Inputs!$B$11),0)))/100)/2</f>
        <v/>
      </c>
      <c r="M250">
        <f>L250*(1+(Inputs!$B$10+0+B273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
        <f>L250*(1-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MIN((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
        <f>(1-Summary!$B$11)*T250+Summary!$B$11*V250</f>
        <v/>
      </c>
      <c r="P250">
        <f>IF(B278=0,0,O250/B278)</f>
        <v/>
      </c>
      <c r="Q250">
        <f>IFERROR(1/(IF(Inputs!$B$38="pvp",15,MAX(0.1,Skills!D11-IF(Skills!E11=TRUE,Inputs!$B$32,0)))*(1-IF(AND(ArtifactsInput!$M$27,Inputs!$B$4="Chapter Hunt"),CHOOSE(ArtifactsInput!$N$27+1,20,24,28,32,36,40),0)/100)),0)</f>
        <v/>
      </c>
      <c r="R250">
        <f>IF(AND(Inputs!$B$38&lt;&gt;"pvp",Inputs!$B$43&gt;0),IF(MAX(0,Inputs!$B$43-B275)&lt;=0,0,(INT(MAX(0,Inputs!$B$43-B275)/(IF(Inputs!$B$38="pvp",15,MAX(0.1,Skills!D11-IF(Skills!E11=TRUE,Inputs!$B$32,0)))*(1-IF(AND(ArtifactsInput!$M$27,Inputs!$B$4="Chapter Hunt"),CHOOSE(ArtifactsInput!$N$27+1,20,24,28,32,36,40),0)/100)))+1)),0)</f>
        <v/>
      </c>
      <c r="S250">
        <f>IFERROR(O250/N250,0)</f>
        <v/>
      </c>
      <c r="T250">
        <f>IF(C250,(H250*N250*IF(AND(Inputs!$B$38&lt;&gt;"pvp",Inputs!$B$43&gt;0),((Skills!G11*((R250-1)*IF(Skills!H11&gt;0,Skills!I11/Skills!H11,1)+IF(Skills!H11&gt;0,MIN(Skills!I11,MAX(0,MAX(0,Inputs!$B$43-B275)-((R250-1)*(IF(Inputs!$B$38="pvp",15,MAX(0.1,Skills!D11-IF(Skills!E11=TRUE,Inputs!$B$32,0)))*(1-IF(AND(ArtifactsInput!$M$27,Inputs!$B$4="Chapter Hunt"),CHOOSE(ArtifactsInput!$N$27+1,20,24,28,32,36,40),0)/100)))))/Skills!H11,1)))/Inputs!$B$43),G250*Q250)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(1-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MIN(100,(Inputs!$B$9+((C265=TRUE)*(F265-Calc!F26))+B268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0">
        <f>IF(C250,(H250*N250*IF(AND(Inputs!$B$38&lt;&gt;"pvp",Inputs!$B$43&gt;0),((Skills!G11*((R250-1)*IF(Skills!H11&gt;0,Skills!I11/Skills!H11,1)+IF(Skills!H11&gt;0,MIN(Skills!I11,MAX(0,MAX(0,Inputs!$B$43-B275)-((R250-1)*(IF(Inputs!$B$38="pvp",15,MAX(0.1,Skills!D11-IF(Skills!E11=TRUE,Inputs!$B$32,0)))*(1-IF(AND(ArtifactsInput!$M$27,Inputs!$B$4="Chapter Hunt"),CHOOSE(ArtifactsInput!$N$27+1,20,24,28,32,36,40),0)/100)))))/Skills!H11,1)))/Inputs!$B$43),G250*Q250)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
      <c r="A251">
        <f>Skills!A12</f>
        <v/>
      </c>
      <c r="B251">
        <f>Skills!B12</f>
        <v/>
      </c>
      <c r="C251">
        <f>Inputs!$B$3&gt;=100</f>
        <v/>
      </c>
      <c r="D251">
        <f>IF(Skills!C12=1,60+Inputs!$B$25+Inputs!$B$29,IF(Skills!C12=2,90+Inputs!$B$26+Inputs!$B$29,IF(Skills!C12=3,120+Inputs!$B$27+Inputs!$B$29,MAX(0,(Inputs!$B$3-100)*3)+Inputs!$B$28+Inputs!$B$29)))</f>
        <v/>
      </c>
      <c r="E251">
        <f>INDEX(FactorTable!$B$2:$Y$301, MATCH(ROUND(MIN(300,MAX(1,D251)),0), FactorTable!$A$2:$A$301,0), Skills!M12+1)</f>
        <v/>
      </c>
      <c r="F251">
        <f>IF(Skills!N12=TRUE,(Skills!L12/10)*(E251/1000),Skills!L12/10)+Skills!O12</f>
        <v/>
      </c>
      <c r="G251" t="inlineStr"/>
      <c r="H251" t="inlineStr"/>
      <c r="I251" t="inlineStr">
        <is>
          <t>1</t>
        </is>
      </c>
      <c r="J251" t="inlineStr"/>
      <c r="K251" t="inlineStr"/>
      <c r="L251" t="inlineStr"/>
      <c r="M251" t="inlineStr"/>
      <c r="N251" t="inlineStr"/>
      <c r="O251" t="inlineStr"/>
      <c r="P251" t="inlineStr"/>
      <c r="Q251" t="inlineStr"/>
      <c r="R251" t="inlineStr"/>
      <c r="S251" t="inlineStr"/>
    </row>
    <row r="252">
      <c r="A252">
        <f>Skills!A13</f>
        <v/>
      </c>
      <c r="B252">
        <f>Skills!B13</f>
        <v/>
      </c>
      <c r="C252">
        <f>Inputs!$B$3&gt;=45</f>
        <v/>
      </c>
      <c r="D252">
        <f>IF(Skills!C13=1,60+Inputs!$B$25+Inputs!$B$29,IF(Skills!C13=2,90+Inputs!$B$26+Inputs!$B$29,IF(Skills!C13=3,120+Inputs!$B$27+Inputs!$B$29,MAX(0,(Inputs!$B$3-100)*3)+Inputs!$B$28+Inputs!$B$29)))</f>
        <v/>
      </c>
      <c r="E252">
        <f>INDEX(FactorTable!$B$2:$Y$301, MATCH(ROUND(MIN(300,MAX(1,D252)),0), FactorTable!$A$2:$A$301,0), Skills!M13+1)</f>
        <v/>
      </c>
      <c r="F252">
        <f>IF(Skills!N13=TRUE,(Skills!L13/10)*(E252/1000),Skills!L13/10)+Skills!O13</f>
        <v/>
      </c>
      <c r="G252">
        <f>Skills!G13*IF(Skills!H13&gt;0,Skills!I13/Skills!H13,1)</f>
        <v/>
      </c>
      <c r="H252">
        <f>1-(1-Skills!J13/100)^Skills!K13</f>
        <v/>
      </c>
      <c r="I252" t="inlineStr">
        <is>
          <t>1</t>
        </is>
      </c>
      <c r="J252" t="inlineStr"/>
      <c r="K252" t="inlineStr"/>
      <c r="L252" t="inlineStr"/>
      <c r="M252" t="inlineStr"/>
      <c r="N252" t="inlineStr"/>
      <c r="O252">
        <f>(1-Summary!$B$11)*T252+Summary!$B$11*V252</f>
        <v/>
      </c>
      <c r="P252">
        <f>IF(B278=0,0,O252/B278)</f>
        <v/>
      </c>
      <c r="Q252" t="n">
        <v>0</v>
      </c>
      <c r="R252" t="n">
        <v>0</v>
      </c>
      <c r="S252">
        <f>IFERROR(O252/N252,0)</f>
        <v/>
      </c>
      <c r="T252" t="n">
        <v>0</v>
      </c>
      <c r="V252" t="n">
        <v>0</v>
      </c>
    </row>
    <row r="253">
      <c r="A253">
        <f>Skills!A14</f>
        <v/>
      </c>
      <c r="B253">
        <f>Skills!B14</f>
        <v/>
      </c>
      <c r="C253">
        <f>Inputs!$B$3&gt;=75</f>
        <v/>
      </c>
      <c r="D253">
        <f>IF(Skills!C14=1,60+Inputs!$B$25+Inputs!$B$29,IF(Skills!C14=2,90+Inputs!$B$26+Inputs!$B$29,IF(Skills!C14=3,120+Inputs!$B$27+Inputs!$B$29,MAX(0,(Inputs!$B$3-100)*3)+Inputs!$B$28+Inputs!$B$29)))</f>
        <v/>
      </c>
      <c r="E253">
        <f>INDEX(FactorTable!$B$2:$Y$301, MATCH(ROUND(MIN(300,MAX(1,D253)),0), FactorTable!$A$2:$A$301,0), Skills!M14+1)</f>
        <v/>
      </c>
      <c r="F253">
        <f>IF(Skills!N14=TRUE,(Skills!L14/10)*(E253/1000),Skills!L14/10)+Skills!O14</f>
        <v/>
      </c>
      <c r="G253">
        <f>Skills!G14*IF(Skills!H14&gt;0,Skills!I14/Skills!H14,1)</f>
        <v/>
      </c>
      <c r="H253">
        <f>1-(1-Skills!J14/100)^Skills!K14</f>
        <v/>
      </c>
      <c r="I253" t="inlineStr">
        <is>
          <t>1</t>
        </is>
      </c>
      <c r="J253" t="inlineStr"/>
      <c r="K253" t="inlineStr"/>
      <c r="L253" t="inlineStr"/>
      <c r="M253" t="inlineStr"/>
      <c r="N253" t="inlineStr"/>
      <c r="O253">
        <f>(1-Summary!$B$11)*T253+Summary!$B$11*V253</f>
        <v/>
      </c>
      <c r="P253">
        <f>IF(B278=0,0,O253/B278)</f>
        <v/>
      </c>
      <c r="Q253" t="n">
        <v>0</v>
      </c>
      <c r="R253" t="n">
        <v>0</v>
      </c>
      <c r="S253">
        <f>IFERROR(O253/N253,0)</f>
        <v/>
      </c>
      <c r="T253" t="n">
        <v>0</v>
      </c>
      <c r="V253" t="n">
        <v>0</v>
      </c>
    </row>
    <row r="254">
      <c r="A254">
        <f>Skills!A15</f>
        <v/>
      </c>
      <c r="B254">
        <f>Skills!B15</f>
        <v/>
      </c>
      <c r="C254">
        <f>Inputs!$B$3&gt;=40</f>
        <v/>
      </c>
      <c r="D254">
        <f>IF(Skills!C15=1,60+Inputs!$B$25+Inputs!$B$29,IF(Skills!C15=2,90+Inputs!$B$26+Inputs!$B$29,IF(Skills!C15=3,120+Inputs!$B$27+Inputs!$B$29,MAX(0,(Inputs!$B$3-100)*3)+Inputs!$B$28+Inputs!$B$29)))</f>
        <v/>
      </c>
      <c r="E254">
        <f>INDEX(FactorTable!$B$2:$Y$301, MATCH(ROUND(MIN(300,MAX(1,D254)),0), FactorTable!$A$2:$A$301,0), Skills!M15+1)</f>
        <v/>
      </c>
      <c r="F254">
        <f>IF(Skills!N15=TRUE,(Skills!L15/10)*(E254/1000),Skills!L15/10)+Skills!O15</f>
        <v/>
      </c>
      <c r="G254">
        <f>Skills!G15*IF(Skills!H15&gt;0,Skills!I15/Skills!H15,1)</f>
        <v/>
      </c>
      <c r="H254">
        <f>1-(1-Skills!J15/100)^Skills!K15</f>
        <v/>
      </c>
      <c r="I254" t="inlineStr">
        <is>
          <t>1</t>
        </is>
      </c>
      <c r="J254" t="inlineStr"/>
      <c r="K254" t="inlineStr"/>
      <c r="L254" t="inlineStr"/>
      <c r="M254" t="inlineStr"/>
      <c r="N254" t="inlineStr"/>
      <c r="O254">
        <f>(1-Summary!$B$11)*T254+Summary!$B$11*V254</f>
        <v/>
      </c>
      <c r="P254">
        <f>IF(B278=0,0,O254/B278)</f>
        <v/>
      </c>
      <c r="Q254">
        <f>IFERROR(1/(IF(Inputs!$B$38="pvp",15,MAX(0.1,Skills!D15-IF(Skills!E15=TRUE,Inputs!$B$32,0)))*(1-IF(AND(ArtifactsInput!$M$27,Inputs!$B$4="Chapter Hunt"),CHOOSE(ArtifactsInput!$N$27+1,20,24,28,32,36,40),0)/100)),0)</f>
        <v/>
      </c>
      <c r="R254">
        <f>IF(AND(Inputs!$B$38&lt;&gt;"pvp",Inputs!$B$43&gt;0),IF(Inputs!$B$43&lt;=0,0,(INT(Inputs!$B$43/(IF(Inputs!$B$38="pvp",15,MAX(0.1,Skills!D15-IF(Skills!E15=TRUE,Inputs!$B$32,0)))*(1-IF(AND(ArtifactsInput!$M$27,Inputs!$B$4="Chapter Hunt"),CHOOSE(ArtifactsInput!$N$27+1,20,24,28,32,36,40),0)/100)))+1)),0)</f>
        <v/>
      </c>
      <c r="S254">
        <f>IFERROR(O254/N254,0)</f>
        <v/>
      </c>
      <c r="T254" t="n">
        <v>0</v>
      </c>
      <c r="V254" t="n">
        <v>0</v>
      </c>
    </row>
    <row r="255">
      <c r="A255">
        <f>Skills!A16</f>
        <v/>
      </c>
      <c r="B255">
        <f>Skills!B16</f>
        <v/>
      </c>
      <c r="C255">
        <f>Inputs!$B$3&gt;=66</f>
        <v/>
      </c>
      <c r="D255">
        <f>IF(Skills!C16=1,60+Inputs!$B$25+Inputs!$B$29,IF(Skills!C16=2,90+Inputs!$B$26+Inputs!$B$29,IF(Skills!C16=3,120+Inputs!$B$27+Inputs!$B$29,MAX(0,(Inputs!$B$3-100)*3)+Inputs!$B$28+Inputs!$B$29)))</f>
        <v/>
      </c>
      <c r="E255">
        <f>INDEX(FactorTable!$B$2:$Y$301, MATCH(ROUND(MIN(300,MAX(1,D255)),0), FactorTable!$A$2:$A$301,0), Skills!M16+1)</f>
        <v/>
      </c>
      <c r="F255">
        <f>IF(Skills!N16=TRUE,(Skills!L16/10)*(E255/1000),Skills!L16/10)+Skills!O16</f>
        <v/>
      </c>
      <c r="G255">
        <f>Skills!G16*IF(Skills!H16&gt;0,Skills!I16/Skills!H16,1)</f>
        <v/>
      </c>
      <c r="H255">
        <f>1-(1-Skills!J16/100)^Skills!K16</f>
        <v/>
      </c>
      <c r="I255" t="inlineStr">
        <is>
          <t>1</t>
        </is>
      </c>
      <c r="J255" t="inlineStr"/>
      <c r="K255" t="inlineStr"/>
      <c r="L255" t="inlineStr"/>
      <c r="M255" t="inlineStr"/>
      <c r="N255" t="inlineStr"/>
      <c r="O255">
        <f>(1-Summary!$B$11)*T255+Summary!$B$11*V255</f>
        <v/>
      </c>
      <c r="P255">
        <f>IF(B278=0,0,O255/B278)</f>
        <v/>
      </c>
      <c r="Q255">
        <f>IFERROR(1/(IF(Inputs!$B$38="pvp",15,MAX(0.1,Skills!D16-IF(Skills!E16=TRUE,Inputs!$B$32,0)))*(1-IF(AND(ArtifactsInput!$M$27,Inputs!$B$4="Chapter Hunt"),CHOOSE(ArtifactsInput!$N$27+1,20,24,28,32,36,40),0)/100)),0)</f>
        <v/>
      </c>
      <c r="R255">
        <f>IF(AND(Inputs!$B$38&lt;&gt;"pvp",Inputs!$B$43&gt;0),IF(Inputs!$B$43&lt;=0,0,(INT(Inputs!$B$43/(IF(Inputs!$B$38="pvp",15,MAX(0.1,Skills!D16-IF(Skills!E16=TRUE,Inputs!$B$32,0)))*(1-IF(AND(ArtifactsInput!$M$27,Inputs!$B$4="Chapter Hunt"),CHOOSE(ArtifactsInput!$N$27+1,20,24,28,32,36,40),0)/100)))+1)),0)</f>
        <v/>
      </c>
      <c r="S255">
        <f>IFERROR(O255/N255,0)</f>
        <v/>
      </c>
      <c r="T255" t="n">
        <v>0</v>
      </c>
      <c r="V255" t="n">
        <v>0</v>
      </c>
    </row>
    <row r="256">
      <c r="A256">
        <f>Skills!A17</f>
        <v/>
      </c>
      <c r="B256">
        <f>Skills!B17</f>
        <v/>
      </c>
      <c r="C256">
        <f>Inputs!$B$3&gt;=115</f>
        <v/>
      </c>
      <c r="D256">
        <f>IF(Skills!C17=1,60+Inputs!$B$25+Inputs!$B$29,IF(Skills!C17=2,90+Inputs!$B$26+Inputs!$B$29,IF(Skills!C17=3,120+Inputs!$B$27+Inputs!$B$29,MAX(0,(Inputs!$B$3-100)*3)+Inputs!$B$28+Inputs!$B$29)))</f>
        <v/>
      </c>
      <c r="E256">
        <f>INDEX(FactorTable!$B$2:$Y$301, MATCH(ROUND(MIN(300,MAX(1,D256)),0), FactorTable!$A$2:$A$301,0), Skills!M17+1)</f>
        <v/>
      </c>
      <c r="F256">
        <f>IF(Skills!N17=TRUE,(Skills!L17/10)*(E256/1000),Skills!L17/10)+Skills!O17</f>
        <v/>
      </c>
      <c r="G256">
        <f>Skills!G17*IF(Skills!H17&gt;0,Skills!I17/Skills!H17,1)</f>
        <v/>
      </c>
      <c r="H256">
        <f>1-(1-Skills!J17/100)^Skills!K17</f>
        <v/>
      </c>
      <c r="I256" t="inlineStr">
        <is>
          <t>1</t>
        </is>
      </c>
      <c r="J256" t="inlineStr"/>
      <c r="K256" t="inlineStr"/>
      <c r="L256" t="inlineStr"/>
      <c r="M256" t="inlineStr"/>
      <c r="N256" t="inlineStr"/>
      <c r="O256">
        <f>(1-Summary!$B$11)*T256+Summary!$B$11*V256</f>
        <v/>
      </c>
      <c r="P256">
        <f>IF(B278=0,0,O256/B278)</f>
        <v/>
      </c>
      <c r="Q256">
        <f>IFERROR(1/(IF(Inputs!$B$38="pvp",15,MAX(0.1,Skills!D17-IF(Skills!E17=TRUE,Inputs!$B$32,0)))*(1-IF(AND(ArtifactsInput!$M$27,Inputs!$B$4="Chapter Hunt"),CHOOSE(ArtifactsInput!$N$27+1,20,24,28,32,36,40),0)/100)),0)</f>
        <v/>
      </c>
      <c r="R256">
        <f>IF(AND(Inputs!$B$38&lt;&gt;"pvp",Inputs!$B$43&gt;0),IF(Inputs!$B$43&lt;=0,0,(INT(Inputs!$B$43/(IF(Inputs!$B$38="pvp",15,MAX(0.1,Skills!D17-IF(Skills!E17=TRUE,Inputs!$B$32,0)))*(1-IF(AND(ArtifactsInput!$M$27,Inputs!$B$4="Chapter Hunt"),CHOOSE(ArtifactsInput!$N$27+1,20,24,28,32,36,40),0)/100)))+1)),0)</f>
        <v/>
      </c>
      <c r="S256">
        <f>IFERROR(O256/N256,0)</f>
        <v/>
      </c>
      <c r="T256" t="n">
        <v>0</v>
      </c>
      <c r="V256" t="n">
        <v>0</v>
      </c>
    </row>
    <row r="257">
      <c r="A257">
        <f>Skills!A18</f>
        <v/>
      </c>
      <c r="B257">
        <f>Skills!B18</f>
        <v/>
      </c>
      <c r="C257">
        <f>Inputs!$B$3&gt;=115</f>
        <v/>
      </c>
      <c r="D257">
        <f>IF(Skills!C18=1,60+Inputs!$B$25+Inputs!$B$29,IF(Skills!C18=2,90+Inputs!$B$26+Inputs!$B$29,IF(Skills!C18=3,120+Inputs!$B$27+Inputs!$B$29,MAX(0,(Inputs!$B$3-100)*3)+Inputs!$B$28+Inputs!$B$29)))</f>
        <v/>
      </c>
      <c r="E257">
        <f>INDEX(FactorTable!$B$2:$Y$301, MATCH(ROUND(MIN(300,MAX(1,D257)),0), FactorTable!$A$2:$A$301,0), Skills!M18+1)</f>
        <v/>
      </c>
      <c r="F257">
        <f>IF(Skills!N18=TRUE,(Skills!L18/10)*(E257/1000),Skills!L18/10)+Skills!O18</f>
        <v/>
      </c>
      <c r="G257">
        <f>Skills!G18*IF(Skills!H18&gt;0,Skills!I18/Skills!H18,1)</f>
        <v/>
      </c>
      <c r="H257">
        <f>1-(1-Skills!J18/100)^Skills!K18</f>
        <v/>
      </c>
      <c r="I257" t="inlineStr">
        <is>
          <t>1</t>
        </is>
      </c>
      <c r="J257" t="inlineStr"/>
      <c r="K257" t="inlineStr"/>
      <c r="L257" t="inlineStr"/>
      <c r="M257" t="inlineStr"/>
      <c r="N257" t="inlineStr"/>
      <c r="O257">
        <f>(1-Summary!$B$11)*T257+Summary!$B$11*V257</f>
        <v/>
      </c>
      <c r="P257">
        <f>IF(B278=0,0,O257/B278)</f>
        <v/>
      </c>
      <c r="Q257">
        <f>IFERROR(1/(IF(Inputs!$B$38="pvp",15,MAX(0.1,Skills!D18-IF(Skills!E18=TRUE,Inputs!$B$32,0)))*(1-IF(AND(ArtifactsInput!$M$27,Inputs!$B$4="Chapter Hunt"),CHOOSE(ArtifactsInput!$N$27+1,20,24,28,32,36,40),0)/100)),0)</f>
        <v/>
      </c>
      <c r="R257">
        <f>IF(AND(Inputs!$B$38&lt;&gt;"pvp",Inputs!$B$43&gt;0),IF(Inputs!$B$43&lt;=0,0,(INT(Inputs!$B$43/(IF(Inputs!$B$38="pvp",15,MAX(0.1,Skills!D18-IF(Skills!E18=TRUE,Inputs!$B$32,0)))*(1-IF(AND(ArtifactsInput!$M$27,Inputs!$B$4="Chapter Hunt"),CHOOSE(ArtifactsInput!$N$27+1,20,24,28,32,36,40),0)/100)))+1)),0)</f>
        <v/>
      </c>
      <c r="S257">
        <f>IFERROR(O257/N257,0)</f>
        <v/>
      </c>
      <c r="T257" t="n">
        <v>0</v>
      </c>
      <c r="V257" t="n">
        <v>0</v>
      </c>
    </row>
    <row r="258">
      <c r="A258">
        <f>Skills!A19</f>
        <v/>
      </c>
      <c r="B258">
        <f>Skills!B19</f>
        <v/>
      </c>
      <c r="C258">
        <f>TRUE</f>
        <v/>
      </c>
      <c r="D258">
        <f>IF(Skills!C19=1,60+Inputs!$B$25+Inputs!$B$29,IF(Skills!C19=2,90+Inputs!$B$26+Inputs!$B$29,IF(Skills!C19=3,120+Inputs!$B$27+Inputs!$B$29,MAX(0,(Inputs!$B$3-100)*3)+Inputs!$B$28+Inputs!$B$29)))</f>
        <v/>
      </c>
      <c r="E258">
        <f>INDEX(FactorTable!$B$2:$Y$301, MATCH(ROUND(MIN(300,MAX(1,D258)),0), FactorTable!$A$2:$A$301,0), Skills!M19+1)</f>
        <v/>
      </c>
      <c r="F258">
        <f>IF(Skills!N19=TRUE,(Skills!L19/10)*(E258/1000),Skills!L19/10)+Skills!O19</f>
        <v/>
      </c>
      <c r="G258">
        <f>Skills!G19*IF(Skills!H19&gt;0,Skills!I19/Skills!H19,1)</f>
        <v/>
      </c>
      <c r="H258">
        <f>1-(1-Skills!J19/100)^Skills!K19</f>
        <v/>
      </c>
      <c r="I258" t="inlineStr">
        <is>
          <t>1</t>
        </is>
      </c>
      <c r="J258" t="inlineStr"/>
      <c r="K258" t="inlineStr"/>
      <c r="L258" t="inlineStr"/>
      <c r="M258" t="inlineStr"/>
      <c r="N258" t="inlineStr"/>
      <c r="O258">
        <f>(1-Summary!$B$11)*T258+Summary!$B$11*V258</f>
        <v/>
      </c>
      <c r="P258">
        <f>IF(B278=0,0,O258/B278)</f>
        <v/>
      </c>
      <c r="Q258">
        <f>IFERROR(1/(IF(Inputs!$B$38="pvp",15,MAX(0.1,Skills!D19-IF(Skills!E19=TRUE,Inputs!$B$32,0)))*(1-IF(AND(ArtifactsInput!$M$27,Inputs!$B$4="Chapter Hunt"),CHOOSE(ArtifactsInput!$N$27+1,20,24,28,32,36,40),0)/100)),0)</f>
        <v/>
      </c>
      <c r="R258">
        <f>IF(AND(Inputs!$B$38&lt;&gt;"pvp",Inputs!$B$43&gt;0),IF(Inputs!$B$43&lt;=0,0,(INT(Inputs!$B$43/(IF(Inputs!$B$38="pvp",15,MAX(0.1,Skills!D19-IF(Skills!E19=TRUE,Inputs!$B$32,0)))*(1-IF(AND(ArtifactsInput!$M$27,Inputs!$B$4="Chapter Hunt"),CHOOSE(ArtifactsInput!$N$27+1,20,24,28,32,36,40),0)/100)))+1)),0)</f>
        <v/>
      </c>
      <c r="S258">
        <f>IFERROR(O258/N258,0)</f>
        <v/>
      </c>
      <c r="T258" t="n">
        <v>0</v>
      </c>
      <c r="V258" t="n">
        <v>0</v>
      </c>
    </row>
    <row r="259">
      <c r="A259">
        <f>Skills!A20</f>
        <v/>
      </c>
      <c r="B259">
        <f>Skills!B20</f>
        <v/>
      </c>
      <c r="C259">
        <f>Inputs!$B$3&gt;=33</f>
        <v/>
      </c>
      <c r="D259">
        <f>IF(Skills!C20=1,60+Inputs!$B$25+Inputs!$B$29,IF(Skills!C20=2,90+Inputs!$B$26+Inputs!$B$29,IF(Skills!C20=3,120+Inputs!$B$27+Inputs!$B$29,MAX(0,(Inputs!$B$3-100)*3)+Inputs!$B$28+Inputs!$B$29)))</f>
        <v/>
      </c>
      <c r="E259">
        <f>INDEX(FactorTable!$B$2:$Y$301, MATCH(ROUND(MIN(300,MAX(1,D259)),0), FactorTable!$A$2:$A$301,0), Skills!M20+1)</f>
        <v/>
      </c>
      <c r="F259">
        <f>IF(Skills!N20=TRUE,(Skills!L20/10)*(E259/1000),Skills!L20/10)+Skills!O20</f>
        <v/>
      </c>
      <c r="G259">
        <f>Skills!G20*IF(Skills!H20&gt;0,Skills!I20/Skills!H20,1)</f>
        <v/>
      </c>
      <c r="H259">
        <f>1-(1-Skills!J20/100)^Skills!K20</f>
        <v/>
      </c>
      <c r="I259" t="inlineStr">
        <is>
          <t>1</t>
        </is>
      </c>
      <c r="J259" t="inlineStr"/>
      <c r="K259" t="inlineStr"/>
      <c r="L259" t="inlineStr"/>
      <c r="M259" t="inlineStr"/>
      <c r="N259" t="inlineStr"/>
      <c r="O259">
        <f>(1-Summary!$B$11)*T259+Summary!$B$11*V259</f>
        <v/>
      </c>
      <c r="P259">
        <f>IF(B278=0,0,O259/B278)</f>
        <v/>
      </c>
      <c r="Q259" t="n">
        <v>0</v>
      </c>
      <c r="R259" t="n">
        <v>0</v>
      </c>
      <c r="S259">
        <f>IFERROR(O259/N259,0)</f>
        <v/>
      </c>
      <c r="T259" t="n">
        <v>0</v>
      </c>
      <c r="V259" t="n">
        <v>0</v>
      </c>
    </row>
    <row r="260">
      <c r="A260">
        <f>Skills!A21</f>
        <v/>
      </c>
      <c r="B260">
        <f>Skills!B21</f>
        <v/>
      </c>
      <c r="C260">
        <f>Inputs!$B$3&gt;=38</f>
        <v/>
      </c>
      <c r="D260">
        <f>IF(Skills!C21=1,60+Inputs!$B$25+Inputs!$B$29,IF(Skills!C21=2,90+Inputs!$B$26+Inputs!$B$29,IF(Skills!C21=3,120+Inputs!$B$27+Inputs!$B$29,MAX(0,(Inputs!$B$3-100)*3)+Inputs!$B$28+Inputs!$B$29)))</f>
        <v/>
      </c>
      <c r="E260">
        <f>INDEX(FactorTable!$B$2:$Y$301, MATCH(ROUND(MIN(300,MAX(1,D260)),0), FactorTable!$A$2:$A$301,0), Skills!M21+1)</f>
        <v/>
      </c>
      <c r="F260">
        <f>IF(Skills!N21=TRUE,(Skills!L21/10)*(E260/1000),Skills!L21/10)+Skills!O21</f>
        <v/>
      </c>
      <c r="G260">
        <f>Skills!G21*IF(Skills!H21&gt;0,Skills!I21/Skills!H21,1)</f>
        <v/>
      </c>
      <c r="H260">
        <f>1-(1-Skills!J21/100)^Skills!K21</f>
        <v/>
      </c>
      <c r="I260" t="inlineStr">
        <is>
          <t>1</t>
        </is>
      </c>
      <c r="J260" t="inlineStr"/>
      <c r="K260" t="inlineStr"/>
      <c r="L260" t="inlineStr"/>
      <c r="M260" t="inlineStr"/>
      <c r="N260" t="inlineStr"/>
      <c r="O260">
        <f>(1-Summary!$B$11)*T260+Summary!$B$11*V260</f>
        <v/>
      </c>
      <c r="P260">
        <f>IF(B278=0,0,O260/B278)</f>
        <v/>
      </c>
      <c r="Q260" t="n">
        <v>0</v>
      </c>
      <c r="R260" t="n">
        <v>0</v>
      </c>
      <c r="S260">
        <f>IFERROR(O260/N260,0)</f>
        <v/>
      </c>
      <c r="T260" t="n">
        <v>0</v>
      </c>
      <c r="V260" t="n">
        <v>0</v>
      </c>
    </row>
    <row r="261">
      <c r="A261">
        <f>Skills!A22</f>
        <v/>
      </c>
      <c r="B261">
        <f>Skills!B22</f>
        <v/>
      </c>
      <c r="C261">
        <f>Inputs!$B$3&gt;=43</f>
        <v/>
      </c>
      <c r="D261">
        <f>IF(Skills!C22=1,60+Inputs!$B$25+Inputs!$B$29,IF(Skills!C22=2,90+Inputs!$B$26+Inputs!$B$29,IF(Skills!C22=3,120+Inputs!$B$27+Inputs!$B$29,MAX(0,(Inputs!$B$3-100)*3)+Inputs!$B$28+Inputs!$B$29)))</f>
        <v/>
      </c>
      <c r="E261">
        <f>INDEX(FactorTable!$B$2:$Y$301, MATCH(ROUND(MIN(300,MAX(1,D261)),0), FactorTable!$A$2:$A$301,0), Skills!M22+1)</f>
        <v/>
      </c>
      <c r="F261">
        <f>IF(Skills!N22=TRUE,(Skills!L22/10)*(E261/1000),Skills!L22/10)+Skills!O22</f>
        <v/>
      </c>
      <c r="G261">
        <f>Skills!G22*IF(Skills!H22&gt;0,Skills!I22/Skills!H22,1)</f>
        <v/>
      </c>
      <c r="H261">
        <f>1-(1-Skills!J22/100)^Skills!K22</f>
        <v/>
      </c>
      <c r="I261" t="inlineStr">
        <is>
          <t>1</t>
        </is>
      </c>
      <c r="J261" t="inlineStr"/>
      <c r="K261" t="inlineStr"/>
      <c r="L261" t="inlineStr"/>
      <c r="M261" t="inlineStr"/>
      <c r="N261" t="inlineStr"/>
      <c r="O261">
        <f>(1-Summary!$B$11)*T261+Summary!$B$11*V261</f>
        <v/>
      </c>
      <c r="P261">
        <f>IF(B278=0,0,O261/B278)</f>
        <v/>
      </c>
      <c r="Q261" t="n">
        <v>0</v>
      </c>
      <c r="R261" t="n">
        <v>0</v>
      </c>
      <c r="S261">
        <f>IFERROR(O261/N261,0)</f>
        <v/>
      </c>
      <c r="T261" t="n">
        <v>0</v>
      </c>
      <c r="V261" t="n">
        <v>0</v>
      </c>
    </row>
    <row r="262">
      <c r="A262">
        <f>Skills!A23</f>
        <v/>
      </c>
      <c r="B262">
        <f>Skills!B23</f>
        <v/>
      </c>
      <c r="C262">
        <f>Inputs!$B$3&gt;=120</f>
        <v/>
      </c>
      <c r="D262">
        <f>IF(Skills!C23=1,60+Inputs!$B$25+Inputs!$B$29,IF(Skills!C23=2,90+Inputs!$B$26+Inputs!$B$29,IF(Skills!C23=3,120+Inputs!$B$27+Inputs!$B$29,MAX(0,(Inputs!$B$3-100)*3)+Inputs!$B$28+Inputs!$B$29)))</f>
        <v/>
      </c>
      <c r="E262">
        <f>INDEX(FactorTable!$B$2:$Y$301, MATCH(ROUND(MIN(300,MAX(1,D262)),0), FactorTable!$A$2:$A$301,0), Skills!M23+1)</f>
        <v/>
      </c>
      <c r="F262">
        <f>IF(Skills!N23=TRUE,(Skills!L23/10)*(E262/1000),Skills!L23/10)+Skills!O23</f>
        <v/>
      </c>
      <c r="G262">
        <f>Skills!G23*IF(Skills!H23&gt;0,Skills!I23/Skills!H23,1)</f>
        <v/>
      </c>
      <c r="H262">
        <f>1-(1-Skills!J23/100)^Skills!K23</f>
        <v/>
      </c>
      <c r="I262" t="inlineStr">
        <is>
          <t>1</t>
        </is>
      </c>
      <c r="J262" t="inlineStr"/>
      <c r="K262" t="inlineStr"/>
      <c r="L262" t="inlineStr"/>
      <c r="M262" t="inlineStr"/>
      <c r="N262" t="inlineStr"/>
      <c r="O262">
        <f>(1-Summary!$B$11)*T262+Summary!$B$11*V262</f>
        <v/>
      </c>
      <c r="P262">
        <f>IF(B278=0,0,O262/B278)</f>
        <v/>
      </c>
      <c r="Q262" t="n">
        <v>0</v>
      </c>
      <c r="R262" t="n">
        <v>0</v>
      </c>
      <c r="S262">
        <f>IFERROR(O262/N262,0)</f>
        <v/>
      </c>
      <c r="T262" t="n">
        <v>0</v>
      </c>
      <c r="V262" t="n">
        <v>0</v>
      </c>
    </row>
    <row r="263">
      <c r="A263">
        <f>Skills!A24</f>
        <v/>
      </c>
      <c r="B263">
        <f>Skills!B24</f>
        <v/>
      </c>
      <c r="C263">
        <f>Inputs!$B$3&gt;=120</f>
        <v/>
      </c>
      <c r="D263">
        <f>IF(Skills!C24=1,60+Inputs!$B$25+Inputs!$B$29,IF(Skills!C24=2,90+Inputs!$B$26+Inputs!$B$29,IF(Skills!C24=3,120+Inputs!$B$27+Inputs!$B$29,MAX(0,(Inputs!$B$3-100)*3)+Inputs!$B$28+Inputs!$B$29)))</f>
        <v/>
      </c>
      <c r="E263">
        <f>INDEX(FactorTable!$B$2:$Y$301, MATCH(ROUND(MIN(300,MAX(1,D263)),0), FactorTable!$A$2:$A$301,0), Skills!M24+1)</f>
        <v/>
      </c>
      <c r="F263">
        <f>IF(Skills!N24=TRUE,(Skills!L24/10)*(E263/1000),Skills!L24/10)+Skills!O24</f>
        <v/>
      </c>
      <c r="G263">
        <f>Skills!G24*IF(Skills!H24&gt;0,Skills!I24/Skills!H24,1)</f>
        <v/>
      </c>
      <c r="H263">
        <f>1-(1-Skills!J24/100)^Skills!K24</f>
        <v/>
      </c>
      <c r="I263" t="inlineStr">
        <is>
          <t>1</t>
        </is>
      </c>
      <c r="J263" t="inlineStr"/>
      <c r="K263" t="inlineStr"/>
      <c r="L263" t="inlineStr"/>
      <c r="M263" t="inlineStr"/>
      <c r="N263" t="inlineStr"/>
      <c r="O263">
        <f>(1-Summary!$B$11)*T263+Summary!$B$11*V263</f>
        <v/>
      </c>
      <c r="P263">
        <f>IF(B278=0,0,O263/B278)</f>
        <v/>
      </c>
      <c r="Q263" t="n">
        <v>0</v>
      </c>
      <c r="R263" t="n">
        <v>0</v>
      </c>
      <c r="S263">
        <f>IFERROR(O263/N263,0)</f>
        <v/>
      </c>
      <c r="T263" t="n">
        <v>0</v>
      </c>
      <c r="V263" t="n">
        <v>0</v>
      </c>
    </row>
    <row r="264">
      <c r="A264">
        <f>Skills!A25</f>
        <v/>
      </c>
      <c r="B264">
        <f>Skills!B25</f>
        <v/>
      </c>
      <c r="C264">
        <f>Inputs!$B$3&gt;=125</f>
        <v/>
      </c>
      <c r="D264">
        <f>IF(Skills!C25=1,60+Inputs!$B$25+Inputs!$B$29,IF(Skills!C25=2,90+Inputs!$B$26+Inputs!$B$29,IF(Skills!C25=3,120+Inputs!$B$27+Inputs!$B$29,MAX(0,(Inputs!$B$3-100)*3)+Inputs!$B$28+Inputs!$B$29)))</f>
        <v/>
      </c>
      <c r="E264">
        <f>INDEX(FactorTable!$B$2:$Y$301, MATCH(ROUND(MIN(300,MAX(1,D264)),0), FactorTable!$A$2:$A$301,0), Skills!M25+1)</f>
        <v/>
      </c>
      <c r="F264">
        <f>IF(Skills!N25=TRUE,(Skills!L25/10)*(E264/1000),Skills!L25/10)+Skills!O25</f>
        <v/>
      </c>
      <c r="G264">
        <f>Skills!G25*IF(Skills!H25&gt;0,Skills!I25/Skills!H25,1)</f>
        <v/>
      </c>
      <c r="H264">
        <f>1-(1-Skills!J25/100)^Skills!K25</f>
        <v/>
      </c>
      <c r="I264" t="inlineStr">
        <is>
          <t>1</t>
        </is>
      </c>
      <c r="J264" t="inlineStr"/>
      <c r="K264" t="inlineStr"/>
      <c r="L264" t="inlineStr"/>
      <c r="M264" t="inlineStr"/>
      <c r="N264" t="inlineStr"/>
      <c r="O264">
        <f>(1-Summary!$B$11)*T264+Summary!$B$11*V264</f>
        <v/>
      </c>
      <c r="P264">
        <f>IF(B278=0,0,O264/B278)</f>
        <v/>
      </c>
      <c r="Q264" t="n">
        <v>0</v>
      </c>
      <c r="R264" t="n">
        <v>0</v>
      </c>
      <c r="S264">
        <f>IFERROR(O264/N264,0)</f>
        <v/>
      </c>
      <c r="T264" t="n">
        <v>0</v>
      </c>
      <c r="V264" t="n">
        <v>0</v>
      </c>
    </row>
    <row r="265">
      <c r="A265">
        <f>Skills!A26</f>
        <v/>
      </c>
      <c r="B265">
        <f>Skills!B26</f>
        <v/>
      </c>
      <c r="C265">
        <f>Inputs!$B$3&gt;=72</f>
        <v/>
      </c>
      <c r="D265">
        <f>IF(Skills!C26=1,60+Inputs!$B$25+Inputs!$B$29,IF(Skills!C26=2,90+Inputs!$B$26+Inputs!$B$29,IF(Skills!C26=3,120+Inputs!$B$27+Inputs!$B$29,MAX(0,(Inputs!$B$3-100)*3)+Inputs!$B$28+Inputs!$B$29)))</f>
        <v/>
      </c>
      <c r="E265">
        <f>INDEX(FactorTable!$B$2:$Y$301, MATCH(ROUND(MIN(300,MAX(1,D265)),0), FactorTable!$A$2:$A$301,0), Skills!M26+1)</f>
        <v/>
      </c>
      <c r="F265">
        <f>IF(Skills!N26=TRUE,(Skills!L26/10)*(E265/1000),Skills!L26/10)+Skills!O26</f>
        <v/>
      </c>
      <c r="G265">
        <f>Skills!G26*IF(Skills!H26&gt;0,Skills!I26/Skills!H26,1)</f>
        <v/>
      </c>
      <c r="H265">
        <f>1-(1-Skills!J26/100)^Skills!K26</f>
        <v/>
      </c>
      <c r="I265" t="inlineStr">
        <is>
          <t>1</t>
        </is>
      </c>
      <c r="J265" t="inlineStr"/>
      <c r="K265" t="inlineStr"/>
      <c r="L265" t="inlineStr"/>
      <c r="M265" t="inlineStr"/>
      <c r="N265" t="inlineStr"/>
      <c r="O265">
        <f>(1-Summary!$B$11)*T265+Summary!$B$11*V265</f>
        <v/>
      </c>
      <c r="P265">
        <f>IF(B278=0,0,O265/B278)</f>
        <v/>
      </c>
      <c r="Q265" t="n">
        <v>0</v>
      </c>
      <c r="R265" t="n">
        <v>0</v>
      </c>
      <c r="S265">
        <f>IFERROR(O265/N265,0)</f>
        <v/>
      </c>
      <c r="T265" t="n">
        <v>0</v>
      </c>
      <c r="V265" t="n">
        <v>0</v>
      </c>
    </row>
    <row r="267">
      <c r="A267" t="inlineStr">
        <is>
          <t>Attack% Bucket Multiplier</t>
        </is>
      </c>
      <c r="B267">
        <f>(1+(((C252=TRUE)*F252*IF(Inputs!$B$3&gt;=110,7,5))+((C254=TRUE)*F254*IF(AND(Inputs!$B$38&lt;&gt;"pvp",Inputs!$B$43&gt;0),(((R254-1)*(Skills!T15*(1+(Inputs!$B$34+(ArtifactsInput!$M$7-ArtifactsInput!$M$7)*CHOOSE(ArtifactsInput!$N$7+1,6,7.2,8.4,9.6,10.8,12))/100))+MIN((Skills!T15*(1+(Inputs!$B$34+(ArtifactsInput!$M$7-ArtifactsInput!$M$7)*CHOOSE(ArtifactsInput!$N$7+1,6,7.2,8.4,9.6,10.8,12))/100)),MAX(0,Inputs!$B$43-((R254-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8">
      <c r="A268" t="inlineStr">
        <is>
          <t>Global Crit Rate Bonus %</t>
        </is>
      </c>
      <c r="B268" t="n">
        <v>0</v>
      </c>
    </row>
    <row r="269">
      <c r="A269" t="inlineStr">
        <is>
          <t>Attack Speed Buff Bonus %</t>
        </is>
      </c>
      <c r="B269">
        <f>((C258=TRUE)*F258*IF(AND(Inputs!$B$38&lt;&gt;"pvp",Inputs!$B$43&gt;0),(((R258-1)*(Skills!T19*(1+(Inputs!$B$34+(ArtifactsInput!$M$7-ArtifactsInput!$M$7)*CHOOSE(ArtifactsInput!$N$7+1,6,7.2,8.4,9.6,10.8,12))/100))+MIN((Skills!T19*(1+(Inputs!$B$34+(ArtifactsInput!$M$7-ArtifactsInput!$M$7)*CHOOSE(ArtifactsInput!$N$7+1,6,7.2,8.4,9.6,10.8,12))/100)),MAX(0,Inputs!$B$43-((R258-1)*Skills!D19))))/Inputs!$B$43),IF(Inputs!$B$38="pvp",MIN((Skills!T19*(1+(Inputs!$B$34+(ArtifactsInput!$M$7-ArtifactsInput!$M$7)*CHOOSE(ArtifactsInput!$N$7+1,6,7.2,8.4,9.6,10.8,12))/100)),15)/15,(Skills!T19*(1+(Inputs!$B$34+(ArtifactsInput!$M$7-ArtifactsInput!$M$7)*CHOOSE(ArtifactsInput!$N$7+1,6,7.2,8.4,9.6,10.8,12))/100))/Skills!D19)))</f>
        <v/>
      </c>
    </row>
    <row r="270">
      <c r="A270" t="inlineStr">
        <is>
          <t>Actions Per Second</t>
        </is>
      </c>
      <c r="B270">
        <f>1+MIN(150,150*(1-(1-(Inputs!$B$11+((C259=TRUE)*(F259-Calc!F20)))/150)*(1-B269/150)))/100</f>
        <v/>
      </c>
    </row>
    <row r="271">
      <c r="A271" t="inlineStr">
        <is>
          <t>Skill + Buff Cast Rate</t>
        </is>
      </c>
      <c r="B271">
        <f>IF(AND(Inputs!$B$38&lt;&gt;"pvp",Inputs!$B$43&gt;0),SUMPRODUCT((Skills!E2:E26=TRUE)*(C241:C265=TRUE)*R241:R265*Skills!F2:F26)/Inputs!$B$43,SUMPRODUCT((Skills!E2:E26=TRUE)*(C241:C265=TRUE)*Q241:Q265*Skills!F2:F26))</f>
        <v/>
      </c>
    </row>
    <row r="272">
      <c r="A272" t="inlineStr">
        <is>
          <t>Raging Blow Casts Per Second</t>
        </is>
      </c>
      <c r="B272">
        <f>MAX(0,B270-B271)</f>
        <v/>
      </c>
    </row>
    <row r="273">
      <c r="A273" t="inlineStr">
        <is>
          <t>Global Critical Damage Bonus % (Enrage)</t>
        </is>
      </c>
      <c r="B273">
        <f>((C257=TRUE)*F257*IF(AND(Inputs!$B$38&lt;&gt;"pvp",Inputs!$B$43&gt;0),(((R257-1)*(Skills!T18*(1+(Inputs!$B$34+(ArtifactsInput!$M$7-ArtifactsInput!$M$7)*CHOOSE(ArtifactsInput!$N$7+1,6,7.2,8.4,9.6,10.8,12))/100))+MIN((Skills!T18*(1+(Inputs!$B$34+(ArtifactsInput!$M$7-ArtifactsInput!$M$7)*CHOOSE(ArtifactsInput!$N$7+1,6,7.2,8.4,9.6,10.8,12))/100)),MAX(0,Inputs!$B$43-((R257-1)*Skills!D18))))/Inputs!$B$43),IF(Inputs!$B$38="pvp",MIN((Skills!T18*(1+(Inputs!$B$34+(ArtifactsInput!$M$7-ArtifactsInput!$M$7)*CHOOSE(ArtifactsInput!$N$7+1,6,7.2,8.4,9.6,10.8,12))/100)),15)/15,(Skills!T18*(1+(Inputs!$B$34+(ArtifactsInput!$M$7-ArtifactsInput!$M$7)*CHOOSE(ArtifactsInput!$N$7+1,6,7.2,8.4,9.6,10.8,12))/100))/Skills!D18)))</f>
        <v/>
      </c>
    </row>
    <row r="274">
      <c r="A274" t="inlineStr">
        <is>
          <t>Global Final Damage Bonus % (Enrage + Combo Synergy)</t>
        </is>
      </c>
      <c r="B274">
        <f>((C256=TRUE)*F256*IF(AND(Inputs!$B$38&lt;&gt;"pvp",Inputs!$B$43&gt;0),(((R256-1)*(Skills!T17*(1+(Inputs!$B$34+(ArtifactsInput!$M$7-ArtifactsInput!$M$7)*CHOOSE(ArtifactsInput!$N$7+1,6,7.2,8.4,9.6,10.8,12))/100))+MIN((Skills!T17*(1+(Inputs!$B$34+(ArtifactsInput!$M$7-ArtifactsInput!$M$7)*CHOOSE(ArtifactsInput!$N$7+1,6,7.2,8.4,9.6,10.8,12))/100)),MAX(0,Inputs!$B$43-((R256-1)*Skills!D17))))/Inputs!$B$43),IF(Inputs!$B$38="pvp",MIN((Skills!T17*(1+(Inputs!$B$34+(ArtifactsInput!$M$7-ArtifactsInput!$M$7)*CHOOSE(ArtifactsInput!$N$7+1,6,7.2,8.4,9.6,10.8,12))/100)),15)/15,(Skills!T17*(1+(Inputs!$B$34+(ArtifactsInput!$M$7-ArtifactsInput!$M$7)*CHOOSE(ArtifactsInput!$N$7+1,6,7.2,8.4,9.6,10.8,12))/100))/Skills!D17)))+((C253=TRUE)*F253*IF(Inputs!$B$3&gt;=110,7,5))</f>
        <v/>
      </c>
    </row>
    <row r="275">
      <c r="A275" t="inlineStr">
        <is>
          <t>Buff-Casting Startup Delay (s, fixed-duration only)</t>
        </is>
      </c>
      <c r="B275">
        <f>IF(AND(Inputs!$B$38&lt;&gt;"pvp",Inputs!$B$43&gt;0),SUMPRODUCT((Skills!T2:T26&gt;0)*(Skills!E2:E26=TRUE)*(C241:C265=TRUE))/B270,0)</f>
        <v/>
      </c>
    </row>
    <row r="276">
      <c r="A276" t="inlineStr">
        <is>
          <t>Boss-Only Total DPS (this block's swept value)</t>
        </is>
      </c>
      <c r="B276">
        <f>SUM(T241:T265)</f>
        <v/>
      </c>
    </row>
    <row r="277">
      <c r="A277" t="inlineStr">
        <is>
          <t>Normal-Only Total DPS (this block's swept value)</t>
        </is>
      </c>
      <c r="B277">
        <f>SUM(V241:V265)</f>
        <v/>
      </c>
    </row>
    <row r="278">
      <c r="A278" s="6" t="inlineStr">
        <is>
          <t>TOTAL DPS</t>
        </is>
      </c>
      <c r="B278" s="6">
        <f>SUM(O241:O265)</f>
        <v/>
      </c>
    </row>
    <row r="281">
      <c r="A281" s="6" t="inlineStr">
        <is>
          <t>Stat: BOSS_DAMAGE %</t>
        </is>
      </c>
    </row>
    <row r="282">
      <c r="A282" s="5" t="inlineStr">
        <is>
          <t>Key</t>
        </is>
      </c>
      <c r="B282" s="5" t="inlineStr">
        <is>
          <t>Name</t>
        </is>
      </c>
      <c r="C282" s="5" t="inlineStr">
        <is>
          <t>Unlocked</t>
        </is>
      </c>
      <c r="D282" s="5" t="inlineStr">
        <is>
          <t>InputLevel</t>
        </is>
      </c>
      <c r="E282" s="5" t="inlineStr">
        <is>
          <t>Factor</t>
        </is>
      </c>
      <c r="F282" s="5" t="inlineStr">
        <is>
          <t>CoefficientPercent</t>
        </is>
      </c>
      <c r="G282" s="5" t="inlineStr">
        <is>
          <t>EffectiveHits</t>
        </is>
      </c>
      <c r="H282" s="5" t="inlineStr">
        <is>
          <t>ProcProbability</t>
        </is>
      </c>
      <c r="I282" s="5" t="inlineStr">
        <is>
          <t>MapleHeroMultiplier</t>
        </is>
      </c>
      <c r="J282" s="5" t="inlineStr">
        <is>
          <t>BaseDamage</t>
        </is>
      </c>
      <c r="K282" s="5" t="inlineStr">
        <is>
          <t>BaseHitDamage</t>
        </is>
      </c>
      <c r="L282" s="5" t="inlineStr">
        <is>
          <t>NonCritAvg</t>
        </is>
      </c>
      <c r="M282" s="5" t="inlineStr">
        <is>
          <t>CritAvg</t>
        </is>
      </c>
      <c r="N282" s="5" t="inlineStr">
        <is>
          <t>ExpectedDamage(perHit)</t>
        </is>
      </c>
      <c r="O282" s="5" t="inlineStr">
        <is>
          <t>DPS</t>
        </is>
      </c>
      <c r="P282" s="5" t="inlineStr">
        <is>
          <t>% of Total</t>
        </is>
      </c>
      <c r="Q282" s="5" t="inlineStr">
        <is>
          <t>InvCooldown</t>
        </is>
      </c>
      <c r="R282" s="5" t="inlineStr">
        <is>
          <t>CastsInFight</t>
        </is>
      </c>
      <c r="S282" s="5" t="inlineStr">
        <is>
          <t>HitRate(perSec)</t>
        </is>
      </c>
      <c r="U282" t="inlineStr">
        <is>
          <t>helpers</t>
        </is>
      </c>
    </row>
    <row r="283">
      <c r="A283">
        <f>Skills!A2</f>
        <v/>
      </c>
      <c r="B283">
        <f>Skills!B2</f>
        <v/>
      </c>
      <c r="C283">
        <f>Inputs!$B$3&gt;=100</f>
        <v/>
      </c>
      <c r="D283" t="inlineStr"/>
      <c r="E283" t="inlineStr"/>
      <c r="F283">
        <f>U285+Skills!O2</f>
        <v/>
      </c>
      <c r="G283">
        <f>Skills!G2*IF(Skills!H2&gt;0,Skills!I2/Skills!H2,1)</f>
        <v/>
      </c>
      <c r="H283">
        <f>1-(1-Skills!J2/100)^Skills!K2</f>
        <v/>
      </c>
      <c r="I283" t="inlineStr">
        <is>
          <t>1</t>
        </is>
      </c>
      <c r="J283">
        <f>((Inputs!$B$6*(1+Inputs!$B$7/100))+(((Inputs!$B$12*(1+Inputs!$B$13/100))-(Inputs!$B$12*(1+Inputs!$B$13/100)))+0.25*(Inputs!$B$14-Inputs!$B$14))*(1+Inputs!$B$7/100))*(F283/100)</f>
        <v/>
      </c>
      <c r="K283">
        <f>J283*(1+((Inputs!$B$12*(1+Inputs!$B$13/100))*0.01+Inputs!$B$14*0.0025)/100)*(1+Inputs!$B$15/100)*(1+Inputs!$B$16/100)*(5000/(6000+Inputs!$B$42*(1-(100*(1-(1-(Inputs!$B$19+0)/100)*(1-CHOOSE(ArtifactsInput!$N$40+1,5,6,7,8,9,10)/100)^(ArtifactsInput!$M$40-ArtifactsInput!$M$40)))/100)))*(1+(Inputs!$B$24+((C306=TRUE)*(F306-Calc!F25))+B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302=TRUE)*(F302-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TRUE)*(F304-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294=TRUE)*F294*IF(Inputs!$B$3&gt;=110,7,5))+((C296=TRUE)*F296*IF(AND(Inputs!$B$38&lt;&gt;"pvp",Inputs!$B$43&gt;0),(((R296-1)*(Skills!T15*(1+(Inputs!$B$34+(ArtifactsInput!$M$7-ArtifactsInput!$M$7)*CHOOSE(ArtifactsInput!$N$7+1,6,7.2,8.4,9.6,10.8,12))/100))+MIN((Skills!T15*(1+(Inputs!$B$34+(ArtifactsInput!$M$7-ArtifactsInput!$M$7)*CHOOSE(ArtifactsInput!$N$7+1,6,7.2,8.4,9.6,10.8,12))/100)),MAX(0,Inputs!$B$43-((R296-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I283)</f>
        <v/>
      </c>
      <c r="L283">
        <f>K283*(MIN(Inputs!$B$22+((C303=TRUE)*(F303-Calc!F22)),(Inputs!$B$23+((C305=TRUE)*(F305-Calc!F24))+(IF(ArtifactsInput!$M$15,CHOOSE(ArtifactsInput!$N$15+1,25,30,35,40,45,50)/100*(Inputs!$B$11-Inputs!$B$11),0))))/100+(Inputs!$B$23+((C305=TRUE)*(F305-Calc!F24))+(IF(ArtifactsInput!$M$15,CHOOSE(ArtifactsInput!$N$15+1,25,30,35,40,45,50)/100*(Inputs!$B$11-Inputs!$B$11),0)))/100)/2</f>
        <v/>
      </c>
      <c r="M283">
        <f>L283*(1+(Inputs!$B$10+0+B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
        <f>L283*(1-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
        <f>(1-Summary!$B$11)*T283+Summary!$B$11*V283</f>
        <v/>
      </c>
      <c r="P283">
        <f>IF(B320=0,0,O283/B320)</f>
        <v/>
      </c>
      <c r="Q283" t="n">
        <v>0</v>
      </c>
      <c r="R283" t="n">
        <v>0</v>
      </c>
      <c r="S283">
        <f>IFERROR(O283/N283,0)</f>
        <v/>
      </c>
      <c r="T283">
        <f>IF(C283,(Skills!G2*N283*B314)*IF(Inputs!$B$38="pvp",1,1+((Inputs!$B$20+1)+0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283*(1-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3">
        <f>MAX(0,(Inputs!$B$3-100)*3)+Inputs!$B$28+Inputs!$B$29</f>
        <v/>
      </c>
      <c r="V283">
        <f>IF(C283,(Skills!G2*N283*B314)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
      <c r="A284">
        <f>Skills!A3</f>
        <v/>
      </c>
      <c r="B284">
        <f>Skills!B3</f>
        <v/>
      </c>
      <c r="C284">
        <f>Inputs!$B$3&gt;=50</f>
        <v/>
      </c>
      <c r="D284">
        <f>IF(Skills!C3=1,60+Inputs!$B$25+Inputs!$B$29,IF(Skills!C3=2,90+Inputs!$B$26+Inputs!$B$29,IF(Skills!C3=3,120+Inputs!$B$27+Inputs!$B$29,MAX(0,(Inputs!$B$3-100)*3)+Inputs!$B$28+Inputs!$B$29)))</f>
        <v/>
      </c>
      <c r="E284">
        <f>INDEX(FactorTable!$B$2:$Y$301, MATCH(ROUND(MIN(300,MAX(1,D284)),0), FactorTable!$A$2:$A$301,0), Skills!M3+1)</f>
        <v/>
      </c>
      <c r="F284">
        <f>IF(Skills!N3=TRUE,(Skills!L3/10)*(E284/1000),Skills!L3/10)+Skills!O3</f>
        <v/>
      </c>
      <c r="G284" t="inlineStr"/>
      <c r="H284" t="inlineStr"/>
      <c r="I284" t="inlineStr">
        <is>
          <t>1</t>
        </is>
      </c>
      <c r="J284" t="inlineStr"/>
      <c r="K284" t="inlineStr"/>
      <c r="L284" t="inlineStr"/>
      <c r="M284" t="inlineStr"/>
      <c r="N284" t="inlineStr"/>
      <c r="O284" t="inlineStr"/>
      <c r="P284" t="inlineStr"/>
      <c r="Q284" t="inlineStr"/>
      <c r="R284" t="inlineStr"/>
      <c r="S284" t="inlineStr"/>
      <c r="U284">
        <f>INDEX(FactorTable!$B$2:$Y$301, MATCH(ROUND(MIN(300,MAX(1,U283)),0), FactorTable!$A$2:$A$301,0), 22)</f>
        <v/>
      </c>
    </row>
    <row r="285">
      <c r="A285">
        <f>Skills!A4</f>
        <v/>
      </c>
      <c r="B285">
        <f>Skills!B4</f>
        <v/>
      </c>
      <c r="C285">
        <f>Inputs!$B$3&gt;=105</f>
        <v/>
      </c>
      <c r="D285">
        <f>IF(Skills!C4=1,60+Inputs!$B$25+Inputs!$B$29,IF(Skills!C4=2,90+Inputs!$B$26+Inputs!$B$29,IF(Skills!C4=3,120+Inputs!$B$27+Inputs!$B$29,MAX(0,(Inputs!$B$3-100)*3)+Inputs!$B$28+Inputs!$B$29)))</f>
        <v/>
      </c>
      <c r="E285">
        <f>INDEX(FactorTable!$B$2:$Y$301, MATCH(ROUND(MIN(300,MAX(1,D285)),0), FactorTable!$A$2:$A$301,0), Skills!M4+1)</f>
        <v/>
      </c>
      <c r="F285">
        <f>IF(Skills!N4=TRUE,(Skills!L4/10)*(E285/1000),Skills!L4/10)+Skills!O4</f>
        <v/>
      </c>
      <c r="G285" t="inlineStr"/>
      <c r="H285" t="inlineStr"/>
      <c r="I285" t="inlineStr">
        <is>
          <t>1</t>
        </is>
      </c>
      <c r="J285" t="inlineStr"/>
      <c r="K285" t="inlineStr"/>
      <c r="L285" t="inlineStr"/>
      <c r="M285" t="inlineStr"/>
      <c r="N285" t="inlineStr"/>
      <c r="O285" t="inlineStr"/>
      <c r="P285" t="inlineStr"/>
      <c r="Q285" t="inlineStr"/>
      <c r="R285" t="inlineStr"/>
      <c r="S285" t="inlineStr"/>
      <c r="U285">
        <f>290*U284/1000</f>
        <v/>
      </c>
    </row>
    <row r="286">
      <c r="A286">
        <f>Skills!A5</f>
        <v/>
      </c>
      <c r="B286">
        <f>Skills!B5</f>
        <v/>
      </c>
      <c r="C286">
        <f>Inputs!$B$3&gt;=103</f>
        <v/>
      </c>
      <c r="D286">
        <f>IF(Skills!C5=1,60+Inputs!$B$25+Inputs!$B$29,IF(Skills!C5=2,90+Inputs!$B$26+Inputs!$B$29,IF(Skills!C5=3,120+Inputs!$B$27+Inputs!$B$29,MAX(0,(Inputs!$B$3-100)*3)+Inputs!$B$28+Inputs!$B$29)))</f>
        <v/>
      </c>
      <c r="E286">
        <f>INDEX(FactorTable!$B$2:$Y$301, MATCH(ROUND(MIN(300,MAX(1,D286)),0), FactorTable!$A$2:$A$301,0), Skills!M5+1)</f>
        <v/>
      </c>
      <c r="F286">
        <f>IF(Skills!N5=TRUE,(Skills!L5/10)*(E286/1000),Skills!L5/10)+Skills!O5</f>
        <v/>
      </c>
      <c r="G286">
        <f>Skills!G5*IF(Skills!H5&gt;0,Skills!I5/Skills!H5,1)</f>
        <v/>
      </c>
      <c r="H286">
        <f>1-(1-Skills!J5/100)^Skills!K5</f>
        <v/>
      </c>
      <c r="I286" t="inlineStr">
        <is>
          <t>1</t>
        </is>
      </c>
      <c r="J286">
        <f>((Inputs!$B$6*(1+Inputs!$B$7/100))+(((Inputs!$B$12*(1+Inputs!$B$13/100))-(Inputs!$B$12*(1+Inputs!$B$13/100)))+0.25*(Inputs!$B$14-Inputs!$B$14))*(1+Inputs!$B$7/100))*(F286/100)</f>
        <v/>
      </c>
      <c r="K286">
        <f>J286*(1+((Inputs!$B$12*(1+Inputs!$B$13/100))*0.01+Inputs!$B$14*0.0025)/100)*(1+Inputs!$B$15/100)*(1+Inputs!$B$16/100)*(5000/(6000+Inputs!$B$42*(1-(100*(1-(1-(Inputs!$B$19+0)/100)*(1-CHOOSE(ArtifactsInput!$N$40+1,5,6,7,8,9,10)/100)^(ArtifactsInput!$M$40-ArtifactsInput!$M$40)))/100)))*(1+(Inputs!$B$24+((C306=TRUE)*(F306-Calc!F25))+B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302=TRUE)*(F302-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TRUE)*(F304-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294=TRUE)*F294*IF(Inputs!$B$3&gt;=110,7,5))+((C296=TRUE)*F296*IF(AND(Inputs!$B$38&lt;&gt;"pvp",Inputs!$B$43&gt;0),(((R296-1)*(Skills!T15*(1+(Inputs!$B$34+(ArtifactsInput!$M$7-ArtifactsInput!$M$7)*CHOOSE(ArtifactsInput!$N$7+1,6,7.2,8.4,9.6,10.8,12))/100))+MIN((Skills!T15*(1+(Inputs!$B$34+(ArtifactsInput!$M$7-ArtifactsInput!$M$7)*CHOOSE(ArtifactsInput!$N$7+1,6,7.2,8.4,9.6,10.8,12))/100)),MAX(0,Inputs!$B$43-((R296-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I286)</f>
        <v/>
      </c>
      <c r="L286">
        <f>K286*(MIN(Inputs!$B$22+((C303=TRUE)*(F303-Calc!F22)),(Inputs!$B$23+((C305=TRUE)*(F305-Calc!F24))+(IF(ArtifactsInput!$M$15,CHOOSE(ArtifactsInput!$N$15+1,25,30,35,40,45,50)/100*(Inputs!$B$11-Inputs!$B$11),0))))/100+(Inputs!$B$23+((C305=TRUE)*(F305-Calc!F24))+(IF(ArtifactsInput!$M$15,CHOOSE(ArtifactsInput!$N$15+1,25,30,35,40,45,50)/100*(Inputs!$B$11-Inputs!$B$11),0)))/100)/2</f>
        <v/>
      </c>
      <c r="M286">
        <f>L286*(1+(Inputs!$B$10+0+B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
        <f>L286*(1-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
        <f>(1-Summary!$B$11)*T286+Summary!$B$11*V286</f>
        <v/>
      </c>
      <c r="P286">
        <f>IF(B320=0,0,O286/B320)</f>
        <v/>
      </c>
      <c r="Q286">
        <f>IFERROR(1/(IF(Inputs!$B$38="pvp",15,MAX(0.1,Skills!D5-IF(Skills!E5=TRUE,Inputs!$B$32,0)))*(1-IF(AND(ArtifactsInput!$M$27,Inputs!$B$4="Chapter Hunt"),CHOOSE(ArtifactsInput!$N$27+1,20,24,28,32,36,40),0)/100)),0)</f>
        <v/>
      </c>
      <c r="R286">
        <f>IF(AND(Inputs!$B$38&lt;&gt;"pvp",Inputs!$B$43&gt;0),IF(MAX(0,Inputs!$B$43-B317)&lt;=0,0,(INT(MAX(0,Inputs!$B$43-B317)/(IF(Inputs!$B$38="pvp",15,MAX(0.1,Skills!D5-IF(Skills!E5=TRUE,Inputs!$B$32,0)))*(1-IF(AND(ArtifactsInput!$M$27,Inputs!$B$4="Chapter Hunt"),CHOOSE(ArtifactsInput!$N$27+1,20,24,28,32,36,40),0)/100)))+1)),0)</f>
        <v/>
      </c>
      <c r="S286">
        <f>IFERROR(O286/N286,0)</f>
        <v/>
      </c>
      <c r="T286">
        <f>IF(C286,(H286*N286*IF(AND(Inputs!$B$38&lt;&gt;"pvp",Inputs!$B$43&gt;0),((Skills!G5*((R286-1)*IF(Skills!H5&gt;0,Skills!I5/Skills!H5,1)+IF(Skills!H5&gt;0,MIN(Skills!I5,MAX(0,MAX(0,Inputs!$B$43-B317)-((R286-1)*(IF(Inputs!$B$38="pvp",15,MAX(0.1,Skills!D5-IF(Skills!E5=TRUE,Inputs!$B$32,0)))*(1-IF(AND(ArtifactsInput!$M$27,Inputs!$B$4="Chapter Hunt"),CHOOSE(ArtifactsInput!$N$27+1,20,24,28,32,36,40),0)/100)))))/Skills!H5,1)))/Inputs!$B$43),G286*Q286))*IF(Inputs!$B$38="pvp",1,1+((Inputs!$B$20+1)+0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286*(1-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6">
        <f>IF(C286,(H286*N286*IF(AND(Inputs!$B$38&lt;&gt;"pvp",Inputs!$B$43&gt;0),((Skills!G5*((R286-1)*IF(Skills!H5&gt;0,Skills!I5/Skills!H5,1)+IF(Skills!H5&gt;0,MIN(Skills!I5,MAX(0,MAX(0,Inputs!$B$43-B317)-((R286-1)*(IF(Inputs!$B$38="pvp",15,MAX(0.1,Skills!D5-IF(Skills!E5=TRUE,Inputs!$B$32,0)))*(1-IF(AND(ArtifactsInput!$M$27,Inputs!$B$4="Chapter Hunt"),CHOOSE(ArtifactsInput!$N$27+1,20,24,28,32,36,40),0)/100)))))/Skills!H5,1)))/Inputs!$B$43),G286*Q286)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7">
      <c r="A287">
        <f>Skills!A6</f>
        <v/>
      </c>
      <c r="B287">
        <f>Skills!B6</f>
        <v/>
      </c>
      <c r="C287">
        <f>Inputs!$B$3&gt;=103</f>
        <v/>
      </c>
      <c r="D287">
        <f>IF(Skills!C6=1,60+Inputs!$B$25+Inputs!$B$29,IF(Skills!C6=2,90+Inputs!$B$26+Inputs!$B$29,IF(Skills!C6=3,120+Inputs!$B$27+Inputs!$B$29,MAX(0,(Inputs!$B$3-100)*3)+Inputs!$B$28+Inputs!$B$29)))</f>
        <v/>
      </c>
      <c r="E287">
        <f>INDEX(FactorTable!$B$2:$Y$301, MATCH(ROUND(MIN(300,MAX(1,D287)),0), FactorTable!$A$2:$A$301,0), Skills!M6+1)</f>
        <v/>
      </c>
      <c r="F287">
        <f>IF(Skills!N6=TRUE,(Skills!L6/10)*(E287/1000),Skills!L6/10)+Skills!O6</f>
        <v/>
      </c>
      <c r="G287">
        <f>Skills!G6*IF(Skills!H6&gt;0,Skills!I6/Skills!H6,1)</f>
        <v/>
      </c>
      <c r="H287">
        <f>1-(1-Skills!J6/100)^Skills!K6</f>
        <v/>
      </c>
      <c r="I287" t="inlineStr">
        <is>
          <t>1</t>
        </is>
      </c>
      <c r="J287">
        <f>((Inputs!$B$6*(1+Inputs!$B$7/100))+(((Inputs!$B$12*(1+Inputs!$B$13/100))-(Inputs!$B$12*(1+Inputs!$B$13/100)))+0.25*(Inputs!$B$14-Inputs!$B$14))*(1+Inputs!$B$7/100))*(F287/100)</f>
        <v/>
      </c>
      <c r="K287">
        <f>J287*(1+((Inputs!$B$12*(1+Inputs!$B$13/100))*0.01+Inputs!$B$14*0.0025)/100)*(1+Inputs!$B$15/100)*(1+Inputs!$B$16/100)*(5000/(6000+Inputs!$B$42*(1-(100*(1-(1-(Inputs!$B$19+0)/100)*(1-CHOOSE(ArtifactsInput!$N$40+1,5,6,7,8,9,10)/100)^(ArtifactsInput!$M$40-ArtifactsInput!$M$40)))/100)))*(1+(Inputs!$B$24+((C306=TRUE)*(F306-Calc!F25))+B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302=TRUE)*(F302-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TRUE)*(F304-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294=TRUE)*F294*IF(Inputs!$B$3&gt;=110,7,5))+((C296=TRUE)*F296*IF(AND(Inputs!$B$38&lt;&gt;"pvp",Inputs!$B$43&gt;0),(((R296-1)*(Skills!T15*(1+(Inputs!$B$34+(ArtifactsInput!$M$7-ArtifactsInput!$M$7)*CHOOSE(ArtifactsInput!$N$7+1,6,7.2,8.4,9.6,10.8,12))/100))+MIN((Skills!T15*(1+(Inputs!$B$34+(ArtifactsInput!$M$7-ArtifactsInput!$M$7)*CHOOSE(ArtifactsInput!$N$7+1,6,7.2,8.4,9.6,10.8,12))/100)),MAX(0,Inputs!$B$43-((R296-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I287)</f>
        <v/>
      </c>
      <c r="L287">
        <f>K287*(MIN(Inputs!$B$22+((C303=TRUE)*(F303-Calc!F22)),(Inputs!$B$23+((C305=TRUE)*(F305-Calc!F24))+(IF(ArtifactsInput!$M$15,CHOOSE(ArtifactsInput!$N$15+1,25,30,35,40,45,50)/100*(Inputs!$B$11-Inputs!$B$11),0))))/100+(Inputs!$B$23+((C305=TRUE)*(F305-Calc!F24))+(IF(ArtifactsInput!$M$15,CHOOSE(ArtifactsInput!$N$15+1,25,30,35,40,45,50)/100*(Inputs!$B$11-Inputs!$B$11),0)))/100)/2</f>
        <v/>
      </c>
      <c r="M287">
        <f>L287*(1+(Inputs!$B$10+0+B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
        <f>L287*(1-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
        <f>(1-Summary!$B$11)*T287+Summary!$B$11*V287</f>
        <v/>
      </c>
      <c r="P287">
        <f>IF(B320=0,0,O287/B320)</f>
        <v/>
      </c>
      <c r="Q287">
        <f>IFERROR(1/(IF(Inputs!$B$38="pvp",15,MAX(0.1,Skills!D6-IF(Skills!E6=TRUE,Inputs!$B$32,0)))*(1-IF(AND(ArtifactsInput!$M$27,Inputs!$B$4="Chapter Hunt"),CHOOSE(ArtifactsInput!$N$27+1,20,24,28,32,36,40),0)/100)),0)</f>
        <v/>
      </c>
      <c r="R287">
        <f>IF(AND(Inputs!$B$38&lt;&gt;"pvp",Inputs!$B$43&gt;0),IF(MAX(0,Inputs!$B$43-B317)&lt;=0,0,(INT(MAX(0,Inputs!$B$43-B317)/(IF(Inputs!$B$38="pvp",15,MAX(0.1,Skills!D6-IF(Skills!E6=TRUE,Inputs!$B$32,0)))*(1-IF(AND(ArtifactsInput!$M$27,Inputs!$B$4="Chapter Hunt"),CHOOSE(ArtifactsInput!$N$27+1,20,24,28,32,36,40),0)/100)))+1)),0)</f>
        <v/>
      </c>
      <c r="S287">
        <f>IFERROR(O287/N287,0)</f>
        <v/>
      </c>
      <c r="T287">
        <f>IF(C287,(H287*N287*IF(AND(Inputs!$B$38&lt;&gt;"pvp",Inputs!$B$43&gt;0),((Skills!G6*((R287-1)*IF(Skills!H6&gt;0,Skills!I6/Skills!H6,1)+IF(Skills!H6&gt;0,MIN(Skills!I6,MAX(0,MAX(0,Inputs!$B$43-B317)-((R287-1)*(IF(Inputs!$B$38="pvp",15,MAX(0.1,Skills!D6-IF(Skills!E6=TRUE,Inputs!$B$32,0)))*(1-IF(AND(ArtifactsInput!$M$27,Inputs!$B$4="Chapter Hunt"),CHOOSE(ArtifactsInput!$N$27+1,20,24,28,32,36,40),0)/100)))))/Skills!H6,1)))/Inputs!$B$43),G287*Q287))*IF(Inputs!$B$38="pvp",1,1+((Inputs!$B$20+1)+0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287*(1-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7">
        <f>IF(C287,(H287*N287*IF(AND(Inputs!$B$38&lt;&gt;"pvp",Inputs!$B$43&gt;0),((Skills!G6*((R287-1)*IF(Skills!H6&gt;0,Skills!I6/Skills!H6,1)+IF(Skills!H6&gt;0,MIN(Skills!I6,MAX(0,MAX(0,Inputs!$B$43-B317)-((R287-1)*(IF(Inputs!$B$38="pvp",15,MAX(0.1,Skills!D6-IF(Skills!E6=TRUE,Inputs!$B$32,0)))*(1-IF(AND(ArtifactsInput!$M$27,Inputs!$B$4="Chapter Hunt"),CHOOSE(ArtifactsInput!$N$27+1,20,24,28,32,36,40),0)/100)))))/Skills!H6,1)))/Inputs!$B$43),G287*Q287)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
      <c r="A288">
        <f>Skills!A7</f>
        <v/>
      </c>
      <c r="B288">
        <f>Skills!B7</f>
        <v/>
      </c>
      <c r="C288">
        <f>Inputs!$B$3&gt;=107</f>
        <v/>
      </c>
      <c r="D288">
        <f>IF(Skills!C7=1,60+Inputs!$B$25+Inputs!$B$29,IF(Skills!C7=2,90+Inputs!$B$26+Inputs!$B$29,IF(Skills!C7=3,120+Inputs!$B$27+Inputs!$B$29,MAX(0,(Inputs!$B$3-100)*3)+Inputs!$B$28+Inputs!$B$29)))</f>
        <v/>
      </c>
      <c r="E288">
        <f>INDEX(FactorTable!$B$2:$Y$301, MATCH(ROUND(MIN(300,MAX(1,D288)),0), FactorTable!$A$2:$A$301,0), Skills!M7+1)</f>
        <v/>
      </c>
      <c r="F288">
        <f>IF(Skills!N7=TRUE,(Skills!L7/10)*(E288/1000),Skills!L7/10)+Skills!O7</f>
        <v/>
      </c>
      <c r="G288">
        <f>Skills!G7*IF(Skills!H7&gt;0,Skills!I7/Skills!H7,1)</f>
        <v/>
      </c>
      <c r="H288">
        <f>1-(1-Skills!J7/100)^Skills!K7</f>
        <v/>
      </c>
      <c r="I288" t="inlineStr">
        <is>
          <t>1</t>
        </is>
      </c>
      <c r="J288">
        <f>((Inputs!$B$6*(1+Inputs!$B$7/100))+(((Inputs!$B$12*(1+Inputs!$B$13/100))-(Inputs!$B$12*(1+Inputs!$B$13/100)))+0.25*(Inputs!$B$14-Inputs!$B$14))*(1+Inputs!$B$7/100))*(F288/100)</f>
        <v/>
      </c>
      <c r="K288">
        <f>J288*(1+((Inputs!$B$12*(1+Inputs!$B$13/100))*0.01+Inputs!$B$14*0.0025)/100)*(1+Inputs!$B$15/100)*(1+Inputs!$B$16/100)*(5000/(6000+Inputs!$B$42*(1-(100*(1-(1-(Inputs!$B$19+0)/100)*(1-CHOOSE(ArtifactsInput!$N$40+1,5,6,7,8,9,10)/100)^(ArtifactsInput!$M$40-ArtifactsInput!$M$40)))/100)))*(1+(Inputs!$B$24+((C306=TRUE)*(F306-Calc!F25))+B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302=TRUE)*(F302-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TRUE)*(F304-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294=TRUE)*F294*IF(Inputs!$B$3&gt;=110,7,5))+((C296=TRUE)*F296*IF(AND(Inputs!$B$38&lt;&gt;"pvp",Inputs!$B$43&gt;0),(((R296-1)*(Skills!T15*(1+(Inputs!$B$34+(ArtifactsInput!$M$7-ArtifactsInput!$M$7)*CHOOSE(ArtifactsInput!$N$7+1,6,7.2,8.4,9.6,10.8,12))/100))+MIN((Skills!T15*(1+(Inputs!$B$34+(ArtifactsInput!$M$7-ArtifactsInput!$M$7)*CHOOSE(ArtifactsInput!$N$7+1,6,7.2,8.4,9.6,10.8,12))/100)),MAX(0,Inputs!$B$43-((R296-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I288)</f>
        <v/>
      </c>
      <c r="L288">
        <f>K288*(MIN(Inputs!$B$22+((C303=TRUE)*(F303-Calc!F22)),(Inputs!$B$23+((C305=TRUE)*(F305-Calc!F24))+(IF(ArtifactsInput!$M$15,CHOOSE(ArtifactsInput!$N$15+1,25,30,35,40,45,50)/100*(Inputs!$B$11-Inputs!$B$11),0))))/100+(Inputs!$B$23+((C305=TRUE)*(F305-Calc!F24))+(IF(ArtifactsInput!$M$15,CHOOSE(ArtifactsInput!$N$15+1,25,30,35,40,45,50)/100*(Inputs!$B$11-Inputs!$B$11),0)))/100)/2</f>
        <v/>
      </c>
      <c r="M288">
        <f>L288*(1+(Inputs!$B$10+0+B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
        <f>L288*(1-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
        <f>(1-Summary!$B$11)*T288+Summary!$B$11*V288</f>
        <v/>
      </c>
      <c r="P288">
        <f>IF(B320=0,0,O288/B320)</f>
        <v/>
      </c>
      <c r="Q288">
        <f>IFERROR(1/(IF(Inputs!$B$38="pvp",15,MAX(0.1,Skills!D7-IF(Skills!E7=TRUE,Inputs!$B$32,0)))*(1-IF(AND(ArtifactsInput!$M$27,Inputs!$B$4="Chapter Hunt"),CHOOSE(ArtifactsInput!$N$27+1,20,24,28,32,36,40),0)/100)),0)</f>
        <v/>
      </c>
      <c r="R288">
        <f>IF(AND(Inputs!$B$38&lt;&gt;"pvp",Inputs!$B$43&gt;0),IF(MAX(0,Inputs!$B$43-B317)&lt;=0,0,(INT(MAX(0,Inputs!$B$43-B317)/(IF(Inputs!$B$38="pvp",15,MAX(0.1,Skills!D7-IF(Skills!E7=TRUE,Inputs!$B$32,0)))*(1-IF(AND(ArtifactsInput!$M$27,Inputs!$B$4="Chapter Hunt"),CHOOSE(ArtifactsInput!$N$27+1,20,24,28,32,36,40),0)/100)))+1)),0)</f>
        <v/>
      </c>
      <c r="S288">
        <f>IFERROR(O288/N288,0)</f>
        <v/>
      </c>
      <c r="T288">
        <f>IF(C288,(H288*N288*IF(AND(Inputs!$B$38&lt;&gt;"pvp",Inputs!$B$43&gt;0),((Skills!G7*((R288-1)*IF(Skills!H7&gt;0,Skills!I7/Skills!H7,1)+IF(Skills!H7&gt;0,MIN(Skills!I7,MAX(0,MAX(0,Inputs!$B$43-B317)-((R288-1)*(IF(Inputs!$B$38="pvp",15,MAX(0.1,Skills!D7-IF(Skills!E7=TRUE,Inputs!$B$32,0)))*(1-IF(AND(ArtifactsInput!$M$27,Inputs!$B$4="Chapter Hunt"),CHOOSE(ArtifactsInput!$N$27+1,20,24,28,32,36,40),0)/100)))))/Skills!H7,1)))/Inputs!$B$43),G288*Q288))*IF(Inputs!$B$38="pvp",1,1+((Inputs!$B$20+1)+0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
        <f>IF(C288,(H288*N288*IF(AND(Inputs!$B$38&lt;&gt;"pvp",Inputs!$B$43&gt;0),((Skills!G7*((R288-1)*IF(Skills!H7&gt;0,Skills!I7/Skills!H7,1)+IF(Skills!H7&gt;0,MIN(Skills!I7,MAX(0,MAX(0,Inputs!$B$43-B317)-((R288-1)*(IF(Inputs!$B$38="pvp",15,MAX(0.1,Skills!D7-IF(Skills!E7=TRUE,Inputs!$B$32,0)))*(1-IF(AND(ArtifactsInput!$M$27,Inputs!$B$4="Chapter Hunt"),CHOOSE(ArtifactsInput!$N$27+1,20,24,28,32,36,40),0)/100)))))/Skills!H7,1)))/Inputs!$B$43),G288*Q288)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
      <c r="A289">
        <f>Skills!A8</f>
        <v/>
      </c>
      <c r="B289">
        <f>Skills!B8</f>
        <v/>
      </c>
      <c r="C289">
        <f>Inputs!$B$3&gt;=117</f>
        <v/>
      </c>
      <c r="D289">
        <f>IF(Skills!C8=1,60+Inputs!$B$25+Inputs!$B$29,IF(Skills!C8=2,90+Inputs!$B$26+Inputs!$B$29,IF(Skills!C8=3,120+Inputs!$B$27+Inputs!$B$29,MAX(0,(Inputs!$B$3-100)*3)+Inputs!$B$28+Inputs!$B$29)))</f>
        <v/>
      </c>
      <c r="E289">
        <f>INDEX(FactorTable!$B$2:$Y$301, MATCH(ROUND(MIN(300,MAX(1,D289)),0), FactorTable!$A$2:$A$301,0), Skills!M8+1)</f>
        <v/>
      </c>
      <c r="F289">
        <f>IF(Skills!N8=TRUE,(Skills!L8/10)*(E289/1000),Skills!L8/10)+Skills!O8</f>
        <v/>
      </c>
      <c r="G289">
        <f>Skills!G8*IF(Skills!H8&gt;0,Skills!I8/Skills!H8,1)</f>
        <v/>
      </c>
      <c r="H289">
        <f>1-(1-Skills!J8/100)^Skills!K8</f>
        <v/>
      </c>
      <c r="I289" t="inlineStr">
        <is>
          <t>1</t>
        </is>
      </c>
      <c r="J289">
        <f>((Inputs!$B$6*(1+Inputs!$B$7/100))+(((Inputs!$B$12*(1+Inputs!$B$13/100))-(Inputs!$B$12*(1+Inputs!$B$13/100)))+0.25*(Inputs!$B$14-Inputs!$B$14))*(1+Inputs!$B$7/100))*(F289/100)</f>
        <v/>
      </c>
      <c r="K289">
        <f>J289*(1+((Inputs!$B$12*(1+Inputs!$B$13/100))*0.01+Inputs!$B$14*0.0025)/100)*(1+Inputs!$B$15/100)*(1+Inputs!$B$16/100)*(5000/(6000+Inputs!$B$42*(1-(100*(1-(1-(Inputs!$B$19+0)/100)*(1-CHOOSE(ArtifactsInput!$N$40+1,5,6,7,8,9,10)/100)^(ArtifactsInput!$M$40-ArtifactsInput!$M$40)))/100)))*(1+(Inputs!$B$24+((C306=TRUE)*(F306-Calc!F25))+B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302=TRUE)*(F302-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TRUE)*(F304-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294=TRUE)*F294*IF(Inputs!$B$3&gt;=110,7,5))+((C296=TRUE)*F296*IF(AND(Inputs!$B$38&lt;&gt;"pvp",Inputs!$B$43&gt;0),(((R296-1)*(Skills!T15*(1+(Inputs!$B$34+(ArtifactsInput!$M$7-ArtifactsInput!$M$7)*CHOOSE(ArtifactsInput!$N$7+1,6,7.2,8.4,9.6,10.8,12))/100))+MIN((Skills!T15*(1+(Inputs!$B$34+(ArtifactsInput!$M$7-ArtifactsInput!$M$7)*CHOOSE(ArtifactsInput!$N$7+1,6,7.2,8.4,9.6,10.8,12))/100)),MAX(0,Inputs!$B$43-((R296-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I289)</f>
        <v/>
      </c>
      <c r="L289">
        <f>K289*(MIN(Inputs!$B$22+((C303=TRUE)*(F303-Calc!F22)),(Inputs!$B$23+((C305=TRUE)*(F305-Calc!F24))+(IF(ArtifactsInput!$M$15,CHOOSE(ArtifactsInput!$N$15+1,25,30,35,40,45,50)/100*(Inputs!$B$11-Inputs!$B$11),0))))/100+(Inputs!$B$23+((C305=TRUE)*(F305-Calc!F24))+(IF(ArtifactsInput!$M$15,CHOOSE(ArtifactsInput!$N$15+1,25,30,35,40,45,50)/100*(Inputs!$B$11-Inputs!$B$11),0)))/100)/2</f>
        <v/>
      </c>
      <c r="M289">
        <f>L289*(1+(Inputs!$B$10+0+B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
        <f>L289*(1-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
        <f>(1-Summary!$B$11)*T289+Summary!$B$11*V289</f>
        <v/>
      </c>
      <c r="P289">
        <f>IF(B320=0,0,O289/B320)</f>
        <v/>
      </c>
      <c r="Q289">
        <f>IFERROR(1/(IF(Inputs!$B$38="pvp",15,MAX(0.1,Skills!D8-IF(Skills!E8=TRUE,Inputs!$B$32,0)))*(1-IF(AND(ArtifactsInput!$M$27,Inputs!$B$4="Chapter Hunt"),CHOOSE(ArtifactsInput!$N$27+1,20,24,28,32,36,40),0)/100)),0)</f>
        <v/>
      </c>
      <c r="R289">
        <f>IF(AND(Inputs!$B$38&lt;&gt;"pvp",Inputs!$B$43&gt;0),IF(MAX(0,Inputs!$B$43-B317)&lt;=0,0,(INT(MAX(0,Inputs!$B$43-B317)/(IF(Inputs!$B$38="pvp",15,MAX(0.1,Skills!D8-IF(Skills!E8=TRUE,Inputs!$B$32,0)))*(1-IF(AND(ArtifactsInput!$M$27,Inputs!$B$4="Chapter Hunt"),CHOOSE(ArtifactsInput!$N$27+1,20,24,28,32,36,40),0)/100)))+1)),0)</f>
        <v/>
      </c>
      <c r="S289">
        <f>IFERROR(O289/N289,0)</f>
        <v/>
      </c>
      <c r="T289">
        <f>IF(C289,(H289*N289*IF(AND(Inputs!$B$38&lt;&gt;"pvp",Inputs!$B$43&gt;0),((Skills!G8*((R289-1)*IF(Skills!H8&gt;0,Skills!I8/Skills!H8,1)+IF(Skills!H8&gt;0,MIN(Skills!I8,MAX(0,MAX(0,Inputs!$B$43-B317)-((R289-1)*(IF(Inputs!$B$38="pvp",15,MAX(0.1,Skills!D8-IF(Skills!E8=TRUE,Inputs!$B$32,0)))*(1-IF(AND(ArtifactsInput!$M$27,Inputs!$B$4="Chapter Hunt"),CHOOSE(ArtifactsInput!$N$27+1,20,24,28,32,36,40),0)/100)))))/Skills!H8,1)))/Inputs!$B$43),G289*Q289))*IF(Inputs!$B$38="pvp",1,1+((Inputs!$B$20+1)+0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289*(1-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
        <f>IF(C289,(H289*N289*IF(AND(Inputs!$B$38&lt;&gt;"pvp",Inputs!$B$43&gt;0),((Skills!G8*((R289-1)*IF(Skills!H8&gt;0,Skills!I8/Skills!H8,1)+IF(Skills!H8&gt;0,MIN(Skills!I8,MAX(0,MAX(0,Inputs!$B$43-B317)-((R289-1)*(IF(Inputs!$B$38="pvp",15,MAX(0.1,Skills!D8-IF(Skills!E8=TRUE,Inputs!$B$32,0)))*(1-IF(AND(ArtifactsInput!$M$27,Inputs!$B$4="Chapter Hunt"),CHOOSE(ArtifactsInput!$N$27+1,20,24,28,32,36,40),0)/100)))))/Skills!H8,1)))/Inputs!$B$43),G289*Q289)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
      <c r="A290">
        <f>Skills!A9</f>
        <v/>
      </c>
      <c r="B290">
        <f>Skills!B9</f>
        <v/>
      </c>
      <c r="C290">
        <f>Inputs!$B$3&gt;=69</f>
        <v/>
      </c>
      <c r="D290">
        <f>IF(Skills!C9=1,60+Inputs!$B$25+Inputs!$B$29,IF(Skills!C9=2,90+Inputs!$B$26+Inputs!$B$29,IF(Skills!C9=3,120+Inputs!$B$27+Inputs!$B$29,MAX(0,(Inputs!$B$3-100)*3)+Inputs!$B$28+Inputs!$B$29)))</f>
        <v/>
      </c>
      <c r="E290">
        <f>INDEX(FactorTable!$B$2:$Y$301, MATCH(ROUND(MIN(300,MAX(1,D290)),0), FactorTable!$A$2:$A$301,0), Skills!M9+1)</f>
        <v/>
      </c>
      <c r="F290">
        <f>IF(Skills!N9=TRUE,(Skills!L9/10)*(E290/1000),Skills!L9/10)+Skills!O9</f>
        <v/>
      </c>
      <c r="G290">
        <f>Skills!G9*IF(Skills!H9&gt;0,Skills!I9/Skills!H9,1)</f>
        <v/>
      </c>
      <c r="H290">
        <f>1-(1-Skills!J9/100)^Skills!K9</f>
        <v/>
      </c>
      <c r="I290" t="inlineStr">
        <is>
          <t>1</t>
        </is>
      </c>
      <c r="J290">
        <f>((Inputs!$B$6*(1+Inputs!$B$7/100))+(((Inputs!$B$12*(1+Inputs!$B$13/100))-(Inputs!$B$12*(1+Inputs!$B$13/100)))+0.25*(Inputs!$B$14-Inputs!$B$14))*(1+Inputs!$B$7/100))*(F290/100)</f>
        <v/>
      </c>
      <c r="K290">
        <f>J290*(1+((Inputs!$B$12*(1+Inputs!$B$13/100))*0.01+Inputs!$B$14*0.0025)/100)*(1+Inputs!$B$15/100)*(1+Inputs!$B$16/100)*(5000/(6000+Inputs!$B$42*(1-(100*(1-(1-(Inputs!$B$19+0)/100)*(1-CHOOSE(ArtifactsInput!$N$40+1,5,6,7,8,9,10)/100)^(ArtifactsInput!$M$40-ArtifactsInput!$M$40)))/100)))*(1+(Inputs!$B$24+((C306=TRUE)*(F306-Calc!F25))+B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293=TRUE,F293,0)/100)*(1+IF(Skills!A9="ENHANCED_RAGING_BLOW",IF(Inputs!$B$3&gt;=134,MAX(0,IF(Inputs!$B$3&gt;=110,7,5)-5)*50,0),0)/100)*(1+(IF(Skills!A9="RAGING_BLOW",Inputs!$B$17+((C302=TRUE)*(F302-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TRUE)*(F304-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294=TRUE)*F294*IF(Inputs!$B$3&gt;=110,7,5))+((C296=TRUE)*F296*IF(AND(Inputs!$B$38&lt;&gt;"pvp",Inputs!$B$43&gt;0),(((R296-1)*(Skills!T15*(1+(Inputs!$B$34+(ArtifactsInput!$M$7-ArtifactsInput!$M$7)*CHOOSE(ArtifactsInput!$N$7+1,6,7.2,8.4,9.6,10.8,12))/100))+MIN((Skills!T15*(1+(Inputs!$B$34+(ArtifactsInput!$M$7-ArtifactsInput!$M$7)*CHOOSE(ArtifactsInput!$N$7+1,6,7.2,8.4,9.6,10.8,12))/100)),MAX(0,Inputs!$B$43-((R296-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I290)</f>
        <v/>
      </c>
      <c r="L290">
        <f>K290*(MIN(Inputs!$B$22+((C303=TRUE)*(F303-Calc!F22)),(Inputs!$B$23+((C305=TRUE)*(F305-Calc!F24))+(IF(ArtifactsInput!$M$15,CHOOSE(ArtifactsInput!$N$15+1,25,30,35,40,45,50)/100*(Inputs!$B$11-Inputs!$B$11),0))))/100+(Inputs!$B$23+((C305=TRUE)*(F305-Calc!F24))+(IF(ArtifactsInput!$M$15,CHOOSE(ArtifactsInput!$N$15+1,25,30,35,40,45,50)/100*(Inputs!$B$11-Inputs!$B$11),0)))/100)/2</f>
        <v/>
      </c>
      <c r="M290">
        <f>L290*(1+(Inputs!$B$10+0+B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
        <f>L290*(1-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
        <f>(1-Summary!$B$11)*T290+Summary!$B$11*V290</f>
        <v/>
      </c>
      <c r="P290">
        <f>IF(B320=0,0,O290/B320)</f>
        <v/>
      </c>
      <c r="Q290">
        <f>IFERROR(1/(IF(Inputs!$B$38="pvp",15,MAX(0.1,Skills!D9-IF(Skills!E9=TRUE,Inputs!$B$32,0)))*(1-IF(AND(ArtifactsInput!$M$27,Inputs!$B$4="Chapter Hunt"),CHOOSE(ArtifactsInput!$N$27+1,20,24,28,32,36,40),0)/100)),0)</f>
        <v/>
      </c>
      <c r="R290">
        <f>IF(AND(Inputs!$B$38&lt;&gt;"pvp",Inputs!$B$43&gt;0),IF(MAX(0,Inputs!$B$43-B317)&lt;=0,0,(INT(MAX(0,Inputs!$B$43-B317)/(IF(Inputs!$B$38="pvp",15,MAX(0.1,Skills!D9-IF(Skills!E9=TRUE,Inputs!$B$32,0)))*(1-IF(AND(ArtifactsInput!$M$27,Inputs!$B$4="Chapter Hunt"),CHOOSE(ArtifactsInput!$N$27+1,20,24,28,32,36,40),0)/100)))+1)),0)</f>
        <v/>
      </c>
      <c r="S290">
        <f>IFERROR(O290/N290,0)</f>
        <v/>
      </c>
      <c r="T290">
        <f>IF(C290,(H290*N290*IF(AND(Inputs!$B$38&lt;&gt;"pvp",Inputs!$B$43&gt;0),((Skills!G9*((R290-1)*IF(Skills!H9&gt;0,Skills!I9/Skills!H9,1)+IF(Skills!H9&gt;0,MIN(Skills!I9,MAX(0,MAX(0,Inputs!$B$43-B317)-((R290-1)*(IF(Inputs!$B$38="pvp",15,MAX(0.1,Skills!D9-IF(Skills!E9=TRUE,Inputs!$B$32,0)))*(1-IF(AND(ArtifactsInput!$M$27,Inputs!$B$4="Chapter Hunt"),CHOOSE(ArtifactsInput!$N$27+1,20,24,28,32,36,40),0)/100)))))/Skills!H9,1)))/Inputs!$B$43),G290*Q290))*IF(Inputs!$B$38="pvp",1,1+((Inputs!$B$20+1)+0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290*(1-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0">
        <f>IF(C290,(H290*N290*IF(AND(Inputs!$B$38&lt;&gt;"pvp",Inputs!$B$43&gt;0),((Skills!G9*((R290-1)*IF(Skills!H9&gt;0,Skills!I9/Skills!H9,1)+IF(Skills!H9&gt;0,MIN(Skills!I9,MAX(0,MAX(0,Inputs!$B$43-B317)-((R290-1)*(IF(Inputs!$B$38="pvp",15,MAX(0.1,Skills!D9-IF(Skills!E9=TRUE,Inputs!$B$32,0)))*(1-IF(AND(ArtifactsInput!$M$27,Inputs!$B$4="Chapter Hunt"),CHOOSE(ArtifactsInput!$N$27+1,20,24,28,32,36,40),0)/100)))))/Skills!H9,1)))/Inputs!$B$43),G290*Q290)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1">
      <c r="A291">
        <f>Skills!A10</f>
        <v/>
      </c>
      <c r="B291">
        <f>Skills!B10</f>
        <v/>
      </c>
      <c r="C291">
        <f>Inputs!$B$3&gt;=63</f>
        <v/>
      </c>
      <c r="D291">
        <f>IF(Skills!C10=1,60+Inputs!$B$25+Inputs!$B$29,IF(Skills!C10=2,90+Inputs!$B$26+Inputs!$B$29,IF(Skills!C10=3,120+Inputs!$B$27+Inputs!$B$29,MAX(0,(Inputs!$B$3-100)*3)+Inputs!$B$28+Inputs!$B$29)))</f>
        <v/>
      </c>
      <c r="E291">
        <f>INDEX(FactorTable!$B$2:$Y$301, MATCH(ROUND(MIN(300,MAX(1,D291)),0), FactorTable!$A$2:$A$301,0), Skills!M10+1)</f>
        <v/>
      </c>
      <c r="F291">
        <f>IF(Skills!N10=TRUE,(Skills!L10/10)*(E291/1000),Skills!L10/10)+Skills!O10</f>
        <v/>
      </c>
      <c r="G291">
        <f>Skills!G10*IF(Skills!H10&gt;0,Skills!I10/Skills!H10,1)</f>
        <v/>
      </c>
      <c r="H291">
        <f>1-(1-Skills!J10/100)^Skills!K10</f>
        <v/>
      </c>
      <c r="I291" t="inlineStr">
        <is>
          <t>1</t>
        </is>
      </c>
      <c r="J291">
        <f>((Inputs!$B$6*(1+Inputs!$B$7/100))+(((Inputs!$B$12*(1+Inputs!$B$13/100))-(Inputs!$B$12*(1+Inputs!$B$13/100)))+0.25*(Inputs!$B$14-Inputs!$B$14))*(1+Inputs!$B$7/100))*(F291/100)</f>
        <v/>
      </c>
      <c r="K291">
        <f>J291*(1+((Inputs!$B$12*(1+Inputs!$B$13/100))*0.01+Inputs!$B$14*0.0025)/100)*(1+Inputs!$B$15/100)*(1+Inputs!$B$16/100)*(5000/(6000+Inputs!$B$42*(1-(100*(1-(1-(Inputs!$B$19+0)/100)*(1-CHOOSE(ArtifactsInput!$N$40+1,5,6,7,8,9,10)/100)^(ArtifactsInput!$M$40-ArtifactsInput!$M$40)))/100)))*(1+(Inputs!$B$24+((C306=TRUE)*(F306-Calc!F25))+B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293=TRUE,F293,0)/100)*(1+IF(Skills!A10="ENHANCED_RAGING_BLOW",IF(Inputs!$B$3&gt;=134,MAX(0,IF(Inputs!$B$3&gt;=110,7,5)-5)*50,0),0)/100)*(1+(IF(Skills!A10="RAGING_BLOW",Inputs!$B$17+((C302=TRUE)*(F302-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TRUE)*(F304-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294=TRUE)*F294*IF(Inputs!$B$3&gt;=110,7,5))+((C296=TRUE)*F296*IF(AND(Inputs!$B$38&lt;&gt;"pvp",Inputs!$B$43&gt;0),(((R296-1)*(Skills!T15*(1+(Inputs!$B$34+(ArtifactsInput!$M$7-ArtifactsInput!$M$7)*CHOOSE(ArtifactsInput!$N$7+1,6,7.2,8.4,9.6,10.8,12))/100))+MIN((Skills!T15*(1+(Inputs!$B$34+(ArtifactsInput!$M$7-ArtifactsInput!$M$7)*CHOOSE(ArtifactsInput!$N$7+1,6,7.2,8.4,9.6,10.8,12))/100)),MAX(0,Inputs!$B$43-((R296-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I291)</f>
        <v/>
      </c>
      <c r="L291">
        <f>K291*(MIN(Inputs!$B$22+((C303=TRUE)*(F303-Calc!F22)),(Inputs!$B$23+((C305=TRUE)*(F305-Calc!F24))+(IF(ArtifactsInput!$M$15,CHOOSE(ArtifactsInput!$N$15+1,25,30,35,40,45,50)/100*(Inputs!$B$11-Inputs!$B$11),0))))/100+(Inputs!$B$23+((C305=TRUE)*(F305-Calc!F24))+(IF(ArtifactsInput!$M$15,CHOOSE(ArtifactsInput!$N$15+1,25,30,35,40,45,50)/100*(Inputs!$B$11-Inputs!$B$11),0)))/100)/2</f>
        <v/>
      </c>
      <c r="M291">
        <f>L291*(1+(Inputs!$B$10+0+B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1">
        <f>L291*(1-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291*(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1">
        <f>(1-Summary!$B$11)*T291+Summary!$B$11*V291</f>
        <v/>
      </c>
      <c r="P291">
        <f>IF(B320=0,0,O291/B320)</f>
        <v/>
      </c>
      <c r="Q291">
        <f>IFERROR(1/(IF(Inputs!$B$38="pvp",15,MAX(0.1,Skills!D10-IF(Skills!E10=TRUE,Inputs!$B$32,0)))*(1-IF(AND(ArtifactsInput!$M$27,Inputs!$B$4="Chapter Hunt"),CHOOSE(ArtifactsInput!$N$27+1,20,24,28,32,36,40),0)/100)),0)</f>
        <v/>
      </c>
      <c r="R291">
        <f>IF(AND(Inputs!$B$38&lt;&gt;"pvp",Inputs!$B$43&gt;0),IF(MAX(0,Inputs!$B$43-B317)&lt;=0,0,(INT(MAX(0,Inputs!$B$43-B317)/(IF(Inputs!$B$38="pvp",15,MAX(0.1,Skills!D10-IF(Skills!E10=TRUE,Inputs!$B$32,0)))*(1-IF(AND(ArtifactsInput!$M$27,Inputs!$B$4="Chapter Hunt"),CHOOSE(ArtifactsInput!$N$27+1,20,24,28,32,36,40),0)/100)))+1)),0)</f>
        <v/>
      </c>
      <c r="S291">
        <f>IFERROR(O291/N291,0)</f>
        <v/>
      </c>
      <c r="T291">
        <f>IF(C291,(H291*N291*IF(AND(Inputs!$B$38&lt;&gt;"pvp",Inputs!$B$43&gt;0),((Skills!G10*((R291-1)*IF(Skills!H10&gt;0,Skills!I10/Skills!H10,1)+IF(Skills!H10&gt;0,MIN(Skills!I10,MAX(0,MAX(0,Inputs!$B$43-B317)-((R291-1)*(IF(Inputs!$B$38="pvp",15,MAX(0.1,Skills!D10-IF(Skills!E10=TRUE,Inputs!$B$32,0)))*(1-IF(AND(ArtifactsInput!$M$27,Inputs!$B$4="Chapter Hunt"),CHOOSE(ArtifactsInput!$N$27+1,20,24,28,32,36,40),0)/100)))))/Skills!H10,1)))/Inputs!$B$43),G291*Q291))*IF(Inputs!$B$38="pvp",1,1+((Inputs!$B$20+1)+0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291*(1-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291*(1-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1">
        <f>IF(C291,(H291*N291*IF(AND(Inputs!$B$38&lt;&gt;"pvp",Inputs!$B$43&gt;0),((Skills!G10*((R291-1)*IF(Skills!H10&gt;0,Skills!I10/Skills!H10,1)+IF(Skills!H10&gt;0,MIN(Skills!I10,MAX(0,MAX(0,Inputs!$B$43-B317)-((R291-1)*(IF(Inputs!$B$38="pvp",15,MAX(0.1,Skills!D10-IF(Skills!E10=TRUE,Inputs!$B$32,0)))*(1-IF(AND(ArtifactsInput!$M$27,Inputs!$B$4="Chapter Hunt"),CHOOSE(ArtifactsInput!$N$27+1,20,24,28,32,36,40),0)/100)))))/Skills!H10,1)))/Inputs!$B$43),G291*Q291)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
      <c r="A292">
        <f>Skills!A11</f>
        <v/>
      </c>
      <c r="B292">
        <f>Skills!B11</f>
        <v/>
      </c>
      <c r="C292">
        <f>Inputs!$B$3&gt;=35</f>
        <v/>
      </c>
      <c r="D292">
        <f>IF(Skills!C11=1,60+Inputs!$B$25+Inputs!$B$29,IF(Skills!C11=2,90+Inputs!$B$26+Inputs!$B$29,IF(Skills!C11=3,120+Inputs!$B$27+Inputs!$B$29,MAX(0,(Inputs!$B$3-100)*3)+Inputs!$B$28+Inputs!$B$29)))</f>
        <v/>
      </c>
      <c r="E292">
        <f>INDEX(FactorTable!$B$2:$Y$301, MATCH(ROUND(MIN(300,MAX(1,D292)),0), FactorTable!$A$2:$A$301,0), Skills!M11+1)</f>
        <v/>
      </c>
      <c r="F292">
        <f>IF(Skills!N11=TRUE,(Skills!L11/10)*(E292/1000),Skills!L11/10)+Skills!O11</f>
        <v/>
      </c>
      <c r="G292">
        <f>Skills!G11*IF(Skills!H11&gt;0,Skills!I11/Skills!H11,1)</f>
        <v/>
      </c>
      <c r="H292">
        <f>1-(1-Skills!J11/100)^Skills!K11</f>
        <v/>
      </c>
      <c r="I292" t="inlineStr">
        <is>
          <t>1</t>
        </is>
      </c>
      <c r="J292">
        <f>((Inputs!$B$6*(1+Inputs!$B$7/100))+(((Inputs!$B$12*(1+Inputs!$B$13/100))-(Inputs!$B$12*(1+Inputs!$B$13/100)))+0.25*(Inputs!$B$14-Inputs!$B$14))*(1+Inputs!$B$7/100))*(F292/100)</f>
        <v/>
      </c>
      <c r="K292">
        <f>J292*(1+((Inputs!$B$12*(1+Inputs!$B$13/100))*0.01+Inputs!$B$14*0.0025)/100)*(1+Inputs!$B$15/100)*(1+Inputs!$B$16/100)*(5000/(6000+Inputs!$B$42*(1-(100*(1-(1-(Inputs!$B$19+0)/100)*(1-CHOOSE(ArtifactsInput!$N$40+1,5,6,7,8,9,10)/100)^(ArtifactsInput!$M$40-ArtifactsInput!$M$40)))/100)))*(1+(Inputs!$B$24+((C306=TRUE)*(F306-Calc!F25))+B316)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293=TRUE,F293,0)/100)*(1+IF(Skills!A11="ENHANCED_RAGING_BLOW",IF(Inputs!$B$3&gt;=134,MAX(0,IF(Inputs!$B$3&gt;=110,7,5)-5)*50,0),0)/100)*(1+(IF(Skills!A11="RAGING_BLOW",Inputs!$B$17+((C302=TRUE)*(F302-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TRUE)*(F304-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294=TRUE)*F294*IF(Inputs!$B$3&gt;=110,7,5))+((C296=TRUE)*F296*IF(AND(Inputs!$B$38&lt;&gt;"pvp",Inputs!$B$43&gt;0),(((R296-1)*(Skills!T15*(1+(Inputs!$B$34+(ArtifactsInput!$M$7-ArtifactsInput!$M$7)*CHOOSE(ArtifactsInput!$N$7+1,6,7.2,8.4,9.6,10.8,12))/100))+MIN((Skills!T15*(1+(Inputs!$B$34+(ArtifactsInput!$M$7-ArtifactsInput!$M$7)*CHOOSE(ArtifactsInput!$N$7+1,6,7.2,8.4,9.6,10.8,12))/100)),MAX(0,Inputs!$B$43-((R296-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I292)</f>
        <v/>
      </c>
      <c r="L292">
        <f>K292*(MIN(Inputs!$B$22+((C303=TRUE)*(F303-Calc!F22)),(Inputs!$B$23+((C305=TRUE)*(F305-Calc!F24))+(IF(ArtifactsInput!$M$15,CHOOSE(ArtifactsInput!$N$15+1,25,30,35,40,45,50)/100*(Inputs!$B$11-Inputs!$B$11),0))))/100+(Inputs!$B$23+((C305=TRUE)*(F305-Calc!F24))+(IF(ArtifactsInput!$M$15,CHOOSE(ArtifactsInput!$N$15+1,25,30,35,40,45,50)/100*(Inputs!$B$11-Inputs!$B$11),0)))/100)/2</f>
        <v/>
      </c>
      <c r="M292">
        <f>L292*(1+(Inputs!$B$10+0+B315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
        <f>L292*(1-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MIN((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
        <f>(1-Summary!$B$11)*T292+Summary!$B$11*V292</f>
        <v/>
      </c>
      <c r="P292">
        <f>IF(B320=0,0,O292/B320)</f>
        <v/>
      </c>
      <c r="Q292">
        <f>IFERROR(1/(IF(Inputs!$B$38="pvp",15,MAX(0.1,Skills!D11-IF(Skills!E11=TRUE,Inputs!$B$32,0)))*(1-IF(AND(ArtifactsInput!$M$27,Inputs!$B$4="Chapter Hunt"),CHOOSE(ArtifactsInput!$N$27+1,20,24,28,32,36,40),0)/100)),0)</f>
        <v/>
      </c>
      <c r="R292">
        <f>IF(AND(Inputs!$B$38&lt;&gt;"pvp",Inputs!$B$43&gt;0),IF(MAX(0,Inputs!$B$43-B317)&lt;=0,0,(INT(MAX(0,Inputs!$B$43-B317)/(IF(Inputs!$B$38="pvp",15,MAX(0.1,Skills!D11-IF(Skills!E11=TRUE,Inputs!$B$32,0)))*(1-IF(AND(ArtifactsInput!$M$27,Inputs!$B$4="Chapter Hunt"),CHOOSE(ArtifactsInput!$N$27+1,20,24,28,32,36,40),0)/100)))+1)),0)</f>
        <v/>
      </c>
      <c r="S292">
        <f>IFERROR(O292/N292,0)</f>
        <v/>
      </c>
      <c r="T292">
        <f>IF(C292,(H292*N292*IF(AND(Inputs!$B$38&lt;&gt;"pvp",Inputs!$B$43&gt;0),((Skills!G11*((R292-1)*IF(Skills!H11&gt;0,Skills!I11/Skills!H11,1)+IF(Skills!H11&gt;0,MIN(Skills!I11,MAX(0,MAX(0,Inputs!$B$43-B317)-((R292-1)*(IF(Inputs!$B$38="pvp",15,MAX(0.1,Skills!D11-IF(Skills!E11=TRUE,Inputs!$B$32,0)))*(1-IF(AND(ArtifactsInput!$M$27,Inputs!$B$4="Chapter Hunt"),CHOOSE(ArtifactsInput!$N$27+1,20,24,28,32,36,40),0)/100)))))/Skills!H11,1)))/Inputs!$B$43),G292*Q292))*IF(Inputs!$B$38="pvp",1,1+((Inputs!$B$20+1)+0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(1-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MIN(100,(Inputs!$B$9+((C307=TRUE)*(F307-Calc!F26))+B310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2">
        <f>IF(C292,(H292*N292*IF(AND(Inputs!$B$38&lt;&gt;"pvp",Inputs!$B$43&gt;0),((Skills!G11*((R292-1)*IF(Skills!H11&gt;0,Skills!I11/Skills!H11,1)+IF(Skills!H11&gt;0,MIN(Skills!I11,MAX(0,MAX(0,Inputs!$B$43-B317)-((R292-1)*(IF(Inputs!$B$38="pvp",15,MAX(0.1,Skills!D11-IF(Skills!E11=TRUE,Inputs!$B$32,0)))*(1-IF(AND(ArtifactsInput!$M$27,Inputs!$B$4="Chapter Hunt"),CHOOSE(ArtifactsInput!$N$27+1,20,24,28,32,36,40),0)/100)))))/Skills!H11,1)))/Inputs!$B$43),G292*Q292)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
      <c r="A293">
        <f>Skills!A12</f>
        <v/>
      </c>
      <c r="B293">
        <f>Skills!B12</f>
        <v/>
      </c>
      <c r="C293">
        <f>Inputs!$B$3&gt;=100</f>
        <v/>
      </c>
      <c r="D293">
        <f>IF(Skills!C12=1,60+Inputs!$B$25+Inputs!$B$29,IF(Skills!C12=2,90+Inputs!$B$26+Inputs!$B$29,IF(Skills!C12=3,120+Inputs!$B$27+Inputs!$B$29,MAX(0,(Inputs!$B$3-100)*3)+Inputs!$B$28+Inputs!$B$29)))</f>
        <v/>
      </c>
      <c r="E293">
        <f>INDEX(FactorTable!$B$2:$Y$301, MATCH(ROUND(MIN(300,MAX(1,D293)),0), FactorTable!$A$2:$A$301,0), Skills!M12+1)</f>
        <v/>
      </c>
      <c r="F293">
        <f>IF(Skills!N12=TRUE,(Skills!L12/10)*(E293/1000),Skills!L12/10)+Skills!O12</f>
        <v/>
      </c>
      <c r="G293" t="inlineStr"/>
      <c r="H293" t="inlineStr"/>
      <c r="I293" t="inlineStr">
        <is>
          <t>1</t>
        </is>
      </c>
      <c r="J293" t="inlineStr"/>
      <c r="K293" t="inlineStr"/>
      <c r="L293" t="inlineStr"/>
      <c r="M293" t="inlineStr"/>
      <c r="N293" t="inlineStr"/>
      <c r="O293" t="inlineStr"/>
      <c r="P293" t="inlineStr"/>
      <c r="Q293" t="inlineStr"/>
      <c r="R293" t="inlineStr"/>
      <c r="S293" t="inlineStr"/>
    </row>
    <row r="294">
      <c r="A294">
        <f>Skills!A13</f>
        <v/>
      </c>
      <c r="B294">
        <f>Skills!B13</f>
        <v/>
      </c>
      <c r="C294">
        <f>Inputs!$B$3&gt;=45</f>
        <v/>
      </c>
      <c r="D294">
        <f>IF(Skills!C13=1,60+Inputs!$B$25+Inputs!$B$29,IF(Skills!C13=2,90+Inputs!$B$26+Inputs!$B$29,IF(Skills!C13=3,120+Inputs!$B$27+Inputs!$B$29,MAX(0,(Inputs!$B$3-100)*3)+Inputs!$B$28+Inputs!$B$29)))</f>
        <v/>
      </c>
      <c r="E294">
        <f>INDEX(FactorTable!$B$2:$Y$301, MATCH(ROUND(MIN(300,MAX(1,D294)),0), FactorTable!$A$2:$A$301,0), Skills!M13+1)</f>
        <v/>
      </c>
      <c r="F294">
        <f>IF(Skills!N13=TRUE,(Skills!L13/10)*(E294/1000),Skills!L13/10)+Skills!O13</f>
        <v/>
      </c>
      <c r="G294">
        <f>Skills!G13*IF(Skills!H13&gt;0,Skills!I13/Skills!H13,1)</f>
        <v/>
      </c>
      <c r="H294">
        <f>1-(1-Skills!J13/100)^Skills!K13</f>
        <v/>
      </c>
      <c r="I294" t="inlineStr">
        <is>
          <t>1</t>
        </is>
      </c>
      <c r="J294" t="inlineStr"/>
      <c r="K294" t="inlineStr"/>
      <c r="L294" t="inlineStr"/>
      <c r="M294" t="inlineStr"/>
      <c r="N294" t="inlineStr"/>
      <c r="O294">
        <f>(1-Summary!$B$11)*T294+Summary!$B$11*V294</f>
        <v/>
      </c>
      <c r="P294">
        <f>IF(B320=0,0,O294/B320)</f>
        <v/>
      </c>
      <c r="Q294" t="n">
        <v>0</v>
      </c>
      <c r="R294" t="n">
        <v>0</v>
      </c>
      <c r="S294">
        <f>IFERROR(O294/N294,0)</f>
        <v/>
      </c>
      <c r="T294" t="n">
        <v>0</v>
      </c>
      <c r="V294" t="n">
        <v>0</v>
      </c>
    </row>
    <row r="295">
      <c r="A295">
        <f>Skills!A14</f>
        <v/>
      </c>
      <c r="B295">
        <f>Skills!B14</f>
        <v/>
      </c>
      <c r="C295">
        <f>Inputs!$B$3&gt;=75</f>
        <v/>
      </c>
      <c r="D295">
        <f>IF(Skills!C14=1,60+Inputs!$B$25+Inputs!$B$29,IF(Skills!C14=2,90+Inputs!$B$26+Inputs!$B$29,IF(Skills!C14=3,120+Inputs!$B$27+Inputs!$B$29,MAX(0,(Inputs!$B$3-100)*3)+Inputs!$B$28+Inputs!$B$29)))</f>
        <v/>
      </c>
      <c r="E295">
        <f>INDEX(FactorTable!$B$2:$Y$301, MATCH(ROUND(MIN(300,MAX(1,D295)),0), FactorTable!$A$2:$A$301,0), Skills!M14+1)</f>
        <v/>
      </c>
      <c r="F295">
        <f>IF(Skills!N14=TRUE,(Skills!L14/10)*(E295/1000),Skills!L14/10)+Skills!O14</f>
        <v/>
      </c>
      <c r="G295">
        <f>Skills!G14*IF(Skills!H14&gt;0,Skills!I14/Skills!H14,1)</f>
        <v/>
      </c>
      <c r="H295">
        <f>1-(1-Skills!J14/100)^Skills!K14</f>
        <v/>
      </c>
      <c r="I295" t="inlineStr">
        <is>
          <t>1</t>
        </is>
      </c>
      <c r="J295" t="inlineStr"/>
      <c r="K295" t="inlineStr"/>
      <c r="L295" t="inlineStr"/>
      <c r="M295" t="inlineStr"/>
      <c r="N295" t="inlineStr"/>
      <c r="O295">
        <f>(1-Summary!$B$11)*T295+Summary!$B$11*V295</f>
        <v/>
      </c>
      <c r="P295">
        <f>IF(B320=0,0,O295/B320)</f>
        <v/>
      </c>
      <c r="Q295" t="n">
        <v>0</v>
      </c>
      <c r="R295" t="n">
        <v>0</v>
      </c>
      <c r="S295">
        <f>IFERROR(O295/N295,0)</f>
        <v/>
      </c>
      <c r="T295" t="n">
        <v>0</v>
      </c>
      <c r="V295" t="n">
        <v>0</v>
      </c>
    </row>
    <row r="296">
      <c r="A296">
        <f>Skills!A15</f>
        <v/>
      </c>
      <c r="B296">
        <f>Skills!B15</f>
        <v/>
      </c>
      <c r="C296">
        <f>Inputs!$B$3&gt;=40</f>
        <v/>
      </c>
      <c r="D296">
        <f>IF(Skills!C15=1,60+Inputs!$B$25+Inputs!$B$29,IF(Skills!C15=2,90+Inputs!$B$26+Inputs!$B$29,IF(Skills!C15=3,120+Inputs!$B$27+Inputs!$B$29,MAX(0,(Inputs!$B$3-100)*3)+Inputs!$B$28+Inputs!$B$29)))</f>
        <v/>
      </c>
      <c r="E296">
        <f>INDEX(FactorTable!$B$2:$Y$301, MATCH(ROUND(MIN(300,MAX(1,D296)),0), FactorTable!$A$2:$A$301,0), Skills!M15+1)</f>
        <v/>
      </c>
      <c r="F296">
        <f>IF(Skills!N15=TRUE,(Skills!L15/10)*(E296/1000),Skills!L15/10)+Skills!O15</f>
        <v/>
      </c>
      <c r="G296">
        <f>Skills!G15*IF(Skills!H15&gt;0,Skills!I15/Skills!H15,1)</f>
        <v/>
      </c>
      <c r="H296">
        <f>1-(1-Skills!J15/100)^Skills!K15</f>
        <v/>
      </c>
      <c r="I296" t="inlineStr">
        <is>
          <t>1</t>
        </is>
      </c>
      <c r="J296" t="inlineStr"/>
      <c r="K296" t="inlineStr"/>
      <c r="L296" t="inlineStr"/>
      <c r="M296" t="inlineStr"/>
      <c r="N296" t="inlineStr"/>
      <c r="O296">
        <f>(1-Summary!$B$11)*T296+Summary!$B$11*V296</f>
        <v/>
      </c>
      <c r="P296">
        <f>IF(B320=0,0,O296/B320)</f>
        <v/>
      </c>
      <c r="Q296">
        <f>IFERROR(1/(IF(Inputs!$B$38="pvp",15,MAX(0.1,Skills!D15-IF(Skills!E15=TRUE,Inputs!$B$32,0)))*(1-IF(AND(ArtifactsInput!$M$27,Inputs!$B$4="Chapter Hunt"),CHOOSE(ArtifactsInput!$N$27+1,20,24,28,32,36,40),0)/100)),0)</f>
        <v/>
      </c>
      <c r="R296">
        <f>IF(AND(Inputs!$B$38&lt;&gt;"pvp",Inputs!$B$43&gt;0),IF(Inputs!$B$43&lt;=0,0,(INT(Inputs!$B$43/(IF(Inputs!$B$38="pvp",15,MAX(0.1,Skills!D15-IF(Skills!E15=TRUE,Inputs!$B$32,0)))*(1-IF(AND(ArtifactsInput!$M$27,Inputs!$B$4="Chapter Hunt"),CHOOSE(ArtifactsInput!$N$27+1,20,24,28,32,36,40),0)/100)))+1)),0)</f>
        <v/>
      </c>
      <c r="S296">
        <f>IFERROR(O296/N296,0)</f>
        <v/>
      </c>
      <c r="T296" t="n">
        <v>0</v>
      </c>
      <c r="V296" t="n">
        <v>0</v>
      </c>
    </row>
    <row r="297">
      <c r="A297">
        <f>Skills!A16</f>
        <v/>
      </c>
      <c r="B297">
        <f>Skills!B16</f>
        <v/>
      </c>
      <c r="C297">
        <f>Inputs!$B$3&gt;=66</f>
        <v/>
      </c>
      <c r="D297">
        <f>IF(Skills!C16=1,60+Inputs!$B$25+Inputs!$B$29,IF(Skills!C16=2,90+Inputs!$B$26+Inputs!$B$29,IF(Skills!C16=3,120+Inputs!$B$27+Inputs!$B$29,MAX(0,(Inputs!$B$3-100)*3)+Inputs!$B$28+Inputs!$B$29)))</f>
        <v/>
      </c>
      <c r="E297">
        <f>INDEX(FactorTable!$B$2:$Y$301, MATCH(ROUND(MIN(300,MAX(1,D297)),0), FactorTable!$A$2:$A$301,0), Skills!M16+1)</f>
        <v/>
      </c>
      <c r="F297">
        <f>IF(Skills!N16=TRUE,(Skills!L16/10)*(E297/1000),Skills!L16/10)+Skills!O16</f>
        <v/>
      </c>
      <c r="G297">
        <f>Skills!G16*IF(Skills!H16&gt;0,Skills!I16/Skills!H16,1)</f>
        <v/>
      </c>
      <c r="H297">
        <f>1-(1-Skills!J16/100)^Skills!K16</f>
        <v/>
      </c>
      <c r="I297" t="inlineStr">
        <is>
          <t>1</t>
        </is>
      </c>
      <c r="J297" t="inlineStr"/>
      <c r="K297" t="inlineStr"/>
      <c r="L297" t="inlineStr"/>
      <c r="M297" t="inlineStr"/>
      <c r="N297" t="inlineStr"/>
      <c r="O297">
        <f>(1-Summary!$B$11)*T297+Summary!$B$11*V297</f>
        <v/>
      </c>
      <c r="P297">
        <f>IF(B320=0,0,O297/B320)</f>
        <v/>
      </c>
      <c r="Q297">
        <f>IFERROR(1/(IF(Inputs!$B$38="pvp",15,MAX(0.1,Skills!D16-IF(Skills!E16=TRUE,Inputs!$B$32,0)))*(1-IF(AND(ArtifactsInput!$M$27,Inputs!$B$4="Chapter Hunt"),CHOOSE(ArtifactsInput!$N$27+1,20,24,28,32,36,40),0)/100)),0)</f>
        <v/>
      </c>
      <c r="R297">
        <f>IF(AND(Inputs!$B$38&lt;&gt;"pvp",Inputs!$B$43&gt;0),IF(Inputs!$B$43&lt;=0,0,(INT(Inputs!$B$43/(IF(Inputs!$B$38="pvp",15,MAX(0.1,Skills!D16-IF(Skills!E16=TRUE,Inputs!$B$32,0)))*(1-IF(AND(ArtifactsInput!$M$27,Inputs!$B$4="Chapter Hunt"),CHOOSE(ArtifactsInput!$N$27+1,20,24,28,32,36,40),0)/100)))+1)),0)</f>
        <v/>
      </c>
      <c r="S297">
        <f>IFERROR(O297/N297,0)</f>
        <v/>
      </c>
      <c r="T297" t="n">
        <v>0</v>
      </c>
      <c r="V297" t="n">
        <v>0</v>
      </c>
    </row>
    <row r="298">
      <c r="A298">
        <f>Skills!A17</f>
        <v/>
      </c>
      <c r="B298">
        <f>Skills!B17</f>
        <v/>
      </c>
      <c r="C298">
        <f>Inputs!$B$3&gt;=115</f>
        <v/>
      </c>
      <c r="D298">
        <f>IF(Skills!C17=1,60+Inputs!$B$25+Inputs!$B$29,IF(Skills!C17=2,90+Inputs!$B$26+Inputs!$B$29,IF(Skills!C17=3,120+Inputs!$B$27+Inputs!$B$29,MAX(0,(Inputs!$B$3-100)*3)+Inputs!$B$28+Inputs!$B$29)))</f>
        <v/>
      </c>
      <c r="E298">
        <f>INDEX(FactorTable!$B$2:$Y$301, MATCH(ROUND(MIN(300,MAX(1,D298)),0), FactorTable!$A$2:$A$301,0), Skills!M17+1)</f>
        <v/>
      </c>
      <c r="F298">
        <f>IF(Skills!N17=TRUE,(Skills!L17/10)*(E298/1000),Skills!L17/10)+Skills!O17</f>
        <v/>
      </c>
      <c r="G298">
        <f>Skills!G17*IF(Skills!H17&gt;0,Skills!I17/Skills!H17,1)</f>
        <v/>
      </c>
      <c r="H298">
        <f>1-(1-Skills!J17/100)^Skills!K17</f>
        <v/>
      </c>
      <c r="I298" t="inlineStr">
        <is>
          <t>1</t>
        </is>
      </c>
      <c r="J298" t="inlineStr"/>
      <c r="K298" t="inlineStr"/>
      <c r="L298" t="inlineStr"/>
      <c r="M298" t="inlineStr"/>
      <c r="N298" t="inlineStr"/>
      <c r="O298">
        <f>(1-Summary!$B$11)*T298+Summary!$B$11*V298</f>
        <v/>
      </c>
      <c r="P298">
        <f>IF(B320=0,0,O298/B320)</f>
        <v/>
      </c>
      <c r="Q298">
        <f>IFERROR(1/(IF(Inputs!$B$38="pvp",15,MAX(0.1,Skills!D17-IF(Skills!E17=TRUE,Inputs!$B$32,0)))*(1-IF(AND(ArtifactsInput!$M$27,Inputs!$B$4="Chapter Hunt"),CHOOSE(ArtifactsInput!$N$27+1,20,24,28,32,36,40),0)/100)),0)</f>
        <v/>
      </c>
      <c r="R298">
        <f>IF(AND(Inputs!$B$38&lt;&gt;"pvp",Inputs!$B$43&gt;0),IF(Inputs!$B$43&lt;=0,0,(INT(Inputs!$B$43/(IF(Inputs!$B$38="pvp",15,MAX(0.1,Skills!D17-IF(Skills!E17=TRUE,Inputs!$B$32,0)))*(1-IF(AND(ArtifactsInput!$M$27,Inputs!$B$4="Chapter Hunt"),CHOOSE(ArtifactsInput!$N$27+1,20,24,28,32,36,40),0)/100)))+1)),0)</f>
        <v/>
      </c>
      <c r="S298">
        <f>IFERROR(O298/N298,0)</f>
        <v/>
      </c>
      <c r="T298" t="n">
        <v>0</v>
      </c>
      <c r="V298" t="n">
        <v>0</v>
      </c>
    </row>
    <row r="299">
      <c r="A299">
        <f>Skills!A18</f>
        <v/>
      </c>
      <c r="B299">
        <f>Skills!B18</f>
        <v/>
      </c>
      <c r="C299">
        <f>Inputs!$B$3&gt;=115</f>
        <v/>
      </c>
      <c r="D299">
        <f>IF(Skills!C18=1,60+Inputs!$B$25+Inputs!$B$29,IF(Skills!C18=2,90+Inputs!$B$26+Inputs!$B$29,IF(Skills!C18=3,120+Inputs!$B$27+Inputs!$B$29,MAX(0,(Inputs!$B$3-100)*3)+Inputs!$B$28+Inputs!$B$29)))</f>
        <v/>
      </c>
      <c r="E299">
        <f>INDEX(FactorTable!$B$2:$Y$301, MATCH(ROUND(MIN(300,MAX(1,D299)),0), FactorTable!$A$2:$A$301,0), Skills!M18+1)</f>
        <v/>
      </c>
      <c r="F299">
        <f>IF(Skills!N18=TRUE,(Skills!L18/10)*(E299/1000),Skills!L18/10)+Skills!O18</f>
        <v/>
      </c>
      <c r="G299">
        <f>Skills!G18*IF(Skills!H18&gt;0,Skills!I18/Skills!H18,1)</f>
        <v/>
      </c>
      <c r="H299">
        <f>1-(1-Skills!J18/100)^Skills!K18</f>
        <v/>
      </c>
      <c r="I299" t="inlineStr">
        <is>
          <t>1</t>
        </is>
      </c>
      <c r="J299" t="inlineStr"/>
      <c r="K299" t="inlineStr"/>
      <c r="L299" t="inlineStr"/>
      <c r="M299" t="inlineStr"/>
      <c r="N299" t="inlineStr"/>
      <c r="O299">
        <f>(1-Summary!$B$11)*T299+Summary!$B$11*V299</f>
        <v/>
      </c>
      <c r="P299">
        <f>IF(B320=0,0,O299/B320)</f>
        <v/>
      </c>
      <c r="Q299">
        <f>IFERROR(1/(IF(Inputs!$B$38="pvp",15,MAX(0.1,Skills!D18-IF(Skills!E18=TRUE,Inputs!$B$32,0)))*(1-IF(AND(ArtifactsInput!$M$27,Inputs!$B$4="Chapter Hunt"),CHOOSE(ArtifactsInput!$N$27+1,20,24,28,32,36,40),0)/100)),0)</f>
        <v/>
      </c>
      <c r="R299">
        <f>IF(AND(Inputs!$B$38&lt;&gt;"pvp",Inputs!$B$43&gt;0),IF(Inputs!$B$43&lt;=0,0,(INT(Inputs!$B$43/(IF(Inputs!$B$38="pvp",15,MAX(0.1,Skills!D18-IF(Skills!E18=TRUE,Inputs!$B$32,0)))*(1-IF(AND(ArtifactsInput!$M$27,Inputs!$B$4="Chapter Hunt"),CHOOSE(ArtifactsInput!$N$27+1,20,24,28,32,36,40),0)/100)))+1)),0)</f>
        <v/>
      </c>
      <c r="S299">
        <f>IFERROR(O299/N299,0)</f>
        <v/>
      </c>
      <c r="T299" t="n">
        <v>0</v>
      </c>
      <c r="V299" t="n">
        <v>0</v>
      </c>
    </row>
    <row r="300">
      <c r="A300">
        <f>Skills!A19</f>
        <v/>
      </c>
      <c r="B300">
        <f>Skills!B19</f>
        <v/>
      </c>
      <c r="C300">
        <f>TRUE</f>
        <v/>
      </c>
      <c r="D300">
        <f>IF(Skills!C19=1,60+Inputs!$B$25+Inputs!$B$29,IF(Skills!C19=2,90+Inputs!$B$26+Inputs!$B$29,IF(Skills!C19=3,120+Inputs!$B$27+Inputs!$B$29,MAX(0,(Inputs!$B$3-100)*3)+Inputs!$B$28+Inputs!$B$29)))</f>
        <v/>
      </c>
      <c r="E300">
        <f>INDEX(FactorTable!$B$2:$Y$301, MATCH(ROUND(MIN(300,MAX(1,D300)),0), FactorTable!$A$2:$A$301,0), Skills!M19+1)</f>
        <v/>
      </c>
      <c r="F300">
        <f>IF(Skills!N19=TRUE,(Skills!L19/10)*(E300/1000),Skills!L19/10)+Skills!O19</f>
        <v/>
      </c>
      <c r="G300">
        <f>Skills!G19*IF(Skills!H19&gt;0,Skills!I19/Skills!H19,1)</f>
        <v/>
      </c>
      <c r="H300">
        <f>1-(1-Skills!J19/100)^Skills!K19</f>
        <v/>
      </c>
      <c r="I300" t="inlineStr">
        <is>
          <t>1</t>
        </is>
      </c>
      <c r="J300" t="inlineStr"/>
      <c r="K300" t="inlineStr"/>
      <c r="L300" t="inlineStr"/>
      <c r="M300" t="inlineStr"/>
      <c r="N300" t="inlineStr"/>
      <c r="O300">
        <f>(1-Summary!$B$11)*T300+Summary!$B$11*V300</f>
        <v/>
      </c>
      <c r="P300">
        <f>IF(B320=0,0,O300/B320)</f>
        <v/>
      </c>
      <c r="Q300">
        <f>IFERROR(1/(IF(Inputs!$B$38="pvp",15,MAX(0.1,Skills!D19-IF(Skills!E19=TRUE,Inputs!$B$32,0)))*(1-IF(AND(ArtifactsInput!$M$27,Inputs!$B$4="Chapter Hunt"),CHOOSE(ArtifactsInput!$N$27+1,20,24,28,32,36,40),0)/100)),0)</f>
        <v/>
      </c>
      <c r="R300">
        <f>IF(AND(Inputs!$B$38&lt;&gt;"pvp",Inputs!$B$43&gt;0),IF(Inputs!$B$43&lt;=0,0,(INT(Inputs!$B$43/(IF(Inputs!$B$38="pvp",15,MAX(0.1,Skills!D19-IF(Skills!E19=TRUE,Inputs!$B$32,0)))*(1-IF(AND(ArtifactsInput!$M$27,Inputs!$B$4="Chapter Hunt"),CHOOSE(ArtifactsInput!$N$27+1,20,24,28,32,36,40),0)/100)))+1)),0)</f>
        <v/>
      </c>
      <c r="S300">
        <f>IFERROR(O300/N300,0)</f>
        <v/>
      </c>
      <c r="T300" t="n">
        <v>0</v>
      </c>
      <c r="V300" t="n">
        <v>0</v>
      </c>
    </row>
    <row r="301">
      <c r="A301">
        <f>Skills!A20</f>
        <v/>
      </c>
      <c r="B301">
        <f>Skills!B20</f>
        <v/>
      </c>
      <c r="C301">
        <f>Inputs!$B$3&gt;=33</f>
        <v/>
      </c>
      <c r="D301">
        <f>IF(Skills!C20=1,60+Inputs!$B$25+Inputs!$B$29,IF(Skills!C20=2,90+Inputs!$B$26+Inputs!$B$29,IF(Skills!C20=3,120+Inputs!$B$27+Inputs!$B$29,MAX(0,(Inputs!$B$3-100)*3)+Inputs!$B$28+Inputs!$B$29)))</f>
        <v/>
      </c>
      <c r="E301">
        <f>INDEX(FactorTable!$B$2:$Y$301, MATCH(ROUND(MIN(300,MAX(1,D301)),0), FactorTable!$A$2:$A$301,0), Skills!M20+1)</f>
        <v/>
      </c>
      <c r="F301">
        <f>IF(Skills!N20=TRUE,(Skills!L20/10)*(E301/1000),Skills!L20/10)+Skills!O20</f>
        <v/>
      </c>
      <c r="G301">
        <f>Skills!G20*IF(Skills!H20&gt;0,Skills!I20/Skills!H20,1)</f>
        <v/>
      </c>
      <c r="H301">
        <f>1-(1-Skills!J20/100)^Skills!K20</f>
        <v/>
      </c>
      <c r="I301" t="inlineStr">
        <is>
          <t>1</t>
        </is>
      </c>
      <c r="J301" t="inlineStr"/>
      <c r="K301" t="inlineStr"/>
      <c r="L301" t="inlineStr"/>
      <c r="M301" t="inlineStr"/>
      <c r="N301" t="inlineStr"/>
      <c r="O301">
        <f>(1-Summary!$B$11)*T301+Summary!$B$11*V301</f>
        <v/>
      </c>
      <c r="P301">
        <f>IF(B320=0,0,O301/B320)</f>
        <v/>
      </c>
      <c r="Q301" t="n">
        <v>0</v>
      </c>
      <c r="R301" t="n">
        <v>0</v>
      </c>
      <c r="S301">
        <f>IFERROR(O301/N301,0)</f>
        <v/>
      </c>
      <c r="T301" t="n">
        <v>0</v>
      </c>
      <c r="V301" t="n">
        <v>0</v>
      </c>
    </row>
    <row r="302">
      <c r="A302">
        <f>Skills!A21</f>
        <v/>
      </c>
      <c r="B302">
        <f>Skills!B21</f>
        <v/>
      </c>
      <c r="C302">
        <f>Inputs!$B$3&gt;=38</f>
        <v/>
      </c>
      <c r="D302">
        <f>IF(Skills!C21=1,60+Inputs!$B$25+Inputs!$B$29,IF(Skills!C21=2,90+Inputs!$B$26+Inputs!$B$29,IF(Skills!C21=3,120+Inputs!$B$27+Inputs!$B$29,MAX(0,(Inputs!$B$3-100)*3)+Inputs!$B$28+Inputs!$B$29)))</f>
        <v/>
      </c>
      <c r="E302">
        <f>INDEX(FactorTable!$B$2:$Y$301, MATCH(ROUND(MIN(300,MAX(1,D302)),0), FactorTable!$A$2:$A$301,0), Skills!M21+1)</f>
        <v/>
      </c>
      <c r="F302">
        <f>IF(Skills!N21=TRUE,(Skills!L21/10)*(E302/1000),Skills!L21/10)+Skills!O21</f>
        <v/>
      </c>
      <c r="G302">
        <f>Skills!G21*IF(Skills!H21&gt;0,Skills!I21/Skills!H21,1)</f>
        <v/>
      </c>
      <c r="H302">
        <f>1-(1-Skills!J21/100)^Skills!K21</f>
        <v/>
      </c>
      <c r="I302" t="inlineStr">
        <is>
          <t>1</t>
        </is>
      </c>
      <c r="J302" t="inlineStr"/>
      <c r="K302" t="inlineStr"/>
      <c r="L302" t="inlineStr"/>
      <c r="M302" t="inlineStr"/>
      <c r="N302" t="inlineStr"/>
      <c r="O302">
        <f>(1-Summary!$B$11)*T302+Summary!$B$11*V302</f>
        <v/>
      </c>
      <c r="P302">
        <f>IF(B320=0,0,O302/B320)</f>
        <v/>
      </c>
      <c r="Q302" t="n">
        <v>0</v>
      </c>
      <c r="R302" t="n">
        <v>0</v>
      </c>
      <c r="S302">
        <f>IFERROR(O302/N302,0)</f>
        <v/>
      </c>
      <c r="T302" t="n">
        <v>0</v>
      </c>
      <c r="V302" t="n">
        <v>0</v>
      </c>
    </row>
    <row r="303">
      <c r="A303">
        <f>Skills!A22</f>
        <v/>
      </c>
      <c r="B303">
        <f>Skills!B22</f>
        <v/>
      </c>
      <c r="C303">
        <f>Inputs!$B$3&gt;=43</f>
        <v/>
      </c>
      <c r="D303">
        <f>IF(Skills!C22=1,60+Inputs!$B$25+Inputs!$B$29,IF(Skills!C22=2,90+Inputs!$B$26+Inputs!$B$29,IF(Skills!C22=3,120+Inputs!$B$27+Inputs!$B$29,MAX(0,(Inputs!$B$3-100)*3)+Inputs!$B$28+Inputs!$B$29)))</f>
        <v/>
      </c>
      <c r="E303">
        <f>INDEX(FactorTable!$B$2:$Y$301, MATCH(ROUND(MIN(300,MAX(1,D303)),0), FactorTable!$A$2:$A$301,0), Skills!M22+1)</f>
        <v/>
      </c>
      <c r="F303">
        <f>IF(Skills!N22=TRUE,(Skills!L22/10)*(E303/1000),Skills!L22/10)+Skills!O22</f>
        <v/>
      </c>
      <c r="G303">
        <f>Skills!G22*IF(Skills!H22&gt;0,Skills!I22/Skills!H22,1)</f>
        <v/>
      </c>
      <c r="H303">
        <f>1-(1-Skills!J22/100)^Skills!K22</f>
        <v/>
      </c>
      <c r="I303" t="inlineStr">
        <is>
          <t>1</t>
        </is>
      </c>
      <c r="J303" t="inlineStr"/>
      <c r="K303" t="inlineStr"/>
      <c r="L303" t="inlineStr"/>
      <c r="M303" t="inlineStr"/>
      <c r="N303" t="inlineStr"/>
      <c r="O303">
        <f>(1-Summary!$B$11)*T303+Summary!$B$11*V303</f>
        <v/>
      </c>
      <c r="P303">
        <f>IF(B320=0,0,O303/B320)</f>
        <v/>
      </c>
      <c r="Q303" t="n">
        <v>0</v>
      </c>
      <c r="R303" t="n">
        <v>0</v>
      </c>
      <c r="S303">
        <f>IFERROR(O303/N303,0)</f>
        <v/>
      </c>
      <c r="T303" t="n">
        <v>0</v>
      </c>
      <c r="V303" t="n">
        <v>0</v>
      </c>
    </row>
    <row r="304">
      <c r="A304">
        <f>Skills!A23</f>
        <v/>
      </c>
      <c r="B304">
        <f>Skills!B23</f>
        <v/>
      </c>
      <c r="C304">
        <f>Inputs!$B$3&gt;=120</f>
        <v/>
      </c>
      <c r="D304">
        <f>IF(Skills!C23=1,60+Inputs!$B$25+Inputs!$B$29,IF(Skills!C23=2,90+Inputs!$B$26+Inputs!$B$29,IF(Skills!C23=3,120+Inputs!$B$27+Inputs!$B$29,MAX(0,(Inputs!$B$3-100)*3)+Inputs!$B$28+Inputs!$B$29)))</f>
        <v/>
      </c>
      <c r="E304">
        <f>INDEX(FactorTable!$B$2:$Y$301, MATCH(ROUND(MIN(300,MAX(1,D304)),0), FactorTable!$A$2:$A$301,0), Skills!M23+1)</f>
        <v/>
      </c>
      <c r="F304">
        <f>IF(Skills!N23=TRUE,(Skills!L23/10)*(E304/1000),Skills!L23/10)+Skills!O23</f>
        <v/>
      </c>
      <c r="G304">
        <f>Skills!G23*IF(Skills!H23&gt;0,Skills!I23/Skills!H23,1)</f>
        <v/>
      </c>
      <c r="H304">
        <f>1-(1-Skills!J23/100)^Skills!K23</f>
        <v/>
      </c>
      <c r="I304" t="inlineStr">
        <is>
          <t>1</t>
        </is>
      </c>
      <c r="J304" t="inlineStr"/>
      <c r="K304" t="inlineStr"/>
      <c r="L304" t="inlineStr"/>
      <c r="M304" t="inlineStr"/>
      <c r="N304" t="inlineStr"/>
      <c r="O304">
        <f>(1-Summary!$B$11)*T304+Summary!$B$11*V304</f>
        <v/>
      </c>
      <c r="P304">
        <f>IF(B320=0,0,O304/B320)</f>
        <v/>
      </c>
      <c r="Q304" t="n">
        <v>0</v>
      </c>
      <c r="R304" t="n">
        <v>0</v>
      </c>
      <c r="S304">
        <f>IFERROR(O304/N304,0)</f>
        <v/>
      </c>
      <c r="T304" t="n">
        <v>0</v>
      </c>
      <c r="V304" t="n">
        <v>0</v>
      </c>
    </row>
    <row r="305">
      <c r="A305">
        <f>Skills!A24</f>
        <v/>
      </c>
      <c r="B305">
        <f>Skills!B24</f>
        <v/>
      </c>
      <c r="C305">
        <f>Inputs!$B$3&gt;=120</f>
        <v/>
      </c>
      <c r="D305">
        <f>IF(Skills!C24=1,60+Inputs!$B$25+Inputs!$B$29,IF(Skills!C24=2,90+Inputs!$B$26+Inputs!$B$29,IF(Skills!C24=3,120+Inputs!$B$27+Inputs!$B$29,MAX(0,(Inputs!$B$3-100)*3)+Inputs!$B$28+Inputs!$B$29)))</f>
        <v/>
      </c>
      <c r="E305">
        <f>INDEX(FactorTable!$B$2:$Y$301, MATCH(ROUND(MIN(300,MAX(1,D305)),0), FactorTable!$A$2:$A$301,0), Skills!M24+1)</f>
        <v/>
      </c>
      <c r="F305">
        <f>IF(Skills!N24=TRUE,(Skills!L24/10)*(E305/1000),Skills!L24/10)+Skills!O24</f>
        <v/>
      </c>
      <c r="G305">
        <f>Skills!G24*IF(Skills!H24&gt;0,Skills!I24/Skills!H24,1)</f>
        <v/>
      </c>
      <c r="H305">
        <f>1-(1-Skills!J24/100)^Skills!K24</f>
        <v/>
      </c>
      <c r="I305" t="inlineStr">
        <is>
          <t>1</t>
        </is>
      </c>
      <c r="J305" t="inlineStr"/>
      <c r="K305" t="inlineStr"/>
      <c r="L305" t="inlineStr"/>
      <c r="M305" t="inlineStr"/>
      <c r="N305" t="inlineStr"/>
      <c r="O305">
        <f>(1-Summary!$B$11)*T305+Summary!$B$11*V305</f>
        <v/>
      </c>
      <c r="P305">
        <f>IF(B320=0,0,O305/B320)</f>
        <v/>
      </c>
      <c r="Q305" t="n">
        <v>0</v>
      </c>
      <c r="R305" t="n">
        <v>0</v>
      </c>
      <c r="S305">
        <f>IFERROR(O305/N305,0)</f>
        <v/>
      </c>
      <c r="T305" t="n">
        <v>0</v>
      </c>
      <c r="V305" t="n">
        <v>0</v>
      </c>
    </row>
    <row r="306">
      <c r="A306">
        <f>Skills!A25</f>
        <v/>
      </c>
      <c r="B306">
        <f>Skills!B25</f>
        <v/>
      </c>
      <c r="C306">
        <f>Inputs!$B$3&gt;=125</f>
        <v/>
      </c>
      <c r="D306">
        <f>IF(Skills!C25=1,60+Inputs!$B$25+Inputs!$B$29,IF(Skills!C25=2,90+Inputs!$B$26+Inputs!$B$29,IF(Skills!C25=3,120+Inputs!$B$27+Inputs!$B$29,MAX(0,(Inputs!$B$3-100)*3)+Inputs!$B$28+Inputs!$B$29)))</f>
        <v/>
      </c>
      <c r="E306">
        <f>INDEX(FactorTable!$B$2:$Y$301, MATCH(ROUND(MIN(300,MAX(1,D306)),0), FactorTable!$A$2:$A$301,0), Skills!M25+1)</f>
        <v/>
      </c>
      <c r="F306">
        <f>IF(Skills!N25=TRUE,(Skills!L25/10)*(E306/1000),Skills!L25/10)+Skills!O25</f>
        <v/>
      </c>
      <c r="G306">
        <f>Skills!G25*IF(Skills!H25&gt;0,Skills!I25/Skills!H25,1)</f>
        <v/>
      </c>
      <c r="H306">
        <f>1-(1-Skills!J25/100)^Skills!K25</f>
        <v/>
      </c>
      <c r="I306" t="inlineStr">
        <is>
          <t>1</t>
        </is>
      </c>
      <c r="J306" t="inlineStr"/>
      <c r="K306" t="inlineStr"/>
      <c r="L306" t="inlineStr"/>
      <c r="M306" t="inlineStr"/>
      <c r="N306" t="inlineStr"/>
      <c r="O306">
        <f>(1-Summary!$B$11)*T306+Summary!$B$11*V306</f>
        <v/>
      </c>
      <c r="P306">
        <f>IF(B320=0,0,O306/B320)</f>
        <v/>
      </c>
      <c r="Q306" t="n">
        <v>0</v>
      </c>
      <c r="R306" t="n">
        <v>0</v>
      </c>
      <c r="S306">
        <f>IFERROR(O306/N306,0)</f>
        <v/>
      </c>
      <c r="T306" t="n">
        <v>0</v>
      </c>
      <c r="V306" t="n">
        <v>0</v>
      </c>
    </row>
    <row r="307">
      <c r="A307">
        <f>Skills!A26</f>
        <v/>
      </c>
      <c r="B307">
        <f>Skills!B26</f>
        <v/>
      </c>
      <c r="C307">
        <f>Inputs!$B$3&gt;=72</f>
        <v/>
      </c>
      <c r="D307">
        <f>IF(Skills!C26=1,60+Inputs!$B$25+Inputs!$B$29,IF(Skills!C26=2,90+Inputs!$B$26+Inputs!$B$29,IF(Skills!C26=3,120+Inputs!$B$27+Inputs!$B$29,MAX(0,(Inputs!$B$3-100)*3)+Inputs!$B$28+Inputs!$B$29)))</f>
        <v/>
      </c>
      <c r="E307">
        <f>INDEX(FactorTable!$B$2:$Y$301, MATCH(ROUND(MIN(300,MAX(1,D307)),0), FactorTable!$A$2:$A$301,0), Skills!M26+1)</f>
        <v/>
      </c>
      <c r="F307">
        <f>IF(Skills!N26=TRUE,(Skills!L26/10)*(E307/1000),Skills!L26/10)+Skills!O26</f>
        <v/>
      </c>
      <c r="G307">
        <f>Skills!G26*IF(Skills!H26&gt;0,Skills!I26/Skills!H26,1)</f>
        <v/>
      </c>
      <c r="H307">
        <f>1-(1-Skills!J26/100)^Skills!K26</f>
        <v/>
      </c>
      <c r="I307" t="inlineStr">
        <is>
          <t>1</t>
        </is>
      </c>
      <c r="J307" t="inlineStr"/>
      <c r="K307" t="inlineStr"/>
      <c r="L307" t="inlineStr"/>
      <c r="M307" t="inlineStr"/>
      <c r="N307" t="inlineStr"/>
      <c r="O307">
        <f>(1-Summary!$B$11)*T307+Summary!$B$11*V307</f>
        <v/>
      </c>
      <c r="P307">
        <f>IF(B320=0,0,O307/B320)</f>
        <v/>
      </c>
      <c r="Q307" t="n">
        <v>0</v>
      </c>
      <c r="R307" t="n">
        <v>0</v>
      </c>
      <c r="S307">
        <f>IFERROR(O307/N307,0)</f>
        <v/>
      </c>
      <c r="T307" t="n">
        <v>0</v>
      </c>
      <c r="V307" t="n">
        <v>0</v>
      </c>
    </row>
    <row r="309">
      <c r="A309" t="inlineStr">
        <is>
          <t>Attack% Bucket Multiplier</t>
        </is>
      </c>
      <c r="B309">
        <f>(1+(((C294=TRUE)*F294*IF(Inputs!$B$3&gt;=110,7,5))+((C296=TRUE)*F296*IF(AND(Inputs!$B$38&lt;&gt;"pvp",Inputs!$B$43&gt;0),(((R296-1)*(Skills!T15*(1+(Inputs!$B$34+(ArtifactsInput!$M$7-ArtifactsInput!$M$7)*CHOOSE(ArtifactsInput!$N$7+1,6,7.2,8.4,9.6,10.8,12))/100))+MIN((Skills!T15*(1+(Inputs!$B$34+(ArtifactsInput!$M$7-ArtifactsInput!$M$7)*CHOOSE(ArtifactsInput!$N$7+1,6,7.2,8.4,9.6,10.8,12))/100)),MAX(0,Inputs!$B$43-((R296-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10">
      <c r="A310" t="inlineStr">
        <is>
          <t>Global Crit Rate Bonus %</t>
        </is>
      </c>
      <c r="B310" t="n">
        <v>0</v>
      </c>
    </row>
    <row r="311">
      <c r="A311" t="inlineStr">
        <is>
          <t>Attack Speed Buff Bonus %</t>
        </is>
      </c>
      <c r="B311">
        <f>((C300=TRUE)*F300*IF(AND(Inputs!$B$38&lt;&gt;"pvp",Inputs!$B$43&gt;0),(((R300-1)*(Skills!T19*(1+(Inputs!$B$34+(ArtifactsInput!$M$7-ArtifactsInput!$M$7)*CHOOSE(ArtifactsInput!$N$7+1,6,7.2,8.4,9.6,10.8,12))/100))+MIN((Skills!T19*(1+(Inputs!$B$34+(ArtifactsInput!$M$7-ArtifactsInput!$M$7)*CHOOSE(ArtifactsInput!$N$7+1,6,7.2,8.4,9.6,10.8,12))/100)),MAX(0,Inputs!$B$43-((R300-1)*Skills!D19))))/Inputs!$B$43),IF(Inputs!$B$38="pvp",MIN((Skills!T19*(1+(Inputs!$B$34+(ArtifactsInput!$M$7-ArtifactsInput!$M$7)*CHOOSE(ArtifactsInput!$N$7+1,6,7.2,8.4,9.6,10.8,12))/100)),15)/15,(Skills!T19*(1+(Inputs!$B$34+(ArtifactsInput!$M$7-ArtifactsInput!$M$7)*CHOOSE(ArtifactsInput!$N$7+1,6,7.2,8.4,9.6,10.8,12))/100))/Skills!D19)))</f>
        <v/>
      </c>
    </row>
    <row r="312">
      <c r="A312" t="inlineStr">
        <is>
          <t>Actions Per Second</t>
        </is>
      </c>
      <c r="B312">
        <f>1+MIN(150,150*(1-(1-(Inputs!$B$11+((C301=TRUE)*(F301-Calc!F20)))/150)*(1-B311/150)))/100</f>
        <v/>
      </c>
    </row>
    <row r="313">
      <c r="A313" t="inlineStr">
        <is>
          <t>Skill + Buff Cast Rate</t>
        </is>
      </c>
      <c r="B313">
        <f>IF(AND(Inputs!$B$38&lt;&gt;"pvp",Inputs!$B$43&gt;0),SUMPRODUCT((Skills!E2:E26=TRUE)*(C283:C307=TRUE)*R283:R307*Skills!F2:F26)/Inputs!$B$43,SUMPRODUCT((Skills!E2:E26=TRUE)*(C283:C307=TRUE)*Q283:Q307*Skills!F2:F26))</f>
        <v/>
      </c>
    </row>
    <row r="314">
      <c r="A314" t="inlineStr">
        <is>
          <t>Raging Blow Casts Per Second</t>
        </is>
      </c>
      <c r="B314">
        <f>MAX(0,B312-B313)</f>
        <v/>
      </c>
    </row>
    <row r="315">
      <c r="A315" t="inlineStr">
        <is>
          <t>Global Critical Damage Bonus % (Enrage)</t>
        </is>
      </c>
      <c r="B315">
        <f>((C299=TRUE)*F299*IF(AND(Inputs!$B$38&lt;&gt;"pvp",Inputs!$B$43&gt;0),(((R299-1)*(Skills!T18*(1+(Inputs!$B$34+(ArtifactsInput!$M$7-ArtifactsInput!$M$7)*CHOOSE(ArtifactsInput!$N$7+1,6,7.2,8.4,9.6,10.8,12))/100))+MIN((Skills!T18*(1+(Inputs!$B$34+(ArtifactsInput!$M$7-ArtifactsInput!$M$7)*CHOOSE(ArtifactsInput!$N$7+1,6,7.2,8.4,9.6,10.8,12))/100)),MAX(0,Inputs!$B$43-((R299-1)*Skills!D18))))/Inputs!$B$43),IF(Inputs!$B$38="pvp",MIN((Skills!T18*(1+(Inputs!$B$34+(ArtifactsInput!$M$7-ArtifactsInput!$M$7)*CHOOSE(ArtifactsInput!$N$7+1,6,7.2,8.4,9.6,10.8,12))/100)),15)/15,(Skills!T18*(1+(Inputs!$B$34+(ArtifactsInput!$M$7-ArtifactsInput!$M$7)*CHOOSE(ArtifactsInput!$N$7+1,6,7.2,8.4,9.6,10.8,12))/100))/Skills!D18)))</f>
        <v/>
      </c>
    </row>
    <row r="316">
      <c r="A316" t="inlineStr">
        <is>
          <t>Global Final Damage Bonus % (Enrage + Combo Synergy)</t>
        </is>
      </c>
      <c r="B316">
        <f>((C298=TRUE)*F298*IF(AND(Inputs!$B$38&lt;&gt;"pvp",Inputs!$B$43&gt;0),(((R298-1)*(Skills!T17*(1+(Inputs!$B$34+(ArtifactsInput!$M$7-ArtifactsInput!$M$7)*CHOOSE(ArtifactsInput!$N$7+1,6,7.2,8.4,9.6,10.8,12))/100))+MIN((Skills!T17*(1+(Inputs!$B$34+(ArtifactsInput!$M$7-ArtifactsInput!$M$7)*CHOOSE(ArtifactsInput!$N$7+1,6,7.2,8.4,9.6,10.8,12))/100)),MAX(0,Inputs!$B$43-((R298-1)*Skills!D17))))/Inputs!$B$43),IF(Inputs!$B$38="pvp",MIN((Skills!T17*(1+(Inputs!$B$34+(ArtifactsInput!$M$7-ArtifactsInput!$M$7)*CHOOSE(ArtifactsInput!$N$7+1,6,7.2,8.4,9.6,10.8,12))/100)),15)/15,(Skills!T17*(1+(Inputs!$B$34+(ArtifactsInput!$M$7-ArtifactsInput!$M$7)*CHOOSE(ArtifactsInput!$N$7+1,6,7.2,8.4,9.6,10.8,12))/100))/Skills!D17)))+((C295=TRUE)*F295*IF(Inputs!$B$3&gt;=110,7,5))</f>
        <v/>
      </c>
    </row>
    <row r="317">
      <c r="A317" t="inlineStr">
        <is>
          <t>Buff-Casting Startup Delay (s, fixed-duration only)</t>
        </is>
      </c>
      <c r="B317">
        <f>IF(AND(Inputs!$B$38&lt;&gt;"pvp",Inputs!$B$43&gt;0),SUMPRODUCT((Skills!T2:T26&gt;0)*(Skills!E2:E26=TRUE)*(C283:C307=TRUE))/B312,0)</f>
        <v/>
      </c>
    </row>
    <row r="318">
      <c r="A318" t="inlineStr">
        <is>
          <t>Boss-Only Total DPS (this block's swept value)</t>
        </is>
      </c>
      <c r="B318">
        <f>SUM(T283:T307)</f>
        <v/>
      </c>
    </row>
    <row r="319">
      <c r="A319" t="inlineStr">
        <is>
          <t>Normal-Only Total DPS (this block's swept value)</t>
        </is>
      </c>
      <c r="B319">
        <f>SUM(V283:V307)</f>
        <v/>
      </c>
    </row>
    <row r="320">
      <c r="A320" s="6" t="inlineStr">
        <is>
          <t>TOTAL DPS</t>
        </is>
      </c>
      <c r="B320" s="6">
        <f>SUM(O283:O307)</f>
        <v/>
      </c>
    </row>
    <row r="323">
      <c r="A323" s="6" t="inlineStr">
        <is>
          <t>Stat: NORMAL_DAMAGE %</t>
        </is>
      </c>
    </row>
    <row r="324">
      <c r="A324" s="5" t="inlineStr">
        <is>
          <t>Key</t>
        </is>
      </c>
      <c r="B324" s="5" t="inlineStr">
        <is>
          <t>Name</t>
        </is>
      </c>
      <c r="C324" s="5" t="inlineStr">
        <is>
          <t>Unlocked</t>
        </is>
      </c>
      <c r="D324" s="5" t="inlineStr">
        <is>
          <t>InputLevel</t>
        </is>
      </c>
      <c r="E324" s="5" t="inlineStr">
        <is>
          <t>Factor</t>
        </is>
      </c>
      <c r="F324" s="5" t="inlineStr">
        <is>
          <t>CoefficientPercent</t>
        </is>
      </c>
      <c r="G324" s="5" t="inlineStr">
        <is>
          <t>EffectiveHits</t>
        </is>
      </c>
      <c r="H324" s="5" t="inlineStr">
        <is>
          <t>ProcProbability</t>
        </is>
      </c>
      <c r="I324" s="5" t="inlineStr">
        <is>
          <t>MapleHeroMultiplier</t>
        </is>
      </c>
      <c r="J324" s="5" t="inlineStr">
        <is>
          <t>BaseDamage</t>
        </is>
      </c>
      <c r="K324" s="5" t="inlineStr">
        <is>
          <t>BaseHitDamage</t>
        </is>
      </c>
      <c r="L324" s="5" t="inlineStr">
        <is>
          <t>NonCritAvg</t>
        </is>
      </c>
      <c r="M324" s="5" t="inlineStr">
        <is>
          <t>CritAvg</t>
        </is>
      </c>
      <c r="N324" s="5" t="inlineStr">
        <is>
          <t>ExpectedDamage(perHit)</t>
        </is>
      </c>
      <c r="O324" s="5" t="inlineStr">
        <is>
          <t>DPS</t>
        </is>
      </c>
      <c r="P324" s="5" t="inlineStr">
        <is>
          <t>% of Total</t>
        </is>
      </c>
      <c r="Q324" s="5" t="inlineStr">
        <is>
          <t>InvCooldown</t>
        </is>
      </c>
      <c r="R324" s="5" t="inlineStr">
        <is>
          <t>CastsInFight</t>
        </is>
      </c>
      <c r="S324" s="5" t="inlineStr">
        <is>
          <t>HitRate(perSec)</t>
        </is>
      </c>
      <c r="U324" t="inlineStr">
        <is>
          <t>helpers</t>
        </is>
      </c>
    </row>
    <row r="325">
      <c r="A325">
        <f>Skills!A2</f>
        <v/>
      </c>
      <c r="B325">
        <f>Skills!B2</f>
        <v/>
      </c>
      <c r="C325">
        <f>Inputs!$B$3&gt;=100</f>
        <v/>
      </c>
      <c r="D325" t="inlineStr"/>
      <c r="E325" t="inlineStr"/>
      <c r="F325">
        <f>U327+Skills!O2</f>
        <v/>
      </c>
      <c r="G325">
        <f>Skills!G2*IF(Skills!H2&gt;0,Skills!I2/Skills!H2,1)</f>
        <v/>
      </c>
      <c r="H325">
        <f>1-(1-Skills!J2/100)^Skills!K2</f>
        <v/>
      </c>
      <c r="I325" t="inlineStr">
        <is>
          <t>1</t>
        </is>
      </c>
      <c r="J325">
        <f>((Inputs!$B$6*(1+Inputs!$B$7/100))+(((Inputs!$B$12*(1+Inputs!$B$13/100))-(Inputs!$B$12*(1+Inputs!$B$13/100)))+0.25*(Inputs!$B$14-Inputs!$B$14))*(1+Inputs!$B$7/100))*(F325/100)</f>
        <v/>
      </c>
      <c r="K325">
        <f>J325*(1+((Inputs!$B$12*(1+Inputs!$B$13/100))*0.01+Inputs!$B$14*0.0025)/100)*(1+Inputs!$B$15/100)*(1+Inputs!$B$16/100)*(5000/(6000+Inputs!$B$42*(1-(100*(1-(1-(Inputs!$B$19+0)/100)*(1-CHOOSE(ArtifactsInput!$N$40+1,5,6,7,8,9,10)/100)^(ArtifactsInput!$M$40-ArtifactsInput!$M$40)))/100)))*(1+(Inputs!$B$24+((C348=TRUE)*(F348-Calc!F25))+B358)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344=TRUE)*(F344-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346=TRUE)*(F346-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336=TRUE)*F336*IF(Inputs!$B$3&gt;=110,7,5))+((C338=TRUE)*F338*IF(AND(Inputs!$B$38&lt;&gt;"pvp",Inputs!$B$43&gt;0),(((R338-1)*(Skills!T15*(1+(Inputs!$B$34+(ArtifactsInput!$M$7-ArtifactsInput!$M$7)*CHOOSE(ArtifactsInput!$N$7+1,6,7.2,8.4,9.6,10.8,12))/100))+MIN((Skills!T15*(1+(Inputs!$B$34+(ArtifactsInput!$M$7-ArtifactsInput!$M$7)*CHOOSE(ArtifactsInput!$N$7+1,6,7.2,8.4,9.6,10.8,12))/100)),MAX(0,Inputs!$B$43-((R338-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Hunt"),CHOOSE(ArtifactsInput!$N$35+1,15,18,21,24,27,30)*(1-EXP(-(0.2*B354)*5)),0)+IF(AND(ArtifactsInput!$M$22,Inputs!$B$4&lt;&gt;"Chapter Hunt"),CHOOSE(ArtifactsInput!$N$22+1,10,12,14,16,18,20)*((0*(((0.15*B354*5))^0/1)+1*(((0.15*B354*5))^1/1)+2*(((0.15*B354*5))^2/2)+3*(((0.15*B354*5))^3/6)+4*(((0.15*B354*5))^4/24)+5*(((0.15*B354*5))^5/120))/((((0.15*B354*5))^0/1)+(((0.15*B354*5))^1/1)+(((0.15*B354*5))^2/2)+(((0.15*B354*5))^3/6)+(((0.15*B354*5))^4/24)+(((0.15*B354*5))^5/120))),0)))/100)*I325)</f>
        <v/>
      </c>
      <c r="L325">
        <f>K325*(MIN(Inputs!$B$22+((C345=TRUE)*(F345-Calc!F22)),(Inputs!$B$23+((C347=TRUE)*(F347-Calc!F24))+(IF(ArtifactsInput!$M$15,CHOOSE(ArtifactsInput!$N$15+1,25,30,35,40,45,50)/100*(Inputs!$B$11-Inputs!$B$11),0))))/100+(Inputs!$B$23+((C347=TRUE)*(F347-Calc!F24))+(IF(ArtifactsInput!$M$15,CHOOSE(ArtifactsInput!$N$15+1,25,30,35,40,45,50)/100*(Inputs!$B$11-Inputs!$B$11),0)))/100)/2</f>
        <v/>
      </c>
      <c r="M325">
        <f>L325*(1+(Inputs!$B$10+0+B357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5">
        <f>L325*(1-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325*(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5">
        <f>(1-Summary!$B$11)*T325+Summary!$B$11*V325</f>
        <v/>
      </c>
      <c r="P325">
        <f>IF(B362=0,0,O325/B362)</f>
        <v/>
      </c>
      <c r="Q325" t="n">
        <v>0</v>
      </c>
      <c r="R325" t="n">
        <v>0</v>
      </c>
      <c r="S325">
        <f>IFERROR(O325/N325,0)</f>
        <v/>
      </c>
      <c r="T325">
        <f>IF(C325,(Skills!G2*N325*B356)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325*(1-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325*(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325*(1-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325*(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5">
        <f>MAX(0,(Inputs!$B$3-100)*3)+Inputs!$B$28+Inputs!$B$29</f>
        <v/>
      </c>
      <c r="V325">
        <f>IF(C325,(Skills!G2*N325*B356)*IF(Inputs!$B$38="pvp",1,(1+((Inputs!$B$21+1)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6">
      <c r="A326">
        <f>Skills!A3</f>
        <v/>
      </c>
      <c r="B326">
        <f>Skills!B3</f>
        <v/>
      </c>
      <c r="C326">
        <f>Inputs!$B$3&gt;=50</f>
        <v/>
      </c>
      <c r="D326">
        <f>IF(Skills!C3=1,60+Inputs!$B$25+Inputs!$B$29,IF(Skills!C3=2,90+Inputs!$B$26+Inputs!$B$29,IF(Skills!C3=3,120+Inputs!$B$27+Inputs!$B$29,MAX(0,(Inputs!$B$3-100)*3)+Inputs!$B$28+Inputs!$B$29)))</f>
        <v/>
      </c>
      <c r="E326">
        <f>INDEX(FactorTable!$B$2:$Y$301, MATCH(ROUND(MIN(300,MAX(1,D326)),0), FactorTable!$A$2:$A$301,0), Skills!M3+1)</f>
        <v/>
      </c>
      <c r="F326">
        <f>IF(Skills!N3=TRUE,(Skills!L3/10)*(E326/1000),Skills!L3/10)+Skills!O3</f>
        <v/>
      </c>
      <c r="G326" t="inlineStr"/>
      <c r="H326" t="inlineStr"/>
      <c r="I326" t="inlineStr">
        <is>
          <t>1</t>
        </is>
      </c>
      <c r="J326" t="inlineStr"/>
      <c r="K326" t="inlineStr"/>
      <c r="L326" t="inlineStr"/>
      <c r="M326" t="inlineStr"/>
      <c r="N326" t="inlineStr"/>
      <c r="O326" t="inlineStr"/>
      <c r="P326" t="inlineStr"/>
      <c r="Q326" t="inlineStr"/>
      <c r="R326" t="inlineStr"/>
      <c r="S326" t="inlineStr"/>
      <c r="U326">
        <f>INDEX(FactorTable!$B$2:$Y$301, MATCH(ROUND(MIN(300,MAX(1,U325)),0), FactorTable!$A$2:$A$301,0), 22)</f>
        <v/>
      </c>
    </row>
    <row r="327">
      <c r="A327">
        <f>Skills!A4</f>
        <v/>
      </c>
      <c r="B327">
        <f>Skills!B4</f>
        <v/>
      </c>
      <c r="C327">
        <f>Inputs!$B$3&gt;=105</f>
        <v/>
      </c>
      <c r="D327">
        <f>IF(Skills!C4=1,60+Inputs!$B$25+Inputs!$B$29,IF(Skills!C4=2,90+Inputs!$B$26+Inputs!$B$29,IF(Skills!C4=3,120+Inputs!$B$27+Inputs!$B$29,MAX(0,(Inputs!$B$3-100)*3)+Inputs!$B$28+Inputs!$B$29)))</f>
        <v/>
      </c>
      <c r="E327">
        <f>INDEX(FactorTable!$B$2:$Y$301, MATCH(ROUND(MIN(300,MAX(1,D327)),0), FactorTable!$A$2:$A$301,0), Skills!M4+1)</f>
        <v/>
      </c>
      <c r="F327">
        <f>IF(Skills!N4=TRUE,(Skills!L4/10)*(E327/1000),Skills!L4/10)+Skills!O4</f>
        <v/>
      </c>
      <c r="G327" t="inlineStr"/>
      <c r="H327" t="inlineStr"/>
      <c r="I327" t="inlineStr">
        <is>
          <t>1</t>
        </is>
      </c>
      <c r="J327" t="inlineStr"/>
      <c r="K327" t="inlineStr"/>
      <c r="L327" t="inlineStr"/>
      <c r="M327" t="inlineStr"/>
      <c r="N327" t="inlineStr"/>
      <c r="O327" t="inlineStr"/>
      <c r="P327" t="inlineStr"/>
      <c r="Q327" t="inlineStr"/>
      <c r="R327" t="inlineStr"/>
      <c r="S327" t="inlineStr"/>
      <c r="U327">
        <f>290*U326/1000</f>
        <v/>
      </c>
    </row>
    <row r="328">
      <c r="A328">
        <f>Skills!A5</f>
        <v/>
      </c>
      <c r="B328">
        <f>Skills!B5</f>
        <v/>
      </c>
      <c r="C328">
        <f>Inputs!$B$3&gt;=103</f>
        <v/>
      </c>
      <c r="D328">
        <f>IF(Skills!C5=1,60+Inputs!$B$25+Inputs!$B$29,IF(Skills!C5=2,90+Inputs!$B$26+Inputs!$B$29,IF(Skills!C5=3,120+Inputs!$B$27+Inputs!$B$29,MAX(0,(Inputs!$B$3-100)*3)+Inputs!$B$28+Inputs!$B$29)))</f>
        <v/>
      </c>
      <c r="E328">
        <f>INDEX(FactorTable!$B$2:$Y$301, MATCH(ROUND(MIN(300,MAX(1,D328)),0), FactorTable!$A$2:$A$301,0), Skills!M5+1)</f>
        <v/>
      </c>
      <c r="F328">
        <f>IF(Skills!N5=TRUE,(Skills!L5/10)*(E328/1000),Skills!L5/10)+Skills!O5</f>
        <v/>
      </c>
      <c r="G328">
        <f>Skills!G5*IF(Skills!H5&gt;0,Skills!I5/Skills!H5,1)</f>
        <v/>
      </c>
      <c r="H328">
        <f>1-(1-Skills!J5/100)^Skills!K5</f>
        <v/>
      </c>
      <c r="I328" t="inlineStr">
        <is>
          <t>1</t>
        </is>
      </c>
      <c r="J328">
        <f>((Inputs!$B$6*(1+Inputs!$B$7/100))+(((Inputs!$B$12*(1+Inputs!$B$13/100))-(Inputs!$B$12*(1+Inputs!$B$13/100)))+0.25*(Inputs!$B$14-Inputs!$B$14))*(1+Inputs!$B$7/100))*(F328/100)</f>
        <v/>
      </c>
      <c r="K328">
        <f>J328*(1+((Inputs!$B$12*(1+Inputs!$B$13/100))*0.01+Inputs!$B$14*0.0025)/100)*(1+Inputs!$B$15/100)*(1+Inputs!$B$16/100)*(5000/(6000+Inputs!$B$42*(1-(100*(1-(1-(Inputs!$B$19+0)/100)*(1-CHOOSE(ArtifactsInput!$N$40+1,5,6,7,8,9,10)/100)^(ArtifactsInput!$M$40-ArtifactsInput!$M$40)))/100)))*(1+(Inputs!$B$24+((C348=TRUE)*(F348-Calc!F25))+B358)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344=TRUE)*(F344-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346=TRUE)*(F346-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336=TRUE)*F336*IF(Inputs!$B$3&gt;=110,7,5))+((C338=TRUE)*F338*IF(AND(Inputs!$B$38&lt;&gt;"pvp",Inputs!$B$43&gt;0),(((R338-1)*(Skills!T15*(1+(Inputs!$B$34+(ArtifactsInput!$M$7-ArtifactsInput!$M$7)*CHOOSE(ArtifactsInput!$N$7+1,6,7.2,8.4,9.6,10.8,12))/100))+MIN((Skills!T15*(1+(Inputs!$B$34+(ArtifactsInput!$M$7-ArtifactsInput!$M$7)*CHOOSE(ArtifactsInput!$N$7+1,6,7.2,8.4,9.6,10.8,12))/100)),MAX(0,Inputs!$B$43-((R338-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Hunt"),CHOOSE(ArtifactsInput!$N$35+1,15,18,21,24,27,30)*(1-EXP(-(0.2*B354)*5)),0)+IF(AND(ArtifactsInput!$M$22,Inputs!$B$4&lt;&gt;"Chapter Hunt"),CHOOSE(ArtifactsInput!$N$22+1,10,12,14,16,18,20)*((0*(((0.15*B354*5))^0/1)+1*(((0.15*B354*5))^1/1)+2*(((0.15*B354*5))^2/2)+3*(((0.15*B354*5))^3/6)+4*(((0.15*B354*5))^4/24)+5*(((0.15*B354*5))^5/120))/((((0.15*B354*5))^0/1)+(((0.15*B354*5))^1/1)+(((0.15*B354*5))^2/2)+(((0.15*B354*5))^3/6)+(((0.15*B354*5))^4/24)+(((0.15*B354*5))^5/120))),0)))/100)*I328)</f>
        <v/>
      </c>
      <c r="L328">
        <f>K328*(MIN(Inputs!$B$22+((C345=TRUE)*(F345-Calc!F22)),(Inputs!$B$23+((C347=TRUE)*(F347-Calc!F24))+(IF(ArtifactsInput!$M$15,CHOOSE(ArtifactsInput!$N$15+1,25,30,35,40,45,50)/100*(Inputs!$B$11-Inputs!$B$11),0))))/100+(Inputs!$B$23+((C347=TRUE)*(F347-Calc!F24))+(IF(ArtifactsInput!$M$15,CHOOSE(ArtifactsInput!$N$15+1,25,30,35,40,45,50)/100*(Inputs!$B$11-Inputs!$B$11),0)))/100)/2</f>
        <v/>
      </c>
      <c r="M328">
        <f>L328*(1+(Inputs!$B$10+0+B357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
        <f>L328*(1-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
        <f>(1-Summary!$B$11)*T328+Summary!$B$11*V328</f>
        <v/>
      </c>
      <c r="P328">
        <f>IF(B362=0,0,O328/B362)</f>
        <v/>
      </c>
      <c r="Q328">
        <f>IFERROR(1/(IF(Inputs!$B$38="pvp",15,MAX(0.1,Skills!D5-IF(Skills!E5=TRUE,Inputs!$B$32,0)))*(1-IF(AND(ArtifactsInput!$M$27,Inputs!$B$4="Chapter Hunt"),CHOOSE(ArtifactsInput!$N$27+1,20,24,28,32,36,40),0)/100)),0)</f>
        <v/>
      </c>
      <c r="R328">
        <f>IF(AND(Inputs!$B$38&lt;&gt;"pvp",Inputs!$B$43&gt;0),IF(MAX(0,Inputs!$B$43-B359)&lt;=0,0,(INT(MAX(0,Inputs!$B$43-B359)/(IF(Inputs!$B$38="pvp",15,MAX(0.1,Skills!D5-IF(Skills!E5=TRUE,Inputs!$B$32,0)))*(1-IF(AND(ArtifactsInput!$M$27,Inputs!$B$4="Chapter Hunt"),CHOOSE(ArtifactsInput!$N$27+1,20,24,28,32,36,40),0)/100)))+1)),0)</f>
        <v/>
      </c>
      <c r="S328">
        <f>IFERROR(O328/N328,0)</f>
        <v/>
      </c>
      <c r="T328">
        <f>IF(C328,(H328*N328*IF(AND(Inputs!$B$38&lt;&gt;"pvp",Inputs!$B$43&gt;0),((Skills!G5*((R328-1)*IF(Skills!H5&gt;0,Skills!I5/Skills!H5,1)+IF(Skills!H5&gt;0,MIN(Skills!I5,MAX(0,MAX(0,Inputs!$B$43-B359)-((R328-1)*(IF(Inputs!$B$38="pvp",15,MAX(0.1,Skills!D5-IF(Skills!E5=TRUE,Inputs!$B$32,0)))*(1-IF(AND(ArtifactsInput!$M$27,Inputs!$B$4="Chapter Hunt"),CHOOSE(ArtifactsInput!$N$27+1,20,24,28,32,36,40),0)/100)))))/Skills!H5,1)))/Inputs!$B$43),G328*Q328)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
        <f>IF(C328,(H328*N328*IF(AND(Inputs!$B$38&lt;&gt;"pvp",Inputs!$B$43&gt;0),((Skills!G5*((R328-1)*IF(Skills!H5&gt;0,Skills!I5/Skills!H5,1)+IF(Skills!H5&gt;0,MIN(Skills!I5,MAX(0,MAX(0,Inputs!$B$43-B359)-((R328-1)*(IF(Inputs!$B$38="pvp",15,MAX(0.1,Skills!D5-IF(Skills!E5=TRUE,Inputs!$B$32,0)))*(1-IF(AND(ArtifactsInput!$M$27,Inputs!$B$4="Chapter Hunt"),CHOOSE(ArtifactsInput!$N$27+1,20,24,28,32,36,40),0)/100)))))/Skills!H5,1)))/Inputs!$B$43),G328*Q328))*IF(Inputs!$B$38="pvp",1,(1+((Inputs!$B$21+1)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
      <c r="A329">
        <f>Skills!A6</f>
        <v/>
      </c>
      <c r="B329">
        <f>Skills!B6</f>
        <v/>
      </c>
      <c r="C329">
        <f>Inputs!$B$3&gt;=103</f>
        <v/>
      </c>
      <c r="D329">
        <f>IF(Skills!C6=1,60+Inputs!$B$25+Inputs!$B$29,IF(Skills!C6=2,90+Inputs!$B$26+Inputs!$B$29,IF(Skills!C6=3,120+Inputs!$B$27+Inputs!$B$29,MAX(0,(Inputs!$B$3-100)*3)+Inputs!$B$28+Inputs!$B$29)))</f>
        <v/>
      </c>
      <c r="E329">
        <f>INDEX(FactorTable!$B$2:$Y$301, MATCH(ROUND(MIN(300,MAX(1,D329)),0), FactorTable!$A$2:$A$301,0), Skills!M6+1)</f>
        <v/>
      </c>
      <c r="F329">
        <f>IF(Skills!N6=TRUE,(Skills!L6/10)*(E329/1000),Skills!L6/10)+Skills!O6</f>
        <v/>
      </c>
      <c r="G329">
        <f>Skills!G6*IF(Skills!H6&gt;0,Skills!I6/Skills!H6,1)</f>
        <v/>
      </c>
      <c r="H329">
        <f>1-(1-Skills!J6/100)^Skills!K6</f>
        <v/>
      </c>
      <c r="I329" t="inlineStr">
        <is>
          <t>1</t>
        </is>
      </c>
      <c r="J329">
        <f>((Inputs!$B$6*(1+Inputs!$B$7/100))+(((Inputs!$B$12*(1+Inputs!$B$13/100))-(Inputs!$B$12*(1+Inputs!$B$13/100)))+0.25*(Inputs!$B$14-Inputs!$B$14))*(1+Inputs!$B$7/100))*(F329/100)</f>
        <v/>
      </c>
      <c r="K329">
        <f>J329*(1+((Inputs!$B$12*(1+Inputs!$B$13/100))*0.01+Inputs!$B$14*0.0025)/100)*(1+Inputs!$B$15/100)*(1+Inputs!$B$16/100)*(5000/(6000+Inputs!$B$42*(1-(100*(1-(1-(Inputs!$B$19+0)/100)*(1-CHOOSE(ArtifactsInput!$N$40+1,5,6,7,8,9,10)/100)^(ArtifactsInput!$M$40-ArtifactsInput!$M$40)))/100)))*(1+(Inputs!$B$24+((C348=TRUE)*(F348-Calc!F25))+B358)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344=TRUE)*(F344-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346=TRUE)*(F346-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336=TRUE)*F336*IF(Inputs!$B$3&gt;=110,7,5))+((C338=TRUE)*F338*IF(AND(Inputs!$B$38&lt;&gt;"pvp",Inputs!$B$43&gt;0),(((R338-1)*(Skills!T15*(1+(Inputs!$B$34+(ArtifactsInput!$M$7-ArtifactsInput!$M$7)*CHOOSE(ArtifactsInput!$N$7+1,6,7.2,8.4,9.6,10.8,12))/100))+MIN((Skills!T15*(1+(Inputs!$B$34+(ArtifactsInput!$M$7-ArtifactsInput!$M$7)*CHOOSE(ArtifactsInput!$N$7+1,6,7.2,8.4,9.6,10.8,12))/100)),MAX(0,Inputs!$B$43-((R338-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Hunt"),CHOOSE(ArtifactsInput!$N$35+1,15,18,21,24,27,30)*(1-EXP(-(0.2*B354)*5)),0)+IF(AND(ArtifactsInput!$M$22,Inputs!$B$4&lt;&gt;"Chapter Hunt"),CHOOSE(ArtifactsInput!$N$22+1,10,12,14,16,18,20)*((0*(((0.15*B354*5))^0/1)+1*(((0.15*B354*5))^1/1)+2*(((0.15*B354*5))^2/2)+3*(((0.15*B354*5))^3/6)+4*(((0.15*B354*5))^4/24)+5*(((0.15*B354*5))^5/120))/((((0.15*B354*5))^0/1)+(((0.15*B354*5))^1/1)+(((0.15*B354*5))^2/2)+(((0.15*B354*5))^3/6)+(((0.15*B354*5))^4/24)+(((0.15*B354*5))^5/120))),0)))/100)*I329)</f>
        <v/>
      </c>
      <c r="L329">
        <f>K329*(MIN(Inputs!$B$22+((C345=TRUE)*(F345-Calc!F22)),(Inputs!$B$23+((C347=TRUE)*(F347-Calc!F24))+(IF(ArtifactsInput!$M$15,CHOOSE(ArtifactsInput!$N$15+1,25,30,35,40,45,50)/100*(Inputs!$B$11-Inputs!$B$11),0))))/100+(Inputs!$B$23+((C347=TRUE)*(F347-Calc!F24))+(IF(ArtifactsInput!$M$15,CHOOSE(ArtifactsInput!$N$15+1,25,30,35,40,45,50)/100*(Inputs!$B$11-Inputs!$B$11),0)))/100)/2</f>
        <v/>
      </c>
      <c r="M329">
        <f>L329*(1+(Inputs!$B$10+0+B357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9">
        <f>L329*(1-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329*(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9">
        <f>(1-Summary!$B$11)*T329+Summary!$B$11*V329</f>
        <v/>
      </c>
      <c r="P329">
        <f>IF(B362=0,0,O329/B362)</f>
        <v/>
      </c>
      <c r="Q329">
        <f>IFERROR(1/(IF(Inputs!$B$38="pvp",15,MAX(0.1,Skills!D6-IF(Skills!E6=TRUE,Inputs!$B$32,0)))*(1-IF(AND(ArtifactsInput!$M$27,Inputs!$B$4="Chapter Hunt"),CHOOSE(ArtifactsInput!$N$27+1,20,24,28,32,36,40),0)/100)),0)</f>
        <v/>
      </c>
      <c r="R329">
        <f>IF(AND(Inputs!$B$38&lt;&gt;"pvp",Inputs!$B$43&gt;0),IF(MAX(0,Inputs!$B$43-B359)&lt;=0,0,(INT(MAX(0,Inputs!$B$43-B359)/(IF(Inputs!$B$38="pvp",15,MAX(0.1,Skills!D6-IF(Skills!E6=TRUE,Inputs!$B$32,0)))*(1-IF(AND(ArtifactsInput!$M$27,Inputs!$B$4="Chapter Hunt"),CHOOSE(ArtifactsInput!$N$27+1,20,24,28,32,36,40),0)/100)))+1)),0)</f>
        <v/>
      </c>
      <c r="S329">
        <f>IFERROR(O329/N329,0)</f>
        <v/>
      </c>
      <c r="T329">
        <f>IF(C329,(H329*N329*IF(AND(Inputs!$B$38&lt;&gt;"pvp",Inputs!$B$43&gt;0),((Skills!G6*((R329-1)*IF(Skills!H6&gt;0,Skills!I6/Skills!H6,1)+IF(Skills!H6&gt;0,MIN(Skills!I6,MAX(0,MAX(0,Inputs!$B$43-B359)-((R329-1)*(IF(Inputs!$B$38="pvp",15,MAX(0.1,Skills!D6-IF(Skills!E6=TRUE,Inputs!$B$32,0)))*(1-IF(AND(ArtifactsInput!$M$27,Inputs!$B$4="Chapter Hunt"),CHOOSE(ArtifactsInput!$N$27+1,20,24,28,32,36,40),0)/100)))))/Skills!H6,1)))/Inputs!$B$43),G329*Q329)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329*(1-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329*(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329*(1-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329*(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9">
        <f>IF(C329,(H329*N329*IF(AND(Inputs!$B$38&lt;&gt;"pvp",Inputs!$B$43&gt;0),((Skills!G6*((R329-1)*IF(Skills!H6&gt;0,Skills!I6/Skills!H6,1)+IF(Skills!H6&gt;0,MIN(Skills!I6,MAX(0,MAX(0,Inputs!$B$43-B359)-((R329-1)*(IF(Inputs!$B$38="pvp",15,MAX(0.1,Skills!D6-IF(Skills!E6=TRUE,Inputs!$B$32,0)))*(1-IF(AND(ArtifactsInput!$M$27,Inputs!$B$4="Chapter Hunt"),CHOOSE(ArtifactsInput!$N$27+1,20,24,28,32,36,40),0)/100)))))/Skills!H6,1)))/Inputs!$B$43),G329*Q329))*IF(Inputs!$B$38="pvp",1,(1+((Inputs!$B$21+1)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0">
      <c r="A330">
        <f>Skills!A7</f>
        <v/>
      </c>
      <c r="B330">
        <f>Skills!B7</f>
        <v/>
      </c>
      <c r="C330">
        <f>Inputs!$B$3&gt;=107</f>
        <v/>
      </c>
      <c r="D330">
        <f>IF(Skills!C7=1,60+Inputs!$B$25+Inputs!$B$29,IF(Skills!C7=2,90+Inputs!$B$26+Inputs!$B$29,IF(Skills!C7=3,120+Inputs!$B$27+Inputs!$B$29,MAX(0,(Inputs!$B$3-100)*3)+Inputs!$B$28+Inputs!$B$29)))</f>
        <v/>
      </c>
      <c r="E330">
        <f>INDEX(FactorTable!$B$2:$Y$301, MATCH(ROUND(MIN(300,MAX(1,D330)),0), FactorTable!$A$2:$A$301,0), Skills!M7+1)</f>
        <v/>
      </c>
      <c r="F330">
        <f>IF(Skills!N7=TRUE,(Skills!L7/10)*(E330/1000),Skills!L7/10)+Skills!O7</f>
        <v/>
      </c>
      <c r="G330">
        <f>Skills!G7*IF(Skills!H7&gt;0,Skills!I7/Skills!H7,1)</f>
        <v/>
      </c>
      <c r="H330">
        <f>1-(1-Skills!J7/100)^Skills!K7</f>
        <v/>
      </c>
      <c r="I330" t="inlineStr">
        <is>
          <t>1</t>
        </is>
      </c>
      <c r="J330">
        <f>((Inputs!$B$6*(1+Inputs!$B$7/100))+(((Inputs!$B$12*(1+Inputs!$B$13/100))-(Inputs!$B$12*(1+Inputs!$B$13/100)))+0.25*(Inputs!$B$14-Inputs!$B$14))*(1+Inputs!$B$7/100))*(F330/100)</f>
        <v/>
      </c>
      <c r="K330">
        <f>J330*(1+((Inputs!$B$12*(1+Inputs!$B$13/100))*0.01+Inputs!$B$14*0.0025)/100)*(1+Inputs!$B$15/100)*(1+Inputs!$B$16/100)*(5000/(6000+Inputs!$B$42*(1-(100*(1-(1-(Inputs!$B$19+0)/100)*(1-CHOOSE(ArtifactsInput!$N$40+1,5,6,7,8,9,10)/100)^(ArtifactsInput!$M$40-ArtifactsInput!$M$40)))/100)))*(1+(Inputs!$B$24+((C348=TRUE)*(F348-Calc!F25))+B358)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344=TRUE)*(F344-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346=TRUE)*(F346-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336=TRUE)*F336*IF(Inputs!$B$3&gt;=110,7,5))+((C338=TRUE)*F338*IF(AND(Inputs!$B$38&lt;&gt;"pvp",Inputs!$B$43&gt;0),(((R338-1)*(Skills!T15*(1+(Inputs!$B$34+(ArtifactsInput!$M$7-ArtifactsInput!$M$7)*CHOOSE(ArtifactsInput!$N$7+1,6,7.2,8.4,9.6,10.8,12))/100))+MIN((Skills!T15*(1+(Inputs!$B$34+(ArtifactsInput!$M$7-ArtifactsInput!$M$7)*CHOOSE(ArtifactsInput!$N$7+1,6,7.2,8.4,9.6,10.8,12))/100)),MAX(0,Inputs!$B$43-((R338-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Hunt"),CHOOSE(ArtifactsInput!$N$35+1,15,18,21,24,27,30)*(1-EXP(-(0.2*B354)*5)),0)+IF(AND(ArtifactsInput!$M$22,Inputs!$B$4&lt;&gt;"Chapter Hunt"),CHOOSE(ArtifactsInput!$N$22+1,10,12,14,16,18,20)*((0*(((0.15*B354*5))^0/1)+1*(((0.15*B354*5))^1/1)+2*(((0.15*B354*5))^2/2)+3*(((0.15*B354*5))^3/6)+4*(((0.15*B354*5))^4/24)+5*(((0.15*B354*5))^5/120))/((((0.15*B354*5))^0/1)+(((0.15*B354*5))^1/1)+(((0.15*B354*5))^2/2)+(((0.15*B354*5))^3/6)+(((0.15*B354*5))^4/24)+(((0.15*B354*5))^5/120))),0)))/100)*I330)</f>
        <v/>
      </c>
      <c r="L330">
        <f>K330*(MIN(Inputs!$B$22+((C345=TRUE)*(F345-Calc!F22)),(Inputs!$B$23+((C347=TRUE)*(F347-Calc!F24))+(IF(ArtifactsInput!$M$15,CHOOSE(ArtifactsInput!$N$15+1,25,30,35,40,45,50)/100*(Inputs!$B$11-Inputs!$B$11),0))))/100+(Inputs!$B$23+((C347=TRUE)*(F347-Calc!F24))+(IF(ArtifactsInput!$M$15,CHOOSE(ArtifactsInput!$N$15+1,25,30,35,40,45,50)/100*(Inputs!$B$11-Inputs!$B$11),0)))/100)/2</f>
        <v/>
      </c>
      <c r="M330">
        <f>L330*(1+(Inputs!$B$10+0+B357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0">
        <f>L330*(1-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330*(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0">
        <f>(1-Summary!$B$11)*T330+Summary!$B$11*V330</f>
        <v/>
      </c>
      <c r="P330">
        <f>IF(B362=0,0,O330/B362)</f>
        <v/>
      </c>
      <c r="Q330">
        <f>IFERROR(1/(IF(Inputs!$B$38="pvp",15,MAX(0.1,Skills!D7-IF(Skills!E7=TRUE,Inputs!$B$32,0)))*(1-IF(AND(ArtifactsInput!$M$27,Inputs!$B$4="Chapter Hunt"),CHOOSE(ArtifactsInput!$N$27+1,20,24,28,32,36,40),0)/100)),0)</f>
        <v/>
      </c>
      <c r="R330">
        <f>IF(AND(Inputs!$B$38&lt;&gt;"pvp",Inputs!$B$43&gt;0),IF(MAX(0,Inputs!$B$43-B359)&lt;=0,0,(INT(MAX(0,Inputs!$B$43-B359)/(IF(Inputs!$B$38="pvp",15,MAX(0.1,Skills!D7-IF(Skills!E7=TRUE,Inputs!$B$32,0)))*(1-IF(AND(ArtifactsInput!$M$27,Inputs!$B$4="Chapter Hunt"),CHOOSE(ArtifactsInput!$N$27+1,20,24,28,32,36,40),0)/100)))+1)),0)</f>
        <v/>
      </c>
      <c r="S330">
        <f>IFERROR(O330/N330,0)</f>
        <v/>
      </c>
      <c r="T330">
        <f>IF(C330,(H330*N330*IF(AND(Inputs!$B$38&lt;&gt;"pvp",Inputs!$B$43&gt;0),((Skills!G7*((R330-1)*IF(Skills!H7&gt;0,Skills!I7/Skills!H7,1)+IF(Skills!H7&gt;0,MIN(Skills!I7,MAX(0,MAX(0,Inputs!$B$43-B359)-((R330-1)*(IF(Inputs!$B$38="pvp",15,MAX(0.1,Skills!D7-IF(Skills!E7=TRUE,Inputs!$B$32,0)))*(1-IF(AND(ArtifactsInput!$M$27,Inputs!$B$4="Chapter Hunt"),CHOOSE(ArtifactsInput!$N$27+1,20,24,28,32,36,40),0)/100)))))/Skills!H7,1)))/Inputs!$B$43),G330*Q330)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330*(1-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330*(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330*(1-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330*(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0">
        <f>IF(C330,(H330*N330*IF(AND(Inputs!$B$38&lt;&gt;"pvp",Inputs!$B$43&gt;0),((Skills!G7*((R330-1)*IF(Skills!H7&gt;0,Skills!I7/Skills!H7,1)+IF(Skills!H7&gt;0,MIN(Skills!I7,MAX(0,MAX(0,Inputs!$B$43-B359)-((R330-1)*(IF(Inputs!$B$38="pvp",15,MAX(0.1,Skills!D7-IF(Skills!E7=TRUE,Inputs!$B$32,0)))*(1-IF(AND(ArtifactsInput!$M$27,Inputs!$B$4="Chapter Hunt"),CHOOSE(ArtifactsInput!$N$27+1,20,24,28,32,36,40),0)/100)))))/Skills!H7,1)))/Inputs!$B$43),G330*Q330))*IF(Inputs!$B$38="pvp",1,(1+((Inputs!$B$21+1)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1">
      <c r="A331">
        <f>Skills!A8</f>
        <v/>
      </c>
      <c r="B331">
        <f>Skills!B8</f>
        <v/>
      </c>
      <c r="C331">
        <f>Inputs!$B$3&gt;=117</f>
        <v/>
      </c>
      <c r="D331">
        <f>IF(Skills!C8=1,60+Inputs!$B$25+Inputs!$B$29,IF(Skills!C8=2,90+Inputs!$B$26+Inputs!$B$29,IF(Skills!C8=3,120+Inputs!$B$27+Inputs!$B$29,MAX(0,(Inputs!$B$3-100)*3)+Inputs!$B$28+Inputs!$B$29)))</f>
        <v/>
      </c>
      <c r="E331">
        <f>INDEX(FactorTable!$B$2:$Y$301, MATCH(ROUND(MIN(300,MAX(1,D331)),0), FactorTable!$A$2:$A$301,0), Skills!M8+1)</f>
        <v/>
      </c>
      <c r="F331">
        <f>IF(Skills!N8=TRUE,(Skills!L8/10)*(E331/1000),Skills!L8/10)+Skills!O8</f>
        <v/>
      </c>
      <c r="G331">
        <f>Skills!G8*IF(Skills!H8&gt;0,Skills!I8/Skills!H8,1)</f>
        <v/>
      </c>
      <c r="H331">
        <f>1-(1-Skills!J8/100)^Skills!K8</f>
        <v/>
      </c>
      <c r="I331" t="inlineStr">
        <is>
          <t>1</t>
        </is>
      </c>
      <c r="J331">
        <f>((Inputs!$B$6*(1+Inputs!$B$7/100))+(((Inputs!$B$12*(1+Inputs!$B$13/100))-(Inputs!$B$12*(1+Inputs!$B$13/100)))+0.25*(Inputs!$B$14-Inputs!$B$14))*(1+Inputs!$B$7/100))*(F331/100)</f>
        <v/>
      </c>
      <c r="K331">
        <f>J331*(1+((Inputs!$B$12*(1+Inputs!$B$13/100))*0.01+Inputs!$B$14*0.0025)/100)*(1+Inputs!$B$15/100)*(1+Inputs!$B$16/100)*(5000/(6000+Inputs!$B$42*(1-(100*(1-(1-(Inputs!$B$19+0)/100)*(1-CHOOSE(ArtifactsInput!$N$40+1,5,6,7,8,9,10)/100)^(ArtifactsInput!$M$40-ArtifactsInput!$M$40)))/100)))*(1+(Inputs!$B$24+((C348=TRUE)*(F348-Calc!F25))+B358)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344=TRUE)*(F344-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346=TRUE)*(F346-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336=TRUE)*F336*IF(Inputs!$B$3&gt;=110,7,5))+((C338=TRUE)*F338*IF(AND(Inputs!$B$38&lt;&gt;"pvp",Inputs!$B$43&gt;0),(((R338-1)*(Skills!T15*(1+(Inputs!$B$34+(ArtifactsInput!$M$7-ArtifactsInput!$M$7)*CHOOSE(ArtifactsInput!$N$7+1,6,7.2,8.4,9.6,10.8,12))/100))+MIN((Skills!T15*(1+(Inputs!$B$34+(ArtifactsInput!$M$7-ArtifactsInput!$M$7)*CHOOSE(ArtifactsInput!$N$7+1,6,7.2,8.4,9.6,10.8,12))/100)),MAX(0,Inputs!$B$43-((R338-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Hunt"),CHOOSE(ArtifactsInput!$N$35+1,15,18,21,24,27,30)*(1-EXP(-(0.2*B354)*5)),0)+IF(AND(ArtifactsInput!$M$22,Inputs!$B$4&lt;&gt;"Chapter Hunt"),CHOOSE(ArtifactsInput!$N$22+1,10,12,14,16,18,20)*((0*(((0.15*B354*5))^0/1)+1*(((0.15*B354*5))^1/1)+2*(((0.15*B354*5))^2/2)+3*(((0.15*B354*5))^3/6)+4*(((0.15*B354*5))^4/24)+5*(((0.15*B354*5))^5/120))/((((0.15*B354*5))^0/1)+(((0.15*B354*5))^1/1)+(((0.15*B354*5))^2/2)+(((0.15*B354*5))^3/6)+(((0.15*B354*5))^4/24)+(((0.15*B354*5))^5/120))),0)))/100)*I331)</f>
        <v/>
      </c>
      <c r="L331">
        <f>K331*(MIN(Inputs!$B$22+((C345=TRUE)*(F345-Calc!F22)),(Inputs!$B$23+((C347=TRUE)*(F347-Calc!F24))+(IF(ArtifactsInput!$M$15,CHOOSE(ArtifactsInput!$N$15+1,25,30,35,40,45,50)/100*(Inputs!$B$11-Inputs!$B$11),0))))/100+(Inputs!$B$23+((C347=TRUE)*(F347-Calc!F24))+(IF(ArtifactsInput!$M$15,CHOOSE(ArtifactsInput!$N$15+1,25,30,35,40,45,50)/100*(Inputs!$B$11-Inputs!$B$11),0)))/100)/2</f>
        <v/>
      </c>
      <c r="M331">
        <f>L331*(1+(Inputs!$B$10+0+B357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1">
        <f>L331*(1-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331*(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1">
        <f>(1-Summary!$B$11)*T331+Summary!$B$11*V331</f>
        <v/>
      </c>
      <c r="P331">
        <f>IF(B362=0,0,O331/B362)</f>
        <v/>
      </c>
      <c r="Q331">
        <f>IFERROR(1/(IF(Inputs!$B$38="pvp",15,MAX(0.1,Skills!D8-IF(Skills!E8=TRUE,Inputs!$B$32,0)))*(1-IF(AND(ArtifactsInput!$M$27,Inputs!$B$4="Chapter Hunt"),CHOOSE(ArtifactsInput!$N$27+1,20,24,28,32,36,40),0)/100)),0)</f>
        <v/>
      </c>
      <c r="R331">
        <f>IF(AND(Inputs!$B$38&lt;&gt;"pvp",Inputs!$B$43&gt;0),IF(MAX(0,Inputs!$B$43-B359)&lt;=0,0,(INT(MAX(0,Inputs!$B$43-B359)/(IF(Inputs!$B$38="pvp",15,MAX(0.1,Skills!D8-IF(Skills!E8=TRUE,Inputs!$B$32,0)))*(1-IF(AND(ArtifactsInput!$M$27,Inputs!$B$4="Chapter Hunt"),CHOOSE(ArtifactsInput!$N$27+1,20,24,28,32,36,40),0)/100)))+1)),0)</f>
        <v/>
      </c>
      <c r="S331">
        <f>IFERROR(O331/N331,0)</f>
        <v/>
      </c>
      <c r="T331">
        <f>IF(C331,(H331*N331*IF(AND(Inputs!$B$38&lt;&gt;"pvp",Inputs!$B$43&gt;0),((Skills!G8*((R331-1)*IF(Skills!H8&gt;0,Skills!I8/Skills!H8,1)+IF(Skills!H8&gt;0,MIN(Skills!I8,MAX(0,MAX(0,Inputs!$B$43-B359)-((R331-1)*(IF(Inputs!$B$38="pvp",15,MAX(0.1,Skills!D8-IF(Skills!E8=TRUE,Inputs!$B$32,0)))*(1-IF(AND(ArtifactsInput!$M$27,Inputs!$B$4="Chapter Hunt"),CHOOSE(ArtifactsInput!$N$27+1,20,24,28,32,36,40),0)/100)))))/Skills!H8,1)))/Inputs!$B$43),G331*Q331)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331*(1-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331*(1-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1">
        <f>IF(C331,(H331*N331*IF(AND(Inputs!$B$38&lt;&gt;"pvp",Inputs!$B$43&gt;0),((Skills!G8*((R331-1)*IF(Skills!H8&gt;0,Skills!I8/Skills!H8,1)+IF(Skills!H8&gt;0,MIN(Skills!I8,MAX(0,MAX(0,Inputs!$B$43-B359)-((R331-1)*(IF(Inputs!$B$38="pvp",15,MAX(0.1,Skills!D8-IF(Skills!E8=TRUE,Inputs!$B$32,0)))*(1-IF(AND(ArtifactsInput!$M$27,Inputs!$B$4="Chapter Hunt"),CHOOSE(ArtifactsInput!$N$27+1,20,24,28,32,36,40),0)/100)))))/Skills!H8,1)))/Inputs!$B$43),G331*Q331))*IF(Inputs!$B$38="pvp",1,(1+((Inputs!$B$21+1)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2">
      <c r="A332">
        <f>Skills!A9</f>
        <v/>
      </c>
      <c r="B332">
        <f>Skills!B9</f>
        <v/>
      </c>
      <c r="C332">
        <f>Inputs!$B$3&gt;=69</f>
        <v/>
      </c>
      <c r="D332">
        <f>IF(Skills!C9=1,60+Inputs!$B$25+Inputs!$B$29,IF(Skills!C9=2,90+Inputs!$B$26+Inputs!$B$29,IF(Skills!C9=3,120+Inputs!$B$27+Inputs!$B$29,MAX(0,(Inputs!$B$3-100)*3)+Inputs!$B$28+Inputs!$B$29)))</f>
        <v/>
      </c>
      <c r="E332">
        <f>INDEX(FactorTable!$B$2:$Y$301, MATCH(ROUND(MIN(300,MAX(1,D332)),0), FactorTable!$A$2:$A$301,0), Skills!M9+1)</f>
        <v/>
      </c>
      <c r="F332">
        <f>IF(Skills!N9=TRUE,(Skills!L9/10)*(E332/1000),Skills!L9/10)+Skills!O9</f>
        <v/>
      </c>
      <c r="G332">
        <f>Skills!G9*IF(Skills!H9&gt;0,Skills!I9/Skills!H9,1)</f>
        <v/>
      </c>
      <c r="H332">
        <f>1-(1-Skills!J9/100)^Skills!K9</f>
        <v/>
      </c>
      <c r="I332" t="inlineStr">
        <is>
          <t>1</t>
        </is>
      </c>
      <c r="J332">
        <f>((Inputs!$B$6*(1+Inputs!$B$7/100))+(((Inputs!$B$12*(1+Inputs!$B$13/100))-(Inputs!$B$12*(1+Inputs!$B$13/100)))+0.25*(Inputs!$B$14-Inputs!$B$14))*(1+Inputs!$B$7/100))*(F332/100)</f>
        <v/>
      </c>
      <c r="K332">
        <f>J332*(1+((Inputs!$B$12*(1+Inputs!$B$13/100))*0.01+Inputs!$B$14*0.0025)/100)*(1+Inputs!$B$15/100)*(1+Inputs!$B$16/100)*(5000/(6000+Inputs!$B$42*(1-(100*(1-(1-(Inputs!$B$19+0)/100)*(1-CHOOSE(ArtifactsInput!$N$40+1,5,6,7,8,9,10)/100)^(ArtifactsInput!$M$40-ArtifactsInput!$M$40)))/100)))*(1+(Inputs!$B$24+((C348=TRUE)*(F348-Calc!F25))+B358)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335=TRUE,F335,0)/100)*(1+IF(Skills!A9="ENHANCED_RAGING_BLOW",IF(Inputs!$B$3&gt;=134,MAX(0,IF(Inputs!$B$3&gt;=110,7,5)-5)*50,0),0)/100)*(1+(IF(Skills!A9="RAGING_BLOW",Inputs!$B$17+((C344=TRUE)*(F344-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346=TRUE)*(F346-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336=TRUE)*F336*IF(Inputs!$B$3&gt;=110,7,5))+((C338=TRUE)*F338*IF(AND(Inputs!$B$38&lt;&gt;"pvp",Inputs!$B$43&gt;0),(((R338-1)*(Skills!T15*(1+(Inputs!$B$34+(ArtifactsInput!$M$7-ArtifactsInput!$M$7)*CHOOSE(ArtifactsInput!$N$7+1,6,7.2,8.4,9.6,10.8,12))/100))+MIN((Skills!T15*(1+(Inputs!$B$34+(ArtifactsInput!$M$7-ArtifactsInput!$M$7)*CHOOSE(ArtifactsInput!$N$7+1,6,7.2,8.4,9.6,10.8,12))/100)),MAX(0,Inputs!$B$43-((R338-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Hunt"),CHOOSE(ArtifactsInput!$N$35+1,15,18,21,24,27,30)*(1-EXP(-(0.2*B354)*5)),0)+IF(AND(ArtifactsInput!$M$22,Inputs!$B$4&lt;&gt;"Chapter Hunt"),CHOOSE(ArtifactsInput!$N$22+1,10,12,14,16,18,20)*((0*(((0.15*B354*5))^0/1)+1*(((0.15*B354*5))^1/1)+2*(((0.15*B354*5))^2/2)+3*(((0.15*B354*5))^3/6)+4*(((0.15*B354*5))^4/24)+5*(((0.15*B354*5))^5/120))/((((0.15*B354*5))^0/1)+(((0.15*B354*5))^1/1)+(((0.15*B354*5))^2/2)+(((0.15*B354*5))^3/6)+(((0.15*B354*5))^4/24)+(((0.15*B354*5))^5/120))),0)))/100)*I332)</f>
        <v/>
      </c>
      <c r="L332">
        <f>K332*(MIN(Inputs!$B$22+((C345=TRUE)*(F345-Calc!F22)),(Inputs!$B$23+((C347=TRUE)*(F347-Calc!F24))+(IF(ArtifactsInput!$M$15,CHOOSE(ArtifactsInput!$N$15+1,25,30,35,40,45,50)/100*(Inputs!$B$11-Inputs!$B$11),0))))/100+(Inputs!$B$23+((C347=TRUE)*(F347-Calc!F24))+(IF(ArtifactsInput!$M$15,CHOOSE(ArtifactsInput!$N$15+1,25,30,35,40,45,50)/100*(Inputs!$B$11-Inputs!$B$11),0)))/100)/2</f>
        <v/>
      </c>
      <c r="M332">
        <f>L332*(1+(Inputs!$B$10+0+B357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2">
        <f>L332*(1-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332*(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2">
        <f>(1-Summary!$B$11)*T332+Summary!$B$11*V332</f>
        <v/>
      </c>
      <c r="P332">
        <f>IF(B362=0,0,O332/B362)</f>
        <v/>
      </c>
      <c r="Q332">
        <f>IFERROR(1/(IF(Inputs!$B$38="pvp",15,MAX(0.1,Skills!D9-IF(Skills!E9=TRUE,Inputs!$B$32,0)))*(1-IF(AND(ArtifactsInput!$M$27,Inputs!$B$4="Chapter Hunt"),CHOOSE(ArtifactsInput!$N$27+1,20,24,28,32,36,40),0)/100)),0)</f>
        <v/>
      </c>
      <c r="R332">
        <f>IF(AND(Inputs!$B$38&lt;&gt;"pvp",Inputs!$B$43&gt;0),IF(MAX(0,Inputs!$B$43-B359)&lt;=0,0,(INT(MAX(0,Inputs!$B$43-B359)/(IF(Inputs!$B$38="pvp",15,MAX(0.1,Skills!D9-IF(Skills!E9=TRUE,Inputs!$B$32,0)))*(1-IF(AND(ArtifactsInput!$M$27,Inputs!$B$4="Chapter Hunt"),CHOOSE(ArtifactsInput!$N$27+1,20,24,28,32,36,40),0)/100)))+1)),0)</f>
        <v/>
      </c>
      <c r="S332">
        <f>IFERROR(O332/N332,0)</f>
        <v/>
      </c>
      <c r="T332">
        <f>IF(C332,(H332*N332*IF(AND(Inputs!$B$38&lt;&gt;"pvp",Inputs!$B$43&gt;0),((Skills!G9*((R332-1)*IF(Skills!H9&gt;0,Skills!I9/Skills!H9,1)+IF(Skills!H9&gt;0,MIN(Skills!I9,MAX(0,MAX(0,Inputs!$B$43-B359)-((R332-1)*(IF(Inputs!$B$38="pvp",15,MAX(0.1,Skills!D9-IF(Skills!E9=TRUE,Inputs!$B$32,0)))*(1-IF(AND(ArtifactsInput!$M$27,Inputs!$B$4="Chapter Hunt"),CHOOSE(ArtifactsInput!$N$27+1,20,24,28,32,36,40),0)/100)))))/Skills!H9,1)))/Inputs!$B$43),G332*Q332)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332*(1-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332*(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332*(1-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332*(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2">
        <f>IF(C332,(H332*N332*IF(AND(Inputs!$B$38&lt;&gt;"pvp",Inputs!$B$43&gt;0),((Skills!G9*((R332-1)*IF(Skills!H9&gt;0,Skills!I9/Skills!H9,1)+IF(Skills!H9&gt;0,MIN(Skills!I9,MAX(0,MAX(0,Inputs!$B$43-B359)-((R332-1)*(IF(Inputs!$B$38="pvp",15,MAX(0.1,Skills!D9-IF(Skills!E9=TRUE,Inputs!$B$32,0)))*(1-IF(AND(ArtifactsInput!$M$27,Inputs!$B$4="Chapter Hunt"),CHOOSE(ArtifactsInput!$N$27+1,20,24,28,32,36,40),0)/100)))))/Skills!H9,1)))/Inputs!$B$43),G332*Q332))*IF(Inputs!$B$38="pvp",1,(1+((Inputs!$B$21+1)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3">
      <c r="A333">
        <f>Skills!A10</f>
        <v/>
      </c>
      <c r="B333">
        <f>Skills!B10</f>
        <v/>
      </c>
      <c r="C333">
        <f>Inputs!$B$3&gt;=63</f>
        <v/>
      </c>
      <c r="D333">
        <f>IF(Skills!C10=1,60+Inputs!$B$25+Inputs!$B$29,IF(Skills!C10=2,90+Inputs!$B$26+Inputs!$B$29,IF(Skills!C10=3,120+Inputs!$B$27+Inputs!$B$29,MAX(0,(Inputs!$B$3-100)*3)+Inputs!$B$28+Inputs!$B$29)))</f>
        <v/>
      </c>
      <c r="E333">
        <f>INDEX(FactorTable!$B$2:$Y$301, MATCH(ROUND(MIN(300,MAX(1,D333)),0), FactorTable!$A$2:$A$301,0), Skills!M10+1)</f>
        <v/>
      </c>
      <c r="F333">
        <f>IF(Skills!N10=TRUE,(Skills!L10/10)*(E333/1000),Skills!L10/10)+Skills!O10</f>
        <v/>
      </c>
      <c r="G333">
        <f>Skills!G10*IF(Skills!H10&gt;0,Skills!I10/Skills!H10,1)</f>
        <v/>
      </c>
      <c r="H333">
        <f>1-(1-Skills!J10/100)^Skills!K10</f>
        <v/>
      </c>
      <c r="I333" t="inlineStr">
        <is>
          <t>1</t>
        </is>
      </c>
      <c r="J333">
        <f>((Inputs!$B$6*(1+Inputs!$B$7/100))+(((Inputs!$B$12*(1+Inputs!$B$13/100))-(Inputs!$B$12*(1+Inputs!$B$13/100)))+0.25*(Inputs!$B$14-Inputs!$B$14))*(1+Inputs!$B$7/100))*(F333/100)</f>
        <v/>
      </c>
      <c r="K333">
        <f>J333*(1+((Inputs!$B$12*(1+Inputs!$B$13/100))*0.01+Inputs!$B$14*0.0025)/100)*(1+Inputs!$B$15/100)*(1+Inputs!$B$16/100)*(5000/(6000+Inputs!$B$42*(1-(100*(1-(1-(Inputs!$B$19+0)/100)*(1-CHOOSE(ArtifactsInput!$N$40+1,5,6,7,8,9,10)/100)^(ArtifactsInput!$M$40-ArtifactsInput!$M$40)))/100)))*(1+(Inputs!$B$24+((C348=TRUE)*(F348-Calc!F25))+B358)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335=TRUE,F335,0)/100)*(1+IF(Skills!A10="ENHANCED_RAGING_BLOW",IF(Inputs!$B$3&gt;=134,MAX(0,IF(Inputs!$B$3&gt;=110,7,5)-5)*50,0),0)/100)*(1+(IF(Skills!A10="RAGING_BLOW",Inputs!$B$17+((C344=TRUE)*(F344-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346=TRUE)*(F346-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336=TRUE)*F336*IF(Inputs!$B$3&gt;=110,7,5))+((C338=TRUE)*F338*IF(AND(Inputs!$B$38&lt;&gt;"pvp",Inputs!$B$43&gt;0),(((R338-1)*(Skills!T15*(1+(Inputs!$B$34+(ArtifactsInput!$M$7-ArtifactsInput!$M$7)*CHOOSE(ArtifactsInput!$N$7+1,6,7.2,8.4,9.6,10.8,12))/100))+MIN((Skills!T15*(1+(Inputs!$B$34+(ArtifactsInput!$M$7-ArtifactsInput!$M$7)*CHOOSE(ArtifactsInput!$N$7+1,6,7.2,8.4,9.6,10.8,12))/100)),MAX(0,Inputs!$B$43-((R338-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Hunt"),CHOOSE(ArtifactsInput!$N$35+1,15,18,21,24,27,30)*(1-EXP(-(0.2*B354)*5)),0)+IF(AND(ArtifactsInput!$M$22,Inputs!$B$4&lt;&gt;"Chapter Hunt"),CHOOSE(ArtifactsInput!$N$22+1,10,12,14,16,18,20)*((0*(((0.15*B354*5))^0/1)+1*(((0.15*B354*5))^1/1)+2*(((0.15*B354*5))^2/2)+3*(((0.15*B354*5))^3/6)+4*(((0.15*B354*5))^4/24)+5*(((0.15*B354*5))^5/120))/((((0.15*B354*5))^0/1)+(((0.15*B354*5))^1/1)+(((0.15*B354*5))^2/2)+(((0.15*B354*5))^3/6)+(((0.15*B354*5))^4/24)+(((0.15*B354*5))^5/120))),0)))/100)*I333)</f>
        <v/>
      </c>
      <c r="L333">
        <f>K333*(MIN(Inputs!$B$22+((C345=TRUE)*(F345-Calc!F22)),(Inputs!$B$23+((C347=TRUE)*(F347-Calc!F24))+(IF(ArtifactsInput!$M$15,CHOOSE(ArtifactsInput!$N$15+1,25,30,35,40,45,50)/100*(Inputs!$B$11-Inputs!$B$11),0))))/100+(Inputs!$B$23+((C347=TRUE)*(F347-Calc!F24))+(IF(ArtifactsInput!$M$15,CHOOSE(ArtifactsInput!$N$15+1,25,30,35,40,45,50)/100*(Inputs!$B$11-Inputs!$B$11),0)))/100)/2</f>
        <v/>
      </c>
      <c r="M333">
        <f>L333*(1+(Inputs!$B$10+0+B357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3">
        <f>L333*(1-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333*(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3">
        <f>(1-Summary!$B$11)*T333+Summary!$B$11*V333</f>
        <v/>
      </c>
      <c r="P333">
        <f>IF(B362=0,0,O333/B362)</f>
        <v/>
      </c>
      <c r="Q333">
        <f>IFERROR(1/(IF(Inputs!$B$38="pvp",15,MAX(0.1,Skills!D10-IF(Skills!E10=TRUE,Inputs!$B$32,0)))*(1-IF(AND(ArtifactsInput!$M$27,Inputs!$B$4="Chapter Hunt"),CHOOSE(ArtifactsInput!$N$27+1,20,24,28,32,36,40),0)/100)),0)</f>
        <v/>
      </c>
      <c r="R333">
        <f>IF(AND(Inputs!$B$38&lt;&gt;"pvp",Inputs!$B$43&gt;0),IF(MAX(0,Inputs!$B$43-B359)&lt;=0,0,(INT(MAX(0,Inputs!$B$43-B359)/(IF(Inputs!$B$38="pvp",15,MAX(0.1,Skills!D10-IF(Skills!E10=TRUE,Inputs!$B$32,0)))*(1-IF(AND(ArtifactsInput!$M$27,Inputs!$B$4="Chapter Hunt"),CHOOSE(ArtifactsInput!$N$27+1,20,24,28,32,36,40),0)/100)))+1)),0)</f>
        <v/>
      </c>
      <c r="S333">
        <f>IFERROR(O333/N333,0)</f>
        <v/>
      </c>
      <c r="T333">
        <f>IF(C333,(H333*N333*IF(AND(Inputs!$B$38&lt;&gt;"pvp",Inputs!$B$43&gt;0),((Skills!G10*((R333-1)*IF(Skills!H10&gt;0,Skills!I10/Skills!H10,1)+IF(Skills!H10&gt;0,MIN(Skills!I10,MAX(0,MAX(0,Inputs!$B$43-B359)-((R333-1)*(IF(Inputs!$B$38="pvp",15,MAX(0.1,Skills!D10-IF(Skills!E10=TRUE,Inputs!$B$32,0)))*(1-IF(AND(ArtifactsInput!$M$27,Inputs!$B$4="Chapter Hunt"),CHOOSE(ArtifactsInput!$N$27+1,20,24,28,32,36,40),0)/100)))))/Skills!H10,1)))/Inputs!$B$43),G333*Q333)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333*(1-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333*(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333*(1-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333*(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3">
        <f>IF(C333,(H333*N333*IF(AND(Inputs!$B$38&lt;&gt;"pvp",Inputs!$B$43&gt;0),((Skills!G10*((R333-1)*IF(Skills!H10&gt;0,Skills!I10/Skills!H10,1)+IF(Skills!H10&gt;0,MIN(Skills!I10,MAX(0,MAX(0,Inputs!$B$43-B359)-((R333-1)*(IF(Inputs!$B$38="pvp",15,MAX(0.1,Skills!D10-IF(Skills!E10=TRUE,Inputs!$B$32,0)))*(1-IF(AND(ArtifactsInput!$M$27,Inputs!$B$4="Chapter Hunt"),CHOOSE(ArtifactsInput!$N$27+1,20,24,28,32,36,40),0)/100)))))/Skills!H10,1)))/Inputs!$B$43),G333*Q333))*IF(Inputs!$B$38="pvp",1,(1+((Inputs!$B$21+1)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4">
      <c r="A334">
        <f>Skills!A11</f>
        <v/>
      </c>
      <c r="B334">
        <f>Skills!B11</f>
        <v/>
      </c>
      <c r="C334">
        <f>Inputs!$B$3&gt;=35</f>
        <v/>
      </c>
      <c r="D334">
        <f>IF(Skills!C11=1,60+Inputs!$B$25+Inputs!$B$29,IF(Skills!C11=2,90+Inputs!$B$26+Inputs!$B$29,IF(Skills!C11=3,120+Inputs!$B$27+Inputs!$B$29,MAX(0,(Inputs!$B$3-100)*3)+Inputs!$B$28+Inputs!$B$29)))</f>
        <v/>
      </c>
      <c r="E334">
        <f>INDEX(FactorTable!$B$2:$Y$301, MATCH(ROUND(MIN(300,MAX(1,D334)),0), FactorTable!$A$2:$A$301,0), Skills!M11+1)</f>
        <v/>
      </c>
      <c r="F334">
        <f>IF(Skills!N11=TRUE,(Skills!L11/10)*(E334/1000),Skills!L11/10)+Skills!O11</f>
        <v/>
      </c>
      <c r="G334">
        <f>Skills!G11*IF(Skills!H11&gt;0,Skills!I11/Skills!H11,1)</f>
        <v/>
      </c>
      <c r="H334">
        <f>1-(1-Skills!J11/100)^Skills!K11</f>
        <v/>
      </c>
      <c r="I334" t="inlineStr">
        <is>
          <t>1</t>
        </is>
      </c>
      <c r="J334">
        <f>((Inputs!$B$6*(1+Inputs!$B$7/100))+(((Inputs!$B$12*(1+Inputs!$B$13/100))-(Inputs!$B$12*(1+Inputs!$B$13/100)))+0.25*(Inputs!$B$14-Inputs!$B$14))*(1+Inputs!$B$7/100))*(F334/100)</f>
        <v/>
      </c>
      <c r="K334">
        <f>J334*(1+((Inputs!$B$12*(1+Inputs!$B$13/100))*0.01+Inputs!$B$14*0.0025)/100)*(1+Inputs!$B$15/100)*(1+Inputs!$B$16/100)*(5000/(6000+Inputs!$B$42*(1-(100*(1-(1-(Inputs!$B$19+0)/100)*(1-CHOOSE(ArtifactsInput!$N$40+1,5,6,7,8,9,10)/100)^(ArtifactsInput!$M$40-ArtifactsInput!$M$40)))/100)))*(1+(Inputs!$B$24+((C348=TRUE)*(F348-Calc!F25))+B358)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335=TRUE,F335,0)/100)*(1+IF(Skills!A11="ENHANCED_RAGING_BLOW",IF(Inputs!$B$3&gt;=134,MAX(0,IF(Inputs!$B$3&gt;=110,7,5)-5)*50,0),0)/100)*(1+(IF(Skills!A11="RAGING_BLOW",Inputs!$B$17+((C344=TRUE)*(F344-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346=TRUE)*(F346-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336=TRUE)*F336*IF(Inputs!$B$3&gt;=110,7,5))+((C338=TRUE)*F338*IF(AND(Inputs!$B$38&lt;&gt;"pvp",Inputs!$B$43&gt;0),(((R338-1)*(Skills!T15*(1+(Inputs!$B$34+(ArtifactsInput!$M$7-ArtifactsInput!$M$7)*CHOOSE(ArtifactsInput!$N$7+1,6,7.2,8.4,9.6,10.8,12))/100))+MIN((Skills!T15*(1+(Inputs!$B$34+(ArtifactsInput!$M$7-ArtifactsInput!$M$7)*CHOOSE(ArtifactsInput!$N$7+1,6,7.2,8.4,9.6,10.8,12))/100)),MAX(0,Inputs!$B$43-((R338-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Hunt"),CHOOSE(ArtifactsInput!$N$35+1,15,18,21,24,27,30)*(1-EXP(-(0.2*B354)*5)),0)+IF(AND(ArtifactsInput!$M$22,Inputs!$B$4&lt;&gt;"Chapter Hunt"),CHOOSE(ArtifactsInput!$N$22+1,10,12,14,16,18,20)*((0*(((0.15*B354*5))^0/1)+1*(((0.15*B354*5))^1/1)+2*(((0.15*B354*5))^2/2)+3*(((0.15*B354*5))^3/6)+4*(((0.15*B354*5))^4/24)+5*(((0.15*B354*5))^5/120))/((((0.15*B354*5))^0/1)+(((0.15*B354*5))^1/1)+(((0.15*B354*5))^2/2)+(((0.15*B354*5))^3/6)+(((0.15*B354*5))^4/24)+(((0.15*B354*5))^5/120))),0)))/100)*I334)</f>
        <v/>
      </c>
      <c r="L334">
        <f>K334*(MIN(Inputs!$B$22+((C345=TRUE)*(F345-Calc!F22)),(Inputs!$B$23+((C347=TRUE)*(F347-Calc!F24))+(IF(ArtifactsInput!$M$15,CHOOSE(ArtifactsInput!$N$15+1,25,30,35,40,45,50)/100*(Inputs!$B$11-Inputs!$B$11),0))))/100+(Inputs!$B$23+((C347=TRUE)*(F347-Calc!F24))+(IF(ArtifactsInput!$M$15,CHOOSE(ArtifactsInput!$N$15+1,25,30,35,40,45,50)/100*(Inputs!$B$11-Inputs!$B$11),0)))/100)/2</f>
        <v/>
      </c>
      <c r="M334">
        <f>L334*(1+(Inputs!$B$10+0+B357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4">
        <f>L334*(1-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334*(MIN((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4">
        <f>(1-Summary!$B$11)*T334+Summary!$B$11*V334</f>
        <v/>
      </c>
      <c r="P334">
        <f>IF(B362=0,0,O334/B362)</f>
        <v/>
      </c>
      <c r="Q334">
        <f>IFERROR(1/(IF(Inputs!$B$38="pvp",15,MAX(0.1,Skills!D11-IF(Skills!E11=TRUE,Inputs!$B$32,0)))*(1-IF(AND(ArtifactsInput!$M$27,Inputs!$B$4="Chapter Hunt"),CHOOSE(ArtifactsInput!$N$27+1,20,24,28,32,36,40),0)/100)),0)</f>
        <v/>
      </c>
      <c r="R334">
        <f>IF(AND(Inputs!$B$38&lt;&gt;"pvp",Inputs!$B$43&gt;0),IF(MAX(0,Inputs!$B$43-B359)&lt;=0,0,(INT(MAX(0,Inputs!$B$43-B359)/(IF(Inputs!$B$38="pvp",15,MAX(0.1,Skills!D11-IF(Skills!E11=TRUE,Inputs!$B$32,0)))*(1-IF(AND(ArtifactsInput!$M$27,Inputs!$B$4="Chapter Hunt"),CHOOSE(ArtifactsInput!$N$27+1,20,24,28,32,36,40),0)/100)))+1)),0)</f>
        <v/>
      </c>
      <c r="S334">
        <f>IFERROR(O334/N334,0)</f>
        <v/>
      </c>
      <c r="T334">
        <f>IF(C334,(H334*N334*IF(AND(Inputs!$B$38&lt;&gt;"pvp",Inputs!$B$43&gt;0),((Skills!G11*((R334-1)*IF(Skills!H11&gt;0,Skills!I11/Skills!H11,1)+IF(Skills!H11&gt;0,MIN(Skills!I11,MAX(0,MAX(0,Inputs!$B$43-B359)-((R334-1)*(IF(Inputs!$B$38="pvp",15,MAX(0.1,Skills!D11-IF(Skills!E11=TRUE,Inputs!$B$32,0)))*(1-IF(AND(ArtifactsInput!$M$27,Inputs!$B$4="Chapter Hunt"),CHOOSE(ArtifactsInput!$N$27+1,20,24,28,32,36,40),0)/100)))))/Skills!H11,1)))/Inputs!$B$43),G334*Q334)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334*(1-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334*(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334*(1-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334*(MIN(100,(Inputs!$B$9+((C349=TRUE)*(F349-Calc!F26))+B352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34">
        <f>IF(C334,(H334*N334*IF(AND(Inputs!$B$38&lt;&gt;"pvp",Inputs!$B$43&gt;0),((Skills!G11*((R334-1)*IF(Skills!H11&gt;0,Skills!I11/Skills!H11,1)+IF(Skills!H11&gt;0,MIN(Skills!I11,MAX(0,MAX(0,Inputs!$B$43-B359)-((R334-1)*(IF(Inputs!$B$38="pvp",15,MAX(0.1,Skills!D11-IF(Skills!E11=TRUE,Inputs!$B$32,0)))*(1-IF(AND(ArtifactsInput!$M$27,Inputs!$B$4="Chapter Hunt"),CHOOSE(ArtifactsInput!$N$27+1,20,24,28,32,36,40),0)/100)))))/Skills!H11,1)))/Inputs!$B$43),G334*Q334))*IF(Inputs!$B$38="pvp",1,(1+((Inputs!$B$21+1)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5">
      <c r="A335">
        <f>Skills!A12</f>
        <v/>
      </c>
      <c r="B335">
        <f>Skills!B12</f>
        <v/>
      </c>
      <c r="C335">
        <f>Inputs!$B$3&gt;=100</f>
        <v/>
      </c>
      <c r="D335">
        <f>IF(Skills!C12=1,60+Inputs!$B$25+Inputs!$B$29,IF(Skills!C12=2,90+Inputs!$B$26+Inputs!$B$29,IF(Skills!C12=3,120+Inputs!$B$27+Inputs!$B$29,MAX(0,(Inputs!$B$3-100)*3)+Inputs!$B$28+Inputs!$B$29)))</f>
        <v/>
      </c>
      <c r="E335">
        <f>INDEX(FactorTable!$B$2:$Y$301, MATCH(ROUND(MIN(300,MAX(1,D335)),0), FactorTable!$A$2:$A$301,0), Skills!M12+1)</f>
        <v/>
      </c>
      <c r="F335">
        <f>IF(Skills!N12=TRUE,(Skills!L12/10)*(E335/1000),Skills!L12/10)+Skills!O12</f>
        <v/>
      </c>
      <c r="G335" t="inlineStr"/>
      <c r="H335" t="inlineStr"/>
      <c r="I335" t="inlineStr">
        <is>
          <t>1</t>
        </is>
      </c>
      <c r="J335" t="inlineStr"/>
      <c r="K335" t="inlineStr"/>
      <c r="L335" t="inlineStr"/>
      <c r="M335" t="inlineStr"/>
      <c r="N335" t="inlineStr"/>
      <c r="O335" t="inlineStr"/>
      <c r="P335" t="inlineStr"/>
      <c r="Q335" t="inlineStr"/>
      <c r="R335" t="inlineStr"/>
      <c r="S335" t="inlineStr"/>
    </row>
    <row r="336">
      <c r="A336">
        <f>Skills!A13</f>
        <v/>
      </c>
      <c r="B336">
        <f>Skills!B13</f>
        <v/>
      </c>
      <c r="C336">
        <f>Inputs!$B$3&gt;=45</f>
        <v/>
      </c>
      <c r="D336">
        <f>IF(Skills!C13=1,60+Inputs!$B$25+Inputs!$B$29,IF(Skills!C13=2,90+Inputs!$B$26+Inputs!$B$29,IF(Skills!C13=3,120+Inputs!$B$27+Inputs!$B$29,MAX(0,(Inputs!$B$3-100)*3)+Inputs!$B$28+Inputs!$B$29)))</f>
        <v/>
      </c>
      <c r="E336">
        <f>INDEX(FactorTable!$B$2:$Y$301, MATCH(ROUND(MIN(300,MAX(1,D336)),0), FactorTable!$A$2:$A$301,0), Skills!M13+1)</f>
        <v/>
      </c>
      <c r="F336">
        <f>IF(Skills!N13=TRUE,(Skills!L13/10)*(E336/1000),Skills!L13/10)+Skills!O13</f>
        <v/>
      </c>
      <c r="G336">
        <f>Skills!G13*IF(Skills!H13&gt;0,Skills!I13/Skills!H13,1)</f>
        <v/>
      </c>
      <c r="H336">
        <f>1-(1-Skills!J13/100)^Skills!K13</f>
        <v/>
      </c>
      <c r="I336" t="inlineStr">
        <is>
          <t>1</t>
        </is>
      </c>
      <c r="J336" t="inlineStr"/>
      <c r="K336" t="inlineStr"/>
      <c r="L336" t="inlineStr"/>
      <c r="M336" t="inlineStr"/>
      <c r="N336" t="inlineStr"/>
      <c r="O336">
        <f>(1-Summary!$B$11)*T336+Summary!$B$11*V336</f>
        <v/>
      </c>
      <c r="P336">
        <f>IF(B362=0,0,O336/B362)</f>
        <v/>
      </c>
      <c r="Q336" t="n">
        <v>0</v>
      </c>
      <c r="R336" t="n">
        <v>0</v>
      </c>
      <c r="S336">
        <f>IFERROR(O336/N336,0)</f>
        <v/>
      </c>
      <c r="T336" t="n">
        <v>0</v>
      </c>
      <c r="V336" t="n">
        <v>0</v>
      </c>
    </row>
    <row r="337">
      <c r="A337">
        <f>Skills!A14</f>
        <v/>
      </c>
      <c r="B337">
        <f>Skills!B14</f>
        <v/>
      </c>
      <c r="C337">
        <f>Inputs!$B$3&gt;=75</f>
        <v/>
      </c>
      <c r="D337">
        <f>IF(Skills!C14=1,60+Inputs!$B$25+Inputs!$B$29,IF(Skills!C14=2,90+Inputs!$B$26+Inputs!$B$29,IF(Skills!C14=3,120+Inputs!$B$27+Inputs!$B$29,MAX(0,(Inputs!$B$3-100)*3)+Inputs!$B$28+Inputs!$B$29)))</f>
        <v/>
      </c>
      <c r="E337">
        <f>INDEX(FactorTable!$B$2:$Y$301, MATCH(ROUND(MIN(300,MAX(1,D337)),0), FactorTable!$A$2:$A$301,0), Skills!M14+1)</f>
        <v/>
      </c>
      <c r="F337">
        <f>IF(Skills!N14=TRUE,(Skills!L14/10)*(E337/1000),Skills!L14/10)+Skills!O14</f>
        <v/>
      </c>
      <c r="G337">
        <f>Skills!G14*IF(Skills!H14&gt;0,Skills!I14/Skills!H14,1)</f>
        <v/>
      </c>
      <c r="H337">
        <f>1-(1-Skills!J14/100)^Skills!K14</f>
        <v/>
      </c>
      <c r="I337" t="inlineStr">
        <is>
          <t>1</t>
        </is>
      </c>
      <c r="J337" t="inlineStr"/>
      <c r="K337" t="inlineStr"/>
      <c r="L337" t="inlineStr"/>
      <c r="M337" t="inlineStr"/>
      <c r="N337" t="inlineStr"/>
      <c r="O337">
        <f>(1-Summary!$B$11)*T337+Summary!$B$11*V337</f>
        <v/>
      </c>
      <c r="P337">
        <f>IF(B362=0,0,O337/B362)</f>
        <v/>
      </c>
      <c r="Q337" t="n">
        <v>0</v>
      </c>
      <c r="R337" t="n">
        <v>0</v>
      </c>
      <c r="S337">
        <f>IFERROR(O337/N337,0)</f>
        <v/>
      </c>
      <c r="T337" t="n">
        <v>0</v>
      </c>
      <c r="V337" t="n">
        <v>0</v>
      </c>
    </row>
    <row r="338">
      <c r="A338">
        <f>Skills!A15</f>
        <v/>
      </c>
      <c r="B338">
        <f>Skills!B15</f>
        <v/>
      </c>
      <c r="C338">
        <f>Inputs!$B$3&gt;=40</f>
        <v/>
      </c>
      <c r="D338">
        <f>IF(Skills!C15=1,60+Inputs!$B$25+Inputs!$B$29,IF(Skills!C15=2,90+Inputs!$B$26+Inputs!$B$29,IF(Skills!C15=3,120+Inputs!$B$27+Inputs!$B$29,MAX(0,(Inputs!$B$3-100)*3)+Inputs!$B$28+Inputs!$B$29)))</f>
        <v/>
      </c>
      <c r="E338">
        <f>INDEX(FactorTable!$B$2:$Y$301, MATCH(ROUND(MIN(300,MAX(1,D338)),0), FactorTable!$A$2:$A$301,0), Skills!M15+1)</f>
        <v/>
      </c>
      <c r="F338">
        <f>IF(Skills!N15=TRUE,(Skills!L15/10)*(E338/1000),Skills!L15/10)+Skills!O15</f>
        <v/>
      </c>
      <c r="G338">
        <f>Skills!G15*IF(Skills!H15&gt;0,Skills!I15/Skills!H15,1)</f>
        <v/>
      </c>
      <c r="H338">
        <f>1-(1-Skills!J15/100)^Skills!K15</f>
        <v/>
      </c>
      <c r="I338" t="inlineStr">
        <is>
          <t>1</t>
        </is>
      </c>
      <c r="J338" t="inlineStr"/>
      <c r="K338" t="inlineStr"/>
      <c r="L338" t="inlineStr"/>
      <c r="M338" t="inlineStr"/>
      <c r="N338" t="inlineStr"/>
      <c r="O338">
        <f>(1-Summary!$B$11)*T338+Summary!$B$11*V338</f>
        <v/>
      </c>
      <c r="P338">
        <f>IF(B362=0,0,O338/B362)</f>
        <v/>
      </c>
      <c r="Q338">
        <f>IFERROR(1/(IF(Inputs!$B$38="pvp",15,MAX(0.1,Skills!D15-IF(Skills!E15=TRUE,Inputs!$B$32,0)))*(1-IF(AND(ArtifactsInput!$M$27,Inputs!$B$4="Chapter Hunt"),CHOOSE(ArtifactsInput!$N$27+1,20,24,28,32,36,40),0)/100)),0)</f>
        <v/>
      </c>
      <c r="R338">
        <f>IF(AND(Inputs!$B$38&lt;&gt;"pvp",Inputs!$B$43&gt;0),IF(Inputs!$B$43&lt;=0,0,(INT(Inputs!$B$43/(IF(Inputs!$B$38="pvp",15,MAX(0.1,Skills!D15-IF(Skills!E15=TRUE,Inputs!$B$32,0)))*(1-IF(AND(ArtifactsInput!$M$27,Inputs!$B$4="Chapter Hunt"),CHOOSE(ArtifactsInput!$N$27+1,20,24,28,32,36,40),0)/100)))+1)),0)</f>
        <v/>
      </c>
      <c r="S338">
        <f>IFERROR(O338/N338,0)</f>
        <v/>
      </c>
      <c r="T338" t="n">
        <v>0</v>
      </c>
      <c r="V338" t="n">
        <v>0</v>
      </c>
    </row>
    <row r="339">
      <c r="A339">
        <f>Skills!A16</f>
        <v/>
      </c>
      <c r="B339">
        <f>Skills!B16</f>
        <v/>
      </c>
      <c r="C339">
        <f>Inputs!$B$3&gt;=66</f>
        <v/>
      </c>
      <c r="D339">
        <f>IF(Skills!C16=1,60+Inputs!$B$25+Inputs!$B$29,IF(Skills!C16=2,90+Inputs!$B$26+Inputs!$B$29,IF(Skills!C16=3,120+Inputs!$B$27+Inputs!$B$29,MAX(0,(Inputs!$B$3-100)*3)+Inputs!$B$28+Inputs!$B$29)))</f>
        <v/>
      </c>
      <c r="E339">
        <f>INDEX(FactorTable!$B$2:$Y$301, MATCH(ROUND(MIN(300,MAX(1,D339)),0), FactorTable!$A$2:$A$301,0), Skills!M16+1)</f>
        <v/>
      </c>
      <c r="F339">
        <f>IF(Skills!N16=TRUE,(Skills!L16/10)*(E339/1000),Skills!L16/10)+Skills!O16</f>
        <v/>
      </c>
      <c r="G339">
        <f>Skills!G16*IF(Skills!H16&gt;0,Skills!I16/Skills!H16,1)</f>
        <v/>
      </c>
      <c r="H339">
        <f>1-(1-Skills!J16/100)^Skills!K16</f>
        <v/>
      </c>
      <c r="I339" t="inlineStr">
        <is>
          <t>1</t>
        </is>
      </c>
      <c r="J339" t="inlineStr"/>
      <c r="K339" t="inlineStr"/>
      <c r="L339" t="inlineStr"/>
      <c r="M339" t="inlineStr"/>
      <c r="N339" t="inlineStr"/>
      <c r="O339">
        <f>(1-Summary!$B$11)*T339+Summary!$B$11*V339</f>
        <v/>
      </c>
      <c r="P339">
        <f>IF(B362=0,0,O339/B362)</f>
        <v/>
      </c>
      <c r="Q339">
        <f>IFERROR(1/(IF(Inputs!$B$38="pvp",15,MAX(0.1,Skills!D16-IF(Skills!E16=TRUE,Inputs!$B$32,0)))*(1-IF(AND(ArtifactsInput!$M$27,Inputs!$B$4="Chapter Hunt"),CHOOSE(ArtifactsInput!$N$27+1,20,24,28,32,36,40),0)/100)),0)</f>
        <v/>
      </c>
      <c r="R339">
        <f>IF(AND(Inputs!$B$38&lt;&gt;"pvp",Inputs!$B$43&gt;0),IF(Inputs!$B$43&lt;=0,0,(INT(Inputs!$B$43/(IF(Inputs!$B$38="pvp",15,MAX(0.1,Skills!D16-IF(Skills!E16=TRUE,Inputs!$B$32,0)))*(1-IF(AND(ArtifactsInput!$M$27,Inputs!$B$4="Chapter Hunt"),CHOOSE(ArtifactsInput!$N$27+1,20,24,28,32,36,40),0)/100)))+1)),0)</f>
        <v/>
      </c>
      <c r="S339">
        <f>IFERROR(O339/N339,0)</f>
        <v/>
      </c>
      <c r="T339" t="n">
        <v>0</v>
      </c>
      <c r="V339" t="n">
        <v>0</v>
      </c>
    </row>
    <row r="340">
      <c r="A340">
        <f>Skills!A17</f>
        <v/>
      </c>
      <c r="B340">
        <f>Skills!B17</f>
        <v/>
      </c>
      <c r="C340">
        <f>Inputs!$B$3&gt;=115</f>
        <v/>
      </c>
      <c r="D340">
        <f>IF(Skills!C17=1,60+Inputs!$B$25+Inputs!$B$29,IF(Skills!C17=2,90+Inputs!$B$26+Inputs!$B$29,IF(Skills!C17=3,120+Inputs!$B$27+Inputs!$B$29,MAX(0,(Inputs!$B$3-100)*3)+Inputs!$B$28+Inputs!$B$29)))</f>
        <v/>
      </c>
      <c r="E340">
        <f>INDEX(FactorTable!$B$2:$Y$301, MATCH(ROUND(MIN(300,MAX(1,D340)),0), FactorTable!$A$2:$A$301,0), Skills!M17+1)</f>
        <v/>
      </c>
      <c r="F340">
        <f>IF(Skills!N17=TRUE,(Skills!L17/10)*(E340/1000),Skills!L17/10)+Skills!O17</f>
        <v/>
      </c>
      <c r="G340">
        <f>Skills!G17*IF(Skills!H17&gt;0,Skills!I17/Skills!H17,1)</f>
        <v/>
      </c>
      <c r="H340">
        <f>1-(1-Skills!J17/100)^Skills!K17</f>
        <v/>
      </c>
      <c r="I340" t="inlineStr">
        <is>
          <t>1</t>
        </is>
      </c>
      <c r="J340" t="inlineStr"/>
      <c r="K340" t="inlineStr"/>
      <c r="L340" t="inlineStr"/>
      <c r="M340" t="inlineStr"/>
      <c r="N340" t="inlineStr"/>
      <c r="O340">
        <f>(1-Summary!$B$11)*T340+Summary!$B$11*V340</f>
        <v/>
      </c>
      <c r="P340">
        <f>IF(B362=0,0,O340/B362)</f>
        <v/>
      </c>
      <c r="Q340">
        <f>IFERROR(1/(IF(Inputs!$B$38="pvp",15,MAX(0.1,Skills!D17-IF(Skills!E17=TRUE,Inputs!$B$32,0)))*(1-IF(AND(ArtifactsInput!$M$27,Inputs!$B$4="Chapter Hunt"),CHOOSE(ArtifactsInput!$N$27+1,20,24,28,32,36,40),0)/100)),0)</f>
        <v/>
      </c>
      <c r="R340">
        <f>IF(AND(Inputs!$B$38&lt;&gt;"pvp",Inputs!$B$43&gt;0),IF(Inputs!$B$43&lt;=0,0,(INT(Inputs!$B$43/(IF(Inputs!$B$38="pvp",15,MAX(0.1,Skills!D17-IF(Skills!E17=TRUE,Inputs!$B$32,0)))*(1-IF(AND(ArtifactsInput!$M$27,Inputs!$B$4="Chapter Hunt"),CHOOSE(ArtifactsInput!$N$27+1,20,24,28,32,36,40),0)/100)))+1)),0)</f>
        <v/>
      </c>
      <c r="S340">
        <f>IFERROR(O340/N340,0)</f>
        <v/>
      </c>
      <c r="T340" t="n">
        <v>0</v>
      </c>
      <c r="V340" t="n">
        <v>0</v>
      </c>
    </row>
    <row r="341">
      <c r="A341">
        <f>Skills!A18</f>
        <v/>
      </c>
      <c r="B341">
        <f>Skills!B18</f>
        <v/>
      </c>
      <c r="C341">
        <f>Inputs!$B$3&gt;=115</f>
        <v/>
      </c>
      <c r="D341">
        <f>IF(Skills!C18=1,60+Inputs!$B$25+Inputs!$B$29,IF(Skills!C18=2,90+Inputs!$B$26+Inputs!$B$29,IF(Skills!C18=3,120+Inputs!$B$27+Inputs!$B$29,MAX(0,(Inputs!$B$3-100)*3)+Inputs!$B$28+Inputs!$B$29)))</f>
        <v/>
      </c>
      <c r="E341">
        <f>INDEX(FactorTable!$B$2:$Y$301, MATCH(ROUND(MIN(300,MAX(1,D341)),0), FactorTable!$A$2:$A$301,0), Skills!M18+1)</f>
        <v/>
      </c>
      <c r="F341">
        <f>IF(Skills!N18=TRUE,(Skills!L18/10)*(E341/1000),Skills!L18/10)+Skills!O18</f>
        <v/>
      </c>
      <c r="G341">
        <f>Skills!G18*IF(Skills!H18&gt;0,Skills!I18/Skills!H18,1)</f>
        <v/>
      </c>
      <c r="H341">
        <f>1-(1-Skills!J18/100)^Skills!K18</f>
        <v/>
      </c>
      <c r="I341" t="inlineStr">
        <is>
          <t>1</t>
        </is>
      </c>
      <c r="J341" t="inlineStr"/>
      <c r="K341" t="inlineStr"/>
      <c r="L341" t="inlineStr"/>
      <c r="M341" t="inlineStr"/>
      <c r="N341" t="inlineStr"/>
      <c r="O341">
        <f>(1-Summary!$B$11)*T341+Summary!$B$11*V341</f>
        <v/>
      </c>
      <c r="P341">
        <f>IF(B362=0,0,O341/B362)</f>
        <v/>
      </c>
      <c r="Q341">
        <f>IFERROR(1/(IF(Inputs!$B$38="pvp",15,MAX(0.1,Skills!D18-IF(Skills!E18=TRUE,Inputs!$B$32,0)))*(1-IF(AND(ArtifactsInput!$M$27,Inputs!$B$4="Chapter Hunt"),CHOOSE(ArtifactsInput!$N$27+1,20,24,28,32,36,40),0)/100)),0)</f>
        <v/>
      </c>
      <c r="R341">
        <f>IF(AND(Inputs!$B$38&lt;&gt;"pvp",Inputs!$B$43&gt;0),IF(Inputs!$B$43&lt;=0,0,(INT(Inputs!$B$43/(IF(Inputs!$B$38="pvp",15,MAX(0.1,Skills!D18-IF(Skills!E18=TRUE,Inputs!$B$32,0)))*(1-IF(AND(ArtifactsInput!$M$27,Inputs!$B$4="Chapter Hunt"),CHOOSE(ArtifactsInput!$N$27+1,20,24,28,32,36,40),0)/100)))+1)),0)</f>
        <v/>
      </c>
      <c r="S341">
        <f>IFERROR(O341/N341,0)</f>
        <v/>
      </c>
      <c r="T341" t="n">
        <v>0</v>
      </c>
      <c r="V341" t="n">
        <v>0</v>
      </c>
    </row>
    <row r="342">
      <c r="A342">
        <f>Skills!A19</f>
        <v/>
      </c>
      <c r="B342">
        <f>Skills!B19</f>
        <v/>
      </c>
      <c r="C342">
        <f>TRUE</f>
        <v/>
      </c>
      <c r="D342">
        <f>IF(Skills!C19=1,60+Inputs!$B$25+Inputs!$B$29,IF(Skills!C19=2,90+Inputs!$B$26+Inputs!$B$29,IF(Skills!C19=3,120+Inputs!$B$27+Inputs!$B$29,MAX(0,(Inputs!$B$3-100)*3)+Inputs!$B$28+Inputs!$B$29)))</f>
        <v/>
      </c>
      <c r="E342">
        <f>INDEX(FactorTable!$B$2:$Y$301, MATCH(ROUND(MIN(300,MAX(1,D342)),0), FactorTable!$A$2:$A$301,0), Skills!M19+1)</f>
        <v/>
      </c>
      <c r="F342">
        <f>IF(Skills!N19=TRUE,(Skills!L19/10)*(E342/1000),Skills!L19/10)+Skills!O19</f>
        <v/>
      </c>
      <c r="G342">
        <f>Skills!G19*IF(Skills!H19&gt;0,Skills!I19/Skills!H19,1)</f>
        <v/>
      </c>
      <c r="H342">
        <f>1-(1-Skills!J19/100)^Skills!K19</f>
        <v/>
      </c>
      <c r="I342" t="inlineStr">
        <is>
          <t>1</t>
        </is>
      </c>
      <c r="J342" t="inlineStr"/>
      <c r="K342" t="inlineStr"/>
      <c r="L342" t="inlineStr"/>
      <c r="M342" t="inlineStr"/>
      <c r="N342" t="inlineStr"/>
      <c r="O342">
        <f>(1-Summary!$B$11)*T342+Summary!$B$11*V342</f>
        <v/>
      </c>
      <c r="P342">
        <f>IF(B362=0,0,O342/B362)</f>
        <v/>
      </c>
      <c r="Q342">
        <f>IFERROR(1/(IF(Inputs!$B$38="pvp",15,MAX(0.1,Skills!D19-IF(Skills!E19=TRUE,Inputs!$B$32,0)))*(1-IF(AND(ArtifactsInput!$M$27,Inputs!$B$4="Chapter Hunt"),CHOOSE(ArtifactsInput!$N$27+1,20,24,28,32,36,40),0)/100)),0)</f>
        <v/>
      </c>
      <c r="R342">
        <f>IF(AND(Inputs!$B$38&lt;&gt;"pvp",Inputs!$B$43&gt;0),IF(Inputs!$B$43&lt;=0,0,(INT(Inputs!$B$43/(IF(Inputs!$B$38="pvp",15,MAX(0.1,Skills!D19-IF(Skills!E19=TRUE,Inputs!$B$32,0)))*(1-IF(AND(ArtifactsInput!$M$27,Inputs!$B$4="Chapter Hunt"),CHOOSE(ArtifactsInput!$N$27+1,20,24,28,32,36,40),0)/100)))+1)),0)</f>
        <v/>
      </c>
      <c r="S342">
        <f>IFERROR(O342/N342,0)</f>
        <v/>
      </c>
      <c r="T342" t="n">
        <v>0</v>
      </c>
      <c r="V342" t="n">
        <v>0</v>
      </c>
    </row>
    <row r="343">
      <c r="A343">
        <f>Skills!A20</f>
        <v/>
      </c>
      <c r="B343">
        <f>Skills!B20</f>
        <v/>
      </c>
      <c r="C343">
        <f>Inputs!$B$3&gt;=33</f>
        <v/>
      </c>
      <c r="D343">
        <f>IF(Skills!C20=1,60+Inputs!$B$25+Inputs!$B$29,IF(Skills!C20=2,90+Inputs!$B$26+Inputs!$B$29,IF(Skills!C20=3,120+Inputs!$B$27+Inputs!$B$29,MAX(0,(Inputs!$B$3-100)*3)+Inputs!$B$28+Inputs!$B$29)))</f>
        <v/>
      </c>
      <c r="E343">
        <f>INDEX(FactorTable!$B$2:$Y$301, MATCH(ROUND(MIN(300,MAX(1,D343)),0), FactorTable!$A$2:$A$301,0), Skills!M20+1)</f>
        <v/>
      </c>
      <c r="F343">
        <f>IF(Skills!N20=TRUE,(Skills!L20/10)*(E343/1000),Skills!L20/10)+Skills!O20</f>
        <v/>
      </c>
      <c r="G343">
        <f>Skills!G20*IF(Skills!H20&gt;0,Skills!I20/Skills!H20,1)</f>
        <v/>
      </c>
      <c r="H343">
        <f>1-(1-Skills!J20/100)^Skills!K20</f>
        <v/>
      </c>
      <c r="I343" t="inlineStr">
        <is>
          <t>1</t>
        </is>
      </c>
      <c r="J343" t="inlineStr"/>
      <c r="K343" t="inlineStr"/>
      <c r="L343" t="inlineStr"/>
      <c r="M343" t="inlineStr"/>
      <c r="N343" t="inlineStr"/>
      <c r="O343">
        <f>(1-Summary!$B$11)*T343+Summary!$B$11*V343</f>
        <v/>
      </c>
      <c r="P343">
        <f>IF(B362=0,0,O343/B362)</f>
        <v/>
      </c>
      <c r="Q343" t="n">
        <v>0</v>
      </c>
      <c r="R343" t="n">
        <v>0</v>
      </c>
      <c r="S343">
        <f>IFERROR(O343/N343,0)</f>
        <v/>
      </c>
      <c r="T343" t="n">
        <v>0</v>
      </c>
      <c r="V343" t="n">
        <v>0</v>
      </c>
    </row>
    <row r="344">
      <c r="A344">
        <f>Skills!A21</f>
        <v/>
      </c>
      <c r="B344">
        <f>Skills!B21</f>
        <v/>
      </c>
      <c r="C344">
        <f>Inputs!$B$3&gt;=38</f>
        <v/>
      </c>
      <c r="D344">
        <f>IF(Skills!C21=1,60+Inputs!$B$25+Inputs!$B$29,IF(Skills!C21=2,90+Inputs!$B$26+Inputs!$B$29,IF(Skills!C21=3,120+Inputs!$B$27+Inputs!$B$29,MAX(0,(Inputs!$B$3-100)*3)+Inputs!$B$28+Inputs!$B$29)))</f>
        <v/>
      </c>
      <c r="E344">
        <f>INDEX(FactorTable!$B$2:$Y$301, MATCH(ROUND(MIN(300,MAX(1,D344)),0), FactorTable!$A$2:$A$301,0), Skills!M21+1)</f>
        <v/>
      </c>
      <c r="F344">
        <f>IF(Skills!N21=TRUE,(Skills!L21/10)*(E344/1000),Skills!L21/10)+Skills!O21</f>
        <v/>
      </c>
      <c r="G344">
        <f>Skills!G21*IF(Skills!H21&gt;0,Skills!I21/Skills!H21,1)</f>
        <v/>
      </c>
      <c r="H344">
        <f>1-(1-Skills!J21/100)^Skills!K21</f>
        <v/>
      </c>
      <c r="I344" t="inlineStr">
        <is>
          <t>1</t>
        </is>
      </c>
      <c r="J344" t="inlineStr"/>
      <c r="K344" t="inlineStr"/>
      <c r="L344" t="inlineStr"/>
      <c r="M344" t="inlineStr"/>
      <c r="N344" t="inlineStr"/>
      <c r="O344">
        <f>(1-Summary!$B$11)*T344+Summary!$B$11*V344</f>
        <v/>
      </c>
      <c r="P344">
        <f>IF(B362=0,0,O344/B362)</f>
        <v/>
      </c>
      <c r="Q344" t="n">
        <v>0</v>
      </c>
      <c r="R344" t="n">
        <v>0</v>
      </c>
      <c r="S344">
        <f>IFERROR(O344/N344,0)</f>
        <v/>
      </c>
      <c r="T344" t="n">
        <v>0</v>
      </c>
      <c r="V344" t="n">
        <v>0</v>
      </c>
    </row>
    <row r="345">
      <c r="A345">
        <f>Skills!A22</f>
        <v/>
      </c>
      <c r="B345">
        <f>Skills!B22</f>
        <v/>
      </c>
      <c r="C345">
        <f>Inputs!$B$3&gt;=43</f>
        <v/>
      </c>
      <c r="D345">
        <f>IF(Skills!C22=1,60+Inputs!$B$25+Inputs!$B$29,IF(Skills!C22=2,90+Inputs!$B$26+Inputs!$B$29,IF(Skills!C22=3,120+Inputs!$B$27+Inputs!$B$29,MAX(0,(Inputs!$B$3-100)*3)+Inputs!$B$28+Inputs!$B$29)))</f>
        <v/>
      </c>
      <c r="E345">
        <f>INDEX(FactorTable!$B$2:$Y$301, MATCH(ROUND(MIN(300,MAX(1,D345)),0), FactorTable!$A$2:$A$301,0), Skills!M22+1)</f>
        <v/>
      </c>
      <c r="F345">
        <f>IF(Skills!N22=TRUE,(Skills!L22/10)*(E345/1000),Skills!L22/10)+Skills!O22</f>
        <v/>
      </c>
      <c r="G345">
        <f>Skills!G22*IF(Skills!H22&gt;0,Skills!I22/Skills!H22,1)</f>
        <v/>
      </c>
      <c r="H345">
        <f>1-(1-Skills!J22/100)^Skills!K22</f>
        <v/>
      </c>
      <c r="I345" t="inlineStr">
        <is>
          <t>1</t>
        </is>
      </c>
      <c r="J345" t="inlineStr"/>
      <c r="K345" t="inlineStr"/>
      <c r="L345" t="inlineStr"/>
      <c r="M345" t="inlineStr"/>
      <c r="N345" t="inlineStr"/>
      <c r="O345">
        <f>(1-Summary!$B$11)*T345+Summary!$B$11*V345</f>
        <v/>
      </c>
      <c r="P345">
        <f>IF(B362=0,0,O345/B362)</f>
        <v/>
      </c>
      <c r="Q345" t="n">
        <v>0</v>
      </c>
      <c r="R345" t="n">
        <v>0</v>
      </c>
      <c r="S345">
        <f>IFERROR(O345/N345,0)</f>
        <v/>
      </c>
      <c r="T345" t="n">
        <v>0</v>
      </c>
      <c r="V345" t="n">
        <v>0</v>
      </c>
    </row>
    <row r="346">
      <c r="A346">
        <f>Skills!A23</f>
        <v/>
      </c>
      <c r="B346">
        <f>Skills!B23</f>
        <v/>
      </c>
      <c r="C346">
        <f>Inputs!$B$3&gt;=120</f>
        <v/>
      </c>
      <c r="D346">
        <f>IF(Skills!C23=1,60+Inputs!$B$25+Inputs!$B$29,IF(Skills!C23=2,90+Inputs!$B$26+Inputs!$B$29,IF(Skills!C23=3,120+Inputs!$B$27+Inputs!$B$29,MAX(0,(Inputs!$B$3-100)*3)+Inputs!$B$28+Inputs!$B$29)))</f>
        <v/>
      </c>
      <c r="E346">
        <f>INDEX(FactorTable!$B$2:$Y$301, MATCH(ROUND(MIN(300,MAX(1,D346)),0), FactorTable!$A$2:$A$301,0), Skills!M23+1)</f>
        <v/>
      </c>
      <c r="F346">
        <f>IF(Skills!N23=TRUE,(Skills!L23/10)*(E346/1000),Skills!L23/10)+Skills!O23</f>
        <v/>
      </c>
      <c r="G346">
        <f>Skills!G23*IF(Skills!H23&gt;0,Skills!I23/Skills!H23,1)</f>
        <v/>
      </c>
      <c r="H346">
        <f>1-(1-Skills!J23/100)^Skills!K23</f>
        <v/>
      </c>
      <c r="I346" t="inlineStr">
        <is>
          <t>1</t>
        </is>
      </c>
      <c r="J346" t="inlineStr"/>
      <c r="K346" t="inlineStr"/>
      <c r="L346" t="inlineStr"/>
      <c r="M346" t="inlineStr"/>
      <c r="N346" t="inlineStr"/>
      <c r="O346">
        <f>(1-Summary!$B$11)*T346+Summary!$B$11*V346</f>
        <v/>
      </c>
      <c r="P346">
        <f>IF(B362=0,0,O346/B362)</f>
        <v/>
      </c>
      <c r="Q346" t="n">
        <v>0</v>
      </c>
      <c r="R346" t="n">
        <v>0</v>
      </c>
      <c r="S346">
        <f>IFERROR(O346/N346,0)</f>
        <v/>
      </c>
      <c r="T346" t="n">
        <v>0</v>
      </c>
      <c r="V346" t="n">
        <v>0</v>
      </c>
    </row>
    <row r="347">
      <c r="A347">
        <f>Skills!A24</f>
        <v/>
      </c>
      <c r="B347">
        <f>Skills!B24</f>
        <v/>
      </c>
      <c r="C347">
        <f>Inputs!$B$3&gt;=120</f>
        <v/>
      </c>
      <c r="D347">
        <f>IF(Skills!C24=1,60+Inputs!$B$25+Inputs!$B$29,IF(Skills!C24=2,90+Inputs!$B$26+Inputs!$B$29,IF(Skills!C24=3,120+Inputs!$B$27+Inputs!$B$29,MAX(0,(Inputs!$B$3-100)*3)+Inputs!$B$28+Inputs!$B$29)))</f>
        <v/>
      </c>
      <c r="E347">
        <f>INDEX(FactorTable!$B$2:$Y$301, MATCH(ROUND(MIN(300,MAX(1,D347)),0), FactorTable!$A$2:$A$301,0), Skills!M24+1)</f>
        <v/>
      </c>
      <c r="F347">
        <f>IF(Skills!N24=TRUE,(Skills!L24/10)*(E347/1000),Skills!L24/10)+Skills!O24</f>
        <v/>
      </c>
      <c r="G347">
        <f>Skills!G24*IF(Skills!H24&gt;0,Skills!I24/Skills!H24,1)</f>
        <v/>
      </c>
      <c r="H347">
        <f>1-(1-Skills!J24/100)^Skills!K24</f>
        <v/>
      </c>
      <c r="I347" t="inlineStr">
        <is>
          <t>1</t>
        </is>
      </c>
      <c r="J347" t="inlineStr"/>
      <c r="K347" t="inlineStr"/>
      <c r="L347" t="inlineStr"/>
      <c r="M347" t="inlineStr"/>
      <c r="N347" t="inlineStr"/>
      <c r="O347">
        <f>(1-Summary!$B$11)*T347+Summary!$B$11*V347</f>
        <v/>
      </c>
      <c r="P347">
        <f>IF(B362=0,0,O347/B362)</f>
        <v/>
      </c>
      <c r="Q347" t="n">
        <v>0</v>
      </c>
      <c r="R347" t="n">
        <v>0</v>
      </c>
      <c r="S347">
        <f>IFERROR(O347/N347,0)</f>
        <v/>
      </c>
      <c r="T347" t="n">
        <v>0</v>
      </c>
      <c r="V347" t="n">
        <v>0</v>
      </c>
    </row>
    <row r="348">
      <c r="A348">
        <f>Skills!A25</f>
        <v/>
      </c>
      <c r="B348">
        <f>Skills!B25</f>
        <v/>
      </c>
      <c r="C348">
        <f>Inputs!$B$3&gt;=125</f>
        <v/>
      </c>
      <c r="D348">
        <f>IF(Skills!C25=1,60+Inputs!$B$25+Inputs!$B$29,IF(Skills!C25=2,90+Inputs!$B$26+Inputs!$B$29,IF(Skills!C25=3,120+Inputs!$B$27+Inputs!$B$29,MAX(0,(Inputs!$B$3-100)*3)+Inputs!$B$28+Inputs!$B$29)))</f>
        <v/>
      </c>
      <c r="E348">
        <f>INDEX(FactorTable!$B$2:$Y$301, MATCH(ROUND(MIN(300,MAX(1,D348)),0), FactorTable!$A$2:$A$301,0), Skills!M25+1)</f>
        <v/>
      </c>
      <c r="F348">
        <f>IF(Skills!N25=TRUE,(Skills!L25/10)*(E348/1000),Skills!L25/10)+Skills!O25</f>
        <v/>
      </c>
      <c r="G348">
        <f>Skills!G25*IF(Skills!H25&gt;0,Skills!I25/Skills!H25,1)</f>
        <v/>
      </c>
      <c r="H348">
        <f>1-(1-Skills!J25/100)^Skills!K25</f>
        <v/>
      </c>
      <c r="I348" t="inlineStr">
        <is>
          <t>1</t>
        </is>
      </c>
      <c r="J348" t="inlineStr"/>
      <c r="K348" t="inlineStr"/>
      <c r="L348" t="inlineStr"/>
      <c r="M348" t="inlineStr"/>
      <c r="N348" t="inlineStr"/>
      <c r="O348">
        <f>(1-Summary!$B$11)*T348+Summary!$B$11*V348</f>
        <v/>
      </c>
      <c r="P348">
        <f>IF(B362=0,0,O348/B362)</f>
        <v/>
      </c>
      <c r="Q348" t="n">
        <v>0</v>
      </c>
      <c r="R348" t="n">
        <v>0</v>
      </c>
      <c r="S348">
        <f>IFERROR(O348/N348,0)</f>
        <v/>
      </c>
      <c r="T348" t="n">
        <v>0</v>
      </c>
      <c r="V348" t="n">
        <v>0</v>
      </c>
    </row>
    <row r="349">
      <c r="A349">
        <f>Skills!A26</f>
        <v/>
      </c>
      <c r="B349">
        <f>Skills!B26</f>
        <v/>
      </c>
      <c r="C349">
        <f>Inputs!$B$3&gt;=72</f>
        <v/>
      </c>
      <c r="D349">
        <f>IF(Skills!C26=1,60+Inputs!$B$25+Inputs!$B$29,IF(Skills!C26=2,90+Inputs!$B$26+Inputs!$B$29,IF(Skills!C26=3,120+Inputs!$B$27+Inputs!$B$29,MAX(0,(Inputs!$B$3-100)*3)+Inputs!$B$28+Inputs!$B$29)))</f>
        <v/>
      </c>
      <c r="E349">
        <f>INDEX(FactorTable!$B$2:$Y$301, MATCH(ROUND(MIN(300,MAX(1,D349)),0), FactorTable!$A$2:$A$301,0), Skills!M26+1)</f>
        <v/>
      </c>
      <c r="F349">
        <f>IF(Skills!N26=TRUE,(Skills!L26/10)*(E349/1000),Skills!L26/10)+Skills!O26</f>
        <v/>
      </c>
      <c r="G349">
        <f>Skills!G26*IF(Skills!H26&gt;0,Skills!I26/Skills!H26,1)</f>
        <v/>
      </c>
      <c r="H349">
        <f>1-(1-Skills!J26/100)^Skills!K26</f>
        <v/>
      </c>
      <c r="I349" t="inlineStr">
        <is>
          <t>1</t>
        </is>
      </c>
      <c r="J349" t="inlineStr"/>
      <c r="K349" t="inlineStr"/>
      <c r="L349" t="inlineStr"/>
      <c r="M349" t="inlineStr"/>
      <c r="N349" t="inlineStr"/>
      <c r="O349">
        <f>(1-Summary!$B$11)*T349+Summary!$B$11*V349</f>
        <v/>
      </c>
      <c r="P349">
        <f>IF(B362=0,0,O349/B362)</f>
        <v/>
      </c>
      <c r="Q349" t="n">
        <v>0</v>
      </c>
      <c r="R349" t="n">
        <v>0</v>
      </c>
      <c r="S349">
        <f>IFERROR(O349/N349,0)</f>
        <v/>
      </c>
      <c r="T349" t="n">
        <v>0</v>
      </c>
      <c r="V349" t="n">
        <v>0</v>
      </c>
    </row>
    <row r="351">
      <c r="A351" t="inlineStr">
        <is>
          <t>Attack% Bucket Multiplier</t>
        </is>
      </c>
      <c r="B351">
        <f>(1+(((C336=TRUE)*F336*IF(Inputs!$B$3&gt;=110,7,5))+((C338=TRUE)*F338*IF(AND(Inputs!$B$38&lt;&gt;"pvp",Inputs!$B$43&gt;0),(((R338-1)*(Skills!T15*(1+(Inputs!$B$34+(ArtifactsInput!$M$7-ArtifactsInput!$M$7)*CHOOSE(ArtifactsInput!$N$7+1,6,7.2,8.4,9.6,10.8,12))/100))+MIN((Skills!T15*(1+(Inputs!$B$34+(ArtifactsInput!$M$7-ArtifactsInput!$M$7)*CHOOSE(ArtifactsInput!$N$7+1,6,7.2,8.4,9.6,10.8,12))/100)),MAX(0,Inputs!$B$43-((R338-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52">
      <c r="A352" t="inlineStr">
        <is>
          <t>Global Crit Rate Bonus %</t>
        </is>
      </c>
      <c r="B352" t="n">
        <v>0</v>
      </c>
    </row>
    <row r="353">
      <c r="A353" t="inlineStr">
        <is>
          <t>Attack Speed Buff Bonus %</t>
        </is>
      </c>
      <c r="B353">
        <f>((C342=TRUE)*F342*IF(AND(Inputs!$B$38&lt;&gt;"pvp",Inputs!$B$43&gt;0),(((R342-1)*(Skills!T19*(1+(Inputs!$B$34+(ArtifactsInput!$M$7-ArtifactsInput!$M$7)*CHOOSE(ArtifactsInput!$N$7+1,6,7.2,8.4,9.6,10.8,12))/100))+MIN((Skills!T19*(1+(Inputs!$B$34+(ArtifactsInput!$M$7-ArtifactsInput!$M$7)*CHOOSE(ArtifactsInput!$N$7+1,6,7.2,8.4,9.6,10.8,12))/100)),MAX(0,Inputs!$B$43-((R342-1)*Skills!D19))))/Inputs!$B$43),IF(Inputs!$B$38="pvp",MIN((Skills!T19*(1+(Inputs!$B$34+(ArtifactsInput!$M$7-ArtifactsInput!$M$7)*CHOOSE(ArtifactsInput!$N$7+1,6,7.2,8.4,9.6,10.8,12))/100)),15)/15,(Skills!T19*(1+(Inputs!$B$34+(ArtifactsInput!$M$7-ArtifactsInput!$M$7)*CHOOSE(ArtifactsInput!$N$7+1,6,7.2,8.4,9.6,10.8,12))/100))/Skills!D19)))</f>
        <v/>
      </c>
    </row>
    <row r="354">
      <c r="A354" t="inlineStr">
        <is>
          <t>Actions Per Second</t>
        </is>
      </c>
      <c r="B354">
        <f>1+MIN(150,150*(1-(1-(Inputs!$B$11+((C343=TRUE)*(F343-Calc!F20)))/150)*(1-B353/150)))/100</f>
        <v/>
      </c>
    </row>
    <row r="355">
      <c r="A355" t="inlineStr">
        <is>
          <t>Skill + Buff Cast Rate</t>
        </is>
      </c>
      <c r="B355">
        <f>IF(AND(Inputs!$B$38&lt;&gt;"pvp",Inputs!$B$43&gt;0),SUMPRODUCT((Skills!E2:E26=TRUE)*(C325:C349=TRUE)*R325:R349*Skills!F2:F26)/Inputs!$B$43,SUMPRODUCT((Skills!E2:E26=TRUE)*(C325:C349=TRUE)*Q325:Q349*Skills!F2:F26))</f>
        <v/>
      </c>
    </row>
    <row r="356">
      <c r="A356" t="inlineStr">
        <is>
          <t>Raging Blow Casts Per Second</t>
        </is>
      </c>
      <c r="B356">
        <f>MAX(0,B354-B355)</f>
        <v/>
      </c>
    </row>
    <row r="357">
      <c r="A357" t="inlineStr">
        <is>
          <t>Global Critical Damage Bonus % (Enrage)</t>
        </is>
      </c>
      <c r="B357">
        <f>((C341=TRUE)*F341*IF(AND(Inputs!$B$38&lt;&gt;"pvp",Inputs!$B$43&gt;0),(((R341-1)*(Skills!T18*(1+(Inputs!$B$34+(ArtifactsInput!$M$7-ArtifactsInput!$M$7)*CHOOSE(ArtifactsInput!$N$7+1,6,7.2,8.4,9.6,10.8,12))/100))+MIN((Skills!T18*(1+(Inputs!$B$34+(ArtifactsInput!$M$7-ArtifactsInput!$M$7)*CHOOSE(ArtifactsInput!$N$7+1,6,7.2,8.4,9.6,10.8,12))/100)),MAX(0,Inputs!$B$43-((R341-1)*Skills!D18))))/Inputs!$B$43),IF(Inputs!$B$38="pvp",MIN((Skills!T18*(1+(Inputs!$B$34+(ArtifactsInput!$M$7-ArtifactsInput!$M$7)*CHOOSE(ArtifactsInput!$N$7+1,6,7.2,8.4,9.6,10.8,12))/100)),15)/15,(Skills!T18*(1+(Inputs!$B$34+(ArtifactsInput!$M$7-ArtifactsInput!$M$7)*CHOOSE(ArtifactsInput!$N$7+1,6,7.2,8.4,9.6,10.8,12))/100))/Skills!D18)))</f>
        <v/>
      </c>
    </row>
    <row r="358">
      <c r="A358" t="inlineStr">
        <is>
          <t>Global Final Damage Bonus % (Enrage + Combo Synergy)</t>
        </is>
      </c>
      <c r="B358">
        <f>((C340=TRUE)*F340*IF(AND(Inputs!$B$38&lt;&gt;"pvp",Inputs!$B$43&gt;0),(((R340-1)*(Skills!T17*(1+(Inputs!$B$34+(ArtifactsInput!$M$7-ArtifactsInput!$M$7)*CHOOSE(ArtifactsInput!$N$7+1,6,7.2,8.4,9.6,10.8,12))/100))+MIN((Skills!T17*(1+(Inputs!$B$34+(ArtifactsInput!$M$7-ArtifactsInput!$M$7)*CHOOSE(ArtifactsInput!$N$7+1,6,7.2,8.4,9.6,10.8,12))/100)),MAX(0,Inputs!$B$43-((R340-1)*Skills!D17))))/Inputs!$B$43),IF(Inputs!$B$38="pvp",MIN((Skills!T17*(1+(Inputs!$B$34+(ArtifactsInput!$M$7-ArtifactsInput!$M$7)*CHOOSE(ArtifactsInput!$N$7+1,6,7.2,8.4,9.6,10.8,12))/100)),15)/15,(Skills!T17*(1+(Inputs!$B$34+(ArtifactsInput!$M$7-ArtifactsInput!$M$7)*CHOOSE(ArtifactsInput!$N$7+1,6,7.2,8.4,9.6,10.8,12))/100))/Skills!D17)))+((C337=TRUE)*F337*IF(Inputs!$B$3&gt;=110,7,5))</f>
        <v/>
      </c>
    </row>
    <row r="359">
      <c r="A359" t="inlineStr">
        <is>
          <t>Buff-Casting Startup Delay (s, fixed-duration only)</t>
        </is>
      </c>
      <c r="B359">
        <f>IF(AND(Inputs!$B$38&lt;&gt;"pvp",Inputs!$B$43&gt;0),SUMPRODUCT((Skills!T2:T26&gt;0)*(Skills!E2:E26=TRUE)*(C325:C349=TRUE))/B354,0)</f>
        <v/>
      </c>
    </row>
    <row r="360">
      <c r="A360" t="inlineStr">
        <is>
          <t>Boss-Only Total DPS (this block's swept value)</t>
        </is>
      </c>
      <c r="B360">
        <f>SUM(T325:T349)</f>
        <v/>
      </c>
    </row>
    <row r="361">
      <c r="A361" t="inlineStr">
        <is>
          <t>Normal-Only Total DPS (this block's swept value)</t>
        </is>
      </c>
      <c r="B361">
        <f>SUM(V325:V349)</f>
        <v/>
      </c>
    </row>
    <row r="362">
      <c r="A362" s="6" t="inlineStr">
        <is>
          <t>TOTAL DPS</t>
        </is>
      </c>
      <c r="B362" s="6">
        <f>SUM(O325:O349)</f>
        <v/>
      </c>
    </row>
    <row r="365">
      <c r="A365" s="6" t="inlineStr">
        <is>
          <t>Stat: FINAL_DAMAGE % (multiplicative source)</t>
        </is>
      </c>
    </row>
    <row r="366">
      <c r="A366" s="5" t="inlineStr">
        <is>
          <t>Key</t>
        </is>
      </c>
      <c r="B366" s="5" t="inlineStr">
        <is>
          <t>Name</t>
        </is>
      </c>
      <c r="C366" s="5" t="inlineStr">
        <is>
          <t>Unlocked</t>
        </is>
      </c>
      <c r="D366" s="5" t="inlineStr">
        <is>
          <t>InputLevel</t>
        </is>
      </c>
      <c r="E366" s="5" t="inlineStr">
        <is>
          <t>Factor</t>
        </is>
      </c>
      <c r="F366" s="5" t="inlineStr">
        <is>
          <t>CoefficientPercent</t>
        </is>
      </c>
      <c r="G366" s="5" t="inlineStr">
        <is>
          <t>EffectiveHits</t>
        </is>
      </c>
      <c r="H366" s="5" t="inlineStr">
        <is>
          <t>ProcProbability</t>
        </is>
      </c>
      <c r="I366" s="5" t="inlineStr">
        <is>
          <t>MapleHeroMultiplier</t>
        </is>
      </c>
      <c r="J366" s="5" t="inlineStr">
        <is>
          <t>BaseDamage</t>
        </is>
      </c>
      <c r="K366" s="5" t="inlineStr">
        <is>
          <t>BaseHitDamage</t>
        </is>
      </c>
      <c r="L366" s="5" t="inlineStr">
        <is>
          <t>NonCritAvg</t>
        </is>
      </c>
      <c r="M366" s="5" t="inlineStr">
        <is>
          <t>CritAvg</t>
        </is>
      </c>
      <c r="N366" s="5" t="inlineStr">
        <is>
          <t>ExpectedDamage(perHit)</t>
        </is>
      </c>
      <c r="O366" s="5" t="inlineStr">
        <is>
          <t>DPS</t>
        </is>
      </c>
      <c r="P366" s="5" t="inlineStr">
        <is>
          <t>% of Total</t>
        </is>
      </c>
      <c r="Q366" s="5" t="inlineStr">
        <is>
          <t>InvCooldown</t>
        </is>
      </c>
      <c r="R366" s="5" t="inlineStr">
        <is>
          <t>CastsInFight</t>
        </is>
      </c>
      <c r="S366" s="5" t="inlineStr">
        <is>
          <t>HitRate(perSec)</t>
        </is>
      </c>
      <c r="U366" t="inlineStr">
        <is>
          <t>helpers</t>
        </is>
      </c>
    </row>
    <row r="367">
      <c r="A367">
        <f>Skills!A2</f>
        <v/>
      </c>
      <c r="B367">
        <f>Skills!B2</f>
        <v/>
      </c>
      <c r="C367">
        <f>Inputs!$B$3&gt;=100</f>
        <v/>
      </c>
      <c r="D367" t="inlineStr"/>
      <c r="E367" t="inlineStr"/>
      <c r="F367">
        <f>U369+Skills!O2</f>
        <v/>
      </c>
      <c r="G367">
        <f>Skills!G2*IF(Skills!H2&gt;0,Skills!I2/Skills!H2,1)</f>
        <v/>
      </c>
      <c r="H367">
        <f>1-(1-Skills!J2/100)^Skills!K2</f>
        <v/>
      </c>
      <c r="I367" t="inlineStr">
        <is>
          <t>1</t>
        </is>
      </c>
      <c r="J367">
        <f>((Inputs!$B$6*(1+Inputs!$B$7/100))+(((Inputs!$B$12*(1+Inputs!$B$13/100))-(Inputs!$B$12*(1+Inputs!$B$13/100)))+0.25*(Inputs!$B$14-Inputs!$B$14))*(1+Inputs!$B$7/100))*(F367/100)</f>
        <v/>
      </c>
      <c r="K367">
        <f>J367*(1+((Inputs!$B$12*(1+Inputs!$B$13/100))*0.01+Inputs!$B$14*0.0025)/100)*(1+Inputs!$B$15/100)*(1+Inputs!$B$16/100)*(5000/(6000+Inputs!$B$42*(1-(100*(1-(1-(Inputs!$B$19+0)/100)*(1-CHOOSE(ArtifactsInput!$N$40+1,5,6,7,8,9,10)/100)^(ArtifactsInput!$M$40-ArtifactsInput!$M$40)))/100)))*(1+(((((1+(Inputs!$B$24+Summary!$B$21)/100)*(1.01))-1)*100-(Summary!$B$21))+((C390=TRUE)*(F390-Calc!F25))+B400)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386=TRUE)*(F386-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388=TRUE)*(F388-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378=TRUE)*F378*IF(Inputs!$B$3&gt;=110,7,5))+((C380=TRUE)*F380*IF(AND(Inputs!$B$38&lt;&gt;"pvp",Inputs!$B$43&gt;0),(((R380-1)*(Skills!T15*(1+(Inputs!$B$34+(ArtifactsInput!$M$7-ArtifactsInput!$M$7)*CHOOSE(ArtifactsInput!$N$7+1,6,7.2,8.4,9.6,10.8,12))/100))+MIN((Skills!T15*(1+(Inputs!$B$34+(ArtifactsInput!$M$7-ArtifactsInput!$M$7)*CHOOSE(ArtifactsInput!$N$7+1,6,7.2,8.4,9.6,10.8,12))/100)),MAX(0,Inputs!$B$43-((R380-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Hunt"),CHOOSE(ArtifactsInput!$N$35+1,15,18,21,24,27,30)*(1-EXP(-(0.2*B396)*5)),0)+IF(AND(ArtifactsInput!$M$22,Inputs!$B$4&lt;&gt;"Chapter Hunt"),CHOOSE(ArtifactsInput!$N$22+1,10,12,14,16,18,20)*((0*(((0.15*B396*5))^0/1)+1*(((0.15*B396*5))^1/1)+2*(((0.15*B396*5))^2/2)+3*(((0.15*B396*5))^3/6)+4*(((0.15*B396*5))^4/24)+5*(((0.15*B396*5))^5/120))/((((0.15*B396*5))^0/1)+(((0.15*B396*5))^1/1)+(((0.15*B396*5))^2/2)+(((0.15*B396*5))^3/6)+(((0.15*B396*5))^4/24)+(((0.15*B396*5))^5/120))),0)))/100)*I367)</f>
        <v/>
      </c>
      <c r="L367">
        <f>K367*(MIN(Inputs!$B$22+((C387=TRUE)*(F387-Calc!F22)),(Inputs!$B$23+((C389=TRUE)*(F389-Calc!F24))+(IF(ArtifactsInput!$M$15,CHOOSE(ArtifactsInput!$N$15+1,25,30,35,40,45,50)/100*(Inputs!$B$11-Inputs!$B$11),0))))/100+(Inputs!$B$23+((C389=TRUE)*(F389-Calc!F24))+(IF(ArtifactsInput!$M$15,CHOOSE(ArtifactsInput!$N$15+1,25,30,35,40,45,50)/100*(Inputs!$B$11-Inputs!$B$11),0)))/100)/2</f>
        <v/>
      </c>
      <c r="M367">
        <f>L367*(1+(Inputs!$B$10+0+B399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7">
        <f>L367*(1-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367*(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7">
        <f>(1-Summary!$B$11)*T367+Summary!$B$11*V367</f>
        <v/>
      </c>
      <c r="P367">
        <f>IF(B404=0,0,O367/B404)</f>
        <v/>
      </c>
      <c r="Q367" t="n">
        <v>0</v>
      </c>
      <c r="R367" t="n">
        <v>0</v>
      </c>
      <c r="S367">
        <f>IFERROR(O367/N367,0)</f>
        <v/>
      </c>
      <c r="T367">
        <f>IF(C367,(Skills!G2*N367*B398)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367*(1-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367*(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367*(1-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367*(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67">
        <f>MAX(0,(Inputs!$B$3-100)*3)+Inputs!$B$28+Inputs!$B$29</f>
        <v/>
      </c>
      <c r="V367">
        <f>IF(C367,(Skills!G2*N367*B398)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8">
      <c r="A368">
        <f>Skills!A3</f>
        <v/>
      </c>
      <c r="B368">
        <f>Skills!B3</f>
        <v/>
      </c>
      <c r="C368">
        <f>Inputs!$B$3&gt;=50</f>
        <v/>
      </c>
      <c r="D368">
        <f>IF(Skills!C3=1,60+Inputs!$B$25+Inputs!$B$29,IF(Skills!C3=2,90+Inputs!$B$26+Inputs!$B$29,IF(Skills!C3=3,120+Inputs!$B$27+Inputs!$B$29,MAX(0,(Inputs!$B$3-100)*3)+Inputs!$B$28+Inputs!$B$29)))</f>
        <v/>
      </c>
      <c r="E368">
        <f>INDEX(FactorTable!$B$2:$Y$301, MATCH(ROUND(MIN(300,MAX(1,D368)),0), FactorTable!$A$2:$A$301,0), Skills!M3+1)</f>
        <v/>
      </c>
      <c r="F368">
        <f>IF(Skills!N3=TRUE,(Skills!L3/10)*(E368/1000),Skills!L3/10)+Skills!O3</f>
        <v/>
      </c>
      <c r="G368" t="inlineStr"/>
      <c r="H368" t="inlineStr"/>
      <c r="I368" t="inlineStr">
        <is>
          <t>1</t>
        </is>
      </c>
      <c r="J368" t="inlineStr"/>
      <c r="K368" t="inlineStr"/>
      <c r="L368" t="inlineStr"/>
      <c r="M368" t="inlineStr"/>
      <c r="N368" t="inlineStr"/>
      <c r="O368" t="inlineStr"/>
      <c r="P368" t="inlineStr"/>
      <c r="Q368" t="inlineStr"/>
      <c r="R368" t="inlineStr"/>
      <c r="S368" t="inlineStr"/>
      <c r="U368">
        <f>INDEX(FactorTable!$B$2:$Y$301, MATCH(ROUND(MIN(300,MAX(1,U367)),0), FactorTable!$A$2:$A$301,0), 22)</f>
        <v/>
      </c>
    </row>
    <row r="369">
      <c r="A369">
        <f>Skills!A4</f>
        <v/>
      </c>
      <c r="B369">
        <f>Skills!B4</f>
        <v/>
      </c>
      <c r="C369">
        <f>Inputs!$B$3&gt;=105</f>
        <v/>
      </c>
      <c r="D369">
        <f>IF(Skills!C4=1,60+Inputs!$B$25+Inputs!$B$29,IF(Skills!C4=2,90+Inputs!$B$26+Inputs!$B$29,IF(Skills!C4=3,120+Inputs!$B$27+Inputs!$B$29,MAX(0,(Inputs!$B$3-100)*3)+Inputs!$B$28+Inputs!$B$29)))</f>
        <v/>
      </c>
      <c r="E369">
        <f>INDEX(FactorTable!$B$2:$Y$301, MATCH(ROUND(MIN(300,MAX(1,D369)),0), FactorTable!$A$2:$A$301,0), Skills!M4+1)</f>
        <v/>
      </c>
      <c r="F369">
        <f>IF(Skills!N4=TRUE,(Skills!L4/10)*(E369/1000),Skills!L4/10)+Skills!O4</f>
        <v/>
      </c>
      <c r="G369" t="inlineStr"/>
      <c r="H369" t="inlineStr"/>
      <c r="I369" t="inlineStr">
        <is>
          <t>1</t>
        </is>
      </c>
      <c r="J369" t="inlineStr"/>
      <c r="K369" t="inlineStr"/>
      <c r="L369" t="inlineStr"/>
      <c r="M369" t="inlineStr"/>
      <c r="N369" t="inlineStr"/>
      <c r="O369" t="inlineStr"/>
      <c r="P369" t="inlineStr"/>
      <c r="Q369" t="inlineStr"/>
      <c r="R369" t="inlineStr"/>
      <c r="S369" t="inlineStr"/>
      <c r="U369">
        <f>290*U368/1000</f>
        <v/>
      </c>
    </row>
    <row r="370">
      <c r="A370">
        <f>Skills!A5</f>
        <v/>
      </c>
      <c r="B370">
        <f>Skills!B5</f>
        <v/>
      </c>
      <c r="C370">
        <f>Inputs!$B$3&gt;=103</f>
        <v/>
      </c>
      <c r="D370">
        <f>IF(Skills!C5=1,60+Inputs!$B$25+Inputs!$B$29,IF(Skills!C5=2,90+Inputs!$B$26+Inputs!$B$29,IF(Skills!C5=3,120+Inputs!$B$27+Inputs!$B$29,MAX(0,(Inputs!$B$3-100)*3)+Inputs!$B$28+Inputs!$B$29)))</f>
        <v/>
      </c>
      <c r="E370">
        <f>INDEX(FactorTable!$B$2:$Y$301, MATCH(ROUND(MIN(300,MAX(1,D370)),0), FactorTable!$A$2:$A$301,0), Skills!M5+1)</f>
        <v/>
      </c>
      <c r="F370">
        <f>IF(Skills!N5=TRUE,(Skills!L5/10)*(E370/1000),Skills!L5/10)+Skills!O5</f>
        <v/>
      </c>
      <c r="G370">
        <f>Skills!G5*IF(Skills!H5&gt;0,Skills!I5/Skills!H5,1)</f>
        <v/>
      </c>
      <c r="H370">
        <f>1-(1-Skills!J5/100)^Skills!K5</f>
        <v/>
      </c>
      <c r="I370" t="inlineStr">
        <is>
          <t>1</t>
        </is>
      </c>
      <c r="J370">
        <f>((Inputs!$B$6*(1+Inputs!$B$7/100))+(((Inputs!$B$12*(1+Inputs!$B$13/100))-(Inputs!$B$12*(1+Inputs!$B$13/100)))+0.25*(Inputs!$B$14-Inputs!$B$14))*(1+Inputs!$B$7/100))*(F370/100)</f>
        <v/>
      </c>
      <c r="K370">
        <f>J370*(1+((Inputs!$B$12*(1+Inputs!$B$13/100))*0.01+Inputs!$B$14*0.0025)/100)*(1+Inputs!$B$15/100)*(1+Inputs!$B$16/100)*(5000/(6000+Inputs!$B$42*(1-(100*(1-(1-(Inputs!$B$19+0)/100)*(1-CHOOSE(ArtifactsInput!$N$40+1,5,6,7,8,9,10)/100)^(ArtifactsInput!$M$40-ArtifactsInput!$M$40)))/100)))*(1+(((((1+(Inputs!$B$24+Summary!$B$21)/100)*(1.01))-1)*100-(Summary!$B$21))+((C390=TRUE)*(F390-Calc!F25))+B400)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386=TRUE)*(F386-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388=TRUE)*(F388-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378=TRUE)*F378*IF(Inputs!$B$3&gt;=110,7,5))+((C380=TRUE)*F380*IF(AND(Inputs!$B$38&lt;&gt;"pvp",Inputs!$B$43&gt;0),(((R380-1)*(Skills!T15*(1+(Inputs!$B$34+(ArtifactsInput!$M$7-ArtifactsInput!$M$7)*CHOOSE(ArtifactsInput!$N$7+1,6,7.2,8.4,9.6,10.8,12))/100))+MIN((Skills!T15*(1+(Inputs!$B$34+(ArtifactsInput!$M$7-ArtifactsInput!$M$7)*CHOOSE(ArtifactsInput!$N$7+1,6,7.2,8.4,9.6,10.8,12))/100)),MAX(0,Inputs!$B$43-((R380-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Hunt"),CHOOSE(ArtifactsInput!$N$35+1,15,18,21,24,27,30)*(1-EXP(-(0.2*B396)*5)),0)+IF(AND(ArtifactsInput!$M$22,Inputs!$B$4&lt;&gt;"Chapter Hunt"),CHOOSE(ArtifactsInput!$N$22+1,10,12,14,16,18,20)*((0*(((0.15*B396*5))^0/1)+1*(((0.15*B396*5))^1/1)+2*(((0.15*B396*5))^2/2)+3*(((0.15*B396*5))^3/6)+4*(((0.15*B396*5))^4/24)+5*(((0.15*B396*5))^5/120))/((((0.15*B396*5))^0/1)+(((0.15*B396*5))^1/1)+(((0.15*B396*5))^2/2)+(((0.15*B396*5))^3/6)+(((0.15*B396*5))^4/24)+(((0.15*B396*5))^5/120))),0)))/100)*I370)</f>
        <v/>
      </c>
      <c r="L370">
        <f>K370*(MIN(Inputs!$B$22+((C387=TRUE)*(F387-Calc!F22)),(Inputs!$B$23+((C389=TRUE)*(F389-Calc!F24))+(IF(ArtifactsInput!$M$15,CHOOSE(ArtifactsInput!$N$15+1,25,30,35,40,45,50)/100*(Inputs!$B$11-Inputs!$B$11),0))))/100+(Inputs!$B$23+((C389=TRUE)*(F389-Calc!F24))+(IF(ArtifactsInput!$M$15,CHOOSE(ArtifactsInput!$N$15+1,25,30,35,40,45,50)/100*(Inputs!$B$11-Inputs!$B$11),0)))/100)/2</f>
        <v/>
      </c>
      <c r="M370">
        <f>L370*(1+(Inputs!$B$10+0+B399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70">
        <f>L370*(1-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370*(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70">
        <f>(1-Summary!$B$11)*T370+Summary!$B$11*V370</f>
        <v/>
      </c>
      <c r="P370">
        <f>IF(B404=0,0,O370/B404)</f>
        <v/>
      </c>
      <c r="Q370">
        <f>IFERROR(1/(IF(Inputs!$B$38="pvp",15,MAX(0.1,Skills!D5-IF(Skills!E5=TRUE,Inputs!$B$32,0)))*(1-IF(AND(ArtifactsInput!$M$27,Inputs!$B$4="Chapter Hunt"),CHOOSE(ArtifactsInput!$N$27+1,20,24,28,32,36,40),0)/100)),0)</f>
        <v/>
      </c>
      <c r="R370">
        <f>IF(AND(Inputs!$B$38&lt;&gt;"pvp",Inputs!$B$43&gt;0),IF(MAX(0,Inputs!$B$43-B401)&lt;=0,0,(INT(MAX(0,Inputs!$B$43-B401)/(IF(Inputs!$B$38="pvp",15,MAX(0.1,Skills!D5-IF(Skills!E5=TRUE,Inputs!$B$32,0)))*(1-IF(AND(ArtifactsInput!$M$27,Inputs!$B$4="Chapter Hunt"),CHOOSE(ArtifactsInput!$N$27+1,20,24,28,32,36,40),0)/100)))+1)),0)</f>
        <v/>
      </c>
      <c r="S370">
        <f>IFERROR(O370/N370,0)</f>
        <v/>
      </c>
      <c r="T370">
        <f>IF(C370,(H370*N370*IF(AND(Inputs!$B$38&lt;&gt;"pvp",Inputs!$B$43&gt;0),((Skills!G5*((R370-1)*IF(Skills!H5&gt;0,Skills!I5/Skills!H5,1)+IF(Skills!H5&gt;0,MIN(Skills!I5,MAX(0,MAX(0,Inputs!$B$43-B401)-((R370-1)*(IF(Inputs!$B$38="pvp",15,MAX(0.1,Skills!D5-IF(Skills!E5=TRUE,Inputs!$B$32,0)))*(1-IF(AND(ArtifactsInput!$M$27,Inputs!$B$4="Chapter Hunt"),CHOOSE(ArtifactsInput!$N$27+1,20,24,28,32,36,40),0)/100)))))/Skills!H5,1)))/Inputs!$B$43),G370*Q370)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370*(1-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370*(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370*(1-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370*(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70">
        <f>IF(C370,(H370*N370*IF(AND(Inputs!$B$38&lt;&gt;"pvp",Inputs!$B$43&gt;0),((Skills!G5*((R370-1)*IF(Skills!H5&gt;0,Skills!I5/Skills!H5,1)+IF(Skills!H5&gt;0,MIN(Skills!I5,MAX(0,MAX(0,Inputs!$B$43-B401)-((R370-1)*(IF(Inputs!$B$38="pvp",15,MAX(0.1,Skills!D5-IF(Skills!E5=TRUE,Inputs!$B$32,0)))*(1-IF(AND(ArtifactsInput!$M$27,Inputs!$B$4="Chapter Hunt"),CHOOSE(ArtifactsInput!$N$27+1,20,24,28,32,36,40),0)/100)))))/Skills!H5,1)))/Inputs!$B$43),G370*Q370)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71">
      <c r="A371">
        <f>Skills!A6</f>
        <v/>
      </c>
      <c r="B371">
        <f>Skills!B6</f>
        <v/>
      </c>
      <c r="C371">
        <f>Inputs!$B$3&gt;=103</f>
        <v/>
      </c>
      <c r="D371">
        <f>IF(Skills!C6=1,60+Inputs!$B$25+Inputs!$B$29,IF(Skills!C6=2,90+Inputs!$B$26+Inputs!$B$29,IF(Skills!C6=3,120+Inputs!$B$27+Inputs!$B$29,MAX(0,(Inputs!$B$3-100)*3)+Inputs!$B$28+Inputs!$B$29)))</f>
        <v/>
      </c>
      <c r="E371">
        <f>INDEX(FactorTable!$B$2:$Y$301, MATCH(ROUND(MIN(300,MAX(1,D371)),0), FactorTable!$A$2:$A$301,0), Skills!M6+1)</f>
        <v/>
      </c>
      <c r="F371">
        <f>IF(Skills!N6=TRUE,(Skills!L6/10)*(E371/1000),Skills!L6/10)+Skills!O6</f>
        <v/>
      </c>
      <c r="G371">
        <f>Skills!G6*IF(Skills!H6&gt;0,Skills!I6/Skills!H6,1)</f>
        <v/>
      </c>
      <c r="H371">
        <f>1-(1-Skills!J6/100)^Skills!K6</f>
        <v/>
      </c>
      <c r="I371" t="inlineStr">
        <is>
          <t>1</t>
        </is>
      </c>
      <c r="J371">
        <f>((Inputs!$B$6*(1+Inputs!$B$7/100))+(((Inputs!$B$12*(1+Inputs!$B$13/100))-(Inputs!$B$12*(1+Inputs!$B$13/100)))+0.25*(Inputs!$B$14-Inputs!$B$14))*(1+Inputs!$B$7/100))*(F371/100)</f>
        <v/>
      </c>
      <c r="K371">
        <f>J371*(1+((Inputs!$B$12*(1+Inputs!$B$13/100))*0.01+Inputs!$B$14*0.0025)/100)*(1+Inputs!$B$15/100)*(1+Inputs!$B$16/100)*(5000/(6000+Inputs!$B$42*(1-(100*(1-(1-(Inputs!$B$19+0)/100)*(1-CHOOSE(ArtifactsInput!$N$40+1,5,6,7,8,9,10)/100)^(ArtifactsInput!$M$40-ArtifactsInput!$M$40)))/100)))*(1+(((((1+(Inputs!$B$24+Summary!$B$21)/100)*(1.01))-1)*100-(Summary!$B$21))+((C390=TRUE)*(F390-Calc!F25))+B400)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386=TRUE)*(F386-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388=TRUE)*(F388-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378=TRUE)*F378*IF(Inputs!$B$3&gt;=110,7,5))+((C380=TRUE)*F380*IF(AND(Inputs!$B$38&lt;&gt;"pvp",Inputs!$B$43&gt;0),(((R380-1)*(Skills!T15*(1+(Inputs!$B$34+(ArtifactsInput!$M$7-ArtifactsInput!$M$7)*CHOOSE(ArtifactsInput!$N$7+1,6,7.2,8.4,9.6,10.8,12))/100))+MIN((Skills!T15*(1+(Inputs!$B$34+(ArtifactsInput!$M$7-ArtifactsInput!$M$7)*CHOOSE(ArtifactsInput!$N$7+1,6,7.2,8.4,9.6,10.8,12))/100)),MAX(0,Inputs!$B$43-((R380-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Hunt"),CHOOSE(ArtifactsInput!$N$35+1,15,18,21,24,27,30)*(1-EXP(-(0.2*B396)*5)),0)+IF(AND(ArtifactsInput!$M$22,Inputs!$B$4&lt;&gt;"Chapter Hunt"),CHOOSE(ArtifactsInput!$N$22+1,10,12,14,16,18,20)*((0*(((0.15*B396*5))^0/1)+1*(((0.15*B396*5))^1/1)+2*(((0.15*B396*5))^2/2)+3*(((0.15*B396*5))^3/6)+4*(((0.15*B396*5))^4/24)+5*(((0.15*B396*5))^5/120))/((((0.15*B396*5))^0/1)+(((0.15*B396*5))^1/1)+(((0.15*B396*5))^2/2)+(((0.15*B396*5))^3/6)+(((0.15*B396*5))^4/24)+(((0.15*B396*5))^5/120))),0)))/100)*I371)</f>
        <v/>
      </c>
      <c r="L371">
        <f>K371*(MIN(Inputs!$B$22+((C387=TRUE)*(F387-Calc!F22)),(Inputs!$B$23+((C389=TRUE)*(F389-Calc!F24))+(IF(ArtifactsInput!$M$15,CHOOSE(ArtifactsInput!$N$15+1,25,30,35,40,45,50)/100*(Inputs!$B$11-Inputs!$B$11),0))))/100+(Inputs!$B$23+((C389=TRUE)*(F389-Calc!F24))+(IF(ArtifactsInput!$M$15,CHOOSE(ArtifactsInput!$N$15+1,25,30,35,40,45,50)/100*(Inputs!$B$11-Inputs!$B$11),0)))/100)/2</f>
        <v/>
      </c>
      <c r="M371">
        <f>L371*(1+(Inputs!$B$10+0+B399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71">
        <f>L371*(1-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371*(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71">
        <f>(1-Summary!$B$11)*T371+Summary!$B$11*V371</f>
        <v/>
      </c>
      <c r="P371">
        <f>IF(B404=0,0,O371/B404)</f>
        <v/>
      </c>
      <c r="Q371">
        <f>IFERROR(1/(IF(Inputs!$B$38="pvp",15,MAX(0.1,Skills!D6-IF(Skills!E6=TRUE,Inputs!$B$32,0)))*(1-IF(AND(ArtifactsInput!$M$27,Inputs!$B$4="Chapter Hunt"),CHOOSE(ArtifactsInput!$N$27+1,20,24,28,32,36,40),0)/100)),0)</f>
        <v/>
      </c>
      <c r="R371">
        <f>IF(AND(Inputs!$B$38&lt;&gt;"pvp",Inputs!$B$43&gt;0),IF(MAX(0,Inputs!$B$43-B401)&lt;=0,0,(INT(MAX(0,Inputs!$B$43-B401)/(IF(Inputs!$B$38="pvp",15,MAX(0.1,Skills!D6-IF(Skills!E6=TRUE,Inputs!$B$32,0)))*(1-IF(AND(ArtifactsInput!$M$27,Inputs!$B$4="Chapter Hunt"),CHOOSE(ArtifactsInput!$N$27+1,20,24,28,32,36,40),0)/100)))+1)),0)</f>
        <v/>
      </c>
      <c r="S371">
        <f>IFERROR(O371/N371,0)</f>
        <v/>
      </c>
      <c r="T371">
        <f>IF(C371,(H371*N371*IF(AND(Inputs!$B$38&lt;&gt;"pvp",Inputs!$B$43&gt;0),((Skills!G6*((R371-1)*IF(Skills!H6&gt;0,Skills!I6/Skills!H6,1)+IF(Skills!H6&gt;0,MIN(Skills!I6,MAX(0,MAX(0,Inputs!$B$43-B401)-((R371-1)*(IF(Inputs!$B$38="pvp",15,MAX(0.1,Skills!D6-IF(Skills!E6=TRUE,Inputs!$B$32,0)))*(1-IF(AND(ArtifactsInput!$M$27,Inputs!$B$4="Chapter Hunt"),CHOOSE(ArtifactsInput!$N$27+1,20,24,28,32,36,40),0)/100)))))/Skills!H6,1)))/Inputs!$B$43),G371*Q371)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371*(1-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371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371*(1-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371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71">
        <f>IF(C371,(H371*N371*IF(AND(Inputs!$B$38&lt;&gt;"pvp",Inputs!$B$43&gt;0),((Skills!G6*((R371-1)*IF(Skills!H6&gt;0,Skills!I6/Skills!H6,1)+IF(Skills!H6&gt;0,MIN(Skills!I6,MAX(0,MAX(0,Inputs!$B$43-B401)-((R371-1)*(IF(Inputs!$B$38="pvp",15,MAX(0.1,Skills!D6-IF(Skills!E6=TRUE,Inputs!$B$32,0)))*(1-IF(AND(ArtifactsInput!$M$27,Inputs!$B$4="Chapter Hunt"),CHOOSE(ArtifactsInput!$N$27+1,20,24,28,32,36,40),0)/100)))))/Skills!H6,1)))/Inputs!$B$43),G371*Q371)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72">
      <c r="A372">
        <f>Skills!A7</f>
        <v/>
      </c>
      <c r="B372">
        <f>Skills!B7</f>
        <v/>
      </c>
      <c r="C372">
        <f>Inputs!$B$3&gt;=107</f>
        <v/>
      </c>
      <c r="D372">
        <f>IF(Skills!C7=1,60+Inputs!$B$25+Inputs!$B$29,IF(Skills!C7=2,90+Inputs!$B$26+Inputs!$B$29,IF(Skills!C7=3,120+Inputs!$B$27+Inputs!$B$29,MAX(0,(Inputs!$B$3-100)*3)+Inputs!$B$28+Inputs!$B$29)))</f>
        <v/>
      </c>
      <c r="E372">
        <f>INDEX(FactorTable!$B$2:$Y$301, MATCH(ROUND(MIN(300,MAX(1,D372)),0), FactorTable!$A$2:$A$301,0), Skills!M7+1)</f>
        <v/>
      </c>
      <c r="F372">
        <f>IF(Skills!N7=TRUE,(Skills!L7/10)*(E372/1000),Skills!L7/10)+Skills!O7</f>
        <v/>
      </c>
      <c r="G372">
        <f>Skills!G7*IF(Skills!H7&gt;0,Skills!I7/Skills!H7,1)</f>
        <v/>
      </c>
      <c r="H372">
        <f>1-(1-Skills!J7/100)^Skills!K7</f>
        <v/>
      </c>
      <c r="I372" t="inlineStr">
        <is>
          <t>1</t>
        </is>
      </c>
      <c r="J372">
        <f>((Inputs!$B$6*(1+Inputs!$B$7/100))+(((Inputs!$B$12*(1+Inputs!$B$13/100))-(Inputs!$B$12*(1+Inputs!$B$13/100)))+0.25*(Inputs!$B$14-Inputs!$B$14))*(1+Inputs!$B$7/100))*(F372/100)</f>
        <v/>
      </c>
      <c r="K372">
        <f>J372*(1+((Inputs!$B$12*(1+Inputs!$B$13/100))*0.01+Inputs!$B$14*0.0025)/100)*(1+Inputs!$B$15/100)*(1+Inputs!$B$16/100)*(5000/(6000+Inputs!$B$42*(1-(100*(1-(1-(Inputs!$B$19+0)/100)*(1-CHOOSE(ArtifactsInput!$N$40+1,5,6,7,8,9,10)/100)^(ArtifactsInput!$M$40-ArtifactsInput!$M$40)))/100)))*(1+(((((1+(Inputs!$B$24+Summary!$B$21)/100)*(1.01))-1)*100-(Summary!$B$21))+((C390=TRUE)*(F390-Calc!F25))+B400)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386=TRUE)*(F386-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388=TRUE)*(F388-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378=TRUE)*F378*IF(Inputs!$B$3&gt;=110,7,5))+((C380=TRUE)*F380*IF(AND(Inputs!$B$38&lt;&gt;"pvp",Inputs!$B$43&gt;0),(((R380-1)*(Skills!T15*(1+(Inputs!$B$34+(ArtifactsInput!$M$7-ArtifactsInput!$M$7)*CHOOSE(ArtifactsInput!$N$7+1,6,7.2,8.4,9.6,10.8,12))/100))+MIN((Skills!T15*(1+(Inputs!$B$34+(ArtifactsInput!$M$7-ArtifactsInput!$M$7)*CHOOSE(ArtifactsInput!$N$7+1,6,7.2,8.4,9.6,10.8,12))/100)),MAX(0,Inputs!$B$43-((R380-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Hunt"),CHOOSE(ArtifactsInput!$N$35+1,15,18,21,24,27,30)*(1-EXP(-(0.2*B396)*5)),0)+IF(AND(ArtifactsInput!$M$22,Inputs!$B$4&lt;&gt;"Chapter Hunt"),CHOOSE(ArtifactsInput!$N$22+1,10,12,14,16,18,20)*((0*(((0.15*B396*5))^0/1)+1*(((0.15*B396*5))^1/1)+2*(((0.15*B396*5))^2/2)+3*(((0.15*B396*5))^3/6)+4*(((0.15*B396*5))^4/24)+5*(((0.15*B396*5))^5/120))/((((0.15*B396*5))^0/1)+(((0.15*B396*5))^1/1)+(((0.15*B396*5))^2/2)+(((0.15*B396*5))^3/6)+(((0.15*B396*5))^4/24)+(((0.15*B396*5))^5/120))),0)))/100)*I372)</f>
        <v/>
      </c>
      <c r="L372">
        <f>K372*(MIN(Inputs!$B$22+((C387=TRUE)*(F387-Calc!F22)),(Inputs!$B$23+((C389=TRUE)*(F389-Calc!F24))+(IF(ArtifactsInput!$M$15,CHOOSE(ArtifactsInput!$N$15+1,25,30,35,40,45,50)/100*(Inputs!$B$11-Inputs!$B$11),0))))/100+(Inputs!$B$23+((C389=TRUE)*(F389-Calc!F24))+(IF(ArtifactsInput!$M$15,CHOOSE(ArtifactsInput!$N$15+1,25,30,35,40,45,50)/100*(Inputs!$B$11-Inputs!$B$11),0)))/100)/2</f>
        <v/>
      </c>
      <c r="M372">
        <f>L372*(1+(Inputs!$B$10+0+B399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72">
        <f>L372*(1-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372*(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72">
        <f>(1-Summary!$B$11)*T372+Summary!$B$11*V372</f>
        <v/>
      </c>
      <c r="P372">
        <f>IF(B404=0,0,O372/B404)</f>
        <v/>
      </c>
      <c r="Q372">
        <f>IFERROR(1/(IF(Inputs!$B$38="pvp",15,MAX(0.1,Skills!D7-IF(Skills!E7=TRUE,Inputs!$B$32,0)))*(1-IF(AND(ArtifactsInput!$M$27,Inputs!$B$4="Chapter Hunt"),CHOOSE(ArtifactsInput!$N$27+1,20,24,28,32,36,40),0)/100)),0)</f>
        <v/>
      </c>
      <c r="R372">
        <f>IF(AND(Inputs!$B$38&lt;&gt;"pvp",Inputs!$B$43&gt;0),IF(MAX(0,Inputs!$B$43-B401)&lt;=0,0,(INT(MAX(0,Inputs!$B$43-B401)/(IF(Inputs!$B$38="pvp",15,MAX(0.1,Skills!D7-IF(Skills!E7=TRUE,Inputs!$B$32,0)))*(1-IF(AND(ArtifactsInput!$M$27,Inputs!$B$4="Chapter Hunt"),CHOOSE(ArtifactsInput!$N$27+1,20,24,28,32,36,40),0)/100)))+1)),0)</f>
        <v/>
      </c>
      <c r="S372">
        <f>IFERROR(O372/N372,0)</f>
        <v/>
      </c>
      <c r="T372">
        <f>IF(C372,(H372*N372*IF(AND(Inputs!$B$38&lt;&gt;"pvp",Inputs!$B$43&gt;0),((Skills!G7*((R372-1)*IF(Skills!H7&gt;0,Skills!I7/Skills!H7,1)+IF(Skills!H7&gt;0,MIN(Skills!I7,MAX(0,MAX(0,Inputs!$B$43-B401)-((R372-1)*(IF(Inputs!$B$38="pvp",15,MAX(0.1,Skills!D7-IF(Skills!E7=TRUE,Inputs!$B$32,0)))*(1-IF(AND(ArtifactsInput!$M$27,Inputs!$B$4="Chapter Hunt"),CHOOSE(ArtifactsInput!$N$27+1,20,24,28,32,36,40),0)/100)))))/Skills!H7,1)))/Inputs!$B$43),G372*Q372)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372*(1-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372*(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372*(1-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372*(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72">
        <f>IF(C372,(H372*N372*IF(AND(Inputs!$B$38&lt;&gt;"pvp",Inputs!$B$43&gt;0),((Skills!G7*((R372-1)*IF(Skills!H7&gt;0,Skills!I7/Skills!H7,1)+IF(Skills!H7&gt;0,MIN(Skills!I7,MAX(0,MAX(0,Inputs!$B$43-B401)-((R372-1)*(IF(Inputs!$B$38="pvp",15,MAX(0.1,Skills!D7-IF(Skills!E7=TRUE,Inputs!$B$32,0)))*(1-IF(AND(ArtifactsInput!$M$27,Inputs!$B$4="Chapter Hunt"),CHOOSE(ArtifactsInput!$N$27+1,20,24,28,32,36,40),0)/100)))))/Skills!H7,1)))/Inputs!$B$43),G372*Q372)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73">
      <c r="A373">
        <f>Skills!A8</f>
        <v/>
      </c>
      <c r="B373">
        <f>Skills!B8</f>
        <v/>
      </c>
      <c r="C373">
        <f>Inputs!$B$3&gt;=117</f>
        <v/>
      </c>
      <c r="D373">
        <f>IF(Skills!C8=1,60+Inputs!$B$25+Inputs!$B$29,IF(Skills!C8=2,90+Inputs!$B$26+Inputs!$B$29,IF(Skills!C8=3,120+Inputs!$B$27+Inputs!$B$29,MAX(0,(Inputs!$B$3-100)*3)+Inputs!$B$28+Inputs!$B$29)))</f>
        <v/>
      </c>
      <c r="E373">
        <f>INDEX(FactorTable!$B$2:$Y$301, MATCH(ROUND(MIN(300,MAX(1,D373)),0), FactorTable!$A$2:$A$301,0), Skills!M8+1)</f>
        <v/>
      </c>
      <c r="F373">
        <f>IF(Skills!N8=TRUE,(Skills!L8/10)*(E373/1000),Skills!L8/10)+Skills!O8</f>
        <v/>
      </c>
      <c r="G373">
        <f>Skills!G8*IF(Skills!H8&gt;0,Skills!I8/Skills!H8,1)</f>
        <v/>
      </c>
      <c r="H373">
        <f>1-(1-Skills!J8/100)^Skills!K8</f>
        <v/>
      </c>
      <c r="I373" t="inlineStr">
        <is>
          <t>1</t>
        </is>
      </c>
      <c r="J373">
        <f>((Inputs!$B$6*(1+Inputs!$B$7/100))+(((Inputs!$B$12*(1+Inputs!$B$13/100))-(Inputs!$B$12*(1+Inputs!$B$13/100)))+0.25*(Inputs!$B$14-Inputs!$B$14))*(1+Inputs!$B$7/100))*(F373/100)</f>
        <v/>
      </c>
      <c r="K373">
        <f>J373*(1+((Inputs!$B$12*(1+Inputs!$B$13/100))*0.01+Inputs!$B$14*0.0025)/100)*(1+Inputs!$B$15/100)*(1+Inputs!$B$16/100)*(5000/(6000+Inputs!$B$42*(1-(100*(1-(1-(Inputs!$B$19+0)/100)*(1-CHOOSE(ArtifactsInput!$N$40+1,5,6,7,8,9,10)/100)^(ArtifactsInput!$M$40-ArtifactsInput!$M$40)))/100)))*(1+(((((1+(Inputs!$B$24+Summary!$B$21)/100)*(1.01))-1)*100-(Summary!$B$21))+((C390=TRUE)*(F390-Calc!F25))+B400)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386=TRUE)*(F386-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388=TRUE)*(F388-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378=TRUE)*F378*IF(Inputs!$B$3&gt;=110,7,5))+((C380=TRUE)*F380*IF(AND(Inputs!$B$38&lt;&gt;"pvp",Inputs!$B$43&gt;0),(((R380-1)*(Skills!T15*(1+(Inputs!$B$34+(ArtifactsInput!$M$7-ArtifactsInput!$M$7)*CHOOSE(ArtifactsInput!$N$7+1,6,7.2,8.4,9.6,10.8,12))/100))+MIN((Skills!T15*(1+(Inputs!$B$34+(ArtifactsInput!$M$7-ArtifactsInput!$M$7)*CHOOSE(ArtifactsInput!$N$7+1,6,7.2,8.4,9.6,10.8,12))/100)),MAX(0,Inputs!$B$43-((R380-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Hunt"),CHOOSE(ArtifactsInput!$N$35+1,15,18,21,24,27,30)*(1-EXP(-(0.2*B396)*5)),0)+IF(AND(ArtifactsInput!$M$22,Inputs!$B$4&lt;&gt;"Chapter Hunt"),CHOOSE(ArtifactsInput!$N$22+1,10,12,14,16,18,20)*((0*(((0.15*B396*5))^0/1)+1*(((0.15*B396*5))^1/1)+2*(((0.15*B396*5))^2/2)+3*(((0.15*B396*5))^3/6)+4*(((0.15*B396*5))^4/24)+5*(((0.15*B396*5))^5/120))/((((0.15*B396*5))^0/1)+(((0.15*B396*5))^1/1)+(((0.15*B396*5))^2/2)+(((0.15*B396*5))^3/6)+(((0.15*B396*5))^4/24)+(((0.15*B396*5))^5/120))),0)))/100)*I373)</f>
        <v/>
      </c>
      <c r="L373">
        <f>K373*(MIN(Inputs!$B$22+((C387=TRUE)*(F387-Calc!F22)),(Inputs!$B$23+((C389=TRUE)*(F389-Calc!F24))+(IF(ArtifactsInput!$M$15,CHOOSE(ArtifactsInput!$N$15+1,25,30,35,40,45,50)/100*(Inputs!$B$11-Inputs!$B$11),0))))/100+(Inputs!$B$23+((C389=TRUE)*(F389-Calc!F24))+(IF(ArtifactsInput!$M$15,CHOOSE(ArtifactsInput!$N$15+1,25,30,35,40,45,50)/100*(Inputs!$B$11-Inputs!$B$11),0)))/100)/2</f>
        <v/>
      </c>
      <c r="M373">
        <f>L373*(1+(Inputs!$B$10+0+B399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73">
        <f>L373*(1-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373*(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73">
        <f>(1-Summary!$B$11)*T373+Summary!$B$11*V373</f>
        <v/>
      </c>
      <c r="P373">
        <f>IF(B404=0,0,O373/B404)</f>
        <v/>
      </c>
      <c r="Q373">
        <f>IFERROR(1/(IF(Inputs!$B$38="pvp",15,MAX(0.1,Skills!D8-IF(Skills!E8=TRUE,Inputs!$B$32,0)))*(1-IF(AND(ArtifactsInput!$M$27,Inputs!$B$4="Chapter Hunt"),CHOOSE(ArtifactsInput!$N$27+1,20,24,28,32,36,40),0)/100)),0)</f>
        <v/>
      </c>
      <c r="R373">
        <f>IF(AND(Inputs!$B$38&lt;&gt;"pvp",Inputs!$B$43&gt;0),IF(MAX(0,Inputs!$B$43-B401)&lt;=0,0,(INT(MAX(0,Inputs!$B$43-B401)/(IF(Inputs!$B$38="pvp",15,MAX(0.1,Skills!D8-IF(Skills!E8=TRUE,Inputs!$B$32,0)))*(1-IF(AND(ArtifactsInput!$M$27,Inputs!$B$4="Chapter Hunt"),CHOOSE(ArtifactsInput!$N$27+1,20,24,28,32,36,40),0)/100)))+1)),0)</f>
        <v/>
      </c>
      <c r="S373">
        <f>IFERROR(O373/N373,0)</f>
        <v/>
      </c>
      <c r="T373">
        <f>IF(C373,(H373*N373*IF(AND(Inputs!$B$38&lt;&gt;"pvp",Inputs!$B$43&gt;0),((Skills!G8*((R373-1)*IF(Skills!H8&gt;0,Skills!I8/Skills!H8,1)+IF(Skills!H8&gt;0,MIN(Skills!I8,MAX(0,MAX(0,Inputs!$B$43-B401)-((R373-1)*(IF(Inputs!$B$38="pvp",15,MAX(0.1,Skills!D8-IF(Skills!E8=TRUE,Inputs!$B$32,0)))*(1-IF(AND(ArtifactsInput!$M$27,Inputs!$B$4="Chapter Hunt"),CHOOSE(ArtifactsInput!$N$27+1,20,24,28,32,36,40),0)/100)))))/Skills!H8,1)))/Inputs!$B$43),G373*Q373)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373*(1-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373*(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373*(1-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373*(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73">
        <f>IF(C373,(H373*N373*IF(AND(Inputs!$B$38&lt;&gt;"pvp",Inputs!$B$43&gt;0),((Skills!G8*((R373-1)*IF(Skills!H8&gt;0,Skills!I8/Skills!H8,1)+IF(Skills!H8&gt;0,MIN(Skills!I8,MAX(0,MAX(0,Inputs!$B$43-B401)-((R373-1)*(IF(Inputs!$B$38="pvp",15,MAX(0.1,Skills!D8-IF(Skills!E8=TRUE,Inputs!$B$32,0)))*(1-IF(AND(ArtifactsInput!$M$27,Inputs!$B$4="Chapter Hunt"),CHOOSE(ArtifactsInput!$N$27+1,20,24,28,32,36,40),0)/100)))))/Skills!H8,1)))/Inputs!$B$43),G373*Q373)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74">
      <c r="A374">
        <f>Skills!A9</f>
        <v/>
      </c>
      <c r="B374">
        <f>Skills!B9</f>
        <v/>
      </c>
      <c r="C374">
        <f>Inputs!$B$3&gt;=69</f>
        <v/>
      </c>
      <c r="D374">
        <f>IF(Skills!C9=1,60+Inputs!$B$25+Inputs!$B$29,IF(Skills!C9=2,90+Inputs!$B$26+Inputs!$B$29,IF(Skills!C9=3,120+Inputs!$B$27+Inputs!$B$29,MAX(0,(Inputs!$B$3-100)*3)+Inputs!$B$28+Inputs!$B$29)))</f>
        <v/>
      </c>
      <c r="E374">
        <f>INDEX(FactorTable!$B$2:$Y$301, MATCH(ROUND(MIN(300,MAX(1,D374)),0), FactorTable!$A$2:$A$301,0), Skills!M9+1)</f>
        <v/>
      </c>
      <c r="F374">
        <f>IF(Skills!N9=TRUE,(Skills!L9/10)*(E374/1000),Skills!L9/10)+Skills!O9</f>
        <v/>
      </c>
      <c r="G374">
        <f>Skills!G9*IF(Skills!H9&gt;0,Skills!I9/Skills!H9,1)</f>
        <v/>
      </c>
      <c r="H374">
        <f>1-(1-Skills!J9/100)^Skills!K9</f>
        <v/>
      </c>
      <c r="I374" t="inlineStr">
        <is>
          <t>1</t>
        </is>
      </c>
      <c r="J374">
        <f>((Inputs!$B$6*(1+Inputs!$B$7/100))+(((Inputs!$B$12*(1+Inputs!$B$13/100))-(Inputs!$B$12*(1+Inputs!$B$13/100)))+0.25*(Inputs!$B$14-Inputs!$B$14))*(1+Inputs!$B$7/100))*(F374/100)</f>
        <v/>
      </c>
      <c r="K374">
        <f>J374*(1+((Inputs!$B$12*(1+Inputs!$B$13/100))*0.01+Inputs!$B$14*0.0025)/100)*(1+Inputs!$B$15/100)*(1+Inputs!$B$16/100)*(5000/(6000+Inputs!$B$42*(1-(100*(1-(1-(Inputs!$B$19+0)/100)*(1-CHOOSE(ArtifactsInput!$N$40+1,5,6,7,8,9,10)/100)^(ArtifactsInput!$M$40-ArtifactsInput!$M$40)))/100)))*(1+(((((1+(Inputs!$B$24+Summary!$B$21)/100)*(1.01))-1)*100-(Summary!$B$21))+((C390=TRUE)*(F390-Calc!F25))+B400)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377=TRUE,F377,0)/100)*(1+IF(Skills!A9="ENHANCED_RAGING_BLOW",IF(Inputs!$B$3&gt;=134,MAX(0,IF(Inputs!$B$3&gt;=110,7,5)-5)*50,0),0)/100)*(1+(IF(Skills!A9="RAGING_BLOW",Inputs!$B$17+((C386=TRUE)*(F386-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388=TRUE)*(F388-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378=TRUE)*F378*IF(Inputs!$B$3&gt;=110,7,5))+((C380=TRUE)*F380*IF(AND(Inputs!$B$38&lt;&gt;"pvp",Inputs!$B$43&gt;0),(((R380-1)*(Skills!T15*(1+(Inputs!$B$34+(ArtifactsInput!$M$7-ArtifactsInput!$M$7)*CHOOSE(ArtifactsInput!$N$7+1,6,7.2,8.4,9.6,10.8,12))/100))+MIN((Skills!T15*(1+(Inputs!$B$34+(ArtifactsInput!$M$7-ArtifactsInput!$M$7)*CHOOSE(ArtifactsInput!$N$7+1,6,7.2,8.4,9.6,10.8,12))/100)),MAX(0,Inputs!$B$43-((R380-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Hunt"),CHOOSE(ArtifactsInput!$N$35+1,15,18,21,24,27,30)*(1-EXP(-(0.2*B396)*5)),0)+IF(AND(ArtifactsInput!$M$22,Inputs!$B$4&lt;&gt;"Chapter Hunt"),CHOOSE(ArtifactsInput!$N$22+1,10,12,14,16,18,20)*((0*(((0.15*B396*5))^0/1)+1*(((0.15*B396*5))^1/1)+2*(((0.15*B396*5))^2/2)+3*(((0.15*B396*5))^3/6)+4*(((0.15*B396*5))^4/24)+5*(((0.15*B396*5))^5/120))/((((0.15*B396*5))^0/1)+(((0.15*B396*5))^1/1)+(((0.15*B396*5))^2/2)+(((0.15*B396*5))^3/6)+(((0.15*B396*5))^4/24)+(((0.15*B396*5))^5/120))),0)))/100)*I374)</f>
        <v/>
      </c>
      <c r="L374">
        <f>K374*(MIN(Inputs!$B$22+((C387=TRUE)*(F387-Calc!F22)),(Inputs!$B$23+((C389=TRUE)*(F389-Calc!F24))+(IF(ArtifactsInput!$M$15,CHOOSE(ArtifactsInput!$N$15+1,25,30,35,40,45,50)/100*(Inputs!$B$11-Inputs!$B$11),0))))/100+(Inputs!$B$23+((C389=TRUE)*(F389-Calc!F24))+(IF(ArtifactsInput!$M$15,CHOOSE(ArtifactsInput!$N$15+1,25,30,35,40,45,50)/100*(Inputs!$B$11-Inputs!$B$11),0)))/100)/2</f>
        <v/>
      </c>
      <c r="M374">
        <f>L374*(1+(Inputs!$B$10+0+B399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74">
        <f>L374*(1-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374*(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74">
        <f>(1-Summary!$B$11)*T374+Summary!$B$11*V374</f>
        <v/>
      </c>
      <c r="P374">
        <f>IF(B404=0,0,O374/B404)</f>
        <v/>
      </c>
      <c r="Q374">
        <f>IFERROR(1/(IF(Inputs!$B$38="pvp",15,MAX(0.1,Skills!D9-IF(Skills!E9=TRUE,Inputs!$B$32,0)))*(1-IF(AND(ArtifactsInput!$M$27,Inputs!$B$4="Chapter Hunt"),CHOOSE(ArtifactsInput!$N$27+1,20,24,28,32,36,40),0)/100)),0)</f>
        <v/>
      </c>
      <c r="R374">
        <f>IF(AND(Inputs!$B$38&lt;&gt;"pvp",Inputs!$B$43&gt;0),IF(MAX(0,Inputs!$B$43-B401)&lt;=0,0,(INT(MAX(0,Inputs!$B$43-B401)/(IF(Inputs!$B$38="pvp",15,MAX(0.1,Skills!D9-IF(Skills!E9=TRUE,Inputs!$B$32,0)))*(1-IF(AND(ArtifactsInput!$M$27,Inputs!$B$4="Chapter Hunt"),CHOOSE(ArtifactsInput!$N$27+1,20,24,28,32,36,40),0)/100)))+1)),0)</f>
        <v/>
      </c>
      <c r="S374">
        <f>IFERROR(O374/N374,0)</f>
        <v/>
      </c>
      <c r="T374">
        <f>IF(C374,(H374*N374*IF(AND(Inputs!$B$38&lt;&gt;"pvp",Inputs!$B$43&gt;0),((Skills!G9*((R374-1)*IF(Skills!H9&gt;0,Skills!I9/Skills!H9,1)+IF(Skills!H9&gt;0,MIN(Skills!I9,MAX(0,MAX(0,Inputs!$B$43-B401)-((R374-1)*(IF(Inputs!$B$38="pvp",15,MAX(0.1,Skills!D9-IF(Skills!E9=TRUE,Inputs!$B$32,0)))*(1-IF(AND(ArtifactsInput!$M$27,Inputs!$B$4="Chapter Hunt"),CHOOSE(ArtifactsInput!$N$27+1,20,24,28,32,36,40),0)/100)))))/Skills!H9,1)))/Inputs!$B$43),G374*Q374)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374*(1-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374*(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374*(1-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374*(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74">
        <f>IF(C374,(H374*N374*IF(AND(Inputs!$B$38&lt;&gt;"pvp",Inputs!$B$43&gt;0),((Skills!G9*((R374-1)*IF(Skills!H9&gt;0,Skills!I9/Skills!H9,1)+IF(Skills!H9&gt;0,MIN(Skills!I9,MAX(0,MAX(0,Inputs!$B$43-B401)-((R374-1)*(IF(Inputs!$B$38="pvp",15,MAX(0.1,Skills!D9-IF(Skills!E9=TRUE,Inputs!$B$32,0)))*(1-IF(AND(ArtifactsInput!$M$27,Inputs!$B$4="Chapter Hunt"),CHOOSE(ArtifactsInput!$N$27+1,20,24,28,32,36,40),0)/100)))))/Skills!H9,1)))/Inputs!$B$43),G374*Q374)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75">
      <c r="A375">
        <f>Skills!A10</f>
        <v/>
      </c>
      <c r="B375">
        <f>Skills!B10</f>
        <v/>
      </c>
      <c r="C375">
        <f>Inputs!$B$3&gt;=63</f>
        <v/>
      </c>
      <c r="D375">
        <f>IF(Skills!C10=1,60+Inputs!$B$25+Inputs!$B$29,IF(Skills!C10=2,90+Inputs!$B$26+Inputs!$B$29,IF(Skills!C10=3,120+Inputs!$B$27+Inputs!$B$29,MAX(0,(Inputs!$B$3-100)*3)+Inputs!$B$28+Inputs!$B$29)))</f>
        <v/>
      </c>
      <c r="E375">
        <f>INDEX(FactorTable!$B$2:$Y$301, MATCH(ROUND(MIN(300,MAX(1,D375)),0), FactorTable!$A$2:$A$301,0), Skills!M10+1)</f>
        <v/>
      </c>
      <c r="F375">
        <f>IF(Skills!N10=TRUE,(Skills!L10/10)*(E375/1000),Skills!L10/10)+Skills!O10</f>
        <v/>
      </c>
      <c r="G375">
        <f>Skills!G10*IF(Skills!H10&gt;0,Skills!I10/Skills!H10,1)</f>
        <v/>
      </c>
      <c r="H375">
        <f>1-(1-Skills!J10/100)^Skills!K10</f>
        <v/>
      </c>
      <c r="I375" t="inlineStr">
        <is>
          <t>1</t>
        </is>
      </c>
      <c r="J375">
        <f>((Inputs!$B$6*(1+Inputs!$B$7/100))+(((Inputs!$B$12*(1+Inputs!$B$13/100))-(Inputs!$B$12*(1+Inputs!$B$13/100)))+0.25*(Inputs!$B$14-Inputs!$B$14))*(1+Inputs!$B$7/100))*(F375/100)</f>
        <v/>
      </c>
      <c r="K375">
        <f>J375*(1+((Inputs!$B$12*(1+Inputs!$B$13/100))*0.01+Inputs!$B$14*0.0025)/100)*(1+Inputs!$B$15/100)*(1+Inputs!$B$16/100)*(5000/(6000+Inputs!$B$42*(1-(100*(1-(1-(Inputs!$B$19+0)/100)*(1-CHOOSE(ArtifactsInput!$N$40+1,5,6,7,8,9,10)/100)^(ArtifactsInput!$M$40-ArtifactsInput!$M$40)))/100)))*(1+(((((1+(Inputs!$B$24+Summary!$B$21)/100)*(1.01))-1)*100-(Summary!$B$21))+((C390=TRUE)*(F390-Calc!F25))+B400)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377=TRUE,F377,0)/100)*(1+IF(Skills!A10="ENHANCED_RAGING_BLOW",IF(Inputs!$B$3&gt;=134,MAX(0,IF(Inputs!$B$3&gt;=110,7,5)-5)*50,0),0)/100)*(1+(IF(Skills!A10="RAGING_BLOW",Inputs!$B$17+((C386=TRUE)*(F386-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388=TRUE)*(F388-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378=TRUE)*F378*IF(Inputs!$B$3&gt;=110,7,5))+((C380=TRUE)*F380*IF(AND(Inputs!$B$38&lt;&gt;"pvp",Inputs!$B$43&gt;0),(((R380-1)*(Skills!T15*(1+(Inputs!$B$34+(ArtifactsInput!$M$7-ArtifactsInput!$M$7)*CHOOSE(ArtifactsInput!$N$7+1,6,7.2,8.4,9.6,10.8,12))/100))+MIN((Skills!T15*(1+(Inputs!$B$34+(ArtifactsInput!$M$7-ArtifactsInput!$M$7)*CHOOSE(ArtifactsInput!$N$7+1,6,7.2,8.4,9.6,10.8,12))/100)),MAX(0,Inputs!$B$43-((R380-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Hunt"),CHOOSE(ArtifactsInput!$N$35+1,15,18,21,24,27,30)*(1-EXP(-(0.2*B396)*5)),0)+IF(AND(ArtifactsInput!$M$22,Inputs!$B$4&lt;&gt;"Chapter Hunt"),CHOOSE(ArtifactsInput!$N$22+1,10,12,14,16,18,20)*((0*(((0.15*B396*5))^0/1)+1*(((0.15*B396*5))^1/1)+2*(((0.15*B396*5))^2/2)+3*(((0.15*B396*5))^3/6)+4*(((0.15*B396*5))^4/24)+5*(((0.15*B396*5))^5/120))/((((0.15*B396*5))^0/1)+(((0.15*B396*5))^1/1)+(((0.15*B396*5))^2/2)+(((0.15*B396*5))^3/6)+(((0.15*B396*5))^4/24)+(((0.15*B396*5))^5/120))),0)))/100)*I375)</f>
        <v/>
      </c>
      <c r="L375">
        <f>K375*(MIN(Inputs!$B$22+((C387=TRUE)*(F387-Calc!F22)),(Inputs!$B$23+((C389=TRUE)*(F389-Calc!F24))+(IF(ArtifactsInput!$M$15,CHOOSE(ArtifactsInput!$N$15+1,25,30,35,40,45,50)/100*(Inputs!$B$11-Inputs!$B$11),0))))/100+(Inputs!$B$23+((C389=TRUE)*(F389-Calc!F24))+(IF(ArtifactsInput!$M$15,CHOOSE(ArtifactsInput!$N$15+1,25,30,35,40,45,50)/100*(Inputs!$B$11-Inputs!$B$11),0)))/100)/2</f>
        <v/>
      </c>
      <c r="M375">
        <f>L375*(1+(Inputs!$B$10+0+B399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75">
        <f>L375*(1-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375*(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75">
        <f>(1-Summary!$B$11)*T375+Summary!$B$11*V375</f>
        <v/>
      </c>
      <c r="P375">
        <f>IF(B404=0,0,O375/B404)</f>
        <v/>
      </c>
      <c r="Q375">
        <f>IFERROR(1/(IF(Inputs!$B$38="pvp",15,MAX(0.1,Skills!D10-IF(Skills!E10=TRUE,Inputs!$B$32,0)))*(1-IF(AND(ArtifactsInput!$M$27,Inputs!$B$4="Chapter Hunt"),CHOOSE(ArtifactsInput!$N$27+1,20,24,28,32,36,40),0)/100)),0)</f>
        <v/>
      </c>
      <c r="R375">
        <f>IF(AND(Inputs!$B$38&lt;&gt;"pvp",Inputs!$B$43&gt;0),IF(MAX(0,Inputs!$B$43-B401)&lt;=0,0,(INT(MAX(0,Inputs!$B$43-B401)/(IF(Inputs!$B$38="pvp",15,MAX(0.1,Skills!D10-IF(Skills!E10=TRUE,Inputs!$B$32,0)))*(1-IF(AND(ArtifactsInput!$M$27,Inputs!$B$4="Chapter Hunt"),CHOOSE(ArtifactsInput!$N$27+1,20,24,28,32,36,40),0)/100)))+1)),0)</f>
        <v/>
      </c>
      <c r="S375">
        <f>IFERROR(O375/N375,0)</f>
        <v/>
      </c>
      <c r="T375">
        <f>IF(C375,(H375*N375*IF(AND(Inputs!$B$38&lt;&gt;"pvp",Inputs!$B$43&gt;0),((Skills!G10*((R375-1)*IF(Skills!H10&gt;0,Skills!I10/Skills!H10,1)+IF(Skills!H10&gt;0,MIN(Skills!I10,MAX(0,MAX(0,Inputs!$B$43-B401)-((R375-1)*(IF(Inputs!$B$38="pvp",15,MAX(0.1,Skills!D10-IF(Skills!E10=TRUE,Inputs!$B$32,0)))*(1-IF(AND(ArtifactsInput!$M$27,Inputs!$B$4="Chapter Hunt"),CHOOSE(ArtifactsInput!$N$27+1,20,24,28,32,36,40),0)/100)))))/Skills!H10,1)))/Inputs!$B$43),G375*Q375)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375*(1-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375*(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375*(1-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375*(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75">
        <f>IF(C375,(H375*N375*IF(AND(Inputs!$B$38&lt;&gt;"pvp",Inputs!$B$43&gt;0),((Skills!G10*((R375-1)*IF(Skills!H10&gt;0,Skills!I10/Skills!H10,1)+IF(Skills!H10&gt;0,MIN(Skills!I10,MAX(0,MAX(0,Inputs!$B$43-B401)-((R375-1)*(IF(Inputs!$B$38="pvp",15,MAX(0.1,Skills!D10-IF(Skills!E10=TRUE,Inputs!$B$32,0)))*(1-IF(AND(ArtifactsInput!$M$27,Inputs!$B$4="Chapter Hunt"),CHOOSE(ArtifactsInput!$N$27+1,20,24,28,32,36,40),0)/100)))))/Skills!H10,1)))/Inputs!$B$43),G375*Q375)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76">
      <c r="A376">
        <f>Skills!A11</f>
        <v/>
      </c>
      <c r="B376">
        <f>Skills!B11</f>
        <v/>
      </c>
      <c r="C376">
        <f>Inputs!$B$3&gt;=35</f>
        <v/>
      </c>
      <c r="D376">
        <f>IF(Skills!C11=1,60+Inputs!$B$25+Inputs!$B$29,IF(Skills!C11=2,90+Inputs!$B$26+Inputs!$B$29,IF(Skills!C11=3,120+Inputs!$B$27+Inputs!$B$29,MAX(0,(Inputs!$B$3-100)*3)+Inputs!$B$28+Inputs!$B$29)))</f>
        <v/>
      </c>
      <c r="E376">
        <f>INDEX(FactorTable!$B$2:$Y$301, MATCH(ROUND(MIN(300,MAX(1,D376)),0), FactorTable!$A$2:$A$301,0), Skills!M11+1)</f>
        <v/>
      </c>
      <c r="F376">
        <f>IF(Skills!N11=TRUE,(Skills!L11/10)*(E376/1000),Skills!L11/10)+Skills!O11</f>
        <v/>
      </c>
      <c r="G376">
        <f>Skills!G11*IF(Skills!H11&gt;0,Skills!I11/Skills!H11,1)</f>
        <v/>
      </c>
      <c r="H376">
        <f>1-(1-Skills!J11/100)^Skills!K11</f>
        <v/>
      </c>
      <c r="I376" t="inlineStr">
        <is>
          <t>1</t>
        </is>
      </c>
      <c r="J376">
        <f>((Inputs!$B$6*(1+Inputs!$B$7/100))+(((Inputs!$B$12*(1+Inputs!$B$13/100))-(Inputs!$B$12*(1+Inputs!$B$13/100)))+0.25*(Inputs!$B$14-Inputs!$B$14))*(1+Inputs!$B$7/100))*(F376/100)</f>
        <v/>
      </c>
      <c r="K376">
        <f>J376*(1+((Inputs!$B$12*(1+Inputs!$B$13/100))*0.01+Inputs!$B$14*0.0025)/100)*(1+Inputs!$B$15/100)*(1+Inputs!$B$16/100)*(5000/(6000+Inputs!$B$42*(1-(100*(1-(1-(Inputs!$B$19+0)/100)*(1-CHOOSE(ArtifactsInput!$N$40+1,5,6,7,8,9,10)/100)^(ArtifactsInput!$M$40-ArtifactsInput!$M$40)))/100)))*(1+(((((1+(Inputs!$B$24+Summary!$B$21)/100)*(1.01))-1)*100-(Summary!$B$21))+((C390=TRUE)*(F390-Calc!F25))+B400)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377=TRUE,F377,0)/100)*(1+IF(Skills!A11="ENHANCED_RAGING_BLOW",IF(Inputs!$B$3&gt;=134,MAX(0,IF(Inputs!$B$3&gt;=110,7,5)-5)*50,0),0)/100)*(1+(IF(Skills!A11="RAGING_BLOW",Inputs!$B$17+((C386=TRUE)*(F386-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388=TRUE)*(F388-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378=TRUE)*F378*IF(Inputs!$B$3&gt;=110,7,5))+((C380=TRUE)*F380*IF(AND(Inputs!$B$38&lt;&gt;"pvp",Inputs!$B$43&gt;0),(((R380-1)*(Skills!T15*(1+(Inputs!$B$34+(ArtifactsInput!$M$7-ArtifactsInput!$M$7)*CHOOSE(ArtifactsInput!$N$7+1,6,7.2,8.4,9.6,10.8,12))/100))+MIN((Skills!T15*(1+(Inputs!$B$34+(ArtifactsInput!$M$7-ArtifactsInput!$M$7)*CHOOSE(ArtifactsInput!$N$7+1,6,7.2,8.4,9.6,10.8,12))/100)),MAX(0,Inputs!$B$43-((R380-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Hunt"),CHOOSE(ArtifactsInput!$N$35+1,15,18,21,24,27,30)*(1-EXP(-(0.2*B396)*5)),0)+IF(AND(ArtifactsInput!$M$22,Inputs!$B$4&lt;&gt;"Chapter Hunt"),CHOOSE(ArtifactsInput!$N$22+1,10,12,14,16,18,20)*((0*(((0.15*B396*5))^0/1)+1*(((0.15*B396*5))^1/1)+2*(((0.15*B396*5))^2/2)+3*(((0.15*B396*5))^3/6)+4*(((0.15*B396*5))^4/24)+5*(((0.15*B396*5))^5/120))/((((0.15*B396*5))^0/1)+(((0.15*B396*5))^1/1)+(((0.15*B396*5))^2/2)+(((0.15*B396*5))^3/6)+(((0.15*B396*5))^4/24)+(((0.15*B396*5))^5/120))),0)))/100)*I376)</f>
        <v/>
      </c>
      <c r="L376">
        <f>K376*(MIN(Inputs!$B$22+((C387=TRUE)*(F387-Calc!F22)),(Inputs!$B$23+((C389=TRUE)*(F389-Calc!F24))+(IF(ArtifactsInput!$M$15,CHOOSE(ArtifactsInput!$N$15+1,25,30,35,40,45,50)/100*(Inputs!$B$11-Inputs!$B$11),0))))/100+(Inputs!$B$23+((C389=TRUE)*(F389-Calc!F24))+(IF(ArtifactsInput!$M$15,CHOOSE(ArtifactsInput!$N$15+1,25,30,35,40,45,50)/100*(Inputs!$B$11-Inputs!$B$11),0)))/100)/2</f>
        <v/>
      </c>
      <c r="M376">
        <f>L376*(1+(Inputs!$B$10+0+B399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76">
        <f>L376*(1-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376*(MIN((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76">
        <f>(1-Summary!$B$11)*T376+Summary!$B$11*V376</f>
        <v/>
      </c>
      <c r="P376">
        <f>IF(B404=0,0,O376/B404)</f>
        <v/>
      </c>
      <c r="Q376">
        <f>IFERROR(1/(IF(Inputs!$B$38="pvp",15,MAX(0.1,Skills!D11-IF(Skills!E11=TRUE,Inputs!$B$32,0)))*(1-IF(AND(ArtifactsInput!$M$27,Inputs!$B$4="Chapter Hunt"),CHOOSE(ArtifactsInput!$N$27+1,20,24,28,32,36,40),0)/100)),0)</f>
        <v/>
      </c>
      <c r="R376">
        <f>IF(AND(Inputs!$B$38&lt;&gt;"pvp",Inputs!$B$43&gt;0),IF(MAX(0,Inputs!$B$43-B401)&lt;=0,0,(INT(MAX(0,Inputs!$B$43-B401)/(IF(Inputs!$B$38="pvp",15,MAX(0.1,Skills!D11-IF(Skills!E11=TRUE,Inputs!$B$32,0)))*(1-IF(AND(ArtifactsInput!$M$27,Inputs!$B$4="Chapter Hunt"),CHOOSE(ArtifactsInput!$N$27+1,20,24,28,32,36,40),0)/100)))+1)),0)</f>
        <v/>
      </c>
      <c r="S376">
        <f>IFERROR(O376/N376,0)</f>
        <v/>
      </c>
      <c r="T376">
        <f>IF(C376,(H376*N376*IF(AND(Inputs!$B$38&lt;&gt;"pvp",Inputs!$B$43&gt;0),((Skills!G11*((R376-1)*IF(Skills!H11&gt;0,Skills!I11/Skills!H11,1)+IF(Skills!H11&gt;0,MIN(Skills!I11,MAX(0,MAX(0,Inputs!$B$43-B401)-((R376-1)*(IF(Inputs!$B$38="pvp",15,MAX(0.1,Skills!D11-IF(Skills!E11=TRUE,Inputs!$B$32,0)))*(1-IF(AND(ArtifactsInput!$M$27,Inputs!$B$4="Chapter Hunt"),CHOOSE(ArtifactsInput!$N$27+1,20,24,28,32,36,40),0)/100)))))/Skills!H11,1)))/Inputs!$B$43),G376*Q376)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376*(1-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376*(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376*(1-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376*(MIN(100,(Inputs!$B$9+((C391=TRUE)*(F391-Calc!F26))+B394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76">
        <f>IF(C376,(H376*N376*IF(AND(Inputs!$B$38&lt;&gt;"pvp",Inputs!$B$43&gt;0),((Skills!G11*((R376-1)*IF(Skills!H11&gt;0,Skills!I11/Skills!H11,1)+IF(Skills!H11&gt;0,MIN(Skills!I11,MAX(0,MAX(0,Inputs!$B$43-B401)-((R376-1)*(IF(Inputs!$B$38="pvp",15,MAX(0.1,Skills!D11-IF(Skills!E11=TRUE,Inputs!$B$32,0)))*(1-IF(AND(ArtifactsInput!$M$27,Inputs!$B$4="Chapter Hunt"),CHOOSE(ArtifactsInput!$N$27+1,20,24,28,32,36,40),0)/100)))))/Skills!H11,1)))/Inputs!$B$43),G376*Q376)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77">
      <c r="A377">
        <f>Skills!A12</f>
        <v/>
      </c>
      <c r="B377">
        <f>Skills!B12</f>
        <v/>
      </c>
      <c r="C377">
        <f>Inputs!$B$3&gt;=100</f>
        <v/>
      </c>
      <c r="D377">
        <f>IF(Skills!C12=1,60+Inputs!$B$25+Inputs!$B$29,IF(Skills!C12=2,90+Inputs!$B$26+Inputs!$B$29,IF(Skills!C12=3,120+Inputs!$B$27+Inputs!$B$29,MAX(0,(Inputs!$B$3-100)*3)+Inputs!$B$28+Inputs!$B$29)))</f>
        <v/>
      </c>
      <c r="E377">
        <f>INDEX(FactorTable!$B$2:$Y$301, MATCH(ROUND(MIN(300,MAX(1,D377)),0), FactorTable!$A$2:$A$301,0), Skills!M12+1)</f>
        <v/>
      </c>
      <c r="F377">
        <f>IF(Skills!N12=TRUE,(Skills!L12/10)*(E377/1000),Skills!L12/10)+Skills!O12</f>
        <v/>
      </c>
      <c r="G377" t="inlineStr"/>
      <c r="H377" t="inlineStr"/>
      <c r="I377" t="inlineStr">
        <is>
          <t>1</t>
        </is>
      </c>
      <c r="J377" t="inlineStr"/>
      <c r="K377" t="inlineStr"/>
      <c r="L377" t="inlineStr"/>
      <c r="M377" t="inlineStr"/>
      <c r="N377" t="inlineStr"/>
      <c r="O377" t="inlineStr"/>
      <c r="P377" t="inlineStr"/>
      <c r="Q377" t="inlineStr"/>
      <c r="R377" t="inlineStr"/>
      <c r="S377" t="inlineStr"/>
    </row>
    <row r="378">
      <c r="A378">
        <f>Skills!A13</f>
        <v/>
      </c>
      <c r="B378">
        <f>Skills!B13</f>
        <v/>
      </c>
      <c r="C378">
        <f>Inputs!$B$3&gt;=45</f>
        <v/>
      </c>
      <c r="D378">
        <f>IF(Skills!C13=1,60+Inputs!$B$25+Inputs!$B$29,IF(Skills!C13=2,90+Inputs!$B$26+Inputs!$B$29,IF(Skills!C13=3,120+Inputs!$B$27+Inputs!$B$29,MAX(0,(Inputs!$B$3-100)*3)+Inputs!$B$28+Inputs!$B$29)))</f>
        <v/>
      </c>
      <c r="E378">
        <f>INDEX(FactorTable!$B$2:$Y$301, MATCH(ROUND(MIN(300,MAX(1,D378)),0), FactorTable!$A$2:$A$301,0), Skills!M13+1)</f>
        <v/>
      </c>
      <c r="F378">
        <f>IF(Skills!N13=TRUE,(Skills!L13/10)*(E378/1000),Skills!L13/10)+Skills!O13</f>
        <v/>
      </c>
      <c r="G378">
        <f>Skills!G13*IF(Skills!H13&gt;0,Skills!I13/Skills!H13,1)</f>
        <v/>
      </c>
      <c r="H378">
        <f>1-(1-Skills!J13/100)^Skills!K13</f>
        <v/>
      </c>
      <c r="I378" t="inlineStr">
        <is>
          <t>1</t>
        </is>
      </c>
      <c r="J378" t="inlineStr"/>
      <c r="K378" t="inlineStr"/>
      <c r="L378" t="inlineStr"/>
      <c r="M378" t="inlineStr"/>
      <c r="N378" t="inlineStr"/>
      <c r="O378">
        <f>(1-Summary!$B$11)*T378+Summary!$B$11*V378</f>
        <v/>
      </c>
      <c r="P378">
        <f>IF(B404=0,0,O378/B404)</f>
        <v/>
      </c>
      <c r="Q378" t="n">
        <v>0</v>
      </c>
      <c r="R378" t="n">
        <v>0</v>
      </c>
      <c r="S378">
        <f>IFERROR(O378/N378,0)</f>
        <v/>
      </c>
      <c r="T378" t="n">
        <v>0</v>
      </c>
      <c r="V378" t="n">
        <v>0</v>
      </c>
    </row>
    <row r="379">
      <c r="A379">
        <f>Skills!A14</f>
        <v/>
      </c>
      <c r="B379">
        <f>Skills!B14</f>
        <v/>
      </c>
      <c r="C379">
        <f>Inputs!$B$3&gt;=75</f>
        <v/>
      </c>
      <c r="D379">
        <f>IF(Skills!C14=1,60+Inputs!$B$25+Inputs!$B$29,IF(Skills!C14=2,90+Inputs!$B$26+Inputs!$B$29,IF(Skills!C14=3,120+Inputs!$B$27+Inputs!$B$29,MAX(0,(Inputs!$B$3-100)*3)+Inputs!$B$28+Inputs!$B$29)))</f>
        <v/>
      </c>
      <c r="E379">
        <f>INDEX(FactorTable!$B$2:$Y$301, MATCH(ROUND(MIN(300,MAX(1,D379)),0), FactorTable!$A$2:$A$301,0), Skills!M14+1)</f>
        <v/>
      </c>
      <c r="F379">
        <f>IF(Skills!N14=TRUE,(Skills!L14/10)*(E379/1000),Skills!L14/10)+Skills!O14</f>
        <v/>
      </c>
      <c r="G379">
        <f>Skills!G14*IF(Skills!H14&gt;0,Skills!I14/Skills!H14,1)</f>
        <v/>
      </c>
      <c r="H379">
        <f>1-(1-Skills!J14/100)^Skills!K14</f>
        <v/>
      </c>
      <c r="I379" t="inlineStr">
        <is>
          <t>1</t>
        </is>
      </c>
      <c r="J379" t="inlineStr"/>
      <c r="K379" t="inlineStr"/>
      <c r="L379" t="inlineStr"/>
      <c r="M379" t="inlineStr"/>
      <c r="N379" t="inlineStr"/>
      <c r="O379">
        <f>(1-Summary!$B$11)*T379+Summary!$B$11*V379</f>
        <v/>
      </c>
      <c r="P379">
        <f>IF(B404=0,0,O379/B404)</f>
        <v/>
      </c>
      <c r="Q379" t="n">
        <v>0</v>
      </c>
      <c r="R379" t="n">
        <v>0</v>
      </c>
      <c r="S379">
        <f>IFERROR(O379/N379,0)</f>
        <v/>
      </c>
      <c r="T379" t="n">
        <v>0</v>
      </c>
      <c r="V379" t="n">
        <v>0</v>
      </c>
    </row>
    <row r="380">
      <c r="A380">
        <f>Skills!A15</f>
        <v/>
      </c>
      <c r="B380">
        <f>Skills!B15</f>
        <v/>
      </c>
      <c r="C380">
        <f>Inputs!$B$3&gt;=40</f>
        <v/>
      </c>
      <c r="D380">
        <f>IF(Skills!C15=1,60+Inputs!$B$25+Inputs!$B$29,IF(Skills!C15=2,90+Inputs!$B$26+Inputs!$B$29,IF(Skills!C15=3,120+Inputs!$B$27+Inputs!$B$29,MAX(0,(Inputs!$B$3-100)*3)+Inputs!$B$28+Inputs!$B$29)))</f>
        <v/>
      </c>
      <c r="E380">
        <f>INDEX(FactorTable!$B$2:$Y$301, MATCH(ROUND(MIN(300,MAX(1,D380)),0), FactorTable!$A$2:$A$301,0), Skills!M15+1)</f>
        <v/>
      </c>
      <c r="F380">
        <f>IF(Skills!N15=TRUE,(Skills!L15/10)*(E380/1000),Skills!L15/10)+Skills!O15</f>
        <v/>
      </c>
      <c r="G380">
        <f>Skills!G15*IF(Skills!H15&gt;0,Skills!I15/Skills!H15,1)</f>
        <v/>
      </c>
      <c r="H380">
        <f>1-(1-Skills!J15/100)^Skills!K15</f>
        <v/>
      </c>
      <c r="I380" t="inlineStr">
        <is>
          <t>1</t>
        </is>
      </c>
      <c r="J380" t="inlineStr"/>
      <c r="K380" t="inlineStr"/>
      <c r="L380" t="inlineStr"/>
      <c r="M380" t="inlineStr"/>
      <c r="N380" t="inlineStr"/>
      <c r="O380">
        <f>(1-Summary!$B$11)*T380+Summary!$B$11*V380</f>
        <v/>
      </c>
      <c r="P380">
        <f>IF(B404=0,0,O380/B404)</f>
        <v/>
      </c>
      <c r="Q380">
        <f>IFERROR(1/(IF(Inputs!$B$38="pvp",15,MAX(0.1,Skills!D15-IF(Skills!E15=TRUE,Inputs!$B$32,0)))*(1-IF(AND(ArtifactsInput!$M$27,Inputs!$B$4="Chapter Hunt"),CHOOSE(ArtifactsInput!$N$27+1,20,24,28,32,36,40),0)/100)),0)</f>
        <v/>
      </c>
      <c r="R380">
        <f>IF(AND(Inputs!$B$38&lt;&gt;"pvp",Inputs!$B$43&gt;0),IF(Inputs!$B$43&lt;=0,0,(INT(Inputs!$B$43/(IF(Inputs!$B$38="pvp",15,MAX(0.1,Skills!D15-IF(Skills!E15=TRUE,Inputs!$B$32,0)))*(1-IF(AND(ArtifactsInput!$M$27,Inputs!$B$4="Chapter Hunt"),CHOOSE(ArtifactsInput!$N$27+1,20,24,28,32,36,40),0)/100)))+1)),0)</f>
        <v/>
      </c>
      <c r="S380">
        <f>IFERROR(O380/N380,0)</f>
        <v/>
      </c>
      <c r="T380" t="n">
        <v>0</v>
      </c>
      <c r="V380" t="n">
        <v>0</v>
      </c>
    </row>
    <row r="381">
      <c r="A381">
        <f>Skills!A16</f>
        <v/>
      </c>
      <c r="B381">
        <f>Skills!B16</f>
        <v/>
      </c>
      <c r="C381">
        <f>Inputs!$B$3&gt;=66</f>
        <v/>
      </c>
      <c r="D381">
        <f>IF(Skills!C16=1,60+Inputs!$B$25+Inputs!$B$29,IF(Skills!C16=2,90+Inputs!$B$26+Inputs!$B$29,IF(Skills!C16=3,120+Inputs!$B$27+Inputs!$B$29,MAX(0,(Inputs!$B$3-100)*3)+Inputs!$B$28+Inputs!$B$29)))</f>
        <v/>
      </c>
      <c r="E381">
        <f>INDEX(FactorTable!$B$2:$Y$301, MATCH(ROUND(MIN(300,MAX(1,D381)),0), FactorTable!$A$2:$A$301,0), Skills!M16+1)</f>
        <v/>
      </c>
      <c r="F381">
        <f>IF(Skills!N16=TRUE,(Skills!L16/10)*(E381/1000),Skills!L16/10)+Skills!O16</f>
        <v/>
      </c>
      <c r="G381">
        <f>Skills!G16*IF(Skills!H16&gt;0,Skills!I16/Skills!H16,1)</f>
        <v/>
      </c>
      <c r="H381">
        <f>1-(1-Skills!J16/100)^Skills!K16</f>
        <v/>
      </c>
      <c r="I381" t="inlineStr">
        <is>
          <t>1</t>
        </is>
      </c>
      <c r="J381" t="inlineStr"/>
      <c r="K381" t="inlineStr"/>
      <c r="L381" t="inlineStr"/>
      <c r="M381" t="inlineStr"/>
      <c r="N381" t="inlineStr"/>
      <c r="O381">
        <f>(1-Summary!$B$11)*T381+Summary!$B$11*V381</f>
        <v/>
      </c>
      <c r="P381">
        <f>IF(B404=0,0,O381/B404)</f>
        <v/>
      </c>
      <c r="Q381">
        <f>IFERROR(1/(IF(Inputs!$B$38="pvp",15,MAX(0.1,Skills!D16-IF(Skills!E16=TRUE,Inputs!$B$32,0)))*(1-IF(AND(ArtifactsInput!$M$27,Inputs!$B$4="Chapter Hunt"),CHOOSE(ArtifactsInput!$N$27+1,20,24,28,32,36,40),0)/100)),0)</f>
        <v/>
      </c>
      <c r="R381">
        <f>IF(AND(Inputs!$B$38&lt;&gt;"pvp",Inputs!$B$43&gt;0),IF(Inputs!$B$43&lt;=0,0,(INT(Inputs!$B$43/(IF(Inputs!$B$38="pvp",15,MAX(0.1,Skills!D16-IF(Skills!E16=TRUE,Inputs!$B$32,0)))*(1-IF(AND(ArtifactsInput!$M$27,Inputs!$B$4="Chapter Hunt"),CHOOSE(ArtifactsInput!$N$27+1,20,24,28,32,36,40),0)/100)))+1)),0)</f>
        <v/>
      </c>
      <c r="S381">
        <f>IFERROR(O381/N381,0)</f>
        <v/>
      </c>
      <c r="T381" t="n">
        <v>0</v>
      </c>
      <c r="V381" t="n">
        <v>0</v>
      </c>
    </row>
    <row r="382">
      <c r="A382">
        <f>Skills!A17</f>
        <v/>
      </c>
      <c r="B382">
        <f>Skills!B17</f>
        <v/>
      </c>
      <c r="C382">
        <f>Inputs!$B$3&gt;=115</f>
        <v/>
      </c>
      <c r="D382">
        <f>IF(Skills!C17=1,60+Inputs!$B$25+Inputs!$B$29,IF(Skills!C17=2,90+Inputs!$B$26+Inputs!$B$29,IF(Skills!C17=3,120+Inputs!$B$27+Inputs!$B$29,MAX(0,(Inputs!$B$3-100)*3)+Inputs!$B$28+Inputs!$B$29)))</f>
        <v/>
      </c>
      <c r="E382">
        <f>INDEX(FactorTable!$B$2:$Y$301, MATCH(ROUND(MIN(300,MAX(1,D382)),0), FactorTable!$A$2:$A$301,0), Skills!M17+1)</f>
        <v/>
      </c>
      <c r="F382">
        <f>IF(Skills!N17=TRUE,(Skills!L17/10)*(E382/1000),Skills!L17/10)+Skills!O17</f>
        <v/>
      </c>
      <c r="G382">
        <f>Skills!G17*IF(Skills!H17&gt;0,Skills!I17/Skills!H17,1)</f>
        <v/>
      </c>
      <c r="H382">
        <f>1-(1-Skills!J17/100)^Skills!K17</f>
        <v/>
      </c>
      <c r="I382" t="inlineStr">
        <is>
          <t>1</t>
        </is>
      </c>
      <c r="J382" t="inlineStr"/>
      <c r="K382" t="inlineStr"/>
      <c r="L382" t="inlineStr"/>
      <c r="M382" t="inlineStr"/>
      <c r="N382" t="inlineStr"/>
      <c r="O382">
        <f>(1-Summary!$B$11)*T382+Summary!$B$11*V382</f>
        <v/>
      </c>
      <c r="P382">
        <f>IF(B404=0,0,O382/B404)</f>
        <v/>
      </c>
      <c r="Q382">
        <f>IFERROR(1/(IF(Inputs!$B$38="pvp",15,MAX(0.1,Skills!D17-IF(Skills!E17=TRUE,Inputs!$B$32,0)))*(1-IF(AND(ArtifactsInput!$M$27,Inputs!$B$4="Chapter Hunt"),CHOOSE(ArtifactsInput!$N$27+1,20,24,28,32,36,40),0)/100)),0)</f>
        <v/>
      </c>
      <c r="R382">
        <f>IF(AND(Inputs!$B$38&lt;&gt;"pvp",Inputs!$B$43&gt;0),IF(Inputs!$B$43&lt;=0,0,(INT(Inputs!$B$43/(IF(Inputs!$B$38="pvp",15,MAX(0.1,Skills!D17-IF(Skills!E17=TRUE,Inputs!$B$32,0)))*(1-IF(AND(ArtifactsInput!$M$27,Inputs!$B$4="Chapter Hunt"),CHOOSE(ArtifactsInput!$N$27+1,20,24,28,32,36,40),0)/100)))+1)),0)</f>
        <v/>
      </c>
      <c r="S382">
        <f>IFERROR(O382/N382,0)</f>
        <v/>
      </c>
      <c r="T382" t="n">
        <v>0</v>
      </c>
      <c r="V382" t="n">
        <v>0</v>
      </c>
    </row>
    <row r="383">
      <c r="A383">
        <f>Skills!A18</f>
        <v/>
      </c>
      <c r="B383">
        <f>Skills!B18</f>
        <v/>
      </c>
      <c r="C383">
        <f>Inputs!$B$3&gt;=115</f>
        <v/>
      </c>
      <c r="D383">
        <f>IF(Skills!C18=1,60+Inputs!$B$25+Inputs!$B$29,IF(Skills!C18=2,90+Inputs!$B$26+Inputs!$B$29,IF(Skills!C18=3,120+Inputs!$B$27+Inputs!$B$29,MAX(0,(Inputs!$B$3-100)*3)+Inputs!$B$28+Inputs!$B$29)))</f>
        <v/>
      </c>
      <c r="E383">
        <f>INDEX(FactorTable!$B$2:$Y$301, MATCH(ROUND(MIN(300,MAX(1,D383)),0), FactorTable!$A$2:$A$301,0), Skills!M18+1)</f>
        <v/>
      </c>
      <c r="F383">
        <f>IF(Skills!N18=TRUE,(Skills!L18/10)*(E383/1000),Skills!L18/10)+Skills!O18</f>
        <v/>
      </c>
      <c r="G383">
        <f>Skills!G18*IF(Skills!H18&gt;0,Skills!I18/Skills!H18,1)</f>
        <v/>
      </c>
      <c r="H383">
        <f>1-(1-Skills!J18/100)^Skills!K18</f>
        <v/>
      </c>
      <c r="I383" t="inlineStr">
        <is>
          <t>1</t>
        </is>
      </c>
      <c r="J383" t="inlineStr"/>
      <c r="K383" t="inlineStr"/>
      <c r="L383" t="inlineStr"/>
      <c r="M383" t="inlineStr"/>
      <c r="N383" t="inlineStr"/>
      <c r="O383">
        <f>(1-Summary!$B$11)*T383+Summary!$B$11*V383</f>
        <v/>
      </c>
      <c r="P383">
        <f>IF(B404=0,0,O383/B404)</f>
        <v/>
      </c>
      <c r="Q383">
        <f>IFERROR(1/(IF(Inputs!$B$38="pvp",15,MAX(0.1,Skills!D18-IF(Skills!E18=TRUE,Inputs!$B$32,0)))*(1-IF(AND(ArtifactsInput!$M$27,Inputs!$B$4="Chapter Hunt"),CHOOSE(ArtifactsInput!$N$27+1,20,24,28,32,36,40),0)/100)),0)</f>
        <v/>
      </c>
      <c r="R383">
        <f>IF(AND(Inputs!$B$38&lt;&gt;"pvp",Inputs!$B$43&gt;0),IF(Inputs!$B$43&lt;=0,0,(INT(Inputs!$B$43/(IF(Inputs!$B$38="pvp",15,MAX(0.1,Skills!D18-IF(Skills!E18=TRUE,Inputs!$B$32,0)))*(1-IF(AND(ArtifactsInput!$M$27,Inputs!$B$4="Chapter Hunt"),CHOOSE(ArtifactsInput!$N$27+1,20,24,28,32,36,40),0)/100)))+1)),0)</f>
        <v/>
      </c>
      <c r="S383">
        <f>IFERROR(O383/N383,0)</f>
        <v/>
      </c>
      <c r="T383" t="n">
        <v>0</v>
      </c>
      <c r="V383" t="n">
        <v>0</v>
      </c>
    </row>
    <row r="384">
      <c r="A384">
        <f>Skills!A19</f>
        <v/>
      </c>
      <c r="B384">
        <f>Skills!B19</f>
        <v/>
      </c>
      <c r="C384">
        <f>TRUE</f>
        <v/>
      </c>
      <c r="D384">
        <f>IF(Skills!C19=1,60+Inputs!$B$25+Inputs!$B$29,IF(Skills!C19=2,90+Inputs!$B$26+Inputs!$B$29,IF(Skills!C19=3,120+Inputs!$B$27+Inputs!$B$29,MAX(0,(Inputs!$B$3-100)*3)+Inputs!$B$28+Inputs!$B$29)))</f>
        <v/>
      </c>
      <c r="E384">
        <f>INDEX(FactorTable!$B$2:$Y$301, MATCH(ROUND(MIN(300,MAX(1,D384)),0), FactorTable!$A$2:$A$301,0), Skills!M19+1)</f>
        <v/>
      </c>
      <c r="F384">
        <f>IF(Skills!N19=TRUE,(Skills!L19/10)*(E384/1000),Skills!L19/10)+Skills!O19</f>
        <v/>
      </c>
      <c r="G384">
        <f>Skills!G19*IF(Skills!H19&gt;0,Skills!I19/Skills!H19,1)</f>
        <v/>
      </c>
      <c r="H384">
        <f>1-(1-Skills!J19/100)^Skills!K19</f>
        <v/>
      </c>
      <c r="I384" t="inlineStr">
        <is>
          <t>1</t>
        </is>
      </c>
      <c r="J384" t="inlineStr"/>
      <c r="K384" t="inlineStr"/>
      <c r="L384" t="inlineStr"/>
      <c r="M384" t="inlineStr"/>
      <c r="N384" t="inlineStr"/>
      <c r="O384">
        <f>(1-Summary!$B$11)*T384+Summary!$B$11*V384</f>
        <v/>
      </c>
      <c r="P384">
        <f>IF(B404=0,0,O384/B404)</f>
        <v/>
      </c>
      <c r="Q384">
        <f>IFERROR(1/(IF(Inputs!$B$38="pvp",15,MAX(0.1,Skills!D19-IF(Skills!E19=TRUE,Inputs!$B$32,0)))*(1-IF(AND(ArtifactsInput!$M$27,Inputs!$B$4="Chapter Hunt"),CHOOSE(ArtifactsInput!$N$27+1,20,24,28,32,36,40),0)/100)),0)</f>
        <v/>
      </c>
      <c r="R384">
        <f>IF(AND(Inputs!$B$38&lt;&gt;"pvp",Inputs!$B$43&gt;0),IF(Inputs!$B$43&lt;=0,0,(INT(Inputs!$B$43/(IF(Inputs!$B$38="pvp",15,MAX(0.1,Skills!D19-IF(Skills!E19=TRUE,Inputs!$B$32,0)))*(1-IF(AND(ArtifactsInput!$M$27,Inputs!$B$4="Chapter Hunt"),CHOOSE(ArtifactsInput!$N$27+1,20,24,28,32,36,40),0)/100)))+1)),0)</f>
        <v/>
      </c>
      <c r="S384">
        <f>IFERROR(O384/N384,0)</f>
        <v/>
      </c>
      <c r="T384" t="n">
        <v>0</v>
      </c>
      <c r="V384" t="n">
        <v>0</v>
      </c>
    </row>
    <row r="385">
      <c r="A385">
        <f>Skills!A20</f>
        <v/>
      </c>
      <c r="B385">
        <f>Skills!B20</f>
        <v/>
      </c>
      <c r="C385">
        <f>Inputs!$B$3&gt;=33</f>
        <v/>
      </c>
      <c r="D385">
        <f>IF(Skills!C20=1,60+Inputs!$B$25+Inputs!$B$29,IF(Skills!C20=2,90+Inputs!$B$26+Inputs!$B$29,IF(Skills!C20=3,120+Inputs!$B$27+Inputs!$B$29,MAX(0,(Inputs!$B$3-100)*3)+Inputs!$B$28+Inputs!$B$29)))</f>
        <v/>
      </c>
      <c r="E385">
        <f>INDEX(FactorTable!$B$2:$Y$301, MATCH(ROUND(MIN(300,MAX(1,D385)),0), FactorTable!$A$2:$A$301,0), Skills!M20+1)</f>
        <v/>
      </c>
      <c r="F385">
        <f>IF(Skills!N20=TRUE,(Skills!L20/10)*(E385/1000),Skills!L20/10)+Skills!O20</f>
        <v/>
      </c>
      <c r="G385">
        <f>Skills!G20*IF(Skills!H20&gt;0,Skills!I20/Skills!H20,1)</f>
        <v/>
      </c>
      <c r="H385">
        <f>1-(1-Skills!J20/100)^Skills!K20</f>
        <v/>
      </c>
      <c r="I385" t="inlineStr">
        <is>
          <t>1</t>
        </is>
      </c>
      <c r="J385" t="inlineStr"/>
      <c r="K385" t="inlineStr"/>
      <c r="L385" t="inlineStr"/>
      <c r="M385" t="inlineStr"/>
      <c r="N385" t="inlineStr"/>
      <c r="O385">
        <f>(1-Summary!$B$11)*T385+Summary!$B$11*V385</f>
        <v/>
      </c>
      <c r="P385">
        <f>IF(B404=0,0,O385/B404)</f>
        <v/>
      </c>
      <c r="Q385" t="n">
        <v>0</v>
      </c>
      <c r="R385" t="n">
        <v>0</v>
      </c>
      <c r="S385">
        <f>IFERROR(O385/N385,0)</f>
        <v/>
      </c>
      <c r="T385" t="n">
        <v>0</v>
      </c>
      <c r="V385" t="n">
        <v>0</v>
      </c>
    </row>
    <row r="386">
      <c r="A386">
        <f>Skills!A21</f>
        <v/>
      </c>
      <c r="B386">
        <f>Skills!B21</f>
        <v/>
      </c>
      <c r="C386">
        <f>Inputs!$B$3&gt;=38</f>
        <v/>
      </c>
      <c r="D386">
        <f>IF(Skills!C21=1,60+Inputs!$B$25+Inputs!$B$29,IF(Skills!C21=2,90+Inputs!$B$26+Inputs!$B$29,IF(Skills!C21=3,120+Inputs!$B$27+Inputs!$B$29,MAX(0,(Inputs!$B$3-100)*3)+Inputs!$B$28+Inputs!$B$29)))</f>
        <v/>
      </c>
      <c r="E386">
        <f>INDEX(FactorTable!$B$2:$Y$301, MATCH(ROUND(MIN(300,MAX(1,D386)),0), FactorTable!$A$2:$A$301,0), Skills!M21+1)</f>
        <v/>
      </c>
      <c r="F386">
        <f>IF(Skills!N21=TRUE,(Skills!L21/10)*(E386/1000),Skills!L21/10)+Skills!O21</f>
        <v/>
      </c>
      <c r="G386">
        <f>Skills!G21*IF(Skills!H21&gt;0,Skills!I21/Skills!H21,1)</f>
        <v/>
      </c>
      <c r="H386">
        <f>1-(1-Skills!J21/100)^Skills!K21</f>
        <v/>
      </c>
      <c r="I386" t="inlineStr">
        <is>
          <t>1</t>
        </is>
      </c>
      <c r="J386" t="inlineStr"/>
      <c r="K386" t="inlineStr"/>
      <c r="L386" t="inlineStr"/>
      <c r="M386" t="inlineStr"/>
      <c r="N386" t="inlineStr"/>
      <c r="O386">
        <f>(1-Summary!$B$11)*T386+Summary!$B$11*V386</f>
        <v/>
      </c>
      <c r="P386">
        <f>IF(B404=0,0,O386/B404)</f>
        <v/>
      </c>
      <c r="Q386" t="n">
        <v>0</v>
      </c>
      <c r="R386" t="n">
        <v>0</v>
      </c>
      <c r="S386">
        <f>IFERROR(O386/N386,0)</f>
        <v/>
      </c>
      <c r="T386" t="n">
        <v>0</v>
      </c>
      <c r="V386" t="n">
        <v>0</v>
      </c>
    </row>
    <row r="387">
      <c r="A387">
        <f>Skills!A22</f>
        <v/>
      </c>
      <c r="B387">
        <f>Skills!B22</f>
        <v/>
      </c>
      <c r="C387">
        <f>Inputs!$B$3&gt;=43</f>
        <v/>
      </c>
      <c r="D387">
        <f>IF(Skills!C22=1,60+Inputs!$B$25+Inputs!$B$29,IF(Skills!C22=2,90+Inputs!$B$26+Inputs!$B$29,IF(Skills!C22=3,120+Inputs!$B$27+Inputs!$B$29,MAX(0,(Inputs!$B$3-100)*3)+Inputs!$B$28+Inputs!$B$29)))</f>
        <v/>
      </c>
      <c r="E387">
        <f>INDEX(FactorTable!$B$2:$Y$301, MATCH(ROUND(MIN(300,MAX(1,D387)),0), FactorTable!$A$2:$A$301,0), Skills!M22+1)</f>
        <v/>
      </c>
      <c r="F387">
        <f>IF(Skills!N22=TRUE,(Skills!L22/10)*(E387/1000),Skills!L22/10)+Skills!O22</f>
        <v/>
      </c>
      <c r="G387">
        <f>Skills!G22*IF(Skills!H22&gt;0,Skills!I22/Skills!H22,1)</f>
        <v/>
      </c>
      <c r="H387">
        <f>1-(1-Skills!J22/100)^Skills!K22</f>
        <v/>
      </c>
      <c r="I387" t="inlineStr">
        <is>
          <t>1</t>
        </is>
      </c>
      <c r="J387" t="inlineStr"/>
      <c r="K387" t="inlineStr"/>
      <c r="L387" t="inlineStr"/>
      <c r="M387" t="inlineStr"/>
      <c r="N387" t="inlineStr"/>
      <c r="O387">
        <f>(1-Summary!$B$11)*T387+Summary!$B$11*V387</f>
        <v/>
      </c>
      <c r="P387">
        <f>IF(B404=0,0,O387/B404)</f>
        <v/>
      </c>
      <c r="Q387" t="n">
        <v>0</v>
      </c>
      <c r="R387" t="n">
        <v>0</v>
      </c>
      <c r="S387">
        <f>IFERROR(O387/N387,0)</f>
        <v/>
      </c>
      <c r="T387" t="n">
        <v>0</v>
      </c>
      <c r="V387" t="n">
        <v>0</v>
      </c>
    </row>
    <row r="388">
      <c r="A388">
        <f>Skills!A23</f>
        <v/>
      </c>
      <c r="B388">
        <f>Skills!B23</f>
        <v/>
      </c>
      <c r="C388">
        <f>Inputs!$B$3&gt;=120</f>
        <v/>
      </c>
      <c r="D388">
        <f>IF(Skills!C23=1,60+Inputs!$B$25+Inputs!$B$29,IF(Skills!C23=2,90+Inputs!$B$26+Inputs!$B$29,IF(Skills!C23=3,120+Inputs!$B$27+Inputs!$B$29,MAX(0,(Inputs!$B$3-100)*3)+Inputs!$B$28+Inputs!$B$29)))</f>
        <v/>
      </c>
      <c r="E388">
        <f>INDEX(FactorTable!$B$2:$Y$301, MATCH(ROUND(MIN(300,MAX(1,D388)),0), FactorTable!$A$2:$A$301,0), Skills!M23+1)</f>
        <v/>
      </c>
      <c r="F388">
        <f>IF(Skills!N23=TRUE,(Skills!L23/10)*(E388/1000),Skills!L23/10)+Skills!O23</f>
        <v/>
      </c>
      <c r="G388">
        <f>Skills!G23*IF(Skills!H23&gt;0,Skills!I23/Skills!H23,1)</f>
        <v/>
      </c>
      <c r="H388">
        <f>1-(1-Skills!J23/100)^Skills!K23</f>
        <v/>
      </c>
      <c r="I388" t="inlineStr">
        <is>
          <t>1</t>
        </is>
      </c>
      <c r="J388" t="inlineStr"/>
      <c r="K388" t="inlineStr"/>
      <c r="L388" t="inlineStr"/>
      <c r="M388" t="inlineStr"/>
      <c r="N388" t="inlineStr"/>
      <c r="O388">
        <f>(1-Summary!$B$11)*T388+Summary!$B$11*V388</f>
        <v/>
      </c>
      <c r="P388">
        <f>IF(B404=0,0,O388/B404)</f>
        <v/>
      </c>
      <c r="Q388" t="n">
        <v>0</v>
      </c>
      <c r="R388" t="n">
        <v>0</v>
      </c>
      <c r="S388">
        <f>IFERROR(O388/N388,0)</f>
        <v/>
      </c>
      <c r="T388" t="n">
        <v>0</v>
      </c>
      <c r="V388" t="n">
        <v>0</v>
      </c>
    </row>
    <row r="389">
      <c r="A389">
        <f>Skills!A24</f>
        <v/>
      </c>
      <c r="B389">
        <f>Skills!B24</f>
        <v/>
      </c>
      <c r="C389">
        <f>Inputs!$B$3&gt;=120</f>
        <v/>
      </c>
      <c r="D389">
        <f>IF(Skills!C24=1,60+Inputs!$B$25+Inputs!$B$29,IF(Skills!C24=2,90+Inputs!$B$26+Inputs!$B$29,IF(Skills!C24=3,120+Inputs!$B$27+Inputs!$B$29,MAX(0,(Inputs!$B$3-100)*3)+Inputs!$B$28+Inputs!$B$29)))</f>
        <v/>
      </c>
      <c r="E389">
        <f>INDEX(FactorTable!$B$2:$Y$301, MATCH(ROUND(MIN(300,MAX(1,D389)),0), FactorTable!$A$2:$A$301,0), Skills!M24+1)</f>
        <v/>
      </c>
      <c r="F389">
        <f>IF(Skills!N24=TRUE,(Skills!L24/10)*(E389/1000),Skills!L24/10)+Skills!O24</f>
        <v/>
      </c>
      <c r="G389">
        <f>Skills!G24*IF(Skills!H24&gt;0,Skills!I24/Skills!H24,1)</f>
        <v/>
      </c>
      <c r="H389">
        <f>1-(1-Skills!J24/100)^Skills!K24</f>
        <v/>
      </c>
      <c r="I389" t="inlineStr">
        <is>
          <t>1</t>
        </is>
      </c>
      <c r="J389" t="inlineStr"/>
      <c r="K389" t="inlineStr"/>
      <c r="L389" t="inlineStr"/>
      <c r="M389" t="inlineStr"/>
      <c r="N389" t="inlineStr"/>
      <c r="O389">
        <f>(1-Summary!$B$11)*T389+Summary!$B$11*V389</f>
        <v/>
      </c>
      <c r="P389">
        <f>IF(B404=0,0,O389/B404)</f>
        <v/>
      </c>
      <c r="Q389" t="n">
        <v>0</v>
      </c>
      <c r="R389" t="n">
        <v>0</v>
      </c>
      <c r="S389">
        <f>IFERROR(O389/N389,0)</f>
        <v/>
      </c>
      <c r="T389" t="n">
        <v>0</v>
      </c>
      <c r="V389" t="n">
        <v>0</v>
      </c>
    </row>
    <row r="390">
      <c r="A390">
        <f>Skills!A25</f>
        <v/>
      </c>
      <c r="B390">
        <f>Skills!B25</f>
        <v/>
      </c>
      <c r="C390">
        <f>Inputs!$B$3&gt;=125</f>
        <v/>
      </c>
      <c r="D390">
        <f>IF(Skills!C25=1,60+Inputs!$B$25+Inputs!$B$29,IF(Skills!C25=2,90+Inputs!$B$26+Inputs!$B$29,IF(Skills!C25=3,120+Inputs!$B$27+Inputs!$B$29,MAX(0,(Inputs!$B$3-100)*3)+Inputs!$B$28+Inputs!$B$29)))</f>
        <v/>
      </c>
      <c r="E390">
        <f>INDEX(FactorTable!$B$2:$Y$301, MATCH(ROUND(MIN(300,MAX(1,D390)),0), FactorTable!$A$2:$A$301,0), Skills!M25+1)</f>
        <v/>
      </c>
      <c r="F390">
        <f>IF(Skills!N25=TRUE,(Skills!L25/10)*(E390/1000),Skills!L25/10)+Skills!O25</f>
        <v/>
      </c>
      <c r="G390">
        <f>Skills!G25*IF(Skills!H25&gt;0,Skills!I25/Skills!H25,1)</f>
        <v/>
      </c>
      <c r="H390">
        <f>1-(1-Skills!J25/100)^Skills!K25</f>
        <v/>
      </c>
      <c r="I390" t="inlineStr">
        <is>
          <t>1</t>
        </is>
      </c>
      <c r="J390" t="inlineStr"/>
      <c r="K390" t="inlineStr"/>
      <c r="L390" t="inlineStr"/>
      <c r="M390" t="inlineStr"/>
      <c r="N390" t="inlineStr"/>
      <c r="O390">
        <f>(1-Summary!$B$11)*T390+Summary!$B$11*V390</f>
        <v/>
      </c>
      <c r="P390">
        <f>IF(B404=0,0,O390/B404)</f>
        <v/>
      </c>
      <c r="Q390" t="n">
        <v>0</v>
      </c>
      <c r="R390" t="n">
        <v>0</v>
      </c>
      <c r="S390">
        <f>IFERROR(O390/N390,0)</f>
        <v/>
      </c>
      <c r="T390" t="n">
        <v>0</v>
      </c>
      <c r="V390" t="n">
        <v>0</v>
      </c>
    </row>
    <row r="391">
      <c r="A391">
        <f>Skills!A26</f>
        <v/>
      </c>
      <c r="B391">
        <f>Skills!B26</f>
        <v/>
      </c>
      <c r="C391">
        <f>Inputs!$B$3&gt;=72</f>
        <v/>
      </c>
      <c r="D391">
        <f>IF(Skills!C26=1,60+Inputs!$B$25+Inputs!$B$29,IF(Skills!C26=2,90+Inputs!$B$26+Inputs!$B$29,IF(Skills!C26=3,120+Inputs!$B$27+Inputs!$B$29,MAX(0,(Inputs!$B$3-100)*3)+Inputs!$B$28+Inputs!$B$29)))</f>
        <v/>
      </c>
      <c r="E391">
        <f>INDEX(FactorTable!$B$2:$Y$301, MATCH(ROUND(MIN(300,MAX(1,D391)),0), FactorTable!$A$2:$A$301,0), Skills!M26+1)</f>
        <v/>
      </c>
      <c r="F391">
        <f>IF(Skills!N26=TRUE,(Skills!L26/10)*(E391/1000),Skills!L26/10)+Skills!O26</f>
        <v/>
      </c>
      <c r="G391">
        <f>Skills!G26*IF(Skills!H26&gt;0,Skills!I26/Skills!H26,1)</f>
        <v/>
      </c>
      <c r="H391">
        <f>1-(1-Skills!J26/100)^Skills!K26</f>
        <v/>
      </c>
      <c r="I391" t="inlineStr">
        <is>
          <t>1</t>
        </is>
      </c>
      <c r="J391" t="inlineStr"/>
      <c r="K391" t="inlineStr"/>
      <c r="L391" t="inlineStr"/>
      <c r="M391" t="inlineStr"/>
      <c r="N391" t="inlineStr"/>
      <c r="O391">
        <f>(1-Summary!$B$11)*T391+Summary!$B$11*V391</f>
        <v/>
      </c>
      <c r="P391">
        <f>IF(B404=0,0,O391/B404)</f>
        <v/>
      </c>
      <c r="Q391" t="n">
        <v>0</v>
      </c>
      <c r="R391" t="n">
        <v>0</v>
      </c>
      <c r="S391">
        <f>IFERROR(O391/N391,0)</f>
        <v/>
      </c>
      <c r="T391" t="n">
        <v>0</v>
      </c>
      <c r="V391" t="n">
        <v>0</v>
      </c>
    </row>
    <row r="393">
      <c r="A393" t="inlineStr">
        <is>
          <t>Attack% Bucket Multiplier</t>
        </is>
      </c>
      <c r="B393">
        <f>(1+(((C378=TRUE)*F378*IF(Inputs!$B$3&gt;=110,7,5))+((C380=TRUE)*F380*IF(AND(Inputs!$B$38&lt;&gt;"pvp",Inputs!$B$43&gt;0),(((R380-1)*(Skills!T15*(1+(Inputs!$B$34+(ArtifactsInput!$M$7-ArtifactsInput!$M$7)*CHOOSE(ArtifactsInput!$N$7+1,6,7.2,8.4,9.6,10.8,12))/100))+MIN((Skills!T15*(1+(Inputs!$B$34+(ArtifactsInput!$M$7-ArtifactsInput!$M$7)*CHOOSE(ArtifactsInput!$N$7+1,6,7.2,8.4,9.6,10.8,12))/100)),MAX(0,Inputs!$B$43-((R380-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94">
      <c r="A394" t="inlineStr">
        <is>
          <t>Global Crit Rate Bonus %</t>
        </is>
      </c>
      <c r="B394" t="n">
        <v>0</v>
      </c>
    </row>
    <row r="395">
      <c r="A395" t="inlineStr">
        <is>
          <t>Attack Speed Buff Bonus %</t>
        </is>
      </c>
      <c r="B395">
        <f>((C384=TRUE)*F384*IF(AND(Inputs!$B$38&lt;&gt;"pvp",Inputs!$B$43&gt;0),(((R384-1)*(Skills!T19*(1+(Inputs!$B$34+(ArtifactsInput!$M$7-ArtifactsInput!$M$7)*CHOOSE(ArtifactsInput!$N$7+1,6,7.2,8.4,9.6,10.8,12))/100))+MIN((Skills!T19*(1+(Inputs!$B$34+(ArtifactsInput!$M$7-ArtifactsInput!$M$7)*CHOOSE(ArtifactsInput!$N$7+1,6,7.2,8.4,9.6,10.8,12))/100)),MAX(0,Inputs!$B$43-((R384-1)*Skills!D19))))/Inputs!$B$43),IF(Inputs!$B$38="pvp",MIN((Skills!T19*(1+(Inputs!$B$34+(ArtifactsInput!$M$7-ArtifactsInput!$M$7)*CHOOSE(ArtifactsInput!$N$7+1,6,7.2,8.4,9.6,10.8,12))/100)),15)/15,(Skills!T19*(1+(Inputs!$B$34+(ArtifactsInput!$M$7-ArtifactsInput!$M$7)*CHOOSE(ArtifactsInput!$N$7+1,6,7.2,8.4,9.6,10.8,12))/100))/Skills!D19)))</f>
        <v/>
      </c>
    </row>
    <row r="396">
      <c r="A396" t="inlineStr">
        <is>
          <t>Actions Per Second</t>
        </is>
      </c>
      <c r="B396">
        <f>1+MIN(150,150*(1-(1-(Inputs!$B$11+((C385=TRUE)*(F385-Calc!F20)))/150)*(1-B395/150)))/100</f>
        <v/>
      </c>
    </row>
    <row r="397">
      <c r="A397" t="inlineStr">
        <is>
          <t>Skill + Buff Cast Rate</t>
        </is>
      </c>
      <c r="B397">
        <f>IF(AND(Inputs!$B$38&lt;&gt;"pvp",Inputs!$B$43&gt;0),SUMPRODUCT((Skills!E2:E26=TRUE)*(C367:C391=TRUE)*R367:R391*Skills!F2:F26)/Inputs!$B$43,SUMPRODUCT((Skills!E2:E26=TRUE)*(C367:C391=TRUE)*Q367:Q391*Skills!F2:F26))</f>
        <v/>
      </c>
    </row>
    <row r="398">
      <c r="A398" t="inlineStr">
        <is>
          <t>Raging Blow Casts Per Second</t>
        </is>
      </c>
      <c r="B398">
        <f>MAX(0,B396-B397)</f>
        <v/>
      </c>
    </row>
    <row r="399">
      <c r="A399" t="inlineStr">
        <is>
          <t>Global Critical Damage Bonus % (Enrage)</t>
        </is>
      </c>
      <c r="B399">
        <f>((C383=TRUE)*F383*IF(AND(Inputs!$B$38&lt;&gt;"pvp",Inputs!$B$43&gt;0),(((R383-1)*(Skills!T18*(1+(Inputs!$B$34+(ArtifactsInput!$M$7-ArtifactsInput!$M$7)*CHOOSE(ArtifactsInput!$N$7+1,6,7.2,8.4,9.6,10.8,12))/100))+MIN((Skills!T18*(1+(Inputs!$B$34+(ArtifactsInput!$M$7-ArtifactsInput!$M$7)*CHOOSE(ArtifactsInput!$N$7+1,6,7.2,8.4,9.6,10.8,12))/100)),MAX(0,Inputs!$B$43-((R383-1)*Skills!D18))))/Inputs!$B$43),IF(Inputs!$B$38="pvp",MIN((Skills!T18*(1+(Inputs!$B$34+(ArtifactsInput!$M$7-ArtifactsInput!$M$7)*CHOOSE(ArtifactsInput!$N$7+1,6,7.2,8.4,9.6,10.8,12))/100)),15)/15,(Skills!T18*(1+(Inputs!$B$34+(ArtifactsInput!$M$7-ArtifactsInput!$M$7)*CHOOSE(ArtifactsInput!$N$7+1,6,7.2,8.4,9.6,10.8,12))/100))/Skills!D18)))</f>
        <v/>
      </c>
    </row>
    <row r="400">
      <c r="A400" t="inlineStr">
        <is>
          <t>Global Final Damage Bonus % (Enrage + Combo Synergy)</t>
        </is>
      </c>
      <c r="B400">
        <f>((C382=TRUE)*F382*IF(AND(Inputs!$B$38&lt;&gt;"pvp",Inputs!$B$43&gt;0),(((R382-1)*(Skills!T17*(1+(Inputs!$B$34+(ArtifactsInput!$M$7-ArtifactsInput!$M$7)*CHOOSE(ArtifactsInput!$N$7+1,6,7.2,8.4,9.6,10.8,12))/100))+MIN((Skills!T17*(1+(Inputs!$B$34+(ArtifactsInput!$M$7-ArtifactsInput!$M$7)*CHOOSE(ArtifactsInput!$N$7+1,6,7.2,8.4,9.6,10.8,12))/100)),MAX(0,Inputs!$B$43-((R382-1)*Skills!D17))))/Inputs!$B$43),IF(Inputs!$B$38="pvp",MIN((Skills!T17*(1+(Inputs!$B$34+(ArtifactsInput!$M$7-ArtifactsInput!$M$7)*CHOOSE(ArtifactsInput!$N$7+1,6,7.2,8.4,9.6,10.8,12))/100)),15)/15,(Skills!T17*(1+(Inputs!$B$34+(ArtifactsInput!$M$7-ArtifactsInput!$M$7)*CHOOSE(ArtifactsInput!$N$7+1,6,7.2,8.4,9.6,10.8,12))/100))/Skills!D17)))+((C379=TRUE)*F379*IF(Inputs!$B$3&gt;=110,7,5))</f>
        <v/>
      </c>
    </row>
    <row r="401">
      <c r="A401" t="inlineStr">
        <is>
          <t>Buff-Casting Startup Delay (s, fixed-duration only)</t>
        </is>
      </c>
      <c r="B401">
        <f>IF(AND(Inputs!$B$38&lt;&gt;"pvp",Inputs!$B$43&gt;0),SUMPRODUCT((Skills!T2:T26&gt;0)*(Skills!E2:E26=TRUE)*(C367:C391=TRUE))/B396,0)</f>
        <v/>
      </c>
    </row>
    <row r="402">
      <c r="A402" t="inlineStr">
        <is>
          <t>Boss-Only Total DPS (this block's swept value)</t>
        </is>
      </c>
      <c r="B402">
        <f>SUM(T367:T391)</f>
        <v/>
      </c>
    </row>
    <row r="403">
      <c r="A403" t="inlineStr">
        <is>
          <t>Normal-Only Total DPS (this block's swept value)</t>
        </is>
      </c>
      <c r="B403">
        <f>SUM(V367:V391)</f>
        <v/>
      </c>
    </row>
    <row r="404">
      <c r="A404" s="6" t="inlineStr">
        <is>
          <t>TOTAL DPS</t>
        </is>
      </c>
      <c r="B404" s="6">
        <f>SUM(O367:O391)</f>
        <v/>
      </c>
    </row>
    <row r="407">
      <c r="A407" s="6" t="inlineStr">
        <is>
          <t>Stat: MIN_DAMAGE %</t>
        </is>
      </c>
    </row>
    <row r="408">
      <c r="A408" s="5" t="inlineStr">
        <is>
          <t>Key</t>
        </is>
      </c>
      <c r="B408" s="5" t="inlineStr">
        <is>
          <t>Name</t>
        </is>
      </c>
      <c r="C408" s="5" t="inlineStr">
        <is>
          <t>Unlocked</t>
        </is>
      </c>
      <c r="D408" s="5" t="inlineStr">
        <is>
          <t>InputLevel</t>
        </is>
      </c>
      <c r="E408" s="5" t="inlineStr">
        <is>
          <t>Factor</t>
        </is>
      </c>
      <c r="F408" s="5" t="inlineStr">
        <is>
          <t>CoefficientPercent</t>
        </is>
      </c>
      <c r="G408" s="5" t="inlineStr">
        <is>
          <t>EffectiveHits</t>
        </is>
      </c>
      <c r="H408" s="5" t="inlineStr">
        <is>
          <t>ProcProbability</t>
        </is>
      </c>
      <c r="I408" s="5" t="inlineStr">
        <is>
          <t>MapleHeroMultiplier</t>
        </is>
      </c>
      <c r="J408" s="5" t="inlineStr">
        <is>
          <t>BaseDamage</t>
        </is>
      </c>
      <c r="K408" s="5" t="inlineStr">
        <is>
          <t>BaseHitDamage</t>
        </is>
      </c>
      <c r="L408" s="5" t="inlineStr">
        <is>
          <t>NonCritAvg</t>
        </is>
      </c>
      <c r="M408" s="5" t="inlineStr">
        <is>
          <t>CritAvg</t>
        </is>
      </c>
      <c r="N408" s="5" t="inlineStr">
        <is>
          <t>ExpectedDamage(perHit)</t>
        </is>
      </c>
      <c r="O408" s="5" t="inlineStr">
        <is>
          <t>DPS</t>
        </is>
      </c>
      <c r="P408" s="5" t="inlineStr">
        <is>
          <t>% of Total</t>
        </is>
      </c>
      <c r="Q408" s="5" t="inlineStr">
        <is>
          <t>InvCooldown</t>
        </is>
      </c>
      <c r="R408" s="5" t="inlineStr">
        <is>
          <t>CastsInFight</t>
        </is>
      </c>
      <c r="S408" s="5" t="inlineStr">
        <is>
          <t>HitRate(perSec)</t>
        </is>
      </c>
      <c r="U408" t="inlineStr">
        <is>
          <t>helpers</t>
        </is>
      </c>
    </row>
    <row r="409">
      <c r="A409">
        <f>Skills!A2</f>
        <v/>
      </c>
      <c r="B409">
        <f>Skills!B2</f>
        <v/>
      </c>
      <c r="C409">
        <f>Inputs!$B$3&gt;=100</f>
        <v/>
      </c>
      <c r="D409" t="inlineStr"/>
      <c r="E409" t="inlineStr"/>
      <c r="F409">
        <f>U411+Skills!O2</f>
        <v/>
      </c>
      <c r="G409">
        <f>Skills!G2*IF(Skills!H2&gt;0,Skills!I2/Skills!H2,1)</f>
        <v/>
      </c>
      <c r="H409">
        <f>1-(1-Skills!J2/100)^Skills!K2</f>
        <v/>
      </c>
      <c r="I409" t="inlineStr">
        <is>
          <t>1</t>
        </is>
      </c>
      <c r="J409">
        <f>((Inputs!$B$6*(1+Inputs!$B$7/100))+(((Inputs!$B$12*(1+Inputs!$B$13/100))-(Inputs!$B$12*(1+Inputs!$B$13/100)))+0.25*(Inputs!$B$14-Inputs!$B$14))*(1+Inputs!$B$7/100))*(F409/100)</f>
        <v/>
      </c>
      <c r="K409">
        <f>J409*(1+((Inputs!$B$12*(1+Inputs!$B$13/100))*0.01+Inputs!$B$14*0.0025)/100)*(1+Inputs!$B$15/100)*(1+Inputs!$B$16/100)*(5000/(6000+Inputs!$B$42*(1-(100*(1-(1-(Inputs!$B$19+0)/100)*(1-CHOOSE(ArtifactsInput!$N$40+1,5,6,7,8,9,10)/100)^(ArtifactsInput!$M$40-ArtifactsInput!$M$40)))/100)))*(1+(Inputs!$B$24+((C432=TRUE)*(F432-Calc!F25))+B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428=TRUE)*(F428-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430=TRUE)*(F430-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420=TRUE)*F420*IF(Inputs!$B$3&gt;=110,7,5))+((C422=TRUE)*F422*IF(AND(Inputs!$B$38&lt;&gt;"pvp",Inputs!$B$43&gt;0),(((R422-1)*(Skills!T15*(1+(Inputs!$B$34+(ArtifactsInput!$M$7-ArtifactsInput!$M$7)*CHOOSE(ArtifactsInput!$N$7+1,6,7.2,8.4,9.6,10.8,12))/100))+MIN((Skills!T15*(1+(Inputs!$B$34+(ArtifactsInput!$M$7-ArtifactsInput!$M$7)*CHOOSE(ArtifactsInput!$N$7+1,6,7.2,8.4,9.6,10.8,12))/100)),MAX(0,Inputs!$B$43-((R422-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Hunt"),CHOOSE(ArtifactsInput!$N$35+1,15,18,21,24,27,30)*(1-EXP(-(0.2*B438)*5)),0)+IF(AND(ArtifactsInput!$M$22,Inputs!$B$4&lt;&gt;"Chapter Hunt"),CHOOSE(ArtifactsInput!$N$22+1,10,12,14,16,18,20)*((0*(((0.15*B438*5))^0/1)+1*(((0.15*B438*5))^1/1)+2*(((0.15*B438*5))^2/2)+3*(((0.15*B438*5))^3/6)+4*(((0.15*B438*5))^4/24)+5*(((0.15*B438*5))^5/120))/((((0.15*B438*5))^0/1)+(((0.15*B438*5))^1/1)+(((0.15*B438*5))^2/2)+(((0.15*B438*5))^3/6)+(((0.15*B438*5))^4/24)+(((0.15*B438*5))^5/120))),0)))/100)*I409)</f>
        <v/>
      </c>
      <c r="L409">
        <f>K409*(MIN((Inputs!$B$22+1)+((C429=TRUE)*(F429-Calc!F22)),(Inputs!$B$23+((C431=TRUE)*(F431-Calc!F24))+(IF(ArtifactsInput!$M$15,CHOOSE(ArtifactsInput!$N$15+1,25,30,35,40,45,50)/100*(Inputs!$B$11-Inputs!$B$11),0))))/100+(Inputs!$B$23+((C431=TRUE)*(F431-Calc!F24))+(IF(ArtifactsInput!$M$15,CHOOSE(ArtifactsInput!$N$15+1,25,30,35,40,45,50)/100*(Inputs!$B$11-Inputs!$B$11),0)))/100)/2</f>
        <v/>
      </c>
      <c r="M409">
        <f>L409*(1+(Inputs!$B$10+0+B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9">
        <f>L409*(1-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409*(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9">
        <f>(1-Summary!$B$11)*T409+Summary!$B$11*V409</f>
        <v/>
      </c>
      <c r="P409">
        <f>IF(B446=0,0,O409/B446)</f>
        <v/>
      </c>
      <c r="Q409" t="n">
        <v>0</v>
      </c>
      <c r="R409" t="n">
        <v>0</v>
      </c>
      <c r="S409">
        <f>IFERROR(O409/N409,0)</f>
        <v/>
      </c>
      <c r="T409">
        <f>IF(C409,(Skills!G2*N409*B440)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409*(1-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409*(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409*(1-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409*(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9">
        <f>MAX(0,(Inputs!$B$3-100)*3)+Inputs!$B$28+Inputs!$B$29</f>
        <v/>
      </c>
      <c r="V409">
        <f>IF(C409,(Skills!G2*N409*B440)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0">
      <c r="A410">
        <f>Skills!A3</f>
        <v/>
      </c>
      <c r="B410">
        <f>Skills!B3</f>
        <v/>
      </c>
      <c r="C410">
        <f>Inputs!$B$3&gt;=50</f>
        <v/>
      </c>
      <c r="D410">
        <f>IF(Skills!C3=1,60+Inputs!$B$25+Inputs!$B$29,IF(Skills!C3=2,90+Inputs!$B$26+Inputs!$B$29,IF(Skills!C3=3,120+Inputs!$B$27+Inputs!$B$29,MAX(0,(Inputs!$B$3-100)*3)+Inputs!$B$28+Inputs!$B$29)))</f>
        <v/>
      </c>
      <c r="E410">
        <f>INDEX(FactorTable!$B$2:$Y$301, MATCH(ROUND(MIN(300,MAX(1,D410)),0), FactorTable!$A$2:$A$301,0), Skills!M3+1)</f>
        <v/>
      </c>
      <c r="F410">
        <f>IF(Skills!N3=TRUE,(Skills!L3/10)*(E410/1000),Skills!L3/10)+Skills!O3</f>
        <v/>
      </c>
      <c r="G410" t="inlineStr"/>
      <c r="H410" t="inlineStr"/>
      <c r="I410" t="inlineStr">
        <is>
          <t>1</t>
        </is>
      </c>
      <c r="J410" t="inlineStr"/>
      <c r="K410" t="inlineStr"/>
      <c r="L410" t="inlineStr"/>
      <c r="M410" t="inlineStr"/>
      <c r="N410" t="inlineStr"/>
      <c r="O410" t="inlineStr"/>
      <c r="P410" t="inlineStr"/>
      <c r="Q410" t="inlineStr"/>
      <c r="R410" t="inlineStr"/>
      <c r="S410" t="inlineStr"/>
      <c r="U410">
        <f>INDEX(FactorTable!$B$2:$Y$301, MATCH(ROUND(MIN(300,MAX(1,U409)),0), FactorTable!$A$2:$A$301,0), 22)</f>
        <v/>
      </c>
    </row>
    <row r="411">
      <c r="A411">
        <f>Skills!A4</f>
        <v/>
      </c>
      <c r="B411">
        <f>Skills!B4</f>
        <v/>
      </c>
      <c r="C411">
        <f>Inputs!$B$3&gt;=105</f>
        <v/>
      </c>
      <c r="D411">
        <f>IF(Skills!C4=1,60+Inputs!$B$25+Inputs!$B$29,IF(Skills!C4=2,90+Inputs!$B$26+Inputs!$B$29,IF(Skills!C4=3,120+Inputs!$B$27+Inputs!$B$29,MAX(0,(Inputs!$B$3-100)*3)+Inputs!$B$28+Inputs!$B$29)))</f>
        <v/>
      </c>
      <c r="E411">
        <f>INDEX(FactorTable!$B$2:$Y$301, MATCH(ROUND(MIN(300,MAX(1,D411)),0), FactorTable!$A$2:$A$301,0), Skills!M4+1)</f>
        <v/>
      </c>
      <c r="F411">
        <f>IF(Skills!N4=TRUE,(Skills!L4/10)*(E411/1000),Skills!L4/10)+Skills!O4</f>
        <v/>
      </c>
      <c r="G411" t="inlineStr"/>
      <c r="H411" t="inlineStr"/>
      <c r="I411" t="inlineStr">
        <is>
          <t>1</t>
        </is>
      </c>
      <c r="J411" t="inlineStr"/>
      <c r="K411" t="inlineStr"/>
      <c r="L411" t="inlineStr"/>
      <c r="M411" t="inlineStr"/>
      <c r="N411" t="inlineStr"/>
      <c r="O411" t="inlineStr"/>
      <c r="P411" t="inlineStr"/>
      <c r="Q411" t="inlineStr"/>
      <c r="R411" t="inlineStr"/>
      <c r="S411" t="inlineStr"/>
      <c r="U411">
        <f>290*U410/1000</f>
        <v/>
      </c>
    </row>
    <row r="412">
      <c r="A412">
        <f>Skills!A5</f>
        <v/>
      </c>
      <c r="B412">
        <f>Skills!B5</f>
        <v/>
      </c>
      <c r="C412">
        <f>Inputs!$B$3&gt;=103</f>
        <v/>
      </c>
      <c r="D412">
        <f>IF(Skills!C5=1,60+Inputs!$B$25+Inputs!$B$29,IF(Skills!C5=2,90+Inputs!$B$26+Inputs!$B$29,IF(Skills!C5=3,120+Inputs!$B$27+Inputs!$B$29,MAX(0,(Inputs!$B$3-100)*3)+Inputs!$B$28+Inputs!$B$29)))</f>
        <v/>
      </c>
      <c r="E412">
        <f>INDEX(FactorTable!$B$2:$Y$301, MATCH(ROUND(MIN(300,MAX(1,D412)),0), FactorTable!$A$2:$A$301,0), Skills!M5+1)</f>
        <v/>
      </c>
      <c r="F412">
        <f>IF(Skills!N5=TRUE,(Skills!L5/10)*(E412/1000),Skills!L5/10)+Skills!O5</f>
        <v/>
      </c>
      <c r="G412">
        <f>Skills!G5*IF(Skills!H5&gt;0,Skills!I5/Skills!H5,1)</f>
        <v/>
      </c>
      <c r="H412">
        <f>1-(1-Skills!J5/100)^Skills!K5</f>
        <v/>
      </c>
      <c r="I412" t="inlineStr">
        <is>
          <t>1</t>
        </is>
      </c>
      <c r="J412">
        <f>((Inputs!$B$6*(1+Inputs!$B$7/100))+(((Inputs!$B$12*(1+Inputs!$B$13/100))-(Inputs!$B$12*(1+Inputs!$B$13/100)))+0.25*(Inputs!$B$14-Inputs!$B$14))*(1+Inputs!$B$7/100))*(F412/100)</f>
        <v/>
      </c>
      <c r="K412">
        <f>J412*(1+((Inputs!$B$12*(1+Inputs!$B$13/100))*0.01+Inputs!$B$14*0.0025)/100)*(1+Inputs!$B$15/100)*(1+Inputs!$B$16/100)*(5000/(6000+Inputs!$B$42*(1-(100*(1-(1-(Inputs!$B$19+0)/100)*(1-CHOOSE(ArtifactsInput!$N$40+1,5,6,7,8,9,10)/100)^(ArtifactsInput!$M$40-ArtifactsInput!$M$40)))/100)))*(1+(Inputs!$B$24+((C432=TRUE)*(F432-Calc!F25))+B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428=TRUE)*(F428-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430=TRUE)*(F430-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420=TRUE)*F420*IF(Inputs!$B$3&gt;=110,7,5))+((C422=TRUE)*F422*IF(AND(Inputs!$B$38&lt;&gt;"pvp",Inputs!$B$43&gt;0),(((R422-1)*(Skills!T15*(1+(Inputs!$B$34+(ArtifactsInput!$M$7-ArtifactsInput!$M$7)*CHOOSE(ArtifactsInput!$N$7+1,6,7.2,8.4,9.6,10.8,12))/100))+MIN((Skills!T15*(1+(Inputs!$B$34+(ArtifactsInput!$M$7-ArtifactsInput!$M$7)*CHOOSE(ArtifactsInput!$N$7+1,6,7.2,8.4,9.6,10.8,12))/100)),MAX(0,Inputs!$B$43-((R422-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Hunt"),CHOOSE(ArtifactsInput!$N$35+1,15,18,21,24,27,30)*(1-EXP(-(0.2*B438)*5)),0)+IF(AND(ArtifactsInput!$M$22,Inputs!$B$4&lt;&gt;"Chapter Hunt"),CHOOSE(ArtifactsInput!$N$22+1,10,12,14,16,18,20)*((0*(((0.15*B438*5))^0/1)+1*(((0.15*B438*5))^1/1)+2*(((0.15*B438*5))^2/2)+3*(((0.15*B438*5))^3/6)+4*(((0.15*B438*5))^4/24)+5*(((0.15*B438*5))^5/120))/((((0.15*B438*5))^0/1)+(((0.15*B438*5))^1/1)+(((0.15*B438*5))^2/2)+(((0.15*B438*5))^3/6)+(((0.15*B438*5))^4/24)+(((0.15*B438*5))^5/120))),0)))/100)*I412)</f>
        <v/>
      </c>
      <c r="L412">
        <f>K412*(MIN((Inputs!$B$22+1)+((C429=TRUE)*(F429-Calc!F22)),(Inputs!$B$23+((C431=TRUE)*(F431-Calc!F24))+(IF(ArtifactsInput!$M$15,CHOOSE(ArtifactsInput!$N$15+1,25,30,35,40,45,50)/100*(Inputs!$B$11-Inputs!$B$11),0))))/100+(Inputs!$B$23+((C431=TRUE)*(F431-Calc!F24))+(IF(ArtifactsInput!$M$15,CHOOSE(ArtifactsInput!$N$15+1,25,30,35,40,45,50)/100*(Inputs!$B$11-Inputs!$B$11),0)))/100)/2</f>
        <v/>
      </c>
      <c r="M412">
        <f>L412*(1+(Inputs!$B$10+0+B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12">
        <f>L412*(1-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412*(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12">
        <f>(1-Summary!$B$11)*T412+Summary!$B$11*V412</f>
        <v/>
      </c>
      <c r="P412">
        <f>IF(B446=0,0,O412/B446)</f>
        <v/>
      </c>
      <c r="Q412">
        <f>IFERROR(1/(IF(Inputs!$B$38="pvp",15,MAX(0.1,Skills!D5-IF(Skills!E5=TRUE,Inputs!$B$32,0)))*(1-IF(AND(ArtifactsInput!$M$27,Inputs!$B$4="Chapter Hunt"),CHOOSE(ArtifactsInput!$N$27+1,20,24,28,32,36,40),0)/100)),0)</f>
        <v/>
      </c>
      <c r="R412">
        <f>IF(AND(Inputs!$B$38&lt;&gt;"pvp",Inputs!$B$43&gt;0),IF(MAX(0,Inputs!$B$43-B443)&lt;=0,0,(INT(MAX(0,Inputs!$B$43-B443)/(IF(Inputs!$B$38="pvp",15,MAX(0.1,Skills!D5-IF(Skills!E5=TRUE,Inputs!$B$32,0)))*(1-IF(AND(ArtifactsInput!$M$27,Inputs!$B$4="Chapter Hunt"),CHOOSE(ArtifactsInput!$N$27+1,20,24,28,32,36,40),0)/100)))+1)),0)</f>
        <v/>
      </c>
      <c r="S412">
        <f>IFERROR(O412/N412,0)</f>
        <v/>
      </c>
      <c r="T412">
        <f>IF(C412,(H412*N412*IF(AND(Inputs!$B$38&lt;&gt;"pvp",Inputs!$B$43&gt;0),((Skills!G5*((R412-1)*IF(Skills!H5&gt;0,Skills!I5/Skills!H5,1)+IF(Skills!H5&gt;0,MIN(Skills!I5,MAX(0,MAX(0,Inputs!$B$43-B443)-((R412-1)*(IF(Inputs!$B$38="pvp",15,MAX(0.1,Skills!D5-IF(Skills!E5=TRUE,Inputs!$B$32,0)))*(1-IF(AND(ArtifactsInput!$M$27,Inputs!$B$4="Chapter Hunt"),CHOOSE(ArtifactsInput!$N$27+1,20,24,28,32,36,40),0)/100)))))/Skills!H5,1)))/Inputs!$B$43),G412*Q412)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412*(1-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412*(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412*(1-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412*(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12">
        <f>IF(C412,(H412*N412*IF(AND(Inputs!$B$38&lt;&gt;"pvp",Inputs!$B$43&gt;0),((Skills!G5*((R412-1)*IF(Skills!H5&gt;0,Skills!I5/Skills!H5,1)+IF(Skills!H5&gt;0,MIN(Skills!I5,MAX(0,MAX(0,Inputs!$B$43-B443)-((R412-1)*(IF(Inputs!$B$38="pvp",15,MAX(0.1,Skills!D5-IF(Skills!E5=TRUE,Inputs!$B$32,0)))*(1-IF(AND(ArtifactsInput!$M$27,Inputs!$B$4="Chapter Hunt"),CHOOSE(ArtifactsInput!$N$27+1,20,24,28,32,36,40),0)/100)))))/Skills!H5,1)))/Inputs!$B$43),G412*Q412)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3">
      <c r="A413">
        <f>Skills!A6</f>
        <v/>
      </c>
      <c r="B413">
        <f>Skills!B6</f>
        <v/>
      </c>
      <c r="C413">
        <f>Inputs!$B$3&gt;=103</f>
        <v/>
      </c>
      <c r="D413">
        <f>IF(Skills!C6=1,60+Inputs!$B$25+Inputs!$B$29,IF(Skills!C6=2,90+Inputs!$B$26+Inputs!$B$29,IF(Skills!C6=3,120+Inputs!$B$27+Inputs!$B$29,MAX(0,(Inputs!$B$3-100)*3)+Inputs!$B$28+Inputs!$B$29)))</f>
        <v/>
      </c>
      <c r="E413">
        <f>INDEX(FactorTable!$B$2:$Y$301, MATCH(ROUND(MIN(300,MAX(1,D413)),0), FactorTable!$A$2:$A$301,0), Skills!M6+1)</f>
        <v/>
      </c>
      <c r="F413">
        <f>IF(Skills!N6=TRUE,(Skills!L6/10)*(E413/1000),Skills!L6/10)+Skills!O6</f>
        <v/>
      </c>
      <c r="G413">
        <f>Skills!G6*IF(Skills!H6&gt;0,Skills!I6/Skills!H6,1)</f>
        <v/>
      </c>
      <c r="H413">
        <f>1-(1-Skills!J6/100)^Skills!K6</f>
        <v/>
      </c>
      <c r="I413" t="inlineStr">
        <is>
          <t>1</t>
        </is>
      </c>
      <c r="J413">
        <f>((Inputs!$B$6*(1+Inputs!$B$7/100))+(((Inputs!$B$12*(1+Inputs!$B$13/100))-(Inputs!$B$12*(1+Inputs!$B$13/100)))+0.25*(Inputs!$B$14-Inputs!$B$14))*(1+Inputs!$B$7/100))*(F413/100)</f>
        <v/>
      </c>
      <c r="K413">
        <f>J413*(1+((Inputs!$B$12*(1+Inputs!$B$13/100))*0.01+Inputs!$B$14*0.0025)/100)*(1+Inputs!$B$15/100)*(1+Inputs!$B$16/100)*(5000/(6000+Inputs!$B$42*(1-(100*(1-(1-(Inputs!$B$19+0)/100)*(1-CHOOSE(ArtifactsInput!$N$40+1,5,6,7,8,9,10)/100)^(ArtifactsInput!$M$40-ArtifactsInput!$M$40)))/100)))*(1+(Inputs!$B$24+((C432=TRUE)*(F432-Calc!F25))+B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428=TRUE)*(F428-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430=TRUE)*(F430-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420=TRUE)*F420*IF(Inputs!$B$3&gt;=110,7,5))+((C422=TRUE)*F422*IF(AND(Inputs!$B$38&lt;&gt;"pvp",Inputs!$B$43&gt;0),(((R422-1)*(Skills!T15*(1+(Inputs!$B$34+(ArtifactsInput!$M$7-ArtifactsInput!$M$7)*CHOOSE(ArtifactsInput!$N$7+1,6,7.2,8.4,9.6,10.8,12))/100))+MIN((Skills!T15*(1+(Inputs!$B$34+(ArtifactsInput!$M$7-ArtifactsInput!$M$7)*CHOOSE(ArtifactsInput!$N$7+1,6,7.2,8.4,9.6,10.8,12))/100)),MAX(0,Inputs!$B$43-((R422-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Hunt"),CHOOSE(ArtifactsInput!$N$35+1,15,18,21,24,27,30)*(1-EXP(-(0.2*B438)*5)),0)+IF(AND(ArtifactsInput!$M$22,Inputs!$B$4&lt;&gt;"Chapter Hunt"),CHOOSE(ArtifactsInput!$N$22+1,10,12,14,16,18,20)*((0*(((0.15*B438*5))^0/1)+1*(((0.15*B438*5))^1/1)+2*(((0.15*B438*5))^2/2)+3*(((0.15*B438*5))^3/6)+4*(((0.15*B438*5))^4/24)+5*(((0.15*B438*5))^5/120))/((((0.15*B438*5))^0/1)+(((0.15*B438*5))^1/1)+(((0.15*B438*5))^2/2)+(((0.15*B438*5))^3/6)+(((0.15*B438*5))^4/24)+(((0.15*B438*5))^5/120))),0)))/100)*I413)</f>
        <v/>
      </c>
      <c r="L413">
        <f>K413*(MIN((Inputs!$B$22+1)+((C429=TRUE)*(F429-Calc!F22)),(Inputs!$B$23+((C431=TRUE)*(F431-Calc!F24))+(IF(ArtifactsInput!$M$15,CHOOSE(ArtifactsInput!$N$15+1,25,30,35,40,45,50)/100*(Inputs!$B$11-Inputs!$B$11),0))))/100+(Inputs!$B$23+((C431=TRUE)*(F431-Calc!F24))+(IF(ArtifactsInput!$M$15,CHOOSE(ArtifactsInput!$N$15+1,25,30,35,40,45,50)/100*(Inputs!$B$11-Inputs!$B$11),0)))/100)/2</f>
        <v/>
      </c>
      <c r="M413">
        <f>L413*(1+(Inputs!$B$10+0+B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13">
        <f>L413*(1-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413*(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13">
        <f>(1-Summary!$B$11)*T413+Summary!$B$11*V413</f>
        <v/>
      </c>
      <c r="P413">
        <f>IF(B446=0,0,O413/B446)</f>
        <v/>
      </c>
      <c r="Q413">
        <f>IFERROR(1/(IF(Inputs!$B$38="pvp",15,MAX(0.1,Skills!D6-IF(Skills!E6=TRUE,Inputs!$B$32,0)))*(1-IF(AND(ArtifactsInput!$M$27,Inputs!$B$4="Chapter Hunt"),CHOOSE(ArtifactsInput!$N$27+1,20,24,28,32,36,40),0)/100)),0)</f>
        <v/>
      </c>
      <c r="R413">
        <f>IF(AND(Inputs!$B$38&lt;&gt;"pvp",Inputs!$B$43&gt;0),IF(MAX(0,Inputs!$B$43-B443)&lt;=0,0,(INT(MAX(0,Inputs!$B$43-B443)/(IF(Inputs!$B$38="pvp",15,MAX(0.1,Skills!D6-IF(Skills!E6=TRUE,Inputs!$B$32,0)))*(1-IF(AND(ArtifactsInput!$M$27,Inputs!$B$4="Chapter Hunt"),CHOOSE(ArtifactsInput!$N$27+1,20,24,28,32,36,40),0)/100)))+1)),0)</f>
        <v/>
      </c>
      <c r="S413">
        <f>IFERROR(O413/N413,0)</f>
        <v/>
      </c>
      <c r="T413">
        <f>IF(C413,(H413*N413*IF(AND(Inputs!$B$38&lt;&gt;"pvp",Inputs!$B$43&gt;0),((Skills!G6*((R413-1)*IF(Skills!H6&gt;0,Skills!I6/Skills!H6,1)+IF(Skills!H6&gt;0,MIN(Skills!I6,MAX(0,MAX(0,Inputs!$B$43-B443)-((R413-1)*(IF(Inputs!$B$38="pvp",15,MAX(0.1,Skills!D6-IF(Skills!E6=TRUE,Inputs!$B$32,0)))*(1-IF(AND(ArtifactsInput!$M$27,Inputs!$B$4="Chapter Hunt"),CHOOSE(ArtifactsInput!$N$27+1,20,24,28,32,36,40),0)/100)))))/Skills!H6,1)))/Inputs!$B$43),G413*Q413)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413*(1-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413*(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413*(1-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413*(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13">
        <f>IF(C413,(H413*N413*IF(AND(Inputs!$B$38&lt;&gt;"pvp",Inputs!$B$43&gt;0),((Skills!G6*((R413-1)*IF(Skills!H6&gt;0,Skills!I6/Skills!H6,1)+IF(Skills!H6&gt;0,MIN(Skills!I6,MAX(0,MAX(0,Inputs!$B$43-B443)-((R413-1)*(IF(Inputs!$B$38="pvp",15,MAX(0.1,Skills!D6-IF(Skills!E6=TRUE,Inputs!$B$32,0)))*(1-IF(AND(ArtifactsInput!$M$27,Inputs!$B$4="Chapter Hunt"),CHOOSE(ArtifactsInput!$N$27+1,20,24,28,32,36,40),0)/100)))))/Skills!H6,1)))/Inputs!$B$43),G413*Q413)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4">
      <c r="A414">
        <f>Skills!A7</f>
        <v/>
      </c>
      <c r="B414">
        <f>Skills!B7</f>
        <v/>
      </c>
      <c r="C414">
        <f>Inputs!$B$3&gt;=107</f>
        <v/>
      </c>
      <c r="D414">
        <f>IF(Skills!C7=1,60+Inputs!$B$25+Inputs!$B$29,IF(Skills!C7=2,90+Inputs!$B$26+Inputs!$B$29,IF(Skills!C7=3,120+Inputs!$B$27+Inputs!$B$29,MAX(0,(Inputs!$B$3-100)*3)+Inputs!$B$28+Inputs!$B$29)))</f>
        <v/>
      </c>
      <c r="E414">
        <f>INDEX(FactorTable!$B$2:$Y$301, MATCH(ROUND(MIN(300,MAX(1,D414)),0), FactorTable!$A$2:$A$301,0), Skills!M7+1)</f>
        <v/>
      </c>
      <c r="F414">
        <f>IF(Skills!N7=TRUE,(Skills!L7/10)*(E414/1000),Skills!L7/10)+Skills!O7</f>
        <v/>
      </c>
      <c r="G414">
        <f>Skills!G7*IF(Skills!H7&gt;0,Skills!I7/Skills!H7,1)</f>
        <v/>
      </c>
      <c r="H414">
        <f>1-(1-Skills!J7/100)^Skills!K7</f>
        <v/>
      </c>
      <c r="I414" t="inlineStr">
        <is>
          <t>1</t>
        </is>
      </c>
      <c r="J414">
        <f>((Inputs!$B$6*(1+Inputs!$B$7/100))+(((Inputs!$B$12*(1+Inputs!$B$13/100))-(Inputs!$B$12*(1+Inputs!$B$13/100)))+0.25*(Inputs!$B$14-Inputs!$B$14))*(1+Inputs!$B$7/100))*(F414/100)</f>
        <v/>
      </c>
      <c r="K414">
        <f>J414*(1+((Inputs!$B$12*(1+Inputs!$B$13/100))*0.01+Inputs!$B$14*0.0025)/100)*(1+Inputs!$B$15/100)*(1+Inputs!$B$16/100)*(5000/(6000+Inputs!$B$42*(1-(100*(1-(1-(Inputs!$B$19+0)/100)*(1-CHOOSE(ArtifactsInput!$N$40+1,5,6,7,8,9,10)/100)^(ArtifactsInput!$M$40-ArtifactsInput!$M$40)))/100)))*(1+(Inputs!$B$24+((C432=TRUE)*(F432-Calc!F25))+B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428=TRUE)*(F428-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430=TRUE)*(F430-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420=TRUE)*F420*IF(Inputs!$B$3&gt;=110,7,5))+((C422=TRUE)*F422*IF(AND(Inputs!$B$38&lt;&gt;"pvp",Inputs!$B$43&gt;0),(((R422-1)*(Skills!T15*(1+(Inputs!$B$34+(ArtifactsInput!$M$7-ArtifactsInput!$M$7)*CHOOSE(ArtifactsInput!$N$7+1,6,7.2,8.4,9.6,10.8,12))/100))+MIN((Skills!T15*(1+(Inputs!$B$34+(ArtifactsInput!$M$7-ArtifactsInput!$M$7)*CHOOSE(ArtifactsInput!$N$7+1,6,7.2,8.4,9.6,10.8,12))/100)),MAX(0,Inputs!$B$43-((R422-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Hunt"),CHOOSE(ArtifactsInput!$N$35+1,15,18,21,24,27,30)*(1-EXP(-(0.2*B438)*5)),0)+IF(AND(ArtifactsInput!$M$22,Inputs!$B$4&lt;&gt;"Chapter Hunt"),CHOOSE(ArtifactsInput!$N$22+1,10,12,14,16,18,20)*((0*(((0.15*B438*5))^0/1)+1*(((0.15*B438*5))^1/1)+2*(((0.15*B438*5))^2/2)+3*(((0.15*B438*5))^3/6)+4*(((0.15*B438*5))^4/24)+5*(((0.15*B438*5))^5/120))/((((0.15*B438*5))^0/1)+(((0.15*B438*5))^1/1)+(((0.15*B438*5))^2/2)+(((0.15*B438*5))^3/6)+(((0.15*B438*5))^4/24)+(((0.15*B438*5))^5/120))),0)))/100)*I414)</f>
        <v/>
      </c>
      <c r="L414">
        <f>K414*(MIN((Inputs!$B$22+1)+((C429=TRUE)*(F429-Calc!F22)),(Inputs!$B$23+((C431=TRUE)*(F431-Calc!F24))+(IF(ArtifactsInput!$M$15,CHOOSE(ArtifactsInput!$N$15+1,25,30,35,40,45,50)/100*(Inputs!$B$11-Inputs!$B$11),0))))/100+(Inputs!$B$23+((C431=TRUE)*(F431-Calc!F24))+(IF(ArtifactsInput!$M$15,CHOOSE(ArtifactsInput!$N$15+1,25,30,35,40,45,50)/100*(Inputs!$B$11-Inputs!$B$11),0)))/100)/2</f>
        <v/>
      </c>
      <c r="M414">
        <f>L414*(1+(Inputs!$B$10+0+B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14">
        <f>L414*(1-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414*(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14">
        <f>(1-Summary!$B$11)*T414+Summary!$B$11*V414</f>
        <v/>
      </c>
      <c r="P414">
        <f>IF(B446=0,0,O414/B446)</f>
        <v/>
      </c>
      <c r="Q414">
        <f>IFERROR(1/(IF(Inputs!$B$38="pvp",15,MAX(0.1,Skills!D7-IF(Skills!E7=TRUE,Inputs!$B$32,0)))*(1-IF(AND(ArtifactsInput!$M$27,Inputs!$B$4="Chapter Hunt"),CHOOSE(ArtifactsInput!$N$27+1,20,24,28,32,36,40),0)/100)),0)</f>
        <v/>
      </c>
      <c r="R414">
        <f>IF(AND(Inputs!$B$38&lt;&gt;"pvp",Inputs!$B$43&gt;0),IF(MAX(0,Inputs!$B$43-B443)&lt;=0,0,(INT(MAX(0,Inputs!$B$43-B443)/(IF(Inputs!$B$38="pvp",15,MAX(0.1,Skills!D7-IF(Skills!E7=TRUE,Inputs!$B$32,0)))*(1-IF(AND(ArtifactsInput!$M$27,Inputs!$B$4="Chapter Hunt"),CHOOSE(ArtifactsInput!$N$27+1,20,24,28,32,36,40),0)/100)))+1)),0)</f>
        <v/>
      </c>
      <c r="S414">
        <f>IFERROR(O414/N414,0)</f>
        <v/>
      </c>
      <c r="T414">
        <f>IF(C414,(H414*N414*IF(AND(Inputs!$B$38&lt;&gt;"pvp",Inputs!$B$43&gt;0),((Skills!G7*((R414-1)*IF(Skills!H7&gt;0,Skills!I7/Skills!H7,1)+IF(Skills!H7&gt;0,MIN(Skills!I7,MAX(0,MAX(0,Inputs!$B$43-B443)-((R414-1)*(IF(Inputs!$B$38="pvp",15,MAX(0.1,Skills!D7-IF(Skills!E7=TRUE,Inputs!$B$32,0)))*(1-IF(AND(ArtifactsInput!$M$27,Inputs!$B$4="Chapter Hunt"),CHOOSE(ArtifactsInput!$N$27+1,20,24,28,32,36,40),0)/100)))))/Skills!H7,1)))/Inputs!$B$43),G414*Q414)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414*(1-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414*(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414*(1-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414*(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14">
        <f>IF(C414,(H414*N414*IF(AND(Inputs!$B$38&lt;&gt;"pvp",Inputs!$B$43&gt;0),((Skills!G7*((R414-1)*IF(Skills!H7&gt;0,Skills!I7/Skills!H7,1)+IF(Skills!H7&gt;0,MIN(Skills!I7,MAX(0,MAX(0,Inputs!$B$43-B443)-((R414-1)*(IF(Inputs!$B$38="pvp",15,MAX(0.1,Skills!D7-IF(Skills!E7=TRUE,Inputs!$B$32,0)))*(1-IF(AND(ArtifactsInput!$M$27,Inputs!$B$4="Chapter Hunt"),CHOOSE(ArtifactsInput!$N$27+1,20,24,28,32,36,40),0)/100)))))/Skills!H7,1)))/Inputs!$B$43),G414*Q414)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5">
      <c r="A415">
        <f>Skills!A8</f>
        <v/>
      </c>
      <c r="B415">
        <f>Skills!B8</f>
        <v/>
      </c>
      <c r="C415">
        <f>Inputs!$B$3&gt;=117</f>
        <v/>
      </c>
      <c r="D415">
        <f>IF(Skills!C8=1,60+Inputs!$B$25+Inputs!$B$29,IF(Skills!C8=2,90+Inputs!$B$26+Inputs!$B$29,IF(Skills!C8=3,120+Inputs!$B$27+Inputs!$B$29,MAX(0,(Inputs!$B$3-100)*3)+Inputs!$B$28+Inputs!$B$29)))</f>
        <v/>
      </c>
      <c r="E415">
        <f>INDEX(FactorTable!$B$2:$Y$301, MATCH(ROUND(MIN(300,MAX(1,D415)),0), FactorTable!$A$2:$A$301,0), Skills!M8+1)</f>
        <v/>
      </c>
      <c r="F415">
        <f>IF(Skills!N8=TRUE,(Skills!L8/10)*(E415/1000),Skills!L8/10)+Skills!O8</f>
        <v/>
      </c>
      <c r="G415">
        <f>Skills!G8*IF(Skills!H8&gt;0,Skills!I8/Skills!H8,1)</f>
        <v/>
      </c>
      <c r="H415">
        <f>1-(1-Skills!J8/100)^Skills!K8</f>
        <v/>
      </c>
      <c r="I415" t="inlineStr">
        <is>
          <t>1</t>
        </is>
      </c>
      <c r="J415">
        <f>((Inputs!$B$6*(1+Inputs!$B$7/100))+(((Inputs!$B$12*(1+Inputs!$B$13/100))-(Inputs!$B$12*(1+Inputs!$B$13/100)))+0.25*(Inputs!$B$14-Inputs!$B$14))*(1+Inputs!$B$7/100))*(F415/100)</f>
        <v/>
      </c>
      <c r="K415">
        <f>J415*(1+((Inputs!$B$12*(1+Inputs!$B$13/100))*0.01+Inputs!$B$14*0.0025)/100)*(1+Inputs!$B$15/100)*(1+Inputs!$B$16/100)*(5000/(6000+Inputs!$B$42*(1-(100*(1-(1-(Inputs!$B$19+0)/100)*(1-CHOOSE(ArtifactsInput!$N$40+1,5,6,7,8,9,10)/100)^(ArtifactsInput!$M$40-ArtifactsInput!$M$40)))/100)))*(1+(Inputs!$B$24+((C432=TRUE)*(F432-Calc!F25))+B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428=TRUE)*(F428-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430=TRUE)*(F430-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420=TRUE)*F420*IF(Inputs!$B$3&gt;=110,7,5))+((C422=TRUE)*F422*IF(AND(Inputs!$B$38&lt;&gt;"pvp",Inputs!$B$43&gt;0),(((R422-1)*(Skills!T15*(1+(Inputs!$B$34+(ArtifactsInput!$M$7-ArtifactsInput!$M$7)*CHOOSE(ArtifactsInput!$N$7+1,6,7.2,8.4,9.6,10.8,12))/100))+MIN((Skills!T15*(1+(Inputs!$B$34+(ArtifactsInput!$M$7-ArtifactsInput!$M$7)*CHOOSE(ArtifactsInput!$N$7+1,6,7.2,8.4,9.6,10.8,12))/100)),MAX(0,Inputs!$B$43-((R422-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Hunt"),CHOOSE(ArtifactsInput!$N$35+1,15,18,21,24,27,30)*(1-EXP(-(0.2*B438)*5)),0)+IF(AND(ArtifactsInput!$M$22,Inputs!$B$4&lt;&gt;"Chapter Hunt"),CHOOSE(ArtifactsInput!$N$22+1,10,12,14,16,18,20)*((0*(((0.15*B438*5))^0/1)+1*(((0.15*B438*5))^1/1)+2*(((0.15*B438*5))^2/2)+3*(((0.15*B438*5))^3/6)+4*(((0.15*B438*5))^4/24)+5*(((0.15*B438*5))^5/120))/((((0.15*B438*5))^0/1)+(((0.15*B438*5))^1/1)+(((0.15*B438*5))^2/2)+(((0.15*B438*5))^3/6)+(((0.15*B438*5))^4/24)+(((0.15*B438*5))^5/120))),0)))/100)*I415)</f>
        <v/>
      </c>
      <c r="L415">
        <f>K415*(MIN((Inputs!$B$22+1)+((C429=TRUE)*(F429-Calc!F22)),(Inputs!$B$23+((C431=TRUE)*(F431-Calc!F24))+(IF(ArtifactsInput!$M$15,CHOOSE(ArtifactsInput!$N$15+1,25,30,35,40,45,50)/100*(Inputs!$B$11-Inputs!$B$11),0))))/100+(Inputs!$B$23+((C431=TRUE)*(F431-Calc!F24))+(IF(ArtifactsInput!$M$15,CHOOSE(ArtifactsInput!$N$15+1,25,30,35,40,45,50)/100*(Inputs!$B$11-Inputs!$B$11),0)))/100)/2</f>
        <v/>
      </c>
      <c r="M415">
        <f>L415*(1+(Inputs!$B$10+0+B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15">
        <f>L415*(1-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415*(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15">
        <f>(1-Summary!$B$11)*T415+Summary!$B$11*V415</f>
        <v/>
      </c>
      <c r="P415">
        <f>IF(B446=0,0,O415/B446)</f>
        <v/>
      </c>
      <c r="Q415">
        <f>IFERROR(1/(IF(Inputs!$B$38="pvp",15,MAX(0.1,Skills!D8-IF(Skills!E8=TRUE,Inputs!$B$32,0)))*(1-IF(AND(ArtifactsInput!$M$27,Inputs!$B$4="Chapter Hunt"),CHOOSE(ArtifactsInput!$N$27+1,20,24,28,32,36,40),0)/100)),0)</f>
        <v/>
      </c>
      <c r="R415">
        <f>IF(AND(Inputs!$B$38&lt;&gt;"pvp",Inputs!$B$43&gt;0),IF(MAX(0,Inputs!$B$43-B443)&lt;=0,0,(INT(MAX(0,Inputs!$B$43-B443)/(IF(Inputs!$B$38="pvp",15,MAX(0.1,Skills!D8-IF(Skills!E8=TRUE,Inputs!$B$32,0)))*(1-IF(AND(ArtifactsInput!$M$27,Inputs!$B$4="Chapter Hunt"),CHOOSE(ArtifactsInput!$N$27+1,20,24,28,32,36,40),0)/100)))+1)),0)</f>
        <v/>
      </c>
      <c r="S415">
        <f>IFERROR(O415/N415,0)</f>
        <v/>
      </c>
      <c r="T415">
        <f>IF(C415,(H415*N415*IF(AND(Inputs!$B$38&lt;&gt;"pvp",Inputs!$B$43&gt;0),((Skills!G8*((R415-1)*IF(Skills!H8&gt;0,Skills!I8/Skills!H8,1)+IF(Skills!H8&gt;0,MIN(Skills!I8,MAX(0,MAX(0,Inputs!$B$43-B443)-((R415-1)*(IF(Inputs!$B$38="pvp",15,MAX(0.1,Skills!D8-IF(Skills!E8=TRUE,Inputs!$B$32,0)))*(1-IF(AND(ArtifactsInput!$M$27,Inputs!$B$4="Chapter Hunt"),CHOOSE(ArtifactsInput!$N$27+1,20,24,28,32,36,40),0)/100)))))/Skills!H8,1)))/Inputs!$B$43),G415*Q415)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415*(1-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415*(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415*(1-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415*(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15">
        <f>IF(C415,(H415*N415*IF(AND(Inputs!$B$38&lt;&gt;"pvp",Inputs!$B$43&gt;0),((Skills!G8*((R415-1)*IF(Skills!H8&gt;0,Skills!I8/Skills!H8,1)+IF(Skills!H8&gt;0,MIN(Skills!I8,MAX(0,MAX(0,Inputs!$B$43-B443)-((R415-1)*(IF(Inputs!$B$38="pvp",15,MAX(0.1,Skills!D8-IF(Skills!E8=TRUE,Inputs!$B$32,0)))*(1-IF(AND(ArtifactsInput!$M$27,Inputs!$B$4="Chapter Hunt"),CHOOSE(ArtifactsInput!$N$27+1,20,24,28,32,36,40),0)/100)))))/Skills!H8,1)))/Inputs!$B$43),G415*Q415)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6">
      <c r="A416">
        <f>Skills!A9</f>
        <v/>
      </c>
      <c r="B416">
        <f>Skills!B9</f>
        <v/>
      </c>
      <c r="C416">
        <f>Inputs!$B$3&gt;=69</f>
        <v/>
      </c>
      <c r="D416">
        <f>IF(Skills!C9=1,60+Inputs!$B$25+Inputs!$B$29,IF(Skills!C9=2,90+Inputs!$B$26+Inputs!$B$29,IF(Skills!C9=3,120+Inputs!$B$27+Inputs!$B$29,MAX(0,(Inputs!$B$3-100)*3)+Inputs!$B$28+Inputs!$B$29)))</f>
        <v/>
      </c>
      <c r="E416">
        <f>INDEX(FactorTable!$B$2:$Y$301, MATCH(ROUND(MIN(300,MAX(1,D416)),0), FactorTable!$A$2:$A$301,0), Skills!M9+1)</f>
        <v/>
      </c>
      <c r="F416">
        <f>IF(Skills!N9=TRUE,(Skills!L9/10)*(E416/1000),Skills!L9/10)+Skills!O9</f>
        <v/>
      </c>
      <c r="G416">
        <f>Skills!G9*IF(Skills!H9&gt;0,Skills!I9/Skills!H9,1)</f>
        <v/>
      </c>
      <c r="H416">
        <f>1-(1-Skills!J9/100)^Skills!K9</f>
        <v/>
      </c>
      <c r="I416" t="inlineStr">
        <is>
          <t>1</t>
        </is>
      </c>
      <c r="J416">
        <f>((Inputs!$B$6*(1+Inputs!$B$7/100))+(((Inputs!$B$12*(1+Inputs!$B$13/100))-(Inputs!$B$12*(1+Inputs!$B$13/100)))+0.25*(Inputs!$B$14-Inputs!$B$14))*(1+Inputs!$B$7/100))*(F416/100)</f>
        <v/>
      </c>
      <c r="K416">
        <f>J416*(1+((Inputs!$B$12*(1+Inputs!$B$13/100))*0.01+Inputs!$B$14*0.0025)/100)*(1+Inputs!$B$15/100)*(1+Inputs!$B$16/100)*(5000/(6000+Inputs!$B$42*(1-(100*(1-(1-(Inputs!$B$19+0)/100)*(1-CHOOSE(ArtifactsInput!$N$40+1,5,6,7,8,9,10)/100)^(ArtifactsInput!$M$40-ArtifactsInput!$M$40)))/100)))*(1+(Inputs!$B$24+((C432=TRUE)*(F432-Calc!F25))+B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419=TRUE,F419,0)/100)*(1+IF(Skills!A9="ENHANCED_RAGING_BLOW",IF(Inputs!$B$3&gt;=134,MAX(0,IF(Inputs!$B$3&gt;=110,7,5)-5)*50,0),0)/100)*(1+(IF(Skills!A9="RAGING_BLOW",Inputs!$B$17+((C428=TRUE)*(F428-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430=TRUE)*(F430-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420=TRUE)*F420*IF(Inputs!$B$3&gt;=110,7,5))+((C422=TRUE)*F422*IF(AND(Inputs!$B$38&lt;&gt;"pvp",Inputs!$B$43&gt;0),(((R422-1)*(Skills!T15*(1+(Inputs!$B$34+(ArtifactsInput!$M$7-ArtifactsInput!$M$7)*CHOOSE(ArtifactsInput!$N$7+1,6,7.2,8.4,9.6,10.8,12))/100))+MIN((Skills!T15*(1+(Inputs!$B$34+(ArtifactsInput!$M$7-ArtifactsInput!$M$7)*CHOOSE(ArtifactsInput!$N$7+1,6,7.2,8.4,9.6,10.8,12))/100)),MAX(0,Inputs!$B$43-((R422-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Hunt"),CHOOSE(ArtifactsInput!$N$35+1,15,18,21,24,27,30)*(1-EXP(-(0.2*B438)*5)),0)+IF(AND(ArtifactsInput!$M$22,Inputs!$B$4&lt;&gt;"Chapter Hunt"),CHOOSE(ArtifactsInput!$N$22+1,10,12,14,16,18,20)*((0*(((0.15*B438*5))^0/1)+1*(((0.15*B438*5))^1/1)+2*(((0.15*B438*5))^2/2)+3*(((0.15*B438*5))^3/6)+4*(((0.15*B438*5))^4/24)+5*(((0.15*B438*5))^5/120))/((((0.15*B438*5))^0/1)+(((0.15*B438*5))^1/1)+(((0.15*B438*5))^2/2)+(((0.15*B438*5))^3/6)+(((0.15*B438*5))^4/24)+(((0.15*B438*5))^5/120))),0)))/100)*I416)</f>
        <v/>
      </c>
      <c r="L416">
        <f>K416*(MIN((Inputs!$B$22+1)+((C429=TRUE)*(F429-Calc!F22)),(Inputs!$B$23+((C431=TRUE)*(F431-Calc!F24))+(IF(ArtifactsInput!$M$15,CHOOSE(ArtifactsInput!$N$15+1,25,30,35,40,45,50)/100*(Inputs!$B$11-Inputs!$B$11),0))))/100+(Inputs!$B$23+((C431=TRUE)*(F431-Calc!F24))+(IF(ArtifactsInput!$M$15,CHOOSE(ArtifactsInput!$N$15+1,25,30,35,40,45,50)/100*(Inputs!$B$11-Inputs!$B$11),0)))/100)/2</f>
        <v/>
      </c>
      <c r="M416">
        <f>L416*(1+(Inputs!$B$10+0+B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16">
        <f>L416*(1-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416*(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16">
        <f>(1-Summary!$B$11)*T416+Summary!$B$11*V416</f>
        <v/>
      </c>
      <c r="P416">
        <f>IF(B446=0,0,O416/B446)</f>
        <v/>
      </c>
      <c r="Q416">
        <f>IFERROR(1/(IF(Inputs!$B$38="pvp",15,MAX(0.1,Skills!D9-IF(Skills!E9=TRUE,Inputs!$B$32,0)))*(1-IF(AND(ArtifactsInput!$M$27,Inputs!$B$4="Chapter Hunt"),CHOOSE(ArtifactsInput!$N$27+1,20,24,28,32,36,40),0)/100)),0)</f>
        <v/>
      </c>
      <c r="R416">
        <f>IF(AND(Inputs!$B$38&lt;&gt;"pvp",Inputs!$B$43&gt;0),IF(MAX(0,Inputs!$B$43-B443)&lt;=0,0,(INT(MAX(0,Inputs!$B$43-B443)/(IF(Inputs!$B$38="pvp",15,MAX(0.1,Skills!D9-IF(Skills!E9=TRUE,Inputs!$B$32,0)))*(1-IF(AND(ArtifactsInput!$M$27,Inputs!$B$4="Chapter Hunt"),CHOOSE(ArtifactsInput!$N$27+1,20,24,28,32,36,40),0)/100)))+1)),0)</f>
        <v/>
      </c>
      <c r="S416">
        <f>IFERROR(O416/N416,0)</f>
        <v/>
      </c>
      <c r="T416">
        <f>IF(C416,(H416*N416*IF(AND(Inputs!$B$38&lt;&gt;"pvp",Inputs!$B$43&gt;0),((Skills!G9*((R416-1)*IF(Skills!H9&gt;0,Skills!I9/Skills!H9,1)+IF(Skills!H9&gt;0,MIN(Skills!I9,MAX(0,MAX(0,Inputs!$B$43-B443)-((R416-1)*(IF(Inputs!$B$38="pvp",15,MAX(0.1,Skills!D9-IF(Skills!E9=TRUE,Inputs!$B$32,0)))*(1-IF(AND(ArtifactsInput!$M$27,Inputs!$B$4="Chapter Hunt"),CHOOSE(ArtifactsInput!$N$27+1,20,24,28,32,36,40),0)/100)))))/Skills!H9,1)))/Inputs!$B$43),G416*Q416)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416*(1-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416*(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416*(1-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416*(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16">
        <f>IF(C416,(H416*N416*IF(AND(Inputs!$B$38&lt;&gt;"pvp",Inputs!$B$43&gt;0),((Skills!G9*((R416-1)*IF(Skills!H9&gt;0,Skills!I9/Skills!H9,1)+IF(Skills!H9&gt;0,MIN(Skills!I9,MAX(0,MAX(0,Inputs!$B$43-B443)-((R416-1)*(IF(Inputs!$B$38="pvp",15,MAX(0.1,Skills!D9-IF(Skills!E9=TRUE,Inputs!$B$32,0)))*(1-IF(AND(ArtifactsInput!$M$27,Inputs!$B$4="Chapter Hunt"),CHOOSE(ArtifactsInput!$N$27+1,20,24,28,32,36,40),0)/100)))))/Skills!H9,1)))/Inputs!$B$43),G416*Q416)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7">
      <c r="A417">
        <f>Skills!A10</f>
        <v/>
      </c>
      <c r="B417">
        <f>Skills!B10</f>
        <v/>
      </c>
      <c r="C417">
        <f>Inputs!$B$3&gt;=63</f>
        <v/>
      </c>
      <c r="D417">
        <f>IF(Skills!C10=1,60+Inputs!$B$25+Inputs!$B$29,IF(Skills!C10=2,90+Inputs!$B$26+Inputs!$B$29,IF(Skills!C10=3,120+Inputs!$B$27+Inputs!$B$29,MAX(0,(Inputs!$B$3-100)*3)+Inputs!$B$28+Inputs!$B$29)))</f>
        <v/>
      </c>
      <c r="E417">
        <f>INDEX(FactorTable!$B$2:$Y$301, MATCH(ROUND(MIN(300,MAX(1,D417)),0), FactorTable!$A$2:$A$301,0), Skills!M10+1)</f>
        <v/>
      </c>
      <c r="F417">
        <f>IF(Skills!N10=TRUE,(Skills!L10/10)*(E417/1000),Skills!L10/10)+Skills!O10</f>
        <v/>
      </c>
      <c r="G417">
        <f>Skills!G10*IF(Skills!H10&gt;0,Skills!I10/Skills!H10,1)</f>
        <v/>
      </c>
      <c r="H417">
        <f>1-(1-Skills!J10/100)^Skills!K10</f>
        <v/>
      </c>
      <c r="I417" t="inlineStr">
        <is>
          <t>1</t>
        </is>
      </c>
      <c r="J417">
        <f>((Inputs!$B$6*(1+Inputs!$B$7/100))+(((Inputs!$B$12*(1+Inputs!$B$13/100))-(Inputs!$B$12*(1+Inputs!$B$13/100)))+0.25*(Inputs!$B$14-Inputs!$B$14))*(1+Inputs!$B$7/100))*(F417/100)</f>
        <v/>
      </c>
      <c r="K417">
        <f>J417*(1+((Inputs!$B$12*(1+Inputs!$B$13/100))*0.01+Inputs!$B$14*0.0025)/100)*(1+Inputs!$B$15/100)*(1+Inputs!$B$16/100)*(5000/(6000+Inputs!$B$42*(1-(100*(1-(1-(Inputs!$B$19+0)/100)*(1-CHOOSE(ArtifactsInput!$N$40+1,5,6,7,8,9,10)/100)^(ArtifactsInput!$M$40-ArtifactsInput!$M$40)))/100)))*(1+(Inputs!$B$24+((C432=TRUE)*(F432-Calc!F25))+B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419=TRUE,F419,0)/100)*(1+IF(Skills!A10="ENHANCED_RAGING_BLOW",IF(Inputs!$B$3&gt;=134,MAX(0,IF(Inputs!$B$3&gt;=110,7,5)-5)*50,0),0)/100)*(1+(IF(Skills!A10="RAGING_BLOW",Inputs!$B$17+((C428=TRUE)*(F428-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430=TRUE)*(F430-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420=TRUE)*F420*IF(Inputs!$B$3&gt;=110,7,5))+((C422=TRUE)*F422*IF(AND(Inputs!$B$38&lt;&gt;"pvp",Inputs!$B$43&gt;0),(((R422-1)*(Skills!T15*(1+(Inputs!$B$34+(ArtifactsInput!$M$7-ArtifactsInput!$M$7)*CHOOSE(ArtifactsInput!$N$7+1,6,7.2,8.4,9.6,10.8,12))/100))+MIN((Skills!T15*(1+(Inputs!$B$34+(ArtifactsInput!$M$7-ArtifactsInput!$M$7)*CHOOSE(ArtifactsInput!$N$7+1,6,7.2,8.4,9.6,10.8,12))/100)),MAX(0,Inputs!$B$43-((R422-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Hunt"),CHOOSE(ArtifactsInput!$N$35+1,15,18,21,24,27,30)*(1-EXP(-(0.2*B438)*5)),0)+IF(AND(ArtifactsInput!$M$22,Inputs!$B$4&lt;&gt;"Chapter Hunt"),CHOOSE(ArtifactsInput!$N$22+1,10,12,14,16,18,20)*((0*(((0.15*B438*5))^0/1)+1*(((0.15*B438*5))^1/1)+2*(((0.15*B438*5))^2/2)+3*(((0.15*B438*5))^3/6)+4*(((0.15*B438*5))^4/24)+5*(((0.15*B438*5))^5/120))/((((0.15*B438*5))^0/1)+(((0.15*B438*5))^1/1)+(((0.15*B438*5))^2/2)+(((0.15*B438*5))^3/6)+(((0.15*B438*5))^4/24)+(((0.15*B438*5))^5/120))),0)))/100)*I417)</f>
        <v/>
      </c>
      <c r="L417">
        <f>K417*(MIN((Inputs!$B$22+1)+((C429=TRUE)*(F429-Calc!F22)),(Inputs!$B$23+((C431=TRUE)*(F431-Calc!F24))+(IF(ArtifactsInput!$M$15,CHOOSE(ArtifactsInput!$N$15+1,25,30,35,40,45,50)/100*(Inputs!$B$11-Inputs!$B$11),0))))/100+(Inputs!$B$23+((C431=TRUE)*(F431-Calc!F24))+(IF(ArtifactsInput!$M$15,CHOOSE(ArtifactsInput!$N$15+1,25,30,35,40,45,50)/100*(Inputs!$B$11-Inputs!$B$11),0)))/100)/2</f>
        <v/>
      </c>
      <c r="M417">
        <f>L417*(1+(Inputs!$B$10+0+B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17">
        <f>L417*(1-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417*(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17">
        <f>(1-Summary!$B$11)*T417+Summary!$B$11*V417</f>
        <v/>
      </c>
      <c r="P417">
        <f>IF(B446=0,0,O417/B446)</f>
        <v/>
      </c>
      <c r="Q417">
        <f>IFERROR(1/(IF(Inputs!$B$38="pvp",15,MAX(0.1,Skills!D10-IF(Skills!E10=TRUE,Inputs!$B$32,0)))*(1-IF(AND(ArtifactsInput!$M$27,Inputs!$B$4="Chapter Hunt"),CHOOSE(ArtifactsInput!$N$27+1,20,24,28,32,36,40),0)/100)),0)</f>
        <v/>
      </c>
      <c r="R417">
        <f>IF(AND(Inputs!$B$38&lt;&gt;"pvp",Inputs!$B$43&gt;0),IF(MAX(0,Inputs!$B$43-B443)&lt;=0,0,(INT(MAX(0,Inputs!$B$43-B443)/(IF(Inputs!$B$38="pvp",15,MAX(0.1,Skills!D10-IF(Skills!E10=TRUE,Inputs!$B$32,0)))*(1-IF(AND(ArtifactsInput!$M$27,Inputs!$B$4="Chapter Hunt"),CHOOSE(ArtifactsInput!$N$27+1,20,24,28,32,36,40),0)/100)))+1)),0)</f>
        <v/>
      </c>
      <c r="S417">
        <f>IFERROR(O417/N417,0)</f>
        <v/>
      </c>
      <c r="T417">
        <f>IF(C417,(H417*N417*IF(AND(Inputs!$B$38&lt;&gt;"pvp",Inputs!$B$43&gt;0),((Skills!G10*((R417-1)*IF(Skills!H10&gt;0,Skills!I10/Skills!H10,1)+IF(Skills!H10&gt;0,MIN(Skills!I10,MAX(0,MAX(0,Inputs!$B$43-B443)-((R417-1)*(IF(Inputs!$B$38="pvp",15,MAX(0.1,Skills!D10-IF(Skills!E10=TRUE,Inputs!$B$32,0)))*(1-IF(AND(ArtifactsInput!$M$27,Inputs!$B$4="Chapter Hunt"),CHOOSE(ArtifactsInput!$N$27+1,20,24,28,32,36,40),0)/100)))))/Skills!H10,1)))/Inputs!$B$43),G417*Q417)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417*(1-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417*(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417*(1-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417*(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17">
        <f>IF(C417,(H417*N417*IF(AND(Inputs!$B$38&lt;&gt;"pvp",Inputs!$B$43&gt;0),((Skills!G10*((R417-1)*IF(Skills!H10&gt;0,Skills!I10/Skills!H10,1)+IF(Skills!H10&gt;0,MIN(Skills!I10,MAX(0,MAX(0,Inputs!$B$43-B443)-((R417-1)*(IF(Inputs!$B$38="pvp",15,MAX(0.1,Skills!D10-IF(Skills!E10=TRUE,Inputs!$B$32,0)))*(1-IF(AND(ArtifactsInput!$M$27,Inputs!$B$4="Chapter Hunt"),CHOOSE(ArtifactsInput!$N$27+1,20,24,28,32,36,40),0)/100)))))/Skills!H10,1)))/Inputs!$B$43),G417*Q417)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8">
      <c r="A418">
        <f>Skills!A11</f>
        <v/>
      </c>
      <c r="B418">
        <f>Skills!B11</f>
        <v/>
      </c>
      <c r="C418">
        <f>Inputs!$B$3&gt;=35</f>
        <v/>
      </c>
      <c r="D418">
        <f>IF(Skills!C11=1,60+Inputs!$B$25+Inputs!$B$29,IF(Skills!C11=2,90+Inputs!$B$26+Inputs!$B$29,IF(Skills!C11=3,120+Inputs!$B$27+Inputs!$B$29,MAX(0,(Inputs!$B$3-100)*3)+Inputs!$B$28+Inputs!$B$29)))</f>
        <v/>
      </c>
      <c r="E418">
        <f>INDEX(FactorTable!$B$2:$Y$301, MATCH(ROUND(MIN(300,MAX(1,D418)),0), FactorTable!$A$2:$A$301,0), Skills!M11+1)</f>
        <v/>
      </c>
      <c r="F418">
        <f>IF(Skills!N11=TRUE,(Skills!L11/10)*(E418/1000),Skills!L11/10)+Skills!O11</f>
        <v/>
      </c>
      <c r="G418">
        <f>Skills!G11*IF(Skills!H11&gt;0,Skills!I11/Skills!H11,1)</f>
        <v/>
      </c>
      <c r="H418">
        <f>1-(1-Skills!J11/100)^Skills!K11</f>
        <v/>
      </c>
      <c r="I418" t="inlineStr">
        <is>
          <t>1</t>
        </is>
      </c>
      <c r="J418">
        <f>((Inputs!$B$6*(1+Inputs!$B$7/100))+(((Inputs!$B$12*(1+Inputs!$B$13/100))-(Inputs!$B$12*(1+Inputs!$B$13/100)))+0.25*(Inputs!$B$14-Inputs!$B$14))*(1+Inputs!$B$7/100))*(F418/100)</f>
        <v/>
      </c>
      <c r="K418">
        <f>J418*(1+((Inputs!$B$12*(1+Inputs!$B$13/100))*0.01+Inputs!$B$14*0.0025)/100)*(1+Inputs!$B$15/100)*(1+Inputs!$B$16/100)*(5000/(6000+Inputs!$B$42*(1-(100*(1-(1-(Inputs!$B$19+0)/100)*(1-CHOOSE(ArtifactsInput!$N$40+1,5,6,7,8,9,10)/100)^(ArtifactsInput!$M$40-ArtifactsInput!$M$40)))/100)))*(1+(Inputs!$B$24+((C432=TRUE)*(F432-Calc!F25))+B442)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419=TRUE,F419,0)/100)*(1+IF(Skills!A11="ENHANCED_RAGING_BLOW",IF(Inputs!$B$3&gt;=134,MAX(0,IF(Inputs!$B$3&gt;=110,7,5)-5)*50,0),0)/100)*(1+(IF(Skills!A11="RAGING_BLOW",Inputs!$B$17+((C428=TRUE)*(F428-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430=TRUE)*(F430-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420=TRUE)*F420*IF(Inputs!$B$3&gt;=110,7,5))+((C422=TRUE)*F422*IF(AND(Inputs!$B$38&lt;&gt;"pvp",Inputs!$B$43&gt;0),(((R422-1)*(Skills!T15*(1+(Inputs!$B$34+(ArtifactsInput!$M$7-ArtifactsInput!$M$7)*CHOOSE(ArtifactsInput!$N$7+1,6,7.2,8.4,9.6,10.8,12))/100))+MIN((Skills!T15*(1+(Inputs!$B$34+(ArtifactsInput!$M$7-ArtifactsInput!$M$7)*CHOOSE(ArtifactsInput!$N$7+1,6,7.2,8.4,9.6,10.8,12))/100)),MAX(0,Inputs!$B$43-((R422-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Hunt"),CHOOSE(ArtifactsInput!$N$35+1,15,18,21,24,27,30)*(1-EXP(-(0.2*B438)*5)),0)+IF(AND(ArtifactsInput!$M$22,Inputs!$B$4&lt;&gt;"Chapter Hunt"),CHOOSE(ArtifactsInput!$N$22+1,10,12,14,16,18,20)*((0*(((0.15*B438*5))^0/1)+1*(((0.15*B438*5))^1/1)+2*(((0.15*B438*5))^2/2)+3*(((0.15*B438*5))^3/6)+4*(((0.15*B438*5))^4/24)+5*(((0.15*B438*5))^5/120))/((((0.15*B438*5))^0/1)+(((0.15*B438*5))^1/1)+(((0.15*B438*5))^2/2)+(((0.15*B438*5))^3/6)+(((0.15*B438*5))^4/24)+(((0.15*B438*5))^5/120))),0)))/100)*I418)</f>
        <v/>
      </c>
      <c r="L418">
        <f>K418*(MIN((Inputs!$B$22+1)+((C429=TRUE)*(F429-Calc!F22)),(Inputs!$B$23+((C431=TRUE)*(F431-Calc!F24))+(IF(ArtifactsInput!$M$15,CHOOSE(ArtifactsInput!$N$15+1,25,30,35,40,45,50)/100*(Inputs!$B$11-Inputs!$B$11),0))))/100+(Inputs!$B$23+((C431=TRUE)*(F431-Calc!F24))+(IF(ArtifactsInput!$M$15,CHOOSE(ArtifactsInput!$N$15+1,25,30,35,40,45,50)/100*(Inputs!$B$11-Inputs!$B$11),0)))/100)/2</f>
        <v/>
      </c>
      <c r="M418">
        <f>L418*(1+(Inputs!$B$10+0+B441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18">
        <f>L418*(1-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418*(MIN((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18">
        <f>(1-Summary!$B$11)*T418+Summary!$B$11*V418</f>
        <v/>
      </c>
      <c r="P418">
        <f>IF(B446=0,0,O418/B446)</f>
        <v/>
      </c>
      <c r="Q418">
        <f>IFERROR(1/(IF(Inputs!$B$38="pvp",15,MAX(0.1,Skills!D11-IF(Skills!E11=TRUE,Inputs!$B$32,0)))*(1-IF(AND(ArtifactsInput!$M$27,Inputs!$B$4="Chapter Hunt"),CHOOSE(ArtifactsInput!$N$27+1,20,24,28,32,36,40),0)/100)),0)</f>
        <v/>
      </c>
      <c r="R418">
        <f>IF(AND(Inputs!$B$38&lt;&gt;"pvp",Inputs!$B$43&gt;0),IF(MAX(0,Inputs!$B$43-B443)&lt;=0,0,(INT(MAX(0,Inputs!$B$43-B443)/(IF(Inputs!$B$38="pvp",15,MAX(0.1,Skills!D11-IF(Skills!E11=TRUE,Inputs!$B$32,0)))*(1-IF(AND(ArtifactsInput!$M$27,Inputs!$B$4="Chapter Hunt"),CHOOSE(ArtifactsInput!$N$27+1,20,24,28,32,36,40),0)/100)))+1)),0)</f>
        <v/>
      </c>
      <c r="S418">
        <f>IFERROR(O418/N418,0)</f>
        <v/>
      </c>
      <c r="T418">
        <f>IF(C418,(H418*N418*IF(AND(Inputs!$B$38&lt;&gt;"pvp",Inputs!$B$43&gt;0),((Skills!G11*((R418-1)*IF(Skills!H11&gt;0,Skills!I11/Skills!H11,1)+IF(Skills!H11&gt;0,MIN(Skills!I11,MAX(0,MAX(0,Inputs!$B$43-B443)-((R418-1)*(IF(Inputs!$B$38="pvp",15,MAX(0.1,Skills!D11-IF(Skills!E11=TRUE,Inputs!$B$32,0)))*(1-IF(AND(ArtifactsInput!$M$27,Inputs!$B$4="Chapter Hunt"),CHOOSE(ArtifactsInput!$N$27+1,20,24,28,32,36,40),0)/100)))))/Skills!H11,1)))/Inputs!$B$43),G418*Q418)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418*(1-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418*(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418*(1-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418*(MIN(100,(Inputs!$B$9+((C433=TRUE)*(F433-Calc!F26))+B436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18">
        <f>IF(C418,(H418*N418*IF(AND(Inputs!$B$38&lt;&gt;"pvp",Inputs!$B$43&gt;0),((Skills!G11*((R418-1)*IF(Skills!H11&gt;0,Skills!I11/Skills!H11,1)+IF(Skills!H11&gt;0,MIN(Skills!I11,MAX(0,MAX(0,Inputs!$B$43-B443)-((R418-1)*(IF(Inputs!$B$38="pvp",15,MAX(0.1,Skills!D11-IF(Skills!E11=TRUE,Inputs!$B$32,0)))*(1-IF(AND(ArtifactsInput!$M$27,Inputs!$B$4="Chapter Hunt"),CHOOSE(ArtifactsInput!$N$27+1,20,24,28,32,36,40),0)/100)))))/Skills!H11,1)))/Inputs!$B$43),G418*Q418)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9">
      <c r="A419">
        <f>Skills!A12</f>
        <v/>
      </c>
      <c r="B419">
        <f>Skills!B12</f>
        <v/>
      </c>
      <c r="C419">
        <f>Inputs!$B$3&gt;=100</f>
        <v/>
      </c>
      <c r="D419">
        <f>IF(Skills!C12=1,60+Inputs!$B$25+Inputs!$B$29,IF(Skills!C12=2,90+Inputs!$B$26+Inputs!$B$29,IF(Skills!C12=3,120+Inputs!$B$27+Inputs!$B$29,MAX(0,(Inputs!$B$3-100)*3)+Inputs!$B$28+Inputs!$B$29)))</f>
        <v/>
      </c>
      <c r="E419">
        <f>INDEX(FactorTable!$B$2:$Y$301, MATCH(ROUND(MIN(300,MAX(1,D419)),0), FactorTable!$A$2:$A$301,0), Skills!M12+1)</f>
        <v/>
      </c>
      <c r="F419">
        <f>IF(Skills!N12=TRUE,(Skills!L12/10)*(E419/1000),Skills!L12/10)+Skills!O12</f>
        <v/>
      </c>
      <c r="G419" t="inlineStr"/>
      <c r="H419" t="inlineStr"/>
      <c r="I419" t="inlineStr">
        <is>
          <t>1</t>
        </is>
      </c>
      <c r="J419" t="inlineStr"/>
      <c r="K419" t="inlineStr"/>
      <c r="L419" t="inlineStr"/>
      <c r="M419" t="inlineStr"/>
      <c r="N419" t="inlineStr"/>
      <c r="O419" t="inlineStr"/>
      <c r="P419" t="inlineStr"/>
      <c r="Q419" t="inlineStr"/>
      <c r="R419" t="inlineStr"/>
      <c r="S419" t="inlineStr"/>
    </row>
    <row r="420">
      <c r="A420">
        <f>Skills!A13</f>
        <v/>
      </c>
      <c r="B420">
        <f>Skills!B13</f>
        <v/>
      </c>
      <c r="C420">
        <f>Inputs!$B$3&gt;=45</f>
        <v/>
      </c>
      <c r="D420">
        <f>IF(Skills!C13=1,60+Inputs!$B$25+Inputs!$B$29,IF(Skills!C13=2,90+Inputs!$B$26+Inputs!$B$29,IF(Skills!C13=3,120+Inputs!$B$27+Inputs!$B$29,MAX(0,(Inputs!$B$3-100)*3)+Inputs!$B$28+Inputs!$B$29)))</f>
        <v/>
      </c>
      <c r="E420">
        <f>INDEX(FactorTable!$B$2:$Y$301, MATCH(ROUND(MIN(300,MAX(1,D420)),0), FactorTable!$A$2:$A$301,0), Skills!M13+1)</f>
        <v/>
      </c>
      <c r="F420">
        <f>IF(Skills!N13=TRUE,(Skills!L13/10)*(E420/1000),Skills!L13/10)+Skills!O13</f>
        <v/>
      </c>
      <c r="G420">
        <f>Skills!G13*IF(Skills!H13&gt;0,Skills!I13/Skills!H13,1)</f>
        <v/>
      </c>
      <c r="H420">
        <f>1-(1-Skills!J13/100)^Skills!K13</f>
        <v/>
      </c>
      <c r="I420" t="inlineStr">
        <is>
          <t>1</t>
        </is>
      </c>
      <c r="J420" t="inlineStr"/>
      <c r="K420" t="inlineStr"/>
      <c r="L420" t="inlineStr"/>
      <c r="M420" t="inlineStr"/>
      <c r="N420" t="inlineStr"/>
      <c r="O420">
        <f>(1-Summary!$B$11)*T420+Summary!$B$11*V420</f>
        <v/>
      </c>
      <c r="P420">
        <f>IF(B446=0,0,O420/B446)</f>
        <v/>
      </c>
      <c r="Q420" t="n">
        <v>0</v>
      </c>
      <c r="R420" t="n">
        <v>0</v>
      </c>
      <c r="S420">
        <f>IFERROR(O420/N420,0)</f>
        <v/>
      </c>
      <c r="T420" t="n">
        <v>0</v>
      </c>
      <c r="V420" t="n">
        <v>0</v>
      </c>
    </row>
    <row r="421">
      <c r="A421">
        <f>Skills!A14</f>
        <v/>
      </c>
      <c r="B421">
        <f>Skills!B14</f>
        <v/>
      </c>
      <c r="C421">
        <f>Inputs!$B$3&gt;=75</f>
        <v/>
      </c>
      <c r="D421">
        <f>IF(Skills!C14=1,60+Inputs!$B$25+Inputs!$B$29,IF(Skills!C14=2,90+Inputs!$B$26+Inputs!$B$29,IF(Skills!C14=3,120+Inputs!$B$27+Inputs!$B$29,MAX(0,(Inputs!$B$3-100)*3)+Inputs!$B$28+Inputs!$B$29)))</f>
        <v/>
      </c>
      <c r="E421">
        <f>INDEX(FactorTable!$B$2:$Y$301, MATCH(ROUND(MIN(300,MAX(1,D421)),0), FactorTable!$A$2:$A$301,0), Skills!M14+1)</f>
        <v/>
      </c>
      <c r="F421">
        <f>IF(Skills!N14=TRUE,(Skills!L14/10)*(E421/1000),Skills!L14/10)+Skills!O14</f>
        <v/>
      </c>
      <c r="G421">
        <f>Skills!G14*IF(Skills!H14&gt;0,Skills!I14/Skills!H14,1)</f>
        <v/>
      </c>
      <c r="H421">
        <f>1-(1-Skills!J14/100)^Skills!K14</f>
        <v/>
      </c>
      <c r="I421" t="inlineStr">
        <is>
          <t>1</t>
        </is>
      </c>
      <c r="J421" t="inlineStr"/>
      <c r="K421" t="inlineStr"/>
      <c r="L421" t="inlineStr"/>
      <c r="M421" t="inlineStr"/>
      <c r="N421" t="inlineStr"/>
      <c r="O421">
        <f>(1-Summary!$B$11)*T421+Summary!$B$11*V421</f>
        <v/>
      </c>
      <c r="P421">
        <f>IF(B446=0,0,O421/B446)</f>
        <v/>
      </c>
      <c r="Q421" t="n">
        <v>0</v>
      </c>
      <c r="R421" t="n">
        <v>0</v>
      </c>
      <c r="S421">
        <f>IFERROR(O421/N421,0)</f>
        <v/>
      </c>
      <c r="T421" t="n">
        <v>0</v>
      </c>
      <c r="V421" t="n">
        <v>0</v>
      </c>
    </row>
    <row r="422">
      <c r="A422">
        <f>Skills!A15</f>
        <v/>
      </c>
      <c r="B422">
        <f>Skills!B15</f>
        <v/>
      </c>
      <c r="C422">
        <f>Inputs!$B$3&gt;=40</f>
        <v/>
      </c>
      <c r="D422">
        <f>IF(Skills!C15=1,60+Inputs!$B$25+Inputs!$B$29,IF(Skills!C15=2,90+Inputs!$B$26+Inputs!$B$29,IF(Skills!C15=3,120+Inputs!$B$27+Inputs!$B$29,MAX(0,(Inputs!$B$3-100)*3)+Inputs!$B$28+Inputs!$B$29)))</f>
        <v/>
      </c>
      <c r="E422">
        <f>INDEX(FactorTable!$B$2:$Y$301, MATCH(ROUND(MIN(300,MAX(1,D422)),0), FactorTable!$A$2:$A$301,0), Skills!M15+1)</f>
        <v/>
      </c>
      <c r="F422">
        <f>IF(Skills!N15=TRUE,(Skills!L15/10)*(E422/1000),Skills!L15/10)+Skills!O15</f>
        <v/>
      </c>
      <c r="G422">
        <f>Skills!G15*IF(Skills!H15&gt;0,Skills!I15/Skills!H15,1)</f>
        <v/>
      </c>
      <c r="H422">
        <f>1-(1-Skills!J15/100)^Skills!K15</f>
        <v/>
      </c>
      <c r="I422" t="inlineStr">
        <is>
          <t>1</t>
        </is>
      </c>
      <c r="J422" t="inlineStr"/>
      <c r="K422" t="inlineStr"/>
      <c r="L422" t="inlineStr"/>
      <c r="M422" t="inlineStr"/>
      <c r="N422" t="inlineStr"/>
      <c r="O422">
        <f>(1-Summary!$B$11)*T422+Summary!$B$11*V422</f>
        <v/>
      </c>
      <c r="P422">
        <f>IF(B446=0,0,O422/B446)</f>
        <v/>
      </c>
      <c r="Q422">
        <f>IFERROR(1/(IF(Inputs!$B$38="pvp",15,MAX(0.1,Skills!D15-IF(Skills!E15=TRUE,Inputs!$B$32,0)))*(1-IF(AND(ArtifactsInput!$M$27,Inputs!$B$4="Chapter Hunt"),CHOOSE(ArtifactsInput!$N$27+1,20,24,28,32,36,40),0)/100)),0)</f>
        <v/>
      </c>
      <c r="R422">
        <f>IF(AND(Inputs!$B$38&lt;&gt;"pvp",Inputs!$B$43&gt;0),IF(Inputs!$B$43&lt;=0,0,(INT(Inputs!$B$43/(IF(Inputs!$B$38="pvp",15,MAX(0.1,Skills!D15-IF(Skills!E15=TRUE,Inputs!$B$32,0)))*(1-IF(AND(ArtifactsInput!$M$27,Inputs!$B$4="Chapter Hunt"),CHOOSE(ArtifactsInput!$N$27+1,20,24,28,32,36,40),0)/100)))+1)),0)</f>
        <v/>
      </c>
      <c r="S422">
        <f>IFERROR(O422/N422,0)</f>
        <v/>
      </c>
      <c r="T422" t="n">
        <v>0</v>
      </c>
      <c r="V422" t="n">
        <v>0</v>
      </c>
    </row>
    <row r="423">
      <c r="A423">
        <f>Skills!A16</f>
        <v/>
      </c>
      <c r="B423">
        <f>Skills!B16</f>
        <v/>
      </c>
      <c r="C423">
        <f>Inputs!$B$3&gt;=66</f>
        <v/>
      </c>
      <c r="D423">
        <f>IF(Skills!C16=1,60+Inputs!$B$25+Inputs!$B$29,IF(Skills!C16=2,90+Inputs!$B$26+Inputs!$B$29,IF(Skills!C16=3,120+Inputs!$B$27+Inputs!$B$29,MAX(0,(Inputs!$B$3-100)*3)+Inputs!$B$28+Inputs!$B$29)))</f>
        <v/>
      </c>
      <c r="E423">
        <f>INDEX(FactorTable!$B$2:$Y$301, MATCH(ROUND(MIN(300,MAX(1,D423)),0), FactorTable!$A$2:$A$301,0), Skills!M16+1)</f>
        <v/>
      </c>
      <c r="F423">
        <f>IF(Skills!N16=TRUE,(Skills!L16/10)*(E423/1000),Skills!L16/10)+Skills!O16</f>
        <v/>
      </c>
      <c r="G423">
        <f>Skills!G16*IF(Skills!H16&gt;0,Skills!I16/Skills!H16,1)</f>
        <v/>
      </c>
      <c r="H423">
        <f>1-(1-Skills!J16/100)^Skills!K16</f>
        <v/>
      </c>
      <c r="I423" t="inlineStr">
        <is>
          <t>1</t>
        </is>
      </c>
      <c r="J423" t="inlineStr"/>
      <c r="K423" t="inlineStr"/>
      <c r="L423" t="inlineStr"/>
      <c r="M423" t="inlineStr"/>
      <c r="N423" t="inlineStr"/>
      <c r="O423">
        <f>(1-Summary!$B$11)*T423+Summary!$B$11*V423</f>
        <v/>
      </c>
      <c r="P423">
        <f>IF(B446=0,0,O423/B446)</f>
        <v/>
      </c>
      <c r="Q423">
        <f>IFERROR(1/(IF(Inputs!$B$38="pvp",15,MAX(0.1,Skills!D16-IF(Skills!E16=TRUE,Inputs!$B$32,0)))*(1-IF(AND(ArtifactsInput!$M$27,Inputs!$B$4="Chapter Hunt"),CHOOSE(ArtifactsInput!$N$27+1,20,24,28,32,36,40),0)/100)),0)</f>
        <v/>
      </c>
      <c r="R423">
        <f>IF(AND(Inputs!$B$38&lt;&gt;"pvp",Inputs!$B$43&gt;0),IF(Inputs!$B$43&lt;=0,0,(INT(Inputs!$B$43/(IF(Inputs!$B$38="pvp",15,MAX(0.1,Skills!D16-IF(Skills!E16=TRUE,Inputs!$B$32,0)))*(1-IF(AND(ArtifactsInput!$M$27,Inputs!$B$4="Chapter Hunt"),CHOOSE(ArtifactsInput!$N$27+1,20,24,28,32,36,40),0)/100)))+1)),0)</f>
        <v/>
      </c>
      <c r="S423">
        <f>IFERROR(O423/N423,0)</f>
        <v/>
      </c>
      <c r="T423" t="n">
        <v>0</v>
      </c>
      <c r="V423" t="n">
        <v>0</v>
      </c>
    </row>
    <row r="424">
      <c r="A424">
        <f>Skills!A17</f>
        <v/>
      </c>
      <c r="B424">
        <f>Skills!B17</f>
        <v/>
      </c>
      <c r="C424">
        <f>Inputs!$B$3&gt;=115</f>
        <v/>
      </c>
      <c r="D424">
        <f>IF(Skills!C17=1,60+Inputs!$B$25+Inputs!$B$29,IF(Skills!C17=2,90+Inputs!$B$26+Inputs!$B$29,IF(Skills!C17=3,120+Inputs!$B$27+Inputs!$B$29,MAX(0,(Inputs!$B$3-100)*3)+Inputs!$B$28+Inputs!$B$29)))</f>
        <v/>
      </c>
      <c r="E424">
        <f>INDEX(FactorTable!$B$2:$Y$301, MATCH(ROUND(MIN(300,MAX(1,D424)),0), FactorTable!$A$2:$A$301,0), Skills!M17+1)</f>
        <v/>
      </c>
      <c r="F424">
        <f>IF(Skills!N17=TRUE,(Skills!L17/10)*(E424/1000),Skills!L17/10)+Skills!O17</f>
        <v/>
      </c>
      <c r="G424">
        <f>Skills!G17*IF(Skills!H17&gt;0,Skills!I17/Skills!H17,1)</f>
        <v/>
      </c>
      <c r="H424">
        <f>1-(1-Skills!J17/100)^Skills!K17</f>
        <v/>
      </c>
      <c r="I424" t="inlineStr">
        <is>
          <t>1</t>
        </is>
      </c>
      <c r="J424" t="inlineStr"/>
      <c r="K424" t="inlineStr"/>
      <c r="L424" t="inlineStr"/>
      <c r="M424" t="inlineStr"/>
      <c r="N424" t="inlineStr"/>
      <c r="O424">
        <f>(1-Summary!$B$11)*T424+Summary!$B$11*V424</f>
        <v/>
      </c>
      <c r="P424">
        <f>IF(B446=0,0,O424/B446)</f>
        <v/>
      </c>
      <c r="Q424">
        <f>IFERROR(1/(IF(Inputs!$B$38="pvp",15,MAX(0.1,Skills!D17-IF(Skills!E17=TRUE,Inputs!$B$32,0)))*(1-IF(AND(ArtifactsInput!$M$27,Inputs!$B$4="Chapter Hunt"),CHOOSE(ArtifactsInput!$N$27+1,20,24,28,32,36,40),0)/100)),0)</f>
        <v/>
      </c>
      <c r="R424">
        <f>IF(AND(Inputs!$B$38&lt;&gt;"pvp",Inputs!$B$43&gt;0),IF(Inputs!$B$43&lt;=0,0,(INT(Inputs!$B$43/(IF(Inputs!$B$38="pvp",15,MAX(0.1,Skills!D17-IF(Skills!E17=TRUE,Inputs!$B$32,0)))*(1-IF(AND(ArtifactsInput!$M$27,Inputs!$B$4="Chapter Hunt"),CHOOSE(ArtifactsInput!$N$27+1,20,24,28,32,36,40),0)/100)))+1)),0)</f>
        <v/>
      </c>
      <c r="S424">
        <f>IFERROR(O424/N424,0)</f>
        <v/>
      </c>
      <c r="T424" t="n">
        <v>0</v>
      </c>
      <c r="V424" t="n">
        <v>0</v>
      </c>
    </row>
    <row r="425">
      <c r="A425">
        <f>Skills!A18</f>
        <v/>
      </c>
      <c r="B425">
        <f>Skills!B18</f>
        <v/>
      </c>
      <c r="C425">
        <f>Inputs!$B$3&gt;=115</f>
        <v/>
      </c>
      <c r="D425">
        <f>IF(Skills!C18=1,60+Inputs!$B$25+Inputs!$B$29,IF(Skills!C18=2,90+Inputs!$B$26+Inputs!$B$29,IF(Skills!C18=3,120+Inputs!$B$27+Inputs!$B$29,MAX(0,(Inputs!$B$3-100)*3)+Inputs!$B$28+Inputs!$B$29)))</f>
        <v/>
      </c>
      <c r="E425">
        <f>INDEX(FactorTable!$B$2:$Y$301, MATCH(ROUND(MIN(300,MAX(1,D425)),0), FactorTable!$A$2:$A$301,0), Skills!M18+1)</f>
        <v/>
      </c>
      <c r="F425">
        <f>IF(Skills!N18=TRUE,(Skills!L18/10)*(E425/1000),Skills!L18/10)+Skills!O18</f>
        <v/>
      </c>
      <c r="G425">
        <f>Skills!G18*IF(Skills!H18&gt;0,Skills!I18/Skills!H18,1)</f>
        <v/>
      </c>
      <c r="H425">
        <f>1-(1-Skills!J18/100)^Skills!K18</f>
        <v/>
      </c>
      <c r="I425" t="inlineStr">
        <is>
          <t>1</t>
        </is>
      </c>
      <c r="J425" t="inlineStr"/>
      <c r="K425" t="inlineStr"/>
      <c r="L425" t="inlineStr"/>
      <c r="M425" t="inlineStr"/>
      <c r="N425" t="inlineStr"/>
      <c r="O425">
        <f>(1-Summary!$B$11)*T425+Summary!$B$11*V425</f>
        <v/>
      </c>
      <c r="P425">
        <f>IF(B446=0,0,O425/B446)</f>
        <v/>
      </c>
      <c r="Q425">
        <f>IFERROR(1/(IF(Inputs!$B$38="pvp",15,MAX(0.1,Skills!D18-IF(Skills!E18=TRUE,Inputs!$B$32,0)))*(1-IF(AND(ArtifactsInput!$M$27,Inputs!$B$4="Chapter Hunt"),CHOOSE(ArtifactsInput!$N$27+1,20,24,28,32,36,40),0)/100)),0)</f>
        <v/>
      </c>
      <c r="R425">
        <f>IF(AND(Inputs!$B$38&lt;&gt;"pvp",Inputs!$B$43&gt;0),IF(Inputs!$B$43&lt;=0,0,(INT(Inputs!$B$43/(IF(Inputs!$B$38="pvp",15,MAX(0.1,Skills!D18-IF(Skills!E18=TRUE,Inputs!$B$32,0)))*(1-IF(AND(ArtifactsInput!$M$27,Inputs!$B$4="Chapter Hunt"),CHOOSE(ArtifactsInput!$N$27+1,20,24,28,32,36,40),0)/100)))+1)),0)</f>
        <v/>
      </c>
      <c r="S425">
        <f>IFERROR(O425/N425,0)</f>
        <v/>
      </c>
      <c r="T425" t="n">
        <v>0</v>
      </c>
      <c r="V425" t="n">
        <v>0</v>
      </c>
    </row>
    <row r="426">
      <c r="A426">
        <f>Skills!A19</f>
        <v/>
      </c>
      <c r="B426">
        <f>Skills!B19</f>
        <v/>
      </c>
      <c r="C426">
        <f>TRUE</f>
        <v/>
      </c>
      <c r="D426">
        <f>IF(Skills!C19=1,60+Inputs!$B$25+Inputs!$B$29,IF(Skills!C19=2,90+Inputs!$B$26+Inputs!$B$29,IF(Skills!C19=3,120+Inputs!$B$27+Inputs!$B$29,MAX(0,(Inputs!$B$3-100)*3)+Inputs!$B$28+Inputs!$B$29)))</f>
        <v/>
      </c>
      <c r="E426">
        <f>INDEX(FactorTable!$B$2:$Y$301, MATCH(ROUND(MIN(300,MAX(1,D426)),0), FactorTable!$A$2:$A$301,0), Skills!M19+1)</f>
        <v/>
      </c>
      <c r="F426">
        <f>IF(Skills!N19=TRUE,(Skills!L19/10)*(E426/1000),Skills!L19/10)+Skills!O19</f>
        <v/>
      </c>
      <c r="G426">
        <f>Skills!G19*IF(Skills!H19&gt;0,Skills!I19/Skills!H19,1)</f>
        <v/>
      </c>
      <c r="H426">
        <f>1-(1-Skills!J19/100)^Skills!K19</f>
        <v/>
      </c>
      <c r="I426" t="inlineStr">
        <is>
          <t>1</t>
        </is>
      </c>
      <c r="J426" t="inlineStr"/>
      <c r="K426" t="inlineStr"/>
      <c r="L426" t="inlineStr"/>
      <c r="M426" t="inlineStr"/>
      <c r="N426" t="inlineStr"/>
      <c r="O426">
        <f>(1-Summary!$B$11)*T426+Summary!$B$11*V426</f>
        <v/>
      </c>
      <c r="P426">
        <f>IF(B446=0,0,O426/B446)</f>
        <v/>
      </c>
      <c r="Q426">
        <f>IFERROR(1/(IF(Inputs!$B$38="pvp",15,MAX(0.1,Skills!D19-IF(Skills!E19=TRUE,Inputs!$B$32,0)))*(1-IF(AND(ArtifactsInput!$M$27,Inputs!$B$4="Chapter Hunt"),CHOOSE(ArtifactsInput!$N$27+1,20,24,28,32,36,40),0)/100)),0)</f>
        <v/>
      </c>
      <c r="R426">
        <f>IF(AND(Inputs!$B$38&lt;&gt;"pvp",Inputs!$B$43&gt;0),IF(Inputs!$B$43&lt;=0,0,(INT(Inputs!$B$43/(IF(Inputs!$B$38="pvp",15,MAX(0.1,Skills!D19-IF(Skills!E19=TRUE,Inputs!$B$32,0)))*(1-IF(AND(ArtifactsInput!$M$27,Inputs!$B$4="Chapter Hunt"),CHOOSE(ArtifactsInput!$N$27+1,20,24,28,32,36,40),0)/100)))+1)),0)</f>
        <v/>
      </c>
      <c r="S426">
        <f>IFERROR(O426/N426,0)</f>
        <v/>
      </c>
      <c r="T426" t="n">
        <v>0</v>
      </c>
      <c r="V426" t="n">
        <v>0</v>
      </c>
    </row>
    <row r="427">
      <c r="A427">
        <f>Skills!A20</f>
        <v/>
      </c>
      <c r="B427">
        <f>Skills!B20</f>
        <v/>
      </c>
      <c r="C427">
        <f>Inputs!$B$3&gt;=33</f>
        <v/>
      </c>
      <c r="D427">
        <f>IF(Skills!C20=1,60+Inputs!$B$25+Inputs!$B$29,IF(Skills!C20=2,90+Inputs!$B$26+Inputs!$B$29,IF(Skills!C20=3,120+Inputs!$B$27+Inputs!$B$29,MAX(0,(Inputs!$B$3-100)*3)+Inputs!$B$28+Inputs!$B$29)))</f>
        <v/>
      </c>
      <c r="E427">
        <f>INDEX(FactorTable!$B$2:$Y$301, MATCH(ROUND(MIN(300,MAX(1,D427)),0), FactorTable!$A$2:$A$301,0), Skills!M20+1)</f>
        <v/>
      </c>
      <c r="F427">
        <f>IF(Skills!N20=TRUE,(Skills!L20/10)*(E427/1000),Skills!L20/10)+Skills!O20</f>
        <v/>
      </c>
      <c r="G427">
        <f>Skills!G20*IF(Skills!H20&gt;0,Skills!I20/Skills!H20,1)</f>
        <v/>
      </c>
      <c r="H427">
        <f>1-(1-Skills!J20/100)^Skills!K20</f>
        <v/>
      </c>
      <c r="I427" t="inlineStr">
        <is>
          <t>1</t>
        </is>
      </c>
      <c r="J427" t="inlineStr"/>
      <c r="K427" t="inlineStr"/>
      <c r="L427" t="inlineStr"/>
      <c r="M427" t="inlineStr"/>
      <c r="N427" t="inlineStr"/>
      <c r="O427">
        <f>(1-Summary!$B$11)*T427+Summary!$B$11*V427</f>
        <v/>
      </c>
      <c r="P427">
        <f>IF(B446=0,0,O427/B446)</f>
        <v/>
      </c>
      <c r="Q427" t="n">
        <v>0</v>
      </c>
      <c r="R427" t="n">
        <v>0</v>
      </c>
      <c r="S427">
        <f>IFERROR(O427/N427,0)</f>
        <v/>
      </c>
      <c r="T427" t="n">
        <v>0</v>
      </c>
      <c r="V427" t="n">
        <v>0</v>
      </c>
    </row>
    <row r="428">
      <c r="A428">
        <f>Skills!A21</f>
        <v/>
      </c>
      <c r="B428">
        <f>Skills!B21</f>
        <v/>
      </c>
      <c r="C428">
        <f>Inputs!$B$3&gt;=38</f>
        <v/>
      </c>
      <c r="D428">
        <f>IF(Skills!C21=1,60+Inputs!$B$25+Inputs!$B$29,IF(Skills!C21=2,90+Inputs!$B$26+Inputs!$B$29,IF(Skills!C21=3,120+Inputs!$B$27+Inputs!$B$29,MAX(0,(Inputs!$B$3-100)*3)+Inputs!$B$28+Inputs!$B$29)))</f>
        <v/>
      </c>
      <c r="E428">
        <f>INDEX(FactorTable!$B$2:$Y$301, MATCH(ROUND(MIN(300,MAX(1,D428)),0), FactorTable!$A$2:$A$301,0), Skills!M21+1)</f>
        <v/>
      </c>
      <c r="F428">
        <f>IF(Skills!N21=TRUE,(Skills!L21/10)*(E428/1000),Skills!L21/10)+Skills!O21</f>
        <v/>
      </c>
      <c r="G428">
        <f>Skills!G21*IF(Skills!H21&gt;0,Skills!I21/Skills!H21,1)</f>
        <v/>
      </c>
      <c r="H428">
        <f>1-(1-Skills!J21/100)^Skills!K21</f>
        <v/>
      </c>
      <c r="I428" t="inlineStr">
        <is>
          <t>1</t>
        </is>
      </c>
      <c r="J428" t="inlineStr"/>
      <c r="K428" t="inlineStr"/>
      <c r="L428" t="inlineStr"/>
      <c r="M428" t="inlineStr"/>
      <c r="N428" t="inlineStr"/>
      <c r="O428">
        <f>(1-Summary!$B$11)*T428+Summary!$B$11*V428</f>
        <v/>
      </c>
      <c r="P428">
        <f>IF(B446=0,0,O428/B446)</f>
        <v/>
      </c>
      <c r="Q428" t="n">
        <v>0</v>
      </c>
      <c r="R428" t="n">
        <v>0</v>
      </c>
      <c r="S428">
        <f>IFERROR(O428/N428,0)</f>
        <v/>
      </c>
      <c r="T428" t="n">
        <v>0</v>
      </c>
      <c r="V428" t="n">
        <v>0</v>
      </c>
    </row>
    <row r="429">
      <c r="A429">
        <f>Skills!A22</f>
        <v/>
      </c>
      <c r="B429">
        <f>Skills!B22</f>
        <v/>
      </c>
      <c r="C429">
        <f>Inputs!$B$3&gt;=43</f>
        <v/>
      </c>
      <c r="D429">
        <f>IF(Skills!C22=1,60+Inputs!$B$25+Inputs!$B$29,IF(Skills!C22=2,90+Inputs!$B$26+Inputs!$B$29,IF(Skills!C22=3,120+Inputs!$B$27+Inputs!$B$29,MAX(0,(Inputs!$B$3-100)*3)+Inputs!$B$28+Inputs!$B$29)))</f>
        <v/>
      </c>
      <c r="E429">
        <f>INDEX(FactorTable!$B$2:$Y$301, MATCH(ROUND(MIN(300,MAX(1,D429)),0), FactorTable!$A$2:$A$301,0), Skills!M22+1)</f>
        <v/>
      </c>
      <c r="F429">
        <f>IF(Skills!N22=TRUE,(Skills!L22/10)*(E429/1000),Skills!L22/10)+Skills!O22</f>
        <v/>
      </c>
      <c r="G429">
        <f>Skills!G22*IF(Skills!H22&gt;0,Skills!I22/Skills!H22,1)</f>
        <v/>
      </c>
      <c r="H429">
        <f>1-(1-Skills!J22/100)^Skills!K22</f>
        <v/>
      </c>
      <c r="I429" t="inlineStr">
        <is>
          <t>1</t>
        </is>
      </c>
      <c r="J429" t="inlineStr"/>
      <c r="K429" t="inlineStr"/>
      <c r="L429" t="inlineStr"/>
      <c r="M429" t="inlineStr"/>
      <c r="N429" t="inlineStr"/>
      <c r="O429">
        <f>(1-Summary!$B$11)*T429+Summary!$B$11*V429</f>
        <v/>
      </c>
      <c r="P429">
        <f>IF(B446=0,0,O429/B446)</f>
        <v/>
      </c>
      <c r="Q429" t="n">
        <v>0</v>
      </c>
      <c r="R429" t="n">
        <v>0</v>
      </c>
      <c r="S429">
        <f>IFERROR(O429/N429,0)</f>
        <v/>
      </c>
      <c r="T429" t="n">
        <v>0</v>
      </c>
      <c r="V429" t="n">
        <v>0</v>
      </c>
    </row>
    <row r="430">
      <c r="A430">
        <f>Skills!A23</f>
        <v/>
      </c>
      <c r="B430">
        <f>Skills!B23</f>
        <v/>
      </c>
      <c r="C430">
        <f>Inputs!$B$3&gt;=120</f>
        <v/>
      </c>
      <c r="D430">
        <f>IF(Skills!C23=1,60+Inputs!$B$25+Inputs!$B$29,IF(Skills!C23=2,90+Inputs!$B$26+Inputs!$B$29,IF(Skills!C23=3,120+Inputs!$B$27+Inputs!$B$29,MAX(0,(Inputs!$B$3-100)*3)+Inputs!$B$28+Inputs!$B$29)))</f>
        <v/>
      </c>
      <c r="E430">
        <f>INDEX(FactorTable!$B$2:$Y$301, MATCH(ROUND(MIN(300,MAX(1,D430)),0), FactorTable!$A$2:$A$301,0), Skills!M23+1)</f>
        <v/>
      </c>
      <c r="F430">
        <f>IF(Skills!N23=TRUE,(Skills!L23/10)*(E430/1000),Skills!L23/10)+Skills!O23</f>
        <v/>
      </c>
      <c r="G430">
        <f>Skills!G23*IF(Skills!H23&gt;0,Skills!I23/Skills!H23,1)</f>
        <v/>
      </c>
      <c r="H430">
        <f>1-(1-Skills!J23/100)^Skills!K23</f>
        <v/>
      </c>
      <c r="I430" t="inlineStr">
        <is>
          <t>1</t>
        </is>
      </c>
      <c r="J430" t="inlineStr"/>
      <c r="K430" t="inlineStr"/>
      <c r="L430" t="inlineStr"/>
      <c r="M430" t="inlineStr"/>
      <c r="N430" t="inlineStr"/>
      <c r="O430">
        <f>(1-Summary!$B$11)*T430+Summary!$B$11*V430</f>
        <v/>
      </c>
      <c r="P430">
        <f>IF(B446=0,0,O430/B446)</f>
        <v/>
      </c>
      <c r="Q430" t="n">
        <v>0</v>
      </c>
      <c r="R430" t="n">
        <v>0</v>
      </c>
      <c r="S430">
        <f>IFERROR(O430/N430,0)</f>
        <v/>
      </c>
      <c r="T430" t="n">
        <v>0</v>
      </c>
      <c r="V430" t="n">
        <v>0</v>
      </c>
    </row>
    <row r="431">
      <c r="A431">
        <f>Skills!A24</f>
        <v/>
      </c>
      <c r="B431">
        <f>Skills!B24</f>
        <v/>
      </c>
      <c r="C431">
        <f>Inputs!$B$3&gt;=120</f>
        <v/>
      </c>
      <c r="D431">
        <f>IF(Skills!C24=1,60+Inputs!$B$25+Inputs!$B$29,IF(Skills!C24=2,90+Inputs!$B$26+Inputs!$B$29,IF(Skills!C24=3,120+Inputs!$B$27+Inputs!$B$29,MAX(0,(Inputs!$B$3-100)*3)+Inputs!$B$28+Inputs!$B$29)))</f>
        <v/>
      </c>
      <c r="E431">
        <f>INDEX(FactorTable!$B$2:$Y$301, MATCH(ROUND(MIN(300,MAX(1,D431)),0), FactorTable!$A$2:$A$301,0), Skills!M24+1)</f>
        <v/>
      </c>
      <c r="F431">
        <f>IF(Skills!N24=TRUE,(Skills!L24/10)*(E431/1000),Skills!L24/10)+Skills!O24</f>
        <v/>
      </c>
      <c r="G431">
        <f>Skills!G24*IF(Skills!H24&gt;0,Skills!I24/Skills!H24,1)</f>
        <v/>
      </c>
      <c r="H431">
        <f>1-(1-Skills!J24/100)^Skills!K24</f>
        <v/>
      </c>
      <c r="I431" t="inlineStr">
        <is>
          <t>1</t>
        </is>
      </c>
      <c r="J431" t="inlineStr"/>
      <c r="K431" t="inlineStr"/>
      <c r="L431" t="inlineStr"/>
      <c r="M431" t="inlineStr"/>
      <c r="N431" t="inlineStr"/>
      <c r="O431">
        <f>(1-Summary!$B$11)*T431+Summary!$B$11*V431</f>
        <v/>
      </c>
      <c r="P431">
        <f>IF(B446=0,0,O431/B446)</f>
        <v/>
      </c>
      <c r="Q431" t="n">
        <v>0</v>
      </c>
      <c r="R431" t="n">
        <v>0</v>
      </c>
      <c r="S431">
        <f>IFERROR(O431/N431,0)</f>
        <v/>
      </c>
      <c r="T431" t="n">
        <v>0</v>
      </c>
      <c r="V431" t="n">
        <v>0</v>
      </c>
    </row>
    <row r="432">
      <c r="A432">
        <f>Skills!A25</f>
        <v/>
      </c>
      <c r="B432">
        <f>Skills!B25</f>
        <v/>
      </c>
      <c r="C432">
        <f>Inputs!$B$3&gt;=125</f>
        <v/>
      </c>
      <c r="D432">
        <f>IF(Skills!C25=1,60+Inputs!$B$25+Inputs!$B$29,IF(Skills!C25=2,90+Inputs!$B$26+Inputs!$B$29,IF(Skills!C25=3,120+Inputs!$B$27+Inputs!$B$29,MAX(0,(Inputs!$B$3-100)*3)+Inputs!$B$28+Inputs!$B$29)))</f>
        <v/>
      </c>
      <c r="E432">
        <f>INDEX(FactorTable!$B$2:$Y$301, MATCH(ROUND(MIN(300,MAX(1,D432)),0), FactorTable!$A$2:$A$301,0), Skills!M25+1)</f>
        <v/>
      </c>
      <c r="F432">
        <f>IF(Skills!N25=TRUE,(Skills!L25/10)*(E432/1000),Skills!L25/10)+Skills!O25</f>
        <v/>
      </c>
      <c r="G432">
        <f>Skills!G25*IF(Skills!H25&gt;0,Skills!I25/Skills!H25,1)</f>
        <v/>
      </c>
      <c r="H432">
        <f>1-(1-Skills!J25/100)^Skills!K25</f>
        <v/>
      </c>
      <c r="I432" t="inlineStr">
        <is>
          <t>1</t>
        </is>
      </c>
      <c r="J432" t="inlineStr"/>
      <c r="K432" t="inlineStr"/>
      <c r="L432" t="inlineStr"/>
      <c r="M432" t="inlineStr"/>
      <c r="N432" t="inlineStr"/>
      <c r="O432">
        <f>(1-Summary!$B$11)*T432+Summary!$B$11*V432</f>
        <v/>
      </c>
      <c r="P432">
        <f>IF(B446=0,0,O432/B446)</f>
        <v/>
      </c>
      <c r="Q432" t="n">
        <v>0</v>
      </c>
      <c r="R432" t="n">
        <v>0</v>
      </c>
      <c r="S432">
        <f>IFERROR(O432/N432,0)</f>
        <v/>
      </c>
      <c r="T432" t="n">
        <v>0</v>
      </c>
      <c r="V432" t="n">
        <v>0</v>
      </c>
    </row>
    <row r="433">
      <c r="A433">
        <f>Skills!A26</f>
        <v/>
      </c>
      <c r="B433">
        <f>Skills!B26</f>
        <v/>
      </c>
      <c r="C433">
        <f>Inputs!$B$3&gt;=72</f>
        <v/>
      </c>
      <c r="D433">
        <f>IF(Skills!C26=1,60+Inputs!$B$25+Inputs!$B$29,IF(Skills!C26=2,90+Inputs!$B$26+Inputs!$B$29,IF(Skills!C26=3,120+Inputs!$B$27+Inputs!$B$29,MAX(0,(Inputs!$B$3-100)*3)+Inputs!$B$28+Inputs!$B$29)))</f>
        <v/>
      </c>
      <c r="E433">
        <f>INDEX(FactorTable!$B$2:$Y$301, MATCH(ROUND(MIN(300,MAX(1,D433)),0), FactorTable!$A$2:$A$301,0), Skills!M26+1)</f>
        <v/>
      </c>
      <c r="F433">
        <f>IF(Skills!N26=TRUE,(Skills!L26/10)*(E433/1000),Skills!L26/10)+Skills!O26</f>
        <v/>
      </c>
      <c r="G433">
        <f>Skills!G26*IF(Skills!H26&gt;0,Skills!I26/Skills!H26,1)</f>
        <v/>
      </c>
      <c r="H433">
        <f>1-(1-Skills!J26/100)^Skills!K26</f>
        <v/>
      </c>
      <c r="I433" t="inlineStr">
        <is>
          <t>1</t>
        </is>
      </c>
      <c r="J433" t="inlineStr"/>
      <c r="K433" t="inlineStr"/>
      <c r="L433" t="inlineStr"/>
      <c r="M433" t="inlineStr"/>
      <c r="N433" t="inlineStr"/>
      <c r="O433">
        <f>(1-Summary!$B$11)*T433+Summary!$B$11*V433</f>
        <v/>
      </c>
      <c r="P433">
        <f>IF(B446=0,0,O433/B446)</f>
        <v/>
      </c>
      <c r="Q433" t="n">
        <v>0</v>
      </c>
      <c r="R433" t="n">
        <v>0</v>
      </c>
      <c r="S433">
        <f>IFERROR(O433/N433,0)</f>
        <v/>
      </c>
      <c r="T433" t="n">
        <v>0</v>
      </c>
      <c r="V433" t="n">
        <v>0</v>
      </c>
    </row>
    <row r="435">
      <c r="A435" t="inlineStr">
        <is>
          <t>Attack% Bucket Multiplier</t>
        </is>
      </c>
      <c r="B435">
        <f>(1+(((C420=TRUE)*F420*IF(Inputs!$B$3&gt;=110,7,5))+((C422=TRUE)*F422*IF(AND(Inputs!$B$38&lt;&gt;"pvp",Inputs!$B$43&gt;0),(((R422-1)*(Skills!T15*(1+(Inputs!$B$34+(ArtifactsInput!$M$7-ArtifactsInput!$M$7)*CHOOSE(ArtifactsInput!$N$7+1,6,7.2,8.4,9.6,10.8,12))/100))+MIN((Skills!T15*(1+(Inputs!$B$34+(ArtifactsInput!$M$7-ArtifactsInput!$M$7)*CHOOSE(ArtifactsInput!$N$7+1,6,7.2,8.4,9.6,10.8,12))/100)),MAX(0,Inputs!$B$43-((R422-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36">
      <c r="A436" t="inlineStr">
        <is>
          <t>Global Crit Rate Bonus %</t>
        </is>
      </c>
      <c r="B436" t="n">
        <v>0</v>
      </c>
    </row>
    <row r="437">
      <c r="A437" t="inlineStr">
        <is>
          <t>Attack Speed Buff Bonus %</t>
        </is>
      </c>
      <c r="B437">
        <f>((C426=TRUE)*F426*IF(AND(Inputs!$B$38&lt;&gt;"pvp",Inputs!$B$43&gt;0),(((R426-1)*(Skills!T19*(1+(Inputs!$B$34+(ArtifactsInput!$M$7-ArtifactsInput!$M$7)*CHOOSE(ArtifactsInput!$N$7+1,6,7.2,8.4,9.6,10.8,12))/100))+MIN((Skills!T19*(1+(Inputs!$B$34+(ArtifactsInput!$M$7-ArtifactsInput!$M$7)*CHOOSE(ArtifactsInput!$N$7+1,6,7.2,8.4,9.6,10.8,12))/100)),MAX(0,Inputs!$B$43-((R426-1)*Skills!D19))))/Inputs!$B$43),IF(Inputs!$B$38="pvp",MIN((Skills!T19*(1+(Inputs!$B$34+(ArtifactsInput!$M$7-ArtifactsInput!$M$7)*CHOOSE(ArtifactsInput!$N$7+1,6,7.2,8.4,9.6,10.8,12))/100)),15)/15,(Skills!T19*(1+(Inputs!$B$34+(ArtifactsInput!$M$7-ArtifactsInput!$M$7)*CHOOSE(ArtifactsInput!$N$7+1,6,7.2,8.4,9.6,10.8,12))/100))/Skills!D19)))</f>
        <v/>
      </c>
    </row>
    <row r="438">
      <c r="A438" t="inlineStr">
        <is>
          <t>Actions Per Second</t>
        </is>
      </c>
      <c r="B438">
        <f>1+MIN(150,150*(1-(1-(Inputs!$B$11+((C427=TRUE)*(F427-Calc!F20)))/150)*(1-B437/150)))/100</f>
        <v/>
      </c>
    </row>
    <row r="439">
      <c r="A439" t="inlineStr">
        <is>
          <t>Skill + Buff Cast Rate</t>
        </is>
      </c>
      <c r="B439">
        <f>IF(AND(Inputs!$B$38&lt;&gt;"pvp",Inputs!$B$43&gt;0),SUMPRODUCT((Skills!E2:E26=TRUE)*(C409:C433=TRUE)*R409:R433*Skills!F2:F26)/Inputs!$B$43,SUMPRODUCT((Skills!E2:E26=TRUE)*(C409:C433=TRUE)*Q409:Q433*Skills!F2:F26))</f>
        <v/>
      </c>
    </row>
    <row r="440">
      <c r="A440" t="inlineStr">
        <is>
          <t>Raging Blow Casts Per Second</t>
        </is>
      </c>
      <c r="B440">
        <f>MAX(0,B438-B439)</f>
        <v/>
      </c>
    </row>
    <row r="441">
      <c r="A441" t="inlineStr">
        <is>
          <t>Global Critical Damage Bonus % (Enrage)</t>
        </is>
      </c>
      <c r="B441">
        <f>((C425=TRUE)*F425*IF(AND(Inputs!$B$38&lt;&gt;"pvp",Inputs!$B$43&gt;0),(((R425-1)*(Skills!T18*(1+(Inputs!$B$34+(ArtifactsInput!$M$7-ArtifactsInput!$M$7)*CHOOSE(ArtifactsInput!$N$7+1,6,7.2,8.4,9.6,10.8,12))/100))+MIN((Skills!T18*(1+(Inputs!$B$34+(ArtifactsInput!$M$7-ArtifactsInput!$M$7)*CHOOSE(ArtifactsInput!$N$7+1,6,7.2,8.4,9.6,10.8,12))/100)),MAX(0,Inputs!$B$43-((R425-1)*Skills!D18))))/Inputs!$B$43),IF(Inputs!$B$38="pvp",MIN((Skills!T18*(1+(Inputs!$B$34+(ArtifactsInput!$M$7-ArtifactsInput!$M$7)*CHOOSE(ArtifactsInput!$N$7+1,6,7.2,8.4,9.6,10.8,12))/100)),15)/15,(Skills!T18*(1+(Inputs!$B$34+(ArtifactsInput!$M$7-ArtifactsInput!$M$7)*CHOOSE(ArtifactsInput!$N$7+1,6,7.2,8.4,9.6,10.8,12))/100))/Skills!D18)))</f>
        <v/>
      </c>
    </row>
    <row r="442">
      <c r="A442" t="inlineStr">
        <is>
          <t>Global Final Damage Bonus % (Enrage + Combo Synergy)</t>
        </is>
      </c>
      <c r="B442">
        <f>((C424=TRUE)*F424*IF(AND(Inputs!$B$38&lt;&gt;"pvp",Inputs!$B$43&gt;0),(((R424-1)*(Skills!T17*(1+(Inputs!$B$34+(ArtifactsInput!$M$7-ArtifactsInput!$M$7)*CHOOSE(ArtifactsInput!$N$7+1,6,7.2,8.4,9.6,10.8,12))/100))+MIN((Skills!T17*(1+(Inputs!$B$34+(ArtifactsInput!$M$7-ArtifactsInput!$M$7)*CHOOSE(ArtifactsInput!$N$7+1,6,7.2,8.4,9.6,10.8,12))/100)),MAX(0,Inputs!$B$43-((R424-1)*Skills!D17))))/Inputs!$B$43),IF(Inputs!$B$38="pvp",MIN((Skills!T17*(1+(Inputs!$B$34+(ArtifactsInput!$M$7-ArtifactsInput!$M$7)*CHOOSE(ArtifactsInput!$N$7+1,6,7.2,8.4,9.6,10.8,12))/100)),15)/15,(Skills!T17*(1+(Inputs!$B$34+(ArtifactsInput!$M$7-ArtifactsInput!$M$7)*CHOOSE(ArtifactsInput!$N$7+1,6,7.2,8.4,9.6,10.8,12))/100))/Skills!D17)))+((C421=TRUE)*F421*IF(Inputs!$B$3&gt;=110,7,5))</f>
        <v/>
      </c>
    </row>
    <row r="443">
      <c r="A443" t="inlineStr">
        <is>
          <t>Buff-Casting Startup Delay (s, fixed-duration only)</t>
        </is>
      </c>
      <c r="B443">
        <f>IF(AND(Inputs!$B$38&lt;&gt;"pvp",Inputs!$B$43&gt;0),SUMPRODUCT((Skills!T2:T26&gt;0)*(Skills!E2:E26=TRUE)*(C409:C433=TRUE))/B438,0)</f>
        <v/>
      </c>
    </row>
    <row r="444">
      <c r="A444" t="inlineStr">
        <is>
          <t>Boss-Only Total DPS (this block's swept value)</t>
        </is>
      </c>
      <c r="B444">
        <f>SUM(T409:T433)</f>
        <v/>
      </c>
    </row>
    <row r="445">
      <c r="A445" t="inlineStr">
        <is>
          <t>Normal-Only Total DPS (this block's swept value)</t>
        </is>
      </c>
      <c r="B445">
        <f>SUM(V409:V433)</f>
        <v/>
      </c>
    </row>
    <row r="446">
      <c r="A446" s="6" t="inlineStr">
        <is>
          <t>TOTAL DPS</t>
        </is>
      </c>
      <c r="B446" s="6">
        <f>SUM(O409:O433)</f>
        <v/>
      </c>
    </row>
    <row r="449">
      <c r="A449" s="6" t="inlineStr">
        <is>
          <t>Stat: MAX_DAMAGE %</t>
        </is>
      </c>
    </row>
    <row r="450">
      <c r="A450" s="5" t="inlineStr">
        <is>
          <t>Key</t>
        </is>
      </c>
      <c r="B450" s="5" t="inlineStr">
        <is>
          <t>Name</t>
        </is>
      </c>
      <c r="C450" s="5" t="inlineStr">
        <is>
          <t>Unlocked</t>
        </is>
      </c>
      <c r="D450" s="5" t="inlineStr">
        <is>
          <t>InputLevel</t>
        </is>
      </c>
      <c r="E450" s="5" t="inlineStr">
        <is>
          <t>Factor</t>
        </is>
      </c>
      <c r="F450" s="5" t="inlineStr">
        <is>
          <t>CoefficientPercent</t>
        </is>
      </c>
      <c r="G450" s="5" t="inlineStr">
        <is>
          <t>EffectiveHits</t>
        </is>
      </c>
      <c r="H450" s="5" t="inlineStr">
        <is>
          <t>ProcProbability</t>
        </is>
      </c>
      <c r="I450" s="5" t="inlineStr">
        <is>
          <t>MapleHeroMultiplier</t>
        </is>
      </c>
      <c r="J450" s="5" t="inlineStr">
        <is>
          <t>BaseDamage</t>
        </is>
      </c>
      <c r="K450" s="5" t="inlineStr">
        <is>
          <t>BaseHitDamage</t>
        </is>
      </c>
      <c r="L450" s="5" t="inlineStr">
        <is>
          <t>NonCritAvg</t>
        </is>
      </c>
      <c r="M450" s="5" t="inlineStr">
        <is>
          <t>CritAvg</t>
        </is>
      </c>
      <c r="N450" s="5" t="inlineStr">
        <is>
          <t>ExpectedDamage(perHit)</t>
        </is>
      </c>
      <c r="O450" s="5" t="inlineStr">
        <is>
          <t>DPS</t>
        </is>
      </c>
      <c r="P450" s="5" t="inlineStr">
        <is>
          <t>% of Total</t>
        </is>
      </c>
      <c r="Q450" s="5" t="inlineStr">
        <is>
          <t>InvCooldown</t>
        </is>
      </c>
      <c r="R450" s="5" t="inlineStr">
        <is>
          <t>CastsInFight</t>
        </is>
      </c>
      <c r="S450" s="5" t="inlineStr">
        <is>
          <t>HitRate(perSec)</t>
        </is>
      </c>
      <c r="U450" t="inlineStr">
        <is>
          <t>helpers</t>
        </is>
      </c>
    </row>
    <row r="451">
      <c r="A451">
        <f>Skills!A2</f>
        <v/>
      </c>
      <c r="B451">
        <f>Skills!B2</f>
        <v/>
      </c>
      <c r="C451">
        <f>Inputs!$B$3&gt;=100</f>
        <v/>
      </c>
      <c r="D451" t="inlineStr"/>
      <c r="E451" t="inlineStr"/>
      <c r="F451">
        <f>U453+Skills!O2</f>
        <v/>
      </c>
      <c r="G451">
        <f>Skills!G2*IF(Skills!H2&gt;0,Skills!I2/Skills!H2,1)</f>
        <v/>
      </c>
      <c r="H451">
        <f>1-(1-Skills!J2/100)^Skills!K2</f>
        <v/>
      </c>
      <c r="I451" t="inlineStr">
        <is>
          <t>1</t>
        </is>
      </c>
      <c r="J451">
        <f>((Inputs!$B$6*(1+Inputs!$B$7/100))+(((Inputs!$B$12*(1+Inputs!$B$13/100))-(Inputs!$B$12*(1+Inputs!$B$13/100)))+0.25*(Inputs!$B$14-Inputs!$B$14))*(1+Inputs!$B$7/100))*(F451/100)</f>
        <v/>
      </c>
      <c r="K451">
        <f>J451*(1+((Inputs!$B$12*(1+Inputs!$B$13/100))*0.01+Inputs!$B$14*0.0025)/100)*(1+Inputs!$B$15/100)*(1+Inputs!$B$16/100)*(5000/(6000+Inputs!$B$42*(1-(100*(1-(1-(Inputs!$B$19+0)/100)*(1-CHOOSE(ArtifactsInput!$N$40+1,5,6,7,8,9,10)/100)^(ArtifactsInput!$M$40-ArtifactsInput!$M$40)))/100)))*(1+(Inputs!$B$24+((C474=TRUE)*(F474-Calc!F25))+B484)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470=TRUE)*(F470-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472=TRUE)*(F472-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462=TRUE)*F462*IF(Inputs!$B$3&gt;=110,7,5))+((C464=TRUE)*F464*IF(AND(Inputs!$B$38&lt;&gt;"pvp",Inputs!$B$43&gt;0),(((R464-1)*(Skills!T15*(1+(Inputs!$B$34+(ArtifactsInput!$M$7-ArtifactsInput!$M$7)*CHOOSE(ArtifactsInput!$N$7+1,6,7.2,8.4,9.6,10.8,12))/100))+MIN((Skills!T15*(1+(Inputs!$B$34+(ArtifactsInput!$M$7-ArtifactsInput!$M$7)*CHOOSE(ArtifactsInput!$N$7+1,6,7.2,8.4,9.6,10.8,12))/100)),MAX(0,Inputs!$B$43-((R464-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Hunt"),CHOOSE(ArtifactsInput!$N$35+1,15,18,21,24,27,30)*(1-EXP(-(0.2*B480)*5)),0)+IF(AND(ArtifactsInput!$M$22,Inputs!$B$4&lt;&gt;"Chapter Hunt"),CHOOSE(ArtifactsInput!$N$22+1,10,12,14,16,18,20)*((0*(((0.15*B480*5))^0/1)+1*(((0.15*B480*5))^1/1)+2*(((0.15*B480*5))^2/2)+3*(((0.15*B480*5))^3/6)+4*(((0.15*B480*5))^4/24)+5*(((0.15*B480*5))^5/120))/((((0.15*B480*5))^0/1)+(((0.15*B480*5))^1/1)+(((0.15*B480*5))^2/2)+(((0.15*B480*5))^3/6)+(((0.15*B480*5))^4/24)+(((0.15*B480*5))^5/120))),0)))/100)*I451)</f>
        <v/>
      </c>
      <c r="L451">
        <f>K451*(MIN(Inputs!$B$22+((C471=TRUE)*(F471-Calc!F22)),((Inputs!$B$23+1)+((C473=TRUE)*(F473-Calc!F24))+(IF(ArtifactsInput!$M$15,CHOOSE(ArtifactsInput!$N$15+1,25,30,35,40,45,50)/100*(Inputs!$B$11-Inputs!$B$11),0))))/100+((Inputs!$B$23+1)+((C473=TRUE)*(F473-Calc!F24))+(IF(ArtifactsInput!$M$15,CHOOSE(ArtifactsInput!$N$15+1,25,30,35,40,45,50)/100*(Inputs!$B$11-Inputs!$B$11),0)))/100)/2</f>
        <v/>
      </c>
      <c r="M451">
        <f>L451*(1+(Inputs!$B$10+0+B483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1">
        <f>L451*(1-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451*(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1">
        <f>(1-Summary!$B$11)*T451+Summary!$B$11*V451</f>
        <v/>
      </c>
      <c r="P451">
        <f>IF(B488=0,0,O451/B488)</f>
        <v/>
      </c>
      <c r="Q451" t="n">
        <v>0</v>
      </c>
      <c r="R451" t="n">
        <v>0</v>
      </c>
      <c r="S451">
        <f>IFERROR(O451/N451,0)</f>
        <v/>
      </c>
      <c r="T451">
        <f>IF(C451,(Skills!G2*N451*B482)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451*(1-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451*(1-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51">
        <f>MAX(0,(Inputs!$B$3-100)*3)+Inputs!$B$28+Inputs!$B$29</f>
        <v/>
      </c>
      <c r="V451">
        <f>IF(C451,(Skills!G2*N451*B482)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2">
      <c r="A452">
        <f>Skills!A3</f>
        <v/>
      </c>
      <c r="B452">
        <f>Skills!B3</f>
        <v/>
      </c>
      <c r="C452">
        <f>Inputs!$B$3&gt;=50</f>
        <v/>
      </c>
      <c r="D452">
        <f>IF(Skills!C3=1,60+Inputs!$B$25+Inputs!$B$29,IF(Skills!C3=2,90+Inputs!$B$26+Inputs!$B$29,IF(Skills!C3=3,120+Inputs!$B$27+Inputs!$B$29,MAX(0,(Inputs!$B$3-100)*3)+Inputs!$B$28+Inputs!$B$29)))</f>
        <v/>
      </c>
      <c r="E452">
        <f>INDEX(FactorTable!$B$2:$Y$301, MATCH(ROUND(MIN(300,MAX(1,D452)),0), FactorTable!$A$2:$A$301,0), Skills!M3+1)</f>
        <v/>
      </c>
      <c r="F452">
        <f>IF(Skills!N3=TRUE,(Skills!L3/10)*(E452/1000),Skills!L3/10)+Skills!O3</f>
        <v/>
      </c>
      <c r="G452" t="inlineStr"/>
      <c r="H452" t="inlineStr"/>
      <c r="I452" t="inlineStr">
        <is>
          <t>1</t>
        </is>
      </c>
      <c r="J452" t="inlineStr"/>
      <c r="K452" t="inlineStr"/>
      <c r="L452" t="inlineStr"/>
      <c r="M452" t="inlineStr"/>
      <c r="N452" t="inlineStr"/>
      <c r="O452" t="inlineStr"/>
      <c r="P452" t="inlineStr"/>
      <c r="Q452" t="inlineStr"/>
      <c r="R452" t="inlineStr"/>
      <c r="S452" t="inlineStr"/>
      <c r="U452">
        <f>INDEX(FactorTable!$B$2:$Y$301, MATCH(ROUND(MIN(300,MAX(1,U451)),0), FactorTable!$A$2:$A$301,0), 22)</f>
        <v/>
      </c>
    </row>
    <row r="453">
      <c r="A453">
        <f>Skills!A4</f>
        <v/>
      </c>
      <c r="B453">
        <f>Skills!B4</f>
        <v/>
      </c>
      <c r="C453">
        <f>Inputs!$B$3&gt;=105</f>
        <v/>
      </c>
      <c r="D453">
        <f>IF(Skills!C4=1,60+Inputs!$B$25+Inputs!$B$29,IF(Skills!C4=2,90+Inputs!$B$26+Inputs!$B$29,IF(Skills!C4=3,120+Inputs!$B$27+Inputs!$B$29,MAX(0,(Inputs!$B$3-100)*3)+Inputs!$B$28+Inputs!$B$29)))</f>
        <v/>
      </c>
      <c r="E453">
        <f>INDEX(FactorTable!$B$2:$Y$301, MATCH(ROUND(MIN(300,MAX(1,D453)),0), FactorTable!$A$2:$A$301,0), Skills!M4+1)</f>
        <v/>
      </c>
      <c r="F453">
        <f>IF(Skills!N4=TRUE,(Skills!L4/10)*(E453/1000),Skills!L4/10)+Skills!O4</f>
        <v/>
      </c>
      <c r="G453" t="inlineStr"/>
      <c r="H453" t="inlineStr"/>
      <c r="I453" t="inlineStr">
        <is>
          <t>1</t>
        </is>
      </c>
      <c r="J453" t="inlineStr"/>
      <c r="K453" t="inlineStr"/>
      <c r="L453" t="inlineStr"/>
      <c r="M453" t="inlineStr"/>
      <c r="N453" t="inlineStr"/>
      <c r="O453" t="inlineStr"/>
      <c r="P453" t="inlineStr"/>
      <c r="Q453" t="inlineStr"/>
      <c r="R453" t="inlineStr"/>
      <c r="S453" t="inlineStr"/>
      <c r="U453">
        <f>290*U452/1000</f>
        <v/>
      </c>
    </row>
    <row r="454">
      <c r="A454">
        <f>Skills!A5</f>
        <v/>
      </c>
      <c r="B454">
        <f>Skills!B5</f>
        <v/>
      </c>
      <c r="C454">
        <f>Inputs!$B$3&gt;=103</f>
        <v/>
      </c>
      <c r="D454">
        <f>IF(Skills!C5=1,60+Inputs!$B$25+Inputs!$B$29,IF(Skills!C5=2,90+Inputs!$B$26+Inputs!$B$29,IF(Skills!C5=3,120+Inputs!$B$27+Inputs!$B$29,MAX(0,(Inputs!$B$3-100)*3)+Inputs!$B$28+Inputs!$B$29)))</f>
        <v/>
      </c>
      <c r="E454">
        <f>INDEX(FactorTable!$B$2:$Y$301, MATCH(ROUND(MIN(300,MAX(1,D454)),0), FactorTable!$A$2:$A$301,0), Skills!M5+1)</f>
        <v/>
      </c>
      <c r="F454">
        <f>IF(Skills!N5=TRUE,(Skills!L5/10)*(E454/1000),Skills!L5/10)+Skills!O5</f>
        <v/>
      </c>
      <c r="G454">
        <f>Skills!G5*IF(Skills!H5&gt;0,Skills!I5/Skills!H5,1)</f>
        <v/>
      </c>
      <c r="H454">
        <f>1-(1-Skills!J5/100)^Skills!K5</f>
        <v/>
      </c>
      <c r="I454" t="inlineStr">
        <is>
          <t>1</t>
        </is>
      </c>
      <c r="J454">
        <f>((Inputs!$B$6*(1+Inputs!$B$7/100))+(((Inputs!$B$12*(1+Inputs!$B$13/100))-(Inputs!$B$12*(1+Inputs!$B$13/100)))+0.25*(Inputs!$B$14-Inputs!$B$14))*(1+Inputs!$B$7/100))*(F454/100)</f>
        <v/>
      </c>
      <c r="K454">
        <f>J454*(1+((Inputs!$B$12*(1+Inputs!$B$13/100))*0.01+Inputs!$B$14*0.0025)/100)*(1+Inputs!$B$15/100)*(1+Inputs!$B$16/100)*(5000/(6000+Inputs!$B$42*(1-(100*(1-(1-(Inputs!$B$19+0)/100)*(1-CHOOSE(ArtifactsInput!$N$40+1,5,6,7,8,9,10)/100)^(ArtifactsInput!$M$40-ArtifactsInput!$M$40)))/100)))*(1+(Inputs!$B$24+((C474=TRUE)*(F474-Calc!F25))+B484)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470=TRUE)*(F470-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472=TRUE)*(F472-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462=TRUE)*F462*IF(Inputs!$B$3&gt;=110,7,5))+((C464=TRUE)*F464*IF(AND(Inputs!$B$38&lt;&gt;"pvp",Inputs!$B$43&gt;0),(((R464-1)*(Skills!T15*(1+(Inputs!$B$34+(ArtifactsInput!$M$7-ArtifactsInput!$M$7)*CHOOSE(ArtifactsInput!$N$7+1,6,7.2,8.4,9.6,10.8,12))/100))+MIN((Skills!T15*(1+(Inputs!$B$34+(ArtifactsInput!$M$7-ArtifactsInput!$M$7)*CHOOSE(ArtifactsInput!$N$7+1,6,7.2,8.4,9.6,10.8,12))/100)),MAX(0,Inputs!$B$43-((R464-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Hunt"),CHOOSE(ArtifactsInput!$N$35+1,15,18,21,24,27,30)*(1-EXP(-(0.2*B480)*5)),0)+IF(AND(ArtifactsInput!$M$22,Inputs!$B$4&lt;&gt;"Chapter Hunt"),CHOOSE(ArtifactsInput!$N$22+1,10,12,14,16,18,20)*((0*(((0.15*B480*5))^0/1)+1*(((0.15*B480*5))^1/1)+2*(((0.15*B480*5))^2/2)+3*(((0.15*B480*5))^3/6)+4*(((0.15*B480*5))^4/24)+5*(((0.15*B480*5))^5/120))/((((0.15*B480*5))^0/1)+(((0.15*B480*5))^1/1)+(((0.15*B480*5))^2/2)+(((0.15*B480*5))^3/6)+(((0.15*B480*5))^4/24)+(((0.15*B480*5))^5/120))),0)))/100)*I454)</f>
        <v/>
      </c>
      <c r="L454">
        <f>K454*(MIN(Inputs!$B$22+((C471=TRUE)*(F471-Calc!F22)),((Inputs!$B$23+1)+((C473=TRUE)*(F473-Calc!F24))+(IF(ArtifactsInput!$M$15,CHOOSE(ArtifactsInput!$N$15+1,25,30,35,40,45,50)/100*(Inputs!$B$11-Inputs!$B$11),0))))/100+((Inputs!$B$23+1)+((C473=TRUE)*(F473-Calc!F24))+(IF(ArtifactsInput!$M$15,CHOOSE(ArtifactsInput!$N$15+1,25,30,35,40,45,50)/100*(Inputs!$B$11-Inputs!$B$11),0)))/100)/2</f>
        <v/>
      </c>
      <c r="M454">
        <f>L454*(1+(Inputs!$B$10+0+B483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4">
        <f>L454*(1-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454*(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4">
        <f>(1-Summary!$B$11)*T454+Summary!$B$11*V454</f>
        <v/>
      </c>
      <c r="P454">
        <f>IF(B488=0,0,O454/B488)</f>
        <v/>
      </c>
      <c r="Q454">
        <f>IFERROR(1/(IF(Inputs!$B$38="pvp",15,MAX(0.1,Skills!D5-IF(Skills!E5=TRUE,Inputs!$B$32,0)))*(1-IF(AND(ArtifactsInput!$M$27,Inputs!$B$4="Chapter Hunt"),CHOOSE(ArtifactsInput!$N$27+1,20,24,28,32,36,40),0)/100)),0)</f>
        <v/>
      </c>
      <c r="R454">
        <f>IF(AND(Inputs!$B$38&lt;&gt;"pvp",Inputs!$B$43&gt;0),IF(MAX(0,Inputs!$B$43-B485)&lt;=0,0,(INT(MAX(0,Inputs!$B$43-B485)/(IF(Inputs!$B$38="pvp",15,MAX(0.1,Skills!D5-IF(Skills!E5=TRUE,Inputs!$B$32,0)))*(1-IF(AND(ArtifactsInput!$M$27,Inputs!$B$4="Chapter Hunt"),CHOOSE(ArtifactsInput!$N$27+1,20,24,28,32,36,40),0)/100)))+1)),0)</f>
        <v/>
      </c>
      <c r="S454">
        <f>IFERROR(O454/N454,0)</f>
        <v/>
      </c>
      <c r="T454">
        <f>IF(C454,(H454*N454*IF(AND(Inputs!$B$38&lt;&gt;"pvp",Inputs!$B$43&gt;0),((Skills!G5*((R454-1)*IF(Skills!H5&gt;0,Skills!I5/Skills!H5,1)+IF(Skills!H5&gt;0,MIN(Skills!I5,MAX(0,MAX(0,Inputs!$B$43-B485)-((R454-1)*(IF(Inputs!$B$38="pvp",15,MAX(0.1,Skills!D5-IF(Skills!E5=TRUE,Inputs!$B$32,0)))*(1-IF(AND(ArtifactsInput!$M$27,Inputs!$B$4="Chapter Hunt"),CHOOSE(ArtifactsInput!$N$27+1,20,24,28,32,36,40),0)/100)))))/Skills!H5,1)))/Inputs!$B$43),G454*Q454)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454*(1-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454*(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454*(1-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454*(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4">
        <f>IF(C454,(H454*N454*IF(AND(Inputs!$B$38&lt;&gt;"pvp",Inputs!$B$43&gt;0),((Skills!G5*((R454-1)*IF(Skills!H5&gt;0,Skills!I5/Skills!H5,1)+IF(Skills!H5&gt;0,MIN(Skills!I5,MAX(0,MAX(0,Inputs!$B$43-B485)-((R454-1)*(IF(Inputs!$B$38="pvp",15,MAX(0.1,Skills!D5-IF(Skills!E5=TRUE,Inputs!$B$32,0)))*(1-IF(AND(ArtifactsInput!$M$27,Inputs!$B$4="Chapter Hunt"),CHOOSE(ArtifactsInput!$N$27+1,20,24,28,32,36,40),0)/100)))))/Skills!H5,1)))/Inputs!$B$43),G454*Q454)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5">
      <c r="A455">
        <f>Skills!A6</f>
        <v/>
      </c>
      <c r="B455">
        <f>Skills!B6</f>
        <v/>
      </c>
      <c r="C455">
        <f>Inputs!$B$3&gt;=103</f>
        <v/>
      </c>
      <c r="D455">
        <f>IF(Skills!C6=1,60+Inputs!$B$25+Inputs!$B$29,IF(Skills!C6=2,90+Inputs!$B$26+Inputs!$B$29,IF(Skills!C6=3,120+Inputs!$B$27+Inputs!$B$29,MAX(0,(Inputs!$B$3-100)*3)+Inputs!$B$28+Inputs!$B$29)))</f>
        <v/>
      </c>
      <c r="E455">
        <f>INDEX(FactorTable!$B$2:$Y$301, MATCH(ROUND(MIN(300,MAX(1,D455)),0), FactorTable!$A$2:$A$301,0), Skills!M6+1)</f>
        <v/>
      </c>
      <c r="F455">
        <f>IF(Skills!N6=TRUE,(Skills!L6/10)*(E455/1000),Skills!L6/10)+Skills!O6</f>
        <v/>
      </c>
      <c r="G455">
        <f>Skills!G6*IF(Skills!H6&gt;0,Skills!I6/Skills!H6,1)</f>
        <v/>
      </c>
      <c r="H455">
        <f>1-(1-Skills!J6/100)^Skills!K6</f>
        <v/>
      </c>
      <c r="I455" t="inlineStr">
        <is>
          <t>1</t>
        </is>
      </c>
      <c r="J455">
        <f>((Inputs!$B$6*(1+Inputs!$B$7/100))+(((Inputs!$B$12*(1+Inputs!$B$13/100))-(Inputs!$B$12*(1+Inputs!$B$13/100)))+0.25*(Inputs!$B$14-Inputs!$B$14))*(1+Inputs!$B$7/100))*(F455/100)</f>
        <v/>
      </c>
      <c r="K455">
        <f>J455*(1+((Inputs!$B$12*(1+Inputs!$B$13/100))*0.01+Inputs!$B$14*0.0025)/100)*(1+Inputs!$B$15/100)*(1+Inputs!$B$16/100)*(5000/(6000+Inputs!$B$42*(1-(100*(1-(1-(Inputs!$B$19+0)/100)*(1-CHOOSE(ArtifactsInput!$N$40+1,5,6,7,8,9,10)/100)^(ArtifactsInput!$M$40-ArtifactsInput!$M$40)))/100)))*(1+(Inputs!$B$24+((C474=TRUE)*(F474-Calc!F25))+B484)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470=TRUE)*(F470-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472=TRUE)*(F472-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462=TRUE)*F462*IF(Inputs!$B$3&gt;=110,7,5))+((C464=TRUE)*F464*IF(AND(Inputs!$B$38&lt;&gt;"pvp",Inputs!$B$43&gt;0),(((R464-1)*(Skills!T15*(1+(Inputs!$B$34+(ArtifactsInput!$M$7-ArtifactsInput!$M$7)*CHOOSE(ArtifactsInput!$N$7+1,6,7.2,8.4,9.6,10.8,12))/100))+MIN((Skills!T15*(1+(Inputs!$B$34+(ArtifactsInput!$M$7-ArtifactsInput!$M$7)*CHOOSE(ArtifactsInput!$N$7+1,6,7.2,8.4,9.6,10.8,12))/100)),MAX(0,Inputs!$B$43-((R464-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Hunt"),CHOOSE(ArtifactsInput!$N$35+1,15,18,21,24,27,30)*(1-EXP(-(0.2*B480)*5)),0)+IF(AND(ArtifactsInput!$M$22,Inputs!$B$4&lt;&gt;"Chapter Hunt"),CHOOSE(ArtifactsInput!$N$22+1,10,12,14,16,18,20)*((0*(((0.15*B480*5))^0/1)+1*(((0.15*B480*5))^1/1)+2*(((0.15*B480*5))^2/2)+3*(((0.15*B480*5))^3/6)+4*(((0.15*B480*5))^4/24)+5*(((0.15*B480*5))^5/120))/((((0.15*B480*5))^0/1)+(((0.15*B480*5))^1/1)+(((0.15*B480*5))^2/2)+(((0.15*B480*5))^3/6)+(((0.15*B480*5))^4/24)+(((0.15*B480*5))^5/120))),0)))/100)*I455)</f>
        <v/>
      </c>
      <c r="L455">
        <f>K455*(MIN(Inputs!$B$22+((C471=TRUE)*(F471-Calc!F22)),((Inputs!$B$23+1)+((C473=TRUE)*(F473-Calc!F24))+(IF(ArtifactsInput!$M$15,CHOOSE(ArtifactsInput!$N$15+1,25,30,35,40,45,50)/100*(Inputs!$B$11-Inputs!$B$11),0))))/100+((Inputs!$B$23+1)+((C473=TRUE)*(F473-Calc!F24))+(IF(ArtifactsInput!$M$15,CHOOSE(ArtifactsInput!$N$15+1,25,30,35,40,45,50)/100*(Inputs!$B$11-Inputs!$B$11),0)))/100)/2</f>
        <v/>
      </c>
      <c r="M455">
        <f>L455*(1+(Inputs!$B$10+0+B483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5">
        <f>L455*(1-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455*(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5">
        <f>(1-Summary!$B$11)*T455+Summary!$B$11*V455</f>
        <v/>
      </c>
      <c r="P455">
        <f>IF(B488=0,0,O455/B488)</f>
        <v/>
      </c>
      <c r="Q455">
        <f>IFERROR(1/(IF(Inputs!$B$38="pvp",15,MAX(0.1,Skills!D6-IF(Skills!E6=TRUE,Inputs!$B$32,0)))*(1-IF(AND(ArtifactsInput!$M$27,Inputs!$B$4="Chapter Hunt"),CHOOSE(ArtifactsInput!$N$27+1,20,24,28,32,36,40),0)/100)),0)</f>
        <v/>
      </c>
      <c r="R455">
        <f>IF(AND(Inputs!$B$38&lt;&gt;"pvp",Inputs!$B$43&gt;0),IF(MAX(0,Inputs!$B$43-B485)&lt;=0,0,(INT(MAX(0,Inputs!$B$43-B485)/(IF(Inputs!$B$38="pvp",15,MAX(0.1,Skills!D6-IF(Skills!E6=TRUE,Inputs!$B$32,0)))*(1-IF(AND(ArtifactsInput!$M$27,Inputs!$B$4="Chapter Hunt"),CHOOSE(ArtifactsInput!$N$27+1,20,24,28,32,36,40),0)/100)))+1)),0)</f>
        <v/>
      </c>
      <c r="S455">
        <f>IFERROR(O455/N455,0)</f>
        <v/>
      </c>
      <c r="T455">
        <f>IF(C455,(H455*N455*IF(AND(Inputs!$B$38&lt;&gt;"pvp",Inputs!$B$43&gt;0),((Skills!G6*((R455-1)*IF(Skills!H6&gt;0,Skills!I6/Skills!H6,1)+IF(Skills!H6&gt;0,MIN(Skills!I6,MAX(0,MAX(0,Inputs!$B$43-B485)-((R455-1)*(IF(Inputs!$B$38="pvp",15,MAX(0.1,Skills!D6-IF(Skills!E6=TRUE,Inputs!$B$32,0)))*(1-IF(AND(ArtifactsInput!$M$27,Inputs!$B$4="Chapter Hunt"),CHOOSE(ArtifactsInput!$N$27+1,20,24,28,32,36,40),0)/100)))))/Skills!H6,1)))/Inputs!$B$43),G455*Q455)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455*(1-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455*(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455*(1-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455*(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5">
        <f>IF(C455,(H455*N455*IF(AND(Inputs!$B$38&lt;&gt;"pvp",Inputs!$B$43&gt;0),((Skills!G6*((R455-1)*IF(Skills!H6&gt;0,Skills!I6/Skills!H6,1)+IF(Skills!H6&gt;0,MIN(Skills!I6,MAX(0,MAX(0,Inputs!$B$43-B485)-((R455-1)*(IF(Inputs!$B$38="pvp",15,MAX(0.1,Skills!D6-IF(Skills!E6=TRUE,Inputs!$B$32,0)))*(1-IF(AND(ArtifactsInput!$M$27,Inputs!$B$4="Chapter Hunt"),CHOOSE(ArtifactsInput!$N$27+1,20,24,28,32,36,40),0)/100)))))/Skills!H6,1)))/Inputs!$B$43),G455*Q455)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6">
      <c r="A456">
        <f>Skills!A7</f>
        <v/>
      </c>
      <c r="B456">
        <f>Skills!B7</f>
        <v/>
      </c>
      <c r="C456">
        <f>Inputs!$B$3&gt;=107</f>
        <v/>
      </c>
      <c r="D456">
        <f>IF(Skills!C7=1,60+Inputs!$B$25+Inputs!$B$29,IF(Skills!C7=2,90+Inputs!$B$26+Inputs!$B$29,IF(Skills!C7=3,120+Inputs!$B$27+Inputs!$B$29,MAX(0,(Inputs!$B$3-100)*3)+Inputs!$B$28+Inputs!$B$29)))</f>
        <v/>
      </c>
      <c r="E456">
        <f>INDEX(FactorTable!$B$2:$Y$301, MATCH(ROUND(MIN(300,MAX(1,D456)),0), FactorTable!$A$2:$A$301,0), Skills!M7+1)</f>
        <v/>
      </c>
      <c r="F456">
        <f>IF(Skills!N7=TRUE,(Skills!L7/10)*(E456/1000),Skills!L7/10)+Skills!O7</f>
        <v/>
      </c>
      <c r="G456">
        <f>Skills!G7*IF(Skills!H7&gt;0,Skills!I7/Skills!H7,1)</f>
        <v/>
      </c>
      <c r="H456">
        <f>1-(1-Skills!J7/100)^Skills!K7</f>
        <v/>
      </c>
      <c r="I456" t="inlineStr">
        <is>
          <t>1</t>
        </is>
      </c>
      <c r="J456">
        <f>((Inputs!$B$6*(1+Inputs!$B$7/100))+(((Inputs!$B$12*(1+Inputs!$B$13/100))-(Inputs!$B$12*(1+Inputs!$B$13/100)))+0.25*(Inputs!$B$14-Inputs!$B$14))*(1+Inputs!$B$7/100))*(F456/100)</f>
        <v/>
      </c>
      <c r="K456">
        <f>J456*(1+((Inputs!$B$12*(1+Inputs!$B$13/100))*0.01+Inputs!$B$14*0.0025)/100)*(1+Inputs!$B$15/100)*(1+Inputs!$B$16/100)*(5000/(6000+Inputs!$B$42*(1-(100*(1-(1-(Inputs!$B$19+0)/100)*(1-CHOOSE(ArtifactsInput!$N$40+1,5,6,7,8,9,10)/100)^(ArtifactsInput!$M$40-ArtifactsInput!$M$40)))/100)))*(1+(Inputs!$B$24+((C474=TRUE)*(F474-Calc!F25))+B484)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470=TRUE)*(F470-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472=TRUE)*(F472-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462=TRUE)*F462*IF(Inputs!$B$3&gt;=110,7,5))+((C464=TRUE)*F464*IF(AND(Inputs!$B$38&lt;&gt;"pvp",Inputs!$B$43&gt;0),(((R464-1)*(Skills!T15*(1+(Inputs!$B$34+(ArtifactsInput!$M$7-ArtifactsInput!$M$7)*CHOOSE(ArtifactsInput!$N$7+1,6,7.2,8.4,9.6,10.8,12))/100))+MIN((Skills!T15*(1+(Inputs!$B$34+(ArtifactsInput!$M$7-ArtifactsInput!$M$7)*CHOOSE(ArtifactsInput!$N$7+1,6,7.2,8.4,9.6,10.8,12))/100)),MAX(0,Inputs!$B$43-((R464-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Hunt"),CHOOSE(ArtifactsInput!$N$35+1,15,18,21,24,27,30)*(1-EXP(-(0.2*B480)*5)),0)+IF(AND(ArtifactsInput!$M$22,Inputs!$B$4&lt;&gt;"Chapter Hunt"),CHOOSE(ArtifactsInput!$N$22+1,10,12,14,16,18,20)*((0*(((0.15*B480*5))^0/1)+1*(((0.15*B480*5))^1/1)+2*(((0.15*B480*5))^2/2)+3*(((0.15*B480*5))^3/6)+4*(((0.15*B480*5))^4/24)+5*(((0.15*B480*5))^5/120))/((((0.15*B480*5))^0/1)+(((0.15*B480*5))^1/1)+(((0.15*B480*5))^2/2)+(((0.15*B480*5))^3/6)+(((0.15*B480*5))^4/24)+(((0.15*B480*5))^5/120))),0)))/100)*I456)</f>
        <v/>
      </c>
      <c r="L456">
        <f>K456*(MIN(Inputs!$B$22+((C471=TRUE)*(F471-Calc!F22)),((Inputs!$B$23+1)+((C473=TRUE)*(F473-Calc!F24))+(IF(ArtifactsInput!$M$15,CHOOSE(ArtifactsInput!$N$15+1,25,30,35,40,45,50)/100*(Inputs!$B$11-Inputs!$B$11),0))))/100+((Inputs!$B$23+1)+((C473=TRUE)*(F473-Calc!F24))+(IF(ArtifactsInput!$M$15,CHOOSE(ArtifactsInput!$N$15+1,25,30,35,40,45,50)/100*(Inputs!$B$11-Inputs!$B$11),0)))/100)/2</f>
        <v/>
      </c>
      <c r="M456">
        <f>L456*(1+(Inputs!$B$10+0+B483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6">
        <f>L456*(1-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456*(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6">
        <f>(1-Summary!$B$11)*T456+Summary!$B$11*V456</f>
        <v/>
      </c>
      <c r="P456">
        <f>IF(B488=0,0,O456/B488)</f>
        <v/>
      </c>
      <c r="Q456">
        <f>IFERROR(1/(IF(Inputs!$B$38="pvp",15,MAX(0.1,Skills!D7-IF(Skills!E7=TRUE,Inputs!$B$32,0)))*(1-IF(AND(ArtifactsInput!$M$27,Inputs!$B$4="Chapter Hunt"),CHOOSE(ArtifactsInput!$N$27+1,20,24,28,32,36,40),0)/100)),0)</f>
        <v/>
      </c>
      <c r="R456">
        <f>IF(AND(Inputs!$B$38&lt;&gt;"pvp",Inputs!$B$43&gt;0),IF(MAX(0,Inputs!$B$43-B485)&lt;=0,0,(INT(MAX(0,Inputs!$B$43-B485)/(IF(Inputs!$B$38="pvp",15,MAX(0.1,Skills!D7-IF(Skills!E7=TRUE,Inputs!$B$32,0)))*(1-IF(AND(ArtifactsInput!$M$27,Inputs!$B$4="Chapter Hunt"),CHOOSE(ArtifactsInput!$N$27+1,20,24,28,32,36,40),0)/100)))+1)),0)</f>
        <v/>
      </c>
      <c r="S456">
        <f>IFERROR(O456/N456,0)</f>
        <v/>
      </c>
      <c r="T456">
        <f>IF(C456,(H456*N456*IF(AND(Inputs!$B$38&lt;&gt;"pvp",Inputs!$B$43&gt;0),((Skills!G7*((R456-1)*IF(Skills!H7&gt;0,Skills!I7/Skills!H7,1)+IF(Skills!H7&gt;0,MIN(Skills!I7,MAX(0,MAX(0,Inputs!$B$43-B485)-((R456-1)*(IF(Inputs!$B$38="pvp",15,MAX(0.1,Skills!D7-IF(Skills!E7=TRUE,Inputs!$B$32,0)))*(1-IF(AND(ArtifactsInput!$M$27,Inputs!$B$4="Chapter Hunt"),CHOOSE(ArtifactsInput!$N$27+1,20,24,28,32,36,40),0)/100)))))/Skills!H7,1)))/Inputs!$B$43),G456*Q456)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456*(1-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456*(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456*(1-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456*(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6">
        <f>IF(C456,(H456*N456*IF(AND(Inputs!$B$38&lt;&gt;"pvp",Inputs!$B$43&gt;0),((Skills!G7*((R456-1)*IF(Skills!H7&gt;0,Skills!I7/Skills!H7,1)+IF(Skills!H7&gt;0,MIN(Skills!I7,MAX(0,MAX(0,Inputs!$B$43-B485)-((R456-1)*(IF(Inputs!$B$38="pvp",15,MAX(0.1,Skills!D7-IF(Skills!E7=TRUE,Inputs!$B$32,0)))*(1-IF(AND(ArtifactsInput!$M$27,Inputs!$B$4="Chapter Hunt"),CHOOSE(ArtifactsInput!$N$27+1,20,24,28,32,36,40),0)/100)))))/Skills!H7,1)))/Inputs!$B$43),G456*Q456)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7">
      <c r="A457">
        <f>Skills!A8</f>
        <v/>
      </c>
      <c r="B457">
        <f>Skills!B8</f>
        <v/>
      </c>
      <c r="C457">
        <f>Inputs!$B$3&gt;=117</f>
        <v/>
      </c>
      <c r="D457">
        <f>IF(Skills!C8=1,60+Inputs!$B$25+Inputs!$B$29,IF(Skills!C8=2,90+Inputs!$B$26+Inputs!$B$29,IF(Skills!C8=3,120+Inputs!$B$27+Inputs!$B$29,MAX(0,(Inputs!$B$3-100)*3)+Inputs!$B$28+Inputs!$B$29)))</f>
        <v/>
      </c>
      <c r="E457">
        <f>INDEX(FactorTable!$B$2:$Y$301, MATCH(ROUND(MIN(300,MAX(1,D457)),0), FactorTable!$A$2:$A$301,0), Skills!M8+1)</f>
        <v/>
      </c>
      <c r="F457">
        <f>IF(Skills!N8=TRUE,(Skills!L8/10)*(E457/1000),Skills!L8/10)+Skills!O8</f>
        <v/>
      </c>
      <c r="G457">
        <f>Skills!G8*IF(Skills!H8&gt;0,Skills!I8/Skills!H8,1)</f>
        <v/>
      </c>
      <c r="H457">
        <f>1-(1-Skills!J8/100)^Skills!K8</f>
        <v/>
      </c>
      <c r="I457" t="inlineStr">
        <is>
          <t>1</t>
        </is>
      </c>
      <c r="J457">
        <f>((Inputs!$B$6*(1+Inputs!$B$7/100))+(((Inputs!$B$12*(1+Inputs!$B$13/100))-(Inputs!$B$12*(1+Inputs!$B$13/100)))+0.25*(Inputs!$B$14-Inputs!$B$14))*(1+Inputs!$B$7/100))*(F457/100)</f>
        <v/>
      </c>
      <c r="K457">
        <f>J457*(1+((Inputs!$B$12*(1+Inputs!$B$13/100))*0.01+Inputs!$B$14*0.0025)/100)*(1+Inputs!$B$15/100)*(1+Inputs!$B$16/100)*(5000/(6000+Inputs!$B$42*(1-(100*(1-(1-(Inputs!$B$19+0)/100)*(1-CHOOSE(ArtifactsInput!$N$40+1,5,6,7,8,9,10)/100)^(ArtifactsInput!$M$40-ArtifactsInput!$M$40)))/100)))*(1+(Inputs!$B$24+((C474=TRUE)*(F474-Calc!F25))+B484)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470=TRUE)*(F470-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472=TRUE)*(F472-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462=TRUE)*F462*IF(Inputs!$B$3&gt;=110,7,5))+((C464=TRUE)*F464*IF(AND(Inputs!$B$38&lt;&gt;"pvp",Inputs!$B$43&gt;0),(((R464-1)*(Skills!T15*(1+(Inputs!$B$34+(ArtifactsInput!$M$7-ArtifactsInput!$M$7)*CHOOSE(ArtifactsInput!$N$7+1,6,7.2,8.4,9.6,10.8,12))/100))+MIN((Skills!T15*(1+(Inputs!$B$34+(ArtifactsInput!$M$7-ArtifactsInput!$M$7)*CHOOSE(ArtifactsInput!$N$7+1,6,7.2,8.4,9.6,10.8,12))/100)),MAX(0,Inputs!$B$43-((R464-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Hunt"),CHOOSE(ArtifactsInput!$N$35+1,15,18,21,24,27,30)*(1-EXP(-(0.2*B480)*5)),0)+IF(AND(ArtifactsInput!$M$22,Inputs!$B$4&lt;&gt;"Chapter Hunt"),CHOOSE(ArtifactsInput!$N$22+1,10,12,14,16,18,20)*((0*(((0.15*B480*5))^0/1)+1*(((0.15*B480*5))^1/1)+2*(((0.15*B480*5))^2/2)+3*(((0.15*B480*5))^3/6)+4*(((0.15*B480*5))^4/24)+5*(((0.15*B480*5))^5/120))/((((0.15*B480*5))^0/1)+(((0.15*B480*5))^1/1)+(((0.15*B480*5))^2/2)+(((0.15*B480*5))^3/6)+(((0.15*B480*5))^4/24)+(((0.15*B480*5))^5/120))),0)))/100)*I457)</f>
        <v/>
      </c>
      <c r="L457">
        <f>K457*(MIN(Inputs!$B$22+((C471=TRUE)*(F471-Calc!F22)),((Inputs!$B$23+1)+((C473=TRUE)*(F473-Calc!F24))+(IF(ArtifactsInput!$M$15,CHOOSE(ArtifactsInput!$N$15+1,25,30,35,40,45,50)/100*(Inputs!$B$11-Inputs!$B$11),0))))/100+((Inputs!$B$23+1)+((C473=TRUE)*(F473-Calc!F24))+(IF(ArtifactsInput!$M$15,CHOOSE(ArtifactsInput!$N$15+1,25,30,35,40,45,50)/100*(Inputs!$B$11-Inputs!$B$11),0)))/100)/2</f>
        <v/>
      </c>
      <c r="M457">
        <f>L457*(1+(Inputs!$B$10+0+B483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7">
        <f>L457*(1-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457*(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7">
        <f>(1-Summary!$B$11)*T457+Summary!$B$11*V457</f>
        <v/>
      </c>
      <c r="P457">
        <f>IF(B488=0,0,O457/B488)</f>
        <v/>
      </c>
      <c r="Q457">
        <f>IFERROR(1/(IF(Inputs!$B$38="pvp",15,MAX(0.1,Skills!D8-IF(Skills!E8=TRUE,Inputs!$B$32,0)))*(1-IF(AND(ArtifactsInput!$M$27,Inputs!$B$4="Chapter Hunt"),CHOOSE(ArtifactsInput!$N$27+1,20,24,28,32,36,40),0)/100)),0)</f>
        <v/>
      </c>
      <c r="R457">
        <f>IF(AND(Inputs!$B$38&lt;&gt;"pvp",Inputs!$B$43&gt;0),IF(MAX(0,Inputs!$B$43-B485)&lt;=0,0,(INT(MAX(0,Inputs!$B$43-B485)/(IF(Inputs!$B$38="pvp",15,MAX(0.1,Skills!D8-IF(Skills!E8=TRUE,Inputs!$B$32,0)))*(1-IF(AND(ArtifactsInput!$M$27,Inputs!$B$4="Chapter Hunt"),CHOOSE(ArtifactsInput!$N$27+1,20,24,28,32,36,40),0)/100)))+1)),0)</f>
        <v/>
      </c>
      <c r="S457">
        <f>IFERROR(O457/N457,0)</f>
        <v/>
      </c>
      <c r="T457">
        <f>IF(C457,(H457*N457*IF(AND(Inputs!$B$38&lt;&gt;"pvp",Inputs!$B$43&gt;0),((Skills!G8*((R457-1)*IF(Skills!H8&gt;0,Skills!I8/Skills!H8,1)+IF(Skills!H8&gt;0,MIN(Skills!I8,MAX(0,MAX(0,Inputs!$B$43-B485)-((R457-1)*(IF(Inputs!$B$38="pvp",15,MAX(0.1,Skills!D8-IF(Skills!E8=TRUE,Inputs!$B$32,0)))*(1-IF(AND(ArtifactsInput!$M$27,Inputs!$B$4="Chapter Hunt"),CHOOSE(ArtifactsInput!$N$27+1,20,24,28,32,36,40),0)/100)))))/Skills!H8,1)))/Inputs!$B$43),G457*Q457)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457*(1-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457*(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457*(1-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457*(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7">
        <f>IF(C457,(H457*N457*IF(AND(Inputs!$B$38&lt;&gt;"pvp",Inputs!$B$43&gt;0),((Skills!G8*((R457-1)*IF(Skills!H8&gt;0,Skills!I8/Skills!H8,1)+IF(Skills!H8&gt;0,MIN(Skills!I8,MAX(0,MAX(0,Inputs!$B$43-B485)-((R457-1)*(IF(Inputs!$B$38="pvp",15,MAX(0.1,Skills!D8-IF(Skills!E8=TRUE,Inputs!$B$32,0)))*(1-IF(AND(ArtifactsInput!$M$27,Inputs!$B$4="Chapter Hunt"),CHOOSE(ArtifactsInput!$N$27+1,20,24,28,32,36,40),0)/100)))))/Skills!H8,1)))/Inputs!$B$43),G457*Q457)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8">
      <c r="A458">
        <f>Skills!A9</f>
        <v/>
      </c>
      <c r="B458">
        <f>Skills!B9</f>
        <v/>
      </c>
      <c r="C458">
        <f>Inputs!$B$3&gt;=69</f>
        <v/>
      </c>
      <c r="D458">
        <f>IF(Skills!C9=1,60+Inputs!$B$25+Inputs!$B$29,IF(Skills!C9=2,90+Inputs!$B$26+Inputs!$B$29,IF(Skills!C9=3,120+Inputs!$B$27+Inputs!$B$29,MAX(0,(Inputs!$B$3-100)*3)+Inputs!$B$28+Inputs!$B$29)))</f>
        <v/>
      </c>
      <c r="E458">
        <f>INDEX(FactorTable!$B$2:$Y$301, MATCH(ROUND(MIN(300,MAX(1,D458)),0), FactorTable!$A$2:$A$301,0), Skills!M9+1)</f>
        <v/>
      </c>
      <c r="F458">
        <f>IF(Skills!N9=TRUE,(Skills!L9/10)*(E458/1000),Skills!L9/10)+Skills!O9</f>
        <v/>
      </c>
      <c r="G458">
        <f>Skills!G9*IF(Skills!H9&gt;0,Skills!I9/Skills!H9,1)</f>
        <v/>
      </c>
      <c r="H458">
        <f>1-(1-Skills!J9/100)^Skills!K9</f>
        <v/>
      </c>
      <c r="I458" t="inlineStr">
        <is>
          <t>1</t>
        </is>
      </c>
      <c r="J458">
        <f>((Inputs!$B$6*(1+Inputs!$B$7/100))+(((Inputs!$B$12*(1+Inputs!$B$13/100))-(Inputs!$B$12*(1+Inputs!$B$13/100)))+0.25*(Inputs!$B$14-Inputs!$B$14))*(1+Inputs!$B$7/100))*(F458/100)</f>
        <v/>
      </c>
      <c r="K458">
        <f>J458*(1+((Inputs!$B$12*(1+Inputs!$B$13/100))*0.01+Inputs!$B$14*0.0025)/100)*(1+Inputs!$B$15/100)*(1+Inputs!$B$16/100)*(5000/(6000+Inputs!$B$42*(1-(100*(1-(1-(Inputs!$B$19+0)/100)*(1-CHOOSE(ArtifactsInput!$N$40+1,5,6,7,8,9,10)/100)^(ArtifactsInput!$M$40-ArtifactsInput!$M$40)))/100)))*(1+(Inputs!$B$24+((C474=TRUE)*(F474-Calc!F25))+B484)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461=TRUE,F461,0)/100)*(1+IF(Skills!A9="ENHANCED_RAGING_BLOW",IF(Inputs!$B$3&gt;=134,MAX(0,IF(Inputs!$B$3&gt;=110,7,5)-5)*50,0),0)/100)*(1+(IF(Skills!A9="RAGING_BLOW",Inputs!$B$17+((C470=TRUE)*(F470-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472=TRUE)*(F472-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462=TRUE)*F462*IF(Inputs!$B$3&gt;=110,7,5))+((C464=TRUE)*F464*IF(AND(Inputs!$B$38&lt;&gt;"pvp",Inputs!$B$43&gt;0),(((R464-1)*(Skills!T15*(1+(Inputs!$B$34+(ArtifactsInput!$M$7-ArtifactsInput!$M$7)*CHOOSE(ArtifactsInput!$N$7+1,6,7.2,8.4,9.6,10.8,12))/100))+MIN((Skills!T15*(1+(Inputs!$B$34+(ArtifactsInput!$M$7-ArtifactsInput!$M$7)*CHOOSE(ArtifactsInput!$N$7+1,6,7.2,8.4,9.6,10.8,12))/100)),MAX(0,Inputs!$B$43-((R464-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Hunt"),CHOOSE(ArtifactsInput!$N$35+1,15,18,21,24,27,30)*(1-EXP(-(0.2*B480)*5)),0)+IF(AND(ArtifactsInput!$M$22,Inputs!$B$4&lt;&gt;"Chapter Hunt"),CHOOSE(ArtifactsInput!$N$22+1,10,12,14,16,18,20)*((0*(((0.15*B480*5))^0/1)+1*(((0.15*B480*5))^1/1)+2*(((0.15*B480*5))^2/2)+3*(((0.15*B480*5))^3/6)+4*(((0.15*B480*5))^4/24)+5*(((0.15*B480*5))^5/120))/((((0.15*B480*5))^0/1)+(((0.15*B480*5))^1/1)+(((0.15*B480*5))^2/2)+(((0.15*B480*5))^3/6)+(((0.15*B480*5))^4/24)+(((0.15*B480*5))^5/120))),0)))/100)*I458)</f>
        <v/>
      </c>
      <c r="L458">
        <f>K458*(MIN(Inputs!$B$22+((C471=TRUE)*(F471-Calc!F22)),((Inputs!$B$23+1)+((C473=TRUE)*(F473-Calc!F24))+(IF(ArtifactsInput!$M$15,CHOOSE(ArtifactsInput!$N$15+1,25,30,35,40,45,50)/100*(Inputs!$B$11-Inputs!$B$11),0))))/100+((Inputs!$B$23+1)+((C473=TRUE)*(F473-Calc!F24))+(IF(ArtifactsInput!$M$15,CHOOSE(ArtifactsInput!$N$15+1,25,30,35,40,45,50)/100*(Inputs!$B$11-Inputs!$B$11),0)))/100)/2</f>
        <v/>
      </c>
      <c r="M458">
        <f>L458*(1+(Inputs!$B$10+0+B483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8">
        <f>L458*(1-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458*(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8">
        <f>(1-Summary!$B$11)*T458+Summary!$B$11*V458</f>
        <v/>
      </c>
      <c r="P458">
        <f>IF(B488=0,0,O458/B488)</f>
        <v/>
      </c>
      <c r="Q458">
        <f>IFERROR(1/(IF(Inputs!$B$38="pvp",15,MAX(0.1,Skills!D9-IF(Skills!E9=TRUE,Inputs!$B$32,0)))*(1-IF(AND(ArtifactsInput!$M$27,Inputs!$B$4="Chapter Hunt"),CHOOSE(ArtifactsInput!$N$27+1,20,24,28,32,36,40),0)/100)),0)</f>
        <v/>
      </c>
      <c r="R458">
        <f>IF(AND(Inputs!$B$38&lt;&gt;"pvp",Inputs!$B$43&gt;0),IF(MAX(0,Inputs!$B$43-B485)&lt;=0,0,(INT(MAX(0,Inputs!$B$43-B485)/(IF(Inputs!$B$38="pvp",15,MAX(0.1,Skills!D9-IF(Skills!E9=TRUE,Inputs!$B$32,0)))*(1-IF(AND(ArtifactsInput!$M$27,Inputs!$B$4="Chapter Hunt"),CHOOSE(ArtifactsInput!$N$27+1,20,24,28,32,36,40),0)/100)))+1)),0)</f>
        <v/>
      </c>
      <c r="S458">
        <f>IFERROR(O458/N458,0)</f>
        <v/>
      </c>
      <c r="T458">
        <f>IF(C458,(H458*N458*IF(AND(Inputs!$B$38&lt;&gt;"pvp",Inputs!$B$43&gt;0),((Skills!G9*((R458-1)*IF(Skills!H9&gt;0,Skills!I9/Skills!H9,1)+IF(Skills!H9&gt;0,MIN(Skills!I9,MAX(0,MAX(0,Inputs!$B$43-B485)-((R458-1)*(IF(Inputs!$B$38="pvp",15,MAX(0.1,Skills!D9-IF(Skills!E9=TRUE,Inputs!$B$32,0)))*(1-IF(AND(ArtifactsInput!$M$27,Inputs!$B$4="Chapter Hunt"),CHOOSE(ArtifactsInput!$N$27+1,20,24,28,32,36,40),0)/100)))))/Skills!H9,1)))/Inputs!$B$43),G458*Q458)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458*(1-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458*(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458*(1-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458*(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8">
        <f>IF(C458,(H458*N458*IF(AND(Inputs!$B$38&lt;&gt;"pvp",Inputs!$B$43&gt;0),((Skills!G9*((R458-1)*IF(Skills!H9&gt;0,Skills!I9/Skills!H9,1)+IF(Skills!H9&gt;0,MIN(Skills!I9,MAX(0,MAX(0,Inputs!$B$43-B485)-((R458-1)*(IF(Inputs!$B$38="pvp",15,MAX(0.1,Skills!D9-IF(Skills!E9=TRUE,Inputs!$B$32,0)))*(1-IF(AND(ArtifactsInput!$M$27,Inputs!$B$4="Chapter Hunt"),CHOOSE(ArtifactsInput!$N$27+1,20,24,28,32,36,40),0)/100)))))/Skills!H9,1)))/Inputs!$B$43),G458*Q458)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9">
      <c r="A459">
        <f>Skills!A10</f>
        <v/>
      </c>
      <c r="B459">
        <f>Skills!B10</f>
        <v/>
      </c>
      <c r="C459">
        <f>Inputs!$B$3&gt;=63</f>
        <v/>
      </c>
      <c r="D459">
        <f>IF(Skills!C10=1,60+Inputs!$B$25+Inputs!$B$29,IF(Skills!C10=2,90+Inputs!$B$26+Inputs!$B$29,IF(Skills!C10=3,120+Inputs!$B$27+Inputs!$B$29,MAX(0,(Inputs!$B$3-100)*3)+Inputs!$B$28+Inputs!$B$29)))</f>
        <v/>
      </c>
      <c r="E459">
        <f>INDEX(FactorTable!$B$2:$Y$301, MATCH(ROUND(MIN(300,MAX(1,D459)),0), FactorTable!$A$2:$A$301,0), Skills!M10+1)</f>
        <v/>
      </c>
      <c r="F459">
        <f>IF(Skills!N10=TRUE,(Skills!L10/10)*(E459/1000),Skills!L10/10)+Skills!O10</f>
        <v/>
      </c>
      <c r="G459">
        <f>Skills!G10*IF(Skills!H10&gt;0,Skills!I10/Skills!H10,1)</f>
        <v/>
      </c>
      <c r="H459">
        <f>1-(1-Skills!J10/100)^Skills!K10</f>
        <v/>
      </c>
      <c r="I459" t="inlineStr">
        <is>
          <t>1</t>
        </is>
      </c>
      <c r="J459">
        <f>((Inputs!$B$6*(1+Inputs!$B$7/100))+(((Inputs!$B$12*(1+Inputs!$B$13/100))-(Inputs!$B$12*(1+Inputs!$B$13/100)))+0.25*(Inputs!$B$14-Inputs!$B$14))*(1+Inputs!$B$7/100))*(F459/100)</f>
        <v/>
      </c>
      <c r="K459">
        <f>J459*(1+((Inputs!$B$12*(1+Inputs!$B$13/100))*0.01+Inputs!$B$14*0.0025)/100)*(1+Inputs!$B$15/100)*(1+Inputs!$B$16/100)*(5000/(6000+Inputs!$B$42*(1-(100*(1-(1-(Inputs!$B$19+0)/100)*(1-CHOOSE(ArtifactsInput!$N$40+1,5,6,7,8,9,10)/100)^(ArtifactsInput!$M$40-ArtifactsInput!$M$40)))/100)))*(1+(Inputs!$B$24+((C474=TRUE)*(F474-Calc!F25))+B484)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461=TRUE,F461,0)/100)*(1+IF(Skills!A10="ENHANCED_RAGING_BLOW",IF(Inputs!$B$3&gt;=134,MAX(0,IF(Inputs!$B$3&gt;=110,7,5)-5)*50,0),0)/100)*(1+(IF(Skills!A10="RAGING_BLOW",Inputs!$B$17+((C470=TRUE)*(F470-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472=TRUE)*(F472-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462=TRUE)*F462*IF(Inputs!$B$3&gt;=110,7,5))+((C464=TRUE)*F464*IF(AND(Inputs!$B$38&lt;&gt;"pvp",Inputs!$B$43&gt;0),(((R464-1)*(Skills!T15*(1+(Inputs!$B$34+(ArtifactsInput!$M$7-ArtifactsInput!$M$7)*CHOOSE(ArtifactsInput!$N$7+1,6,7.2,8.4,9.6,10.8,12))/100))+MIN((Skills!T15*(1+(Inputs!$B$34+(ArtifactsInput!$M$7-ArtifactsInput!$M$7)*CHOOSE(ArtifactsInput!$N$7+1,6,7.2,8.4,9.6,10.8,12))/100)),MAX(0,Inputs!$B$43-((R464-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Hunt"),CHOOSE(ArtifactsInput!$N$35+1,15,18,21,24,27,30)*(1-EXP(-(0.2*B480)*5)),0)+IF(AND(ArtifactsInput!$M$22,Inputs!$B$4&lt;&gt;"Chapter Hunt"),CHOOSE(ArtifactsInput!$N$22+1,10,12,14,16,18,20)*((0*(((0.15*B480*5))^0/1)+1*(((0.15*B480*5))^1/1)+2*(((0.15*B480*5))^2/2)+3*(((0.15*B480*5))^3/6)+4*(((0.15*B480*5))^4/24)+5*(((0.15*B480*5))^5/120))/((((0.15*B480*5))^0/1)+(((0.15*B480*5))^1/1)+(((0.15*B480*5))^2/2)+(((0.15*B480*5))^3/6)+(((0.15*B480*5))^4/24)+(((0.15*B480*5))^5/120))),0)))/100)*I459)</f>
        <v/>
      </c>
      <c r="L459">
        <f>K459*(MIN(Inputs!$B$22+((C471=TRUE)*(F471-Calc!F22)),((Inputs!$B$23+1)+((C473=TRUE)*(F473-Calc!F24))+(IF(ArtifactsInput!$M$15,CHOOSE(ArtifactsInput!$N$15+1,25,30,35,40,45,50)/100*(Inputs!$B$11-Inputs!$B$11),0))))/100+((Inputs!$B$23+1)+((C473=TRUE)*(F473-Calc!F24))+(IF(ArtifactsInput!$M$15,CHOOSE(ArtifactsInput!$N$15+1,25,30,35,40,45,50)/100*(Inputs!$B$11-Inputs!$B$11),0)))/100)/2</f>
        <v/>
      </c>
      <c r="M459">
        <f>L459*(1+(Inputs!$B$10+0+B483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9">
        <f>L459*(1-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459*(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9">
        <f>(1-Summary!$B$11)*T459+Summary!$B$11*V459</f>
        <v/>
      </c>
      <c r="P459">
        <f>IF(B488=0,0,O459/B488)</f>
        <v/>
      </c>
      <c r="Q459">
        <f>IFERROR(1/(IF(Inputs!$B$38="pvp",15,MAX(0.1,Skills!D10-IF(Skills!E10=TRUE,Inputs!$B$32,0)))*(1-IF(AND(ArtifactsInput!$M$27,Inputs!$B$4="Chapter Hunt"),CHOOSE(ArtifactsInput!$N$27+1,20,24,28,32,36,40),0)/100)),0)</f>
        <v/>
      </c>
      <c r="R459">
        <f>IF(AND(Inputs!$B$38&lt;&gt;"pvp",Inputs!$B$43&gt;0),IF(MAX(0,Inputs!$B$43-B485)&lt;=0,0,(INT(MAX(0,Inputs!$B$43-B485)/(IF(Inputs!$B$38="pvp",15,MAX(0.1,Skills!D10-IF(Skills!E10=TRUE,Inputs!$B$32,0)))*(1-IF(AND(ArtifactsInput!$M$27,Inputs!$B$4="Chapter Hunt"),CHOOSE(ArtifactsInput!$N$27+1,20,24,28,32,36,40),0)/100)))+1)),0)</f>
        <v/>
      </c>
      <c r="S459">
        <f>IFERROR(O459/N459,0)</f>
        <v/>
      </c>
      <c r="T459">
        <f>IF(C459,(H459*N459*IF(AND(Inputs!$B$38&lt;&gt;"pvp",Inputs!$B$43&gt;0),((Skills!G10*((R459-1)*IF(Skills!H10&gt;0,Skills!I10/Skills!H10,1)+IF(Skills!H10&gt;0,MIN(Skills!I10,MAX(0,MAX(0,Inputs!$B$43-B485)-((R459-1)*(IF(Inputs!$B$38="pvp",15,MAX(0.1,Skills!D10-IF(Skills!E10=TRUE,Inputs!$B$32,0)))*(1-IF(AND(ArtifactsInput!$M$27,Inputs!$B$4="Chapter Hunt"),CHOOSE(ArtifactsInput!$N$27+1,20,24,28,32,36,40),0)/100)))))/Skills!H10,1)))/Inputs!$B$43),G459*Q459)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459*(1-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459*(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459*(1-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459*(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59">
        <f>IF(C459,(H459*N459*IF(AND(Inputs!$B$38&lt;&gt;"pvp",Inputs!$B$43&gt;0),((Skills!G10*((R459-1)*IF(Skills!H10&gt;0,Skills!I10/Skills!H10,1)+IF(Skills!H10&gt;0,MIN(Skills!I10,MAX(0,MAX(0,Inputs!$B$43-B485)-((R459-1)*(IF(Inputs!$B$38="pvp",15,MAX(0.1,Skills!D10-IF(Skills!E10=TRUE,Inputs!$B$32,0)))*(1-IF(AND(ArtifactsInput!$M$27,Inputs!$B$4="Chapter Hunt"),CHOOSE(ArtifactsInput!$N$27+1,20,24,28,32,36,40),0)/100)))))/Skills!H10,1)))/Inputs!$B$43),G459*Q459)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60">
      <c r="A460">
        <f>Skills!A11</f>
        <v/>
      </c>
      <c r="B460">
        <f>Skills!B11</f>
        <v/>
      </c>
      <c r="C460">
        <f>Inputs!$B$3&gt;=35</f>
        <v/>
      </c>
      <c r="D460">
        <f>IF(Skills!C11=1,60+Inputs!$B$25+Inputs!$B$29,IF(Skills!C11=2,90+Inputs!$B$26+Inputs!$B$29,IF(Skills!C11=3,120+Inputs!$B$27+Inputs!$B$29,MAX(0,(Inputs!$B$3-100)*3)+Inputs!$B$28+Inputs!$B$29)))</f>
        <v/>
      </c>
      <c r="E460">
        <f>INDEX(FactorTable!$B$2:$Y$301, MATCH(ROUND(MIN(300,MAX(1,D460)),0), FactorTable!$A$2:$A$301,0), Skills!M11+1)</f>
        <v/>
      </c>
      <c r="F460">
        <f>IF(Skills!N11=TRUE,(Skills!L11/10)*(E460/1000),Skills!L11/10)+Skills!O11</f>
        <v/>
      </c>
      <c r="G460">
        <f>Skills!G11*IF(Skills!H11&gt;0,Skills!I11/Skills!H11,1)</f>
        <v/>
      </c>
      <c r="H460">
        <f>1-(1-Skills!J11/100)^Skills!K11</f>
        <v/>
      </c>
      <c r="I460" t="inlineStr">
        <is>
          <t>1</t>
        </is>
      </c>
      <c r="J460">
        <f>((Inputs!$B$6*(1+Inputs!$B$7/100))+(((Inputs!$B$12*(1+Inputs!$B$13/100))-(Inputs!$B$12*(1+Inputs!$B$13/100)))+0.25*(Inputs!$B$14-Inputs!$B$14))*(1+Inputs!$B$7/100))*(F460/100)</f>
        <v/>
      </c>
      <c r="K460">
        <f>J460*(1+((Inputs!$B$12*(1+Inputs!$B$13/100))*0.01+Inputs!$B$14*0.0025)/100)*(1+Inputs!$B$15/100)*(1+Inputs!$B$16/100)*(5000/(6000+Inputs!$B$42*(1-(100*(1-(1-(Inputs!$B$19+0)/100)*(1-CHOOSE(ArtifactsInput!$N$40+1,5,6,7,8,9,10)/100)^(ArtifactsInput!$M$40-ArtifactsInput!$M$40)))/100)))*(1+(Inputs!$B$24+((C474=TRUE)*(F474-Calc!F25))+B484)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461=TRUE,F461,0)/100)*(1+IF(Skills!A11="ENHANCED_RAGING_BLOW",IF(Inputs!$B$3&gt;=134,MAX(0,IF(Inputs!$B$3&gt;=110,7,5)-5)*50,0),0)/100)*(1+(IF(Skills!A11="RAGING_BLOW",Inputs!$B$17+((C470=TRUE)*(F470-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472=TRUE)*(F472-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462=TRUE)*F462*IF(Inputs!$B$3&gt;=110,7,5))+((C464=TRUE)*F464*IF(AND(Inputs!$B$38&lt;&gt;"pvp",Inputs!$B$43&gt;0),(((R464-1)*(Skills!T15*(1+(Inputs!$B$34+(ArtifactsInput!$M$7-ArtifactsInput!$M$7)*CHOOSE(ArtifactsInput!$N$7+1,6,7.2,8.4,9.6,10.8,12))/100))+MIN((Skills!T15*(1+(Inputs!$B$34+(ArtifactsInput!$M$7-ArtifactsInput!$M$7)*CHOOSE(ArtifactsInput!$N$7+1,6,7.2,8.4,9.6,10.8,12))/100)),MAX(0,Inputs!$B$43-((R464-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Hunt"),CHOOSE(ArtifactsInput!$N$35+1,15,18,21,24,27,30)*(1-EXP(-(0.2*B480)*5)),0)+IF(AND(ArtifactsInput!$M$22,Inputs!$B$4&lt;&gt;"Chapter Hunt"),CHOOSE(ArtifactsInput!$N$22+1,10,12,14,16,18,20)*((0*(((0.15*B480*5))^0/1)+1*(((0.15*B480*5))^1/1)+2*(((0.15*B480*5))^2/2)+3*(((0.15*B480*5))^3/6)+4*(((0.15*B480*5))^4/24)+5*(((0.15*B480*5))^5/120))/((((0.15*B480*5))^0/1)+(((0.15*B480*5))^1/1)+(((0.15*B480*5))^2/2)+(((0.15*B480*5))^3/6)+(((0.15*B480*5))^4/24)+(((0.15*B480*5))^5/120))),0)))/100)*I460)</f>
        <v/>
      </c>
      <c r="L460">
        <f>K460*(MIN(Inputs!$B$22+((C471=TRUE)*(F471-Calc!F22)),((Inputs!$B$23+1)+((C473=TRUE)*(F473-Calc!F24))+(IF(ArtifactsInput!$M$15,CHOOSE(ArtifactsInput!$N$15+1,25,30,35,40,45,50)/100*(Inputs!$B$11-Inputs!$B$11),0))))/100+((Inputs!$B$23+1)+((C473=TRUE)*(F473-Calc!F24))+(IF(ArtifactsInput!$M$15,CHOOSE(ArtifactsInput!$N$15+1,25,30,35,40,45,50)/100*(Inputs!$B$11-Inputs!$B$11),0)))/100)/2</f>
        <v/>
      </c>
      <c r="M460">
        <f>L460*(1+(Inputs!$B$10+0+B483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60">
        <f>L460*(1-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460*(MIN((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60">
        <f>(1-Summary!$B$11)*T460+Summary!$B$11*V460</f>
        <v/>
      </c>
      <c r="P460">
        <f>IF(B488=0,0,O460/B488)</f>
        <v/>
      </c>
      <c r="Q460">
        <f>IFERROR(1/(IF(Inputs!$B$38="pvp",15,MAX(0.1,Skills!D11-IF(Skills!E11=TRUE,Inputs!$B$32,0)))*(1-IF(AND(ArtifactsInput!$M$27,Inputs!$B$4="Chapter Hunt"),CHOOSE(ArtifactsInput!$N$27+1,20,24,28,32,36,40),0)/100)),0)</f>
        <v/>
      </c>
      <c r="R460">
        <f>IF(AND(Inputs!$B$38&lt;&gt;"pvp",Inputs!$B$43&gt;0),IF(MAX(0,Inputs!$B$43-B485)&lt;=0,0,(INT(MAX(0,Inputs!$B$43-B485)/(IF(Inputs!$B$38="pvp",15,MAX(0.1,Skills!D11-IF(Skills!E11=TRUE,Inputs!$B$32,0)))*(1-IF(AND(ArtifactsInput!$M$27,Inputs!$B$4="Chapter Hunt"),CHOOSE(ArtifactsInput!$N$27+1,20,24,28,32,36,40),0)/100)))+1)),0)</f>
        <v/>
      </c>
      <c r="S460">
        <f>IFERROR(O460/N460,0)</f>
        <v/>
      </c>
      <c r="T460">
        <f>IF(C460,(H460*N460*IF(AND(Inputs!$B$38&lt;&gt;"pvp",Inputs!$B$43&gt;0),((Skills!G11*((R460-1)*IF(Skills!H11&gt;0,Skills!I11/Skills!H11,1)+IF(Skills!H11&gt;0,MIN(Skills!I11,MAX(0,MAX(0,Inputs!$B$43-B485)-((R460-1)*(IF(Inputs!$B$38="pvp",15,MAX(0.1,Skills!D11-IF(Skills!E11=TRUE,Inputs!$B$32,0)))*(1-IF(AND(ArtifactsInput!$M$27,Inputs!$B$4="Chapter Hunt"),CHOOSE(ArtifactsInput!$N$27+1,20,24,28,32,36,40),0)/100)))))/Skills!H11,1)))/Inputs!$B$43),G460*Q460)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460*(1-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460*(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460*(1-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460*(MIN(100,(Inputs!$B$9+((C475=TRUE)*(F475-Calc!F26))+B478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60">
        <f>IF(C460,(H460*N460*IF(AND(Inputs!$B$38&lt;&gt;"pvp",Inputs!$B$43&gt;0),((Skills!G11*((R460-1)*IF(Skills!H11&gt;0,Skills!I11/Skills!H11,1)+IF(Skills!H11&gt;0,MIN(Skills!I11,MAX(0,MAX(0,Inputs!$B$43-B485)-((R460-1)*(IF(Inputs!$B$38="pvp",15,MAX(0.1,Skills!D11-IF(Skills!E11=TRUE,Inputs!$B$32,0)))*(1-IF(AND(ArtifactsInput!$M$27,Inputs!$B$4="Chapter Hunt"),CHOOSE(ArtifactsInput!$N$27+1,20,24,28,32,36,40),0)/100)))))/Skills!H11,1)))/Inputs!$B$43),G460*Q460)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61">
      <c r="A461">
        <f>Skills!A12</f>
        <v/>
      </c>
      <c r="B461">
        <f>Skills!B12</f>
        <v/>
      </c>
      <c r="C461">
        <f>Inputs!$B$3&gt;=100</f>
        <v/>
      </c>
      <c r="D461">
        <f>IF(Skills!C12=1,60+Inputs!$B$25+Inputs!$B$29,IF(Skills!C12=2,90+Inputs!$B$26+Inputs!$B$29,IF(Skills!C12=3,120+Inputs!$B$27+Inputs!$B$29,MAX(0,(Inputs!$B$3-100)*3)+Inputs!$B$28+Inputs!$B$29)))</f>
        <v/>
      </c>
      <c r="E461">
        <f>INDEX(FactorTable!$B$2:$Y$301, MATCH(ROUND(MIN(300,MAX(1,D461)),0), FactorTable!$A$2:$A$301,0), Skills!M12+1)</f>
        <v/>
      </c>
      <c r="F461">
        <f>IF(Skills!N12=TRUE,(Skills!L12/10)*(E461/1000),Skills!L12/10)+Skills!O12</f>
        <v/>
      </c>
      <c r="G461" t="inlineStr"/>
      <c r="H461" t="inlineStr"/>
      <c r="I461" t="inlineStr">
        <is>
          <t>1</t>
        </is>
      </c>
      <c r="J461" t="inlineStr"/>
      <c r="K461" t="inlineStr"/>
      <c r="L461" t="inlineStr"/>
      <c r="M461" t="inlineStr"/>
      <c r="N461" t="inlineStr"/>
      <c r="O461" t="inlineStr"/>
      <c r="P461" t="inlineStr"/>
      <c r="Q461" t="inlineStr"/>
      <c r="R461" t="inlineStr"/>
      <c r="S461" t="inlineStr"/>
    </row>
    <row r="462">
      <c r="A462">
        <f>Skills!A13</f>
        <v/>
      </c>
      <c r="B462">
        <f>Skills!B13</f>
        <v/>
      </c>
      <c r="C462">
        <f>Inputs!$B$3&gt;=45</f>
        <v/>
      </c>
      <c r="D462">
        <f>IF(Skills!C13=1,60+Inputs!$B$25+Inputs!$B$29,IF(Skills!C13=2,90+Inputs!$B$26+Inputs!$B$29,IF(Skills!C13=3,120+Inputs!$B$27+Inputs!$B$29,MAX(0,(Inputs!$B$3-100)*3)+Inputs!$B$28+Inputs!$B$29)))</f>
        <v/>
      </c>
      <c r="E462">
        <f>INDEX(FactorTable!$B$2:$Y$301, MATCH(ROUND(MIN(300,MAX(1,D462)),0), FactorTable!$A$2:$A$301,0), Skills!M13+1)</f>
        <v/>
      </c>
      <c r="F462">
        <f>IF(Skills!N13=TRUE,(Skills!L13/10)*(E462/1000),Skills!L13/10)+Skills!O13</f>
        <v/>
      </c>
      <c r="G462">
        <f>Skills!G13*IF(Skills!H13&gt;0,Skills!I13/Skills!H13,1)</f>
        <v/>
      </c>
      <c r="H462">
        <f>1-(1-Skills!J13/100)^Skills!K13</f>
        <v/>
      </c>
      <c r="I462" t="inlineStr">
        <is>
          <t>1</t>
        </is>
      </c>
      <c r="J462" t="inlineStr"/>
      <c r="K462" t="inlineStr"/>
      <c r="L462" t="inlineStr"/>
      <c r="M462" t="inlineStr"/>
      <c r="N462" t="inlineStr"/>
      <c r="O462">
        <f>(1-Summary!$B$11)*T462+Summary!$B$11*V462</f>
        <v/>
      </c>
      <c r="P462">
        <f>IF(B488=0,0,O462/B488)</f>
        <v/>
      </c>
      <c r="Q462" t="n">
        <v>0</v>
      </c>
      <c r="R462" t="n">
        <v>0</v>
      </c>
      <c r="S462">
        <f>IFERROR(O462/N462,0)</f>
        <v/>
      </c>
      <c r="T462" t="n">
        <v>0</v>
      </c>
      <c r="V462" t="n">
        <v>0</v>
      </c>
    </row>
    <row r="463">
      <c r="A463">
        <f>Skills!A14</f>
        <v/>
      </c>
      <c r="B463">
        <f>Skills!B14</f>
        <v/>
      </c>
      <c r="C463">
        <f>Inputs!$B$3&gt;=75</f>
        <v/>
      </c>
      <c r="D463">
        <f>IF(Skills!C14=1,60+Inputs!$B$25+Inputs!$B$29,IF(Skills!C14=2,90+Inputs!$B$26+Inputs!$B$29,IF(Skills!C14=3,120+Inputs!$B$27+Inputs!$B$29,MAX(0,(Inputs!$B$3-100)*3)+Inputs!$B$28+Inputs!$B$29)))</f>
        <v/>
      </c>
      <c r="E463">
        <f>INDEX(FactorTable!$B$2:$Y$301, MATCH(ROUND(MIN(300,MAX(1,D463)),0), FactorTable!$A$2:$A$301,0), Skills!M14+1)</f>
        <v/>
      </c>
      <c r="F463">
        <f>IF(Skills!N14=TRUE,(Skills!L14/10)*(E463/1000),Skills!L14/10)+Skills!O14</f>
        <v/>
      </c>
      <c r="G463">
        <f>Skills!G14*IF(Skills!H14&gt;0,Skills!I14/Skills!H14,1)</f>
        <v/>
      </c>
      <c r="H463">
        <f>1-(1-Skills!J14/100)^Skills!K14</f>
        <v/>
      </c>
      <c r="I463" t="inlineStr">
        <is>
          <t>1</t>
        </is>
      </c>
      <c r="J463" t="inlineStr"/>
      <c r="K463" t="inlineStr"/>
      <c r="L463" t="inlineStr"/>
      <c r="M463" t="inlineStr"/>
      <c r="N463" t="inlineStr"/>
      <c r="O463">
        <f>(1-Summary!$B$11)*T463+Summary!$B$11*V463</f>
        <v/>
      </c>
      <c r="P463">
        <f>IF(B488=0,0,O463/B488)</f>
        <v/>
      </c>
      <c r="Q463" t="n">
        <v>0</v>
      </c>
      <c r="R463" t="n">
        <v>0</v>
      </c>
      <c r="S463">
        <f>IFERROR(O463/N463,0)</f>
        <v/>
      </c>
      <c r="T463" t="n">
        <v>0</v>
      </c>
      <c r="V463" t="n">
        <v>0</v>
      </c>
    </row>
    <row r="464">
      <c r="A464">
        <f>Skills!A15</f>
        <v/>
      </c>
      <c r="B464">
        <f>Skills!B15</f>
        <v/>
      </c>
      <c r="C464">
        <f>Inputs!$B$3&gt;=40</f>
        <v/>
      </c>
      <c r="D464">
        <f>IF(Skills!C15=1,60+Inputs!$B$25+Inputs!$B$29,IF(Skills!C15=2,90+Inputs!$B$26+Inputs!$B$29,IF(Skills!C15=3,120+Inputs!$B$27+Inputs!$B$29,MAX(0,(Inputs!$B$3-100)*3)+Inputs!$B$28+Inputs!$B$29)))</f>
        <v/>
      </c>
      <c r="E464">
        <f>INDEX(FactorTable!$B$2:$Y$301, MATCH(ROUND(MIN(300,MAX(1,D464)),0), FactorTable!$A$2:$A$301,0), Skills!M15+1)</f>
        <v/>
      </c>
      <c r="F464">
        <f>IF(Skills!N15=TRUE,(Skills!L15/10)*(E464/1000),Skills!L15/10)+Skills!O15</f>
        <v/>
      </c>
      <c r="G464">
        <f>Skills!G15*IF(Skills!H15&gt;0,Skills!I15/Skills!H15,1)</f>
        <v/>
      </c>
      <c r="H464">
        <f>1-(1-Skills!J15/100)^Skills!K15</f>
        <v/>
      </c>
      <c r="I464" t="inlineStr">
        <is>
          <t>1</t>
        </is>
      </c>
      <c r="J464" t="inlineStr"/>
      <c r="K464" t="inlineStr"/>
      <c r="L464" t="inlineStr"/>
      <c r="M464" t="inlineStr"/>
      <c r="N464" t="inlineStr"/>
      <c r="O464">
        <f>(1-Summary!$B$11)*T464+Summary!$B$11*V464</f>
        <v/>
      </c>
      <c r="P464">
        <f>IF(B488=0,0,O464/B488)</f>
        <v/>
      </c>
      <c r="Q464">
        <f>IFERROR(1/(IF(Inputs!$B$38="pvp",15,MAX(0.1,Skills!D15-IF(Skills!E15=TRUE,Inputs!$B$32,0)))*(1-IF(AND(ArtifactsInput!$M$27,Inputs!$B$4="Chapter Hunt"),CHOOSE(ArtifactsInput!$N$27+1,20,24,28,32,36,40),0)/100)),0)</f>
        <v/>
      </c>
      <c r="R464">
        <f>IF(AND(Inputs!$B$38&lt;&gt;"pvp",Inputs!$B$43&gt;0),IF(Inputs!$B$43&lt;=0,0,(INT(Inputs!$B$43/(IF(Inputs!$B$38="pvp",15,MAX(0.1,Skills!D15-IF(Skills!E15=TRUE,Inputs!$B$32,0)))*(1-IF(AND(ArtifactsInput!$M$27,Inputs!$B$4="Chapter Hunt"),CHOOSE(ArtifactsInput!$N$27+1,20,24,28,32,36,40),0)/100)))+1)),0)</f>
        <v/>
      </c>
      <c r="S464">
        <f>IFERROR(O464/N464,0)</f>
        <v/>
      </c>
      <c r="T464" t="n">
        <v>0</v>
      </c>
      <c r="V464" t="n">
        <v>0</v>
      </c>
    </row>
    <row r="465">
      <c r="A465">
        <f>Skills!A16</f>
        <v/>
      </c>
      <c r="B465">
        <f>Skills!B16</f>
        <v/>
      </c>
      <c r="C465">
        <f>Inputs!$B$3&gt;=66</f>
        <v/>
      </c>
      <c r="D465">
        <f>IF(Skills!C16=1,60+Inputs!$B$25+Inputs!$B$29,IF(Skills!C16=2,90+Inputs!$B$26+Inputs!$B$29,IF(Skills!C16=3,120+Inputs!$B$27+Inputs!$B$29,MAX(0,(Inputs!$B$3-100)*3)+Inputs!$B$28+Inputs!$B$29)))</f>
        <v/>
      </c>
      <c r="E465">
        <f>INDEX(FactorTable!$B$2:$Y$301, MATCH(ROUND(MIN(300,MAX(1,D465)),0), FactorTable!$A$2:$A$301,0), Skills!M16+1)</f>
        <v/>
      </c>
      <c r="F465">
        <f>IF(Skills!N16=TRUE,(Skills!L16/10)*(E465/1000),Skills!L16/10)+Skills!O16</f>
        <v/>
      </c>
      <c r="G465">
        <f>Skills!G16*IF(Skills!H16&gt;0,Skills!I16/Skills!H16,1)</f>
        <v/>
      </c>
      <c r="H465">
        <f>1-(1-Skills!J16/100)^Skills!K16</f>
        <v/>
      </c>
      <c r="I465" t="inlineStr">
        <is>
          <t>1</t>
        </is>
      </c>
      <c r="J465" t="inlineStr"/>
      <c r="K465" t="inlineStr"/>
      <c r="L465" t="inlineStr"/>
      <c r="M465" t="inlineStr"/>
      <c r="N465" t="inlineStr"/>
      <c r="O465">
        <f>(1-Summary!$B$11)*T465+Summary!$B$11*V465</f>
        <v/>
      </c>
      <c r="P465">
        <f>IF(B488=0,0,O465/B488)</f>
        <v/>
      </c>
      <c r="Q465">
        <f>IFERROR(1/(IF(Inputs!$B$38="pvp",15,MAX(0.1,Skills!D16-IF(Skills!E16=TRUE,Inputs!$B$32,0)))*(1-IF(AND(ArtifactsInput!$M$27,Inputs!$B$4="Chapter Hunt"),CHOOSE(ArtifactsInput!$N$27+1,20,24,28,32,36,40),0)/100)),0)</f>
        <v/>
      </c>
      <c r="R465">
        <f>IF(AND(Inputs!$B$38&lt;&gt;"pvp",Inputs!$B$43&gt;0),IF(Inputs!$B$43&lt;=0,0,(INT(Inputs!$B$43/(IF(Inputs!$B$38="pvp",15,MAX(0.1,Skills!D16-IF(Skills!E16=TRUE,Inputs!$B$32,0)))*(1-IF(AND(ArtifactsInput!$M$27,Inputs!$B$4="Chapter Hunt"),CHOOSE(ArtifactsInput!$N$27+1,20,24,28,32,36,40),0)/100)))+1)),0)</f>
        <v/>
      </c>
      <c r="S465">
        <f>IFERROR(O465/N465,0)</f>
        <v/>
      </c>
      <c r="T465" t="n">
        <v>0</v>
      </c>
      <c r="V465" t="n">
        <v>0</v>
      </c>
    </row>
    <row r="466">
      <c r="A466">
        <f>Skills!A17</f>
        <v/>
      </c>
      <c r="B466">
        <f>Skills!B17</f>
        <v/>
      </c>
      <c r="C466">
        <f>Inputs!$B$3&gt;=115</f>
        <v/>
      </c>
      <c r="D466">
        <f>IF(Skills!C17=1,60+Inputs!$B$25+Inputs!$B$29,IF(Skills!C17=2,90+Inputs!$B$26+Inputs!$B$29,IF(Skills!C17=3,120+Inputs!$B$27+Inputs!$B$29,MAX(0,(Inputs!$B$3-100)*3)+Inputs!$B$28+Inputs!$B$29)))</f>
        <v/>
      </c>
      <c r="E466">
        <f>INDEX(FactorTable!$B$2:$Y$301, MATCH(ROUND(MIN(300,MAX(1,D466)),0), FactorTable!$A$2:$A$301,0), Skills!M17+1)</f>
        <v/>
      </c>
      <c r="F466">
        <f>IF(Skills!N17=TRUE,(Skills!L17/10)*(E466/1000),Skills!L17/10)+Skills!O17</f>
        <v/>
      </c>
      <c r="G466">
        <f>Skills!G17*IF(Skills!H17&gt;0,Skills!I17/Skills!H17,1)</f>
        <v/>
      </c>
      <c r="H466">
        <f>1-(1-Skills!J17/100)^Skills!K17</f>
        <v/>
      </c>
      <c r="I466" t="inlineStr">
        <is>
          <t>1</t>
        </is>
      </c>
      <c r="J466" t="inlineStr"/>
      <c r="K466" t="inlineStr"/>
      <c r="L466" t="inlineStr"/>
      <c r="M466" t="inlineStr"/>
      <c r="N466" t="inlineStr"/>
      <c r="O466">
        <f>(1-Summary!$B$11)*T466+Summary!$B$11*V466</f>
        <v/>
      </c>
      <c r="P466">
        <f>IF(B488=0,0,O466/B488)</f>
        <v/>
      </c>
      <c r="Q466">
        <f>IFERROR(1/(IF(Inputs!$B$38="pvp",15,MAX(0.1,Skills!D17-IF(Skills!E17=TRUE,Inputs!$B$32,0)))*(1-IF(AND(ArtifactsInput!$M$27,Inputs!$B$4="Chapter Hunt"),CHOOSE(ArtifactsInput!$N$27+1,20,24,28,32,36,40),0)/100)),0)</f>
        <v/>
      </c>
      <c r="R466">
        <f>IF(AND(Inputs!$B$38&lt;&gt;"pvp",Inputs!$B$43&gt;0),IF(Inputs!$B$43&lt;=0,0,(INT(Inputs!$B$43/(IF(Inputs!$B$38="pvp",15,MAX(0.1,Skills!D17-IF(Skills!E17=TRUE,Inputs!$B$32,0)))*(1-IF(AND(ArtifactsInput!$M$27,Inputs!$B$4="Chapter Hunt"),CHOOSE(ArtifactsInput!$N$27+1,20,24,28,32,36,40),0)/100)))+1)),0)</f>
        <v/>
      </c>
      <c r="S466">
        <f>IFERROR(O466/N466,0)</f>
        <v/>
      </c>
      <c r="T466" t="n">
        <v>0</v>
      </c>
      <c r="V466" t="n">
        <v>0</v>
      </c>
    </row>
    <row r="467">
      <c r="A467">
        <f>Skills!A18</f>
        <v/>
      </c>
      <c r="B467">
        <f>Skills!B18</f>
        <v/>
      </c>
      <c r="C467">
        <f>Inputs!$B$3&gt;=115</f>
        <v/>
      </c>
      <c r="D467">
        <f>IF(Skills!C18=1,60+Inputs!$B$25+Inputs!$B$29,IF(Skills!C18=2,90+Inputs!$B$26+Inputs!$B$29,IF(Skills!C18=3,120+Inputs!$B$27+Inputs!$B$29,MAX(0,(Inputs!$B$3-100)*3)+Inputs!$B$28+Inputs!$B$29)))</f>
        <v/>
      </c>
      <c r="E467">
        <f>INDEX(FactorTable!$B$2:$Y$301, MATCH(ROUND(MIN(300,MAX(1,D467)),0), FactorTable!$A$2:$A$301,0), Skills!M18+1)</f>
        <v/>
      </c>
      <c r="F467">
        <f>IF(Skills!N18=TRUE,(Skills!L18/10)*(E467/1000),Skills!L18/10)+Skills!O18</f>
        <v/>
      </c>
      <c r="G467">
        <f>Skills!G18*IF(Skills!H18&gt;0,Skills!I18/Skills!H18,1)</f>
        <v/>
      </c>
      <c r="H467">
        <f>1-(1-Skills!J18/100)^Skills!K18</f>
        <v/>
      </c>
      <c r="I467" t="inlineStr">
        <is>
          <t>1</t>
        </is>
      </c>
      <c r="J467" t="inlineStr"/>
      <c r="K467" t="inlineStr"/>
      <c r="L467" t="inlineStr"/>
      <c r="M467" t="inlineStr"/>
      <c r="N467" t="inlineStr"/>
      <c r="O467">
        <f>(1-Summary!$B$11)*T467+Summary!$B$11*V467</f>
        <v/>
      </c>
      <c r="P467">
        <f>IF(B488=0,0,O467/B488)</f>
        <v/>
      </c>
      <c r="Q467">
        <f>IFERROR(1/(IF(Inputs!$B$38="pvp",15,MAX(0.1,Skills!D18-IF(Skills!E18=TRUE,Inputs!$B$32,0)))*(1-IF(AND(ArtifactsInput!$M$27,Inputs!$B$4="Chapter Hunt"),CHOOSE(ArtifactsInput!$N$27+1,20,24,28,32,36,40),0)/100)),0)</f>
        <v/>
      </c>
      <c r="R467">
        <f>IF(AND(Inputs!$B$38&lt;&gt;"pvp",Inputs!$B$43&gt;0),IF(Inputs!$B$43&lt;=0,0,(INT(Inputs!$B$43/(IF(Inputs!$B$38="pvp",15,MAX(0.1,Skills!D18-IF(Skills!E18=TRUE,Inputs!$B$32,0)))*(1-IF(AND(ArtifactsInput!$M$27,Inputs!$B$4="Chapter Hunt"),CHOOSE(ArtifactsInput!$N$27+1,20,24,28,32,36,40),0)/100)))+1)),0)</f>
        <v/>
      </c>
      <c r="S467">
        <f>IFERROR(O467/N467,0)</f>
        <v/>
      </c>
      <c r="T467" t="n">
        <v>0</v>
      </c>
      <c r="V467" t="n">
        <v>0</v>
      </c>
    </row>
    <row r="468">
      <c r="A468">
        <f>Skills!A19</f>
        <v/>
      </c>
      <c r="B468">
        <f>Skills!B19</f>
        <v/>
      </c>
      <c r="C468">
        <f>TRUE</f>
        <v/>
      </c>
      <c r="D468">
        <f>IF(Skills!C19=1,60+Inputs!$B$25+Inputs!$B$29,IF(Skills!C19=2,90+Inputs!$B$26+Inputs!$B$29,IF(Skills!C19=3,120+Inputs!$B$27+Inputs!$B$29,MAX(0,(Inputs!$B$3-100)*3)+Inputs!$B$28+Inputs!$B$29)))</f>
        <v/>
      </c>
      <c r="E468">
        <f>INDEX(FactorTable!$B$2:$Y$301, MATCH(ROUND(MIN(300,MAX(1,D468)),0), FactorTable!$A$2:$A$301,0), Skills!M19+1)</f>
        <v/>
      </c>
      <c r="F468">
        <f>IF(Skills!N19=TRUE,(Skills!L19/10)*(E468/1000),Skills!L19/10)+Skills!O19</f>
        <v/>
      </c>
      <c r="G468">
        <f>Skills!G19*IF(Skills!H19&gt;0,Skills!I19/Skills!H19,1)</f>
        <v/>
      </c>
      <c r="H468">
        <f>1-(1-Skills!J19/100)^Skills!K19</f>
        <v/>
      </c>
      <c r="I468" t="inlineStr">
        <is>
          <t>1</t>
        </is>
      </c>
      <c r="J468" t="inlineStr"/>
      <c r="K468" t="inlineStr"/>
      <c r="L468" t="inlineStr"/>
      <c r="M468" t="inlineStr"/>
      <c r="N468" t="inlineStr"/>
      <c r="O468">
        <f>(1-Summary!$B$11)*T468+Summary!$B$11*V468</f>
        <v/>
      </c>
      <c r="P468">
        <f>IF(B488=0,0,O468/B488)</f>
        <v/>
      </c>
      <c r="Q468">
        <f>IFERROR(1/(IF(Inputs!$B$38="pvp",15,MAX(0.1,Skills!D19-IF(Skills!E19=TRUE,Inputs!$B$32,0)))*(1-IF(AND(ArtifactsInput!$M$27,Inputs!$B$4="Chapter Hunt"),CHOOSE(ArtifactsInput!$N$27+1,20,24,28,32,36,40),0)/100)),0)</f>
        <v/>
      </c>
      <c r="R468">
        <f>IF(AND(Inputs!$B$38&lt;&gt;"pvp",Inputs!$B$43&gt;0),IF(Inputs!$B$43&lt;=0,0,(INT(Inputs!$B$43/(IF(Inputs!$B$38="pvp",15,MAX(0.1,Skills!D19-IF(Skills!E19=TRUE,Inputs!$B$32,0)))*(1-IF(AND(ArtifactsInput!$M$27,Inputs!$B$4="Chapter Hunt"),CHOOSE(ArtifactsInput!$N$27+1,20,24,28,32,36,40),0)/100)))+1)),0)</f>
        <v/>
      </c>
      <c r="S468">
        <f>IFERROR(O468/N468,0)</f>
        <v/>
      </c>
      <c r="T468" t="n">
        <v>0</v>
      </c>
      <c r="V468" t="n">
        <v>0</v>
      </c>
    </row>
    <row r="469">
      <c r="A469">
        <f>Skills!A20</f>
        <v/>
      </c>
      <c r="B469">
        <f>Skills!B20</f>
        <v/>
      </c>
      <c r="C469">
        <f>Inputs!$B$3&gt;=33</f>
        <v/>
      </c>
      <c r="D469">
        <f>IF(Skills!C20=1,60+Inputs!$B$25+Inputs!$B$29,IF(Skills!C20=2,90+Inputs!$B$26+Inputs!$B$29,IF(Skills!C20=3,120+Inputs!$B$27+Inputs!$B$29,MAX(0,(Inputs!$B$3-100)*3)+Inputs!$B$28+Inputs!$B$29)))</f>
        <v/>
      </c>
      <c r="E469">
        <f>INDEX(FactorTable!$B$2:$Y$301, MATCH(ROUND(MIN(300,MAX(1,D469)),0), FactorTable!$A$2:$A$301,0), Skills!M20+1)</f>
        <v/>
      </c>
      <c r="F469">
        <f>IF(Skills!N20=TRUE,(Skills!L20/10)*(E469/1000),Skills!L20/10)+Skills!O20</f>
        <v/>
      </c>
      <c r="G469">
        <f>Skills!G20*IF(Skills!H20&gt;0,Skills!I20/Skills!H20,1)</f>
        <v/>
      </c>
      <c r="H469">
        <f>1-(1-Skills!J20/100)^Skills!K20</f>
        <v/>
      </c>
      <c r="I469" t="inlineStr">
        <is>
          <t>1</t>
        </is>
      </c>
      <c r="J469" t="inlineStr"/>
      <c r="K469" t="inlineStr"/>
      <c r="L469" t="inlineStr"/>
      <c r="M469" t="inlineStr"/>
      <c r="N469" t="inlineStr"/>
      <c r="O469">
        <f>(1-Summary!$B$11)*T469+Summary!$B$11*V469</f>
        <v/>
      </c>
      <c r="P469">
        <f>IF(B488=0,0,O469/B488)</f>
        <v/>
      </c>
      <c r="Q469" t="n">
        <v>0</v>
      </c>
      <c r="R469" t="n">
        <v>0</v>
      </c>
      <c r="S469">
        <f>IFERROR(O469/N469,0)</f>
        <v/>
      </c>
      <c r="T469" t="n">
        <v>0</v>
      </c>
      <c r="V469" t="n">
        <v>0</v>
      </c>
    </row>
    <row r="470">
      <c r="A470">
        <f>Skills!A21</f>
        <v/>
      </c>
      <c r="B470">
        <f>Skills!B21</f>
        <v/>
      </c>
      <c r="C470">
        <f>Inputs!$B$3&gt;=38</f>
        <v/>
      </c>
      <c r="D470">
        <f>IF(Skills!C21=1,60+Inputs!$B$25+Inputs!$B$29,IF(Skills!C21=2,90+Inputs!$B$26+Inputs!$B$29,IF(Skills!C21=3,120+Inputs!$B$27+Inputs!$B$29,MAX(0,(Inputs!$B$3-100)*3)+Inputs!$B$28+Inputs!$B$29)))</f>
        <v/>
      </c>
      <c r="E470">
        <f>INDEX(FactorTable!$B$2:$Y$301, MATCH(ROUND(MIN(300,MAX(1,D470)),0), FactorTable!$A$2:$A$301,0), Skills!M21+1)</f>
        <v/>
      </c>
      <c r="F470">
        <f>IF(Skills!N21=TRUE,(Skills!L21/10)*(E470/1000),Skills!L21/10)+Skills!O21</f>
        <v/>
      </c>
      <c r="G470">
        <f>Skills!G21*IF(Skills!H21&gt;0,Skills!I21/Skills!H21,1)</f>
        <v/>
      </c>
      <c r="H470">
        <f>1-(1-Skills!J21/100)^Skills!K21</f>
        <v/>
      </c>
      <c r="I470" t="inlineStr">
        <is>
          <t>1</t>
        </is>
      </c>
      <c r="J470" t="inlineStr"/>
      <c r="K470" t="inlineStr"/>
      <c r="L470" t="inlineStr"/>
      <c r="M470" t="inlineStr"/>
      <c r="N470" t="inlineStr"/>
      <c r="O470">
        <f>(1-Summary!$B$11)*T470+Summary!$B$11*V470</f>
        <v/>
      </c>
      <c r="P470">
        <f>IF(B488=0,0,O470/B488)</f>
        <v/>
      </c>
      <c r="Q470" t="n">
        <v>0</v>
      </c>
      <c r="R470" t="n">
        <v>0</v>
      </c>
      <c r="S470">
        <f>IFERROR(O470/N470,0)</f>
        <v/>
      </c>
      <c r="T470" t="n">
        <v>0</v>
      </c>
      <c r="V470" t="n">
        <v>0</v>
      </c>
    </row>
    <row r="471">
      <c r="A471">
        <f>Skills!A22</f>
        <v/>
      </c>
      <c r="B471">
        <f>Skills!B22</f>
        <v/>
      </c>
      <c r="C471">
        <f>Inputs!$B$3&gt;=43</f>
        <v/>
      </c>
      <c r="D471">
        <f>IF(Skills!C22=1,60+Inputs!$B$25+Inputs!$B$29,IF(Skills!C22=2,90+Inputs!$B$26+Inputs!$B$29,IF(Skills!C22=3,120+Inputs!$B$27+Inputs!$B$29,MAX(0,(Inputs!$B$3-100)*3)+Inputs!$B$28+Inputs!$B$29)))</f>
        <v/>
      </c>
      <c r="E471">
        <f>INDEX(FactorTable!$B$2:$Y$301, MATCH(ROUND(MIN(300,MAX(1,D471)),0), FactorTable!$A$2:$A$301,0), Skills!M22+1)</f>
        <v/>
      </c>
      <c r="F471">
        <f>IF(Skills!N22=TRUE,(Skills!L22/10)*(E471/1000),Skills!L22/10)+Skills!O22</f>
        <v/>
      </c>
      <c r="G471">
        <f>Skills!G22*IF(Skills!H22&gt;0,Skills!I22/Skills!H22,1)</f>
        <v/>
      </c>
      <c r="H471">
        <f>1-(1-Skills!J22/100)^Skills!K22</f>
        <v/>
      </c>
      <c r="I471" t="inlineStr">
        <is>
          <t>1</t>
        </is>
      </c>
      <c r="J471" t="inlineStr"/>
      <c r="K471" t="inlineStr"/>
      <c r="L471" t="inlineStr"/>
      <c r="M471" t="inlineStr"/>
      <c r="N471" t="inlineStr"/>
      <c r="O471">
        <f>(1-Summary!$B$11)*T471+Summary!$B$11*V471</f>
        <v/>
      </c>
      <c r="P471">
        <f>IF(B488=0,0,O471/B488)</f>
        <v/>
      </c>
      <c r="Q471" t="n">
        <v>0</v>
      </c>
      <c r="R471" t="n">
        <v>0</v>
      </c>
      <c r="S471">
        <f>IFERROR(O471/N471,0)</f>
        <v/>
      </c>
      <c r="T471" t="n">
        <v>0</v>
      </c>
      <c r="V471" t="n">
        <v>0</v>
      </c>
    </row>
    <row r="472">
      <c r="A472">
        <f>Skills!A23</f>
        <v/>
      </c>
      <c r="B472">
        <f>Skills!B23</f>
        <v/>
      </c>
      <c r="C472">
        <f>Inputs!$B$3&gt;=120</f>
        <v/>
      </c>
      <c r="D472">
        <f>IF(Skills!C23=1,60+Inputs!$B$25+Inputs!$B$29,IF(Skills!C23=2,90+Inputs!$B$26+Inputs!$B$29,IF(Skills!C23=3,120+Inputs!$B$27+Inputs!$B$29,MAX(0,(Inputs!$B$3-100)*3)+Inputs!$B$28+Inputs!$B$29)))</f>
        <v/>
      </c>
      <c r="E472">
        <f>INDEX(FactorTable!$B$2:$Y$301, MATCH(ROUND(MIN(300,MAX(1,D472)),0), FactorTable!$A$2:$A$301,0), Skills!M23+1)</f>
        <v/>
      </c>
      <c r="F472">
        <f>IF(Skills!N23=TRUE,(Skills!L23/10)*(E472/1000),Skills!L23/10)+Skills!O23</f>
        <v/>
      </c>
      <c r="G472">
        <f>Skills!G23*IF(Skills!H23&gt;0,Skills!I23/Skills!H23,1)</f>
        <v/>
      </c>
      <c r="H472">
        <f>1-(1-Skills!J23/100)^Skills!K23</f>
        <v/>
      </c>
      <c r="I472" t="inlineStr">
        <is>
          <t>1</t>
        </is>
      </c>
      <c r="J472" t="inlineStr"/>
      <c r="K472" t="inlineStr"/>
      <c r="L472" t="inlineStr"/>
      <c r="M472" t="inlineStr"/>
      <c r="N472" t="inlineStr"/>
      <c r="O472">
        <f>(1-Summary!$B$11)*T472+Summary!$B$11*V472</f>
        <v/>
      </c>
      <c r="P472">
        <f>IF(B488=0,0,O472/B488)</f>
        <v/>
      </c>
      <c r="Q472" t="n">
        <v>0</v>
      </c>
      <c r="R472" t="n">
        <v>0</v>
      </c>
      <c r="S472">
        <f>IFERROR(O472/N472,0)</f>
        <v/>
      </c>
      <c r="T472" t="n">
        <v>0</v>
      </c>
      <c r="V472" t="n">
        <v>0</v>
      </c>
    </row>
    <row r="473">
      <c r="A473">
        <f>Skills!A24</f>
        <v/>
      </c>
      <c r="B473">
        <f>Skills!B24</f>
        <v/>
      </c>
      <c r="C473">
        <f>Inputs!$B$3&gt;=120</f>
        <v/>
      </c>
      <c r="D473">
        <f>IF(Skills!C24=1,60+Inputs!$B$25+Inputs!$B$29,IF(Skills!C24=2,90+Inputs!$B$26+Inputs!$B$29,IF(Skills!C24=3,120+Inputs!$B$27+Inputs!$B$29,MAX(0,(Inputs!$B$3-100)*3)+Inputs!$B$28+Inputs!$B$29)))</f>
        <v/>
      </c>
      <c r="E473">
        <f>INDEX(FactorTable!$B$2:$Y$301, MATCH(ROUND(MIN(300,MAX(1,D473)),0), FactorTable!$A$2:$A$301,0), Skills!M24+1)</f>
        <v/>
      </c>
      <c r="F473">
        <f>IF(Skills!N24=TRUE,(Skills!L24/10)*(E473/1000),Skills!L24/10)+Skills!O24</f>
        <v/>
      </c>
      <c r="G473">
        <f>Skills!G24*IF(Skills!H24&gt;0,Skills!I24/Skills!H24,1)</f>
        <v/>
      </c>
      <c r="H473">
        <f>1-(1-Skills!J24/100)^Skills!K24</f>
        <v/>
      </c>
      <c r="I473" t="inlineStr">
        <is>
          <t>1</t>
        </is>
      </c>
      <c r="J473" t="inlineStr"/>
      <c r="K473" t="inlineStr"/>
      <c r="L473" t="inlineStr"/>
      <c r="M473" t="inlineStr"/>
      <c r="N473" t="inlineStr"/>
      <c r="O473">
        <f>(1-Summary!$B$11)*T473+Summary!$B$11*V473</f>
        <v/>
      </c>
      <c r="P473">
        <f>IF(B488=0,0,O473/B488)</f>
        <v/>
      </c>
      <c r="Q473" t="n">
        <v>0</v>
      </c>
      <c r="R473" t="n">
        <v>0</v>
      </c>
      <c r="S473">
        <f>IFERROR(O473/N473,0)</f>
        <v/>
      </c>
      <c r="T473" t="n">
        <v>0</v>
      </c>
      <c r="V473" t="n">
        <v>0</v>
      </c>
    </row>
    <row r="474">
      <c r="A474">
        <f>Skills!A25</f>
        <v/>
      </c>
      <c r="B474">
        <f>Skills!B25</f>
        <v/>
      </c>
      <c r="C474">
        <f>Inputs!$B$3&gt;=125</f>
        <v/>
      </c>
      <c r="D474">
        <f>IF(Skills!C25=1,60+Inputs!$B$25+Inputs!$B$29,IF(Skills!C25=2,90+Inputs!$B$26+Inputs!$B$29,IF(Skills!C25=3,120+Inputs!$B$27+Inputs!$B$29,MAX(0,(Inputs!$B$3-100)*3)+Inputs!$B$28+Inputs!$B$29)))</f>
        <v/>
      </c>
      <c r="E474">
        <f>INDEX(FactorTable!$B$2:$Y$301, MATCH(ROUND(MIN(300,MAX(1,D474)),0), FactorTable!$A$2:$A$301,0), Skills!M25+1)</f>
        <v/>
      </c>
      <c r="F474">
        <f>IF(Skills!N25=TRUE,(Skills!L25/10)*(E474/1000),Skills!L25/10)+Skills!O25</f>
        <v/>
      </c>
      <c r="G474">
        <f>Skills!G25*IF(Skills!H25&gt;0,Skills!I25/Skills!H25,1)</f>
        <v/>
      </c>
      <c r="H474">
        <f>1-(1-Skills!J25/100)^Skills!K25</f>
        <v/>
      </c>
      <c r="I474" t="inlineStr">
        <is>
          <t>1</t>
        </is>
      </c>
      <c r="J474" t="inlineStr"/>
      <c r="K474" t="inlineStr"/>
      <c r="L474" t="inlineStr"/>
      <c r="M474" t="inlineStr"/>
      <c r="N474" t="inlineStr"/>
      <c r="O474">
        <f>(1-Summary!$B$11)*T474+Summary!$B$11*V474</f>
        <v/>
      </c>
      <c r="P474">
        <f>IF(B488=0,0,O474/B488)</f>
        <v/>
      </c>
      <c r="Q474" t="n">
        <v>0</v>
      </c>
      <c r="R474" t="n">
        <v>0</v>
      </c>
      <c r="S474">
        <f>IFERROR(O474/N474,0)</f>
        <v/>
      </c>
      <c r="T474" t="n">
        <v>0</v>
      </c>
      <c r="V474" t="n">
        <v>0</v>
      </c>
    </row>
    <row r="475">
      <c r="A475">
        <f>Skills!A26</f>
        <v/>
      </c>
      <c r="B475">
        <f>Skills!B26</f>
        <v/>
      </c>
      <c r="C475">
        <f>Inputs!$B$3&gt;=72</f>
        <v/>
      </c>
      <c r="D475">
        <f>IF(Skills!C26=1,60+Inputs!$B$25+Inputs!$B$29,IF(Skills!C26=2,90+Inputs!$B$26+Inputs!$B$29,IF(Skills!C26=3,120+Inputs!$B$27+Inputs!$B$29,MAX(0,(Inputs!$B$3-100)*3)+Inputs!$B$28+Inputs!$B$29)))</f>
        <v/>
      </c>
      <c r="E475">
        <f>INDEX(FactorTable!$B$2:$Y$301, MATCH(ROUND(MIN(300,MAX(1,D475)),0), FactorTable!$A$2:$A$301,0), Skills!M26+1)</f>
        <v/>
      </c>
      <c r="F475">
        <f>IF(Skills!N26=TRUE,(Skills!L26/10)*(E475/1000),Skills!L26/10)+Skills!O26</f>
        <v/>
      </c>
      <c r="G475">
        <f>Skills!G26*IF(Skills!H26&gt;0,Skills!I26/Skills!H26,1)</f>
        <v/>
      </c>
      <c r="H475">
        <f>1-(1-Skills!J26/100)^Skills!K26</f>
        <v/>
      </c>
      <c r="I475" t="inlineStr">
        <is>
          <t>1</t>
        </is>
      </c>
      <c r="J475" t="inlineStr"/>
      <c r="K475" t="inlineStr"/>
      <c r="L475" t="inlineStr"/>
      <c r="M475" t="inlineStr"/>
      <c r="N475" t="inlineStr"/>
      <c r="O475">
        <f>(1-Summary!$B$11)*T475+Summary!$B$11*V475</f>
        <v/>
      </c>
      <c r="P475">
        <f>IF(B488=0,0,O475/B488)</f>
        <v/>
      </c>
      <c r="Q475" t="n">
        <v>0</v>
      </c>
      <c r="R475" t="n">
        <v>0</v>
      </c>
      <c r="S475">
        <f>IFERROR(O475/N475,0)</f>
        <v/>
      </c>
      <c r="T475" t="n">
        <v>0</v>
      </c>
      <c r="V475" t="n">
        <v>0</v>
      </c>
    </row>
    <row r="477">
      <c r="A477" t="inlineStr">
        <is>
          <t>Attack% Bucket Multiplier</t>
        </is>
      </c>
      <c r="B477">
        <f>(1+(((C462=TRUE)*F462*IF(Inputs!$B$3&gt;=110,7,5))+((C464=TRUE)*F464*IF(AND(Inputs!$B$38&lt;&gt;"pvp",Inputs!$B$43&gt;0),(((R464-1)*(Skills!T15*(1+(Inputs!$B$34+(ArtifactsInput!$M$7-ArtifactsInput!$M$7)*CHOOSE(ArtifactsInput!$N$7+1,6,7.2,8.4,9.6,10.8,12))/100))+MIN((Skills!T15*(1+(Inputs!$B$34+(ArtifactsInput!$M$7-ArtifactsInput!$M$7)*CHOOSE(ArtifactsInput!$N$7+1,6,7.2,8.4,9.6,10.8,12))/100)),MAX(0,Inputs!$B$43-((R464-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78">
      <c r="A478" t="inlineStr">
        <is>
          <t>Global Crit Rate Bonus %</t>
        </is>
      </c>
      <c r="B478" t="n">
        <v>0</v>
      </c>
    </row>
    <row r="479">
      <c r="A479" t="inlineStr">
        <is>
          <t>Attack Speed Buff Bonus %</t>
        </is>
      </c>
      <c r="B479">
        <f>((C468=TRUE)*F468*IF(AND(Inputs!$B$38&lt;&gt;"pvp",Inputs!$B$43&gt;0),(((R468-1)*(Skills!T19*(1+(Inputs!$B$34+(ArtifactsInput!$M$7-ArtifactsInput!$M$7)*CHOOSE(ArtifactsInput!$N$7+1,6,7.2,8.4,9.6,10.8,12))/100))+MIN((Skills!T19*(1+(Inputs!$B$34+(ArtifactsInput!$M$7-ArtifactsInput!$M$7)*CHOOSE(ArtifactsInput!$N$7+1,6,7.2,8.4,9.6,10.8,12))/100)),MAX(0,Inputs!$B$43-((R468-1)*Skills!D19))))/Inputs!$B$43),IF(Inputs!$B$38="pvp",MIN((Skills!T19*(1+(Inputs!$B$34+(ArtifactsInput!$M$7-ArtifactsInput!$M$7)*CHOOSE(ArtifactsInput!$N$7+1,6,7.2,8.4,9.6,10.8,12))/100)),15)/15,(Skills!T19*(1+(Inputs!$B$34+(ArtifactsInput!$M$7-ArtifactsInput!$M$7)*CHOOSE(ArtifactsInput!$N$7+1,6,7.2,8.4,9.6,10.8,12))/100))/Skills!D19)))</f>
        <v/>
      </c>
    </row>
    <row r="480">
      <c r="A480" t="inlineStr">
        <is>
          <t>Actions Per Second</t>
        </is>
      </c>
      <c r="B480">
        <f>1+MIN(150,150*(1-(1-(Inputs!$B$11+((C469=TRUE)*(F469-Calc!F20)))/150)*(1-B479/150)))/100</f>
        <v/>
      </c>
    </row>
    <row r="481">
      <c r="A481" t="inlineStr">
        <is>
          <t>Skill + Buff Cast Rate</t>
        </is>
      </c>
      <c r="B481">
        <f>IF(AND(Inputs!$B$38&lt;&gt;"pvp",Inputs!$B$43&gt;0),SUMPRODUCT((Skills!E2:E26=TRUE)*(C451:C475=TRUE)*R451:R475*Skills!F2:F26)/Inputs!$B$43,SUMPRODUCT((Skills!E2:E26=TRUE)*(C451:C475=TRUE)*Q451:Q475*Skills!F2:F26))</f>
        <v/>
      </c>
    </row>
    <row r="482">
      <c r="A482" t="inlineStr">
        <is>
          <t>Raging Blow Casts Per Second</t>
        </is>
      </c>
      <c r="B482">
        <f>MAX(0,B480-B481)</f>
        <v/>
      </c>
    </row>
    <row r="483">
      <c r="A483" t="inlineStr">
        <is>
          <t>Global Critical Damage Bonus % (Enrage)</t>
        </is>
      </c>
      <c r="B483">
        <f>((C467=TRUE)*F467*IF(AND(Inputs!$B$38&lt;&gt;"pvp",Inputs!$B$43&gt;0),(((R467-1)*(Skills!T18*(1+(Inputs!$B$34+(ArtifactsInput!$M$7-ArtifactsInput!$M$7)*CHOOSE(ArtifactsInput!$N$7+1,6,7.2,8.4,9.6,10.8,12))/100))+MIN((Skills!T18*(1+(Inputs!$B$34+(ArtifactsInput!$M$7-ArtifactsInput!$M$7)*CHOOSE(ArtifactsInput!$N$7+1,6,7.2,8.4,9.6,10.8,12))/100)),MAX(0,Inputs!$B$43-((R467-1)*Skills!D18))))/Inputs!$B$43),IF(Inputs!$B$38="pvp",MIN((Skills!T18*(1+(Inputs!$B$34+(ArtifactsInput!$M$7-ArtifactsInput!$M$7)*CHOOSE(ArtifactsInput!$N$7+1,6,7.2,8.4,9.6,10.8,12))/100)),15)/15,(Skills!T18*(1+(Inputs!$B$34+(ArtifactsInput!$M$7-ArtifactsInput!$M$7)*CHOOSE(ArtifactsInput!$N$7+1,6,7.2,8.4,9.6,10.8,12))/100))/Skills!D18)))</f>
        <v/>
      </c>
    </row>
    <row r="484">
      <c r="A484" t="inlineStr">
        <is>
          <t>Global Final Damage Bonus % (Enrage + Combo Synergy)</t>
        </is>
      </c>
      <c r="B484">
        <f>((C466=TRUE)*F466*IF(AND(Inputs!$B$38&lt;&gt;"pvp",Inputs!$B$43&gt;0),(((R466-1)*(Skills!T17*(1+(Inputs!$B$34+(ArtifactsInput!$M$7-ArtifactsInput!$M$7)*CHOOSE(ArtifactsInput!$N$7+1,6,7.2,8.4,9.6,10.8,12))/100))+MIN((Skills!T17*(1+(Inputs!$B$34+(ArtifactsInput!$M$7-ArtifactsInput!$M$7)*CHOOSE(ArtifactsInput!$N$7+1,6,7.2,8.4,9.6,10.8,12))/100)),MAX(0,Inputs!$B$43-((R466-1)*Skills!D17))))/Inputs!$B$43),IF(Inputs!$B$38="pvp",MIN((Skills!T17*(1+(Inputs!$B$34+(ArtifactsInput!$M$7-ArtifactsInput!$M$7)*CHOOSE(ArtifactsInput!$N$7+1,6,7.2,8.4,9.6,10.8,12))/100)),15)/15,(Skills!T17*(1+(Inputs!$B$34+(ArtifactsInput!$M$7-ArtifactsInput!$M$7)*CHOOSE(ArtifactsInput!$N$7+1,6,7.2,8.4,9.6,10.8,12))/100))/Skills!D17)))+((C463=TRUE)*F463*IF(Inputs!$B$3&gt;=110,7,5))</f>
        <v/>
      </c>
    </row>
    <row r="485">
      <c r="A485" t="inlineStr">
        <is>
          <t>Buff-Casting Startup Delay (s, fixed-duration only)</t>
        </is>
      </c>
      <c r="B485">
        <f>IF(AND(Inputs!$B$38&lt;&gt;"pvp",Inputs!$B$43&gt;0),SUMPRODUCT((Skills!T2:T26&gt;0)*(Skills!E2:E26=TRUE)*(C451:C475=TRUE))/B480,0)</f>
        <v/>
      </c>
    </row>
    <row r="486">
      <c r="A486" t="inlineStr">
        <is>
          <t>Boss-Only Total DPS (this block's swept value)</t>
        </is>
      </c>
      <c r="B486">
        <f>SUM(T451:T475)</f>
        <v/>
      </c>
    </row>
    <row r="487">
      <c r="A487" t="inlineStr">
        <is>
          <t>Normal-Only Total DPS (this block's swept value)</t>
        </is>
      </c>
      <c r="B487">
        <f>SUM(V451:V475)</f>
        <v/>
      </c>
    </row>
    <row r="488">
      <c r="A488" s="6" t="inlineStr">
        <is>
          <t>TOTAL DPS</t>
        </is>
      </c>
      <c r="B488" s="6">
        <f>SUM(O451:O475)</f>
        <v/>
      </c>
    </row>
    <row r="491">
      <c r="A491" s="6" t="inlineStr">
        <is>
          <t>Stat: CRIT_RATE %</t>
        </is>
      </c>
    </row>
    <row r="492">
      <c r="A492" s="5" t="inlineStr">
        <is>
          <t>Key</t>
        </is>
      </c>
      <c r="B492" s="5" t="inlineStr">
        <is>
          <t>Name</t>
        </is>
      </c>
      <c r="C492" s="5" t="inlineStr">
        <is>
          <t>Unlocked</t>
        </is>
      </c>
      <c r="D492" s="5" t="inlineStr">
        <is>
          <t>InputLevel</t>
        </is>
      </c>
      <c r="E492" s="5" t="inlineStr">
        <is>
          <t>Factor</t>
        </is>
      </c>
      <c r="F492" s="5" t="inlineStr">
        <is>
          <t>CoefficientPercent</t>
        </is>
      </c>
      <c r="G492" s="5" t="inlineStr">
        <is>
          <t>EffectiveHits</t>
        </is>
      </c>
      <c r="H492" s="5" t="inlineStr">
        <is>
          <t>ProcProbability</t>
        </is>
      </c>
      <c r="I492" s="5" t="inlineStr">
        <is>
          <t>MapleHeroMultiplier</t>
        </is>
      </c>
      <c r="J492" s="5" t="inlineStr">
        <is>
          <t>BaseDamage</t>
        </is>
      </c>
      <c r="K492" s="5" t="inlineStr">
        <is>
          <t>BaseHitDamage</t>
        </is>
      </c>
      <c r="L492" s="5" t="inlineStr">
        <is>
          <t>NonCritAvg</t>
        </is>
      </c>
      <c r="M492" s="5" t="inlineStr">
        <is>
          <t>CritAvg</t>
        </is>
      </c>
      <c r="N492" s="5" t="inlineStr">
        <is>
          <t>ExpectedDamage(perHit)</t>
        </is>
      </c>
      <c r="O492" s="5" t="inlineStr">
        <is>
          <t>DPS</t>
        </is>
      </c>
      <c r="P492" s="5" t="inlineStr">
        <is>
          <t>% of Total</t>
        </is>
      </c>
      <c r="Q492" s="5" t="inlineStr">
        <is>
          <t>InvCooldown</t>
        </is>
      </c>
      <c r="R492" s="5" t="inlineStr">
        <is>
          <t>CastsInFight</t>
        </is>
      </c>
      <c r="S492" s="5" t="inlineStr">
        <is>
          <t>HitRate(perSec)</t>
        </is>
      </c>
      <c r="U492" t="inlineStr">
        <is>
          <t>helpers</t>
        </is>
      </c>
    </row>
    <row r="493">
      <c r="A493">
        <f>Skills!A2</f>
        <v/>
      </c>
      <c r="B493">
        <f>Skills!B2</f>
        <v/>
      </c>
      <c r="C493">
        <f>Inputs!$B$3&gt;=100</f>
        <v/>
      </c>
      <c r="D493" t="inlineStr"/>
      <c r="E493" t="inlineStr"/>
      <c r="F493">
        <f>U495+Skills!O2</f>
        <v/>
      </c>
      <c r="G493">
        <f>Skills!G2*IF(Skills!H2&gt;0,Skills!I2/Skills!H2,1)</f>
        <v/>
      </c>
      <c r="H493">
        <f>1-(1-Skills!J2/100)^Skills!K2</f>
        <v/>
      </c>
      <c r="I493" t="inlineStr">
        <is>
          <t>1</t>
        </is>
      </c>
      <c r="J493">
        <f>((Inputs!$B$6*(1+Inputs!$B$7/100))+(((Inputs!$B$12*(1+Inputs!$B$13/100))-(Inputs!$B$12*(1+Inputs!$B$13/100)))+0.25*(Inputs!$B$14-Inputs!$B$14))*(1+Inputs!$B$7/100))*(F493/100)</f>
        <v/>
      </c>
      <c r="K493">
        <f>J493*(1+((Inputs!$B$12*(1+Inputs!$B$13/100))*0.01+Inputs!$B$14*0.0025)/100)*(1+Inputs!$B$15/100)*(1+Inputs!$B$16/100)*(5000/(6000+Inputs!$B$42*(1-(100*(1-(1-(Inputs!$B$19+0)/100)*(1-CHOOSE(ArtifactsInput!$N$40+1,5,6,7,8,9,10)/100)^(ArtifactsInput!$M$40-ArtifactsInput!$M$40)))/100)))*(1+(Inputs!$B$24+((C516=TRUE)*(F516-Calc!F25))+B526)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512=TRUE)*(F512-Calc!F21))+(((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C514=TRUE)*(F514-Calc!F23)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(1+(((C504=TRUE)*F504*IF(Inputs!$B$3&gt;=110,7,5))+((C506=TRUE)*F506*IF(AND(Inputs!$B$38&lt;&gt;"pvp",Inputs!$B$43&gt;0),(((R506-1)*(Skills!T15*(1+(Inputs!$B$34+(ArtifactsInput!$M$7-ArtifactsInput!$M$7)*CHOOSE(ArtifactsInput!$N$7+1,6,7.2,8.4,9.6,10.8,12))/100))+MIN((Skills!T15*(1+(Inputs!$B$34+(ArtifactsInput!$M$7-ArtifactsInput!$M$7)*CHOOSE(ArtifactsInput!$N$7+1,6,7.2,8.4,9.6,10.8,12))/100)),MAX(0,Inputs!$B$43-((R506-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Hunt"),CHOOSE(ArtifactsInput!$N$35+1,15,18,21,24,27,30)*(1-EXP(-(0.2*B522)*5)),0)+IF(AND(ArtifactsInput!$M$22,Inputs!$B$4&lt;&gt;"Chapter Hunt"),CHOOSE(ArtifactsInput!$N$22+1,10,12,14,16,18,20)*((0*(((0.15*B522*5))^0/1)+1*(((0.15*B522*5))^1/1)+2*(((0.15*B522*5))^2/2)+3*(((0.15*B522*5))^3/6)+4*(((0.15*B522*5))^4/24)+5*(((0.15*B522*5))^5/120))/((((0.15*B522*5))^0/1)+(((0.15*B522*5))^1/1)+(((0.15*B522*5))^2/2)+(((0.15*B522*5))^3/6)+(((0.15*B522*5))^4/24)+(((0.15*B522*5))^5/120))),0)))/100)*I493)</f>
        <v/>
      </c>
      <c r="L493">
        <f>K493*(MIN(Inputs!$B$22+((C513=TRUE)*(F513-Calc!F22)),(Inputs!$B$23+((C515=TRUE)*(F515-Calc!F24))+(IF(ArtifactsInput!$M$15,CHOOSE(ArtifactsInput!$N$15+1,25,30,35,40,45,50)/100*(Inputs!$B$11-Inputs!$B$11),0))))/100+(Inputs!$B$23+((C515=TRUE)*(F515-Calc!F24))+(IF(ArtifactsInput!$M$15,CHOOSE(ArtifactsInput!$N$15+1,25,30,35,40,45,50)/100*(Inputs!$B$11-Inputs!$B$11),0)))/100)/2</f>
        <v/>
      </c>
      <c r="M493">
        <f>L493*(1+(Inputs!$B$10+0+B525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93">
        <f>L493*(1-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493*(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3">
        <f>(1-Summary!$B$11)*T493+Summary!$B$11*V493</f>
        <v/>
      </c>
      <c r="P493">
        <f>IF(B530=0,0,O493/B530)</f>
        <v/>
      </c>
      <c r="Q493" t="n">
        <v>0</v>
      </c>
      <c r="R493" t="n">
        <v>0</v>
      </c>
      <c r="S493">
        <f>IFERROR(O493/N493,0)</f>
        <v/>
      </c>
      <c r="T493">
        <f>IF(C493,(Skills!G2*N493*B524)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493*(1-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493*(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493*(1-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493*(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93">
        <f>MAX(0,(Inputs!$B$3-100)*3)+Inputs!$B$28+Inputs!$B$29</f>
        <v/>
      </c>
      <c r="V493">
        <f>IF(C493,(Skills!G2*N493*B524)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4">
      <c r="A494">
        <f>Skills!A3</f>
        <v/>
      </c>
      <c r="B494">
        <f>Skills!B3</f>
        <v/>
      </c>
      <c r="C494">
        <f>Inputs!$B$3&gt;=50</f>
        <v/>
      </c>
      <c r="D494">
        <f>IF(Skills!C3=1,60+Inputs!$B$25+Inputs!$B$29,IF(Skills!C3=2,90+Inputs!$B$26+Inputs!$B$29,IF(Skills!C3=3,120+Inputs!$B$27+Inputs!$B$29,MAX(0,(Inputs!$B$3-100)*3)+Inputs!$B$28+Inputs!$B$29)))</f>
        <v/>
      </c>
      <c r="E494">
        <f>INDEX(FactorTable!$B$2:$Y$301, MATCH(ROUND(MIN(300,MAX(1,D494)),0), FactorTable!$A$2:$A$301,0), Skills!M3+1)</f>
        <v/>
      </c>
      <c r="F494">
        <f>IF(Skills!N3=TRUE,(Skills!L3/10)*(E494/1000),Skills!L3/10)+Skills!O3</f>
        <v/>
      </c>
      <c r="G494" t="inlineStr"/>
      <c r="H494" t="inlineStr"/>
      <c r="I494" t="inlineStr">
        <is>
          <t>1</t>
        </is>
      </c>
      <c r="J494" t="inlineStr"/>
      <c r="K494" t="inlineStr"/>
      <c r="L494" t="inlineStr"/>
      <c r="M494" t="inlineStr"/>
      <c r="N494" t="inlineStr"/>
      <c r="O494" t="inlineStr"/>
      <c r="P494" t="inlineStr"/>
      <c r="Q494" t="inlineStr"/>
      <c r="R494" t="inlineStr"/>
      <c r="S494" t="inlineStr"/>
      <c r="U494">
        <f>INDEX(FactorTable!$B$2:$Y$301, MATCH(ROUND(MIN(300,MAX(1,U493)),0), FactorTable!$A$2:$A$301,0), 22)</f>
        <v/>
      </c>
    </row>
    <row r="495">
      <c r="A495">
        <f>Skills!A4</f>
        <v/>
      </c>
      <c r="B495">
        <f>Skills!B4</f>
        <v/>
      </c>
      <c r="C495">
        <f>Inputs!$B$3&gt;=105</f>
        <v/>
      </c>
      <c r="D495">
        <f>IF(Skills!C4=1,60+Inputs!$B$25+Inputs!$B$29,IF(Skills!C4=2,90+Inputs!$B$26+Inputs!$B$29,IF(Skills!C4=3,120+Inputs!$B$27+Inputs!$B$29,MAX(0,(Inputs!$B$3-100)*3)+Inputs!$B$28+Inputs!$B$29)))</f>
        <v/>
      </c>
      <c r="E495">
        <f>INDEX(FactorTable!$B$2:$Y$301, MATCH(ROUND(MIN(300,MAX(1,D495)),0), FactorTable!$A$2:$A$301,0), Skills!M4+1)</f>
        <v/>
      </c>
      <c r="F495">
        <f>IF(Skills!N4=TRUE,(Skills!L4/10)*(E495/1000),Skills!L4/10)+Skills!O4</f>
        <v/>
      </c>
      <c r="G495" t="inlineStr"/>
      <c r="H495" t="inlineStr"/>
      <c r="I495" t="inlineStr">
        <is>
          <t>1</t>
        </is>
      </c>
      <c r="J495" t="inlineStr"/>
      <c r="K495" t="inlineStr"/>
      <c r="L495" t="inlineStr"/>
      <c r="M495" t="inlineStr"/>
      <c r="N495" t="inlineStr"/>
      <c r="O495" t="inlineStr"/>
      <c r="P495" t="inlineStr"/>
      <c r="Q495" t="inlineStr"/>
      <c r="R495" t="inlineStr"/>
      <c r="S495" t="inlineStr"/>
      <c r="U495">
        <f>290*U494/1000</f>
        <v/>
      </c>
    </row>
    <row r="496">
      <c r="A496">
        <f>Skills!A5</f>
        <v/>
      </c>
      <c r="B496">
        <f>Skills!B5</f>
        <v/>
      </c>
      <c r="C496">
        <f>Inputs!$B$3&gt;=103</f>
        <v/>
      </c>
      <c r="D496">
        <f>IF(Skills!C5=1,60+Inputs!$B$25+Inputs!$B$29,IF(Skills!C5=2,90+Inputs!$B$26+Inputs!$B$29,IF(Skills!C5=3,120+Inputs!$B$27+Inputs!$B$29,MAX(0,(Inputs!$B$3-100)*3)+Inputs!$B$28+Inputs!$B$29)))</f>
        <v/>
      </c>
      <c r="E496">
        <f>INDEX(FactorTable!$B$2:$Y$301, MATCH(ROUND(MIN(300,MAX(1,D496)),0), FactorTable!$A$2:$A$301,0), Skills!M5+1)</f>
        <v/>
      </c>
      <c r="F496">
        <f>IF(Skills!N5=TRUE,(Skills!L5/10)*(E496/1000),Skills!L5/10)+Skills!O5</f>
        <v/>
      </c>
      <c r="G496">
        <f>Skills!G5*IF(Skills!H5&gt;0,Skills!I5/Skills!H5,1)</f>
        <v/>
      </c>
      <c r="H496">
        <f>1-(1-Skills!J5/100)^Skills!K5</f>
        <v/>
      </c>
      <c r="I496" t="inlineStr">
        <is>
          <t>1</t>
        </is>
      </c>
      <c r="J496">
        <f>((Inputs!$B$6*(1+Inputs!$B$7/100))+(((Inputs!$B$12*(1+Inputs!$B$13/100))-(Inputs!$B$12*(1+Inputs!$B$13/100)))+0.25*(Inputs!$B$14-Inputs!$B$14))*(1+Inputs!$B$7/100))*(F496/100)</f>
        <v/>
      </c>
      <c r="K496">
        <f>J496*(1+((Inputs!$B$12*(1+Inputs!$B$13/100))*0.01+Inputs!$B$14*0.0025)/100)*(1+Inputs!$B$15/100)*(1+Inputs!$B$16/100)*(5000/(6000+Inputs!$B$42*(1-(100*(1-(1-(Inputs!$B$19+0)/100)*(1-CHOOSE(ArtifactsInput!$N$40+1,5,6,7,8,9,10)/100)^(ArtifactsInput!$M$40-ArtifactsInput!$M$40)))/100)))*(1+(Inputs!$B$24+((C516=TRUE)*(F516-Calc!F25))+B526)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512=TRUE)*(F512-Calc!F21))+(((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C514=TRUE)*(F514-Calc!F23)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(1+(((C504=TRUE)*F504*IF(Inputs!$B$3&gt;=110,7,5))+((C506=TRUE)*F506*IF(AND(Inputs!$B$38&lt;&gt;"pvp",Inputs!$B$43&gt;0),(((R506-1)*(Skills!T15*(1+(Inputs!$B$34+(ArtifactsInput!$M$7-ArtifactsInput!$M$7)*CHOOSE(ArtifactsInput!$N$7+1,6,7.2,8.4,9.6,10.8,12))/100))+MIN((Skills!T15*(1+(Inputs!$B$34+(ArtifactsInput!$M$7-ArtifactsInput!$M$7)*CHOOSE(ArtifactsInput!$N$7+1,6,7.2,8.4,9.6,10.8,12))/100)),MAX(0,Inputs!$B$43-((R506-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Hunt"),CHOOSE(ArtifactsInput!$N$35+1,15,18,21,24,27,30)*(1-EXP(-(0.2*B522)*5)),0)+IF(AND(ArtifactsInput!$M$22,Inputs!$B$4&lt;&gt;"Chapter Hunt"),CHOOSE(ArtifactsInput!$N$22+1,10,12,14,16,18,20)*((0*(((0.15*B522*5))^0/1)+1*(((0.15*B522*5))^1/1)+2*(((0.15*B522*5))^2/2)+3*(((0.15*B522*5))^3/6)+4*(((0.15*B522*5))^4/24)+5*(((0.15*B522*5))^5/120))/((((0.15*B522*5))^0/1)+(((0.15*B522*5))^1/1)+(((0.15*B522*5))^2/2)+(((0.15*B522*5))^3/6)+(((0.15*B522*5))^4/24)+(((0.15*B522*5))^5/120))),0)))/100)*I496)</f>
        <v/>
      </c>
      <c r="L496">
        <f>K496*(MIN(Inputs!$B$22+((C513=TRUE)*(F513-Calc!F22)),(Inputs!$B$23+((C515=TRUE)*(F515-Calc!F24))+(IF(ArtifactsInput!$M$15,CHOOSE(ArtifactsInput!$N$15+1,25,30,35,40,45,50)/100*(Inputs!$B$11-Inputs!$B$11),0))))/100+(Inputs!$B$23+((C515=TRUE)*(F515-Calc!F24))+(IF(ArtifactsInput!$M$15,CHOOSE(ArtifactsInput!$N$15+1,25,30,35,40,45,50)/100*(Inputs!$B$11-Inputs!$B$11),0)))/100)/2</f>
        <v/>
      </c>
      <c r="M496">
        <f>L496*(1+(Inputs!$B$10+0+B525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96">
        <f>L496*(1-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496*(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6">
        <f>(1-Summary!$B$11)*T496+Summary!$B$11*V496</f>
        <v/>
      </c>
      <c r="P496">
        <f>IF(B530=0,0,O496/B530)</f>
        <v/>
      </c>
      <c r="Q496">
        <f>IFERROR(1/(IF(Inputs!$B$38="pvp",15,MAX(0.1,Skills!D5-IF(Skills!E5=TRUE,Inputs!$B$32,0)))*(1-IF(AND(ArtifactsInput!$M$27,Inputs!$B$4="Chapter Hunt"),CHOOSE(ArtifactsInput!$N$27+1,20,24,28,32,36,40),0)/100)),0)</f>
        <v/>
      </c>
      <c r="R496">
        <f>IF(AND(Inputs!$B$38&lt;&gt;"pvp",Inputs!$B$43&gt;0),IF(MAX(0,Inputs!$B$43-B527)&lt;=0,0,(INT(MAX(0,Inputs!$B$43-B527)/(IF(Inputs!$B$38="pvp",15,MAX(0.1,Skills!D5-IF(Skills!E5=TRUE,Inputs!$B$32,0)))*(1-IF(AND(ArtifactsInput!$M$27,Inputs!$B$4="Chapter Hunt"),CHOOSE(ArtifactsInput!$N$27+1,20,24,28,32,36,40),0)/100)))+1)),0)</f>
        <v/>
      </c>
      <c r="S496">
        <f>IFERROR(O496/N496,0)</f>
        <v/>
      </c>
      <c r="T496">
        <f>IF(C496,(H496*N496*IF(AND(Inputs!$B$38&lt;&gt;"pvp",Inputs!$B$43&gt;0),((Skills!G5*((R496-1)*IF(Skills!H5&gt;0,Skills!I5/Skills!H5,1)+IF(Skills!H5&gt;0,MIN(Skills!I5,MAX(0,MAX(0,Inputs!$B$43-B527)-((R496-1)*(IF(Inputs!$B$38="pvp",15,MAX(0.1,Skills!D5-IF(Skills!E5=TRUE,Inputs!$B$32,0)))*(1-IF(AND(ArtifactsInput!$M$27,Inputs!$B$4="Chapter Hunt"),CHOOSE(ArtifactsInput!$N$27+1,20,24,28,32,36,40),0)/100)))))/Skills!H5,1)))/Inputs!$B$43),G496*Q496)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496*(1-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496*(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496*(1-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496*(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6">
        <f>IF(C496,(H496*N496*IF(AND(Inputs!$B$38&lt;&gt;"pvp",Inputs!$B$43&gt;0),((Skills!G5*((R496-1)*IF(Skills!H5&gt;0,Skills!I5/Skills!H5,1)+IF(Skills!H5&gt;0,MIN(Skills!I5,MAX(0,MAX(0,Inputs!$B$43-B527)-((R496-1)*(IF(Inputs!$B$38="pvp",15,MAX(0.1,Skills!D5-IF(Skills!E5=TRUE,Inputs!$B$32,0)))*(1-IF(AND(ArtifactsInput!$M$27,Inputs!$B$4="Chapter Hunt"),CHOOSE(ArtifactsInput!$N$27+1,20,24,28,32,36,40),0)/100)))))/Skills!H5,1)))/Inputs!$B$43),G496*Q496)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7">
      <c r="A497">
        <f>Skills!A6</f>
        <v/>
      </c>
      <c r="B497">
        <f>Skills!B6</f>
        <v/>
      </c>
      <c r="C497">
        <f>Inputs!$B$3&gt;=103</f>
        <v/>
      </c>
      <c r="D497">
        <f>IF(Skills!C6=1,60+Inputs!$B$25+Inputs!$B$29,IF(Skills!C6=2,90+Inputs!$B$26+Inputs!$B$29,IF(Skills!C6=3,120+Inputs!$B$27+Inputs!$B$29,MAX(0,(Inputs!$B$3-100)*3)+Inputs!$B$28+Inputs!$B$29)))</f>
        <v/>
      </c>
      <c r="E497">
        <f>INDEX(FactorTable!$B$2:$Y$301, MATCH(ROUND(MIN(300,MAX(1,D497)),0), FactorTable!$A$2:$A$301,0), Skills!M6+1)</f>
        <v/>
      </c>
      <c r="F497">
        <f>IF(Skills!N6=TRUE,(Skills!L6/10)*(E497/1000),Skills!L6/10)+Skills!O6</f>
        <v/>
      </c>
      <c r="G497">
        <f>Skills!G6*IF(Skills!H6&gt;0,Skills!I6/Skills!H6,1)</f>
        <v/>
      </c>
      <c r="H497">
        <f>1-(1-Skills!J6/100)^Skills!K6</f>
        <v/>
      </c>
      <c r="I497" t="inlineStr">
        <is>
          <t>1</t>
        </is>
      </c>
      <c r="J497">
        <f>((Inputs!$B$6*(1+Inputs!$B$7/100))+(((Inputs!$B$12*(1+Inputs!$B$13/100))-(Inputs!$B$12*(1+Inputs!$B$13/100)))+0.25*(Inputs!$B$14-Inputs!$B$14))*(1+Inputs!$B$7/100))*(F497/100)</f>
        <v/>
      </c>
      <c r="K497">
        <f>J497*(1+((Inputs!$B$12*(1+Inputs!$B$13/100))*0.01+Inputs!$B$14*0.0025)/100)*(1+Inputs!$B$15/100)*(1+Inputs!$B$16/100)*(5000/(6000+Inputs!$B$42*(1-(100*(1-(1-(Inputs!$B$19+0)/100)*(1-CHOOSE(ArtifactsInput!$N$40+1,5,6,7,8,9,10)/100)^(ArtifactsInput!$M$40-ArtifactsInput!$M$40)))/100)))*(1+(Inputs!$B$24+((C516=TRUE)*(F516-Calc!F25))+B526)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512=TRUE)*(F512-Calc!F21))+(((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C514=TRUE)*(F514-Calc!F23)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(1+(((C504=TRUE)*F504*IF(Inputs!$B$3&gt;=110,7,5))+((C506=TRUE)*F506*IF(AND(Inputs!$B$38&lt;&gt;"pvp",Inputs!$B$43&gt;0),(((R506-1)*(Skills!T15*(1+(Inputs!$B$34+(ArtifactsInput!$M$7-ArtifactsInput!$M$7)*CHOOSE(ArtifactsInput!$N$7+1,6,7.2,8.4,9.6,10.8,12))/100))+MIN((Skills!T15*(1+(Inputs!$B$34+(ArtifactsInput!$M$7-ArtifactsInput!$M$7)*CHOOSE(ArtifactsInput!$N$7+1,6,7.2,8.4,9.6,10.8,12))/100)),MAX(0,Inputs!$B$43-((R506-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Hunt"),CHOOSE(ArtifactsInput!$N$35+1,15,18,21,24,27,30)*(1-EXP(-(0.2*B522)*5)),0)+IF(AND(ArtifactsInput!$M$22,Inputs!$B$4&lt;&gt;"Chapter Hunt"),CHOOSE(ArtifactsInput!$N$22+1,10,12,14,16,18,20)*((0*(((0.15*B522*5))^0/1)+1*(((0.15*B522*5))^1/1)+2*(((0.15*B522*5))^2/2)+3*(((0.15*B522*5))^3/6)+4*(((0.15*B522*5))^4/24)+5*(((0.15*B522*5))^5/120))/((((0.15*B522*5))^0/1)+(((0.15*B522*5))^1/1)+(((0.15*B522*5))^2/2)+(((0.15*B522*5))^3/6)+(((0.15*B522*5))^4/24)+(((0.15*B522*5))^5/120))),0)))/100)*I497)</f>
        <v/>
      </c>
      <c r="L497">
        <f>K497*(MIN(Inputs!$B$22+((C513=TRUE)*(F513-Calc!F22)),(Inputs!$B$23+((C515=TRUE)*(F515-Calc!F24))+(IF(ArtifactsInput!$M$15,CHOOSE(ArtifactsInput!$N$15+1,25,30,35,40,45,50)/100*(Inputs!$B$11-Inputs!$B$11),0))))/100+(Inputs!$B$23+((C515=TRUE)*(F515-Calc!F24))+(IF(ArtifactsInput!$M$15,CHOOSE(ArtifactsInput!$N$15+1,25,30,35,40,45,50)/100*(Inputs!$B$11-Inputs!$B$11),0)))/100)/2</f>
        <v/>
      </c>
      <c r="M497">
        <f>L497*(1+(Inputs!$B$10+0+B525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97">
        <f>L497*(1-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497*(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7">
        <f>(1-Summary!$B$11)*T497+Summary!$B$11*V497</f>
        <v/>
      </c>
      <c r="P497">
        <f>IF(B530=0,0,O497/B530)</f>
        <v/>
      </c>
      <c r="Q497">
        <f>IFERROR(1/(IF(Inputs!$B$38="pvp",15,MAX(0.1,Skills!D6-IF(Skills!E6=TRUE,Inputs!$B$32,0)))*(1-IF(AND(ArtifactsInput!$M$27,Inputs!$B$4="Chapter Hunt"),CHOOSE(ArtifactsInput!$N$27+1,20,24,28,32,36,40),0)/100)),0)</f>
        <v/>
      </c>
      <c r="R497">
        <f>IF(AND(Inputs!$B$38&lt;&gt;"pvp",Inputs!$B$43&gt;0),IF(MAX(0,Inputs!$B$43-B527)&lt;=0,0,(INT(MAX(0,Inputs!$B$43-B527)/(IF(Inputs!$B$38="pvp",15,MAX(0.1,Skills!D6-IF(Skills!E6=TRUE,Inputs!$B$32,0)))*(1-IF(AND(ArtifactsInput!$M$27,Inputs!$B$4="Chapter Hunt"),CHOOSE(ArtifactsInput!$N$27+1,20,24,28,32,36,40),0)/100)))+1)),0)</f>
        <v/>
      </c>
      <c r="S497">
        <f>IFERROR(O497/N497,0)</f>
        <v/>
      </c>
      <c r="T497">
        <f>IF(C497,(H497*N497*IF(AND(Inputs!$B$38&lt;&gt;"pvp",Inputs!$B$43&gt;0),((Skills!G6*((R497-1)*IF(Skills!H6&gt;0,Skills!I6/Skills!H6,1)+IF(Skills!H6&gt;0,MIN(Skills!I6,MAX(0,MAX(0,Inputs!$B$43-B527)-((R497-1)*(IF(Inputs!$B$38="pvp",15,MAX(0.1,Skills!D6-IF(Skills!E6=TRUE,Inputs!$B$32,0)))*(1-IF(AND(ArtifactsInput!$M$27,Inputs!$B$4="Chapter Hunt"),CHOOSE(ArtifactsInput!$N$27+1,20,24,28,32,36,40),0)/100)))))/Skills!H6,1)))/Inputs!$B$43),G497*Q497)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497*(1-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497*(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497*(1-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497*(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7">
        <f>IF(C497,(H497*N497*IF(AND(Inputs!$B$38&lt;&gt;"pvp",Inputs!$B$43&gt;0),((Skills!G6*((R497-1)*IF(Skills!H6&gt;0,Skills!I6/Skills!H6,1)+IF(Skills!H6&gt;0,MIN(Skills!I6,MAX(0,MAX(0,Inputs!$B$43-B527)-((R497-1)*(IF(Inputs!$B$38="pvp",15,MAX(0.1,Skills!D6-IF(Skills!E6=TRUE,Inputs!$B$32,0)))*(1-IF(AND(ArtifactsInput!$M$27,Inputs!$B$4="Chapter Hunt"),CHOOSE(ArtifactsInput!$N$27+1,20,24,28,32,36,40),0)/100)))))/Skills!H6,1)))/Inputs!$B$43),G497*Q497)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8">
      <c r="A498">
        <f>Skills!A7</f>
        <v/>
      </c>
      <c r="B498">
        <f>Skills!B7</f>
        <v/>
      </c>
      <c r="C498">
        <f>Inputs!$B$3&gt;=107</f>
        <v/>
      </c>
      <c r="D498">
        <f>IF(Skills!C7=1,60+Inputs!$B$25+Inputs!$B$29,IF(Skills!C7=2,90+Inputs!$B$26+Inputs!$B$29,IF(Skills!C7=3,120+Inputs!$B$27+Inputs!$B$29,MAX(0,(Inputs!$B$3-100)*3)+Inputs!$B$28+Inputs!$B$29)))</f>
        <v/>
      </c>
      <c r="E498">
        <f>INDEX(FactorTable!$B$2:$Y$301, MATCH(ROUND(MIN(300,MAX(1,D498)),0), FactorTable!$A$2:$A$301,0), Skills!M7+1)</f>
        <v/>
      </c>
      <c r="F498">
        <f>IF(Skills!N7=TRUE,(Skills!L7/10)*(E498/1000),Skills!L7/10)+Skills!O7</f>
        <v/>
      </c>
      <c r="G498">
        <f>Skills!G7*IF(Skills!H7&gt;0,Skills!I7/Skills!H7,1)</f>
        <v/>
      </c>
      <c r="H498">
        <f>1-(1-Skills!J7/100)^Skills!K7</f>
        <v/>
      </c>
      <c r="I498" t="inlineStr">
        <is>
          <t>1</t>
        </is>
      </c>
      <c r="J498">
        <f>((Inputs!$B$6*(1+Inputs!$B$7/100))+(((Inputs!$B$12*(1+Inputs!$B$13/100))-(Inputs!$B$12*(1+Inputs!$B$13/100)))+0.25*(Inputs!$B$14-Inputs!$B$14))*(1+Inputs!$B$7/100))*(F498/100)</f>
        <v/>
      </c>
      <c r="K498">
        <f>J498*(1+((Inputs!$B$12*(1+Inputs!$B$13/100))*0.01+Inputs!$B$14*0.0025)/100)*(1+Inputs!$B$15/100)*(1+Inputs!$B$16/100)*(5000/(6000+Inputs!$B$42*(1-(100*(1-(1-(Inputs!$B$19+0)/100)*(1-CHOOSE(ArtifactsInput!$N$40+1,5,6,7,8,9,10)/100)^(ArtifactsInput!$M$40-ArtifactsInput!$M$40)))/100)))*(1+(Inputs!$B$24+((C516=TRUE)*(F516-Calc!F25))+B526)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512=TRUE)*(F512-Calc!F21))+(((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C514=TRUE)*(F514-Calc!F23)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(1+(((C504=TRUE)*F504*IF(Inputs!$B$3&gt;=110,7,5))+((C506=TRUE)*F506*IF(AND(Inputs!$B$38&lt;&gt;"pvp",Inputs!$B$43&gt;0),(((R506-1)*(Skills!T15*(1+(Inputs!$B$34+(ArtifactsInput!$M$7-ArtifactsInput!$M$7)*CHOOSE(ArtifactsInput!$N$7+1,6,7.2,8.4,9.6,10.8,12))/100))+MIN((Skills!T15*(1+(Inputs!$B$34+(ArtifactsInput!$M$7-ArtifactsInput!$M$7)*CHOOSE(ArtifactsInput!$N$7+1,6,7.2,8.4,9.6,10.8,12))/100)),MAX(0,Inputs!$B$43-((R506-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Hunt"),CHOOSE(ArtifactsInput!$N$35+1,15,18,21,24,27,30)*(1-EXP(-(0.2*B522)*5)),0)+IF(AND(ArtifactsInput!$M$22,Inputs!$B$4&lt;&gt;"Chapter Hunt"),CHOOSE(ArtifactsInput!$N$22+1,10,12,14,16,18,20)*((0*(((0.15*B522*5))^0/1)+1*(((0.15*B522*5))^1/1)+2*(((0.15*B522*5))^2/2)+3*(((0.15*B522*5))^3/6)+4*(((0.15*B522*5))^4/24)+5*(((0.15*B522*5))^5/120))/((((0.15*B522*5))^0/1)+(((0.15*B522*5))^1/1)+(((0.15*B522*5))^2/2)+(((0.15*B522*5))^3/6)+(((0.15*B522*5))^4/24)+(((0.15*B522*5))^5/120))),0)))/100)*I498)</f>
        <v/>
      </c>
      <c r="L498">
        <f>K498*(MIN(Inputs!$B$22+((C513=TRUE)*(F513-Calc!F22)),(Inputs!$B$23+((C515=TRUE)*(F515-Calc!F24))+(IF(ArtifactsInput!$M$15,CHOOSE(ArtifactsInput!$N$15+1,25,30,35,40,45,50)/100*(Inputs!$B$11-Inputs!$B$11),0))))/100+(Inputs!$B$23+((C515=TRUE)*(F515-Calc!F24))+(IF(ArtifactsInput!$M$15,CHOOSE(ArtifactsInput!$N$15+1,25,30,35,40,45,50)/100*(Inputs!$B$11-Inputs!$B$11),0)))/100)/2</f>
        <v/>
      </c>
      <c r="M498">
        <f>L498*(1+(Inputs!$B$10+0+B525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98">
        <f>L498*(1-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498*(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8">
        <f>(1-Summary!$B$11)*T498+Summary!$B$11*V498</f>
        <v/>
      </c>
      <c r="P498">
        <f>IF(B530=0,0,O498/B530)</f>
        <v/>
      </c>
      <c r="Q498">
        <f>IFERROR(1/(IF(Inputs!$B$38="pvp",15,MAX(0.1,Skills!D7-IF(Skills!E7=TRUE,Inputs!$B$32,0)))*(1-IF(AND(ArtifactsInput!$M$27,Inputs!$B$4="Chapter Hunt"),CHOOSE(ArtifactsInput!$N$27+1,20,24,28,32,36,40),0)/100)),0)</f>
        <v/>
      </c>
      <c r="R498">
        <f>IF(AND(Inputs!$B$38&lt;&gt;"pvp",Inputs!$B$43&gt;0),IF(MAX(0,Inputs!$B$43-B527)&lt;=0,0,(INT(MAX(0,Inputs!$B$43-B527)/(IF(Inputs!$B$38="pvp",15,MAX(0.1,Skills!D7-IF(Skills!E7=TRUE,Inputs!$B$32,0)))*(1-IF(AND(ArtifactsInput!$M$27,Inputs!$B$4="Chapter Hunt"),CHOOSE(ArtifactsInput!$N$27+1,20,24,28,32,36,40),0)/100)))+1)),0)</f>
        <v/>
      </c>
      <c r="S498">
        <f>IFERROR(O498/N498,0)</f>
        <v/>
      </c>
      <c r="T498">
        <f>IF(C498,(H498*N498*IF(AND(Inputs!$B$38&lt;&gt;"pvp",Inputs!$B$43&gt;0),((Skills!G7*((R498-1)*IF(Skills!H7&gt;0,Skills!I7/Skills!H7,1)+IF(Skills!H7&gt;0,MIN(Skills!I7,MAX(0,MAX(0,Inputs!$B$43-B527)-((R498-1)*(IF(Inputs!$B$38="pvp",15,MAX(0.1,Skills!D7-IF(Skills!E7=TRUE,Inputs!$B$32,0)))*(1-IF(AND(ArtifactsInput!$M$27,Inputs!$B$4="Chapter Hunt"),CHOOSE(ArtifactsInput!$N$27+1,20,24,28,32,36,40),0)/100)))))/Skills!H7,1)))/Inputs!$B$43),G498*Q498)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498*(1-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498*(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498*(1-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498*(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8">
        <f>IF(C498,(H498*N498*IF(AND(Inputs!$B$38&lt;&gt;"pvp",Inputs!$B$43&gt;0),((Skills!G7*((R498-1)*IF(Skills!H7&gt;0,Skills!I7/Skills!H7,1)+IF(Skills!H7&gt;0,MIN(Skills!I7,MAX(0,MAX(0,Inputs!$B$43-B527)-((R498-1)*(IF(Inputs!$B$38="pvp",15,MAX(0.1,Skills!D7-IF(Skills!E7=TRUE,Inputs!$B$32,0)))*(1-IF(AND(ArtifactsInput!$M$27,Inputs!$B$4="Chapter Hunt"),CHOOSE(ArtifactsInput!$N$27+1,20,24,28,32,36,40),0)/100)))))/Skills!H7,1)))/Inputs!$B$43),G498*Q498)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9">
      <c r="A499">
        <f>Skills!A8</f>
        <v/>
      </c>
      <c r="B499">
        <f>Skills!B8</f>
        <v/>
      </c>
      <c r="C499">
        <f>Inputs!$B$3&gt;=117</f>
        <v/>
      </c>
      <c r="D499">
        <f>IF(Skills!C8=1,60+Inputs!$B$25+Inputs!$B$29,IF(Skills!C8=2,90+Inputs!$B$26+Inputs!$B$29,IF(Skills!C8=3,120+Inputs!$B$27+Inputs!$B$29,MAX(0,(Inputs!$B$3-100)*3)+Inputs!$B$28+Inputs!$B$29)))</f>
        <v/>
      </c>
      <c r="E499">
        <f>INDEX(FactorTable!$B$2:$Y$301, MATCH(ROUND(MIN(300,MAX(1,D499)),0), FactorTable!$A$2:$A$301,0), Skills!M8+1)</f>
        <v/>
      </c>
      <c r="F499">
        <f>IF(Skills!N8=TRUE,(Skills!L8/10)*(E499/1000),Skills!L8/10)+Skills!O8</f>
        <v/>
      </c>
      <c r="G499">
        <f>Skills!G8*IF(Skills!H8&gt;0,Skills!I8/Skills!H8,1)</f>
        <v/>
      </c>
      <c r="H499">
        <f>1-(1-Skills!J8/100)^Skills!K8</f>
        <v/>
      </c>
      <c r="I499" t="inlineStr">
        <is>
          <t>1</t>
        </is>
      </c>
      <c r="J499">
        <f>((Inputs!$B$6*(1+Inputs!$B$7/100))+(((Inputs!$B$12*(1+Inputs!$B$13/100))-(Inputs!$B$12*(1+Inputs!$B$13/100)))+0.25*(Inputs!$B$14-Inputs!$B$14))*(1+Inputs!$B$7/100))*(F499/100)</f>
        <v/>
      </c>
      <c r="K499">
        <f>J499*(1+((Inputs!$B$12*(1+Inputs!$B$13/100))*0.01+Inputs!$B$14*0.0025)/100)*(1+Inputs!$B$15/100)*(1+Inputs!$B$16/100)*(5000/(6000+Inputs!$B$42*(1-(100*(1-(1-(Inputs!$B$19+0)/100)*(1-CHOOSE(ArtifactsInput!$N$40+1,5,6,7,8,9,10)/100)^(ArtifactsInput!$M$40-ArtifactsInput!$M$40)))/100)))*(1+(Inputs!$B$24+((C516=TRUE)*(F516-Calc!F25))+B526)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512=TRUE)*(F512-Calc!F21))+(((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C514=TRUE)*(F514-Calc!F23)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(1+(((C504=TRUE)*F504*IF(Inputs!$B$3&gt;=110,7,5))+((C506=TRUE)*F506*IF(AND(Inputs!$B$38&lt;&gt;"pvp",Inputs!$B$43&gt;0),(((R506-1)*(Skills!T15*(1+(Inputs!$B$34+(ArtifactsInput!$M$7-ArtifactsInput!$M$7)*CHOOSE(ArtifactsInput!$N$7+1,6,7.2,8.4,9.6,10.8,12))/100))+MIN((Skills!T15*(1+(Inputs!$B$34+(ArtifactsInput!$M$7-ArtifactsInput!$M$7)*CHOOSE(ArtifactsInput!$N$7+1,6,7.2,8.4,9.6,10.8,12))/100)),MAX(0,Inputs!$B$43-((R506-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Hunt"),CHOOSE(ArtifactsInput!$N$35+1,15,18,21,24,27,30)*(1-EXP(-(0.2*B522)*5)),0)+IF(AND(ArtifactsInput!$M$22,Inputs!$B$4&lt;&gt;"Chapter Hunt"),CHOOSE(ArtifactsInput!$N$22+1,10,12,14,16,18,20)*((0*(((0.15*B522*5))^0/1)+1*(((0.15*B522*5))^1/1)+2*(((0.15*B522*5))^2/2)+3*(((0.15*B522*5))^3/6)+4*(((0.15*B522*5))^4/24)+5*(((0.15*B522*5))^5/120))/((((0.15*B522*5))^0/1)+(((0.15*B522*5))^1/1)+(((0.15*B522*5))^2/2)+(((0.15*B522*5))^3/6)+(((0.15*B522*5))^4/24)+(((0.15*B522*5))^5/120))),0)))/100)*I499)</f>
        <v/>
      </c>
      <c r="L499">
        <f>K499*(MIN(Inputs!$B$22+((C513=TRUE)*(F513-Calc!F22)),(Inputs!$B$23+((C515=TRUE)*(F515-Calc!F24))+(IF(ArtifactsInput!$M$15,CHOOSE(ArtifactsInput!$N$15+1,25,30,35,40,45,50)/100*(Inputs!$B$11-Inputs!$B$11),0))))/100+(Inputs!$B$23+((C515=TRUE)*(F515-Calc!F24))+(IF(ArtifactsInput!$M$15,CHOOSE(ArtifactsInput!$N$15+1,25,30,35,40,45,50)/100*(Inputs!$B$11-Inputs!$B$11),0)))/100)/2</f>
        <v/>
      </c>
      <c r="M499">
        <f>L499*(1+(Inputs!$B$10+0+B525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99">
        <f>L499*(1-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499*(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9">
        <f>(1-Summary!$B$11)*T499+Summary!$B$11*V499</f>
        <v/>
      </c>
      <c r="P499">
        <f>IF(B530=0,0,O499/B530)</f>
        <v/>
      </c>
      <c r="Q499">
        <f>IFERROR(1/(IF(Inputs!$B$38="pvp",15,MAX(0.1,Skills!D8-IF(Skills!E8=TRUE,Inputs!$B$32,0)))*(1-IF(AND(ArtifactsInput!$M$27,Inputs!$B$4="Chapter Hunt"),CHOOSE(ArtifactsInput!$N$27+1,20,24,28,32,36,40),0)/100)),0)</f>
        <v/>
      </c>
      <c r="R499">
        <f>IF(AND(Inputs!$B$38&lt;&gt;"pvp",Inputs!$B$43&gt;0),IF(MAX(0,Inputs!$B$43-B527)&lt;=0,0,(INT(MAX(0,Inputs!$B$43-B527)/(IF(Inputs!$B$38="pvp",15,MAX(0.1,Skills!D8-IF(Skills!E8=TRUE,Inputs!$B$32,0)))*(1-IF(AND(ArtifactsInput!$M$27,Inputs!$B$4="Chapter Hunt"),CHOOSE(ArtifactsInput!$N$27+1,20,24,28,32,36,40),0)/100)))+1)),0)</f>
        <v/>
      </c>
      <c r="S499">
        <f>IFERROR(O499/N499,0)</f>
        <v/>
      </c>
      <c r="T499">
        <f>IF(C499,(H499*N499*IF(AND(Inputs!$B$38&lt;&gt;"pvp",Inputs!$B$43&gt;0),((Skills!G8*((R499-1)*IF(Skills!H8&gt;0,Skills!I8/Skills!H8,1)+IF(Skills!H8&gt;0,MIN(Skills!I8,MAX(0,MAX(0,Inputs!$B$43-B527)-((R499-1)*(IF(Inputs!$B$38="pvp",15,MAX(0.1,Skills!D8-IF(Skills!E8=TRUE,Inputs!$B$32,0)))*(1-IF(AND(ArtifactsInput!$M$27,Inputs!$B$4="Chapter Hunt"),CHOOSE(ArtifactsInput!$N$27+1,20,24,28,32,36,40),0)/100)))))/Skills!H8,1)))/Inputs!$B$43),G499*Q499)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499*(1-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499*(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499*(1-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499*(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99">
        <f>IF(C499,(H499*N499*IF(AND(Inputs!$B$38&lt;&gt;"pvp",Inputs!$B$43&gt;0),((Skills!G8*((R499-1)*IF(Skills!H8&gt;0,Skills!I8/Skills!H8,1)+IF(Skills!H8&gt;0,MIN(Skills!I8,MAX(0,MAX(0,Inputs!$B$43-B527)-((R499-1)*(IF(Inputs!$B$38="pvp",15,MAX(0.1,Skills!D8-IF(Skills!E8=TRUE,Inputs!$B$32,0)))*(1-IF(AND(ArtifactsInput!$M$27,Inputs!$B$4="Chapter Hunt"),CHOOSE(ArtifactsInput!$N$27+1,20,24,28,32,36,40),0)/100)))))/Skills!H8,1)))/Inputs!$B$43),G499*Q499)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00">
      <c r="A500">
        <f>Skills!A9</f>
        <v/>
      </c>
      <c r="B500">
        <f>Skills!B9</f>
        <v/>
      </c>
      <c r="C500">
        <f>Inputs!$B$3&gt;=69</f>
        <v/>
      </c>
      <c r="D500">
        <f>IF(Skills!C9=1,60+Inputs!$B$25+Inputs!$B$29,IF(Skills!C9=2,90+Inputs!$B$26+Inputs!$B$29,IF(Skills!C9=3,120+Inputs!$B$27+Inputs!$B$29,MAX(0,(Inputs!$B$3-100)*3)+Inputs!$B$28+Inputs!$B$29)))</f>
        <v/>
      </c>
      <c r="E500">
        <f>INDEX(FactorTable!$B$2:$Y$301, MATCH(ROUND(MIN(300,MAX(1,D500)),0), FactorTable!$A$2:$A$301,0), Skills!M9+1)</f>
        <v/>
      </c>
      <c r="F500">
        <f>IF(Skills!N9=TRUE,(Skills!L9/10)*(E500/1000),Skills!L9/10)+Skills!O9</f>
        <v/>
      </c>
      <c r="G500">
        <f>Skills!G9*IF(Skills!H9&gt;0,Skills!I9/Skills!H9,1)</f>
        <v/>
      </c>
      <c r="H500">
        <f>1-(1-Skills!J9/100)^Skills!K9</f>
        <v/>
      </c>
      <c r="I500" t="inlineStr">
        <is>
          <t>1</t>
        </is>
      </c>
      <c r="J500">
        <f>((Inputs!$B$6*(1+Inputs!$B$7/100))+(((Inputs!$B$12*(1+Inputs!$B$13/100))-(Inputs!$B$12*(1+Inputs!$B$13/100)))+0.25*(Inputs!$B$14-Inputs!$B$14))*(1+Inputs!$B$7/100))*(F500/100)</f>
        <v/>
      </c>
      <c r="K500">
        <f>J500*(1+((Inputs!$B$12*(1+Inputs!$B$13/100))*0.01+Inputs!$B$14*0.0025)/100)*(1+Inputs!$B$15/100)*(1+Inputs!$B$16/100)*(5000/(6000+Inputs!$B$42*(1-(100*(1-(1-(Inputs!$B$19+0)/100)*(1-CHOOSE(ArtifactsInput!$N$40+1,5,6,7,8,9,10)/100)^(ArtifactsInput!$M$40-ArtifactsInput!$M$40)))/100)))*(1+(Inputs!$B$24+((C516=TRUE)*(F516-Calc!F25))+B526)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503=TRUE,F503,0)/100)*(1+IF(Skills!A9="ENHANCED_RAGING_BLOW",IF(Inputs!$B$3&gt;=134,MAX(0,IF(Inputs!$B$3&gt;=110,7,5)-5)*50,0),0)/100)*(1+(IF(Skills!A9="RAGING_BLOW",Inputs!$B$17+((C512=TRUE)*(F512-Calc!F21))+(((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C514=TRUE)*(F514-Calc!F23)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(1+(((C504=TRUE)*F504*IF(Inputs!$B$3&gt;=110,7,5))+((C506=TRUE)*F506*IF(AND(Inputs!$B$38&lt;&gt;"pvp",Inputs!$B$43&gt;0),(((R506-1)*(Skills!T15*(1+(Inputs!$B$34+(ArtifactsInput!$M$7-ArtifactsInput!$M$7)*CHOOSE(ArtifactsInput!$N$7+1,6,7.2,8.4,9.6,10.8,12))/100))+MIN((Skills!T15*(1+(Inputs!$B$34+(ArtifactsInput!$M$7-ArtifactsInput!$M$7)*CHOOSE(ArtifactsInput!$N$7+1,6,7.2,8.4,9.6,10.8,12))/100)),MAX(0,Inputs!$B$43-((R506-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Hunt"),CHOOSE(ArtifactsInput!$N$35+1,15,18,21,24,27,30)*(1-EXP(-(0.2*B522)*5)),0)+IF(AND(ArtifactsInput!$M$22,Inputs!$B$4&lt;&gt;"Chapter Hunt"),CHOOSE(ArtifactsInput!$N$22+1,10,12,14,16,18,20)*((0*(((0.15*B522*5))^0/1)+1*(((0.15*B522*5))^1/1)+2*(((0.15*B522*5))^2/2)+3*(((0.15*B522*5))^3/6)+4*(((0.15*B522*5))^4/24)+5*(((0.15*B522*5))^5/120))/((((0.15*B522*5))^0/1)+(((0.15*B522*5))^1/1)+(((0.15*B522*5))^2/2)+(((0.15*B522*5))^3/6)+(((0.15*B522*5))^4/24)+(((0.15*B522*5))^5/120))),0)))/100)*I500)</f>
        <v/>
      </c>
      <c r="L500">
        <f>K500*(MIN(Inputs!$B$22+((C513=TRUE)*(F513-Calc!F22)),(Inputs!$B$23+((C515=TRUE)*(F515-Calc!F24))+(IF(ArtifactsInput!$M$15,CHOOSE(ArtifactsInput!$N$15+1,25,30,35,40,45,50)/100*(Inputs!$B$11-Inputs!$B$11),0))))/100+(Inputs!$B$23+((C515=TRUE)*(F515-Calc!F24))+(IF(ArtifactsInput!$M$15,CHOOSE(ArtifactsInput!$N$15+1,25,30,35,40,45,50)/100*(Inputs!$B$11-Inputs!$B$11),0)))/100)/2</f>
        <v/>
      </c>
      <c r="M500">
        <f>L500*(1+(Inputs!$B$10+0+B525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00">
        <f>L500*(1-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500*(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00">
        <f>(1-Summary!$B$11)*T500+Summary!$B$11*V500</f>
        <v/>
      </c>
      <c r="P500">
        <f>IF(B530=0,0,O500/B530)</f>
        <v/>
      </c>
      <c r="Q500">
        <f>IFERROR(1/(IF(Inputs!$B$38="pvp",15,MAX(0.1,Skills!D9-IF(Skills!E9=TRUE,Inputs!$B$32,0)))*(1-IF(AND(ArtifactsInput!$M$27,Inputs!$B$4="Chapter Hunt"),CHOOSE(ArtifactsInput!$N$27+1,20,24,28,32,36,40),0)/100)),0)</f>
        <v/>
      </c>
      <c r="R500">
        <f>IF(AND(Inputs!$B$38&lt;&gt;"pvp",Inputs!$B$43&gt;0),IF(MAX(0,Inputs!$B$43-B527)&lt;=0,0,(INT(MAX(0,Inputs!$B$43-B527)/(IF(Inputs!$B$38="pvp",15,MAX(0.1,Skills!D9-IF(Skills!E9=TRUE,Inputs!$B$32,0)))*(1-IF(AND(ArtifactsInput!$M$27,Inputs!$B$4="Chapter Hunt"),CHOOSE(ArtifactsInput!$N$27+1,20,24,28,32,36,40),0)/100)))+1)),0)</f>
        <v/>
      </c>
      <c r="S500">
        <f>IFERROR(O500/N500,0)</f>
        <v/>
      </c>
      <c r="T500">
        <f>IF(C500,(H500*N500*IF(AND(Inputs!$B$38&lt;&gt;"pvp",Inputs!$B$43&gt;0),((Skills!G9*((R500-1)*IF(Skills!H9&gt;0,Skills!I9/Skills!H9,1)+IF(Skills!H9&gt;0,MIN(Skills!I9,MAX(0,MAX(0,Inputs!$B$43-B527)-((R500-1)*(IF(Inputs!$B$38="pvp",15,MAX(0.1,Skills!D9-IF(Skills!E9=TRUE,Inputs!$B$32,0)))*(1-IF(AND(ArtifactsInput!$M$27,Inputs!$B$4="Chapter Hunt"),CHOOSE(ArtifactsInput!$N$27+1,20,24,28,32,36,40),0)/100)))))/Skills!H9,1)))/Inputs!$B$43),G500*Q500)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500*(1-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500*(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500*(1-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500*(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00">
        <f>IF(C500,(H500*N500*IF(AND(Inputs!$B$38&lt;&gt;"pvp",Inputs!$B$43&gt;0),((Skills!G9*((R500-1)*IF(Skills!H9&gt;0,Skills!I9/Skills!H9,1)+IF(Skills!H9&gt;0,MIN(Skills!I9,MAX(0,MAX(0,Inputs!$B$43-B527)-((R500-1)*(IF(Inputs!$B$38="pvp",15,MAX(0.1,Skills!D9-IF(Skills!E9=TRUE,Inputs!$B$32,0)))*(1-IF(AND(ArtifactsInput!$M$27,Inputs!$B$4="Chapter Hunt"),CHOOSE(ArtifactsInput!$N$27+1,20,24,28,32,36,40),0)/100)))))/Skills!H9,1)))/Inputs!$B$43),G500*Q500)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01">
      <c r="A501">
        <f>Skills!A10</f>
        <v/>
      </c>
      <c r="B501">
        <f>Skills!B10</f>
        <v/>
      </c>
      <c r="C501">
        <f>Inputs!$B$3&gt;=63</f>
        <v/>
      </c>
      <c r="D501">
        <f>IF(Skills!C10=1,60+Inputs!$B$25+Inputs!$B$29,IF(Skills!C10=2,90+Inputs!$B$26+Inputs!$B$29,IF(Skills!C10=3,120+Inputs!$B$27+Inputs!$B$29,MAX(0,(Inputs!$B$3-100)*3)+Inputs!$B$28+Inputs!$B$29)))</f>
        <v/>
      </c>
      <c r="E501">
        <f>INDEX(FactorTable!$B$2:$Y$301, MATCH(ROUND(MIN(300,MAX(1,D501)),0), FactorTable!$A$2:$A$301,0), Skills!M10+1)</f>
        <v/>
      </c>
      <c r="F501">
        <f>IF(Skills!N10=TRUE,(Skills!L10/10)*(E501/1000),Skills!L10/10)+Skills!O10</f>
        <v/>
      </c>
      <c r="G501">
        <f>Skills!G10*IF(Skills!H10&gt;0,Skills!I10/Skills!H10,1)</f>
        <v/>
      </c>
      <c r="H501">
        <f>1-(1-Skills!J10/100)^Skills!K10</f>
        <v/>
      </c>
      <c r="I501" t="inlineStr">
        <is>
          <t>1</t>
        </is>
      </c>
      <c r="J501">
        <f>((Inputs!$B$6*(1+Inputs!$B$7/100))+(((Inputs!$B$12*(1+Inputs!$B$13/100))-(Inputs!$B$12*(1+Inputs!$B$13/100)))+0.25*(Inputs!$B$14-Inputs!$B$14))*(1+Inputs!$B$7/100))*(F501/100)</f>
        <v/>
      </c>
      <c r="K501">
        <f>J501*(1+((Inputs!$B$12*(1+Inputs!$B$13/100))*0.01+Inputs!$B$14*0.0025)/100)*(1+Inputs!$B$15/100)*(1+Inputs!$B$16/100)*(5000/(6000+Inputs!$B$42*(1-(100*(1-(1-(Inputs!$B$19+0)/100)*(1-CHOOSE(ArtifactsInput!$N$40+1,5,6,7,8,9,10)/100)^(ArtifactsInput!$M$40-ArtifactsInput!$M$40)))/100)))*(1+(Inputs!$B$24+((C516=TRUE)*(F516-Calc!F25))+B526)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503=TRUE,F503,0)/100)*(1+IF(Skills!A10="ENHANCED_RAGING_BLOW",IF(Inputs!$B$3&gt;=134,MAX(0,IF(Inputs!$B$3&gt;=110,7,5)-5)*50,0),0)/100)*(1+(IF(Skills!A10="RAGING_BLOW",Inputs!$B$17+((C512=TRUE)*(F512-Calc!F21))+(((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C514=TRUE)*(F514-Calc!F23)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(1+(((C504=TRUE)*F504*IF(Inputs!$B$3&gt;=110,7,5))+((C506=TRUE)*F506*IF(AND(Inputs!$B$38&lt;&gt;"pvp",Inputs!$B$43&gt;0),(((R506-1)*(Skills!T15*(1+(Inputs!$B$34+(ArtifactsInput!$M$7-ArtifactsInput!$M$7)*CHOOSE(ArtifactsInput!$N$7+1,6,7.2,8.4,9.6,10.8,12))/100))+MIN((Skills!T15*(1+(Inputs!$B$34+(ArtifactsInput!$M$7-ArtifactsInput!$M$7)*CHOOSE(ArtifactsInput!$N$7+1,6,7.2,8.4,9.6,10.8,12))/100)),MAX(0,Inputs!$B$43-((R506-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Hunt"),CHOOSE(ArtifactsInput!$N$35+1,15,18,21,24,27,30)*(1-EXP(-(0.2*B522)*5)),0)+IF(AND(ArtifactsInput!$M$22,Inputs!$B$4&lt;&gt;"Chapter Hunt"),CHOOSE(ArtifactsInput!$N$22+1,10,12,14,16,18,20)*((0*(((0.15*B522*5))^0/1)+1*(((0.15*B522*5))^1/1)+2*(((0.15*B522*5))^2/2)+3*(((0.15*B522*5))^3/6)+4*(((0.15*B522*5))^4/24)+5*(((0.15*B522*5))^5/120))/((((0.15*B522*5))^0/1)+(((0.15*B522*5))^1/1)+(((0.15*B522*5))^2/2)+(((0.15*B522*5))^3/6)+(((0.15*B522*5))^4/24)+(((0.15*B522*5))^5/120))),0)))/100)*I501)</f>
        <v/>
      </c>
      <c r="L501">
        <f>K501*(MIN(Inputs!$B$22+((C513=TRUE)*(F513-Calc!F22)),(Inputs!$B$23+((C515=TRUE)*(F515-Calc!F24))+(IF(ArtifactsInput!$M$15,CHOOSE(ArtifactsInput!$N$15+1,25,30,35,40,45,50)/100*(Inputs!$B$11-Inputs!$B$11),0))))/100+(Inputs!$B$23+((C515=TRUE)*(F515-Calc!F24))+(IF(ArtifactsInput!$M$15,CHOOSE(ArtifactsInput!$N$15+1,25,30,35,40,45,50)/100*(Inputs!$B$11-Inputs!$B$11),0)))/100)/2</f>
        <v/>
      </c>
      <c r="M501">
        <f>L501*(1+(Inputs!$B$10+0+B525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01">
        <f>L501*(1-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501*(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01">
        <f>(1-Summary!$B$11)*T501+Summary!$B$11*V501</f>
        <v/>
      </c>
      <c r="P501">
        <f>IF(B530=0,0,O501/B530)</f>
        <v/>
      </c>
      <c r="Q501">
        <f>IFERROR(1/(IF(Inputs!$B$38="pvp",15,MAX(0.1,Skills!D10-IF(Skills!E10=TRUE,Inputs!$B$32,0)))*(1-IF(AND(ArtifactsInput!$M$27,Inputs!$B$4="Chapter Hunt"),CHOOSE(ArtifactsInput!$N$27+1,20,24,28,32,36,40),0)/100)),0)</f>
        <v/>
      </c>
      <c r="R501">
        <f>IF(AND(Inputs!$B$38&lt;&gt;"pvp",Inputs!$B$43&gt;0),IF(MAX(0,Inputs!$B$43-B527)&lt;=0,0,(INT(MAX(0,Inputs!$B$43-B527)/(IF(Inputs!$B$38="pvp",15,MAX(0.1,Skills!D10-IF(Skills!E10=TRUE,Inputs!$B$32,0)))*(1-IF(AND(ArtifactsInput!$M$27,Inputs!$B$4="Chapter Hunt"),CHOOSE(ArtifactsInput!$N$27+1,20,24,28,32,36,40),0)/100)))+1)),0)</f>
        <v/>
      </c>
      <c r="S501">
        <f>IFERROR(O501/N501,0)</f>
        <v/>
      </c>
      <c r="T501">
        <f>IF(C501,(H501*N501*IF(AND(Inputs!$B$38&lt;&gt;"pvp",Inputs!$B$43&gt;0),((Skills!G10*((R501-1)*IF(Skills!H10&gt;0,Skills!I10/Skills!H10,1)+IF(Skills!H10&gt;0,MIN(Skills!I10,MAX(0,MAX(0,Inputs!$B$43-B527)-((R501-1)*(IF(Inputs!$B$38="pvp",15,MAX(0.1,Skills!D10-IF(Skills!E10=TRUE,Inputs!$B$32,0)))*(1-IF(AND(ArtifactsInput!$M$27,Inputs!$B$4="Chapter Hunt"),CHOOSE(ArtifactsInput!$N$27+1,20,24,28,32,36,40),0)/100)))))/Skills!H10,1)))/Inputs!$B$43),G501*Q501)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501*(1-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501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501*(1-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501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01">
        <f>IF(C501,(H501*N501*IF(AND(Inputs!$B$38&lt;&gt;"pvp",Inputs!$B$43&gt;0),((Skills!G10*((R501-1)*IF(Skills!H10&gt;0,Skills!I10/Skills!H10,1)+IF(Skills!H10&gt;0,MIN(Skills!I10,MAX(0,MAX(0,Inputs!$B$43-B527)-((R501-1)*(IF(Inputs!$B$38="pvp",15,MAX(0.1,Skills!D10-IF(Skills!E10=TRUE,Inputs!$B$32,0)))*(1-IF(AND(ArtifactsInput!$M$27,Inputs!$B$4="Chapter Hunt"),CHOOSE(ArtifactsInput!$N$27+1,20,24,28,32,36,40),0)/100)))))/Skills!H10,1)))/Inputs!$B$43),G501*Q501)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02">
      <c r="A502">
        <f>Skills!A11</f>
        <v/>
      </c>
      <c r="B502">
        <f>Skills!B11</f>
        <v/>
      </c>
      <c r="C502">
        <f>Inputs!$B$3&gt;=35</f>
        <v/>
      </c>
      <c r="D502">
        <f>IF(Skills!C11=1,60+Inputs!$B$25+Inputs!$B$29,IF(Skills!C11=2,90+Inputs!$B$26+Inputs!$B$29,IF(Skills!C11=3,120+Inputs!$B$27+Inputs!$B$29,MAX(0,(Inputs!$B$3-100)*3)+Inputs!$B$28+Inputs!$B$29)))</f>
        <v/>
      </c>
      <c r="E502">
        <f>INDEX(FactorTable!$B$2:$Y$301, MATCH(ROUND(MIN(300,MAX(1,D502)),0), FactorTable!$A$2:$A$301,0), Skills!M11+1)</f>
        <v/>
      </c>
      <c r="F502">
        <f>IF(Skills!N11=TRUE,(Skills!L11/10)*(E502/1000),Skills!L11/10)+Skills!O11</f>
        <v/>
      </c>
      <c r="G502">
        <f>Skills!G11*IF(Skills!H11&gt;0,Skills!I11/Skills!H11,1)</f>
        <v/>
      </c>
      <c r="H502">
        <f>1-(1-Skills!J11/100)^Skills!K11</f>
        <v/>
      </c>
      <c r="I502" t="inlineStr">
        <is>
          <t>1</t>
        </is>
      </c>
      <c r="J502">
        <f>((Inputs!$B$6*(1+Inputs!$B$7/100))+(((Inputs!$B$12*(1+Inputs!$B$13/100))-(Inputs!$B$12*(1+Inputs!$B$13/100)))+0.25*(Inputs!$B$14-Inputs!$B$14))*(1+Inputs!$B$7/100))*(F502/100)</f>
        <v/>
      </c>
      <c r="K502">
        <f>J502*(1+((Inputs!$B$12*(1+Inputs!$B$13/100))*0.01+Inputs!$B$14*0.0025)/100)*(1+Inputs!$B$15/100)*(1+Inputs!$B$16/100)*(5000/(6000+Inputs!$B$42*(1-(100*(1-(1-(Inputs!$B$19+0)/100)*(1-CHOOSE(ArtifactsInput!$N$40+1,5,6,7,8,9,10)/100)^(ArtifactsInput!$M$40-ArtifactsInput!$M$40)))/100)))*(1+(Inputs!$B$24+((C516=TRUE)*(F516-Calc!F25))+B526)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503=TRUE,F503,0)/100)*(1+IF(Skills!A11="ENHANCED_RAGING_BLOW",IF(Inputs!$B$3&gt;=134,MAX(0,IF(Inputs!$B$3&gt;=110,7,5)-5)*50,0),0)/100)*(1+(IF(Skills!A11="RAGING_BLOW",Inputs!$B$17+((C512=TRUE)*(F512-Calc!F21))+(((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C514=TRUE)*(F514-Calc!F23)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(1+(((C504=TRUE)*F504*IF(Inputs!$B$3&gt;=110,7,5))+((C506=TRUE)*F506*IF(AND(Inputs!$B$38&lt;&gt;"pvp",Inputs!$B$43&gt;0),(((R506-1)*(Skills!T15*(1+(Inputs!$B$34+(ArtifactsInput!$M$7-ArtifactsInput!$M$7)*CHOOSE(ArtifactsInput!$N$7+1,6,7.2,8.4,9.6,10.8,12))/100))+MIN((Skills!T15*(1+(Inputs!$B$34+(ArtifactsInput!$M$7-ArtifactsInput!$M$7)*CHOOSE(ArtifactsInput!$N$7+1,6,7.2,8.4,9.6,10.8,12))/100)),MAX(0,Inputs!$B$43-((R506-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Hunt"),CHOOSE(ArtifactsInput!$N$35+1,15,18,21,24,27,30)*(1-EXP(-(0.2*B522)*5)),0)+IF(AND(ArtifactsInput!$M$22,Inputs!$B$4&lt;&gt;"Chapter Hunt"),CHOOSE(ArtifactsInput!$N$22+1,10,12,14,16,18,20)*((0*(((0.15*B522*5))^0/1)+1*(((0.15*B522*5))^1/1)+2*(((0.15*B522*5))^2/2)+3*(((0.15*B522*5))^3/6)+4*(((0.15*B522*5))^4/24)+5*(((0.15*B522*5))^5/120))/((((0.15*B522*5))^0/1)+(((0.15*B522*5))^1/1)+(((0.15*B522*5))^2/2)+(((0.15*B522*5))^3/6)+(((0.15*B522*5))^4/24)+(((0.15*B522*5))^5/120))),0)))/100)*I502)</f>
        <v/>
      </c>
      <c r="L502">
        <f>K502*(MIN(Inputs!$B$22+((C513=TRUE)*(F513-Calc!F22)),(Inputs!$B$23+((C515=TRUE)*(F515-Calc!F24))+(IF(ArtifactsInput!$M$15,CHOOSE(ArtifactsInput!$N$15+1,25,30,35,40,45,50)/100*(Inputs!$B$11-Inputs!$B$11),0))))/100+(Inputs!$B$23+((C515=TRUE)*(F515-Calc!F24))+(IF(ArtifactsInput!$M$15,CHOOSE(ArtifactsInput!$N$15+1,25,30,35,40,45,50)/100*(Inputs!$B$11-Inputs!$B$11),0)))/100)/2</f>
        <v/>
      </c>
      <c r="M502">
        <f>L502*(1+(Inputs!$B$10+0+B525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02">
        <f>L502*(1-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502*(MIN(((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02">
        <f>(1-Summary!$B$11)*T502+Summary!$B$11*V502</f>
        <v/>
      </c>
      <c r="P502">
        <f>IF(B530=0,0,O502/B530)</f>
        <v/>
      </c>
      <c r="Q502">
        <f>IFERROR(1/(IF(Inputs!$B$38="pvp",15,MAX(0.1,Skills!D11-IF(Skills!E11=TRUE,Inputs!$B$32,0)))*(1-IF(AND(ArtifactsInput!$M$27,Inputs!$B$4="Chapter Hunt"),CHOOSE(ArtifactsInput!$N$27+1,20,24,28,32,36,40),0)/100)),0)</f>
        <v/>
      </c>
      <c r="R502">
        <f>IF(AND(Inputs!$B$38&lt;&gt;"pvp",Inputs!$B$43&gt;0),IF(MAX(0,Inputs!$B$43-B527)&lt;=0,0,(INT(MAX(0,Inputs!$B$43-B527)/(IF(Inputs!$B$38="pvp",15,MAX(0.1,Skills!D11-IF(Skills!E11=TRUE,Inputs!$B$32,0)))*(1-IF(AND(ArtifactsInput!$M$27,Inputs!$B$4="Chapter Hunt"),CHOOSE(ArtifactsInput!$N$27+1,20,24,28,32,36,40),0)/100)))+1)),0)</f>
        <v/>
      </c>
      <c r="S502">
        <f>IFERROR(O502/N502,0)</f>
        <v/>
      </c>
      <c r="T502">
        <f>IF(C502,(H502*N502*IF(AND(Inputs!$B$38&lt;&gt;"pvp",Inputs!$B$43&gt;0),((Skills!G11*((R502-1)*IF(Skills!H11&gt;0,Skills!I11/Skills!H11,1)+IF(Skills!H11&gt;0,MIN(Skills!I11,MAX(0,MAX(0,Inputs!$B$43-B527)-((R502-1)*(IF(Inputs!$B$38="pvp",15,MAX(0.1,Skills!D11-IF(Skills!E11=TRUE,Inputs!$B$32,0)))*(1-IF(AND(ArtifactsInput!$M$27,Inputs!$B$4="Chapter Hunt"),CHOOSE(ArtifactsInput!$N$27+1,20,24,28,32,36,40),0)/100)))))/Skills!H11,1)))/Inputs!$B$43),G502*Q502)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502*(1-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502*(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502*(1-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502*(MIN(100,((Inputs!$B$9+1)+((C517=TRUE)*(F517-Calc!F26))+B520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02">
        <f>IF(C502,(H502*N502*IF(AND(Inputs!$B$38&lt;&gt;"pvp",Inputs!$B$43&gt;0),((Skills!G11*((R502-1)*IF(Skills!H11&gt;0,Skills!I11/Skills!H11,1)+IF(Skills!H11&gt;0,MIN(Skills!I11,MAX(0,MAX(0,Inputs!$B$43-B527)-((R502-1)*(IF(Inputs!$B$38="pvp",15,MAX(0.1,Skills!D11-IF(Skills!E11=TRUE,Inputs!$B$32,0)))*(1-IF(AND(ArtifactsInput!$M$27,Inputs!$B$4="Chapter Hunt"),CHOOSE(ArtifactsInput!$N$27+1,20,24,28,32,36,40),0)/100)))))/Skills!H11,1)))/Inputs!$B$43),G502*Q502)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03">
      <c r="A503">
        <f>Skills!A12</f>
        <v/>
      </c>
      <c r="B503">
        <f>Skills!B12</f>
        <v/>
      </c>
      <c r="C503">
        <f>Inputs!$B$3&gt;=100</f>
        <v/>
      </c>
      <c r="D503">
        <f>IF(Skills!C12=1,60+Inputs!$B$25+Inputs!$B$29,IF(Skills!C12=2,90+Inputs!$B$26+Inputs!$B$29,IF(Skills!C12=3,120+Inputs!$B$27+Inputs!$B$29,MAX(0,(Inputs!$B$3-100)*3)+Inputs!$B$28+Inputs!$B$29)))</f>
        <v/>
      </c>
      <c r="E503">
        <f>INDEX(FactorTable!$B$2:$Y$301, MATCH(ROUND(MIN(300,MAX(1,D503)),0), FactorTable!$A$2:$A$301,0), Skills!M12+1)</f>
        <v/>
      </c>
      <c r="F503">
        <f>IF(Skills!N12=TRUE,(Skills!L12/10)*(E503/1000),Skills!L12/10)+Skills!O12</f>
        <v/>
      </c>
      <c r="G503" t="inlineStr"/>
      <c r="H503" t="inlineStr"/>
      <c r="I503" t="inlineStr">
        <is>
          <t>1</t>
        </is>
      </c>
      <c r="J503" t="inlineStr"/>
      <c r="K503" t="inlineStr"/>
      <c r="L503" t="inlineStr"/>
      <c r="M503" t="inlineStr"/>
      <c r="N503" t="inlineStr"/>
      <c r="O503" t="inlineStr"/>
      <c r="P503" t="inlineStr"/>
      <c r="Q503" t="inlineStr"/>
      <c r="R503" t="inlineStr"/>
      <c r="S503" t="inlineStr"/>
    </row>
    <row r="504">
      <c r="A504">
        <f>Skills!A13</f>
        <v/>
      </c>
      <c r="B504">
        <f>Skills!B13</f>
        <v/>
      </c>
      <c r="C504">
        <f>Inputs!$B$3&gt;=45</f>
        <v/>
      </c>
      <c r="D504">
        <f>IF(Skills!C13=1,60+Inputs!$B$25+Inputs!$B$29,IF(Skills!C13=2,90+Inputs!$B$26+Inputs!$B$29,IF(Skills!C13=3,120+Inputs!$B$27+Inputs!$B$29,MAX(0,(Inputs!$B$3-100)*3)+Inputs!$B$28+Inputs!$B$29)))</f>
        <v/>
      </c>
      <c r="E504">
        <f>INDEX(FactorTable!$B$2:$Y$301, MATCH(ROUND(MIN(300,MAX(1,D504)),0), FactorTable!$A$2:$A$301,0), Skills!M13+1)</f>
        <v/>
      </c>
      <c r="F504">
        <f>IF(Skills!N13=TRUE,(Skills!L13/10)*(E504/1000),Skills!L13/10)+Skills!O13</f>
        <v/>
      </c>
      <c r="G504">
        <f>Skills!G13*IF(Skills!H13&gt;0,Skills!I13/Skills!H13,1)</f>
        <v/>
      </c>
      <c r="H504">
        <f>1-(1-Skills!J13/100)^Skills!K13</f>
        <v/>
      </c>
      <c r="I504" t="inlineStr">
        <is>
          <t>1</t>
        </is>
      </c>
      <c r="J504" t="inlineStr"/>
      <c r="K504" t="inlineStr"/>
      <c r="L504" t="inlineStr"/>
      <c r="M504" t="inlineStr"/>
      <c r="N504" t="inlineStr"/>
      <c r="O504">
        <f>(1-Summary!$B$11)*T504+Summary!$B$11*V504</f>
        <v/>
      </c>
      <c r="P504">
        <f>IF(B530=0,0,O504/B530)</f>
        <v/>
      </c>
      <c r="Q504" t="n">
        <v>0</v>
      </c>
      <c r="R504" t="n">
        <v>0</v>
      </c>
      <c r="S504">
        <f>IFERROR(O504/N504,0)</f>
        <v/>
      </c>
      <c r="T504" t="n">
        <v>0</v>
      </c>
      <c r="V504" t="n">
        <v>0</v>
      </c>
    </row>
    <row r="505">
      <c r="A505">
        <f>Skills!A14</f>
        <v/>
      </c>
      <c r="B505">
        <f>Skills!B14</f>
        <v/>
      </c>
      <c r="C505">
        <f>Inputs!$B$3&gt;=75</f>
        <v/>
      </c>
      <c r="D505">
        <f>IF(Skills!C14=1,60+Inputs!$B$25+Inputs!$B$29,IF(Skills!C14=2,90+Inputs!$B$26+Inputs!$B$29,IF(Skills!C14=3,120+Inputs!$B$27+Inputs!$B$29,MAX(0,(Inputs!$B$3-100)*3)+Inputs!$B$28+Inputs!$B$29)))</f>
        <v/>
      </c>
      <c r="E505">
        <f>INDEX(FactorTable!$B$2:$Y$301, MATCH(ROUND(MIN(300,MAX(1,D505)),0), FactorTable!$A$2:$A$301,0), Skills!M14+1)</f>
        <v/>
      </c>
      <c r="F505">
        <f>IF(Skills!N14=TRUE,(Skills!L14/10)*(E505/1000),Skills!L14/10)+Skills!O14</f>
        <v/>
      </c>
      <c r="G505">
        <f>Skills!G14*IF(Skills!H14&gt;0,Skills!I14/Skills!H14,1)</f>
        <v/>
      </c>
      <c r="H505">
        <f>1-(1-Skills!J14/100)^Skills!K14</f>
        <v/>
      </c>
      <c r="I505" t="inlineStr">
        <is>
          <t>1</t>
        </is>
      </c>
      <c r="J505" t="inlineStr"/>
      <c r="K505" t="inlineStr"/>
      <c r="L505" t="inlineStr"/>
      <c r="M505" t="inlineStr"/>
      <c r="N505" t="inlineStr"/>
      <c r="O505">
        <f>(1-Summary!$B$11)*T505+Summary!$B$11*V505</f>
        <v/>
      </c>
      <c r="P505">
        <f>IF(B530=0,0,O505/B530)</f>
        <v/>
      </c>
      <c r="Q505" t="n">
        <v>0</v>
      </c>
      <c r="R505" t="n">
        <v>0</v>
      </c>
      <c r="S505">
        <f>IFERROR(O505/N505,0)</f>
        <v/>
      </c>
      <c r="T505" t="n">
        <v>0</v>
      </c>
      <c r="V505" t="n">
        <v>0</v>
      </c>
    </row>
    <row r="506">
      <c r="A506">
        <f>Skills!A15</f>
        <v/>
      </c>
      <c r="B506">
        <f>Skills!B15</f>
        <v/>
      </c>
      <c r="C506">
        <f>Inputs!$B$3&gt;=40</f>
        <v/>
      </c>
      <c r="D506">
        <f>IF(Skills!C15=1,60+Inputs!$B$25+Inputs!$B$29,IF(Skills!C15=2,90+Inputs!$B$26+Inputs!$B$29,IF(Skills!C15=3,120+Inputs!$B$27+Inputs!$B$29,MAX(0,(Inputs!$B$3-100)*3)+Inputs!$B$28+Inputs!$B$29)))</f>
        <v/>
      </c>
      <c r="E506">
        <f>INDEX(FactorTable!$B$2:$Y$301, MATCH(ROUND(MIN(300,MAX(1,D506)),0), FactorTable!$A$2:$A$301,0), Skills!M15+1)</f>
        <v/>
      </c>
      <c r="F506">
        <f>IF(Skills!N15=TRUE,(Skills!L15/10)*(E506/1000),Skills!L15/10)+Skills!O15</f>
        <v/>
      </c>
      <c r="G506">
        <f>Skills!G15*IF(Skills!H15&gt;0,Skills!I15/Skills!H15,1)</f>
        <v/>
      </c>
      <c r="H506">
        <f>1-(1-Skills!J15/100)^Skills!K15</f>
        <v/>
      </c>
      <c r="I506" t="inlineStr">
        <is>
          <t>1</t>
        </is>
      </c>
      <c r="J506" t="inlineStr"/>
      <c r="K506" t="inlineStr"/>
      <c r="L506" t="inlineStr"/>
      <c r="M506" t="inlineStr"/>
      <c r="N506" t="inlineStr"/>
      <c r="O506">
        <f>(1-Summary!$B$11)*T506+Summary!$B$11*V506</f>
        <v/>
      </c>
      <c r="P506">
        <f>IF(B530=0,0,O506/B530)</f>
        <v/>
      </c>
      <c r="Q506">
        <f>IFERROR(1/(IF(Inputs!$B$38="pvp",15,MAX(0.1,Skills!D15-IF(Skills!E15=TRUE,Inputs!$B$32,0)))*(1-IF(AND(ArtifactsInput!$M$27,Inputs!$B$4="Chapter Hunt"),CHOOSE(ArtifactsInput!$N$27+1,20,24,28,32,36,40),0)/100)),0)</f>
        <v/>
      </c>
      <c r="R506">
        <f>IF(AND(Inputs!$B$38&lt;&gt;"pvp",Inputs!$B$43&gt;0),IF(Inputs!$B$43&lt;=0,0,(INT(Inputs!$B$43/(IF(Inputs!$B$38="pvp",15,MAX(0.1,Skills!D15-IF(Skills!E15=TRUE,Inputs!$B$32,0)))*(1-IF(AND(ArtifactsInput!$M$27,Inputs!$B$4="Chapter Hunt"),CHOOSE(ArtifactsInput!$N$27+1,20,24,28,32,36,40),0)/100)))+1)),0)</f>
        <v/>
      </c>
      <c r="S506">
        <f>IFERROR(O506/N506,0)</f>
        <v/>
      </c>
      <c r="T506" t="n">
        <v>0</v>
      </c>
      <c r="V506" t="n">
        <v>0</v>
      </c>
    </row>
    <row r="507">
      <c r="A507">
        <f>Skills!A16</f>
        <v/>
      </c>
      <c r="B507">
        <f>Skills!B16</f>
        <v/>
      </c>
      <c r="C507">
        <f>Inputs!$B$3&gt;=66</f>
        <v/>
      </c>
      <c r="D507">
        <f>IF(Skills!C16=1,60+Inputs!$B$25+Inputs!$B$29,IF(Skills!C16=2,90+Inputs!$B$26+Inputs!$B$29,IF(Skills!C16=3,120+Inputs!$B$27+Inputs!$B$29,MAX(0,(Inputs!$B$3-100)*3)+Inputs!$B$28+Inputs!$B$29)))</f>
        <v/>
      </c>
      <c r="E507">
        <f>INDEX(FactorTable!$B$2:$Y$301, MATCH(ROUND(MIN(300,MAX(1,D507)),0), FactorTable!$A$2:$A$301,0), Skills!M16+1)</f>
        <v/>
      </c>
      <c r="F507">
        <f>IF(Skills!N16=TRUE,(Skills!L16/10)*(E507/1000),Skills!L16/10)+Skills!O16</f>
        <v/>
      </c>
      <c r="G507">
        <f>Skills!G16*IF(Skills!H16&gt;0,Skills!I16/Skills!H16,1)</f>
        <v/>
      </c>
      <c r="H507">
        <f>1-(1-Skills!J16/100)^Skills!K16</f>
        <v/>
      </c>
      <c r="I507" t="inlineStr">
        <is>
          <t>1</t>
        </is>
      </c>
      <c r="J507" t="inlineStr"/>
      <c r="K507" t="inlineStr"/>
      <c r="L507" t="inlineStr"/>
      <c r="M507" t="inlineStr"/>
      <c r="N507" t="inlineStr"/>
      <c r="O507">
        <f>(1-Summary!$B$11)*T507+Summary!$B$11*V507</f>
        <v/>
      </c>
      <c r="P507">
        <f>IF(B530=0,0,O507/B530)</f>
        <v/>
      </c>
      <c r="Q507">
        <f>IFERROR(1/(IF(Inputs!$B$38="pvp",15,MAX(0.1,Skills!D16-IF(Skills!E16=TRUE,Inputs!$B$32,0)))*(1-IF(AND(ArtifactsInput!$M$27,Inputs!$B$4="Chapter Hunt"),CHOOSE(ArtifactsInput!$N$27+1,20,24,28,32,36,40),0)/100)),0)</f>
        <v/>
      </c>
      <c r="R507">
        <f>IF(AND(Inputs!$B$38&lt;&gt;"pvp",Inputs!$B$43&gt;0),IF(Inputs!$B$43&lt;=0,0,(INT(Inputs!$B$43/(IF(Inputs!$B$38="pvp",15,MAX(0.1,Skills!D16-IF(Skills!E16=TRUE,Inputs!$B$32,0)))*(1-IF(AND(ArtifactsInput!$M$27,Inputs!$B$4="Chapter Hunt"),CHOOSE(ArtifactsInput!$N$27+1,20,24,28,32,36,40),0)/100)))+1)),0)</f>
        <v/>
      </c>
      <c r="S507">
        <f>IFERROR(O507/N507,0)</f>
        <v/>
      </c>
      <c r="T507" t="n">
        <v>0</v>
      </c>
      <c r="V507" t="n">
        <v>0</v>
      </c>
    </row>
    <row r="508">
      <c r="A508">
        <f>Skills!A17</f>
        <v/>
      </c>
      <c r="B508">
        <f>Skills!B17</f>
        <v/>
      </c>
      <c r="C508">
        <f>Inputs!$B$3&gt;=115</f>
        <v/>
      </c>
      <c r="D508">
        <f>IF(Skills!C17=1,60+Inputs!$B$25+Inputs!$B$29,IF(Skills!C17=2,90+Inputs!$B$26+Inputs!$B$29,IF(Skills!C17=3,120+Inputs!$B$27+Inputs!$B$29,MAX(0,(Inputs!$B$3-100)*3)+Inputs!$B$28+Inputs!$B$29)))</f>
        <v/>
      </c>
      <c r="E508">
        <f>INDEX(FactorTable!$B$2:$Y$301, MATCH(ROUND(MIN(300,MAX(1,D508)),0), FactorTable!$A$2:$A$301,0), Skills!M17+1)</f>
        <v/>
      </c>
      <c r="F508">
        <f>IF(Skills!N17=TRUE,(Skills!L17/10)*(E508/1000),Skills!L17/10)+Skills!O17</f>
        <v/>
      </c>
      <c r="G508">
        <f>Skills!G17*IF(Skills!H17&gt;0,Skills!I17/Skills!H17,1)</f>
        <v/>
      </c>
      <c r="H508">
        <f>1-(1-Skills!J17/100)^Skills!K17</f>
        <v/>
      </c>
      <c r="I508" t="inlineStr">
        <is>
          <t>1</t>
        </is>
      </c>
      <c r="J508" t="inlineStr"/>
      <c r="K508" t="inlineStr"/>
      <c r="L508" t="inlineStr"/>
      <c r="M508" t="inlineStr"/>
      <c r="N508" t="inlineStr"/>
      <c r="O508">
        <f>(1-Summary!$B$11)*T508+Summary!$B$11*V508</f>
        <v/>
      </c>
      <c r="P508">
        <f>IF(B530=0,0,O508/B530)</f>
        <v/>
      </c>
      <c r="Q508">
        <f>IFERROR(1/(IF(Inputs!$B$38="pvp",15,MAX(0.1,Skills!D17-IF(Skills!E17=TRUE,Inputs!$B$32,0)))*(1-IF(AND(ArtifactsInput!$M$27,Inputs!$B$4="Chapter Hunt"),CHOOSE(ArtifactsInput!$N$27+1,20,24,28,32,36,40),0)/100)),0)</f>
        <v/>
      </c>
      <c r="R508">
        <f>IF(AND(Inputs!$B$38&lt;&gt;"pvp",Inputs!$B$43&gt;0),IF(Inputs!$B$43&lt;=0,0,(INT(Inputs!$B$43/(IF(Inputs!$B$38="pvp",15,MAX(0.1,Skills!D17-IF(Skills!E17=TRUE,Inputs!$B$32,0)))*(1-IF(AND(ArtifactsInput!$M$27,Inputs!$B$4="Chapter Hunt"),CHOOSE(ArtifactsInput!$N$27+1,20,24,28,32,36,40),0)/100)))+1)),0)</f>
        <v/>
      </c>
      <c r="S508">
        <f>IFERROR(O508/N508,0)</f>
        <v/>
      </c>
      <c r="T508" t="n">
        <v>0</v>
      </c>
      <c r="V508" t="n">
        <v>0</v>
      </c>
    </row>
    <row r="509">
      <c r="A509">
        <f>Skills!A18</f>
        <v/>
      </c>
      <c r="B509">
        <f>Skills!B18</f>
        <v/>
      </c>
      <c r="C509">
        <f>Inputs!$B$3&gt;=115</f>
        <v/>
      </c>
      <c r="D509">
        <f>IF(Skills!C18=1,60+Inputs!$B$25+Inputs!$B$29,IF(Skills!C18=2,90+Inputs!$B$26+Inputs!$B$29,IF(Skills!C18=3,120+Inputs!$B$27+Inputs!$B$29,MAX(0,(Inputs!$B$3-100)*3)+Inputs!$B$28+Inputs!$B$29)))</f>
        <v/>
      </c>
      <c r="E509">
        <f>INDEX(FactorTable!$B$2:$Y$301, MATCH(ROUND(MIN(300,MAX(1,D509)),0), FactorTable!$A$2:$A$301,0), Skills!M18+1)</f>
        <v/>
      </c>
      <c r="F509">
        <f>IF(Skills!N18=TRUE,(Skills!L18/10)*(E509/1000),Skills!L18/10)+Skills!O18</f>
        <v/>
      </c>
      <c r="G509">
        <f>Skills!G18*IF(Skills!H18&gt;0,Skills!I18/Skills!H18,1)</f>
        <v/>
      </c>
      <c r="H509">
        <f>1-(1-Skills!J18/100)^Skills!K18</f>
        <v/>
      </c>
      <c r="I509" t="inlineStr">
        <is>
          <t>1</t>
        </is>
      </c>
      <c r="J509" t="inlineStr"/>
      <c r="K509" t="inlineStr"/>
      <c r="L509" t="inlineStr"/>
      <c r="M509" t="inlineStr"/>
      <c r="N509" t="inlineStr"/>
      <c r="O509">
        <f>(1-Summary!$B$11)*T509+Summary!$B$11*V509</f>
        <v/>
      </c>
      <c r="P509">
        <f>IF(B530=0,0,O509/B530)</f>
        <v/>
      </c>
      <c r="Q509">
        <f>IFERROR(1/(IF(Inputs!$B$38="pvp",15,MAX(0.1,Skills!D18-IF(Skills!E18=TRUE,Inputs!$B$32,0)))*(1-IF(AND(ArtifactsInput!$M$27,Inputs!$B$4="Chapter Hunt"),CHOOSE(ArtifactsInput!$N$27+1,20,24,28,32,36,40),0)/100)),0)</f>
        <v/>
      </c>
      <c r="R509">
        <f>IF(AND(Inputs!$B$38&lt;&gt;"pvp",Inputs!$B$43&gt;0),IF(Inputs!$B$43&lt;=0,0,(INT(Inputs!$B$43/(IF(Inputs!$B$38="pvp",15,MAX(0.1,Skills!D18-IF(Skills!E18=TRUE,Inputs!$B$32,0)))*(1-IF(AND(ArtifactsInput!$M$27,Inputs!$B$4="Chapter Hunt"),CHOOSE(ArtifactsInput!$N$27+1,20,24,28,32,36,40),0)/100)))+1)),0)</f>
        <v/>
      </c>
      <c r="S509">
        <f>IFERROR(O509/N509,0)</f>
        <v/>
      </c>
      <c r="T509" t="n">
        <v>0</v>
      </c>
      <c r="V509" t="n">
        <v>0</v>
      </c>
    </row>
    <row r="510">
      <c r="A510">
        <f>Skills!A19</f>
        <v/>
      </c>
      <c r="B510">
        <f>Skills!B19</f>
        <v/>
      </c>
      <c r="C510">
        <f>TRUE</f>
        <v/>
      </c>
      <c r="D510">
        <f>IF(Skills!C19=1,60+Inputs!$B$25+Inputs!$B$29,IF(Skills!C19=2,90+Inputs!$B$26+Inputs!$B$29,IF(Skills!C19=3,120+Inputs!$B$27+Inputs!$B$29,MAX(0,(Inputs!$B$3-100)*3)+Inputs!$B$28+Inputs!$B$29)))</f>
        <v/>
      </c>
      <c r="E510">
        <f>INDEX(FactorTable!$B$2:$Y$301, MATCH(ROUND(MIN(300,MAX(1,D510)),0), FactorTable!$A$2:$A$301,0), Skills!M19+1)</f>
        <v/>
      </c>
      <c r="F510">
        <f>IF(Skills!N19=TRUE,(Skills!L19/10)*(E510/1000),Skills!L19/10)+Skills!O19</f>
        <v/>
      </c>
      <c r="G510">
        <f>Skills!G19*IF(Skills!H19&gt;0,Skills!I19/Skills!H19,1)</f>
        <v/>
      </c>
      <c r="H510">
        <f>1-(1-Skills!J19/100)^Skills!K19</f>
        <v/>
      </c>
      <c r="I510" t="inlineStr">
        <is>
          <t>1</t>
        </is>
      </c>
      <c r="J510" t="inlineStr"/>
      <c r="K510" t="inlineStr"/>
      <c r="L510" t="inlineStr"/>
      <c r="M510" t="inlineStr"/>
      <c r="N510" t="inlineStr"/>
      <c r="O510">
        <f>(1-Summary!$B$11)*T510+Summary!$B$11*V510</f>
        <v/>
      </c>
      <c r="P510">
        <f>IF(B530=0,0,O510/B530)</f>
        <v/>
      </c>
      <c r="Q510">
        <f>IFERROR(1/(IF(Inputs!$B$38="pvp",15,MAX(0.1,Skills!D19-IF(Skills!E19=TRUE,Inputs!$B$32,0)))*(1-IF(AND(ArtifactsInput!$M$27,Inputs!$B$4="Chapter Hunt"),CHOOSE(ArtifactsInput!$N$27+1,20,24,28,32,36,40),0)/100)),0)</f>
        <v/>
      </c>
      <c r="R510">
        <f>IF(AND(Inputs!$B$38&lt;&gt;"pvp",Inputs!$B$43&gt;0),IF(Inputs!$B$43&lt;=0,0,(INT(Inputs!$B$43/(IF(Inputs!$B$38="pvp",15,MAX(0.1,Skills!D19-IF(Skills!E19=TRUE,Inputs!$B$32,0)))*(1-IF(AND(ArtifactsInput!$M$27,Inputs!$B$4="Chapter Hunt"),CHOOSE(ArtifactsInput!$N$27+1,20,24,28,32,36,40),0)/100)))+1)),0)</f>
        <v/>
      </c>
      <c r="S510">
        <f>IFERROR(O510/N510,0)</f>
        <v/>
      </c>
      <c r="T510" t="n">
        <v>0</v>
      </c>
      <c r="V510" t="n">
        <v>0</v>
      </c>
    </row>
    <row r="511">
      <c r="A511">
        <f>Skills!A20</f>
        <v/>
      </c>
      <c r="B511">
        <f>Skills!B20</f>
        <v/>
      </c>
      <c r="C511">
        <f>Inputs!$B$3&gt;=33</f>
        <v/>
      </c>
      <c r="D511">
        <f>IF(Skills!C20=1,60+Inputs!$B$25+Inputs!$B$29,IF(Skills!C20=2,90+Inputs!$B$26+Inputs!$B$29,IF(Skills!C20=3,120+Inputs!$B$27+Inputs!$B$29,MAX(0,(Inputs!$B$3-100)*3)+Inputs!$B$28+Inputs!$B$29)))</f>
        <v/>
      </c>
      <c r="E511">
        <f>INDEX(FactorTable!$B$2:$Y$301, MATCH(ROUND(MIN(300,MAX(1,D511)),0), FactorTable!$A$2:$A$301,0), Skills!M20+1)</f>
        <v/>
      </c>
      <c r="F511">
        <f>IF(Skills!N20=TRUE,(Skills!L20/10)*(E511/1000),Skills!L20/10)+Skills!O20</f>
        <v/>
      </c>
      <c r="G511">
        <f>Skills!G20*IF(Skills!H20&gt;0,Skills!I20/Skills!H20,1)</f>
        <v/>
      </c>
      <c r="H511">
        <f>1-(1-Skills!J20/100)^Skills!K20</f>
        <v/>
      </c>
      <c r="I511" t="inlineStr">
        <is>
          <t>1</t>
        </is>
      </c>
      <c r="J511" t="inlineStr"/>
      <c r="K511" t="inlineStr"/>
      <c r="L511" t="inlineStr"/>
      <c r="M511" t="inlineStr"/>
      <c r="N511" t="inlineStr"/>
      <c r="O511">
        <f>(1-Summary!$B$11)*T511+Summary!$B$11*V511</f>
        <v/>
      </c>
      <c r="P511">
        <f>IF(B530=0,0,O511/B530)</f>
        <v/>
      </c>
      <c r="Q511" t="n">
        <v>0</v>
      </c>
      <c r="R511" t="n">
        <v>0</v>
      </c>
      <c r="S511">
        <f>IFERROR(O511/N511,0)</f>
        <v/>
      </c>
      <c r="T511" t="n">
        <v>0</v>
      </c>
      <c r="V511" t="n">
        <v>0</v>
      </c>
    </row>
    <row r="512">
      <c r="A512">
        <f>Skills!A21</f>
        <v/>
      </c>
      <c r="B512">
        <f>Skills!B21</f>
        <v/>
      </c>
      <c r="C512">
        <f>Inputs!$B$3&gt;=38</f>
        <v/>
      </c>
      <c r="D512">
        <f>IF(Skills!C21=1,60+Inputs!$B$25+Inputs!$B$29,IF(Skills!C21=2,90+Inputs!$B$26+Inputs!$B$29,IF(Skills!C21=3,120+Inputs!$B$27+Inputs!$B$29,MAX(0,(Inputs!$B$3-100)*3)+Inputs!$B$28+Inputs!$B$29)))</f>
        <v/>
      </c>
      <c r="E512">
        <f>INDEX(FactorTable!$B$2:$Y$301, MATCH(ROUND(MIN(300,MAX(1,D512)),0), FactorTable!$A$2:$A$301,0), Skills!M21+1)</f>
        <v/>
      </c>
      <c r="F512">
        <f>IF(Skills!N21=TRUE,(Skills!L21/10)*(E512/1000),Skills!L21/10)+Skills!O21</f>
        <v/>
      </c>
      <c r="G512">
        <f>Skills!G21*IF(Skills!H21&gt;0,Skills!I21/Skills!H21,1)</f>
        <v/>
      </c>
      <c r="H512">
        <f>1-(1-Skills!J21/100)^Skills!K21</f>
        <v/>
      </c>
      <c r="I512" t="inlineStr">
        <is>
          <t>1</t>
        </is>
      </c>
      <c r="J512" t="inlineStr"/>
      <c r="K512" t="inlineStr"/>
      <c r="L512" t="inlineStr"/>
      <c r="M512" t="inlineStr"/>
      <c r="N512" t="inlineStr"/>
      <c r="O512">
        <f>(1-Summary!$B$11)*T512+Summary!$B$11*V512</f>
        <v/>
      </c>
      <c r="P512">
        <f>IF(B530=0,0,O512/B530)</f>
        <v/>
      </c>
      <c r="Q512" t="n">
        <v>0</v>
      </c>
      <c r="R512" t="n">
        <v>0</v>
      </c>
      <c r="S512">
        <f>IFERROR(O512/N512,0)</f>
        <v/>
      </c>
      <c r="T512" t="n">
        <v>0</v>
      </c>
      <c r="V512" t="n">
        <v>0</v>
      </c>
    </row>
    <row r="513">
      <c r="A513">
        <f>Skills!A22</f>
        <v/>
      </c>
      <c r="B513">
        <f>Skills!B22</f>
        <v/>
      </c>
      <c r="C513">
        <f>Inputs!$B$3&gt;=43</f>
        <v/>
      </c>
      <c r="D513">
        <f>IF(Skills!C22=1,60+Inputs!$B$25+Inputs!$B$29,IF(Skills!C22=2,90+Inputs!$B$26+Inputs!$B$29,IF(Skills!C22=3,120+Inputs!$B$27+Inputs!$B$29,MAX(0,(Inputs!$B$3-100)*3)+Inputs!$B$28+Inputs!$B$29)))</f>
        <v/>
      </c>
      <c r="E513">
        <f>INDEX(FactorTable!$B$2:$Y$301, MATCH(ROUND(MIN(300,MAX(1,D513)),0), FactorTable!$A$2:$A$301,0), Skills!M22+1)</f>
        <v/>
      </c>
      <c r="F513">
        <f>IF(Skills!N22=TRUE,(Skills!L22/10)*(E513/1000),Skills!L22/10)+Skills!O22</f>
        <v/>
      </c>
      <c r="G513">
        <f>Skills!G22*IF(Skills!H22&gt;0,Skills!I22/Skills!H22,1)</f>
        <v/>
      </c>
      <c r="H513">
        <f>1-(1-Skills!J22/100)^Skills!K22</f>
        <v/>
      </c>
      <c r="I513" t="inlineStr">
        <is>
          <t>1</t>
        </is>
      </c>
      <c r="J513" t="inlineStr"/>
      <c r="K513" t="inlineStr"/>
      <c r="L513" t="inlineStr"/>
      <c r="M513" t="inlineStr"/>
      <c r="N513" t="inlineStr"/>
      <c r="O513">
        <f>(1-Summary!$B$11)*T513+Summary!$B$11*V513</f>
        <v/>
      </c>
      <c r="P513">
        <f>IF(B530=0,0,O513/B530)</f>
        <v/>
      </c>
      <c r="Q513" t="n">
        <v>0</v>
      </c>
      <c r="R513" t="n">
        <v>0</v>
      </c>
      <c r="S513">
        <f>IFERROR(O513/N513,0)</f>
        <v/>
      </c>
      <c r="T513" t="n">
        <v>0</v>
      </c>
      <c r="V513" t="n">
        <v>0</v>
      </c>
    </row>
    <row r="514">
      <c r="A514">
        <f>Skills!A23</f>
        <v/>
      </c>
      <c r="B514">
        <f>Skills!B23</f>
        <v/>
      </c>
      <c r="C514">
        <f>Inputs!$B$3&gt;=120</f>
        <v/>
      </c>
      <c r="D514">
        <f>IF(Skills!C23=1,60+Inputs!$B$25+Inputs!$B$29,IF(Skills!C23=2,90+Inputs!$B$26+Inputs!$B$29,IF(Skills!C23=3,120+Inputs!$B$27+Inputs!$B$29,MAX(0,(Inputs!$B$3-100)*3)+Inputs!$B$28+Inputs!$B$29)))</f>
        <v/>
      </c>
      <c r="E514">
        <f>INDEX(FactorTable!$B$2:$Y$301, MATCH(ROUND(MIN(300,MAX(1,D514)),0), FactorTable!$A$2:$A$301,0), Skills!M23+1)</f>
        <v/>
      </c>
      <c r="F514">
        <f>IF(Skills!N23=TRUE,(Skills!L23/10)*(E514/1000),Skills!L23/10)+Skills!O23</f>
        <v/>
      </c>
      <c r="G514">
        <f>Skills!G23*IF(Skills!H23&gt;0,Skills!I23/Skills!H23,1)</f>
        <v/>
      </c>
      <c r="H514">
        <f>1-(1-Skills!J23/100)^Skills!K23</f>
        <v/>
      </c>
      <c r="I514" t="inlineStr">
        <is>
          <t>1</t>
        </is>
      </c>
      <c r="J514" t="inlineStr"/>
      <c r="K514" t="inlineStr"/>
      <c r="L514" t="inlineStr"/>
      <c r="M514" t="inlineStr"/>
      <c r="N514" t="inlineStr"/>
      <c r="O514">
        <f>(1-Summary!$B$11)*T514+Summary!$B$11*V514</f>
        <v/>
      </c>
      <c r="P514">
        <f>IF(B530=0,0,O514/B530)</f>
        <v/>
      </c>
      <c r="Q514" t="n">
        <v>0</v>
      </c>
      <c r="R514" t="n">
        <v>0</v>
      </c>
      <c r="S514">
        <f>IFERROR(O514/N514,0)</f>
        <v/>
      </c>
      <c r="T514" t="n">
        <v>0</v>
      </c>
      <c r="V514" t="n">
        <v>0</v>
      </c>
    </row>
    <row r="515">
      <c r="A515">
        <f>Skills!A24</f>
        <v/>
      </c>
      <c r="B515">
        <f>Skills!B24</f>
        <v/>
      </c>
      <c r="C515">
        <f>Inputs!$B$3&gt;=120</f>
        <v/>
      </c>
      <c r="D515">
        <f>IF(Skills!C24=1,60+Inputs!$B$25+Inputs!$B$29,IF(Skills!C24=2,90+Inputs!$B$26+Inputs!$B$29,IF(Skills!C24=3,120+Inputs!$B$27+Inputs!$B$29,MAX(0,(Inputs!$B$3-100)*3)+Inputs!$B$28+Inputs!$B$29)))</f>
        <v/>
      </c>
      <c r="E515">
        <f>INDEX(FactorTable!$B$2:$Y$301, MATCH(ROUND(MIN(300,MAX(1,D515)),0), FactorTable!$A$2:$A$301,0), Skills!M24+1)</f>
        <v/>
      </c>
      <c r="F515">
        <f>IF(Skills!N24=TRUE,(Skills!L24/10)*(E515/1000),Skills!L24/10)+Skills!O24</f>
        <v/>
      </c>
      <c r="G515">
        <f>Skills!G24*IF(Skills!H24&gt;0,Skills!I24/Skills!H24,1)</f>
        <v/>
      </c>
      <c r="H515">
        <f>1-(1-Skills!J24/100)^Skills!K24</f>
        <v/>
      </c>
      <c r="I515" t="inlineStr">
        <is>
          <t>1</t>
        </is>
      </c>
      <c r="J515" t="inlineStr"/>
      <c r="K515" t="inlineStr"/>
      <c r="L515" t="inlineStr"/>
      <c r="M515" t="inlineStr"/>
      <c r="N515" t="inlineStr"/>
      <c r="O515">
        <f>(1-Summary!$B$11)*T515+Summary!$B$11*V515</f>
        <v/>
      </c>
      <c r="P515">
        <f>IF(B530=0,0,O515/B530)</f>
        <v/>
      </c>
      <c r="Q515" t="n">
        <v>0</v>
      </c>
      <c r="R515" t="n">
        <v>0</v>
      </c>
      <c r="S515">
        <f>IFERROR(O515/N515,0)</f>
        <v/>
      </c>
      <c r="T515" t="n">
        <v>0</v>
      </c>
      <c r="V515" t="n">
        <v>0</v>
      </c>
    </row>
    <row r="516">
      <c r="A516">
        <f>Skills!A25</f>
        <v/>
      </c>
      <c r="B516">
        <f>Skills!B25</f>
        <v/>
      </c>
      <c r="C516">
        <f>Inputs!$B$3&gt;=125</f>
        <v/>
      </c>
      <c r="D516">
        <f>IF(Skills!C25=1,60+Inputs!$B$25+Inputs!$B$29,IF(Skills!C25=2,90+Inputs!$B$26+Inputs!$B$29,IF(Skills!C25=3,120+Inputs!$B$27+Inputs!$B$29,MAX(0,(Inputs!$B$3-100)*3)+Inputs!$B$28+Inputs!$B$29)))</f>
        <v/>
      </c>
      <c r="E516">
        <f>INDEX(FactorTable!$B$2:$Y$301, MATCH(ROUND(MIN(300,MAX(1,D516)),0), FactorTable!$A$2:$A$301,0), Skills!M25+1)</f>
        <v/>
      </c>
      <c r="F516">
        <f>IF(Skills!N25=TRUE,(Skills!L25/10)*(E516/1000),Skills!L25/10)+Skills!O25</f>
        <v/>
      </c>
      <c r="G516">
        <f>Skills!G25*IF(Skills!H25&gt;0,Skills!I25/Skills!H25,1)</f>
        <v/>
      </c>
      <c r="H516">
        <f>1-(1-Skills!J25/100)^Skills!K25</f>
        <v/>
      </c>
      <c r="I516" t="inlineStr">
        <is>
          <t>1</t>
        </is>
      </c>
      <c r="J516" t="inlineStr"/>
      <c r="K516" t="inlineStr"/>
      <c r="L516" t="inlineStr"/>
      <c r="M516" t="inlineStr"/>
      <c r="N516" t="inlineStr"/>
      <c r="O516">
        <f>(1-Summary!$B$11)*T516+Summary!$B$11*V516</f>
        <v/>
      </c>
      <c r="P516">
        <f>IF(B530=0,0,O516/B530)</f>
        <v/>
      </c>
      <c r="Q516" t="n">
        <v>0</v>
      </c>
      <c r="R516" t="n">
        <v>0</v>
      </c>
      <c r="S516">
        <f>IFERROR(O516/N516,0)</f>
        <v/>
      </c>
      <c r="T516" t="n">
        <v>0</v>
      </c>
      <c r="V516" t="n">
        <v>0</v>
      </c>
    </row>
    <row r="517">
      <c r="A517">
        <f>Skills!A26</f>
        <v/>
      </c>
      <c r="B517">
        <f>Skills!B26</f>
        <v/>
      </c>
      <c r="C517">
        <f>Inputs!$B$3&gt;=72</f>
        <v/>
      </c>
      <c r="D517">
        <f>IF(Skills!C26=1,60+Inputs!$B$25+Inputs!$B$29,IF(Skills!C26=2,90+Inputs!$B$26+Inputs!$B$29,IF(Skills!C26=3,120+Inputs!$B$27+Inputs!$B$29,MAX(0,(Inputs!$B$3-100)*3)+Inputs!$B$28+Inputs!$B$29)))</f>
        <v/>
      </c>
      <c r="E517">
        <f>INDEX(FactorTable!$B$2:$Y$301, MATCH(ROUND(MIN(300,MAX(1,D517)),0), FactorTable!$A$2:$A$301,0), Skills!M26+1)</f>
        <v/>
      </c>
      <c r="F517">
        <f>IF(Skills!N26=TRUE,(Skills!L26/10)*(E517/1000),Skills!L26/10)+Skills!O26</f>
        <v/>
      </c>
      <c r="G517">
        <f>Skills!G26*IF(Skills!H26&gt;0,Skills!I26/Skills!H26,1)</f>
        <v/>
      </c>
      <c r="H517">
        <f>1-(1-Skills!J26/100)^Skills!K26</f>
        <v/>
      </c>
      <c r="I517" t="inlineStr">
        <is>
          <t>1</t>
        </is>
      </c>
      <c r="J517" t="inlineStr"/>
      <c r="K517" t="inlineStr"/>
      <c r="L517" t="inlineStr"/>
      <c r="M517" t="inlineStr"/>
      <c r="N517" t="inlineStr"/>
      <c r="O517">
        <f>(1-Summary!$B$11)*T517+Summary!$B$11*V517</f>
        <v/>
      </c>
      <c r="P517">
        <f>IF(B530=0,0,O517/B530)</f>
        <v/>
      </c>
      <c r="Q517" t="n">
        <v>0</v>
      </c>
      <c r="R517" t="n">
        <v>0</v>
      </c>
      <c r="S517">
        <f>IFERROR(O517/N517,0)</f>
        <v/>
      </c>
      <c r="T517" t="n">
        <v>0</v>
      </c>
      <c r="V517" t="n">
        <v>0</v>
      </c>
    </row>
    <row r="519">
      <c r="A519" t="inlineStr">
        <is>
          <t>Attack% Bucket Multiplier</t>
        </is>
      </c>
      <c r="B519">
        <f>(1+(((C504=TRUE)*F504*IF(Inputs!$B$3&gt;=110,7,5))+((C506=TRUE)*F506*IF(AND(Inputs!$B$38&lt;&gt;"pvp",Inputs!$B$43&gt;0),(((R506-1)*(Skills!T15*(1+(Inputs!$B$34+(ArtifactsInput!$M$7-ArtifactsInput!$M$7)*CHOOSE(ArtifactsInput!$N$7+1,6,7.2,8.4,9.6,10.8,12))/100))+MIN((Skills!T15*(1+(Inputs!$B$34+(ArtifactsInput!$M$7-ArtifactsInput!$M$7)*CHOOSE(ArtifactsInput!$N$7+1,6,7.2,8.4,9.6,10.8,12))/100)),MAX(0,Inputs!$B$43-((R506-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20">
      <c r="A520" t="inlineStr">
        <is>
          <t>Global Crit Rate Bonus %</t>
        </is>
      </c>
      <c r="B520" t="n">
        <v>0</v>
      </c>
    </row>
    <row r="521">
      <c r="A521" t="inlineStr">
        <is>
          <t>Attack Speed Buff Bonus %</t>
        </is>
      </c>
      <c r="B521">
        <f>((C510=TRUE)*F510*IF(AND(Inputs!$B$38&lt;&gt;"pvp",Inputs!$B$43&gt;0),(((R510-1)*(Skills!T19*(1+(Inputs!$B$34+(ArtifactsInput!$M$7-ArtifactsInput!$M$7)*CHOOSE(ArtifactsInput!$N$7+1,6,7.2,8.4,9.6,10.8,12))/100))+MIN((Skills!T19*(1+(Inputs!$B$34+(ArtifactsInput!$M$7-ArtifactsInput!$M$7)*CHOOSE(ArtifactsInput!$N$7+1,6,7.2,8.4,9.6,10.8,12))/100)),MAX(0,Inputs!$B$43-((R510-1)*Skills!D19))))/Inputs!$B$43),IF(Inputs!$B$38="pvp",MIN((Skills!T19*(1+(Inputs!$B$34+(ArtifactsInput!$M$7-ArtifactsInput!$M$7)*CHOOSE(ArtifactsInput!$N$7+1,6,7.2,8.4,9.6,10.8,12))/100)),15)/15,(Skills!T19*(1+(Inputs!$B$34+(ArtifactsInput!$M$7-ArtifactsInput!$M$7)*CHOOSE(ArtifactsInput!$N$7+1,6,7.2,8.4,9.6,10.8,12))/100))/Skills!D19)))</f>
        <v/>
      </c>
    </row>
    <row r="522">
      <c r="A522" t="inlineStr">
        <is>
          <t>Actions Per Second</t>
        </is>
      </c>
      <c r="B522">
        <f>1+MIN(150,150*(1-(1-(Inputs!$B$11+((C511=TRUE)*(F511-Calc!F20)))/150)*(1-B521/150)))/100</f>
        <v/>
      </c>
    </row>
    <row r="523">
      <c r="A523" t="inlineStr">
        <is>
          <t>Skill + Buff Cast Rate</t>
        </is>
      </c>
      <c r="B523">
        <f>IF(AND(Inputs!$B$38&lt;&gt;"pvp",Inputs!$B$43&gt;0),SUMPRODUCT((Skills!E2:E26=TRUE)*(C493:C517=TRUE)*R493:R517*Skills!F2:F26)/Inputs!$B$43,SUMPRODUCT((Skills!E2:E26=TRUE)*(C493:C517=TRUE)*Q493:Q517*Skills!F2:F26))</f>
        <v/>
      </c>
    </row>
    <row r="524">
      <c r="A524" t="inlineStr">
        <is>
          <t>Raging Blow Casts Per Second</t>
        </is>
      </c>
      <c r="B524">
        <f>MAX(0,B522-B523)</f>
        <v/>
      </c>
    </row>
    <row r="525">
      <c r="A525" t="inlineStr">
        <is>
          <t>Global Critical Damage Bonus % (Enrage)</t>
        </is>
      </c>
      <c r="B525">
        <f>((C509=TRUE)*F509*IF(AND(Inputs!$B$38&lt;&gt;"pvp",Inputs!$B$43&gt;0),(((R509-1)*(Skills!T18*(1+(Inputs!$B$34+(ArtifactsInput!$M$7-ArtifactsInput!$M$7)*CHOOSE(ArtifactsInput!$N$7+1,6,7.2,8.4,9.6,10.8,12))/100))+MIN((Skills!T18*(1+(Inputs!$B$34+(ArtifactsInput!$M$7-ArtifactsInput!$M$7)*CHOOSE(ArtifactsInput!$N$7+1,6,7.2,8.4,9.6,10.8,12))/100)),MAX(0,Inputs!$B$43-((R509-1)*Skills!D18))))/Inputs!$B$43),IF(Inputs!$B$38="pvp",MIN((Skills!T18*(1+(Inputs!$B$34+(ArtifactsInput!$M$7-ArtifactsInput!$M$7)*CHOOSE(ArtifactsInput!$N$7+1,6,7.2,8.4,9.6,10.8,12))/100)),15)/15,(Skills!T18*(1+(Inputs!$B$34+(ArtifactsInput!$M$7-ArtifactsInput!$M$7)*CHOOSE(ArtifactsInput!$N$7+1,6,7.2,8.4,9.6,10.8,12))/100))/Skills!D18)))</f>
        <v/>
      </c>
    </row>
    <row r="526">
      <c r="A526" t="inlineStr">
        <is>
          <t>Global Final Damage Bonus % (Enrage + Combo Synergy)</t>
        </is>
      </c>
      <c r="B526">
        <f>((C508=TRUE)*F508*IF(AND(Inputs!$B$38&lt;&gt;"pvp",Inputs!$B$43&gt;0),(((R508-1)*(Skills!T17*(1+(Inputs!$B$34+(ArtifactsInput!$M$7-ArtifactsInput!$M$7)*CHOOSE(ArtifactsInput!$N$7+1,6,7.2,8.4,9.6,10.8,12))/100))+MIN((Skills!T17*(1+(Inputs!$B$34+(ArtifactsInput!$M$7-ArtifactsInput!$M$7)*CHOOSE(ArtifactsInput!$N$7+1,6,7.2,8.4,9.6,10.8,12))/100)),MAX(0,Inputs!$B$43-((R508-1)*Skills!D17))))/Inputs!$B$43),IF(Inputs!$B$38="pvp",MIN((Skills!T17*(1+(Inputs!$B$34+(ArtifactsInput!$M$7-ArtifactsInput!$M$7)*CHOOSE(ArtifactsInput!$N$7+1,6,7.2,8.4,9.6,10.8,12))/100)),15)/15,(Skills!T17*(1+(Inputs!$B$34+(ArtifactsInput!$M$7-ArtifactsInput!$M$7)*CHOOSE(ArtifactsInput!$N$7+1,6,7.2,8.4,9.6,10.8,12))/100))/Skills!D17)))+((C505=TRUE)*F505*IF(Inputs!$B$3&gt;=110,7,5))</f>
        <v/>
      </c>
    </row>
    <row r="527">
      <c r="A527" t="inlineStr">
        <is>
          <t>Buff-Casting Startup Delay (s, fixed-duration only)</t>
        </is>
      </c>
      <c r="B527">
        <f>IF(AND(Inputs!$B$38&lt;&gt;"pvp",Inputs!$B$43&gt;0),SUMPRODUCT((Skills!T2:T26&gt;0)*(Skills!E2:E26=TRUE)*(C493:C517=TRUE))/B522,0)</f>
        <v/>
      </c>
    </row>
    <row r="528">
      <c r="A528" t="inlineStr">
        <is>
          <t>Boss-Only Total DPS (this block's swept value)</t>
        </is>
      </c>
      <c r="B528">
        <f>SUM(T493:T517)</f>
        <v/>
      </c>
    </row>
    <row r="529">
      <c r="A529" t="inlineStr">
        <is>
          <t>Normal-Only Total DPS (this block's swept value)</t>
        </is>
      </c>
      <c r="B529">
        <f>SUM(V493:V517)</f>
        <v/>
      </c>
    </row>
    <row r="530">
      <c r="A530" s="6" t="inlineStr">
        <is>
          <t>TOTAL DPS</t>
        </is>
      </c>
      <c r="B530" s="6">
        <f>SUM(O493:O517)</f>
        <v/>
      </c>
    </row>
    <row r="533">
      <c r="A533" s="6" t="inlineStr">
        <is>
          <t>Stat: CRIT_DAMAGE %</t>
        </is>
      </c>
    </row>
    <row r="534">
      <c r="A534" s="5" t="inlineStr">
        <is>
          <t>Key</t>
        </is>
      </c>
      <c r="B534" s="5" t="inlineStr">
        <is>
          <t>Name</t>
        </is>
      </c>
      <c r="C534" s="5" t="inlineStr">
        <is>
          <t>Unlocked</t>
        </is>
      </c>
      <c r="D534" s="5" t="inlineStr">
        <is>
          <t>InputLevel</t>
        </is>
      </c>
      <c r="E534" s="5" t="inlineStr">
        <is>
          <t>Factor</t>
        </is>
      </c>
      <c r="F534" s="5" t="inlineStr">
        <is>
          <t>CoefficientPercent</t>
        </is>
      </c>
      <c r="G534" s="5" t="inlineStr">
        <is>
          <t>EffectiveHits</t>
        </is>
      </c>
      <c r="H534" s="5" t="inlineStr">
        <is>
          <t>ProcProbability</t>
        </is>
      </c>
      <c r="I534" s="5" t="inlineStr">
        <is>
          <t>MapleHeroMultiplier</t>
        </is>
      </c>
      <c r="J534" s="5" t="inlineStr">
        <is>
          <t>BaseDamage</t>
        </is>
      </c>
      <c r="K534" s="5" t="inlineStr">
        <is>
          <t>BaseHitDamage</t>
        </is>
      </c>
      <c r="L534" s="5" t="inlineStr">
        <is>
          <t>NonCritAvg</t>
        </is>
      </c>
      <c r="M534" s="5" t="inlineStr">
        <is>
          <t>CritAvg</t>
        </is>
      </c>
      <c r="N534" s="5" t="inlineStr">
        <is>
          <t>ExpectedDamage(perHit)</t>
        </is>
      </c>
      <c r="O534" s="5" t="inlineStr">
        <is>
          <t>DPS</t>
        </is>
      </c>
      <c r="P534" s="5" t="inlineStr">
        <is>
          <t>% of Total</t>
        </is>
      </c>
      <c r="Q534" s="5" t="inlineStr">
        <is>
          <t>InvCooldown</t>
        </is>
      </c>
      <c r="R534" s="5" t="inlineStr">
        <is>
          <t>CastsInFight</t>
        </is>
      </c>
      <c r="S534" s="5" t="inlineStr">
        <is>
          <t>HitRate(perSec)</t>
        </is>
      </c>
      <c r="U534" t="inlineStr">
        <is>
          <t>helpers</t>
        </is>
      </c>
    </row>
    <row r="535">
      <c r="A535">
        <f>Skills!A2</f>
        <v/>
      </c>
      <c r="B535">
        <f>Skills!B2</f>
        <v/>
      </c>
      <c r="C535">
        <f>Inputs!$B$3&gt;=100</f>
        <v/>
      </c>
      <c r="D535" t="inlineStr"/>
      <c r="E535" t="inlineStr"/>
      <c r="F535">
        <f>U537+Skills!O2</f>
        <v/>
      </c>
      <c r="G535">
        <f>Skills!G2*IF(Skills!H2&gt;0,Skills!I2/Skills!H2,1)</f>
        <v/>
      </c>
      <c r="H535">
        <f>1-(1-Skills!J2/100)^Skills!K2</f>
        <v/>
      </c>
      <c r="I535" t="inlineStr">
        <is>
          <t>1</t>
        </is>
      </c>
      <c r="J535">
        <f>((Inputs!$B$6*(1+Inputs!$B$7/100))+(((Inputs!$B$12*(1+Inputs!$B$13/100))-(Inputs!$B$12*(1+Inputs!$B$13/100)))+0.25*(Inputs!$B$14-Inputs!$B$14))*(1+Inputs!$B$7/100))*(F535/100)</f>
        <v/>
      </c>
      <c r="K535">
        <f>J535*(1+((Inputs!$B$12*(1+Inputs!$B$13/100))*0.01+Inputs!$B$14*0.0025)/100)*(1+Inputs!$B$15/100)*(1+Inputs!$B$16/100)*(5000/(6000+Inputs!$B$42*(1-(100*(1-(1-(Inputs!$B$19+0)/100)*(1-CHOOSE(ArtifactsInput!$N$40+1,5,6,7,8,9,10)/100)^(ArtifactsInput!$M$40-ArtifactsInput!$M$40)))/100)))*(1+(Inputs!$B$24+((C558=TRUE)*(F558-Calc!F25))+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554=TRUE)*(F554-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556=TRUE)*(F556-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546=TRUE)*F546*IF(Inputs!$B$3&gt;=110,7,5))+((C548=TRUE)*F548*IF(AND(Inputs!$B$38&lt;&gt;"pvp",Inputs!$B$43&gt;0),(((R548-1)*(Skills!T15*(1+(Inputs!$B$34+(ArtifactsInput!$M$7-ArtifactsInput!$M$7)*CHOOSE(ArtifactsInput!$N$7+1,6,7.2,8.4,9.6,10.8,12))/100))+MIN((Skills!T15*(1+(Inputs!$B$34+(ArtifactsInput!$M$7-ArtifactsInput!$M$7)*CHOOSE(ArtifactsInput!$N$7+1,6,7.2,8.4,9.6,10.8,12))/100)),MAX(0,Inputs!$B$43-((R548-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100)*I535)</f>
        <v/>
      </c>
      <c r="L535">
        <f>K535*(MIN(Inputs!$B$22+((C555=TRUE)*(F555-Calc!F22)),(Inputs!$B$23+((C557=TRUE)*(F557-Calc!F24))+(IF(ArtifactsInput!$M$15,CHOOSE(ArtifactsInput!$N$15+1,25,30,35,40,45,50)/100*(Inputs!$B$11-Inputs!$B$11),0))))/100+(Inputs!$B$23+((C557=TRUE)*(F557-Calc!F24))+(IF(ArtifactsInput!$M$15,CHOOSE(ArtifactsInput!$N$15+1,25,30,35,40,45,50)/100*(Inputs!$B$11-Inputs!$B$11),0)))/100)/2</f>
        <v/>
      </c>
      <c r="M535">
        <f>L535*(1+((Inputs!$B$10+1)+0+B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35">
        <f>L535*(1-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535*(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5">
        <f>(1-Summary!$B$11)*T535+Summary!$B$11*V535</f>
        <v/>
      </c>
      <c r="P535">
        <f>IF(B572=0,0,O535/B572)</f>
        <v/>
      </c>
      <c r="Q535" t="n">
        <v>0</v>
      </c>
      <c r="R535" t="n">
        <v>0</v>
      </c>
      <c r="S535">
        <f>IFERROR(O535/N535,0)</f>
        <v/>
      </c>
      <c r="T535">
        <f>IF(C535,(Skills!G2*N535*B566)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535*(1-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535*(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535*(1-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535*(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35">
        <f>MAX(0,(Inputs!$B$3-100)*3)+Inputs!$B$28+Inputs!$B$29</f>
        <v/>
      </c>
      <c r="V535">
        <f>IF(C535,(Skills!G2*N535*B566)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6">
      <c r="A536">
        <f>Skills!A3</f>
        <v/>
      </c>
      <c r="B536">
        <f>Skills!B3</f>
        <v/>
      </c>
      <c r="C536">
        <f>Inputs!$B$3&gt;=50</f>
        <v/>
      </c>
      <c r="D536">
        <f>IF(Skills!C3=1,60+Inputs!$B$25+Inputs!$B$29,IF(Skills!C3=2,90+Inputs!$B$26+Inputs!$B$29,IF(Skills!C3=3,120+Inputs!$B$27+Inputs!$B$29,MAX(0,(Inputs!$B$3-100)*3)+Inputs!$B$28+Inputs!$B$29)))</f>
        <v/>
      </c>
      <c r="E536">
        <f>INDEX(FactorTable!$B$2:$Y$301, MATCH(ROUND(MIN(300,MAX(1,D536)),0), FactorTable!$A$2:$A$301,0), Skills!M3+1)</f>
        <v/>
      </c>
      <c r="F536">
        <f>IF(Skills!N3=TRUE,(Skills!L3/10)*(E536/1000),Skills!L3/10)+Skills!O3</f>
        <v/>
      </c>
      <c r="G536" t="inlineStr"/>
      <c r="H536" t="inlineStr"/>
      <c r="I536" t="inlineStr">
        <is>
          <t>1</t>
        </is>
      </c>
      <c r="J536" t="inlineStr"/>
      <c r="K536" t="inlineStr"/>
      <c r="L536" t="inlineStr"/>
      <c r="M536" t="inlineStr"/>
      <c r="N536" t="inlineStr"/>
      <c r="O536" t="inlineStr"/>
      <c r="P536" t="inlineStr"/>
      <c r="Q536" t="inlineStr"/>
      <c r="R536" t="inlineStr"/>
      <c r="S536" t="inlineStr"/>
      <c r="U536">
        <f>INDEX(FactorTable!$B$2:$Y$301, MATCH(ROUND(MIN(300,MAX(1,U535)),0), FactorTable!$A$2:$A$301,0), 22)</f>
        <v/>
      </c>
    </row>
    <row r="537">
      <c r="A537">
        <f>Skills!A4</f>
        <v/>
      </c>
      <c r="B537">
        <f>Skills!B4</f>
        <v/>
      </c>
      <c r="C537">
        <f>Inputs!$B$3&gt;=105</f>
        <v/>
      </c>
      <c r="D537">
        <f>IF(Skills!C4=1,60+Inputs!$B$25+Inputs!$B$29,IF(Skills!C4=2,90+Inputs!$B$26+Inputs!$B$29,IF(Skills!C4=3,120+Inputs!$B$27+Inputs!$B$29,MAX(0,(Inputs!$B$3-100)*3)+Inputs!$B$28+Inputs!$B$29)))</f>
        <v/>
      </c>
      <c r="E537">
        <f>INDEX(FactorTable!$B$2:$Y$301, MATCH(ROUND(MIN(300,MAX(1,D537)),0), FactorTable!$A$2:$A$301,0), Skills!M4+1)</f>
        <v/>
      </c>
      <c r="F537">
        <f>IF(Skills!N4=TRUE,(Skills!L4/10)*(E537/1000),Skills!L4/10)+Skills!O4</f>
        <v/>
      </c>
      <c r="G537" t="inlineStr"/>
      <c r="H537" t="inlineStr"/>
      <c r="I537" t="inlineStr">
        <is>
          <t>1</t>
        </is>
      </c>
      <c r="J537" t="inlineStr"/>
      <c r="K537" t="inlineStr"/>
      <c r="L537" t="inlineStr"/>
      <c r="M537" t="inlineStr"/>
      <c r="N537" t="inlineStr"/>
      <c r="O537" t="inlineStr"/>
      <c r="P537" t="inlineStr"/>
      <c r="Q537" t="inlineStr"/>
      <c r="R537" t="inlineStr"/>
      <c r="S537" t="inlineStr"/>
      <c r="U537">
        <f>290*U536/1000</f>
        <v/>
      </c>
    </row>
    <row r="538">
      <c r="A538">
        <f>Skills!A5</f>
        <v/>
      </c>
      <c r="B538">
        <f>Skills!B5</f>
        <v/>
      </c>
      <c r="C538">
        <f>Inputs!$B$3&gt;=103</f>
        <v/>
      </c>
      <c r="D538">
        <f>IF(Skills!C5=1,60+Inputs!$B$25+Inputs!$B$29,IF(Skills!C5=2,90+Inputs!$B$26+Inputs!$B$29,IF(Skills!C5=3,120+Inputs!$B$27+Inputs!$B$29,MAX(0,(Inputs!$B$3-100)*3)+Inputs!$B$28+Inputs!$B$29)))</f>
        <v/>
      </c>
      <c r="E538">
        <f>INDEX(FactorTable!$B$2:$Y$301, MATCH(ROUND(MIN(300,MAX(1,D538)),0), FactorTable!$A$2:$A$301,0), Skills!M5+1)</f>
        <v/>
      </c>
      <c r="F538">
        <f>IF(Skills!N5=TRUE,(Skills!L5/10)*(E538/1000),Skills!L5/10)+Skills!O5</f>
        <v/>
      </c>
      <c r="G538">
        <f>Skills!G5*IF(Skills!H5&gt;0,Skills!I5/Skills!H5,1)</f>
        <v/>
      </c>
      <c r="H538">
        <f>1-(1-Skills!J5/100)^Skills!K5</f>
        <v/>
      </c>
      <c r="I538" t="inlineStr">
        <is>
          <t>1</t>
        </is>
      </c>
      <c r="J538">
        <f>((Inputs!$B$6*(1+Inputs!$B$7/100))+(((Inputs!$B$12*(1+Inputs!$B$13/100))-(Inputs!$B$12*(1+Inputs!$B$13/100)))+0.25*(Inputs!$B$14-Inputs!$B$14))*(1+Inputs!$B$7/100))*(F538/100)</f>
        <v/>
      </c>
      <c r="K538">
        <f>J538*(1+((Inputs!$B$12*(1+Inputs!$B$13/100))*0.01+Inputs!$B$14*0.0025)/100)*(1+Inputs!$B$15/100)*(1+Inputs!$B$16/100)*(5000/(6000+Inputs!$B$42*(1-(100*(1-(1-(Inputs!$B$19+0)/100)*(1-CHOOSE(ArtifactsInput!$N$40+1,5,6,7,8,9,10)/100)^(ArtifactsInput!$M$40-ArtifactsInput!$M$40)))/100)))*(1+(Inputs!$B$24+((C558=TRUE)*(F558-Calc!F25))+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554=TRUE)*(F554-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556=TRUE)*(F556-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546=TRUE)*F546*IF(Inputs!$B$3&gt;=110,7,5))+((C548=TRUE)*F548*IF(AND(Inputs!$B$38&lt;&gt;"pvp",Inputs!$B$43&gt;0),(((R548-1)*(Skills!T15*(1+(Inputs!$B$34+(ArtifactsInput!$M$7-ArtifactsInput!$M$7)*CHOOSE(ArtifactsInput!$N$7+1,6,7.2,8.4,9.6,10.8,12))/100))+MIN((Skills!T15*(1+(Inputs!$B$34+(ArtifactsInput!$M$7-ArtifactsInput!$M$7)*CHOOSE(ArtifactsInput!$N$7+1,6,7.2,8.4,9.6,10.8,12))/100)),MAX(0,Inputs!$B$43-((R548-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100)*I538)</f>
        <v/>
      </c>
      <c r="L538">
        <f>K538*(MIN(Inputs!$B$22+((C555=TRUE)*(F555-Calc!F22)),(Inputs!$B$23+((C557=TRUE)*(F557-Calc!F24))+(IF(ArtifactsInput!$M$15,CHOOSE(ArtifactsInput!$N$15+1,25,30,35,40,45,50)/100*(Inputs!$B$11-Inputs!$B$11),0))))/100+(Inputs!$B$23+((C557=TRUE)*(F557-Calc!F24))+(IF(ArtifactsInput!$M$15,CHOOSE(ArtifactsInput!$N$15+1,25,30,35,40,45,50)/100*(Inputs!$B$11-Inputs!$B$11),0)))/100)/2</f>
        <v/>
      </c>
      <c r="M538">
        <f>L538*(1+((Inputs!$B$10+1)+0+B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38">
        <f>L538*(1-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538*(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8">
        <f>(1-Summary!$B$11)*T538+Summary!$B$11*V538</f>
        <v/>
      </c>
      <c r="P538">
        <f>IF(B572=0,0,O538/B572)</f>
        <v/>
      </c>
      <c r="Q538">
        <f>IFERROR(1/(IF(Inputs!$B$38="pvp",15,MAX(0.1,Skills!D5-IF(Skills!E5=TRUE,Inputs!$B$32,0)))*(1-IF(AND(ArtifactsInput!$M$27,Inputs!$B$4="Chapter Hunt"),CHOOSE(ArtifactsInput!$N$27+1,20,24,28,32,36,40),0)/100)),0)</f>
        <v/>
      </c>
      <c r="R538">
        <f>IF(AND(Inputs!$B$38&lt;&gt;"pvp",Inputs!$B$43&gt;0),IF(MAX(0,Inputs!$B$43-B569)&lt;=0,0,(INT(MAX(0,Inputs!$B$43-B569)/(IF(Inputs!$B$38="pvp",15,MAX(0.1,Skills!D5-IF(Skills!E5=TRUE,Inputs!$B$32,0)))*(1-IF(AND(ArtifactsInput!$M$27,Inputs!$B$4="Chapter Hunt"),CHOOSE(ArtifactsInput!$N$27+1,20,24,28,32,36,40),0)/100)))+1)),0)</f>
        <v/>
      </c>
      <c r="S538">
        <f>IFERROR(O538/N538,0)</f>
        <v/>
      </c>
      <c r="T538">
        <f>IF(C538,(H538*N538*IF(AND(Inputs!$B$38&lt;&gt;"pvp",Inputs!$B$43&gt;0),((Skills!G5*((R538-1)*IF(Skills!H5&gt;0,Skills!I5/Skills!H5,1)+IF(Skills!H5&gt;0,MIN(Skills!I5,MAX(0,MAX(0,Inputs!$B$43-B569)-((R538-1)*(IF(Inputs!$B$38="pvp",15,MAX(0.1,Skills!D5-IF(Skills!E5=TRUE,Inputs!$B$32,0)))*(1-IF(AND(ArtifactsInput!$M$27,Inputs!$B$4="Chapter Hunt"),CHOOSE(ArtifactsInput!$N$27+1,20,24,28,32,36,40),0)/100)))))/Skills!H5,1)))/Inputs!$B$43),G538*Q538)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538*(1-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538*(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538*(1-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538*(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8">
        <f>IF(C538,(H538*N538*IF(AND(Inputs!$B$38&lt;&gt;"pvp",Inputs!$B$43&gt;0),((Skills!G5*((R538-1)*IF(Skills!H5&gt;0,Skills!I5/Skills!H5,1)+IF(Skills!H5&gt;0,MIN(Skills!I5,MAX(0,MAX(0,Inputs!$B$43-B569)-((R538-1)*(IF(Inputs!$B$38="pvp",15,MAX(0.1,Skills!D5-IF(Skills!E5=TRUE,Inputs!$B$32,0)))*(1-IF(AND(ArtifactsInput!$M$27,Inputs!$B$4="Chapter Hunt"),CHOOSE(ArtifactsInput!$N$27+1,20,24,28,32,36,40),0)/100)))))/Skills!H5,1)))/Inputs!$B$43),G538*Q538)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9">
      <c r="A539">
        <f>Skills!A6</f>
        <v/>
      </c>
      <c r="B539">
        <f>Skills!B6</f>
        <v/>
      </c>
      <c r="C539">
        <f>Inputs!$B$3&gt;=103</f>
        <v/>
      </c>
      <c r="D539">
        <f>IF(Skills!C6=1,60+Inputs!$B$25+Inputs!$B$29,IF(Skills!C6=2,90+Inputs!$B$26+Inputs!$B$29,IF(Skills!C6=3,120+Inputs!$B$27+Inputs!$B$29,MAX(0,(Inputs!$B$3-100)*3)+Inputs!$B$28+Inputs!$B$29)))</f>
        <v/>
      </c>
      <c r="E539">
        <f>INDEX(FactorTable!$B$2:$Y$301, MATCH(ROUND(MIN(300,MAX(1,D539)),0), FactorTable!$A$2:$A$301,0), Skills!M6+1)</f>
        <v/>
      </c>
      <c r="F539">
        <f>IF(Skills!N6=TRUE,(Skills!L6/10)*(E539/1000),Skills!L6/10)+Skills!O6</f>
        <v/>
      </c>
      <c r="G539">
        <f>Skills!G6*IF(Skills!H6&gt;0,Skills!I6/Skills!H6,1)</f>
        <v/>
      </c>
      <c r="H539">
        <f>1-(1-Skills!J6/100)^Skills!K6</f>
        <v/>
      </c>
      <c r="I539" t="inlineStr">
        <is>
          <t>1</t>
        </is>
      </c>
      <c r="J539">
        <f>((Inputs!$B$6*(1+Inputs!$B$7/100))+(((Inputs!$B$12*(1+Inputs!$B$13/100))-(Inputs!$B$12*(1+Inputs!$B$13/100)))+0.25*(Inputs!$B$14-Inputs!$B$14))*(1+Inputs!$B$7/100))*(F539/100)</f>
        <v/>
      </c>
      <c r="K539">
        <f>J539*(1+((Inputs!$B$12*(1+Inputs!$B$13/100))*0.01+Inputs!$B$14*0.0025)/100)*(1+Inputs!$B$15/100)*(1+Inputs!$B$16/100)*(5000/(6000+Inputs!$B$42*(1-(100*(1-(1-(Inputs!$B$19+0)/100)*(1-CHOOSE(ArtifactsInput!$N$40+1,5,6,7,8,9,10)/100)^(ArtifactsInput!$M$40-ArtifactsInput!$M$40)))/100)))*(1+(Inputs!$B$24+((C558=TRUE)*(F558-Calc!F25))+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554=TRUE)*(F554-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556=TRUE)*(F556-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546=TRUE)*F546*IF(Inputs!$B$3&gt;=110,7,5))+((C548=TRUE)*F548*IF(AND(Inputs!$B$38&lt;&gt;"pvp",Inputs!$B$43&gt;0),(((R548-1)*(Skills!T15*(1+(Inputs!$B$34+(ArtifactsInput!$M$7-ArtifactsInput!$M$7)*CHOOSE(ArtifactsInput!$N$7+1,6,7.2,8.4,9.6,10.8,12))/100))+MIN((Skills!T15*(1+(Inputs!$B$34+(ArtifactsInput!$M$7-ArtifactsInput!$M$7)*CHOOSE(ArtifactsInput!$N$7+1,6,7.2,8.4,9.6,10.8,12))/100)),MAX(0,Inputs!$B$43-((R548-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100)*I539)</f>
        <v/>
      </c>
      <c r="L539">
        <f>K539*(MIN(Inputs!$B$22+((C555=TRUE)*(F555-Calc!F22)),(Inputs!$B$23+((C557=TRUE)*(F557-Calc!F24))+(IF(ArtifactsInput!$M$15,CHOOSE(ArtifactsInput!$N$15+1,25,30,35,40,45,50)/100*(Inputs!$B$11-Inputs!$B$11),0))))/100+(Inputs!$B$23+((C557=TRUE)*(F557-Calc!F24))+(IF(ArtifactsInput!$M$15,CHOOSE(ArtifactsInput!$N$15+1,25,30,35,40,45,50)/100*(Inputs!$B$11-Inputs!$B$11),0)))/100)/2</f>
        <v/>
      </c>
      <c r="M539">
        <f>L539*(1+((Inputs!$B$10+1)+0+B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39">
        <f>L539*(1-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539*(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9">
        <f>(1-Summary!$B$11)*T539+Summary!$B$11*V539</f>
        <v/>
      </c>
      <c r="P539">
        <f>IF(B572=0,0,O539/B572)</f>
        <v/>
      </c>
      <c r="Q539">
        <f>IFERROR(1/(IF(Inputs!$B$38="pvp",15,MAX(0.1,Skills!D6-IF(Skills!E6=TRUE,Inputs!$B$32,0)))*(1-IF(AND(ArtifactsInput!$M$27,Inputs!$B$4="Chapter Hunt"),CHOOSE(ArtifactsInput!$N$27+1,20,24,28,32,36,40),0)/100)),0)</f>
        <v/>
      </c>
      <c r="R539">
        <f>IF(AND(Inputs!$B$38&lt;&gt;"pvp",Inputs!$B$43&gt;0),IF(MAX(0,Inputs!$B$43-B569)&lt;=0,0,(INT(MAX(0,Inputs!$B$43-B569)/(IF(Inputs!$B$38="pvp",15,MAX(0.1,Skills!D6-IF(Skills!E6=TRUE,Inputs!$B$32,0)))*(1-IF(AND(ArtifactsInput!$M$27,Inputs!$B$4="Chapter Hunt"),CHOOSE(ArtifactsInput!$N$27+1,20,24,28,32,36,40),0)/100)))+1)),0)</f>
        <v/>
      </c>
      <c r="S539">
        <f>IFERROR(O539/N539,0)</f>
        <v/>
      </c>
      <c r="T539">
        <f>IF(C539,(H539*N539*IF(AND(Inputs!$B$38&lt;&gt;"pvp",Inputs!$B$43&gt;0),((Skills!G6*((R539-1)*IF(Skills!H6&gt;0,Skills!I6/Skills!H6,1)+IF(Skills!H6&gt;0,MIN(Skills!I6,MAX(0,MAX(0,Inputs!$B$43-B569)-((R539-1)*(IF(Inputs!$B$38="pvp",15,MAX(0.1,Skills!D6-IF(Skills!E6=TRUE,Inputs!$B$32,0)))*(1-IF(AND(ArtifactsInput!$M$27,Inputs!$B$4="Chapter Hunt"),CHOOSE(ArtifactsInput!$N$27+1,20,24,28,32,36,40),0)/100)))))/Skills!H6,1)))/Inputs!$B$43),G539*Q539)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539*(1-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539*(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539*(1-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539*(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9">
        <f>IF(C539,(H539*N539*IF(AND(Inputs!$B$38&lt;&gt;"pvp",Inputs!$B$43&gt;0),((Skills!G6*((R539-1)*IF(Skills!H6&gt;0,Skills!I6/Skills!H6,1)+IF(Skills!H6&gt;0,MIN(Skills!I6,MAX(0,MAX(0,Inputs!$B$43-B569)-((R539-1)*(IF(Inputs!$B$38="pvp",15,MAX(0.1,Skills!D6-IF(Skills!E6=TRUE,Inputs!$B$32,0)))*(1-IF(AND(ArtifactsInput!$M$27,Inputs!$B$4="Chapter Hunt"),CHOOSE(ArtifactsInput!$N$27+1,20,24,28,32,36,40),0)/100)))))/Skills!H6,1)))/Inputs!$B$43),G539*Q539)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0">
      <c r="A540">
        <f>Skills!A7</f>
        <v/>
      </c>
      <c r="B540">
        <f>Skills!B7</f>
        <v/>
      </c>
      <c r="C540">
        <f>Inputs!$B$3&gt;=107</f>
        <v/>
      </c>
      <c r="D540">
        <f>IF(Skills!C7=1,60+Inputs!$B$25+Inputs!$B$29,IF(Skills!C7=2,90+Inputs!$B$26+Inputs!$B$29,IF(Skills!C7=3,120+Inputs!$B$27+Inputs!$B$29,MAX(0,(Inputs!$B$3-100)*3)+Inputs!$B$28+Inputs!$B$29)))</f>
        <v/>
      </c>
      <c r="E540">
        <f>INDEX(FactorTable!$B$2:$Y$301, MATCH(ROUND(MIN(300,MAX(1,D540)),0), FactorTable!$A$2:$A$301,0), Skills!M7+1)</f>
        <v/>
      </c>
      <c r="F540">
        <f>IF(Skills!N7=TRUE,(Skills!L7/10)*(E540/1000),Skills!L7/10)+Skills!O7</f>
        <v/>
      </c>
      <c r="G540">
        <f>Skills!G7*IF(Skills!H7&gt;0,Skills!I7/Skills!H7,1)</f>
        <v/>
      </c>
      <c r="H540">
        <f>1-(1-Skills!J7/100)^Skills!K7</f>
        <v/>
      </c>
      <c r="I540" t="inlineStr">
        <is>
          <t>1</t>
        </is>
      </c>
      <c r="J540">
        <f>((Inputs!$B$6*(1+Inputs!$B$7/100))+(((Inputs!$B$12*(1+Inputs!$B$13/100))-(Inputs!$B$12*(1+Inputs!$B$13/100)))+0.25*(Inputs!$B$14-Inputs!$B$14))*(1+Inputs!$B$7/100))*(F540/100)</f>
        <v/>
      </c>
      <c r="K540">
        <f>J540*(1+((Inputs!$B$12*(1+Inputs!$B$13/100))*0.01+Inputs!$B$14*0.0025)/100)*(1+Inputs!$B$15/100)*(1+Inputs!$B$16/100)*(5000/(6000+Inputs!$B$42*(1-(100*(1-(1-(Inputs!$B$19+0)/100)*(1-CHOOSE(ArtifactsInput!$N$40+1,5,6,7,8,9,10)/100)^(ArtifactsInput!$M$40-ArtifactsInput!$M$40)))/100)))*(1+(Inputs!$B$24+((C558=TRUE)*(F558-Calc!F25))+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554=TRUE)*(F554-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556=TRUE)*(F556-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546=TRUE)*F546*IF(Inputs!$B$3&gt;=110,7,5))+((C548=TRUE)*F548*IF(AND(Inputs!$B$38&lt;&gt;"pvp",Inputs!$B$43&gt;0),(((R548-1)*(Skills!T15*(1+(Inputs!$B$34+(ArtifactsInput!$M$7-ArtifactsInput!$M$7)*CHOOSE(ArtifactsInput!$N$7+1,6,7.2,8.4,9.6,10.8,12))/100))+MIN((Skills!T15*(1+(Inputs!$B$34+(ArtifactsInput!$M$7-ArtifactsInput!$M$7)*CHOOSE(ArtifactsInput!$N$7+1,6,7.2,8.4,9.6,10.8,12))/100)),MAX(0,Inputs!$B$43-((R548-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100)*I540)</f>
        <v/>
      </c>
      <c r="L540">
        <f>K540*(MIN(Inputs!$B$22+((C555=TRUE)*(F555-Calc!F22)),(Inputs!$B$23+((C557=TRUE)*(F557-Calc!F24))+(IF(ArtifactsInput!$M$15,CHOOSE(ArtifactsInput!$N$15+1,25,30,35,40,45,50)/100*(Inputs!$B$11-Inputs!$B$11),0))))/100+(Inputs!$B$23+((C557=TRUE)*(F557-Calc!F24))+(IF(ArtifactsInput!$M$15,CHOOSE(ArtifactsInput!$N$15+1,25,30,35,40,45,50)/100*(Inputs!$B$11-Inputs!$B$11),0)))/100)/2</f>
        <v/>
      </c>
      <c r="M540">
        <f>L540*(1+((Inputs!$B$10+1)+0+B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40">
        <f>L540*(1-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540*(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0">
        <f>(1-Summary!$B$11)*T540+Summary!$B$11*V540</f>
        <v/>
      </c>
      <c r="P540">
        <f>IF(B572=0,0,O540/B572)</f>
        <v/>
      </c>
      <c r="Q540">
        <f>IFERROR(1/(IF(Inputs!$B$38="pvp",15,MAX(0.1,Skills!D7-IF(Skills!E7=TRUE,Inputs!$B$32,0)))*(1-IF(AND(ArtifactsInput!$M$27,Inputs!$B$4="Chapter Hunt"),CHOOSE(ArtifactsInput!$N$27+1,20,24,28,32,36,40),0)/100)),0)</f>
        <v/>
      </c>
      <c r="R540">
        <f>IF(AND(Inputs!$B$38&lt;&gt;"pvp",Inputs!$B$43&gt;0),IF(MAX(0,Inputs!$B$43-B569)&lt;=0,0,(INT(MAX(0,Inputs!$B$43-B569)/(IF(Inputs!$B$38="pvp",15,MAX(0.1,Skills!D7-IF(Skills!E7=TRUE,Inputs!$B$32,0)))*(1-IF(AND(ArtifactsInput!$M$27,Inputs!$B$4="Chapter Hunt"),CHOOSE(ArtifactsInput!$N$27+1,20,24,28,32,36,40),0)/100)))+1)),0)</f>
        <v/>
      </c>
      <c r="S540">
        <f>IFERROR(O540/N540,0)</f>
        <v/>
      </c>
      <c r="T540">
        <f>IF(C540,(H540*N540*IF(AND(Inputs!$B$38&lt;&gt;"pvp",Inputs!$B$43&gt;0),((Skills!G7*((R540-1)*IF(Skills!H7&gt;0,Skills!I7/Skills!H7,1)+IF(Skills!H7&gt;0,MIN(Skills!I7,MAX(0,MAX(0,Inputs!$B$43-B569)-((R540-1)*(IF(Inputs!$B$38="pvp",15,MAX(0.1,Skills!D7-IF(Skills!E7=TRUE,Inputs!$B$32,0)))*(1-IF(AND(ArtifactsInput!$M$27,Inputs!$B$4="Chapter Hunt"),CHOOSE(ArtifactsInput!$N$27+1,20,24,28,32,36,40),0)/100)))))/Skills!H7,1)))/Inputs!$B$43),G540*Q540)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540*(1-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540*(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540*(1-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540*(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0">
        <f>IF(C540,(H540*N540*IF(AND(Inputs!$B$38&lt;&gt;"pvp",Inputs!$B$43&gt;0),((Skills!G7*((R540-1)*IF(Skills!H7&gt;0,Skills!I7/Skills!H7,1)+IF(Skills!H7&gt;0,MIN(Skills!I7,MAX(0,MAX(0,Inputs!$B$43-B569)-((R540-1)*(IF(Inputs!$B$38="pvp",15,MAX(0.1,Skills!D7-IF(Skills!E7=TRUE,Inputs!$B$32,0)))*(1-IF(AND(ArtifactsInput!$M$27,Inputs!$B$4="Chapter Hunt"),CHOOSE(ArtifactsInput!$N$27+1,20,24,28,32,36,40),0)/100)))))/Skills!H7,1)))/Inputs!$B$43),G540*Q540)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1">
      <c r="A541">
        <f>Skills!A8</f>
        <v/>
      </c>
      <c r="B541">
        <f>Skills!B8</f>
        <v/>
      </c>
      <c r="C541">
        <f>Inputs!$B$3&gt;=117</f>
        <v/>
      </c>
      <c r="D541">
        <f>IF(Skills!C8=1,60+Inputs!$B$25+Inputs!$B$29,IF(Skills!C8=2,90+Inputs!$B$26+Inputs!$B$29,IF(Skills!C8=3,120+Inputs!$B$27+Inputs!$B$29,MAX(0,(Inputs!$B$3-100)*3)+Inputs!$B$28+Inputs!$B$29)))</f>
        <v/>
      </c>
      <c r="E541">
        <f>INDEX(FactorTable!$B$2:$Y$301, MATCH(ROUND(MIN(300,MAX(1,D541)),0), FactorTable!$A$2:$A$301,0), Skills!M8+1)</f>
        <v/>
      </c>
      <c r="F541">
        <f>IF(Skills!N8=TRUE,(Skills!L8/10)*(E541/1000),Skills!L8/10)+Skills!O8</f>
        <v/>
      </c>
      <c r="G541">
        <f>Skills!G8*IF(Skills!H8&gt;0,Skills!I8/Skills!H8,1)</f>
        <v/>
      </c>
      <c r="H541">
        <f>1-(1-Skills!J8/100)^Skills!K8</f>
        <v/>
      </c>
      <c r="I541" t="inlineStr">
        <is>
          <t>1</t>
        </is>
      </c>
      <c r="J541">
        <f>((Inputs!$B$6*(1+Inputs!$B$7/100))+(((Inputs!$B$12*(1+Inputs!$B$13/100))-(Inputs!$B$12*(1+Inputs!$B$13/100)))+0.25*(Inputs!$B$14-Inputs!$B$14))*(1+Inputs!$B$7/100))*(F541/100)</f>
        <v/>
      </c>
      <c r="K541">
        <f>J541*(1+((Inputs!$B$12*(1+Inputs!$B$13/100))*0.01+Inputs!$B$14*0.0025)/100)*(1+Inputs!$B$15/100)*(1+Inputs!$B$16/100)*(5000/(6000+Inputs!$B$42*(1-(100*(1-(1-(Inputs!$B$19+0)/100)*(1-CHOOSE(ArtifactsInput!$N$40+1,5,6,7,8,9,10)/100)^(ArtifactsInput!$M$40-ArtifactsInput!$M$40)))/100)))*(1+(Inputs!$B$24+((C558=TRUE)*(F558-Calc!F25))+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554=TRUE)*(F554-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556=TRUE)*(F556-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546=TRUE)*F546*IF(Inputs!$B$3&gt;=110,7,5))+((C548=TRUE)*F548*IF(AND(Inputs!$B$38&lt;&gt;"pvp",Inputs!$B$43&gt;0),(((R548-1)*(Skills!T15*(1+(Inputs!$B$34+(ArtifactsInput!$M$7-ArtifactsInput!$M$7)*CHOOSE(ArtifactsInput!$N$7+1,6,7.2,8.4,9.6,10.8,12))/100))+MIN((Skills!T15*(1+(Inputs!$B$34+(ArtifactsInput!$M$7-ArtifactsInput!$M$7)*CHOOSE(ArtifactsInput!$N$7+1,6,7.2,8.4,9.6,10.8,12))/100)),MAX(0,Inputs!$B$43-((R548-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100)*I541)</f>
        <v/>
      </c>
      <c r="L541">
        <f>K541*(MIN(Inputs!$B$22+((C555=TRUE)*(F555-Calc!F22)),(Inputs!$B$23+((C557=TRUE)*(F557-Calc!F24))+(IF(ArtifactsInput!$M$15,CHOOSE(ArtifactsInput!$N$15+1,25,30,35,40,45,50)/100*(Inputs!$B$11-Inputs!$B$11),0))))/100+(Inputs!$B$23+((C557=TRUE)*(F557-Calc!F24))+(IF(ArtifactsInput!$M$15,CHOOSE(ArtifactsInput!$N$15+1,25,30,35,40,45,50)/100*(Inputs!$B$11-Inputs!$B$11),0)))/100)/2</f>
        <v/>
      </c>
      <c r="M541">
        <f>L541*(1+((Inputs!$B$10+1)+0+B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41">
        <f>L541*(1-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541*(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1">
        <f>(1-Summary!$B$11)*T541+Summary!$B$11*V541</f>
        <v/>
      </c>
      <c r="P541">
        <f>IF(B572=0,0,O541/B572)</f>
        <v/>
      </c>
      <c r="Q541">
        <f>IFERROR(1/(IF(Inputs!$B$38="pvp",15,MAX(0.1,Skills!D8-IF(Skills!E8=TRUE,Inputs!$B$32,0)))*(1-IF(AND(ArtifactsInput!$M$27,Inputs!$B$4="Chapter Hunt"),CHOOSE(ArtifactsInput!$N$27+1,20,24,28,32,36,40),0)/100)),0)</f>
        <v/>
      </c>
      <c r="R541">
        <f>IF(AND(Inputs!$B$38&lt;&gt;"pvp",Inputs!$B$43&gt;0),IF(MAX(0,Inputs!$B$43-B569)&lt;=0,0,(INT(MAX(0,Inputs!$B$43-B569)/(IF(Inputs!$B$38="pvp",15,MAX(0.1,Skills!D8-IF(Skills!E8=TRUE,Inputs!$B$32,0)))*(1-IF(AND(ArtifactsInput!$M$27,Inputs!$B$4="Chapter Hunt"),CHOOSE(ArtifactsInput!$N$27+1,20,24,28,32,36,40),0)/100)))+1)),0)</f>
        <v/>
      </c>
      <c r="S541">
        <f>IFERROR(O541/N541,0)</f>
        <v/>
      </c>
      <c r="T541">
        <f>IF(C541,(H541*N541*IF(AND(Inputs!$B$38&lt;&gt;"pvp",Inputs!$B$43&gt;0),((Skills!G8*((R541-1)*IF(Skills!H8&gt;0,Skills!I8/Skills!H8,1)+IF(Skills!H8&gt;0,MIN(Skills!I8,MAX(0,MAX(0,Inputs!$B$43-B569)-((R541-1)*(IF(Inputs!$B$38="pvp",15,MAX(0.1,Skills!D8-IF(Skills!E8=TRUE,Inputs!$B$32,0)))*(1-IF(AND(ArtifactsInput!$M$27,Inputs!$B$4="Chapter Hunt"),CHOOSE(ArtifactsInput!$N$27+1,20,24,28,32,36,40),0)/100)))))/Skills!H8,1)))/Inputs!$B$43),G541*Q541)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541*(1-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541*(1-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1">
        <f>IF(C541,(H541*N541*IF(AND(Inputs!$B$38&lt;&gt;"pvp",Inputs!$B$43&gt;0),((Skills!G8*((R541-1)*IF(Skills!H8&gt;0,Skills!I8/Skills!H8,1)+IF(Skills!H8&gt;0,MIN(Skills!I8,MAX(0,MAX(0,Inputs!$B$43-B569)-((R541-1)*(IF(Inputs!$B$38="pvp",15,MAX(0.1,Skills!D8-IF(Skills!E8=TRUE,Inputs!$B$32,0)))*(1-IF(AND(ArtifactsInput!$M$27,Inputs!$B$4="Chapter Hunt"),CHOOSE(ArtifactsInput!$N$27+1,20,24,28,32,36,40),0)/100)))))/Skills!H8,1)))/Inputs!$B$43),G541*Q541)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2">
      <c r="A542">
        <f>Skills!A9</f>
        <v/>
      </c>
      <c r="B542">
        <f>Skills!B9</f>
        <v/>
      </c>
      <c r="C542">
        <f>Inputs!$B$3&gt;=69</f>
        <v/>
      </c>
      <c r="D542">
        <f>IF(Skills!C9=1,60+Inputs!$B$25+Inputs!$B$29,IF(Skills!C9=2,90+Inputs!$B$26+Inputs!$B$29,IF(Skills!C9=3,120+Inputs!$B$27+Inputs!$B$29,MAX(0,(Inputs!$B$3-100)*3)+Inputs!$B$28+Inputs!$B$29)))</f>
        <v/>
      </c>
      <c r="E542">
        <f>INDEX(FactorTable!$B$2:$Y$301, MATCH(ROUND(MIN(300,MAX(1,D542)),0), FactorTable!$A$2:$A$301,0), Skills!M9+1)</f>
        <v/>
      </c>
      <c r="F542">
        <f>IF(Skills!N9=TRUE,(Skills!L9/10)*(E542/1000),Skills!L9/10)+Skills!O9</f>
        <v/>
      </c>
      <c r="G542">
        <f>Skills!G9*IF(Skills!H9&gt;0,Skills!I9/Skills!H9,1)</f>
        <v/>
      </c>
      <c r="H542">
        <f>1-(1-Skills!J9/100)^Skills!K9</f>
        <v/>
      </c>
      <c r="I542" t="inlineStr">
        <is>
          <t>1</t>
        </is>
      </c>
      <c r="J542">
        <f>((Inputs!$B$6*(1+Inputs!$B$7/100))+(((Inputs!$B$12*(1+Inputs!$B$13/100))-(Inputs!$B$12*(1+Inputs!$B$13/100)))+0.25*(Inputs!$B$14-Inputs!$B$14))*(1+Inputs!$B$7/100))*(F542/100)</f>
        <v/>
      </c>
      <c r="K542">
        <f>J542*(1+((Inputs!$B$12*(1+Inputs!$B$13/100))*0.01+Inputs!$B$14*0.0025)/100)*(1+Inputs!$B$15/100)*(1+Inputs!$B$16/100)*(5000/(6000+Inputs!$B$42*(1-(100*(1-(1-(Inputs!$B$19+0)/100)*(1-CHOOSE(ArtifactsInput!$N$40+1,5,6,7,8,9,10)/100)^(ArtifactsInput!$M$40-ArtifactsInput!$M$40)))/100)))*(1+(Inputs!$B$24+((C558=TRUE)*(F558-Calc!F25))+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545=TRUE,F545,0)/100)*(1+IF(Skills!A9="ENHANCED_RAGING_BLOW",IF(Inputs!$B$3&gt;=134,MAX(0,IF(Inputs!$B$3&gt;=110,7,5)-5)*50,0),0)/100)*(1+(IF(Skills!A9="RAGING_BLOW",Inputs!$B$17+((C554=TRUE)*(F554-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556=TRUE)*(F556-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546=TRUE)*F546*IF(Inputs!$B$3&gt;=110,7,5))+((C548=TRUE)*F548*IF(AND(Inputs!$B$38&lt;&gt;"pvp",Inputs!$B$43&gt;0),(((R548-1)*(Skills!T15*(1+(Inputs!$B$34+(ArtifactsInput!$M$7-ArtifactsInput!$M$7)*CHOOSE(ArtifactsInput!$N$7+1,6,7.2,8.4,9.6,10.8,12))/100))+MIN((Skills!T15*(1+(Inputs!$B$34+(ArtifactsInput!$M$7-ArtifactsInput!$M$7)*CHOOSE(ArtifactsInput!$N$7+1,6,7.2,8.4,9.6,10.8,12))/100)),MAX(0,Inputs!$B$43-((R548-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100)*I542)</f>
        <v/>
      </c>
      <c r="L542">
        <f>K542*(MIN(Inputs!$B$22+((C555=TRUE)*(F555-Calc!F22)),(Inputs!$B$23+((C557=TRUE)*(F557-Calc!F24))+(IF(ArtifactsInput!$M$15,CHOOSE(ArtifactsInput!$N$15+1,25,30,35,40,45,50)/100*(Inputs!$B$11-Inputs!$B$11),0))))/100+(Inputs!$B$23+((C557=TRUE)*(F557-Calc!F24))+(IF(ArtifactsInput!$M$15,CHOOSE(ArtifactsInput!$N$15+1,25,30,35,40,45,50)/100*(Inputs!$B$11-Inputs!$B$11),0)))/100)/2</f>
        <v/>
      </c>
      <c r="M542">
        <f>L542*(1+((Inputs!$B$10+1)+0+B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42">
        <f>L542*(1-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542*(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2">
        <f>(1-Summary!$B$11)*T542+Summary!$B$11*V542</f>
        <v/>
      </c>
      <c r="P542">
        <f>IF(B572=0,0,O542/B572)</f>
        <v/>
      </c>
      <c r="Q542">
        <f>IFERROR(1/(IF(Inputs!$B$38="pvp",15,MAX(0.1,Skills!D9-IF(Skills!E9=TRUE,Inputs!$B$32,0)))*(1-IF(AND(ArtifactsInput!$M$27,Inputs!$B$4="Chapter Hunt"),CHOOSE(ArtifactsInput!$N$27+1,20,24,28,32,36,40),0)/100)),0)</f>
        <v/>
      </c>
      <c r="R542">
        <f>IF(AND(Inputs!$B$38&lt;&gt;"pvp",Inputs!$B$43&gt;0),IF(MAX(0,Inputs!$B$43-B569)&lt;=0,0,(INT(MAX(0,Inputs!$B$43-B569)/(IF(Inputs!$B$38="pvp",15,MAX(0.1,Skills!D9-IF(Skills!E9=TRUE,Inputs!$B$32,0)))*(1-IF(AND(ArtifactsInput!$M$27,Inputs!$B$4="Chapter Hunt"),CHOOSE(ArtifactsInput!$N$27+1,20,24,28,32,36,40),0)/100)))+1)),0)</f>
        <v/>
      </c>
      <c r="S542">
        <f>IFERROR(O542/N542,0)</f>
        <v/>
      </c>
      <c r="T542">
        <f>IF(C542,(H542*N542*IF(AND(Inputs!$B$38&lt;&gt;"pvp",Inputs!$B$43&gt;0),((Skills!G9*((R542-1)*IF(Skills!H9&gt;0,Skills!I9/Skills!H9,1)+IF(Skills!H9&gt;0,MIN(Skills!I9,MAX(0,MAX(0,Inputs!$B$43-B569)-((R542-1)*(IF(Inputs!$B$38="pvp",15,MAX(0.1,Skills!D9-IF(Skills!E9=TRUE,Inputs!$B$32,0)))*(1-IF(AND(ArtifactsInput!$M$27,Inputs!$B$4="Chapter Hunt"),CHOOSE(ArtifactsInput!$N$27+1,20,24,28,32,36,40),0)/100)))))/Skills!H9,1)))/Inputs!$B$43),G542*Q542)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542*(1-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542*(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542*(1-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542*(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2">
        <f>IF(C542,(H542*N542*IF(AND(Inputs!$B$38&lt;&gt;"pvp",Inputs!$B$43&gt;0),((Skills!G9*((R542-1)*IF(Skills!H9&gt;0,Skills!I9/Skills!H9,1)+IF(Skills!H9&gt;0,MIN(Skills!I9,MAX(0,MAX(0,Inputs!$B$43-B569)-((R542-1)*(IF(Inputs!$B$38="pvp",15,MAX(0.1,Skills!D9-IF(Skills!E9=TRUE,Inputs!$B$32,0)))*(1-IF(AND(ArtifactsInput!$M$27,Inputs!$B$4="Chapter Hunt"),CHOOSE(ArtifactsInput!$N$27+1,20,24,28,32,36,40),0)/100)))))/Skills!H9,1)))/Inputs!$B$43),G542*Q542)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3">
      <c r="A543">
        <f>Skills!A10</f>
        <v/>
      </c>
      <c r="B543">
        <f>Skills!B10</f>
        <v/>
      </c>
      <c r="C543">
        <f>Inputs!$B$3&gt;=63</f>
        <v/>
      </c>
      <c r="D543">
        <f>IF(Skills!C10=1,60+Inputs!$B$25+Inputs!$B$29,IF(Skills!C10=2,90+Inputs!$B$26+Inputs!$B$29,IF(Skills!C10=3,120+Inputs!$B$27+Inputs!$B$29,MAX(0,(Inputs!$B$3-100)*3)+Inputs!$B$28+Inputs!$B$29)))</f>
        <v/>
      </c>
      <c r="E543">
        <f>INDEX(FactorTable!$B$2:$Y$301, MATCH(ROUND(MIN(300,MAX(1,D543)),0), FactorTable!$A$2:$A$301,0), Skills!M10+1)</f>
        <v/>
      </c>
      <c r="F543">
        <f>IF(Skills!N10=TRUE,(Skills!L10/10)*(E543/1000),Skills!L10/10)+Skills!O10</f>
        <v/>
      </c>
      <c r="G543">
        <f>Skills!G10*IF(Skills!H10&gt;0,Skills!I10/Skills!H10,1)</f>
        <v/>
      </c>
      <c r="H543">
        <f>1-(1-Skills!J10/100)^Skills!K10</f>
        <v/>
      </c>
      <c r="I543" t="inlineStr">
        <is>
          <t>1</t>
        </is>
      </c>
      <c r="J543">
        <f>((Inputs!$B$6*(1+Inputs!$B$7/100))+(((Inputs!$B$12*(1+Inputs!$B$13/100))-(Inputs!$B$12*(1+Inputs!$B$13/100)))+0.25*(Inputs!$B$14-Inputs!$B$14))*(1+Inputs!$B$7/100))*(F543/100)</f>
        <v/>
      </c>
      <c r="K543">
        <f>J543*(1+((Inputs!$B$12*(1+Inputs!$B$13/100))*0.01+Inputs!$B$14*0.0025)/100)*(1+Inputs!$B$15/100)*(1+Inputs!$B$16/100)*(5000/(6000+Inputs!$B$42*(1-(100*(1-(1-(Inputs!$B$19+0)/100)*(1-CHOOSE(ArtifactsInput!$N$40+1,5,6,7,8,9,10)/100)^(ArtifactsInput!$M$40-ArtifactsInput!$M$40)))/100)))*(1+(Inputs!$B$24+((C558=TRUE)*(F558-Calc!F25))+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545=TRUE,F545,0)/100)*(1+IF(Skills!A10="ENHANCED_RAGING_BLOW",IF(Inputs!$B$3&gt;=134,MAX(0,IF(Inputs!$B$3&gt;=110,7,5)-5)*50,0),0)/100)*(1+(IF(Skills!A10="RAGING_BLOW",Inputs!$B$17+((C554=TRUE)*(F554-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556=TRUE)*(F556-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546=TRUE)*F546*IF(Inputs!$B$3&gt;=110,7,5))+((C548=TRUE)*F548*IF(AND(Inputs!$B$38&lt;&gt;"pvp",Inputs!$B$43&gt;0),(((R548-1)*(Skills!T15*(1+(Inputs!$B$34+(ArtifactsInput!$M$7-ArtifactsInput!$M$7)*CHOOSE(ArtifactsInput!$N$7+1,6,7.2,8.4,9.6,10.8,12))/100))+MIN((Skills!T15*(1+(Inputs!$B$34+(ArtifactsInput!$M$7-ArtifactsInput!$M$7)*CHOOSE(ArtifactsInput!$N$7+1,6,7.2,8.4,9.6,10.8,12))/100)),MAX(0,Inputs!$B$43-((R548-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100)*I543)</f>
        <v/>
      </c>
      <c r="L543">
        <f>K543*(MIN(Inputs!$B$22+((C555=TRUE)*(F555-Calc!F22)),(Inputs!$B$23+((C557=TRUE)*(F557-Calc!F24))+(IF(ArtifactsInput!$M$15,CHOOSE(ArtifactsInput!$N$15+1,25,30,35,40,45,50)/100*(Inputs!$B$11-Inputs!$B$11),0))))/100+(Inputs!$B$23+((C557=TRUE)*(F557-Calc!F24))+(IF(ArtifactsInput!$M$15,CHOOSE(ArtifactsInput!$N$15+1,25,30,35,40,45,50)/100*(Inputs!$B$11-Inputs!$B$11),0)))/100)/2</f>
        <v/>
      </c>
      <c r="M543">
        <f>L543*(1+((Inputs!$B$10+1)+0+B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43">
        <f>L543*(1-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543*(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3">
        <f>(1-Summary!$B$11)*T543+Summary!$B$11*V543</f>
        <v/>
      </c>
      <c r="P543">
        <f>IF(B572=0,0,O543/B572)</f>
        <v/>
      </c>
      <c r="Q543">
        <f>IFERROR(1/(IF(Inputs!$B$38="pvp",15,MAX(0.1,Skills!D10-IF(Skills!E10=TRUE,Inputs!$B$32,0)))*(1-IF(AND(ArtifactsInput!$M$27,Inputs!$B$4="Chapter Hunt"),CHOOSE(ArtifactsInput!$N$27+1,20,24,28,32,36,40),0)/100)),0)</f>
        <v/>
      </c>
      <c r="R543">
        <f>IF(AND(Inputs!$B$38&lt;&gt;"pvp",Inputs!$B$43&gt;0),IF(MAX(0,Inputs!$B$43-B569)&lt;=0,0,(INT(MAX(0,Inputs!$B$43-B569)/(IF(Inputs!$B$38="pvp",15,MAX(0.1,Skills!D10-IF(Skills!E10=TRUE,Inputs!$B$32,0)))*(1-IF(AND(ArtifactsInput!$M$27,Inputs!$B$4="Chapter Hunt"),CHOOSE(ArtifactsInput!$N$27+1,20,24,28,32,36,40),0)/100)))+1)),0)</f>
        <v/>
      </c>
      <c r="S543">
        <f>IFERROR(O543/N543,0)</f>
        <v/>
      </c>
      <c r="T543">
        <f>IF(C543,(H543*N543*IF(AND(Inputs!$B$38&lt;&gt;"pvp",Inputs!$B$43&gt;0),((Skills!G10*((R543-1)*IF(Skills!H10&gt;0,Skills!I10/Skills!H10,1)+IF(Skills!H10&gt;0,MIN(Skills!I10,MAX(0,MAX(0,Inputs!$B$43-B569)-((R543-1)*(IF(Inputs!$B$38="pvp",15,MAX(0.1,Skills!D10-IF(Skills!E10=TRUE,Inputs!$B$32,0)))*(1-IF(AND(ArtifactsInput!$M$27,Inputs!$B$4="Chapter Hunt"),CHOOSE(ArtifactsInput!$N$27+1,20,24,28,32,36,40),0)/100)))))/Skills!H10,1)))/Inputs!$B$43),G543*Q543)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543*(1-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543*(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543*(1-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543*(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3">
        <f>IF(C543,(H543*N543*IF(AND(Inputs!$B$38&lt;&gt;"pvp",Inputs!$B$43&gt;0),((Skills!G10*((R543-1)*IF(Skills!H10&gt;0,Skills!I10/Skills!H10,1)+IF(Skills!H10&gt;0,MIN(Skills!I10,MAX(0,MAX(0,Inputs!$B$43-B569)-((R543-1)*(IF(Inputs!$B$38="pvp",15,MAX(0.1,Skills!D10-IF(Skills!E10=TRUE,Inputs!$B$32,0)))*(1-IF(AND(ArtifactsInput!$M$27,Inputs!$B$4="Chapter Hunt"),CHOOSE(ArtifactsInput!$N$27+1,20,24,28,32,36,40),0)/100)))))/Skills!H10,1)))/Inputs!$B$43),G543*Q543)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4">
      <c r="A544">
        <f>Skills!A11</f>
        <v/>
      </c>
      <c r="B544">
        <f>Skills!B11</f>
        <v/>
      </c>
      <c r="C544">
        <f>Inputs!$B$3&gt;=35</f>
        <v/>
      </c>
      <c r="D544">
        <f>IF(Skills!C11=1,60+Inputs!$B$25+Inputs!$B$29,IF(Skills!C11=2,90+Inputs!$B$26+Inputs!$B$29,IF(Skills!C11=3,120+Inputs!$B$27+Inputs!$B$29,MAX(0,(Inputs!$B$3-100)*3)+Inputs!$B$28+Inputs!$B$29)))</f>
        <v/>
      </c>
      <c r="E544">
        <f>INDEX(FactorTable!$B$2:$Y$301, MATCH(ROUND(MIN(300,MAX(1,D544)),0), FactorTable!$A$2:$A$301,0), Skills!M11+1)</f>
        <v/>
      </c>
      <c r="F544">
        <f>IF(Skills!N11=TRUE,(Skills!L11/10)*(E544/1000),Skills!L11/10)+Skills!O11</f>
        <v/>
      </c>
      <c r="G544">
        <f>Skills!G11*IF(Skills!H11&gt;0,Skills!I11/Skills!H11,1)</f>
        <v/>
      </c>
      <c r="H544">
        <f>1-(1-Skills!J11/100)^Skills!K11</f>
        <v/>
      </c>
      <c r="I544" t="inlineStr">
        <is>
          <t>1</t>
        </is>
      </c>
      <c r="J544">
        <f>((Inputs!$B$6*(1+Inputs!$B$7/100))+(((Inputs!$B$12*(1+Inputs!$B$13/100))-(Inputs!$B$12*(1+Inputs!$B$13/100)))+0.25*(Inputs!$B$14-Inputs!$B$14))*(1+Inputs!$B$7/100))*(F544/100)</f>
        <v/>
      </c>
      <c r="K544">
        <f>J544*(1+((Inputs!$B$12*(1+Inputs!$B$13/100))*0.01+Inputs!$B$14*0.0025)/100)*(1+Inputs!$B$15/100)*(1+Inputs!$B$16/100)*(5000/(6000+Inputs!$B$42*(1-(100*(1-(1-(Inputs!$B$19+0)/100)*(1-CHOOSE(ArtifactsInput!$N$40+1,5,6,7,8,9,10)/100)^(ArtifactsInput!$M$40-ArtifactsInput!$M$40)))/100)))*(1+(Inputs!$B$24+((C558=TRUE)*(F558-Calc!F25))+B568)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545=TRUE,F545,0)/100)*(1+IF(Skills!A11="ENHANCED_RAGING_BLOW",IF(Inputs!$B$3&gt;=134,MAX(0,IF(Inputs!$B$3&gt;=110,7,5)-5)*50,0),0)/100)*(1+(IF(Skills!A11="RAGING_BLOW",Inputs!$B$17+((C554=TRUE)*(F554-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556=TRUE)*(F556-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546=TRUE)*F546*IF(Inputs!$B$3&gt;=110,7,5))+((C548=TRUE)*F548*IF(AND(Inputs!$B$38&lt;&gt;"pvp",Inputs!$B$43&gt;0),(((R548-1)*(Skills!T15*(1+(Inputs!$B$34+(ArtifactsInput!$M$7-ArtifactsInput!$M$7)*CHOOSE(ArtifactsInput!$N$7+1,6,7.2,8.4,9.6,10.8,12))/100))+MIN((Skills!T15*(1+(Inputs!$B$34+(ArtifactsInput!$M$7-ArtifactsInput!$M$7)*CHOOSE(ArtifactsInput!$N$7+1,6,7.2,8.4,9.6,10.8,12))/100)),MAX(0,Inputs!$B$43-((R548-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Hunt"),CHOOSE(ArtifactsInput!$N$35+1,15,18,21,24,27,30)*(1-EXP(-(0.2*B564)*5)),0)+IF(AND(ArtifactsInput!$M$22,Inputs!$B$4&lt;&gt;"Chapter Hunt"),CHOOSE(ArtifactsInput!$N$22+1,10,12,14,16,18,20)*((0*(((0.15*B564*5))^0/1)+1*(((0.15*B564*5))^1/1)+2*(((0.15*B564*5))^2/2)+3*(((0.15*B564*5))^3/6)+4*(((0.15*B564*5))^4/24)+5*(((0.15*B564*5))^5/120))/((((0.15*B564*5))^0/1)+(((0.15*B564*5))^1/1)+(((0.15*B564*5))^2/2)+(((0.15*B564*5))^3/6)+(((0.15*B564*5))^4/24)+(((0.15*B564*5))^5/120))),0)))/100)*I544)</f>
        <v/>
      </c>
      <c r="L544">
        <f>K544*(MIN(Inputs!$B$22+((C555=TRUE)*(F555-Calc!F22)),(Inputs!$B$23+((C557=TRUE)*(F557-Calc!F24))+(IF(ArtifactsInput!$M$15,CHOOSE(ArtifactsInput!$N$15+1,25,30,35,40,45,50)/100*(Inputs!$B$11-Inputs!$B$11),0))))/100+(Inputs!$B$23+((C557=TRUE)*(F557-Calc!F24))+(IF(ArtifactsInput!$M$15,CHOOSE(ArtifactsInput!$N$15+1,25,30,35,40,45,50)/100*(Inputs!$B$11-Inputs!$B$11),0)))/100)/2</f>
        <v/>
      </c>
      <c r="M544">
        <f>L544*(1+((Inputs!$B$10+1)+0+B567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44">
        <f>L544*(1-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544*(MIN((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44">
        <f>(1-Summary!$B$11)*T544+Summary!$B$11*V544</f>
        <v/>
      </c>
      <c r="P544">
        <f>IF(B572=0,0,O544/B572)</f>
        <v/>
      </c>
      <c r="Q544">
        <f>IFERROR(1/(IF(Inputs!$B$38="pvp",15,MAX(0.1,Skills!D11-IF(Skills!E11=TRUE,Inputs!$B$32,0)))*(1-IF(AND(ArtifactsInput!$M$27,Inputs!$B$4="Chapter Hunt"),CHOOSE(ArtifactsInput!$N$27+1,20,24,28,32,36,40),0)/100)),0)</f>
        <v/>
      </c>
      <c r="R544">
        <f>IF(AND(Inputs!$B$38&lt;&gt;"pvp",Inputs!$B$43&gt;0),IF(MAX(0,Inputs!$B$43-B569)&lt;=0,0,(INT(MAX(0,Inputs!$B$43-B569)/(IF(Inputs!$B$38="pvp",15,MAX(0.1,Skills!D11-IF(Skills!E11=TRUE,Inputs!$B$32,0)))*(1-IF(AND(ArtifactsInput!$M$27,Inputs!$B$4="Chapter Hunt"),CHOOSE(ArtifactsInput!$N$27+1,20,24,28,32,36,40),0)/100)))+1)),0)</f>
        <v/>
      </c>
      <c r="S544">
        <f>IFERROR(O544/N544,0)</f>
        <v/>
      </c>
      <c r="T544">
        <f>IF(C544,(H544*N544*IF(AND(Inputs!$B$38&lt;&gt;"pvp",Inputs!$B$43&gt;0),((Skills!G11*((R544-1)*IF(Skills!H11&gt;0,Skills!I11/Skills!H11,1)+IF(Skills!H11&gt;0,MIN(Skills!I11,MAX(0,MAX(0,Inputs!$B$43-B569)-((R544-1)*(IF(Inputs!$B$38="pvp",15,MAX(0.1,Skills!D11-IF(Skills!E11=TRUE,Inputs!$B$32,0)))*(1-IF(AND(ArtifactsInput!$M$27,Inputs!$B$4="Chapter Hunt"),CHOOSE(ArtifactsInput!$N$27+1,20,24,28,32,36,40),0)/100)))))/Skills!H11,1)))/Inputs!$B$43),G544*Q544)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544*(1-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544*(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544*(1-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544*(MIN(100,(Inputs!$B$9+((C559=TRUE)*(F559-Calc!F26))+B562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44">
        <f>IF(C544,(H544*N544*IF(AND(Inputs!$B$38&lt;&gt;"pvp",Inputs!$B$43&gt;0),((Skills!G11*((R544-1)*IF(Skills!H11&gt;0,Skills!I11/Skills!H11,1)+IF(Skills!H11&gt;0,MIN(Skills!I11,MAX(0,MAX(0,Inputs!$B$43-B569)-((R544-1)*(IF(Inputs!$B$38="pvp",15,MAX(0.1,Skills!D11-IF(Skills!E11=TRUE,Inputs!$B$32,0)))*(1-IF(AND(ArtifactsInput!$M$27,Inputs!$B$4="Chapter Hunt"),CHOOSE(ArtifactsInput!$N$27+1,20,24,28,32,36,40),0)/100)))))/Skills!H11,1)))/Inputs!$B$43),G544*Q544)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5">
      <c r="A545">
        <f>Skills!A12</f>
        <v/>
      </c>
      <c r="B545">
        <f>Skills!B12</f>
        <v/>
      </c>
      <c r="C545">
        <f>Inputs!$B$3&gt;=100</f>
        <v/>
      </c>
      <c r="D545">
        <f>IF(Skills!C12=1,60+Inputs!$B$25+Inputs!$B$29,IF(Skills!C12=2,90+Inputs!$B$26+Inputs!$B$29,IF(Skills!C12=3,120+Inputs!$B$27+Inputs!$B$29,MAX(0,(Inputs!$B$3-100)*3)+Inputs!$B$28+Inputs!$B$29)))</f>
        <v/>
      </c>
      <c r="E545">
        <f>INDEX(FactorTable!$B$2:$Y$301, MATCH(ROUND(MIN(300,MAX(1,D545)),0), FactorTable!$A$2:$A$301,0), Skills!M12+1)</f>
        <v/>
      </c>
      <c r="F545">
        <f>IF(Skills!N12=TRUE,(Skills!L12/10)*(E545/1000),Skills!L12/10)+Skills!O12</f>
        <v/>
      </c>
      <c r="G545" t="inlineStr"/>
      <c r="H545" t="inlineStr"/>
      <c r="I545" t="inlineStr">
        <is>
          <t>1</t>
        </is>
      </c>
      <c r="J545" t="inlineStr"/>
      <c r="K545" t="inlineStr"/>
      <c r="L545" t="inlineStr"/>
      <c r="M545" t="inlineStr"/>
      <c r="N545" t="inlineStr"/>
      <c r="O545" t="inlineStr"/>
      <c r="P545" t="inlineStr"/>
      <c r="Q545" t="inlineStr"/>
      <c r="R545" t="inlineStr"/>
      <c r="S545" t="inlineStr"/>
    </row>
    <row r="546">
      <c r="A546">
        <f>Skills!A13</f>
        <v/>
      </c>
      <c r="B546">
        <f>Skills!B13</f>
        <v/>
      </c>
      <c r="C546">
        <f>Inputs!$B$3&gt;=45</f>
        <v/>
      </c>
      <c r="D546">
        <f>IF(Skills!C13=1,60+Inputs!$B$25+Inputs!$B$29,IF(Skills!C13=2,90+Inputs!$B$26+Inputs!$B$29,IF(Skills!C13=3,120+Inputs!$B$27+Inputs!$B$29,MAX(0,(Inputs!$B$3-100)*3)+Inputs!$B$28+Inputs!$B$29)))</f>
        <v/>
      </c>
      <c r="E546">
        <f>INDEX(FactorTable!$B$2:$Y$301, MATCH(ROUND(MIN(300,MAX(1,D546)),0), FactorTable!$A$2:$A$301,0), Skills!M13+1)</f>
        <v/>
      </c>
      <c r="F546">
        <f>IF(Skills!N13=TRUE,(Skills!L13/10)*(E546/1000),Skills!L13/10)+Skills!O13</f>
        <v/>
      </c>
      <c r="G546">
        <f>Skills!G13*IF(Skills!H13&gt;0,Skills!I13/Skills!H13,1)</f>
        <v/>
      </c>
      <c r="H546">
        <f>1-(1-Skills!J13/100)^Skills!K13</f>
        <v/>
      </c>
      <c r="I546" t="inlineStr">
        <is>
          <t>1</t>
        </is>
      </c>
      <c r="J546" t="inlineStr"/>
      <c r="K546" t="inlineStr"/>
      <c r="L546" t="inlineStr"/>
      <c r="M546" t="inlineStr"/>
      <c r="N546" t="inlineStr"/>
      <c r="O546">
        <f>(1-Summary!$B$11)*T546+Summary!$B$11*V546</f>
        <v/>
      </c>
      <c r="P546">
        <f>IF(B572=0,0,O546/B572)</f>
        <v/>
      </c>
      <c r="Q546" t="n">
        <v>0</v>
      </c>
      <c r="R546" t="n">
        <v>0</v>
      </c>
      <c r="S546">
        <f>IFERROR(O546/N546,0)</f>
        <v/>
      </c>
      <c r="T546" t="n">
        <v>0</v>
      </c>
      <c r="V546" t="n">
        <v>0</v>
      </c>
    </row>
    <row r="547">
      <c r="A547">
        <f>Skills!A14</f>
        <v/>
      </c>
      <c r="B547">
        <f>Skills!B14</f>
        <v/>
      </c>
      <c r="C547">
        <f>Inputs!$B$3&gt;=75</f>
        <v/>
      </c>
      <c r="D547">
        <f>IF(Skills!C14=1,60+Inputs!$B$25+Inputs!$B$29,IF(Skills!C14=2,90+Inputs!$B$26+Inputs!$B$29,IF(Skills!C14=3,120+Inputs!$B$27+Inputs!$B$29,MAX(0,(Inputs!$B$3-100)*3)+Inputs!$B$28+Inputs!$B$29)))</f>
        <v/>
      </c>
      <c r="E547">
        <f>INDEX(FactorTable!$B$2:$Y$301, MATCH(ROUND(MIN(300,MAX(1,D547)),0), FactorTable!$A$2:$A$301,0), Skills!M14+1)</f>
        <v/>
      </c>
      <c r="F547">
        <f>IF(Skills!N14=TRUE,(Skills!L14/10)*(E547/1000),Skills!L14/10)+Skills!O14</f>
        <v/>
      </c>
      <c r="G547">
        <f>Skills!G14*IF(Skills!H14&gt;0,Skills!I14/Skills!H14,1)</f>
        <v/>
      </c>
      <c r="H547">
        <f>1-(1-Skills!J14/100)^Skills!K14</f>
        <v/>
      </c>
      <c r="I547" t="inlineStr">
        <is>
          <t>1</t>
        </is>
      </c>
      <c r="J547" t="inlineStr"/>
      <c r="K547" t="inlineStr"/>
      <c r="L547" t="inlineStr"/>
      <c r="M547" t="inlineStr"/>
      <c r="N547" t="inlineStr"/>
      <c r="O547">
        <f>(1-Summary!$B$11)*T547+Summary!$B$11*V547</f>
        <v/>
      </c>
      <c r="P547">
        <f>IF(B572=0,0,O547/B572)</f>
        <v/>
      </c>
      <c r="Q547" t="n">
        <v>0</v>
      </c>
      <c r="R547" t="n">
        <v>0</v>
      </c>
      <c r="S547">
        <f>IFERROR(O547/N547,0)</f>
        <v/>
      </c>
      <c r="T547" t="n">
        <v>0</v>
      </c>
      <c r="V547" t="n">
        <v>0</v>
      </c>
    </row>
    <row r="548">
      <c r="A548">
        <f>Skills!A15</f>
        <v/>
      </c>
      <c r="B548">
        <f>Skills!B15</f>
        <v/>
      </c>
      <c r="C548">
        <f>Inputs!$B$3&gt;=40</f>
        <v/>
      </c>
      <c r="D548">
        <f>IF(Skills!C15=1,60+Inputs!$B$25+Inputs!$B$29,IF(Skills!C15=2,90+Inputs!$B$26+Inputs!$B$29,IF(Skills!C15=3,120+Inputs!$B$27+Inputs!$B$29,MAX(0,(Inputs!$B$3-100)*3)+Inputs!$B$28+Inputs!$B$29)))</f>
        <v/>
      </c>
      <c r="E548">
        <f>INDEX(FactorTable!$B$2:$Y$301, MATCH(ROUND(MIN(300,MAX(1,D548)),0), FactorTable!$A$2:$A$301,0), Skills!M15+1)</f>
        <v/>
      </c>
      <c r="F548">
        <f>IF(Skills!N15=TRUE,(Skills!L15/10)*(E548/1000),Skills!L15/10)+Skills!O15</f>
        <v/>
      </c>
      <c r="G548">
        <f>Skills!G15*IF(Skills!H15&gt;0,Skills!I15/Skills!H15,1)</f>
        <v/>
      </c>
      <c r="H548">
        <f>1-(1-Skills!J15/100)^Skills!K15</f>
        <v/>
      </c>
      <c r="I548" t="inlineStr">
        <is>
          <t>1</t>
        </is>
      </c>
      <c r="J548" t="inlineStr"/>
      <c r="K548" t="inlineStr"/>
      <c r="L548" t="inlineStr"/>
      <c r="M548" t="inlineStr"/>
      <c r="N548" t="inlineStr"/>
      <c r="O548">
        <f>(1-Summary!$B$11)*T548+Summary!$B$11*V548</f>
        <v/>
      </c>
      <c r="P548">
        <f>IF(B572=0,0,O548/B572)</f>
        <v/>
      </c>
      <c r="Q548">
        <f>IFERROR(1/(IF(Inputs!$B$38="pvp",15,MAX(0.1,Skills!D15-IF(Skills!E15=TRUE,Inputs!$B$32,0)))*(1-IF(AND(ArtifactsInput!$M$27,Inputs!$B$4="Chapter Hunt"),CHOOSE(ArtifactsInput!$N$27+1,20,24,28,32,36,40),0)/100)),0)</f>
        <v/>
      </c>
      <c r="R548">
        <f>IF(AND(Inputs!$B$38&lt;&gt;"pvp",Inputs!$B$43&gt;0),IF(Inputs!$B$43&lt;=0,0,(INT(Inputs!$B$43/(IF(Inputs!$B$38="pvp",15,MAX(0.1,Skills!D15-IF(Skills!E15=TRUE,Inputs!$B$32,0)))*(1-IF(AND(ArtifactsInput!$M$27,Inputs!$B$4="Chapter Hunt"),CHOOSE(ArtifactsInput!$N$27+1,20,24,28,32,36,40),0)/100)))+1)),0)</f>
        <v/>
      </c>
      <c r="S548">
        <f>IFERROR(O548/N548,0)</f>
        <v/>
      </c>
      <c r="T548" t="n">
        <v>0</v>
      </c>
      <c r="V548" t="n">
        <v>0</v>
      </c>
    </row>
    <row r="549">
      <c r="A549">
        <f>Skills!A16</f>
        <v/>
      </c>
      <c r="B549">
        <f>Skills!B16</f>
        <v/>
      </c>
      <c r="C549">
        <f>Inputs!$B$3&gt;=66</f>
        <v/>
      </c>
      <c r="D549">
        <f>IF(Skills!C16=1,60+Inputs!$B$25+Inputs!$B$29,IF(Skills!C16=2,90+Inputs!$B$26+Inputs!$B$29,IF(Skills!C16=3,120+Inputs!$B$27+Inputs!$B$29,MAX(0,(Inputs!$B$3-100)*3)+Inputs!$B$28+Inputs!$B$29)))</f>
        <v/>
      </c>
      <c r="E549">
        <f>INDEX(FactorTable!$B$2:$Y$301, MATCH(ROUND(MIN(300,MAX(1,D549)),0), FactorTable!$A$2:$A$301,0), Skills!M16+1)</f>
        <v/>
      </c>
      <c r="F549">
        <f>IF(Skills!N16=TRUE,(Skills!L16/10)*(E549/1000),Skills!L16/10)+Skills!O16</f>
        <v/>
      </c>
      <c r="G549">
        <f>Skills!G16*IF(Skills!H16&gt;0,Skills!I16/Skills!H16,1)</f>
        <v/>
      </c>
      <c r="H549">
        <f>1-(1-Skills!J16/100)^Skills!K16</f>
        <v/>
      </c>
      <c r="I549" t="inlineStr">
        <is>
          <t>1</t>
        </is>
      </c>
      <c r="J549" t="inlineStr"/>
      <c r="K549" t="inlineStr"/>
      <c r="L549" t="inlineStr"/>
      <c r="M549" t="inlineStr"/>
      <c r="N549" t="inlineStr"/>
      <c r="O549">
        <f>(1-Summary!$B$11)*T549+Summary!$B$11*V549</f>
        <v/>
      </c>
      <c r="P549">
        <f>IF(B572=0,0,O549/B572)</f>
        <v/>
      </c>
      <c r="Q549">
        <f>IFERROR(1/(IF(Inputs!$B$38="pvp",15,MAX(0.1,Skills!D16-IF(Skills!E16=TRUE,Inputs!$B$32,0)))*(1-IF(AND(ArtifactsInput!$M$27,Inputs!$B$4="Chapter Hunt"),CHOOSE(ArtifactsInput!$N$27+1,20,24,28,32,36,40),0)/100)),0)</f>
        <v/>
      </c>
      <c r="R549">
        <f>IF(AND(Inputs!$B$38&lt;&gt;"pvp",Inputs!$B$43&gt;0),IF(Inputs!$B$43&lt;=0,0,(INT(Inputs!$B$43/(IF(Inputs!$B$38="pvp",15,MAX(0.1,Skills!D16-IF(Skills!E16=TRUE,Inputs!$B$32,0)))*(1-IF(AND(ArtifactsInput!$M$27,Inputs!$B$4="Chapter Hunt"),CHOOSE(ArtifactsInput!$N$27+1,20,24,28,32,36,40),0)/100)))+1)),0)</f>
        <v/>
      </c>
      <c r="S549">
        <f>IFERROR(O549/N549,0)</f>
        <v/>
      </c>
      <c r="T549" t="n">
        <v>0</v>
      </c>
      <c r="V549" t="n">
        <v>0</v>
      </c>
    </row>
    <row r="550">
      <c r="A550">
        <f>Skills!A17</f>
        <v/>
      </c>
      <c r="B550">
        <f>Skills!B17</f>
        <v/>
      </c>
      <c r="C550">
        <f>Inputs!$B$3&gt;=115</f>
        <v/>
      </c>
      <c r="D550">
        <f>IF(Skills!C17=1,60+Inputs!$B$25+Inputs!$B$29,IF(Skills!C17=2,90+Inputs!$B$26+Inputs!$B$29,IF(Skills!C17=3,120+Inputs!$B$27+Inputs!$B$29,MAX(0,(Inputs!$B$3-100)*3)+Inputs!$B$28+Inputs!$B$29)))</f>
        <v/>
      </c>
      <c r="E550">
        <f>INDEX(FactorTable!$B$2:$Y$301, MATCH(ROUND(MIN(300,MAX(1,D550)),0), FactorTable!$A$2:$A$301,0), Skills!M17+1)</f>
        <v/>
      </c>
      <c r="F550">
        <f>IF(Skills!N17=TRUE,(Skills!L17/10)*(E550/1000),Skills!L17/10)+Skills!O17</f>
        <v/>
      </c>
      <c r="G550">
        <f>Skills!G17*IF(Skills!H17&gt;0,Skills!I17/Skills!H17,1)</f>
        <v/>
      </c>
      <c r="H550">
        <f>1-(1-Skills!J17/100)^Skills!K17</f>
        <v/>
      </c>
      <c r="I550" t="inlineStr">
        <is>
          <t>1</t>
        </is>
      </c>
      <c r="J550" t="inlineStr"/>
      <c r="K550" t="inlineStr"/>
      <c r="L550" t="inlineStr"/>
      <c r="M550" t="inlineStr"/>
      <c r="N550" t="inlineStr"/>
      <c r="O550">
        <f>(1-Summary!$B$11)*T550+Summary!$B$11*V550</f>
        <v/>
      </c>
      <c r="P550">
        <f>IF(B572=0,0,O550/B572)</f>
        <v/>
      </c>
      <c r="Q550">
        <f>IFERROR(1/(IF(Inputs!$B$38="pvp",15,MAX(0.1,Skills!D17-IF(Skills!E17=TRUE,Inputs!$B$32,0)))*(1-IF(AND(ArtifactsInput!$M$27,Inputs!$B$4="Chapter Hunt"),CHOOSE(ArtifactsInput!$N$27+1,20,24,28,32,36,40),0)/100)),0)</f>
        <v/>
      </c>
      <c r="R550">
        <f>IF(AND(Inputs!$B$38&lt;&gt;"pvp",Inputs!$B$43&gt;0),IF(Inputs!$B$43&lt;=0,0,(INT(Inputs!$B$43/(IF(Inputs!$B$38="pvp",15,MAX(0.1,Skills!D17-IF(Skills!E17=TRUE,Inputs!$B$32,0)))*(1-IF(AND(ArtifactsInput!$M$27,Inputs!$B$4="Chapter Hunt"),CHOOSE(ArtifactsInput!$N$27+1,20,24,28,32,36,40),0)/100)))+1)),0)</f>
        <v/>
      </c>
      <c r="S550">
        <f>IFERROR(O550/N550,0)</f>
        <v/>
      </c>
      <c r="T550" t="n">
        <v>0</v>
      </c>
      <c r="V550" t="n">
        <v>0</v>
      </c>
    </row>
    <row r="551">
      <c r="A551">
        <f>Skills!A18</f>
        <v/>
      </c>
      <c r="B551">
        <f>Skills!B18</f>
        <v/>
      </c>
      <c r="C551">
        <f>Inputs!$B$3&gt;=115</f>
        <v/>
      </c>
      <c r="D551">
        <f>IF(Skills!C18=1,60+Inputs!$B$25+Inputs!$B$29,IF(Skills!C18=2,90+Inputs!$B$26+Inputs!$B$29,IF(Skills!C18=3,120+Inputs!$B$27+Inputs!$B$29,MAX(0,(Inputs!$B$3-100)*3)+Inputs!$B$28+Inputs!$B$29)))</f>
        <v/>
      </c>
      <c r="E551">
        <f>INDEX(FactorTable!$B$2:$Y$301, MATCH(ROUND(MIN(300,MAX(1,D551)),0), FactorTable!$A$2:$A$301,0), Skills!M18+1)</f>
        <v/>
      </c>
      <c r="F551">
        <f>IF(Skills!N18=TRUE,(Skills!L18/10)*(E551/1000),Skills!L18/10)+Skills!O18</f>
        <v/>
      </c>
      <c r="G551">
        <f>Skills!G18*IF(Skills!H18&gt;0,Skills!I18/Skills!H18,1)</f>
        <v/>
      </c>
      <c r="H551">
        <f>1-(1-Skills!J18/100)^Skills!K18</f>
        <v/>
      </c>
      <c r="I551" t="inlineStr">
        <is>
          <t>1</t>
        </is>
      </c>
      <c r="J551" t="inlineStr"/>
      <c r="K551" t="inlineStr"/>
      <c r="L551" t="inlineStr"/>
      <c r="M551" t="inlineStr"/>
      <c r="N551" t="inlineStr"/>
      <c r="O551">
        <f>(1-Summary!$B$11)*T551+Summary!$B$11*V551</f>
        <v/>
      </c>
      <c r="P551">
        <f>IF(B572=0,0,O551/B572)</f>
        <v/>
      </c>
      <c r="Q551">
        <f>IFERROR(1/(IF(Inputs!$B$38="pvp",15,MAX(0.1,Skills!D18-IF(Skills!E18=TRUE,Inputs!$B$32,0)))*(1-IF(AND(ArtifactsInput!$M$27,Inputs!$B$4="Chapter Hunt"),CHOOSE(ArtifactsInput!$N$27+1,20,24,28,32,36,40),0)/100)),0)</f>
        <v/>
      </c>
      <c r="R551">
        <f>IF(AND(Inputs!$B$38&lt;&gt;"pvp",Inputs!$B$43&gt;0),IF(Inputs!$B$43&lt;=0,0,(INT(Inputs!$B$43/(IF(Inputs!$B$38="pvp",15,MAX(0.1,Skills!D18-IF(Skills!E18=TRUE,Inputs!$B$32,0)))*(1-IF(AND(ArtifactsInput!$M$27,Inputs!$B$4="Chapter Hunt"),CHOOSE(ArtifactsInput!$N$27+1,20,24,28,32,36,40),0)/100)))+1)),0)</f>
        <v/>
      </c>
      <c r="S551">
        <f>IFERROR(O551/N551,0)</f>
        <v/>
      </c>
      <c r="T551" t="n">
        <v>0</v>
      </c>
      <c r="V551" t="n">
        <v>0</v>
      </c>
    </row>
    <row r="552">
      <c r="A552">
        <f>Skills!A19</f>
        <v/>
      </c>
      <c r="B552">
        <f>Skills!B19</f>
        <v/>
      </c>
      <c r="C552">
        <f>TRUE</f>
        <v/>
      </c>
      <c r="D552">
        <f>IF(Skills!C19=1,60+Inputs!$B$25+Inputs!$B$29,IF(Skills!C19=2,90+Inputs!$B$26+Inputs!$B$29,IF(Skills!C19=3,120+Inputs!$B$27+Inputs!$B$29,MAX(0,(Inputs!$B$3-100)*3)+Inputs!$B$28+Inputs!$B$29)))</f>
        <v/>
      </c>
      <c r="E552">
        <f>INDEX(FactorTable!$B$2:$Y$301, MATCH(ROUND(MIN(300,MAX(1,D552)),0), FactorTable!$A$2:$A$301,0), Skills!M19+1)</f>
        <v/>
      </c>
      <c r="F552">
        <f>IF(Skills!N19=TRUE,(Skills!L19/10)*(E552/1000),Skills!L19/10)+Skills!O19</f>
        <v/>
      </c>
      <c r="G552">
        <f>Skills!G19*IF(Skills!H19&gt;0,Skills!I19/Skills!H19,1)</f>
        <v/>
      </c>
      <c r="H552">
        <f>1-(1-Skills!J19/100)^Skills!K19</f>
        <v/>
      </c>
      <c r="I552" t="inlineStr">
        <is>
          <t>1</t>
        </is>
      </c>
      <c r="J552" t="inlineStr"/>
      <c r="K552" t="inlineStr"/>
      <c r="L552" t="inlineStr"/>
      <c r="M552" t="inlineStr"/>
      <c r="N552" t="inlineStr"/>
      <c r="O552">
        <f>(1-Summary!$B$11)*T552+Summary!$B$11*V552</f>
        <v/>
      </c>
      <c r="P552">
        <f>IF(B572=0,0,O552/B572)</f>
        <v/>
      </c>
      <c r="Q552">
        <f>IFERROR(1/(IF(Inputs!$B$38="pvp",15,MAX(0.1,Skills!D19-IF(Skills!E19=TRUE,Inputs!$B$32,0)))*(1-IF(AND(ArtifactsInput!$M$27,Inputs!$B$4="Chapter Hunt"),CHOOSE(ArtifactsInput!$N$27+1,20,24,28,32,36,40),0)/100)),0)</f>
        <v/>
      </c>
      <c r="R552">
        <f>IF(AND(Inputs!$B$38&lt;&gt;"pvp",Inputs!$B$43&gt;0),IF(Inputs!$B$43&lt;=0,0,(INT(Inputs!$B$43/(IF(Inputs!$B$38="pvp",15,MAX(0.1,Skills!D19-IF(Skills!E19=TRUE,Inputs!$B$32,0)))*(1-IF(AND(ArtifactsInput!$M$27,Inputs!$B$4="Chapter Hunt"),CHOOSE(ArtifactsInput!$N$27+1,20,24,28,32,36,40),0)/100)))+1)),0)</f>
        <v/>
      </c>
      <c r="S552">
        <f>IFERROR(O552/N552,0)</f>
        <v/>
      </c>
      <c r="T552" t="n">
        <v>0</v>
      </c>
      <c r="V552" t="n">
        <v>0</v>
      </c>
    </row>
    <row r="553">
      <c r="A553">
        <f>Skills!A20</f>
        <v/>
      </c>
      <c r="B553">
        <f>Skills!B20</f>
        <v/>
      </c>
      <c r="C553">
        <f>Inputs!$B$3&gt;=33</f>
        <v/>
      </c>
      <c r="D553">
        <f>IF(Skills!C20=1,60+Inputs!$B$25+Inputs!$B$29,IF(Skills!C20=2,90+Inputs!$B$26+Inputs!$B$29,IF(Skills!C20=3,120+Inputs!$B$27+Inputs!$B$29,MAX(0,(Inputs!$B$3-100)*3)+Inputs!$B$28+Inputs!$B$29)))</f>
        <v/>
      </c>
      <c r="E553">
        <f>INDEX(FactorTable!$B$2:$Y$301, MATCH(ROUND(MIN(300,MAX(1,D553)),0), FactorTable!$A$2:$A$301,0), Skills!M20+1)</f>
        <v/>
      </c>
      <c r="F553">
        <f>IF(Skills!N20=TRUE,(Skills!L20/10)*(E553/1000),Skills!L20/10)+Skills!O20</f>
        <v/>
      </c>
      <c r="G553">
        <f>Skills!G20*IF(Skills!H20&gt;0,Skills!I20/Skills!H20,1)</f>
        <v/>
      </c>
      <c r="H553">
        <f>1-(1-Skills!J20/100)^Skills!K20</f>
        <v/>
      </c>
      <c r="I553" t="inlineStr">
        <is>
          <t>1</t>
        </is>
      </c>
      <c r="J553" t="inlineStr"/>
      <c r="K553" t="inlineStr"/>
      <c r="L553" t="inlineStr"/>
      <c r="M553" t="inlineStr"/>
      <c r="N553" t="inlineStr"/>
      <c r="O553">
        <f>(1-Summary!$B$11)*T553+Summary!$B$11*V553</f>
        <v/>
      </c>
      <c r="P553">
        <f>IF(B572=0,0,O553/B572)</f>
        <v/>
      </c>
      <c r="Q553" t="n">
        <v>0</v>
      </c>
      <c r="R553" t="n">
        <v>0</v>
      </c>
      <c r="S553">
        <f>IFERROR(O553/N553,0)</f>
        <v/>
      </c>
      <c r="T553" t="n">
        <v>0</v>
      </c>
      <c r="V553" t="n">
        <v>0</v>
      </c>
    </row>
    <row r="554">
      <c r="A554">
        <f>Skills!A21</f>
        <v/>
      </c>
      <c r="B554">
        <f>Skills!B21</f>
        <v/>
      </c>
      <c r="C554">
        <f>Inputs!$B$3&gt;=38</f>
        <v/>
      </c>
      <c r="D554">
        <f>IF(Skills!C21=1,60+Inputs!$B$25+Inputs!$B$29,IF(Skills!C21=2,90+Inputs!$B$26+Inputs!$B$29,IF(Skills!C21=3,120+Inputs!$B$27+Inputs!$B$29,MAX(0,(Inputs!$B$3-100)*3)+Inputs!$B$28+Inputs!$B$29)))</f>
        <v/>
      </c>
      <c r="E554">
        <f>INDEX(FactorTable!$B$2:$Y$301, MATCH(ROUND(MIN(300,MAX(1,D554)),0), FactorTable!$A$2:$A$301,0), Skills!M21+1)</f>
        <v/>
      </c>
      <c r="F554">
        <f>IF(Skills!N21=TRUE,(Skills!L21/10)*(E554/1000),Skills!L21/10)+Skills!O21</f>
        <v/>
      </c>
      <c r="G554">
        <f>Skills!G21*IF(Skills!H21&gt;0,Skills!I21/Skills!H21,1)</f>
        <v/>
      </c>
      <c r="H554">
        <f>1-(1-Skills!J21/100)^Skills!K21</f>
        <v/>
      </c>
      <c r="I554" t="inlineStr">
        <is>
          <t>1</t>
        </is>
      </c>
      <c r="J554" t="inlineStr"/>
      <c r="K554" t="inlineStr"/>
      <c r="L554" t="inlineStr"/>
      <c r="M554" t="inlineStr"/>
      <c r="N554" t="inlineStr"/>
      <c r="O554">
        <f>(1-Summary!$B$11)*T554+Summary!$B$11*V554</f>
        <v/>
      </c>
      <c r="P554">
        <f>IF(B572=0,0,O554/B572)</f>
        <v/>
      </c>
      <c r="Q554" t="n">
        <v>0</v>
      </c>
      <c r="R554" t="n">
        <v>0</v>
      </c>
      <c r="S554">
        <f>IFERROR(O554/N554,0)</f>
        <v/>
      </c>
      <c r="T554" t="n">
        <v>0</v>
      </c>
      <c r="V554" t="n">
        <v>0</v>
      </c>
    </row>
    <row r="555">
      <c r="A555">
        <f>Skills!A22</f>
        <v/>
      </c>
      <c r="B555">
        <f>Skills!B22</f>
        <v/>
      </c>
      <c r="C555">
        <f>Inputs!$B$3&gt;=43</f>
        <v/>
      </c>
      <c r="D555">
        <f>IF(Skills!C22=1,60+Inputs!$B$25+Inputs!$B$29,IF(Skills!C22=2,90+Inputs!$B$26+Inputs!$B$29,IF(Skills!C22=3,120+Inputs!$B$27+Inputs!$B$29,MAX(0,(Inputs!$B$3-100)*3)+Inputs!$B$28+Inputs!$B$29)))</f>
        <v/>
      </c>
      <c r="E555">
        <f>INDEX(FactorTable!$B$2:$Y$301, MATCH(ROUND(MIN(300,MAX(1,D555)),0), FactorTable!$A$2:$A$301,0), Skills!M22+1)</f>
        <v/>
      </c>
      <c r="F555">
        <f>IF(Skills!N22=TRUE,(Skills!L22/10)*(E555/1000),Skills!L22/10)+Skills!O22</f>
        <v/>
      </c>
      <c r="G555">
        <f>Skills!G22*IF(Skills!H22&gt;0,Skills!I22/Skills!H22,1)</f>
        <v/>
      </c>
      <c r="H555">
        <f>1-(1-Skills!J22/100)^Skills!K22</f>
        <v/>
      </c>
      <c r="I555" t="inlineStr">
        <is>
          <t>1</t>
        </is>
      </c>
      <c r="J555" t="inlineStr"/>
      <c r="K555" t="inlineStr"/>
      <c r="L555" t="inlineStr"/>
      <c r="M555" t="inlineStr"/>
      <c r="N555" t="inlineStr"/>
      <c r="O555">
        <f>(1-Summary!$B$11)*T555+Summary!$B$11*V555</f>
        <v/>
      </c>
      <c r="P555">
        <f>IF(B572=0,0,O555/B572)</f>
        <v/>
      </c>
      <c r="Q555" t="n">
        <v>0</v>
      </c>
      <c r="R555" t="n">
        <v>0</v>
      </c>
      <c r="S555">
        <f>IFERROR(O555/N555,0)</f>
        <v/>
      </c>
      <c r="T555" t="n">
        <v>0</v>
      </c>
      <c r="V555" t="n">
        <v>0</v>
      </c>
    </row>
    <row r="556">
      <c r="A556">
        <f>Skills!A23</f>
        <v/>
      </c>
      <c r="B556">
        <f>Skills!B23</f>
        <v/>
      </c>
      <c r="C556">
        <f>Inputs!$B$3&gt;=120</f>
        <v/>
      </c>
      <c r="D556">
        <f>IF(Skills!C23=1,60+Inputs!$B$25+Inputs!$B$29,IF(Skills!C23=2,90+Inputs!$B$26+Inputs!$B$29,IF(Skills!C23=3,120+Inputs!$B$27+Inputs!$B$29,MAX(0,(Inputs!$B$3-100)*3)+Inputs!$B$28+Inputs!$B$29)))</f>
        <v/>
      </c>
      <c r="E556">
        <f>INDEX(FactorTable!$B$2:$Y$301, MATCH(ROUND(MIN(300,MAX(1,D556)),0), FactorTable!$A$2:$A$301,0), Skills!M23+1)</f>
        <v/>
      </c>
      <c r="F556">
        <f>IF(Skills!N23=TRUE,(Skills!L23/10)*(E556/1000),Skills!L23/10)+Skills!O23</f>
        <v/>
      </c>
      <c r="G556">
        <f>Skills!G23*IF(Skills!H23&gt;0,Skills!I23/Skills!H23,1)</f>
        <v/>
      </c>
      <c r="H556">
        <f>1-(1-Skills!J23/100)^Skills!K23</f>
        <v/>
      </c>
      <c r="I556" t="inlineStr">
        <is>
          <t>1</t>
        </is>
      </c>
      <c r="J556" t="inlineStr"/>
      <c r="K556" t="inlineStr"/>
      <c r="L556" t="inlineStr"/>
      <c r="M556" t="inlineStr"/>
      <c r="N556" t="inlineStr"/>
      <c r="O556">
        <f>(1-Summary!$B$11)*T556+Summary!$B$11*V556</f>
        <v/>
      </c>
      <c r="P556">
        <f>IF(B572=0,0,O556/B572)</f>
        <v/>
      </c>
      <c r="Q556" t="n">
        <v>0</v>
      </c>
      <c r="R556" t="n">
        <v>0</v>
      </c>
      <c r="S556">
        <f>IFERROR(O556/N556,0)</f>
        <v/>
      </c>
      <c r="T556" t="n">
        <v>0</v>
      </c>
      <c r="V556" t="n">
        <v>0</v>
      </c>
    </row>
    <row r="557">
      <c r="A557">
        <f>Skills!A24</f>
        <v/>
      </c>
      <c r="B557">
        <f>Skills!B24</f>
        <v/>
      </c>
      <c r="C557">
        <f>Inputs!$B$3&gt;=120</f>
        <v/>
      </c>
      <c r="D557">
        <f>IF(Skills!C24=1,60+Inputs!$B$25+Inputs!$B$29,IF(Skills!C24=2,90+Inputs!$B$26+Inputs!$B$29,IF(Skills!C24=3,120+Inputs!$B$27+Inputs!$B$29,MAX(0,(Inputs!$B$3-100)*3)+Inputs!$B$28+Inputs!$B$29)))</f>
        <v/>
      </c>
      <c r="E557">
        <f>INDEX(FactorTable!$B$2:$Y$301, MATCH(ROUND(MIN(300,MAX(1,D557)),0), FactorTable!$A$2:$A$301,0), Skills!M24+1)</f>
        <v/>
      </c>
      <c r="F557">
        <f>IF(Skills!N24=TRUE,(Skills!L24/10)*(E557/1000),Skills!L24/10)+Skills!O24</f>
        <v/>
      </c>
      <c r="G557">
        <f>Skills!G24*IF(Skills!H24&gt;0,Skills!I24/Skills!H24,1)</f>
        <v/>
      </c>
      <c r="H557">
        <f>1-(1-Skills!J24/100)^Skills!K24</f>
        <v/>
      </c>
      <c r="I557" t="inlineStr">
        <is>
          <t>1</t>
        </is>
      </c>
      <c r="J557" t="inlineStr"/>
      <c r="K557" t="inlineStr"/>
      <c r="L557" t="inlineStr"/>
      <c r="M557" t="inlineStr"/>
      <c r="N557" t="inlineStr"/>
      <c r="O557">
        <f>(1-Summary!$B$11)*T557+Summary!$B$11*V557</f>
        <v/>
      </c>
      <c r="P557">
        <f>IF(B572=0,0,O557/B572)</f>
        <v/>
      </c>
      <c r="Q557" t="n">
        <v>0</v>
      </c>
      <c r="R557" t="n">
        <v>0</v>
      </c>
      <c r="S557">
        <f>IFERROR(O557/N557,0)</f>
        <v/>
      </c>
      <c r="T557" t="n">
        <v>0</v>
      </c>
      <c r="V557" t="n">
        <v>0</v>
      </c>
    </row>
    <row r="558">
      <c r="A558">
        <f>Skills!A25</f>
        <v/>
      </c>
      <c r="B558">
        <f>Skills!B25</f>
        <v/>
      </c>
      <c r="C558">
        <f>Inputs!$B$3&gt;=125</f>
        <v/>
      </c>
      <c r="D558">
        <f>IF(Skills!C25=1,60+Inputs!$B$25+Inputs!$B$29,IF(Skills!C25=2,90+Inputs!$B$26+Inputs!$B$29,IF(Skills!C25=3,120+Inputs!$B$27+Inputs!$B$29,MAX(0,(Inputs!$B$3-100)*3)+Inputs!$B$28+Inputs!$B$29)))</f>
        <v/>
      </c>
      <c r="E558">
        <f>INDEX(FactorTable!$B$2:$Y$301, MATCH(ROUND(MIN(300,MAX(1,D558)),0), FactorTable!$A$2:$A$301,0), Skills!M25+1)</f>
        <v/>
      </c>
      <c r="F558">
        <f>IF(Skills!N25=TRUE,(Skills!L25/10)*(E558/1000),Skills!L25/10)+Skills!O25</f>
        <v/>
      </c>
      <c r="G558">
        <f>Skills!G25*IF(Skills!H25&gt;0,Skills!I25/Skills!H25,1)</f>
        <v/>
      </c>
      <c r="H558">
        <f>1-(1-Skills!J25/100)^Skills!K25</f>
        <v/>
      </c>
      <c r="I558" t="inlineStr">
        <is>
          <t>1</t>
        </is>
      </c>
      <c r="J558" t="inlineStr"/>
      <c r="K558" t="inlineStr"/>
      <c r="L558" t="inlineStr"/>
      <c r="M558" t="inlineStr"/>
      <c r="N558" t="inlineStr"/>
      <c r="O558">
        <f>(1-Summary!$B$11)*T558+Summary!$B$11*V558</f>
        <v/>
      </c>
      <c r="P558">
        <f>IF(B572=0,0,O558/B572)</f>
        <v/>
      </c>
      <c r="Q558" t="n">
        <v>0</v>
      </c>
      <c r="R558" t="n">
        <v>0</v>
      </c>
      <c r="S558">
        <f>IFERROR(O558/N558,0)</f>
        <v/>
      </c>
      <c r="T558" t="n">
        <v>0</v>
      </c>
      <c r="V558" t="n">
        <v>0</v>
      </c>
    </row>
    <row r="559">
      <c r="A559">
        <f>Skills!A26</f>
        <v/>
      </c>
      <c r="B559">
        <f>Skills!B26</f>
        <v/>
      </c>
      <c r="C559">
        <f>Inputs!$B$3&gt;=72</f>
        <v/>
      </c>
      <c r="D559">
        <f>IF(Skills!C26=1,60+Inputs!$B$25+Inputs!$B$29,IF(Skills!C26=2,90+Inputs!$B$26+Inputs!$B$29,IF(Skills!C26=3,120+Inputs!$B$27+Inputs!$B$29,MAX(0,(Inputs!$B$3-100)*3)+Inputs!$B$28+Inputs!$B$29)))</f>
        <v/>
      </c>
      <c r="E559">
        <f>INDEX(FactorTable!$B$2:$Y$301, MATCH(ROUND(MIN(300,MAX(1,D559)),0), FactorTable!$A$2:$A$301,0), Skills!M26+1)</f>
        <v/>
      </c>
      <c r="F559">
        <f>IF(Skills!N26=TRUE,(Skills!L26/10)*(E559/1000),Skills!L26/10)+Skills!O26</f>
        <v/>
      </c>
      <c r="G559">
        <f>Skills!G26*IF(Skills!H26&gt;0,Skills!I26/Skills!H26,1)</f>
        <v/>
      </c>
      <c r="H559">
        <f>1-(1-Skills!J26/100)^Skills!K26</f>
        <v/>
      </c>
      <c r="I559" t="inlineStr">
        <is>
          <t>1</t>
        </is>
      </c>
      <c r="J559" t="inlineStr"/>
      <c r="K559" t="inlineStr"/>
      <c r="L559" t="inlineStr"/>
      <c r="M559" t="inlineStr"/>
      <c r="N559" t="inlineStr"/>
      <c r="O559">
        <f>(1-Summary!$B$11)*T559+Summary!$B$11*V559</f>
        <v/>
      </c>
      <c r="P559">
        <f>IF(B572=0,0,O559/B572)</f>
        <v/>
      </c>
      <c r="Q559" t="n">
        <v>0</v>
      </c>
      <c r="R559" t="n">
        <v>0</v>
      </c>
      <c r="S559">
        <f>IFERROR(O559/N559,0)</f>
        <v/>
      </c>
      <c r="T559" t="n">
        <v>0</v>
      </c>
      <c r="V559" t="n">
        <v>0</v>
      </c>
    </row>
    <row r="561">
      <c r="A561" t="inlineStr">
        <is>
          <t>Attack% Bucket Multiplier</t>
        </is>
      </c>
      <c r="B561">
        <f>(1+(((C546=TRUE)*F546*IF(Inputs!$B$3&gt;=110,7,5))+((C548=TRUE)*F548*IF(AND(Inputs!$B$38&lt;&gt;"pvp",Inputs!$B$43&gt;0),(((R548-1)*(Skills!T15*(1+(Inputs!$B$34+(ArtifactsInput!$M$7-ArtifactsInput!$M$7)*CHOOSE(ArtifactsInput!$N$7+1,6,7.2,8.4,9.6,10.8,12))/100))+MIN((Skills!T15*(1+(Inputs!$B$34+(ArtifactsInput!$M$7-ArtifactsInput!$M$7)*CHOOSE(ArtifactsInput!$N$7+1,6,7.2,8.4,9.6,10.8,12))/100)),MAX(0,Inputs!$B$43-((R548-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62">
      <c r="A562" t="inlineStr">
        <is>
          <t>Global Crit Rate Bonus %</t>
        </is>
      </c>
      <c r="B562" t="n">
        <v>0</v>
      </c>
    </row>
    <row r="563">
      <c r="A563" t="inlineStr">
        <is>
          <t>Attack Speed Buff Bonus %</t>
        </is>
      </c>
      <c r="B563">
        <f>((C552=TRUE)*F552*IF(AND(Inputs!$B$38&lt;&gt;"pvp",Inputs!$B$43&gt;0),(((R552-1)*(Skills!T19*(1+(Inputs!$B$34+(ArtifactsInput!$M$7-ArtifactsInput!$M$7)*CHOOSE(ArtifactsInput!$N$7+1,6,7.2,8.4,9.6,10.8,12))/100))+MIN((Skills!T19*(1+(Inputs!$B$34+(ArtifactsInput!$M$7-ArtifactsInput!$M$7)*CHOOSE(ArtifactsInput!$N$7+1,6,7.2,8.4,9.6,10.8,12))/100)),MAX(0,Inputs!$B$43-((R552-1)*Skills!D19))))/Inputs!$B$43),IF(Inputs!$B$38="pvp",MIN((Skills!T19*(1+(Inputs!$B$34+(ArtifactsInput!$M$7-ArtifactsInput!$M$7)*CHOOSE(ArtifactsInput!$N$7+1,6,7.2,8.4,9.6,10.8,12))/100)),15)/15,(Skills!T19*(1+(Inputs!$B$34+(ArtifactsInput!$M$7-ArtifactsInput!$M$7)*CHOOSE(ArtifactsInput!$N$7+1,6,7.2,8.4,9.6,10.8,12))/100))/Skills!D19)))</f>
        <v/>
      </c>
    </row>
    <row r="564">
      <c r="A564" t="inlineStr">
        <is>
          <t>Actions Per Second</t>
        </is>
      </c>
      <c r="B564">
        <f>1+MIN(150,150*(1-(1-(Inputs!$B$11+((C553=TRUE)*(F553-Calc!F20)))/150)*(1-B563/150)))/100</f>
        <v/>
      </c>
    </row>
    <row r="565">
      <c r="A565" t="inlineStr">
        <is>
          <t>Skill + Buff Cast Rate</t>
        </is>
      </c>
      <c r="B565">
        <f>IF(AND(Inputs!$B$38&lt;&gt;"pvp",Inputs!$B$43&gt;0),SUMPRODUCT((Skills!E2:E26=TRUE)*(C535:C559=TRUE)*R535:R559*Skills!F2:F26)/Inputs!$B$43,SUMPRODUCT((Skills!E2:E26=TRUE)*(C535:C559=TRUE)*Q535:Q559*Skills!F2:F26))</f>
        <v/>
      </c>
    </row>
    <row r="566">
      <c r="A566" t="inlineStr">
        <is>
          <t>Raging Blow Casts Per Second</t>
        </is>
      </c>
      <c r="B566">
        <f>MAX(0,B564-B565)</f>
        <v/>
      </c>
    </row>
    <row r="567">
      <c r="A567" t="inlineStr">
        <is>
          <t>Global Critical Damage Bonus % (Enrage)</t>
        </is>
      </c>
      <c r="B567">
        <f>((C551=TRUE)*F551*IF(AND(Inputs!$B$38&lt;&gt;"pvp",Inputs!$B$43&gt;0),(((R551-1)*(Skills!T18*(1+(Inputs!$B$34+(ArtifactsInput!$M$7-ArtifactsInput!$M$7)*CHOOSE(ArtifactsInput!$N$7+1,6,7.2,8.4,9.6,10.8,12))/100))+MIN((Skills!T18*(1+(Inputs!$B$34+(ArtifactsInput!$M$7-ArtifactsInput!$M$7)*CHOOSE(ArtifactsInput!$N$7+1,6,7.2,8.4,9.6,10.8,12))/100)),MAX(0,Inputs!$B$43-((R551-1)*Skills!D18))))/Inputs!$B$43),IF(Inputs!$B$38="pvp",MIN((Skills!T18*(1+(Inputs!$B$34+(ArtifactsInput!$M$7-ArtifactsInput!$M$7)*CHOOSE(ArtifactsInput!$N$7+1,6,7.2,8.4,9.6,10.8,12))/100)),15)/15,(Skills!T18*(1+(Inputs!$B$34+(ArtifactsInput!$M$7-ArtifactsInput!$M$7)*CHOOSE(ArtifactsInput!$N$7+1,6,7.2,8.4,9.6,10.8,12))/100))/Skills!D18)))</f>
        <v/>
      </c>
    </row>
    <row r="568">
      <c r="A568" t="inlineStr">
        <is>
          <t>Global Final Damage Bonus % (Enrage + Combo Synergy)</t>
        </is>
      </c>
      <c r="B568">
        <f>((C550=TRUE)*F550*IF(AND(Inputs!$B$38&lt;&gt;"pvp",Inputs!$B$43&gt;0),(((R550-1)*(Skills!T17*(1+(Inputs!$B$34+(ArtifactsInput!$M$7-ArtifactsInput!$M$7)*CHOOSE(ArtifactsInput!$N$7+1,6,7.2,8.4,9.6,10.8,12))/100))+MIN((Skills!T17*(1+(Inputs!$B$34+(ArtifactsInput!$M$7-ArtifactsInput!$M$7)*CHOOSE(ArtifactsInput!$N$7+1,6,7.2,8.4,9.6,10.8,12))/100)),MAX(0,Inputs!$B$43-((R550-1)*Skills!D17))))/Inputs!$B$43),IF(Inputs!$B$38="pvp",MIN((Skills!T17*(1+(Inputs!$B$34+(ArtifactsInput!$M$7-ArtifactsInput!$M$7)*CHOOSE(ArtifactsInput!$N$7+1,6,7.2,8.4,9.6,10.8,12))/100)),15)/15,(Skills!T17*(1+(Inputs!$B$34+(ArtifactsInput!$M$7-ArtifactsInput!$M$7)*CHOOSE(ArtifactsInput!$N$7+1,6,7.2,8.4,9.6,10.8,12))/100))/Skills!D17)))+((C547=TRUE)*F547*IF(Inputs!$B$3&gt;=110,7,5))</f>
        <v/>
      </c>
    </row>
    <row r="569">
      <c r="A569" t="inlineStr">
        <is>
          <t>Buff-Casting Startup Delay (s, fixed-duration only)</t>
        </is>
      </c>
      <c r="B569">
        <f>IF(AND(Inputs!$B$38&lt;&gt;"pvp",Inputs!$B$43&gt;0),SUMPRODUCT((Skills!T2:T26&gt;0)*(Skills!E2:E26=TRUE)*(C535:C559=TRUE))/B564,0)</f>
        <v/>
      </c>
    </row>
    <row r="570">
      <c r="A570" t="inlineStr">
        <is>
          <t>Boss-Only Total DPS (this block's swept value)</t>
        </is>
      </c>
      <c r="B570">
        <f>SUM(T535:T559)</f>
        <v/>
      </c>
    </row>
    <row r="571">
      <c r="A571" t="inlineStr">
        <is>
          <t>Normal-Only Total DPS (this block's swept value)</t>
        </is>
      </c>
      <c r="B571">
        <f>SUM(V535:V559)</f>
        <v/>
      </c>
    </row>
    <row r="572">
      <c r="A572" s="6" t="inlineStr">
        <is>
          <t>TOTAL DPS</t>
        </is>
      </c>
      <c r="B572" s="6">
        <f>SUM(O535:O559)</f>
        <v/>
      </c>
    </row>
    <row r="575">
      <c r="A575" s="6" t="inlineStr">
        <is>
          <t>Stat: ATTACK_SPEED % (diminishing returns, factor 150)</t>
        </is>
      </c>
    </row>
    <row r="576">
      <c r="A576" s="5" t="inlineStr">
        <is>
          <t>Key</t>
        </is>
      </c>
      <c r="B576" s="5" t="inlineStr">
        <is>
          <t>Name</t>
        </is>
      </c>
      <c r="C576" s="5" t="inlineStr">
        <is>
          <t>Unlocked</t>
        </is>
      </c>
      <c r="D576" s="5" t="inlineStr">
        <is>
          <t>InputLevel</t>
        </is>
      </c>
      <c r="E576" s="5" t="inlineStr">
        <is>
          <t>Factor</t>
        </is>
      </c>
      <c r="F576" s="5" t="inlineStr">
        <is>
          <t>CoefficientPercent</t>
        </is>
      </c>
      <c r="G576" s="5" t="inlineStr">
        <is>
          <t>EffectiveHits</t>
        </is>
      </c>
      <c r="H576" s="5" t="inlineStr">
        <is>
          <t>ProcProbability</t>
        </is>
      </c>
      <c r="I576" s="5" t="inlineStr">
        <is>
          <t>MapleHeroMultiplier</t>
        </is>
      </c>
      <c r="J576" s="5" t="inlineStr">
        <is>
          <t>BaseDamage</t>
        </is>
      </c>
      <c r="K576" s="5" t="inlineStr">
        <is>
          <t>BaseHitDamage</t>
        </is>
      </c>
      <c r="L576" s="5" t="inlineStr">
        <is>
          <t>NonCritAvg</t>
        </is>
      </c>
      <c r="M576" s="5" t="inlineStr">
        <is>
          <t>CritAvg</t>
        </is>
      </c>
      <c r="N576" s="5" t="inlineStr">
        <is>
          <t>ExpectedDamage(perHit)</t>
        </is>
      </c>
      <c r="O576" s="5" t="inlineStr">
        <is>
          <t>DPS</t>
        </is>
      </c>
      <c r="P576" s="5" t="inlineStr">
        <is>
          <t>% of Total</t>
        </is>
      </c>
      <c r="Q576" s="5" t="inlineStr">
        <is>
          <t>InvCooldown</t>
        </is>
      </c>
      <c r="R576" s="5" t="inlineStr">
        <is>
          <t>CastsInFight</t>
        </is>
      </c>
      <c r="S576" s="5" t="inlineStr">
        <is>
          <t>HitRate(perSec)</t>
        </is>
      </c>
      <c r="U576" t="inlineStr">
        <is>
          <t>helpers</t>
        </is>
      </c>
    </row>
    <row r="577">
      <c r="A577">
        <f>Skills!A2</f>
        <v/>
      </c>
      <c r="B577">
        <f>Skills!B2</f>
        <v/>
      </c>
      <c r="C577">
        <f>Inputs!$B$3&gt;=100</f>
        <v/>
      </c>
      <c r="D577" t="inlineStr"/>
      <c r="E577" t="inlineStr"/>
      <c r="F577">
        <f>U579+Skills!O2</f>
        <v/>
      </c>
      <c r="G577">
        <f>Skills!G2*IF(Skills!H2&gt;0,Skills!I2/Skills!H2,1)</f>
        <v/>
      </c>
      <c r="H577">
        <f>1-(1-Skills!J2/100)^Skills!K2</f>
        <v/>
      </c>
      <c r="I577" t="inlineStr">
        <is>
          <t>1</t>
        </is>
      </c>
      <c r="J577">
        <f>((Inputs!$B$6*(1+Inputs!$B$7/100))+(((Inputs!$B$12*(1+Inputs!$B$13/100))-(Inputs!$B$12*(1+Inputs!$B$13/100)))+0.25*(Inputs!$B$14-Inputs!$B$14))*(1+Inputs!$B$7/100))*(F577/100)</f>
        <v/>
      </c>
      <c r="K577">
        <f>J577*(1+((Inputs!$B$12*(1+Inputs!$B$13/100))*0.01+Inputs!$B$14*0.0025)/100)*(1+Inputs!$B$15/100)*(1+Inputs!$B$16/100)*(5000/(6000+Inputs!$B$42*(1-(100*(1-(1-(Inputs!$B$19+0)/100)*(1-CHOOSE(ArtifactsInput!$N$40+1,5,6,7,8,9,10)/100)^(ArtifactsInput!$M$40-ArtifactsInput!$M$40)))/100)))*(1+(Inputs!$B$24+((C600=TRUE)*(F600-Calc!F25))+B610)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2="ENHANCED_RAGING_BLOW",IF(Inputs!$B$3&gt;=134,MAX(0,IF(Inputs!$B$3&gt;=110,7,5)-5)*50,0),0)/100)*(1+(IF(Skills!A2="RAGING_BLOW",Inputs!$B$17+((C596=TRUE)*(F596-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598=TRUE)*(F598-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588=TRUE)*F588*IF(Inputs!$B$3&gt;=110,7,5))+((C590=TRUE)*F590*IF(AND(Inputs!$B$38&lt;&gt;"pvp",Inputs!$B$43&gt;0),(((R590-1)*(Skills!T15*(1+(Inputs!$B$34+(ArtifactsInput!$M$7-ArtifactsInput!$M$7)*CHOOSE(ArtifactsInput!$N$7+1,6,7.2,8.4,9.6,10.8,12))/100))+MIN((Skills!T15*(1+(Inputs!$B$34+(ArtifactsInput!$M$7-ArtifactsInput!$M$7)*CHOOSE(ArtifactsInput!$N$7+1,6,7.2,8.4,9.6,10.8,12))/100)),MAX(0,Inputs!$B$43-((R590-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Hunt"),CHOOSE(ArtifactsInput!$N$35+1,15,18,21,24,27,30)*(1-EXP(-(0.2*B606)*5)),0)+IF(AND(ArtifactsInput!$M$22,Inputs!$B$4&lt;&gt;"Chapter Hunt"),CHOOSE(ArtifactsInput!$N$22+1,10,12,14,16,18,20)*((0*(((0.15*B606*5))^0/1)+1*(((0.15*B606*5))^1/1)+2*(((0.15*B606*5))^2/2)+3*(((0.15*B606*5))^3/6)+4*(((0.15*B606*5))^4/24)+5*(((0.15*B606*5))^5/120))/((((0.15*B606*5))^0/1)+(((0.15*B606*5))^1/1)+(((0.15*B606*5))^2/2)+(((0.15*B606*5))^3/6)+(((0.15*B606*5))^4/24)+(((0.15*B606*5))^5/120))),0)))/100)*I577)</f>
        <v/>
      </c>
      <c r="L577">
        <f>K577*(MIN(Inputs!$B$22+((C597=TRUE)*(F597-Calc!F22)),(Inputs!$B$23+((C599=TRUE)*(F599-Calc!F24))+(IF(ArtifactsInput!$M$15,CHOOSE(ArtifactsInput!$N$15+1,25,30,35,40,45,50)/100*(((1-(1-Inputs!$B$11/150)*(1-1/150))*150)-Inputs!$B$11),0))))/100+(Inputs!$B$23+((C599=TRUE)*(F599-Calc!F24))+(IF(ArtifactsInput!$M$15,CHOOSE(ArtifactsInput!$N$15+1,25,30,35,40,45,50)/100*(((1-(1-Inputs!$B$11/150)*(1-1/150))*150)-Inputs!$B$11),0)))/100)/2</f>
        <v/>
      </c>
      <c r="M577">
        <f>L577*(1+(Inputs!$B$10+0+B609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7">
        <f>L577*(1-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577*(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7">
        <f>(1-Summary!$B$11)*T577+Summary!$B$11*V577</f>
        <v/>
      </c>
      <c r="P577">
        <f>IF(B614=0,0,O577/B614)</f>
        <v/>
      </c>
      <c r="Q577" t="n">
        <v>0</v>
      </c>
      <c r="R577" t="n">
        <v>0</v>
      </c>
      <c r="S577">
        <f>IFERROR(O577/N577,0)</f>
        <v/>
      </c>
      <c r="T577">
        <f>IF(C577,(Skills!G2*N577*B608)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577*(1-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577*(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577*(1-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577*(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77">
        <f>MAX(0,(Inputs!$B$3-100)*3)+Inputs!$B$28+Inputs!$B$29</f>
        <v/>
      </c>
      <c r="V577">
        <f>IF(C577,(Skills!G2*N577*B608)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8">
      <c r="A578">
        <f>Skills!A3</f>
        <v/>
      </c>
      <c r="B578">
        <f>Skills!B3</f>
        <v/>
      </c>
      <c r="C578">
        <f>Inputs!$B$3&gt;=50</f>
        <v/>
      </c>
      <c r="D578">
        <f>IF(Skills!C3=1,60+Inputs!$B$25+Inputs!$B$29,IF(Skills!C3=2,90+Inputs!$B$26+Inputs!$B$29,IF(Skills!C3=3,120+Inputs!$B$27+Inputs!$B$29,MAX(0,(Inputs!$B$3-100)*3)+Inputs!$B$28+Inputs!$B$29)))</f>
        <v/>
      </c>
      <c r="E578">
        <f>INDEX(FactorTable!$B$2:$Y$301, MATCH(ROUND(MIN(300,MAX(1,D578)),0), FactorTable!$A$2:$A$301,0), Skills!M3+1)</f>
        <v/>
      </c>
      <c r="F578">
        <f>IF(Skills!N3=TRUE,(Skills!L3/10)*(E578/1000),Skills!L3/10)+Skills!O3</f>
        <v/>
      </c>
      <c r="G578" t="inlineStr"/>
      <c r="H578" t="inlineStr"/>
      <c r="I578" t="inlineStr">
        <is>
          <t>1</t>
        </is>
      </c>
      <c r="J578" t="inlineStr"/>
      <c r="K578" t="inlineStr"/>
      <c r="L578" t="inlineStr"/>
      <c r="M578" t="inlineStr"/>
      <c r="N578" t="inlineStr"/>
      <c r="O578" t="inlineStr"/>
      <c r="P578" t="inlineStr"/>
      <c r="Q578" t="inlineStr"/>
      <c r="R578" t="inlineStr"/>
      <c r="S578" t="inlineStr"/>
      <c r="U578">
        <f>INDEX(FactorTable!$B$2:$Y$301, MATCH(ROUND(MIN(300,MAX(1,U577)),0), FactorTable!$A$2:$A$301,0), 22)</f>
        <v/>
      </c>
    </row>
    <row r="579">
      <c r="A579">
        <f>Skills!A4</f>
        <v/>
      </c>
      <c r="B579">
        <f>Skills!B4</f>
        <v/>
      </c>
      <c r="C579">
        <f>Inputs!$B$3&gt;=105</f>
        <v/>
      </c>
      <c r="D579">
        <f>IF(Skills!C4=1,60+Inputs!$B$25+Inputs!$B$29,IF(Skills!C4=2,90+Inputs!$B$26+Inputs!$B$29,IF(Skills!C4=3,120+Inputs!$B$27+Inputs!$B$29,MAX(0,(Inputs!$B$3-100)*3)+Inputs!$B$28+Inputs!$B$29)))</f>
        <v/>
      </c>
      <c r="E579">
        <f>INDEX(FactorTable!$B$2:$Y$301, MATCH(ROUND(MIN(300,MAX(1,D579)),0), FactorTable!$A$2:$A$301,0), Skills!M4+1)</f>
        <v/>
      </c>
      <c r="F579">
        <f>IF(Skills!N4=TRUE,(Skills!L4/10)*(E579/1000),Skills!L4/10)+Skills!O4</f>
        <v/>
      </c>
      <c r="G579" t="inlineStr"/>
      <c r="H579" t="inlineStr"/>
      <c r="I579" t="inlineStr">
        <is>
          <t>1</t>
        </is>
      </c>
      <c r="J579" t="inlineStr"/>
      <c r="K579" t="inlineStr"/>
      <c r="L579" t="inlineStr"/>
      <c r="M579" t="inlineStr"/>
      <c r="N579" t="inlineStr"/>
      <c r="O579" t="inlineStr"/>
      <c r="P579" t="inlineStr"/>
      <c r="Q579" t="inlineStr"/>
      <c r="R579" t="inlineStr"/>
      <c r="S579" t="inlineStr"/>
      <c r="U579">
        <f>290*U578/1000</f>
        <v/>
      </c>
    </row>
    <row r="580">
      <c r="A580">
        <f>Skills!A5</f>
        <v/>
      </c>
      <c r="B580">
        <f>Skills!B5</f>
        <v/>
      </c>
      <c r="C580">
        <f>Inputs!$B$3&gt;=103</f>
        <v/>
      </c>
      <c r="D580">
        <f>IF(Skills!C5=1,60+Inputs!$B$25+Inputs!$B$29,IF(Skills!C5=2,90+Inputs!$B$26+Inputs!$B$29,IF(Skills!C5=3,120+Inputs!$B$27+Inputs!$B$29,MAX(0,(Inputs!$B$3-100)*3)+Inputs!$B$28+Inputs!$B$29)))</f>
        <v/>
      </c>
      <c r="E580">
        <f>INDEX(FactorTable!$B$2:$Y$301, MATCH(ROUND(MIN(300,MAX(1,D580)),0), FactorTable!$A$2:$A$301,0), Skills!M5+1)</f>
        <v/>
      </c>
      <c r="F580">
        <f>IF(Skills!N5=TRUE,(Skills!L5/10)*(E580/1000),Skills!L5/10)+Skills!O5</f>
        <v/>
      </c>
      <c r="G580">
        <f>Skills!G5*IF(Skills!H5&gt;0,Skills!I5/Skills!H5,1)</f>
        <v/>
      </c>
      <c r="H580">
        <f>1-(1-Skills!J5/100)^Skills!K5</f>
        <v/>
      </c>
      <c r="I580" t="inlineStr">
        <is>
          <t>1</t>
        </is>
      </c>
      <c r="J580">
        <f>((Inputs!$B$6*(1+Inputs!$B$7/100))+(((Inputs!$B$12*(1+Inputs!$B$13/100))-(Inputs!$B$12*(1+Inputs!$B$13/100)))+0.25*(Inputs!$B$14-Inputs!$B$14))*(1+Inputs!$B$7/100))*(F580/100)</f>
        <v/>
      </c>
      <c r="K580">
        <f>J580*(1+((Inputs!$B$12*(1+Inputs!$B$13/100))*0.01+Inputs!$B$14*0.0025)/100)*(1+Inputs!$B$15/100)*(1+Inputs!$B$16/100)*(5000/(6000+Inputs!$B$42*(1-(100*(1-(1-(Inputs!$B$19+0)/100)*(1-CHOOSE(ArtifactsInput!$N$40+1,5,6,7,8,9,10)/100)^(ArtifactsInput!$M$40-ArtifactsInput!$M$40)))/100)))*(1+(Inputs!$B$24+((C600=TRUE)*(F600-Calc!F25))+B610)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5="ENHANCED_RAGING_BLOW",IF(Inputs!$B$3&gt;=134,MAX(0,IF(Inputs!$B$3&gt;=110,7,5)-5)*50,0),0)/100)*(1+(IF(Skills!A5="RAGING_BLOW",Inputs!$B$17+((C596=TRUE)*(F596-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598=TRUE)*(F598-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588=TRUE)*F588*IF(Inputs!$B$3&gt;=110,7,5))+((C590=TRUE)*F590*IF(AND(Inputs!$B$38&lt;&gt;"pvp",Inputs!$B$43&gt;0),(((R590-1)*(Skills!T15*(1+(Inputs!$B$34+(ArtifactsInput!$M$7-ArtifactsInput!$M$7)*CHOOSE(ArtifactsInput!$N$7+1,6,7.2,8.4,9.6,10.8,12))/100))+MIN((Skills!T15*(1+(Inputs!$B$34+(ArtifactsInput!$M$7-ArtifactsInput!$M$7)*CHOOSE(ArtifactsInput!$N$7+1,6,7.2,8.4,9.6,10.8,12))/100)),MAX(0,Inputs!$B$43-((R590-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Hunt"),CHOOSE(ArtifactsInput!$N$35+1,15,18,21,24,27,30)*(1-EXP(-(0.2*B606)*5)),0)+IF(AND(ArtifactsInput!$M$22,Inputs!$B$4&lt;&gt;"Chapter Hunt"),CHOOSE(ArtifactsInput!$N$22+1,10,12,14,16,18,20)*((0*(((0.15*B606*5))^0/1)+1*(((0.15*B606*5))^1/1)+2*(((0.15*B606*5))^2/2)+3*(((0.15*B606*5))^3/6)+4*(((0.15*B606*5))^4/24)+5*(((0.15*B606*5))^5/120))/((((0.15*B606*5))^0/1)+(((0.15*B606*5))^1/1)+(((0.15*B606*5))^2/2)+(((0.15*B606*5))^3/6)+(((0.15*B606*5))^4/24)+(((0.15*B606*5))^5/120))),0)))/100)*I580)</f>
        <v/>
      </c>
      <c r="L580">
        <f>K580*(MIN(Inputs!$B$22+((C597=TRUE)*(F597-Calc!F22)),(Inputs!$B$23+((C599=TRUE)*(F599-Calc!F24))+(IF(ArtifactsInput!$M$15,CHOOSE(ArtifactsInput!$N$15+1,25,30,35,40,45,50)/100*(((1-(1-Inputs!$B$11/150)*(1-1/150))*150)-Inputs!$B$11),0))))/100+(Inputs!$B$23+((C599=TRUE)*(F599-Calc!F24))+(IF(ArtifactsInput!$M$15,CHOOSE(ArtifactsInput!$N$15+1,25,30,35,40,45,50)/100*(((1-(1-Inputs!$B$11/150)*(1-1/150))*150)-Inputs!$B$11),0)))/100)/2</f>
        <v/>
      </c>
      <c r="M580">
        <f>L580*(1+(Inputs!$B$10+0+B609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0">
        <f>L580*(1-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580*(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0">
        <f>(1-Summary!$B$11)*T580+Summary!$B$11*V580</f>
        <v/>
      </c>
      <c r="P580">
        <f>IF(B614=0,0,O580/B614)</f>
        <v/>
      </c>
      <c r="Q580">
        <f>IFERROR(1/(IF(Inputs!$B$38="pvp",15,MAX(0.1,Skills!D5-IF(Skills!E5=TRUE,Inputs!$B$32,0)))*(1-IF(AND(ArtifactsInput!$M$27,Inputs!$B$4="Chapter Hunt"),CHOOSE(ArtifactsInput!$N$27+1,20,24,28,32,36,40),0)/100)),0)</f>
        <v/>
      </c>
      <c r="R580">
        <f>IF(AND(Inputs!$B$38&lt;&gt;"pvp",Inputs!$B$43&gt;0),IF(MAX(0,Inputs!$B$43-B611)&lt;=0,0,(INT(MAX(0,Inputs!$B$43-B611)/(IF(Inputs!$B$38="pvp",15,MAX(0.1,Skills!D5-IF(Skills!E5=TRUE,Inputs!$B$32,0)))*(1-IF(AND(ArtifactsInput!$M$27,Inputs!$B$4="Chapter Hunt"),CHOOSE(ArtifactsInput!$N$27+1,20,24,28,32,36,40),0)/100)))+1)),0)</f>
        <v/>
      </c>
      <c r="S580">
        <f>IFERROR(O580/N580,0)</f>
        <v/>
      </c>
      <c r="T580">
        <f>IF(C580,(H580*N580*IF(AND(Inputs!$B$38&lt;&gt;"pvp",Inputs!$B$43&gt;0),((Skills!G5*((R580-1)*IF(Skills!H5&gt;0,Skills!I5/Skills!H5,1)+IF(Skills!H5&gt;0,MIN(Skills!I5,MAX(0,MAX(0,Inputs!$B$43-B611)-((R580-1)*(IF(Inputs!$B$38="pvp",15,MAX(0.1,Skills!D5-IF(Skills!E5=TRUE,Inputs!$B$32,0)))*(1-IF(AND(ArtifactsInput!$M$27,Inputs!$B$4="Chapter Hunt"),CHOOSE(ArtifactsInput!$N$27+1,20,24,28,32,36,40),0)/100)))))/Skills!H5,1)))/Inputs!$B$43),G580*Q580)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580*(1-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580*(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580*(1-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580*(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0">
        <f>IF(C580,(H580*N580*IF(AND(Inputs!$B$38&lt;&gt;"pvp",Inputs!$B$43&gt;0),((Skills!G5*((R580-1)*IF(Skills!H5&gt;0,Skills!I5/Skills!H5,1)+IF(Skills!H5&gt;0,MIN(Skills!I5,MAX(0,MAX(0,Inputs!$B$43-B611)-((R580-1)*(IF(Inputs!$B$38="pvp",15,MAX(0.1,Skills!D5-IF(Skills!E5=TRUE,Inputs!$B$32,0)))*(1-IF(AND(ArtifactsInput!$M$27,Inputs!$B$4="Chapter Hunt"),CHOOSE(ArtifactsInput!$N$27+1,20,24,28,32,36,40),0)/100)))))/Skills!H5,1)))/Inputs!$B$43),G580*Q580)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1">
      <c r="A581">
        <f>Skills!A6</f>
        <v/>
      </c>
      <c r="B581">
        <f>Skills!B6</f>
        <v/>
      </c>
      <c r="C581">
        <f>Inputs!$B$3&gt;=103</f>
        <v/>
      </c>
      <c r="D581">
        <f>IF(Skills!C6=1,60+Inputs!$B$25+Inputs!$B$29,IF(Skills!C6=2,90+Inputs!$B$26+Inputs!$B$29,IF(Skills!C6=3,120+Inputs!$B$27+Inputs!$B$29,MAX(0,(Inputs!$B$3-100)*3)+Inputs!$B$28+Inputs!$B$29)))</f>
        <v/>
      </c>
      <c r="E581">
        <f>INDEX(FactorTable!$B$2:$Y$301, MATCH(ROUND(MIN(300,MAX(1,D581)),0), FactorTable!$A$2:$A$301,0), Skills!M6+1)</f>
        <v/>
      </c>
      <c r="F581">
        <f>IF(Skills!N6=TRUE,(Skills!L6/10)*(E581/1000),Skills!L6/10)+Skills!O6</f>
        <v/>
      </c>
      <c r="G581">
        <f>Skills!G6*IF(Skills!H6&gt;0,Skills!I6/Skills!H6,1)</f>
        <v/>
      </c>
      <c r="H581">
        <f>1-(1-Skills!J6/100)^Skills!K6</f>
        <v/>
      </c>
      <c r="I581" t="inlineStr">
        <is>
          <t>1</t>
        </is>
      </c>
      <c r="J581">
        <f>((Inputs!$B$6*(1+Inputs!$B$7/100))+(((Inputs!$B$12*(1+Inputs!$B$13/100))-(Inputs!$B$12*(1+Inputs!$B$13/100)))+0.25*(Inputs!$B$14-Inputs!$B$14))*(1+Inputs!$B$7/100))*(F581/100)</f>
        <v/>
      </c>
      <c r="K581">
        <f>J581*(1+((Inputs!$B$12*(1+Inputs!$B$13/100))*0.01+Inputs!$B$14*0.0025)/100)*(1+Inputs!$B$15/100)*(1+Inputs!$B$16/100)*(5000/(6000+Inputs!$B$42*(1-(100*(1-(1-(Inputs!$B$19+0)/100)*(1-CHOOSE(ArtifactsInput!$N$40+1,5,6,7,8,9,10)/100)^(ArtifactsInput!$M$40-ArtifactsInput!$M$40)))/100)))*(1+(Inputs!$B$24+((C600=TRUE)*(F600-Calc!F25))+B610)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6="ENHANCED_RAGING_BLOW",IF(Inputs!$B$3&gt;=134,MAX(0,IF(Inputs!$B$3&gt;=110,7,5)-5)*50,0),0)/100)*(1+(IF(Skills!A6="RAGING_BLOW",Inputs!$B$17+((C596=TRUE)*(F596-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598=TRUE)*(F598-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588=TRUE)*F588*IF(Inputs!$B$3&gt;=110,7,5))+((C590=TRUE)*F590*IF(AND(Inputs!$B$38&lt;&gt;"pvp",Inputs!$B$43&gt;0),(((R590-1)*(Skills!T15*(1+(Inputs!$B$34+(ArtifactsInput!$M$7-ArtifactsInput!$M$7)*CHOOSE(ArtifactsInput!$N$7+1,6,7.2,8.4,9.6,10.8,12))/100))+MIN((Skills!T15*(1+(Inputs!$B$34+(ArtifactsInput!$M$7-ArtifactsInput!$M$7)*CHOOSE(ArtifactsInput!$N$7+1,6,7.2,8.4,9.6,10.8,12))/100)),MAX(0,Inputs!$B$43-((R590-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Hunt"),CHOOSE(ArtifactsInput!$N$35+1,15,18,21,24,27,30)*(1-EXP(-(0.2*B606)*5)),0)+IF(AND(ArtifactsInput!$M$22,Inputs!$B$4&lt;&gt;"Chapter Hunt"),CHOOSE(ArtifactsInput!$N$22+1,10,12,14,16,18,20)*((0*(((0.15*B606*5))^0/1)+1*(((0.15*B606*5))^1/1)+2*(((0.15*B606*5))^2/2)+3*(((0.15*B606*5))^3/6)+4*(((0.15*B606*5))^4/24)+5*(((0.15*B606*5))^5/120))/((((0.15*B606*5))^0/1)+(((0.15*B606*5))^1/1)+(((0.15*B606*5))^2/2)+(((0.15*B606*5))^3/6)+(((0.15*B606*5))^4/24)+(((0.15*B606*5))^5/120))),0)))/100)*I581)</f>
        <v/>
      </c>
      <c r="L581">
        <f>K581*(MIN(Inputs!$B$22+((C597=TRUE)*(F597-Calc!F22)),(Inputs!$B$23+((C599=TRUE)*(F599-Calc!F24))+(IF(ArtifactsInput!$M$15,CHOOSE(ArtifactsInput!$N$15+1,25,30,35,40,45,50)/100*(((1-(1-Inputs!$B$11/150)*(1-1/150))*150)-Inputs!$B$11),0))))/100+(Inputs!$B$23+((C599=TRUE)*(F599-Calc!F24))+(IF(ArtifactsInput!$M$15,CHOOSE(ArtifactsInput!$N$15+1,25,30,35,40,45,50)/100*(((1-(1-Inputs!$B$11/150)*(1-1/150))*150)-Inputs!$B$11),0)))/100)/2</f>
        <v/>
      </c>
      <c r="M581">
        <f>L581*(1+(Inputs!$B$10+0+B609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1">
        <f>L581*(1-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581*(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1">
        <f>(1-Summary!$B$11)*T581+Summary!$B$11*V581</f>
        <v/>
      </c>
      <c r="P581">
        <f>IF(B614=0,0,O581/B614)</f>
        <v/>
      </c>
      <c r="Q581">
        <f>IFERROR(1/(IF(Inputs!$B$38="pvp",15,MAX(0.1,Skills!D6-IF(Skills!E6=TRUE,Inputs!$B$32,0)))*(1-IF(AND(ArtifactsInput!$M$27,Inputs!$B$4="Chapter Hunt"),CHOOSE(ArtifactsInput!$N$27+1,20,24,28,32,36,40),0)/100)),0)</f>
        <v/>
      </c>
      <c r="R581">
        <f>IF(AND(Inputs!$B$38&lt;&gt;"pvp",Inputs!$B$43&gt;0),IF(MAX(0,Inputs!$B$43-B611)&lt;=0,0,(INT(MAX(0,Inputs!$B$43-B611)/(IF(Inputs!$B$38="pvp",15,MAX(0.1,Skills!D6-IF(Skills!E6=TRUE,Inputs!$B$32,0)))*(1-IF(AND(ArtifactsInput!$M$27,Inputs!$B$4="Chapter Hunt"),CHOOSE(ArtifactsInput!$N$27+1,20,24,28,32,36,40),0)/100)))+1)),0)</f>
        <v/>
      </c>
      <c r="S581">
        <f>IFERROR(O581/N581,0)</f>
        <v/>
      </c>
      <c r="T581">
        <f>IF(C581,(H581*N581*IF(AND(Inputs!$B$38&lt;&gt;"pvp",Inputs!$B$43&gt;0),((Skills!G6*((R581-1)*IF(Skills!H6&gt;0,Skills!I6/Skills!H6,1)+IF(Skills!H6&gt;0,MIN(Skills!I6,MAX(0,MAX(0,Inputs!$B$43-B611)-((R581-1)*(IF(Inputs!$B$38="pvp",15,MAX(0.1,Skills!D6-IF(Skills!E6=TRUE,Inputs!$B$32,0)))*(1-IF(AND(ArtifactsInput!$M$27,Inputs!$B$4="Chapter Hunt"),CHOOSE(ArtifactsInput!$N$27+1,20,24,28,32,36,40),0)/100)))))/Skills!H6,1)))/Inputs!$B$43),G581*Q581)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581*(1-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581*(1-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1">
        <f>IF(C581,(H581*N581*IF(AND(Inputs!$B$38&lt;&gt;"pvp",Inputs!$B$43&gt;0),((Skills!G6*((R581-1)*IF(Skills!H6&gt;0,Skills!I6/Skills!H6,1)+IF(Skills!H6&gt;0,MIN(Skills!I6,MAX(0,MAX(0,Inputs!$B$43-B611)-((R581-1)*(IF(Inputs!$B$38="pvp",15,MAX(0.1,Skills!D6-IF(Skills!E6=TRUE,Inputs!$B$32,0)))*(1-IF(AND(ArtifactsInput!$M$27,Inputs!$B$4="Chapter Hunt"),CHOOSE(ArtifactsInput!$N$27+1,20,24,28,32,36,40),0)/100)))))/Skills!H6,1)))/Inputs!$B$43),G581*Q581)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2">
      <c r="A582">
        <f>Skills!A7</f>
        <v/>
      </c>
      <c r="B582">
        <f>Skills!B7</f>
        <v/>
      </c>
      <c r="C582">
        <f>Inputs!$B$3&gt;=107</f>
        <v/>
      </c>
      <c r="D582">
        <f>IF(Skills!C7=1,60+Inputs!$B$25+Inputs!$B$29,IF(Skills!C7=2,90+Inputs!$B$26+Inputs!$B$29,IF(Skills!C7=3,120+Inputs!$B$27+Inputs!$B$29,MAX(0,(Inputs!$B$3-100)*3)+Inputs!$B$28+Inputs!$B$29)))</f>
        <v/>
      </c>
      <c r="E582">
        <f>INDEX(FactorTable!$B$2:$Y$301, MATCH(ROUND(MIN(300,MAX(1,D582)),0), FactorTable!$A$2:$A$301,0), Skills!M7+1)</f>
        <v/>
      </c>
      <c r="F582">
        <f>IF(Skills!N7=TRUE,(Skills!L7/10)*(E582/1000),Skills!L7/10)+Skills!O7</f>
        <v/>
      </c>
      <c r="G582">
        <f>Skills!G7*IF(Skills!H7&gt;0,Skills!I7/Skills!H7,1)</f>
        <v/>
      </c>
      <c r="H582">
        <f>1-(1-Skills!J7/100)^Skills!K7</f>
        <v/>
      </c>
      <c r="I582" t="inlineStr">
        <is>
          <t>1</t>
        </is>
      </c>
      <c r="J582">
        <f>((Inputs!$B$6*(1+Inputs!$B$7/100))+(((Inputs!$B$12*(1+Inputs!$B$13/100))-(Inputs!$B$12*(1+Inputs!$B$13/100)))+0.25*(Inputs!$B$14-Inputs!$B$14))*(1+Inputs!$B$7/100))*(F582/100)</f>
        <v/>
      </c>
      <c r="K582">
        <f>J582*(1+((Inputs!$B$12*(1+Inputs!$B$13/100))*0.01+Inputs!$B$14*0.0025)/100)*(1+Inputs!$B$15/100)*(1+Inputs!$B$16/100)*(5000/(6000+Inputs!$B$42*(1-(100*(1-(1-(Inputs!$B$19+0)/100)*(1-CHOOSE(ArtifactsInput!$N$40+1,5,6,7,8,9,10)/100)^(ArtifactsInput!$M$40-ArtifactsInput!$M$40)))/100)))*(1+(Inputs!$B$24+((C600=TRUE)*(F600-Calc!F25))+B610)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7="ENHANCED_RAGING_BLOW",IF(Inputs!$B$3&gt;=134,MAX(0,IF(Inputs!$B$3&gt;=110,7,5)-5)*50,0),0)/100)*(1+(IF(Skills!A7="RAGING_BLOW",Inputs!$B$17+((C596=TRUE)*(F596-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598=TRUE)*(F598-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588=TRUE)*F588*IF(Inputs!$B$3&gt;=110,7,5))+((C590=TRUE)*F590*IF(AND(Inputs!$B$38&lt;&gt;"pvp",Inputs!$B$43&gt;0),(((R590-1)*(Skills!T15*(1+(Inputs!$B$34+(ArtifactsInput!$M$7-ArtifactsInput!$M$7)*CHOOSE(ArtifactsInput!$N$7+1,6,7.2,8.4,9.6,10.8,12))/100))+MIN((Skills!T15*(1+(Inputs!$B$34+(ArtifactsInput!$M$7-ArtifactsInput!$M$7)*CHOOSE(ArtifactsInput!$N$7+1,6,7.2,8.4,9.6,10.8,12))/100)),MAX(0,Inputs!$B$43-((R590-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Hunt"),CHOOSE(ArtifactsInput!$N$35+1,15,18,21,24,27,30)*(1-EXP(-(0.2*B606)*5)),0)+IF(AND(ArtifactsInput!$M$22,Inputs!$B$4&lt;&gt;"Chapter Hunt"),CHOOSE(ArtifactsInput!$N$22+1,10,12,14,16,18,20)*((0*(((0.15*B606*5))^0/1)+1*(((0.15*B606*5))^1/1)+2*(((0.15*B606*5))^2/2)+3*(((0.15*B606*5))^3/6)+4*(((0.15*B606*5))^4/24)+5*(((0.15*B606*5))^5/120))/((((0.15*B606*5))^0/1)+(((0.15*B606*5))^1/1)+(((0.15*B606*5))^2/2)+(((0.15*B606*5))^3/6)+(((0.15*B606*5))^4/24)+(((0.15*B606*5))^5/120))),0)))/100)*I582)</f>
        <v/>
      </c>
      <c r="L582">
        <f>K582*(MIN(Inputs!$B$22+((C597=TRUE)*(F597-Calc!F22)),(Inputs!$B$23+((C599=TRUE)*(F599-Calc!F24))+(IF(ArtifactsInput!$M$15,CHOOSE(ArtifactsInput!$N$15+1,25,30,35,40,45,50)/100*(((1-(1-Inputs!$B$11/150)*(1-1/150))*150)-Inputs!$B$11),0))))/100+(Inputs!$B$23+((C599=TRUE)*(F599-Calc!F24))+(IF(ArtifactsInput!$M$15,CHOOSE(ArtifactsInput!$N$15+1,25,30,35,40,45,50)/100*(((1-(1-Inputs!$B$11/150)*(1-1/150))*150)-Inputs!$B$11),0)))/100)/2</f>
        <v/>
      </c>
      <c r="M582">
        <f>L582*(1+(Inputs!$B$10+0+B609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2">
        <f>L582*(1-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582*(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2">
        <f>(1-Summary!$B$11)*T582+Summary!$B$11*V582</f>
        <v/>
      </c>
      <c r="P582">
        <f>IF(B614=0,0,O582/B614)</f>
        <v/>
      </c>
      <c r="Q582">
        <f>IFERROR(1/(IF(Inputs!$B$38="pvp",15,MAX(0.1,Skills!D7-IF(Skills!E7=TRUE,Inputs!$B$32,0)))*(1-IF(AND(ArtifactsInput!$M$27,Inputs!$B$4="Chapter Hunt"),CHOOSE(ArtifactsInput!$N$27+1,20,24,28,32,36,40),0)/100)),0)</f>
        <v/>
      </c>
      <c r="R582">
        <f>IF(AND(Inputs!$B$38&lt;&gt;"pvp",Inputs!$B$43&gt;0),IF(MAX(0,Inputs!$B$43-B611)&lt;=0,0,(INT(MAX(0,Inputs!$B$43-B611)/(IF(Inputs!$B$38="pvp",15,MAX(0.1,Skills!D7-IF(Skills!E7=TRUE,Inputs!$B$32,0)))*(1-IF(AND(ArtifactsInput!$M$27,Inputs!$B$4="Chapter Hunt"),CHOOSE(ArtifactsInput!$N$27+1,20,24,28,32,36,40),0)/100)))+1)),0)</f>
        <v/>
      </c>
      <c r="S582">
        <f>IFERROR(O582/N582,0)</f>
        <v/>
      </c>
      <c r="T582">
        <f>IF(C582,(H582*N582*IF(AND(Inputs!$B$38&lt;&gt;"pvp",Inputs!$B$43&gt;0),((Skills!G7*((R582-1)*IF(Skills!H7&gt;0,Skills!I7/Skills!H7,1)+IF(Skills!H7&gt;0,MIN(Skills!I7,MAX(0,MAX(0,Inputs!$B$43-B611)-((R582-1)*(IF(Inputs!$B$38="pvp",15,MAX(0.1,Skills!D7-IF(Skills!E7=TRUE,Inputs!$B$32,0)))*(1-IF(AND(ArtifactsInput!$M$27,Inputs!$B$4="Chapter Hunt"),CHOOSE(ArtifactsInput!$N$27+1,20,24,28,32,36,40),0)/100)))))/Skills!H7,1)))/Inputs!$B$43),G582*Q582)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582*(1-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582*(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582*(1-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582*(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2">
        <f>IF(C582,(H582*N582*IF(AND(Inputs!$B$38&lt;&gt;"pvp",Inputs!$B$43&gt;0),((Skills!G7*((R582-1)*IF(Skills!H7&gt;0,Skills!I7/Skills!H7,1)+IF(Skills!H7&gt;0,MIN(Skills!I7,MAX(0,MAX(0,Inputs!$B$43-B611)-((R582-1)*(IF(Inputs!$B$38="pvp",15,MAX(0.1,Skills!D7-IF(Skills!E7=TRUE,Inputs!$B$32,0)))*(1-IF(AND(ArtifactsInput!$M$27,Inputs!$B$4="Chapter Hunt"),CHOOSE(ArtifactsInput!$N$27+1,20,24,28,32,36,40),0)/100)))))/Skills!H7,1)))/Inputs!$B$43),G582*Q582)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3">
      <c r="A583">
        <f>Skills!A8</f>
        <v/>
      </c>
      <c r="B583">
        <f>Skills!B8</f>
        <v/>
      </c>
      <c r="C583">
        <f>Inputs!$B$3&gt;=117</f>
        <v/>
      </c>
      <c r="D583">
        <f>IF(Skills!C8=1,60+Inputs!$B$25+Inputs!$B$29,IF(Skills!C8=2,90+Inputs!$B$26+Inputs!$B$29,IF(Skills!C8=3,120+Inputs!$B$27+Inputs!$B$29,MAX(0,(Inputs!$B$3-100)*3)+Inputs!$B$28+Inputs!$B$29)))</f>
        <v/>
      </c>
      <c r="E583">
        <f>INDEX(FactorTable!$B$2:$Y$301, MATCH(ROUND(MIN(300,MAX(1,D583)),0), FactorTable!$A$2:$A$301,0), Skills!M8+1)</f>
        <v/>
      </c>
      <c r="F583">
        <f>IF(Skills!N8=TRUE,(Skills!L8/10)*(E583/1000),Skills!L8/10)+Skills!O8</f>
        <v/>
      </c>
      <c r="G583">
        <f>Skills!G8*IF(Skills!H8&gt;0,Skills!I8/Skills!H8,1)</f>
        <v/>
      </c>
      <c r="H583">
        <f>1-(1-Skills!J8/100)^Skills!K8</f>
        <v/>
      </c>
      <c r="I583" t="inlineStr">
        <is>
          <t>1</t>
        </is>
      </c>
      <c r="J583">
        <f>((Inputs!$B$6*(1+Inputs!$B$7/100))+(((Inputs!$B$12*(1+Inputs!$B$13/100))-(Inputs!$B$12*(1+Inputs!$B$13/100)))+0.25*(Inputs!$B$14-Inputs!$B$14))*(1+Inputs!$B$7/100))*(F583/100)</f>
        <v/>
      </c>
      <c r="K583">
        <f>J583*(1+((Inputs!$B$12*(1+Inputs!$B$13/100))*0.01+Inputs!$B$14*0.0025)/100)*(1+Inputs!$B$15/100)*(1+Inputs!$B$16/100)*(5000/(6000+Inputs!$B$42*(1-(100*(1-(1-(Inputs!$B$19+0)/100)*(1-CHOOSE(ArtifactsInput!$N$40+1,5,6,7,8,9,10)/100)^(ArtifactsInput!$M$40-ArtifactsInput!$M$40)))/100)))*(1+(Inputs!$B$24+((C600=TRUE)*(F600-Calc!F25))+B610)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8="ENHANCED_RAGING_BLOW",IF(Inputs!$B$3&gt;=134,MAX(0,IF(Inputs!$B$3&gt;=110,7,5)-5)*50,0),0)/100)*(1+(IF(Skills!A8="RAGING_BLOW",Inputs!$B$17+((C596=TRUE)*(F596-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598=TRUE)*(F598-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588=TRUE)*F588*IF(Inputs!$B$3&gt;=110,7,5))+((C590=TRUE)*F590*IF(AND(Inputs!$B$38&lt;&gt;"pvp",Inputs!$B$43&gt;0),(((R590-1)*(Skills!T15*(1+(Inputs!$B$34+(ArtifactsInput!$M$7-ArtifactsInput!$M$7)*CHOOSE(ArtifactsInput!$N$7+1,6,7.2,8.4,9.6,10.8,12))/100))+MIN((Skills!T15*(1+(Inputs!$B$34+(ArtifactsInput!$M$7-ArtifactsInput!$M$7)*CHOOSE(ArtifactsInput!$N$7+1,6,7.2,8.4,9.6,10.8,12))/100)),MAX(0,Inputs!$B$43-((R590-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Hunt"),CHOOSE(ArtifactsInput!$N$35+1,15,18,21,24,27,30)*(1-EXP(-(0.2*B606)*5)),0)+IF(AND(ArtifactsInput!$M$22,Inputs!$B$4&lt;&gt;"Chapter Hunt"),CHOOSE(ArtifactsInput!$N$22+1,10,12,14,16,18,20)*((0*(((0.15*B606*5))^0/1)+1*(((0.15*B606*5))^1/1)+2*(((0.15*B606*5))^2/2)+3*(((0.15*B606*5))^3/6)+4*(((0.15*B606*5))^4/24)+5*(((0.15*B606*5))^5/120))/((((0.15*B606*5))^0/1)+(((0.15*B606*5))^1/1)+(((0.15*B606*5))^2/2)+(((0.15*B606*5))^3/6)+(((0.15*B606*5))^4/24)+(((0.15*B606*5))^5/120))),0)))/100)*I583)</f>
        <v/>
      </c>
      <c r="L583">
        <f>K583*(MIN(Inputs!$B$22+((C597=TRUE)*(F597-Calc!F22)),(Inputs!$B$23+((C599=TRUE)*(F599-Calc!F24))+(IF(ArtifactsInput!$M$15,CHOOSE(ArtifactsInput!$N$15+1,25,30,35,40,45,50)/100*(((1-(1-Inputs!$B$11/150)*(1-1/150))*150)-Inputs!$B$11),0))))/100+(Inputs!$B$23+((C599=TRUE)*(F599-Calc!F24))+(IF(ArtifactsInput!$M$15,CHOOSE(ArtifactsInput!$N$15+1,25,30,35,40,45,50)/100*(((1-(1-Inputs!$B$11/150)*(1-1/150))*150)-Inputs!$B$11),0)))/100)/2</f>
        <v/>
      </c>
      <c r="M583">
        <f>L583*(1+(Inputs!$B$10+0+B609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3">
        <f>L583*(1-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583*(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3">
        <f>(1-Summary!$B$11)*T583+Summary!$B$11*V583</f>
        <v/>
      </c>
      <c r="P583">
        <f>IF(B614=0,0,O583/B614)</f>
        <v/>
      </c>
      <c r="Q583">
        <f>IFERROR(1/(IF(Inputs!$B$38="pvp",15,MAX(0.1,Skills!D8-IF(Skills!E8=TRUE,Inputs!$B$32,0)))*(1-IF(AND(ArtifactsInput!$M$27,Inputs!$B$4="Chapter Hunt"),CHOOSE(ArtifactsInput!$N$27+1,20,24,28,32,36,40),0)/100)),0)</f>
        <v/>
      </c>
      <c r="R583">
        <f>IF(AND(Inputs!$B$38&lt;&gt;"pvp",Inputs!$B$43&gt;0),IF(MAX(0,Inputs!$B$43-B611)&lt;=0,0,(INT(MAX(0,Inputs!$B$43-B611)/(IF(Inputs!$B$38="pvp",15,MAX(0.1,Skills!D8-IF(Skills!E8=TRUE,Inputs!$B$32,0)))*(1-IF(AND(ArtifactsInput!$M$27,Inputs!$B$4="Chapter Hunt"),CHOOSE(ArtifactsInput!$N$27+1,20,24,28,32,36,40),0)/100)))+1)),0)</f>
        <v/>
      </c>
      <c r="S583">
        <f>IFERROR(O583/N583,0)</f>
        <v/>
      </c>
      <c r="T583">
        <f>IF(C583,(H583*N583*IF(AND(Inputs!$B$38&lt;&gt;"pvp",Inputs!$B$43&gt;0),((Skills!G8*((R583-1)*IF(Skills!H8&gt;0,Skills!I8/Skills!H8,1)+IF(Skills!H8&gt;0,MIN(Skills!I8,MAX(0,MAX(0,Inputs!$B$43-B611)-((R583-1)*(IF(Inputs!$B$38="pvp",15,MAX(0.1,Skills!D8-IF(Skills!E8=TRUE,Inputs!$B$32,0)))*(1-IF(AND(ArtifactsInput!$M$27,Inputs!$B$4="Chapter Hunt"),CHOOSE(ArtifactsInput!$N$27+1,20,24,28,32,36,40),0)/100)))))/Skills!H8,1)))/Inputs!$B$43),G583*Q583)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583*(1-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583*(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583*(1-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583*(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3">
        <f>IF(C583,(H583*N583*IF(AND(Inputs!$B$38&lt;&gt;"pvp",Inputs!$B$43&gt;0),((Skills!G8*((R583-1)*IF(Skills!H8&gt;0,Skills!I8/Skills!H8,1)+IF(Skills!H8&gt;0,MIN(Skills!I8,MAX(0,MAX(0,Inputs!$B$43-B611)-((R583-1)*(IF(Inputs!$B$38="pvp",15,MAX(0.1,Skills!D8-IF(Skills!E8=TRUE,Inputs!$B$32,0)))*(1-IF(AND(ArtifactsInput!$M$27,Inputs!$B$4="Chapter Hunt"),CHOOSE(ArtifactsInput!$N$27+1,20,24,28,32,36,40),0)/100)))))/Skills!H8,1)))/Inputs!$B$43),G583*Q583)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4">
      <c r="A584">
        <f>Skills!A9</f>
        <v/>
      </c>
      <c r="B584">
        <f>Skills!B9</f>
        <v/>
      </c>
      <c r="C584">
        <f>Inputs!$B$3&gt;=69</f>
        <v/>
      </c>
      <c r="D584">
        <f>IF(Skills!C9=1,60+Inputs!$B$25+Inputs!$B$29,IF(Skills!C9=2,90+Inputs!$B$26+Inputs!$B$29,IF(Skills!C9=3,120+Inputs!$B$27+Inputs!$B$29,MAX(0,(Inputs!$B$3-100)*3)+Inputs!$B$28+Inputs!$B$29)))</f>
        <v/>
      </c>
      <c r="E584">
        <f>INDEX(FactorTable!$B$2:$Y$301, MATCH(ROUND(MIN(300,MAX(1,D584)),0), FactorTable!$A$2:$A$301,0), Skills!M9+1)</f>
        <v/>
      </c>
      <c r="F584">
        <f>IF(Skills!N9=TRUE,(Skills!L9/10)*(E584/1000),Skills!L9/10)+Skills!O9</f>
        <v/>
      </c>
      <c r="G584">
        <f>Skills!G9*IF(Skills!H9&gt;0,Skills!I9/Skills!H9,1)</f>
        <v/>
      </c>
      <c r="H584">
        <f>1-(1-Skills!J9/100)^Skills!K9</f>
        <v/>
      </c>
      <c r="I584" t="inlineStr">
        <is>
          <t>1</t>
        </is>
      </c>
      <c r="J584">
        <f>((Inputs!$B$6*(1+Inputs!$B$7/100))+(((Inputs!$B$12*(1+Inputs!$B$13/100))-(Inputs!$B$12*(1+Inputs!$B$13/100)))+0.25*(Inputs!$B$14-Inputs!$B$14))*(1+Inputs!$B$7/100))*(F584/100)</f>
        <v/>
      </c>
      <c r="K584">
        <f>J584*(1+((Inputs!$B$12*(1+Inputs!$B$13/100))*0.01+Inputs!$B$14*0.0025)/100)*(1+Inputs!$B$15/100)*(1+Inputs!$B$16/100)*(5000/(6000+Inputs!$B$42*(1-(100*(1-(1-(Inputs!$B$19+0)/100)*(1-CHOOSE(ArtifactsInput!$N$40+1,5,6,7,8,9,10)/100)^(ArtifactsInput!$M$40-ArtifactsInput!$M$40)))/100)))*(1+(Inputs!$B$24+((C600=TRUE)*(F600-Calc!F25))+B610)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+1.0*IF(C587=TRUE,F587,0)/100)*(1+IF(Skills!A9="ENHANCED_RAGING_BLOW",IF(Inputs!$B$3&gt;=134,MAX(0,IF(Inputs!$B$3&gt;=110,7,5)-5)*50,0),0)/100)*(1+(IF(Skills!A9="RAGING_BLOW",Inputs!$B$17+((C596=TRUE)*(F596-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598=TRUE)*(F598-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588=TRUE)*F588*IF(Inputs!$B$3&gt;=110,7,5))+((C590=TRUE)*F590*IF(AND(Inputs!$B$38&lt;&gt;"pvp",Inputs!$B$43&gt;0),(((R590-1)*(Skills!T15*(1+(Inputs!$B$34+(ArtifactsInput!$M$7-ArtifactsInput!$M$7)*CHOOSE(ArtifactsInput!$N$7+1,6,7.2,8.4,9.6,10.8,12))/100))+MIN((Skills!T15*(1+(Inputs!$B$34+(ArtifactsInput!$M$7-ArtifactsInput!$M$7)*CHOOSE(ArtifactsInput!$N$7+1,6,7.2,8.4,9.6,10.8,12))/100)),MAX(0,Inputs!$B$43-((R590-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Hunt"),CHOOSE(ArtifactsInput!$N$35+1,15,18,21,24,27,30)*(1-EXP(-(0.2*B606)*5)),0)+IF(AND(ArtifactsInput!$M$22,Inputs!$B$4&lt;&gt;"Chapter Hunt"),CHOOSE(ArtifactsInput!$N$22+1,10,12,14,16,18,20)*((0*(((0.15*B606*5))^0/1)+1*(((0.15*B606*5))^1/1)+2*(((0.15*B606*5))^2/2)+3*(((0.15*B606*5))^3/6)+4*(((0.15*B606*5))^4/24)+5*(((0.15*B606*5))^5/120))/((((0.15*B606*5))^0/1)+(((0.15*B606*5))^1/1)+(((0.15*B606*5))^2/2)+(((0.15*B606*5))^3/6)+(((0.15*B606*5))^4/24)+(((0.15*B606*5))^5/120))),0)))/100)*I584)</f>
        <v/>
      </c>
      <c r="L584">
        <f>K584*(MIN(Inputs!$B$22+((C597=TRUE)*(F597-Calc!F22)),(Inputs!$B$23+((C599=TRUE)*(F599-Calc!F24))+(IF(ArtifactsInput!$M$15,CHOOSE(ArtifactsInput!$N$15+1,25,30,35,40,45,50)/100*(((1-(1-Inputs!$B$11/150)*(1-1/150))*150)-Inputs!$B$11),0))))/100+(Inputs!$B$23+((C599=TRUE)*(F599-Calc!F24))+(IF(ArtifactsInput!$M$15,CHOOSE(ArtifactsInput!$N$15+1,25,30,35,40,45,50)/100*(((1-(1-Inputs!$B$11/150)*(1-1/150))*150)-Inputs!$B$11),0)))/100)/2</f>
        <v/>
      </c>
      <c r="M584">
        <f>L584*(1+(Inputs!$B$10+0+B609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4">
        <f>L584*(1-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584*(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4">
        <f>(1-Summary!$B$11)*T584+Summary!$B$11*V584</f>
        <v/>
      </c>
      <c r="P584">
        <f>IF(B614=0,0,O584/B614)</f>
        <v/>
      </c>
      <c r="Q584">
        <f>IFERROR(1/(IF(Inputs!$B$38="pvp",15,MAX(0.1,Skills!D9-IF(Skills!E9=TRUE,Inputs!$B$32,0)))*(1-IF(AND(ArtifactsInput!$M$27,Inputs!$B$4="Chapter Hunt"),CHOOSE(ArtifactsInput!$N$27+1,20,24,28,32,36,40),0)/100)),0)</f>
        <v/>
      </c>
      <c r="R584">
        <f>IF(AND(Inputs!$B$38&lt;&gt;"pvp",Inputs!$B$43&gt;0),IF(MAX(0,Inputs!$B$43-B611)&lt;=0,0,(INT(MAX(0,Inputs!$B$43-B611)/(IF(Inputs!$B$38="pvp",15,MAX(0.1,Skills!D9-IF(Skills!E9=TRUE,Inputs!$B$32,0)))*(1-IF(AND(ArtifactsInput!$M$27,Inputs!$B$4="Chapter Hunt"),CHOOSE(ArtifactsInput!$N$27+1,20,24,28,32,36,40),0)/100)))+1)),0)</f>
        <v/>
      </c>
      <c r="S584">
        <f>IFERROR(O584/N584,0)</f>
        <v/>
      </c>
      <c r="T584">
        <f>IF(C584,(H584*N584*IF(AND(Inputs!$B$38&lt;&gt;"pvp",Inputs!$B$43&gt;0),((Skills!G9*((R584-1)*IF(Skills!H9&gt;0,Skills!I9/Skills!H9,1)+IF(Skills!H9&gt;0,MIN(Skills!I9,MAX(0,MAX(0,Inputs!$B$43-B611)-((R584-1)*(IF(Inputs!$B$38="pvp",15,MAX(0.1,Skills!D9-IF(Skills!E9=TRUE,Inputs!$B$32,0)))*(1-IF(AND(ArtifactsInput!$M$27,Inputs!$B$4="Chapter Hunt"),CHOOSE(ArtifactsInput!$N$27+1,20,24,28,32,36,40),0)/100)))))/Skills!H9,1)))/Inputs!$B$43),G584*Q584)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584*(1-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584*(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584*(1-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584*(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4">
        <f>IF(C584,(H584*N584*IF(AND(Inputs!$B$38&lt;&gt;"pvp",Inputs!$B$43&gt;0),((Skills!G9*((R584-1)*IF(Skills!H9&gt;0,Skills!I9/Skills!H9,1)+IF(Skills!H9&gt;0,MIN(Skills!I9,MAX(0,MAX(0,Inputs!$B$43-B611)-((R584-1)*(IF(Inputs!$B$38="pvp",15,MAX(0.1,Skills!D9-IF(Skills!E9=TRUE,Inputs!$B$32,0)))*(1-IF(AND(ArtifactsInput!$M$27,Inputs!$B$4="Chapter Hunt"),CHOOSE(ArtifactsInput!$N$27+1,20,24,28,32,36,40),0)/100)))))/Skills!H9,1)))/Inputs!$B$43),G584*Q584)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5">
      <c r="A585">
        <f>Skills!A10</f>
        <v/>
      </c>
      <c r="B585">
        <f>Skills!B10</f>
        <v/>
      </c>
      <c r="C585">
        <f>Inputs!$B$3&gt;=63</f>
        <v/>
      </c>
      <c r="D585">
        <f>IF(Skills!C10=1,60+Inputs!$B$25+Inputs!$B$29,IF(Skills!C10=2,90+Inputs!$B$26+Inputs!$B$29,IF(Skills!C10=3,120+Inputs!$B$27+Inputs!$B$29,MAX(0,(Inputs!$B$3-100)*3)+Inputs!$B$28+Inputs!$B$29)))</f>
        <v/>
      </c>
      <c r="E585">
        <f>INDEX(FactorTable!$B$2:$Y$301, MATCH(ROUND(MIN(300,MAX(1,D585)),0), FactorTable!$A$2:$A$301,0), Skills!M10+1)</f>
        <v/>
      </c>
      <c r="F585">
        <f>IF(Skills!N10=TRUE,(Skills!L10/10)*(E585/1000),Skills!L10/10)+Skills!O10</f>
        <v/>
      </c>
      <c r="G585">
        <f>Skills!G10*IF(Skills!H10&gt;0,Skills!I10/Skills!H10,1)</f>
        <v/>
      </c>
      <c r="H585">
        <f>1-(1-Skills!J10/100)^Skills!K10</f>
        <v/>
      </c>
      <c r="I585" t="inlineStr">
        <is>
          <t>1</t>
        </is>
      </c>
      <c r="J585">
        <f>((Inputs!$B$6*(1+Inputs!$B$7/100))+(((Inputs!$B$12*(1+Inputs!$B$13/100))-(Inputs!$B$12*(1+Inputs!$B$13/100)))+0.25*(Inputs!$B$14-Inputs!$B$14))*(1+Inputs!$B$7/100))*(F585/100)</f>
        <v/>
      </c>
      <c r="K585">
        <f>J585*(1+((Inputs!$B$12*(1+Inputs!$B$13/100))*0.01+Inputs!$B$14*0.0025)/100)*(1+Inputs!$B$15/100)*(1+Inputs!$B$16/100)*(5000/(6000+Inputs!$B$42*(1-(100*(1-(1-(Inputs!$B$19+0)/100)*(1-CHOOSE(ArtifactsInput!$N$40+1,5,6,7,8,9,10)/100)^(ArtifactsInput!$M$40-ArtifactsInput!$M$40)))/100)))*(1+(Inputs!$B$24+((C600=TRUE)*(F600-Calc!F25))+B610)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+1.5*IF(C587=TRUE,F587,0)/100)*(1+IF(Skills!A10="ENHANCED_RAGING_BLOW",IF(Inputs!$B$3&gt;=134,MAX(0,IF(Inputs!$B$3&gt;=110,7,5)-5)*50,0),0)/100)*(1+(IF(Skills!A10="RAGING_BLOW",Inputs!$B$17+((C596=TRUE)*(F596-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598=TRUE)*(F598-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588=TRUE)*F588*IF(Inputs!$B$3&gt;=110,7,5))+((C590=TRUE)*F590*IF(AND(Inputs!$B$38&lt;&gt;"pvp",Inputs!$B$43&gt;0),(((R590-1)*(Skills!T15*(1+(Inputs!$B$34+(ArtifactsInput!$M$7-ArtifactsInput!$M$7)*CHOOSE(ArtifactsInput!$N$7+1,6,7.2,8.4,9.6,10.8,12))/100))+MIN((Skills!T15*(1+(Inputs!$B$34+(ArtifactsInput!$M$7-ArtifactsInput!$M$7)*CHOOSE(ArtifactsInput!$N$7+1,6,7.2,8.4,9.6,10.8,12))/100)),MAX(0,Inputs!$B$43-((R590-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Hunt"),CHOOSE(ArtifactsInput!$N$35+1,15,18,21,24,27,30)*(1-EXP(-(0.2*B606)*5)),0)+IF(AND(ArtifactsInput!$M$22,Inputs!$B$4&lt;&gt;"Chapter Hunt"),CHOOSE(ArtifactsInput!$N$22+1,10,12,14,16,18,20)*((0*(((0.15*B606*5))^0/1)+1*(((0.15*B606*5))^1/1)+2*(((0.15*B606*5))^2/2)+3*(((0.15*B606*5))^3/6)+4*(((0.15*B606*5))^4/24)+5*(((0.15*B606*5))^5/120))/((((0.15*B606*5))^0/1)+(((0.15*B606*5))^1/1)+(((0.15*B606*5))^2/2)+(((0.15*B606*5))^3/6)+(((0.15*B606*5))^4/24)+(((0.15*B606*5))^5/120))),0)))/100)*I585)</f>
        <v/>
      </c>
      <c r="L585">
        <f>K585*(MIN(Inputs!$B$22+((C597=TRUE)*(F597-Calc!F22)),(Inputs!$B$23+((C599=TRUE)*(F599-Calc!F24))+(IF(ArtifactsInput!$M$15,CHOOSE(ArtifactsInput!$N$15+1,25,30,35,40,45,50)/100*(((1-(1-Inputs!$B$11/150)*(1-1/150))*150)-Inputs!$B$11),0))))/100+(Inputs!$B$23+((C599=TRUE)*(F599-Calc!F24))+(IF(ArtifactsInput!$M$15,CHOOSE(ArtifactsInput!$N$15+1,25,30,35,40,45,50)/100*(((1-(1-Inputs!$B$11/150)*(1-1/150))*150)-Inputs!$B$11),0)))/100)/2</f>
        <v/>
      </c>
      <c r="M585">
        <f>L585*(1+(Inputs!$B$10+0+B609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5">
        <f>L585*(1-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585*(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5">
        <f>(1-Summary!$B$11)*T585+Summary!$B$11*V585</f>
        <v/>
      </c>
      <c r="P585">
        <f>IF(B614=0,0,O585/B614)</f>
        <v/>
      </c>
      <c r="Q585">
        <f>IFERROR(1/(IF(Inputs!$B$38="pvp",15,MAX(0.1,Skills!D10-IF(Skills!E10=TRUE,Inputs!$B$32,0)))*(1-IF(AND(ArtifactsInput!$M$27,Inputs!$B$4="Chapter Hunt"),CHOOSE(ArtifactsInput!$N$27+1,20,24,28,32,36,40),0)/100)),0)</f>
        <v/>
      </c>
      <c r="R585">
        <f>IF(AND(Inputs!$B$38&lt;&gt;"pvp",Inputs!$B$43&gt;0),IF(MAX(0,Inputs!$B$43-B611)&lt;=0,0,(INT(MAX(0,Inputs!$B$43-B611)/(IF(Inputs!$B$38="pvp",15,MAX(0.1,Skills!D10-IF(Skills!E10=TRUE,Inputs!$B$32,0)))*(1-IF(AND(ArtifactsInput!$M$27,Inputs!$B$4="Chapter Hunt"),CHOOSE(ArtifactsInput!$N$27+1,20,24,28,32,36,40),0)/100)))+1)),0)</f>
        <v/>
      </c>
      <c r="S585">
        <f>IFERROR(O585/N585,0)</f>
        <v/>
      </c>
      <c r="T585">
        <f>IF(C585,(H585*N585*IF(AND(Inputs!$B$38&lt;&gt;"pvp",Inputs!$B$43&gt;0),((Skills!G10*((R585-1)*IF(Skills!H10&gt;0,Skills!I10/Skills!H10,1)+IF(Skills!H10&gt;0,MIN(Skills!I10,MAX(0,MAX(0,Inputs!$B$43-B611)-((R585-1)*(IF(Inputs!$B$38="pvp",15,MAX(0.1,Skills!D10-IF(Skills!E10=TRUE,Inputs!$B$32,0)))*(1-IF(AND(ArtifactsInput!$M$27,Inputs!$B$4="Chapter Hunt"),CHOOSE(ArtifactsInput!$N$27+1,20,24,28,32,36,40),0)/100)))))/Skills!H10,1)))/Inputs!$B$43),G585*Q585)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585*(1-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585*(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585*(1-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585*(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5">
        <f>IF(C585,(H585*N585*IF(AND(Inputs!$B$38&lt;&gt;"pvp",Inputs!$B$43&gt;0),((Skills!G10*((R585-1)*IF(Skills!H10&gt;0,Skills!I10/Skills!H10,1)+IF(Skills!H10&gt;0,MIN(Skills!I10,MAX(0,MAX(0,Inputs!$B$43-B611)-((R585-1)*(IF(Inputs!$B$38="pvp",15,MAX(0.1,Skills!D10-IF(Skills!E10=TRUE,Inputs!$B$32,0)))*(1-IF(AND(ArtifactsInput!$M$27,Inputs!$B$4="Chapter Hunt"),CHOOSE(ArtifactsInput!$N$27+1,20,24,28,32,36,40),0)/100)))))/Skills!H10,1)))/Inputs!$B$43),G585*Q585)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6">
      <c r="A586">
        <f>Skills!A11</f>
        <v/>
      </c>
      <c r="B586">
        <f>Skills!B11</f>
        <v/>
      </c>
      <c r="C586">
        <f>Inputs!$B$3&gt;=35</f>
        <v/>
      </c>
      <c r="D586">
        <f>IF(Skills!C11=1,60+Inputs!$B$25+Inputs!$B$29,IF(Skills!C11=2,90+Inputs!$B$26+Inputs!$B$29,IF(Skills!C11=3,120+Inputs!$B$27+Inputs!$B$29,MAX(0,(Inputs!$B$3-100)*3)+Inputs!$B$28+Inputs!$B$29)))</f>
        <v/>
      </c>
      <c r="E586">
        <f>INDEX(FactorTable!$B$2:$Y$301, MATCH(ROUND(MIN(300,MAX(1,D586)),0), FactorTable!$A$2:$A$301,0), Skills!M11+1)</f>
        <v/>
      </c>
      <c r="F586">
        <f>IF(Skills!N11=TRUE,(Skills!L11/10)*(E586/1000),Skills!L11/10)+Skills!O11</f>
        <v/>
      </c>
      <c r="G586">
        <f>Skills!G11*IF(Skills!H11&gt;0,Skills!I11/Skills!H11,1)</f>
        <v/>
      </c>
      <c r="H586">
        <f>1-(1-Skills!J11/100)^Skills!K11</f>
        <v/>
      </c>
      <c r="I586" t="inlineStr">
        <is>
          <t>1</t>
        </is>
      </c>
      <c r="J586">
        <f>((Inputs!$B$6*(1+Inputs!$B$7/100))+(((Inputs!$B$12*(1+Inputs!$B$13/100))-(Inputs!$B$12*(1+Inputs!$B$13/100)))+0.25*(Inputs!$B$14-Inputs!$B$14))*(1+Inputs!$B$7/100))*(F586/100)</f>
        <v/>
      </c>
      <c r="K586">
        <f>J586*(1+((Inputs!$B$12*(1+Inputs!$B$13/100))*0.01+Inputs!$B$14*0.0025)/100)*(1+Inputs!$B$15/100)*(1+Inputs!$B$16/100)*(5000/(6000+Inputs!$B$42*(1-(100*(1-(1-(Inputs!$B$19+0)/100)*(1-CHOOSE(ArtifactsInput!$N$40+1,5,6,7,8,9,10)/100)^(ArtifactsInput!$M$40-ArtifactsInput!$M$40)))/100)))*(1+(Inputs!$B$24+((C600=TRUE)*(F600-Calc!F25))+B610)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+4.0*IF(C587=TRUE,F587,0)/100)*(1+IF(Skills!A11="ENHANCED_RAGING_BLOW",IF(Inputs!$B$3&gt;=134,MAX(0,IF(Inputs!$B$3&gt;=110,7,5)-5)*50,0),0)/100)*(1+(IF(Skills!A11="RAGING_BLOW",Inputs!$B$17+((C596=TRUE)*(F596-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598=TRUE)*(F598-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588=TRUE)*F588*IF(Inputs!$B$3&gt;=110,7,5))+((C590=TRUE)*F590*IF(AND(Inputs!$B$38&lt;&gt;"pvp",Inputs!$B$43&gt;0),(((R590-1)*(Skills!T15*(1+(Inputs!$B$34+(ArtifactsInput!$M$7-ArtifactsInput!$M$7)*CHOOSE(ArtifactsInput!$N$7+1,6,7.2,8.4,9.6,10.8,12))/100))+MIN((Skills!T15*(1+(Inputs!$B$34+(ArtifactsInput!$M$7-ArtifactsInput!$M$7)*CHOOSE(ArtifactsInput!$N$7+1,6,7.2,8.4,9.6,10.8,12))/100)),MAX(0,Inputs!$B$43-((R590-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Hunt"),CHOOSE(ArtifactsInput!$N$35+1,15,18,21,24,27,30)*(1-EXP(-(0.2*B606)*5)),0)+IF(AND(ArtifactsInput!$M$22,Inputs!$B$4&lt;&gt;"Chapter Hunt"),CHOOSE(ArtifactsInput!$N$22+1,10,12,14,16,18,20)*((0*(((0.15*B606*5))^0/1)+1*(((0.15*B606*5))^1/1)+2*(((0.15*B606*5))^2/2)+3*(((0.15*B606*5))^3/6)+4*(((0.15*B606*5))^4/24)+5*(((0.15*B606*5))^5/120))/((((0.15*B606*5))^0/1)+(((0.15*B606*5))^1/1)+(((0.15*B606*5))^2/2)+(((0.15*B606*5))^3/6)+(((0.15*B606*5))^4/24)+(((0.15*B606*5))^5/120))),0)))/100)*I586)</f>
        <v/>
      </c>
      <c r="L586">
        <f>K586*(MIN(Inputs!$B$22+((C597=TRUE)*(F597-Calc!F22)),(Inputs!$B$23+((C599=TRUE)*(F599-Calc!F24))+(IF(ArtifactsInput!$M$15,CHOOSE(ArtifactsInput!$N$15+1,25,30,35,40,45,50)/100*(((1-(1-Inputs!$B$11/150)*(1-1/150))*150)-Inputs!$B$11),0))))/100+(Inputs!$B$23+((C599=TRUE)*(F599-Calc!F24))+(IF(ArtifactsInput!$M$15,CHOOSE(ArtifactsInput!$N$15+1,25,30,35,40,45,50)/100*(((1-(1-Inputs!$B$11/150)*(1-1/150))*150)-Inputs!$B$11),0)))/100)/2</f>
        <v/>
      </c>
      <c r="M586">
        <f>L586*(1+(Inputs!$B$10+0+B609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6">
        <f>L586*(1-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586*(MIN((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6">
        <f>(1-Summary!$B$11)*T586+Summary!$B$11*V586</f>
        <v/>
      </c>
      <c r="P586">
        <f>IF(B614=0,0,O586/B614)</f>
        <v/>
      </c>
      <c r="Q586">
        <f>IFERROR(1/(IF(Inputs!$B$38="pvp",15,MAX(0.1,Skills!D11-IF(Skills!E11=TRUE,Inputs!$B$32,0)))*(1-IF(AND(ArtifactsInput!$M$27,Inputs!$B$4="Chapter Hunt"),CHOOSE(ArtifactsInput!$N$27+1,20,24,28,32,36,40),0)/100)),0)</f>
        <v/>
      </c>
      <c r="R586">
        <f>IF(AND(Inputs!$B$38&lt;&gt;"pvp",Inputs!$B$43&gt;0),IF(MAX(0,Inputs!$B$43-B611)&lt;=0,0,(INT(MAX(0,Inputs!$B$43-B611)/(IF(Inputs!$B$38="pvp",15,MAX(0.1,Skills!D11-IF(Skills!E11=TRUE,Inputs!$B$32,0)))*(1-IF(AND(ArtifactsInput!$M$27,Inputs!$B$4="Chapter Hunt"),CHOOSE(ArtifactsInput!$N$27+1,20,24,28,32,36,40),0)/100)))+1)),0)</f>
        <v/>
      </c>
      <c r="S586">
        <f>IFERROR(O586/N586,0)</f>
        <v/>
      </c>
      <c r="T586">
        <f>IF(C586,(H586*N586*IF(AND(Inputs!$B$38&lt;&gt;"pvp",Inputs!$B$43&gt;0),((Skills!G11*((R586-1)*IF(Skills!H11&gt;0,Skills!I11/Skills!H11,1)+IF(Skills!H11&gt;0,MIN(Skills!I11,MAX(0,MAX(0,Inputs!$B$43-B611)-((R586-1)*(IF(Inputs!$B$38="pvp",15,MAX(0.1,Skills!D11-IF(Skills!E11=TRUE,Inputs!$B$32,0)))*(1-IF(AND(ArtifactsInput!$M$27,Inputs!$B$4="Chapter Hunt"),CHOOSE(ArtifactsInput!$N$27+1,20,24,28,32,36,40),0)/100)))))/Skills!H11,1)))/Inputs!$B$43),G586*Q586)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586*(1-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586*(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586*(1-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586*(MIN(100,(Inputs!$B$9+((C601=TRUE)*(F601-Calc!F26))+B604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86">
        <f>IF(C586,(H586*N586*IF(AND(Inputs!$B$38&lt;&gt;"pvp",Inputs!$B$43&gt;0),((Skills!G11*((R586-1)*IF(Skills!H11&gt;0,Skills!I11/Skills!H11,1)+IF(Skills!H11&gt;0,MIN(Skills!I11,MAX(0,MAX(0,Inputs!$B$43-B611)-((R586-1)*(IF(Inputs!$B$38="pvp",15,MAX(0.1,Skills!D11-IF(Skills!E11=TRUE,Inputs!$B$32,0)))*(1-IF(AND(ArtifactsInput!$M$27,Inputs!$B$4="Chapter Hunt"),CHOOSE(ArtifactsInput!$N$27+1,20,24,28,32,36,40),0)/100)))))/Skills!H11,1)))/Inputs!$B$43),G586*Q586)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7">
      <c r="A587">
        <f>Skills!A12</f>
        <v/>
      </c>
      <c r="B587">
        <f>Skills!B12</f>
        <v/>
      </c>
      <c r="C587">
        <f>Inputs!$B$3&gt;=100</f>
        <v/>
      </c>
      <c r="D587">
        <f>IF(Skills!C12=1,60+Inputs!$B$25+Inputs!$B$29,IF(Skills!C12=2,90+Inputs!$B$26+Inputs!$B$29,IF(Skills!C12=3,120+Inputs!$B$27+Inputs!$B$29,MAX(0,(Inputs!$B$3-100)*3)+Inputs!$B$28+Inputs!$B$29)))</f>
        <v/>
      </c>
      <c r="E587">
        <f>INDEX(FactorTable!$B$2:$Y$301, MATCH(ROUND(MIN(300,MAX(1,D587)),0), FactorTable!$A$2:$A$301,0), Skills!M12+1)</f>
        <v/>
      </c>
      <c r="F587">
        <f>IF(Skills!N12=TRUE,(Skills!L12/10)*(E587/1000),Skills!L12/10)+Skills!O12</f>
        <v/>
      </c>
      <c r="G587" t="inlineStr"/>
      <c r="H587" t="inlineStr"/>
      <c r="I587" t="inlineStr">
        <is>
          <t>1</t>
        </is>
      </c>
      <c r="J587" t="inlineStr"/>
      <c r="K587" t="inlineStr"/>
      <c r="L587" t="inlineStr"/>
      <c r="M587" t="inlineStr"/>
      <c r="N587" t="inlineStr"/>
      <c r="O587" t="inlineStr"/>
      <c r="P587" t="inlineStr"/>
      <c r="Q587" t="inlineStr"/>
      <c r="R587" t="inlineStr"/>
      <c r="S587" t="inlineStr"/>
    </row>
    <row r="588">
      <c r="A588">
        <f>Skills!A13</f>
        <v/>
      </c>
      <c r="B588">
        <f>Skills!B13</f>
        <v/>
      </c>
      <c r="C588">
        <f>Inputs!$B$3&gt;=45</f>
        <v/>
      </c>
      <c r="D588">
        <f>IF(Skills!C13=1,60+Inputs!$B$25+Inputs!$B$29,IF(Skills!C13=2,90+Inputs!$B$26+Inputs!$B$29,IF(Skills!C13=3,120+Inputs!$B$27+Inputs!$B$29,MAX(0,(Inputs!$B$3-100)*3)+Inputs!$B$28+Inputs!$B$29)))</f>
        <v/>
      </c>
      <c r="E588">
        <f>INDEX(FactorTable!$B$2:$Y$301, MATCH(ROUND(MIN(300,MAX(1,D588)),0), FactorTable!$A$2:$A$301,0), Skills!M13+1)</f>
        <v/>
      </c>
      <c r="F588">
        <f>IF(Skills!N13=TRUE,(Skills!L13/10)*(E588/1000),Skills!L13/10)+Skills!O13</f>
        <v/>
      </c>
      <c r="G588">
        <f>Skills!G13*IF(Skills!H13&gt;0,Skills!I13/Skills!H13,1)</f>
        <v/>
      </c>
      <c r="H588">
        <f>1-(1-Skills!J13/100)^Skills!K13</f>
        <v/>
      </c>
      <c r="I588" t="inlineStr">
        <is>
          <t>1</t>
        </is>
      </c>
      <c r="J588" t="inlineStr"/>
      <c r="K588" t="inlineStr"/>
      <c r="L588" t="inlineStr"/>
      <c r="M588" t="inlineStr"/>
      <c r="N588" t="inlineStr"/>
      <c r="O588">
        <f>(1-Summary!$B$11)*T588+Summary!$B$11*V588</f>
        <v/>
      </c>
      <c r="P588">
        <f>IF(B614=0,0,O588/B614)</f>
        <v/>
      </c>
      <c r="Q588" t="n">
        <v>0</v>
      </c>
      <c r="R588" t="n">
        <v>0</v>
      </c>
      <c r="S588">
        <f>IFERROR(O588/N588,0)</f>
        <v/>
      </c>
      <c r="T588" t="n">
        <v>0</v>
      </c>
      <c r="V588" t="n">
        <v>0</v>
      </c>
    </row>
    <row r="589">
      <c r="A589">
        <f>Skills!A14</f>
        <v/>
      </c>
      <c r="B589">
        <f>Skills!B14</f>
        <v/>
      </c>
      <c r="C589">
        <f>Inputs!$B$3&gt;=75</f>
        <v/>
      </c>
      <c r="D589">
        <f>IF(Skills!C14=1,60+Inputs!$B$25+Inputs!$B$29,IF(Skills!C14=2,90+Inputs!$B$26+Inputs!$B$29,IF(Skills!C14=3,120+Inputs!$B$27+Inputs!$B$29,MAX(0,(Inputs!$B$3-100)*3)+Inputs!$B$28+Inputs!$B$29)))</f>
        <v/>
      </c>
      <c r="E589">
        <f>INDEX(FactorTable!$B$2:$Y$301, MATCH(ROUND(MIN(300,MAX(1,D589)),0), FactorTable!$A$2:$A$301,0), Skills!M14+1)</f>
        <v/>
      </c>
      <c r="F589">
        <f>IF(Skills!N14=TRUE,(Skills!L14/10)*(E589/1000),Skills!L14/10)+Skills!O14</f>
        <v/>
      </c>
      <c r="G589">
        <f>Skills!G14*IF(Skills!H14&gt;0,Skills!I14/Skills!H14,1)</f>
        <v/>
      </c>
      <c r="H589">
        <f>1-(1-Skills!J14/100)^Skills!K14</f>
        <v/>
      </c>
      <c r="I589" t="inlineStr">
        <is>
          <t>1</t>
        </is>
      </c>
      <c r="J589" t="inlineStr"/>
      <c r="K589" t="inlineStr"/>
      <c r="L589" t="inlineStr"/>
      <c r="M589" t="inlineStr"/>
      <c r="N589" t="inlineStr"/>
      <c r="O589">
        <f>(1-Summary!$B$11)*T589+Summary!$B$11*V589</f>
        <v/>
      </c>
      <c r="P589">
        <f>IF(B614=0,0,O589/B614)</f>
        <v/>
      </c>
      <c r="Q589" t="n">
        <v>0</v>
      </c>
      <c r="R589" t="n">
        <v>0</v>
      </c>
      <c r="S589">
        <f>IFERROR(O589/N589,0)</f>
        <v/>
      </c>
      <c r="T589" t="n">
        <v>0</v>
      </c>
      <c r="V589" t="n">
        <v>0</v>
      </c>
    </row>
    <row r="590">
      <c r="A590">
        <f>Skills!A15</f>
        <v/>
      </c>
      <c r="B590">
        <f>Skills!B15</f>
        <v/>
      </c>
      <c r="C590">
        <f>Inputs!$B$3&gt;=40</f>
        <v/>
      </c>
      <c r="D590">
        <f>IF(Skills!C15=1,60+Inputs!$B$25+Inputs!$B$29,IF(Skills!C15=2,90+Inputs!$B$26+Inputs!$B$29,IF(Skills!C15=3,120+Inputs!$B$27+Inputs!$B$29,MAX(0,(Inputs!$B$3-100)*3)+Inputs!$B$28+Inputs!$B$29)))</f>
        <v/>
      </c>
      <c r="E590">
        <f>INDEX(FactorTable!$B$2:$Y$301, MATCH(ROUND(MIN(300,MAX(1,D590)),0), FactorTable!$A$2:$A$301,0), Skills!M15+1)</f>
        <v/>
      </c>
      <c r="F590">
        <f>IF(Skills!N15=TRUE,(Skills!L15/10)*(E590/1000),Skills!L15/10)+Skills!O15</f>
        <v/>
      </c>
      <c r="G590">
        <f>Skills!G15*IF(Skills!H15&gt;0,Skills!I15/Skills!H15,1)</f>
        <v/>
      </c>
      <c r="H590">
        <f>1-(1-Skills!J15/100)^Skills!K15</f>
        <v/>
      </c>
      <c r="I590" t="inlineStr">
        <is>
          <t>1</t>
        </is>
      </c>
      <c r="J590" t="inlineStr"/>
      <c r="K590" t="inlineStr"/>
      <c r="L590" t="inlineStr"/>
      <c r="M590" t="inlineStr"/>
      <c r="N590" t="inlineStr"/>
      <c r="O590">
        <f>(1-Summary!$B$11)*T590+Summary!$B$11*V590</f>
        <v/>
      </c>
      <c r="P590">
        <f>IF(B614=0,0,O590/B614)</f>
        <v/>
      </c>
      <c r="Q590">
        <f>IFERROR(1/(IF(Inputs!$B$38="pvp",15,MAX(0.1,Skills!D15-IF(Skills!E15=TRUE,Inputs!$B$32,0)))*(1-IF(AND(ArtifactsInput!$M$27,Inputs!$B$4="Chapter Hunt"),CHOOSE(ArtifactsInput!$N$27+1,20,24,28,32,36,40),0)/100)),0)</f>
        <v/>
      </c>
      <c r="R590">
        <f>IF(AND(Inputs!$B$38&lt;&gt;"pvp",Inputs!$B$43&gt;0),IF(Inputs!$B$43&lt;=0,0,(INT(Inputs!$B$43/(IF(Inputs!$B$38="pvp",15,MAX(0.1,Skills!D15-IF(Skills!E15=TRUE,Inputs!$B$32,0)))*(1-IF(AND(ArtifactsInput!$M$27,Inputs!$B$4="Chapter Hunt"),CHOOSE(ArtifactsInput!$N$27+1,20,24,28,32,36,40),0)/100)))+1)),0)</f>
        <v/>
      </c>
      <c r="S590">
        <f>IFERROR(O590/N590,0)</f>
        <v/>
      </c>
      <c r="T590" t="n">
        <v>0</v>
      </c>
      <c r="V590" t="n">
        <v>0</v>
      </c>
    </row>
    <row r="591">
      <c r="A591">
        <f>Skills!A16</f>
        <v/>
      </c>
      <c r="B591">
        <f>Skills!B16</f>
        <v/>
      </c>
      <c r="C591">
        <f>Inputs!$B$3&gt;=66</f>
        <v/>
      </c>
      <c r="D591">
        <f>IF(Skills!C16=1,60+Inputs!$B$25+Inputs!$B$29,IF(Skills!C16=2,90+Inputs!$B$26+Inputs!$B$29,IF(Skills!C16=3,120+Inputs!$B$27+Inputs!$B$29,MAX(0,(Inputs!$B$3-100)*3)+Inputs!$B$28+Inputs!$B$29)))</f>
        <v/>
      </c>
      <c r="E591">
        <f>INDEX(FactorTable!$B$2:$Y$301, MATCH(ROUND(MIN(300,MAX(1,D591)),0), FactorTable!$A$2:$A$301,0), Skills!M16+1)</f>
        <v/>
      </c>
      <c r="F591">
        <f>IF(Skills!N16=TRUE,(Skills!L16/10)*(E591/1000),Skills!L16/10)+Skills!O16</f>
        <v/>
      </c>
      <c r="G591">
        <f>Skills!G16*IF(Skills!H16&gt;0,Skills!I16/Skills!H16,1)</f>
        <v/>
      </c>
      <c r="H591">
        <f>1-(1-Skills!J16/100)^Skills!K16</f>
        <v/>
      </c>
      <c r="I591" t="inlineStr">
        <is>
          <t>1</t>
        </is>
      </c>
      <c r="J591" t="inlineStr"/>
      <c r="K591" t="inlineStr"/>
      <c r="L591" t="inlineStr"/>
      <c r="M591" t="inlineStr"/>
      <c r="N591" t="inlineStr"/>
      <c r="O591">
        <f>(1-Summary!$B$11)*T591+Summary!$B$11*V591</f>
        <v/>
      </c>
      <c r="P591">
        <f>IF(B614=0,0,O591/B614)</f>
        <v/>
      </c>
      <c r="Q591">
        <f>IFERROR(1/(IF(Inputs!$B$38="pvp",15,MAX(0.1,Skills!D16-IF(Skills!E16=TRUE,Inputs!$B$32,0)))*(1-IF(AND(ArtifactsInput!$M$27,Inputs!$B$4="Chapter Hunt"),CHOOSE(ArtifactsInput!$N$27+1,20,24,28,32,36,40),0)/100)),0)</f>
        <v/>
      </c>
      <c r="R591">
        <f>IF(AND(Inputs!$B$38&lt;&gt;"pvp",Inputs!$B$43&gt;0),IF(Inputs!$B$43&lt;=0,0,(INT(Inputs!$B$43/(IF(Inputs!$B$38="pvp",15,MAX(0.1,Skills!D16-IF(Skills!E16=TRUE,Inputs!$B$32,0)))*(1-IF(AND(ArtifactsInput!$M$27,Inputs!$B$4="Chapter Hunt"),CHOOSE(ArtifactsInput!$N$27+1,20,24,28,32,36,40),0)/100)))+1)),0)</f>
        <v/>
      </c>
      <c r="S591">
        <f>IFERROR(O591/N591,0)</f>
        <v/>
      </c>
      <c r="T591" t="n">
        <v>0</v>
      </c>
      <c r="V591" t="n">
        <v>0</v>
      </c>
    </row>
    <row r="592">
      <c r="A592">
        <f>Skills!A17</f>
        <v/>
      </c>
      <c r="B592">
        <f>Skills!B17</f>
        <v/>
      </c>
      <c r="C592">
        <f>Inputs!$B$3&gt;=115</f>
        <v/>
      </c>
      <c r="D592">
        <f>IF(Skills!C17=1,60+Inputs!$B$25+Inputs!$B$29,IF(Skills!C17=2,90+Inputs!$B$26+Inputs!$B$29,IF(Skills!C17=3,120+Inputs!$B$27+Inputs!$B$29,MAX(0,(Inputs!$B$3-100)*3)+Inputs!$B$28+Inputs!$B$29)))</f>
        <v/>
      </c>
      <c r="E592">
        <f>INDEX(FactorTable!$B$2:$Y$301, MATCH(ROUND(MIN(300,MAX(1,D592)),0), FactorTable!$A$2:$A$301,0), Skills!M17+1)</f>
        <v/>
      </c>
      <c r="F592">
        <f>IF(Skills!N17=TRUE,(Skills!L17/10)*(E592/1000),Skills!L17/10)+Skills!O17</f>
        <v/>
      </c>
      <c r="G592">
        <f>Skills!G17*IF(Skills!H17&gt;0,Skills!I17/Skills!H17,1)</f>
        <v/>
      </c>
      <c r="H592">
        <f>1-(1-Skills!J17/100)^Skills!K17</f>
        <v/>
      </c>
      <c r="I592" t="inlineStr">
        <is>
          <t>1</t>
        </is>
      </c>
      <c r="J592" t="inlineStr"/>
      <c r="K592" t="inlineStr"/>
      <c r="L592" t="inlineStr"/>
      <c r="M592" t="inlineStr"/>
      <c r="N592" t="inlineStr"/>
      <c r="O592">
        <f>(1-Summary!$B$11)*T592+Summary!$B$11*V592</f>
        <v/>
      </c>
      <c r="P592">
        <f>IF(B614=0,0,O592/B614)</f>
        <v/>
      </c>
      <c r="Q592">
        <f>IFERROR(1/(IF(Inputs!$B$38="pvp",15,MAX(0.1,Skills!D17-IF(Skills!E17=TRUE,Inputs!$B$32,0)))*(1-IF(AND(ArtifactsInput!$M$27,Inputs!$B$4="Chapter Hunt"),CHOOSE(ArtifactsInput!$N$27+1,20,24,28,32,36,40),0)/100)),0)</f>
        <v/>
      </c>
      <c r="R592">
        <f>IF(AND(Inputs!$B$38&lt;&gt;"pvp",Inputs!$B$43&gt;0),IF(Inputs!$B$43&lt;=0,0,(INT(Inputs!$B$43/(IF(Inputs!$B$38="pvp",15,MAX(0.1,Skills!D17-IF(Skills!E17=TRUE,Inputs!$B$32,0)))*(1-IF(AND(ArtifactsInput!$M$27,Inputs!$B$4="Chapter Hunt"),CHOOSE(ArtifactsInput!$N$27+1,20,24,28,32,36,40),0)/100)))+1)),0)</f>
        <v/>
      </c>
      <c r="S592">
        <f>IFERROR(O592/N592,0)</f>
        <v/>
      </c>
      <c r="T592" t="n">
        <v>0</v>
      </c>
      <c r="V592" t="n">
        <v>0</v>
      </c>
    </row>
    <row r="593">
      <c r="A593">
        <f>Skills!A18</f>
        <v/>
      </c>
      <c r="B593">
        <f>Skills!B18</f>
        <v/>
      </c>
      <c r="C593">
        <f>Inputs!$B$3&gt;=115</f>
        <v/>
      </c>
      <c r="D593">
        <f>IF(Skills!C18=1,60+Inputs!$B$25+Inputs!$B$29,IF(Skills!C18=2,90+Inputs!$B$26+Inputs!$B$29,IF(Skills!C18=3,120+Inputs!$B$27+Inputs!$B$29,MAX(0,(Inputs!$B$3-100)*3)+Inputs!$B$28+Inputs!$B$29)))</f>
        <v/>
      </c>
      <c r="E593">
        <f>INDEX(FactorTable!$B$2:$Y$301, MATCH(ROUND(MIN(300,MAX(1,D593)),0), FactorTable!$A$2:$A$301,0), Skills!M18+1)</f>
        <v/>
      </c>
      <c r="F593">
        <f>IF(Skills!N18=TRUE,(Skills!L18/10)*(E593/1000),Skills!L18/10)+Skills!O18</f>
        <v/>
      </c>
      <c r="G593">
        <f>Skills!G18*IF(Skills!H18&gt;0,Skills!I18/Skills!H18,1)</f>
        <v/>
      </c>
      <c r="H593">
        <f>1-(1-Skills!J18/100)^Skills!K18</f>
        <v/>
      </c>
      <c r="I593" t="inlineStr">
        <is>
          <t>1</t>
        </is>
      </c>
      <c r="J593" t="inlineStr"/>
      <c r="K593" t="inlineStr"/>
      <c r="L593" t="inlineStr"/>
      <c r="M593" t="inlineStr"/>
      <c r="N593" t="inlineStr"/>
      <c r="O593">
        <f>(1-Summary!$B$11)*T593+Summary!$B$11*V593</f>
        <v/>
      </c>
      <c r="P593">
        <f>IF(B614=0,0,O593/B614)</f>
        <v/>
      </c>
      <c r="Q593">
        <f>IFERROR(1/(IF(Inputs!$B$38="pvp",15,MAX(0.1,Skills!D18-IF(Skills!E18=TRUE,Inputs!$B$32,0)))*(1-IF(AND(ArtifactsInput!$M$27,Inputs!$B$4="Chapter Hunt"),CHOOSE(ArtifactsInput!$N$27+1,20,24,28,32,36,40),0)/100)),0)</f>
        <v/>
      </c>
      <c r="R593">
        <f>IF(AND(Inputs!$B$38&lt;&gt;"pvp",Inputs!$B$43&gt;0),IF(Inputs!$B$43&lt;=0,0,(INT(Inputs!$B$43/(IF(Inputs!$B$38="pvp",15,MAX(0.1,Skills!D18-IF(Skills!E18=TRUE,Inputs!$B$32,0)))*(1-IF(AND(ArtifactsInput!$M$27,Inputs!$B$4="Chapter Hunt"),CHOOSE(ArtifactsInput!$N$27+1,20,24,28,32,36,40),0)/100)))+1)),0)</f>
        <v/>
      </c>
      <c r="S593">
        <f>IFERROR(O593/N593,0)</f>
        <v/>
      </c>
      <c r="T593" t="n">
        <v>0</v>
      </c>
      <c r="V593" t="n">
        <v>0</v>
      </c>
    </row>
    <row r="594">
      <c r="A594">
        <f>Skills!A19</f>
        <v/>
      </c>
      <c r="B594">
        <f>Skills!B19</f>
        <v/>
      </c>
      <c r="C594">
        <f>TRUE</f>
        <v/>
      </c>
      <c r="D594">
        <f>IF(Skills!C19=1,60+Inputs!$B$25+Inputs!$B$29,IF(Skills!C19=2,90+Inputs!$B$26+Inputs!$B$29,IF(Skills!C19=3,120+Inputs!$B$27+Inputs!$B$29,MAX(0,(Inputs!$B$3-100)*3)+Inputs!$B$28+Inputs!$B$29)))</f>
        <v/>
      </c>
      <c r="E594">
        <f>INDEX(FactorTable!$B$2:$Y$301, MATCH(ROUND(MIN(300,MAX(1,D594)),0), FactorTable!$A$2:$A$301,0), Skills!M19+1)</f>
        <v/>
      </c>
      <c r="F594">
        <f>IF(Skills!N19=TRUE,(Skills!L19/10)*(E594/1000),Skills!L19/10)+Skills!O19</f>
        <v/>
      </c>
      <c r="G594">
        <f>Skills!G19*IF(Skills!H19&gt;0,Skills!I19/Skills!H19,1)</f>
        <v/>
      </c>
      <c r="H594">
        <f>1-(1-Skills!J19/100)^Skills!K19</f>
        <v/>
      </c>
      <c r="I594" t="inlineStr">
        <is>
          <t>1</t>
        </is>
      </c>
      <c r="J594" t="inlineStr"/>
      <c r="K594" t="inlineStr"/>
      <c r="L594" t="inlineStr"/>
      <c r="M594" t="inlineStr"/>
      <c r="N594" t="inlineStr"/>
      <c r="O594">
        <f>(1-Summary!$B$11)*T594+Summary!$B$11*V594</f>
        <v/>
      </c>
      <c r="P594">
        <f>IF(B614=0,0,O594/B614)</f>
        <v/>
      </c>
      <c r="Q594">
        <f>IFERROR(1/(IF(Inputs!$B$38="pvp",15,MAX(0.1,Skills!D19-IF(Skills!E19=TRUE,Inputs!$B$32,0)))*(1-IF(AND(ArtifactsInput!$M$27,Inputs!$B$4="Chapter Hunt"),CHOOSE(ArtifactsInput!$N$27+1,20,24,28,32,36,40),0)/100)),0)</f>
        <v/>
      </c>
      <c r="R594">
        <f>IF(AND(Inputs!$B$38&lt;&gt;"pvp",Inputs!$B$43&gt;0),IF(Inputs!$B$43&lt;=0,0,(INT(Inputs!$B$43/(IF(Inputs!$B$38="pvp",15,MAX(0.1,Skills!D19-IF(Skills!E19=TRUE,Inputs!$B$32,0)))*(1-IF(AND(ArtifactsInput!$M$27,Inputs!$B$4="Chapter Hunt"),CHOOSE(ArtifactsInput!$N$27+1,20,24,28,32,36,40),0)/100)))+1)),0)</f>
        <v/>
      </c>
      <c r="S594">
        <f>IFERROR(O594/N594,0)</f>
        <v/>
      </c>
      <c r="T594" t="n">
        <v>0</v>
      </c>
      <c r="V594" t="n">
        <v>0</v>
      </c>
    </row>
    <row r="595">
      <c r="A595">
        <f>Skills!A20</f>
        <v/>
      </c>
      <c r="B595">
        <f>Skills!B20</f>
        <v/>
      </c>
      <c r="C595">
        <f>Inputs!$B$3&gt;=33</f>
        <v/>
      </c>
      <c r="D595">
        <f>IF(Skills!C20=1,60+Inputs!$B$25+Inputs!$B$29,IF(Skills!C20=2,90+Inputs!$B$26+Inputs!$B$29,IF(Skills!C20=3,120+Inputs!$B$27+Inputs!$B$29,MAX(0,(Inputs!$B$3-100)*3)+Inputs!$B$28+Inputs!$B$29)))</f>
        <v/>
      </c>
      <c r="E595">
        <f>INDEX(FactorTable!$B$2:$Y$301, MATCH(ROUND(MIN(300,MAX(1,D595)),0), FactorTable!$A$2:$A$301,0), Skills!M20+1)</f>
        <v/>
      </c>
      <c r="F595">
        <f>IF(Skills!N20=TRUE,(Skills!L20/10)*(E595/1000),Skills!L20/10)+Skills!O20</f>
        <v/>
      </c>
      <c r="G595">
        <f>Skills!G20*IF(Skills!H20&gt;0,Skills!I20/Skills!H20,1)</f>
        <v/>
      </c>
      <c r="H595">
        <f>1-(1-Skills!J20/100)^Skills!K20</f>
        <v/>
      </c>
      <c r="I595" t="inlineStr">
        <is>
          <t>1</t>
        </is>
      </c>
      <c r="J595" t="inlineStr"/>
      <c r="K595" t="inlineStr"/>
      <c r="L595" t="inlineStr"/>
      <c r="M595" t="inlineStr"/>
      <c r="N595" t="inlineStr"/>
      <c r="O595">
        <f>(1-Summary!$B$11)*T595+Summary!$B$11*V595</f>
        <v/>
      </c>
      <c r="P595">
        <f>IF(B614=0,0,O595/B614)</f>
        <v/>
      </c>
      <c r="Q595" t="n">
        <v>0</v>
      </c>
      <c r="R595" t="n">
        <v>0</v>
      </c>
      <c r="S595">
        <f>IFERROR(O595/N595,0)</f>
        <v/>
      </c>
      <c r="T595" t="n">
        <v>0</v>
      </c>
      <c r="V595" t="n">
        <v>0</v>
      </c>
    </row>
    <row r="596">
      <c r="A596">
        <f>Skills!A21</f>
        <v/>
      </c>
      <c r="B596">
        <f>Skills!B21</f>
        <v/>
      </c>
      <c r="C596">
        <f>Inputs!$B$3&gt;=38</f>
        <v/>
      </c>
      <c r="D596">
        <f>IF(Skills!C21=1,60+Inputs!$B$25+Inputs!$B$29,IF(Skills!C21=2,90+Inputs!$B$26+Inputs!$B$29,IF(Skills!C21=3,120+Inputs!$B$27+Inputs!$B$29,MAX(0,(Inputs!$B$3-100)*3)+Inputs!$B$28+Inputs!$B$29)))</f>
        <v/>
      </c>
      <c r="E596">
        <f>INDEX(FactorTable!$B$2:$Y$301, MATCH(ROUND(MIN(300,MAX(1,D596)),0), FactorTable!$A$2:$A$301,0), Skills!M21+1)</f>
        <v/>
      </c>
      <c r="F596">
        <f>IF(Skills!N21=TRUE,(Skills!L21/10)*(E596/1000),Skills!L21/10)+Skills!O21</f>
        <v/>
      </c>
      <c r="G596">
        <f>Skills!G21*IF(Skills!H21&gt;0,Skills!I21/Skills!H21,1)</f>
        <v/>
      </c>
      <c r="H596">
        <f>1-(1-Skills!J21/100)^Skills!K21</f>
        <v/>
      </c>
      <c r="I596" t="inlineStr">
        <is>
          <t>1</t>
        </is>
      </c>
      <c r="J596" t="inlineStr"/>
      <c r="K596" t="inlineStr"/>
      <c r="L596" t="inlineStr"/>
      <c r="M596" t="inlineStr"/>
      <c r="N596" t="inlineStr"/>
      <c r="O596">
        <f>(1-Summary!$B$11)*T596+Summary!$B$11*V596</f>
        <v/>
      </c>
      <c r="P596">
        <f>IF(B614=0,0,O596/B614)</f>
        <v/>
      </c>
      <c r="Q596" t="n">
        <v>0</v>
      </c>
      <c r="R596" t="n">
        <v>0</v>
      </c>
      <c r="S596">
        <f>IFERROR(O596/N596,0)</f>
        <v/>
      </c>
      <c r="T596" t="n">
        <v>0</v>
      </c>
      <c r="V596" t="n">
        <v>0</v>
      </c>
    </row>
    <row r="597">
      <c r="A597">
        <f>Skills!A22</f>
        <v/>
      </c>
      <c r="B597">
        <f>Skills!B22</f>
        <v/>
      </c>
      <c r="C597">
        <f>Inputs!$B$3&gt;=43</f>
        <v/>
      </c>
      <c r="D597">
        <f>IF(Skills!C22=1,60+Inputs!$B$25+Inputs!$B$29,IF(Skills!C22=2,90+Inputs!$B$26+Inputs!$B$29,IF(Skills!C22=3,120+Inputs!$B$27+Inputs!$B$29,MAX(0,(Inputs!$B$3-100)*3)+Inputs!$B$28+Inputs!$B$29)))</f>
        <v/>
      </c>
      <c r="E597">
        <f>INDEX(FactorTable!$B$2:$Y$301, MATCH(ROUND(MIN(300,MAX(1,D597)),0), FactorTable!$A$2:$A$301,0), Skills!M22+1)</f>
        <v/>
      </c>
      <c r="F597">
        <f>IF(Skills!N22=TRUE,(Skills!L22/10)*(E597/1000),Skills!L22/10)+Skills!O22</f>
        <v/>
      </c>
      <c r="G597">
        <f>Skills!G22*IF(Skills!H22&gt;0,Skills!I22/Skills!H22,1)</f>
        <v/>
      </c>
      <c r="H597">
        <f>1-(1-Skills!J22/100)^Skills!K22</f>
        <v/>
      </c>
      <c r="I597" t="inlineStr">
        <is>
          <t>1</t>
        </is>
      </c>
      <c r="J597" t="inlineStr"/>
      <c r="K597" t="inlineStr"/>
      <c r="L597" t="inlineStr"/>
      <c r="M597" t="inlineStr"/>
      <c r="N597" t="inlineStr"/>
      <c r="O597">
        <f>(1-Summary!$B$11)*T597+Summary!$B$11*V597</f>
        <v/>
      </c>
      <c r="P597">
        <f>IF(B614=0,0,O597/B614)</f>
        <v/>
      </c>
      <c r="Q597" t="n">
        <v>0</v>
      </c>
      <c r="R597" t="n">
        <v>0</v>
      </c>
      <c r="S597">
        <f>IFERROR(O597/N597,0)</f>
        <v/>
      </c>
      <c r="T597" t="n">
        <v>0</v>
      </c>
      <c r="V597" t="n">
        <v>0</v>
      </c>
    </row>
    <row r="598">
      <c r="A598">
        <f>Skills!A23</f>
        <v/>
      </c>
      <c r="B598">
        <f>Skills!B23</f>
        <v/>
      </c>
      <c r="C598">
        <f>Inputs!$B$3&gt;=120</f>
        <v/>
      </c>
      <c r="D598">
        <f>IF(Skills!C23=1,60+Inputs!$B$25+Inputs!$B$29,IF(Skills!C23=2,90+Inputs!$B$26+Inputs!$B$29,IF(Skills!C23=3,120+Inputs!$B$27+Inputs!$B$29,MAX(0,(Inputs!$B$3-100)*3)+Inputs!$B$28+Inputs!$B$29)))</f>
        <v/>
      </c>
      <c r="E598">
        <f>INDEX(FactorTable!$B$2:$Y$301, MATCH(ROUND(MIN(300,MAX(1,D598)),0), FactorTable!$A$2:$A$301,0), Skills!M23+1)</f>
        <v/>
      </c>
      <c r="F598">
        <f>IF(Skills!N23=TRUE,(Skills!L23/10)*(E598/1000),Skills!L23/10)+Skills!O23</f>
        <v/>
      </c>
      <c r="G598">
        <f>Skills!G23*IF(Skills!H23&gt;0,Skills!I23/Skills!H23,1)</f>
        <v/>
      </c>
      <c r="H598">
        <f>1-(1-Skills!J23/100)^Skills!K23</f>
        <v/>
      </c>
      <c r="I598" t="inlineStr">
        <is>
          <t>1</t>
        </is>
      </c>
      <c r="J598" t="inlineStr"/>
      <c r="K598" t="inlineStr"/>
      <c r="L598" t="inlineStr"/>
      <c r="M598" t="inlineStr"/>
      <c r="N598" t="inlineStr"/>
      <c r="O598">
        <f>(1-Summary!$B$11)*T598+Summary!$B$11*V598</f>
        <v/>
      </c>
      <c r="P598">
        <f>IF(B614=0,0,O598/B614)</f>
        <v/>
      </c>
      <c r="Q598" t="n">
        <v>0</v>
      </c>
      <c r="R598" t="n">
        <v>0</v>
      </c>
      <c r="S598">
        <f>IFERROR(O598/N598,0)</f>
        <v/>
      </c>
      <c r="T598" t="n">
        <v>0</v>
      </c>
      <c r="V598" t="n">
        <v>0</v>
      </c>
    </row>
    <row r="599">
      <c r="A599">
        <f>Skills!A24</f>
        <v/>
      </c>
      <c r="B599">
        <f>Skills!B24</f>
        <v/>
      </c>
      <c r="C599">
        <f>Inputs!$B$3&gt;=120</f>
        <v/>
      </c>
      <c r="D599">
        <f>IF(Skills!C24=1,60+Inputs!$B$25+Inputs!$B$29,IF(Skills!C24=2,90+Inputs!$B$26+Inputs!$B$29,IF(Skills!C24=3,120+Inputs!$B$27+Inputs!$B$29,MAX(0,(Inputs!$B$3-100)*3)+Inputs!$B$28+Inputs!$B$29)))</f>
        <v/>
      </c>
      <c r="E599">
        <f>INDEX(FactorTable!$B$2:$Y$301, MATCH(ROUND(MIN(300,MAX(1,D599)),0), FactorTable!$A$2:$A$301,0), Skills!M24+1)</f>
        <v/>
      </c>
      <c r="F599">
        <f>IF(Skills!N24=TRUE,(Skills!L24/10)*(E599/1000),Skills!L24/10)+Skills!O24</f>
        <v/>
      </c>
      <c r="G599">
        <f>Skills!G24*IF(Skills!H24&gt;0,Skills!I24/Skills!H24,1)</f>
        <v/>
      </c>
      <c r="H599">
        <f>1-(1-Skills!J24/100)^Skills!K24</f>
        <v/>
      </c>
      <c r="I599" t="inlineStr">
        <is>
          <t>1</t>
        </is>
      </c>
      <c r="J599" t="inlineStr"/>
      <c r="K599" t="inlineStr"/>
      <c r="L599" t="inlineStr"/>
      <c r="M599" t="inlineStr"/>
      <c r="N599" t="inlineStr"/>
      <c r="O599">
        <f>(1-Summary!$B$11)*T599+Summary!$B$11*V599</f>
        <v/>
      </c>
      <c r="P599">
        <f>IF(B614=0,0,O599/B614)</f>
        <v/>
      </c>
      <c r="Q599" t="n">
        <v>0</v>
      </c>
      <c r="R599" t="n">
        <v>0</v>
      </c>
      <c r="S599">
        <f>IFERROR(O599/N599,0)</f>
        <v/>
      </c>
      <c r="T599" t="n">
        <v>0</v>
      </c>
      <c r="V599" t="n">
        <v>0</v>
      </c>
    </row>
    <row r="600">
      <c r="A600">
        <f>Skills!A25</f>
        <v/>
      </c>
      <c r="B600">
        <f>Skills!B25</f>
        <v/>
      </c>
      <c r="C600">
        <f>Inputs!$B$3&gt;=125</f>
        <v/>
      </c>
      <c r="D600">
        <f>IF(Skills!C25=1,60+Inputs!$B$25+Inputs!$B$29,IF(Skills!C25=2,90+Inputs!$B$26+Inputs!$B$29,IF(Skills!C25=3,120+Inputs!$B$27+Inputs!$B$29,MAX(0,(Inputs!$B$3-100)*3)+Inputs!$B$28+Inputs!$B$29)))</f>
        <v/>
      </c>
      <c r="E600">
        <f>INDEX(FactorTable!$B$2:$Y$301, MATCH(ROUND(MIN(300,MAX(1,D600)),0), FactorTable!$A$2:$A$301,0), Skills!M25+1)</f>
        <v/>
      </c>
      <c r="F600">
        <f>IF(Skills!N25=TRUE,(Skills!L25/10)*(E600/1000),Skills!L25/10)+Skills!O25</f>
        <v/>
      </c>
      <c r="G600">
        <f>Skills!G25*IF(Skills!H25&gt;0,Skills!I25/Skills!H25,1)</f>
        <v/>
      </c>
      <c r="H600">
        <f>1-(1-Skills!J25/100)^Skills!K25</f>
        <v/>
      </c>
      <c r="I600" t="inlineStr">
        <is>
          <t>1</t>
        </is>
      </c>
      <c r="J600" t="inlineStr"/>
      <c r="K600" t="inlineStr"/>
      <c r="L600" t="inlineStr"/>
      <c r="M600" t="inlineStr"/>
      <c r="N600" t="inlineStr"/>
      <c r="O600">
        <f>(1-Summary!$B$11)*T600+Summary!$B$11*V600</f>
        <v/>
      </c>
      <c r="P600">
        <f>IF(B614=0,0,O600/B614)</f>
        <v/>
      </c>
      <c r="Q600" t="n">
        <v>0</v>
      </c>
      <c r="R600" t="n">
        <v>0</v>
      </c>
      <c r="S600">
        <f>IFERROR(O600/N600,0)</f>
        <v/>
      </c>
      <c r="T600" t="n">
        <v>0</v>
      </c>
      <c r="V600" t="n">
        <v>0</v>
      </c>
    </row>
    <row r="601">
      <c r="A601">
        <f>Skills!A26</f>
        <v/>
      </c>
      <c r="B601">
        <f>Skills!B26</f>
        <v/>
      </c>
      <c r="C601">
        <f>Inputs!$B$3&gt;=72</f>
        <v/>
      </c>
      <c r="D601">
        <f>IF(Skills!C26=1,60+Inputs!$B$25+Inputs!$B$29,IF(Skills!C26=2,90+Inputs!$B$26+Inputs!$B$29,IF(Skills!C26=3,120+Inputs!$B$27+Inputs!$B$29,MAX(0,(Inputs!$B$3-100)*3)+Inputs!$B$28+Inputs!$B$29)))</f>
        <v/>
      </c>
      <c r="E601">
        <f>INDEX(FactorTable!$B$2:$Y$301, MATCH(ROUND(MIN(300,MAX(1,D601)),0), FactorTable!$A$2:$A$301,0), Skills!M26+1)</f>
        <v/>
      </c>
      <c r="F601">
        <f>IF(Skills!N26=TRUE,(Skills!L26/10)*(E601/1000),Skills!L26/10)+Skills!O26</f>
        <v/>
      </c>
      <c r="G601">
        <f>Skills!G26*IF(Skills!H26&gt;0,Skills!I26/Skills!H26,1)</f>
        <v/>
      </c>
      <c r="H601">
        <f>1-(1-Skills!J26/100)^Skills!K26</f>
        <v/>
      </c>
      <c r="I601" t="inlineStr">
        <is>
          <t>1</t>
        </is>
      </c>
      <c r="J601" t="inlineStr"/>
      <c r="K601" t="inlineStr"/>
      <c r="L601" t="inlineStr"/>
      <c r="M601" t="inlineStr"/>
      <c r="N601" t="inlineStr"/>
      <c r="O601">
        <f>(1-Summary!$B$11)*T601+Summary!$B$11*V601</f>
        <v/>
      </c>
      <c r="P601">
        <f>IF(B614=0,0,O601/B614)</f>
        <v/>
      </c>
      <c r="Q601" t="n">
        <v>0</v>
      </c>
      <c r="R601" t="n">
        <v>0</v>
      </c>
      <c r="S601">
        <f>IFERROR(O601/N601,0)</f>
        <v/>
      </c>
      <c r="T601" t="n">
        <v>0</v>
      </c>
      <c r="V601" t="n">
        <v>0</v>
      </c>
    </row>
    <row r="603">
      <c r="A603" t="inlineStr">
        <is>
          <t>Attack% Bucket Multiplier</t>
        </is>
      </c>
      <c r="B603">
        <f>(1+(((C588=TRUE)*F588*IF(Inputs!$B$3&gt;=110,7,5))+((C590=TRUE)*F590*IF(AND(Inputs!$B$38&lt;&gt;"pvp",Inputs!$B$43&gt;0),(((R590-1)*(Skills!T15*(1+(Inputs!$B$34+(ArtifactsInput!$M$7-ArtifactsInput!$M$7)*CHOOSE(ArtifactsInput!$N$7+1,6,7.2,8.4,9.6,10.8,12))/100))+MIN((Skills!T15*(1+(Inputs!$B$34+(ArtifactsInput!$M$7-ArtifactsInput!$M$7)*CHOOSE(ArtifactsInput!$N$7+1,6,7.2,8.4,9.6,10.8,12))/100)),MAX(0,Inputs!$B$43-((R590-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04">
      <c r="A604" t="inlineStr">
        <is>
          <t>Global Crit Rate Bonus %</t>
        </is>
      </c>
      <c r="B604" t="n">
        <v>0</v>
      </c>
    </row>
    <row r="605">
      <c r="A605" t="inlineStr">
        <is>
          <t>Attack Speed Buff Bonus %</t>
        </is>
      </c>
      <c r="B605">
        <f>((C594=TRUE)*F594*IF(AND(Inputs!$B$38&lt;&gt;"pvp",Inputs!$B$43&gt;0),(((R594-1)*(Skills!T19*(1+(Inputs!$B$34+(ArtifactsInput!$M$7-ArtifactsInput!$M$7)*CHOOSE(ArtifactsInput!$N$7+1,6,7.2,8.4,9.6,10.8,12))/100))+MIN((Skills!T19*(1+(Inputs!$B$34+(ArtifactsInput!$M$7-ArtifactsInput!$M$7)*CHOOSE(ArtifactsInput!$N$7+1,6,7.2,8.4,9.6,10.8,12))/100)),MAX(0,Inputs!$B$43-((R594-1)*Skills!D19))))/Inputs!$B$43),IF(Inputs!$B$38="pvp",MIN((Skills!T19*(1+(Inputs!$B$34+(ArtifactsInput!$M$7-ArtifactsInput!$M$7)*CHOOSE(ArtifactsInput!$N$7+1,6,7.2,8.4,9.6,10.8,12))/100)),15)/15,(Skills!T19*(1+(Inputs!$B$34+(ArtifactsInput!$M$7-ArtifactsInput!$M$7)*CHOOSE(ArtifactsInput!$N$7+1,6,7.2,8.4,9.6,10.8,12))/100))/Skills!D19)))</f>
        <v/>
      </c>
    </row>
    <row r="606">
      <c r="A606" t="inlineStr">
        <is>
          <t>Actions Per Second</t>
        </is>
      </c>
      <c r="B606">
        <f>1+MIN(150,150*(1-(1-(((1-(1-Inputs!$B$11/150)*(1-1/150))*150)+((C595=TRUE)*(F595-Calc!F20)))/150)*(1-B605/150)))/100</f>
        <v/>
      </c>
    </row>
    <row r="607">
      <c r="A607" t="inlineStr">
        <is>
          <t>Skill + Buff Cast Rate</t>
        </is>
      </c>
      <c r="B607">
        <f>IF(AND(Inputs!$B$38&lt;&gt;"pvp",Inputs!$B$43&gt;0),SUMPRODUCT((Skills!E2:E26=TRUE)*(C577:C601=TRUE)*R577:R601*Skills!F2:F26)/Inputs!$B$43,SUMPRODUCT((Skills!E2:E26=TRUE)*(C577:C601=TRUE)*Q577:Q601*Skills!F2:F26))</f>
        <v/>
      </c>
    </row>
    <row r="608">
      <c r="A608" t="inlineStr">
        <is>
          <t>Raging Blow Casts Per Second</t>
        </is>
      </c>
      <c r="B608">
        <f>MAX(0,B606-B607)</f>
        <v/>
      </c>
    </row>
    <row r="609">
      <c r="A609" t="inlineStr">
        <is>
          <t>Global Critical Damage Bonus % (Enrage)</t>
        </is>
      </c>
      <c r="B609">
        <f>((C593=TRUE)*F593*IF(AND(Inputs!$B$38&lt;&gt;"pvp",Inputs!$B$43&gt;0),(((R593-1)*(Skills!T18*(1+(Inputs!$B$34+(ArtifactsInput!$M$7-ArtifactsInput!$M$7)*CHOOSE(ArtifactsInput!$N$7+1,6,7.2,8.4,9.6,10.8,12))/100))+MIN((Skills!T18*(1+(Inputs!$B$34+(ArtifactsInput!$M$7-ArtifactsInput!$M$7)*CHOOSE(ArtifactsInput!$N$7+1,6,7.2,8.4,9.6,10.8,12))/100)),MAX(0,Inputs!$B$43-((R593-1)*Skills!D18))))/Inputs!$B$43),IF(Inputs!$B$38="pvp",MIN((Skills!T18*(1+(Inputs!$B$34+(ArtifactsInput!$M$7-ArtifactsInput!$M$7)*CHOOSE(ArtifactsInput!$N$7+1,6,7.2,8.4,9.6,10.8,12))/100)),15)/15,(Skills!T18*(1+(Inputs!$B$34+(ArtifactsInput!$M$7-ArtifactsInput!$M$7)*CHOOSE(ArtifactsInput!$N$7+1,6,7.2,8.4,9.6,10.8,12))/100))/Skills!D18)))</f>
        <v/>
      </c>
    </row>
    <row r="610">
      <c r="A610" t="inlineStr">
        <is>
          <t>Global Final Damage Bonus % (Enrage + Combo Synergy)</t>
        </is>
      </c>
      <c r="B610">
        <f>((C592=TRUE)*F592*IF(AND(Inputs!$B$38&lt;&gt;"pvp",Inputs!$B$43&gt;0),(((R592-1)*(Skills!T17*(1+(Inputs!$B$34+(ArtifactsInput!$M$7-ArtifactsInput!$M$7)*CHOOSE(ArtifactsInput!$N$7+1,6,7.2,8.4,9.6,10.8,12))/100))+MIN((Skills!T17*(1+(Inputs!$B$34+(ArtifactsInput!$M$7-ArtifactsInput!$M$7)*CHOOSE(ArtifactsInput!$N$7+1,6,7.2,8.4,9.6,10.8,12))/100)),MAX(0,Inputs!$B$43-((R592-1)*Skills!D17))))/Inputs!$B$43),IF(Inputs!$B$38="pvp",MIN((Skills!T17*(1+(Inputs!$B$34+(ArtifactsInput!$M$7-ArtifactsInput!$M$7)*CHOOSE(ArtifactsInput!$N$7+1,6,7.2,8.4,9.6,10.8,12))/100)),15)/15,(Skills!T17*(1+(Inputs!$B$34+(ArtifactsInput!$M$7-ArtifactsInput!$M$7)*CHOOSE(ArtifactsInput!$N$7+1,6,7.2,8.4,9.6,10.8,12))/100))/Skills!D17)))+((C589=TRUE)*F589*IF(Inputs!$B$3&gt;=110,7,5))</f>
        <v/>
      </c>
    </row>
    <row r="611">
      <c r="A611" t="inlineStr">
        <is>
          <t>Buff-Casting Startup Delay (s, fixed-duration only)</t>
        </is>
      </c>
      <c r="B611">
        <f>IF(AND(Inputs!$B$38&lt;&gt;"pvp",Inputs!$B$43&gt;0),SUMPRODUCT((Skills!T2:T26&gt;0)*(Skills!E2:E26=TRUE)*(C577:C601=TRUE))/B606,0)</f>
        <v/>
      </c>
    </row>
    <row r="612">
      <c r="A612" t="inlineStr">
        <is>
          <t>Boss-Only Total DPS (this block's swept value)</t>
        </is>
      </c>
      <c r="B612">
        <f>SUM(T577:T601)</f>
        <v/>
      </c>
    </row>
    <row r="613">
      <c r="A613" t="inlineStr">
        <is>
          <t>Normal-Only Total DPS (this block's swept value)</t>
        </is>
      </c>
      <c r="B613">
        <f>SUM(V577:V601)</f>
        <v/>
      </c>
    </row>
    <row r="614">
      <c r="A614" s="6" t="inlineStr">
        <is>
          <t>TOTAL DPS</t>
        </is>
      </c>
      <c r="B614" s="6">
        <f>SUM(O577:O601)</f>
        <v/>
      </c>
    </row>
    <row r="617">
      <c r="A617" s="6" t="inlineStr">
        <is>
          <t>Stat: DEF_PEN % (diminishing returns, factor 100)</t>
        </is>
      </c>
    </row>
    <row r="618">
      <c r="A618" s="5" t="inlineStr">
        <is>
          <t>Key</t>
        </is>
      </c>
      <c r="B618" s="5" t="inlineStr">
        <is>
          <t>Name</t>
        </is>
      </c>
      <c r="C618" s="5" t="inlineStr">
        <is>
          <t>Unlocked</t>
        </is>
      </c>
      <c r="D618" s="5" t="inlineStr">
        <is>
          <t>InputLevel</t>
        </is>
      </c>
      <c r="E618" s="5" t="inlineStr">
        <is>
          <t>Factor</t>
        </is>
      </c>
      <c r="F618" s="5" t="inlineStr">
        <is>
          <t>CoefficientPercent</t>
        </is>
      </c>
      <c r="G618" s="5" t="inlineStr">
        <is>
          <t>EffectiveHits</t>
        </is>
      </c>
      <c r="H618" s="5" t="inlineStr">
        <is>
          <t>ProcProbability</t>
        </is>
      </c>
      <c r="I618" s="5" t="inlineStr">
        <is>
          <t>MapleHeroMultiplier</t>
        </is>
      </c>
      <c r="J618" s="5" t="inlineStr">
        <is>
          <t>BaseDamage</t>
        </is>
      </c>
      <c r="K618" s="5" t="inlineStr">
        <is>
          <t>BaseHitDamage</t>
        </is>
      </c>
      <c r="L618" s="5" t="inlineStr">
        <is>
          <t>NonCritAvg</t>
        </is>
      </c>
      <c r="M618" s="5" t="inlineStr">
        <is>
          <t>CritAvg</t>
        </is>
      </c>
      <c r="N618" s="5" t="inlineStr">
        <is>
          <t>ExpectedDamage(perHit)</t>
        </is>
      </c>
      <c r="O618" s="5" t="inlineStr">
        <is>
          <t>DPS</t>
        </is>
      </c>
      <c r="P618" s="5" t="inlineStr">
        <is>
          <t>% of Total</t>
        </is>
      </c>
      <c r="Q618" s="5" t="inlineStr">
        <is>
          <t>InvCooldown</t>
        </is>
      </c>
      <c r="R618" s="5" t="inlineStr">
        <is>
          <t>CastsInFight</t>
        </is>
      </c>
      <c r="S618" s="5" t="inlineStr">
        <is>
          <t>HitRate(perSec)</t>
        </is>
      </c>
      <c r="U618" t="inlineStr">
        <is>
          <t>helpers</t>
        </is>
      </c>
    </row>
    <row r="619">
      <c r="A619">
        <f>Skills!A2</f>
        <v/>
      </c>
      <c r="B619">
        <f>Skills!B2</f>
        <v/>
      </c>
      <c r="C619">
        <f>Inputs!$B$3&gt;=100</f>
        <v/>
      </c>
      <c r="D619" t="inlineStr"/>
      <c r="E619" t="inlineStr"/>
      <c r="F619">
        <f>U621+Skills!O2</f>
        <v/>
      </c>
      <c r="G619">
        <f>Skills!G2*IF(Skills!H2&gt;0,Skills!I2/Skills!H2,1)</f>
        <v/>
      </c>
      <c r="H619">
        <f>1-(1-Skills!J2/100)^Skills!K2</f>
        <v/>
      </c>
      <c r="I619" t="inlineStr">
        <is>
          <t>1</t>
        </is>
      </c>
      <c r="J619">
        <f>((Inputs!$B$6*(1+Inputs!$B$7/100))+(((Inputs!$B$12*(1+Inputs!$B$13/100))-(Inputs!$B$12*(1+Inputs!$B$13/100)))+0.25*(Inputs!$B$14-Inputs!$B$14))*(1+Inputs!$B$7/100))*(F619/100)</f>
        <v/>
      </c>
      <c r="K619">
        <f>J619*(1+((Inputs!$B$12*(1+Inputs!$B$13/100))*0.01+Inputs!$B$14*0.0025)/100)*(1+Inputs!$B$15/100)*(1+Inputs!$B$16/100)*(5000/(6000+Inputs!$B$42*(1-(100*(1-(1-(((1-(1-Inputs!$B$19/100)*(1-1/100))*100)+0)/100)*(1-CHOOSE(ArtifactsInput!$N$40+1,5,6,7,8,9,10)/100)^(ArtifactsInput!$M$40-ArtifactsInput!$M$40)))/100)))*(1+(Inputs!$B$24+((C642=TRUE)*(F642-Calc!F25))+B652)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638=TRUE)*(F638-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640=TRUE)*(F640-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630=TRUE)*F630*IF(Inputs!$B$3&gt;=110,7,5))+((C632=TRUE)*F632*IF(AND(Inputs!$B$38&lt;&gt;"pvp",Inputs!$B$43&gt;0),(((R632-1)*(Skills!T15*(1+(Inputs!$B$34+(ArtifactsInput!$M$7-ArtifactsInput!$M$7)*CHOOSE(ArtifactsInput!$N$7+1,6,7.2,8.4,9.6,10.8,12))/100))+MIN((Skills!T15*(1+(Inputs!$B$34+(ArtifactsInput!$M$7-ArtifactsInput!$M$7)*CHOOSE(ArtifactsInput!$N$7+1,6,7.2,8.4,9.6,10.8,12))/100)),MAX(0,Inputs!$B$43-((R632-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I619)</f>
        <v/>
      </c>
      <c r="L619">
        <f>K619*(MIN(Inputs!$B$22+((C639=TRUE)*(F639-Calc!F22)),(Inputs!$B$23+((C641=TRUE)*(F641-Calc!F24))+(IF(ArtifactsInput!$M$15,CHOOSE(ArtifactsInput!$N$15+1,25,30,35,40,45,50)/100*(Inputs!$B$11-Inputs!$B$11),0))))/100+(Inputs!$B$23+((C641=TRUE)*(F641-Calc!F24))+(IF(ArtifactsInput!$M$15,CHOOSE(ArtifactsInput!$N$15+1,25,30,35,40,45,50)/100*(Inputs!$B$11-Inputs!$B$11),0)))/100)/2</f>
        <v/>
      </c>
      <c r="M619">
        <f>L619*(1+(Inputs!$B$10+0+B651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9">
        <f>L619*(1-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619*(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9">
        <f>(1-Summary!$B$11)*T619+Summary!$B$11*V619</f>
        <v/>
      </c>
      <c r="P619">
        <f>IF(B656=0,0,O619/B656)</f>
        <v/>
      </c>
      <c r="Q619" t="n">
        <v>0</v>
      </c>
      <c r="R619" t="n">
        <v>0</v>
      </c>
      <c r="S619">
        <f>IFERROR(O619/N619,0)</f>
        <v/>
      </c>
      <c r="T619">
        <f>IF(C619,(Skills!G2*N619*B650)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619*(1-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619*(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619*(1-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619*(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9">
        <f>MAX(0,(Inputs!$B$3-100)*3)+Inputs!$B$28+Inputs!$B$29</f>
        <v/>
      </c>
      <c r="V619">
        <f>IF(C619,(Skills!G2*N619*B650)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0">
      <c r="A620">
        <f>Skills!A3</f>
        <v/>
      </c>
      <c r="B620">
        <f>Skills!B3</f>
        <v/>
      </c>
      <c r="C620">
        <f>Inputs!$B$3&gt;=50</f>
        <v/>
      </c>
      <c r="D620">
        <f>IF(Skills!C3=1,60+Inputs!$B$25+Inputs!$B$29,IF(Skills!C3=2,90+Inputs!$B$26+Inputs!$B$29,IF(Skills!C3=3,120+Inputs!$B$27+Inputs!$B$29,MAX(0,(Inputs!$B$3-100)*3)+Inputs!$B$28+Inputs!$B$29)))</f>
        <v/>
      </c>
      <c r="E620">
        <f>INDEX(FactorTable!$B$2:$Y$301, MATCH(ROUND(MIN(300,MAX(1,D620)),0), FactorTable!$A$2:$A$301,0), Skills!M3+1)</f>
        <v/>
      </c>
      <c r="F620">
        <f>IF(Skills!N3=TRUE,(Skills!L3/10)*(E620/1000),Skills!L3/10)+Skills!O3</f>
        <v/>
      </c>
      <c r="G620" t="inlineStr"/>
      <c r="H620" t="inlineStr"/>
      <c r="I620" t="inlineStr">
        <is>
          <t>1</t>
        </is>
      </c>
      <c r="J620" t="inlineStr"/>
      <c r="K620" t="inlineStr"/>
      <c r="L620" t="inlineStr"/>
      <c r="M620" t="inlineStr"/>
      <c r="N620" t="inlineStr"/>
      <c r="O620" t="inlineStr"/>
      <c r="P620" t="inlineStr"/>
      <c r="Q620" t="inlineStr"/>
      <c r="R620" t="inlineStr"/>
      <c r="S620" t="inlineStr"/>
      <c r="U620">
        <f>INDEX(FactorTable!$B$2:$Y$301, MATCH(ROUND(MIN(300,MAX(1,U619)),0), FactorTable!$A$2:$A$301,0), 22)</f>
        <v/>
      </c>
    </row>
    <row r="621">
      <c r="A621">
        <f>Skills!A4</f>
        <v/>
      </c>
      <c r="B621">
        <f>Skills!B4</f>
        <v/>
      </c>
      <c r="C621">
        <f>Inputs!$B$3&gt;=105</f>
        <v/>
      </c>
      <c r="D621">
        <f>IF(Skills!C4=1,60+Inputs!$B$25+Inputs!$B$29,IF(Skills!C4=2,90+Inputs!$B$26+Inputs!$B$29,IF(Skills!C4=3,120+Inputs!$B$27+Inputs!$B$29,MAX(0,(Inputs!$B$3-100)*3)+Inputs!$B$28+Inputs!$B$29)))</f>
        <v/>
      </c>
      <c r="E621">
        <f>INDEX(FactorTable!$B$2:$Y$301, MATCH(ROUND(MIN(300,MAX(1,D621)),0), FactorTable!$A$2:$A$301,0), Skills!M4+1)</f>
        <v/>
      </c>
      <c r="F621">
        <f>IF(Skills!N4=TRUE,(Skills!L4/10)*(E621/1000),Skills!L4/10)+Skills!O4</f>
        <v/>
      </c>
      <c r="G621" t="inlineStr"/>
      <c r="H621" t="inlineStr"/>
      <c r="I621" t="inlineStr">
        <is>
          <t>1</t>
        </is>
      </c>
      <c r="J621" t="inlineStr"/>
      <c r="K621" t="inlineStr"/>
      <c r="L621" t="inlineStr"/>
      <c r="M621" t="inlineStr"/>
      <c r="N621" t="inlineStr"/>
      <c r="O621" t="inlineStr"/>
      <c r="P621" t="inlineStr"/>
      <c r="Q621" t="inlineStr"/>
      <c r="R621" t="inlineStr"/>
      <c r="S621" t="inlineStr"/>
      <c r="U621">
        <f>290*U620/1000</f>
        <v/>
      </c>
    </row>
    <row r="622">
      <c r="A622">
        <f>Skills!A5</f>
        <v/>
      </c>
      <c r="B622">
        <f>Skills!B5</f>
        <v/>
      </c>
      <c r="C622">
        <f>Inputs!$B$3&gt;=103</f>
        <v/>
      </c>
      <c r="D622">
        <f>IF(Skills!C5=1,60+Inputs!$B$25+Inputs!$B$29,IF(Skills!C5=2,90+Inputs!$B$26+Inputs!$B$29,IF(Skills!C5=3,120+Inputs!$B$27+Inputs!$B$29,MAX(0,(Inputs!$B$3-100)*3)+Inputs!$B$28+Inputs!$B$29)))</f>
        <v/>
      </c>
      <c r="E622">
        <f>INDEX(FactorTable!$B$2:$Y$301, MATCH(ROUND(MIN(300,MAX(1,D622)),0), FactorTable!$A$2:$A$301,0), Skills!M5+1)</f>
        <v/>
      </c>
      <c r="F622">
        <f>IF(Skills!N5=TRUE,(Skills!L5/10)*(E622/1000),Skills!L5/10)+Skills!O5</f>
        <v/>
      </c>
      <c r="G622">
        <f>Skills!G5*IF(Skills!H5&gt;0,Skills!I5/Skills!H5,1)</f>
        <v/>
      </c>
      <c r="H622">
        <f>1-(1-Skills!J5/100)^Skills!K5</f>
        <v/>
      </c>
      <c r="I622" t="inlineStr">
        <is>
          <t>1</t>
        </is>
      </c>
      <c r="J622">
        <f>((Inputs!$B$6*(1+Inputs!$B$7/100))+(((Inputs!$B$12*(1+Inputs!$B$13/100))-(Inputs!$B$12*(1+Inputs!$B$13/100)))+0.25*(Inputs!$B$14-Inputs!$B$14))*(1+Inputs!$B$7/100))*(F622/100)</f>
        <v/>
      </c>
      <c r="K622">
        <f>J622*(1+((Inputs!$B$12*(1+Inputs!$B$13/100))*0.01+Inputs!$B$14*0.0025)/100)*(1+Inputs!$B$15/100)*(1+Inputs!$B$16/100)*(5000/(6000+Inputs!$B$42*(1-(100*(1-(1-(((1-(1-Inputs!$B$19/100)*(1-1/100))*100)+0)/100)*(1-CHOOSE(ArtifactsInput!$N$40+1,5,6,7,8,9,10)/100)^(ArtifactsInput!$M$40-ArtifactsInput!$M$40)))/100)))*(1+(Inputs!$B$24+((C642=TRUE)*(F642-Calc!F25))+B652)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638=TRUE)*(F638-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640=TRUE)*(F640-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630=TRUE)*F630*IF(Inputs!$B$3&gt;=110,7,5))+((C632=TRUE)*F632*IF(AND(Inputs!$B$38&lt;&gt;"pvp",Inputs!$B$43&gt;0),(((R632-1)*(Skills!T15*(1+(Inputs!$B$34+(ArtifactsInput!$M$7-ArtifactsInput!$M$7)*CHOOSE(ArtifactsInput!$N$7+1,6,7.2,8.4,9.6,10.8,12))/100))+MIN((Skills!T15*(1+(Inputs!$B$34+(ArtifactsInput!$M$7-ArtifactsInput!$M$7)*CHOOSE(ArtifactsInput!$N$7+1,6,7.2,8.4,9.6,10.8,12))/100)),MAX(0,Inputs!$B$43-((R632-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I622)</f>
        <v/>
      </c>
      <c r="L622">
        <f>K622*(MIN(Inputs!$B$22+((C639=TRUE)*(F639-Calc!F22)),(Inputs!$B$23+((C641=TRUE)*(F641-Calc!F24))+(IF(ArtifactsInput!$M$15,CHOOSE(ArtifactsInput!$N$15+1,25,30,35,40,45,50)/100*(Inputs!$B$11-Inputs!$B$11),0))))/100+(Inputs!$B$23+((C641=TRUE)*(F641-Calc!F24))+(IF(ArtifactsInput!$M$15,CHOOSE(ArtifactsInput!$N$15+1,25,30,35,40,45,50)/100*(Inputs!$B$11-Inputs!$B$11),0)))/100)/2</f>
        <v/>
      </c>
      <c r="M622">
        <f>L622*(1+(Inputs!$B$10+0+B651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2">
        <f>L622*(1-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622*(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2">
        <f>(1-Summary!$B$11)*T622+Summary!$B$11*V622</f>
        <v/>
      </c>
      <c r="P622">
        <f>IF(B656=0,0,O622/B656)</f>
        <v/>
      </c>
      <c r="Q622">
        <f>IFERROR(1/(IF(Inputs!$B$38="pvp",15,MAX(0.1,Skills!D5-IF(Skills!E5=TRUE,Inputs!$B$32,0)))*(1-IF(AND(ArtifactsInput!$M$27,Inputs!$B$4="Chapter Hunt"),CHOOSE(ArtifactsInput!$N$27+1,20,24,28,32,36,40),0)/100)),0)</f>
        <v/>
      </c>
      <c r="R622">
        <f>IF(AND(Inputs!$B$38&lt;&gt;"pvp",Inputs!$B$43&gt;0),IF(MAX(0,Inputs!$B$43-B653)&lt;=0,0,(INT(MAX(0,Inputs!$B$43-B653)/(IF(Inputs!$B$38="pvp",15,MAX(0.1,Skills!D5-IF(Skills!E5=TRUE,Inputs!$B$32,0)))*(1-IF(AND(ArtifactsInput!$M$27,Inputs!$B$4="Chapter Hunt"),CHOOSE(ArtifactsInput!$N$27+1,20,24,28,32,36,40),0)/100)))+1)),0)</f>
        <v/>
      </c>
      <c r="S622">
        <f>IFERROR(O622/N622,0)</f>
        <v/>
      </c>
      <c r="T622">
        <f>IF(C622,(H622*N622*IF(AND(Inputs!$B$38&lt;&gt;"pvp",Inputs!$B$43&gt;0),((Skills!G5*((R622-1)*IF(Skills!H5&gt;0,Skills!I5/Skills!H5,1)+IF(Skills!H5&gt;0,MIN(Skills!I5,MAX(0,MAX(0,Inputs!$B$43-B653)-((R622-1)*(IF(Inputs!$B$38="pvp",15,MAX(0.1,Skills!D5-IF(Skills!E5=TRUE,Inputs!$B$32,0)))*(1-IF(AND(ArtifactsInput!$M$27,Inputs!$B$4="Chapter Hunt"),CHOOSE(ArtifactsInput!$N$27+1,20,24,28,32,36,40),0)/100)))))/Skills!H5,1)))/Inputs!$B$43),G622*Q622)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622*(1-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622*(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622*(1-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622*(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2">
        <f>IF(C622,(H622*N622*IF(AND(Inputs!$B$38&lt;&gt;"pvp",Inputs!$B$43&gt;0),((Skills!G5*((R622-1)*IF(Skills!H5&gt;0,Skills!I5/Skills!H5,1)+IF(Skills!H5&gt;0,MIN(Skills!I5,MAX(0,MAX(0,Inputs!$B$43-B653)-((R622-1)*(IF(Inputs!$B$38="pvp",15,MAX(0.1,Skills!D5-IF(Skills!E5=TRUE,Inputs!$B$32,0)))*(1-IF(AND(ArtifactsInput!$M$27,Inputs!$B$4="Chapter Hunt"),CHOOSE(ArtifactsInput!$N$27+1,20,24,28,32,36,40),0)/100)))))/Skills!H5,1)))/Inputs!$B$43),G622*Q622)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3">
      <c r="A623">
        <f>Skills!A6</f>
        <v/>
      </c>
      <c r="B623">
        <f>Skills!B6</f>
        <v/>
      </c>
      <c r="C623">
        <f>Inputs!$B$3&gt;=103</f>
        <v/>
      </c>
      <c r="D623">
        <f>IF(Skills!C6=1,60+Inputs!$B$25+Inputs!$B$29,IF(Skills!C6=2,90+Inputs!$B$26+Inputs!$B$29,IF(Skills!C6=3,120+Inputs!$B$27+Inputs!$B$29,MAX(0,(Inputs!$B$3-100)*3)+Inputs!$B$28+Inputs!$B$29)))</f>
        <v/>
      </c>
      <c r="E623">
        <f>INDEX(FactorTable!$B$2:$Y$301, MATCH(ROUND(MIN(300,MAX(1,D623)),0), FactorTable!$A$2:$A$301,0), Skills!M6+1)</f>
        <v/>
      </c>
      <c r="F623">
        <f>IF(Skills!N6=TRUE,(Skills!L6/10)*(E623/1000),Skills!L6/10)+Skills!O6</f>
        <v/>
      </c>
      <c r="G623">
        <f>Skills!G6*IF(Skills!H6&gt;0,Skills!I6/Skills!H6,1)</f>
        <v/>
      </c>
      <c r="H623">
        <f>1-(1-Skills!J6/100)^Skills!K6</f>
        <v/>
      </c>
      <c r="I623" t="inlineStr">
        <is>
          <t>1</t>
        </is>
      </c>
      <c r="J623">
        <f>((Inputs!$B$6*(1+Inputs!$B$7/100))+(((Inputs!$B$12*(1+Inputs!$B$13/100))-(Inputs!$B$12*(1+Inputs!$B$13/100)))+0.25*(Inputs!$B$14-Inputs!$B$14))*(1+Inputs!$B$7/100))*(F623/100)</f>
        <v/>
      </c>
      <c r="K623">
        <f>J623*(1+((Inputs!$B$12*(1+Inputs!$B$13/100))*0.01+Inputs!$B$14*0.0025)/100)*(1+Inputs!$B$15/100)*(1+Inputs!$B$16/100)*(5000/(6000+Inputs!$B$42*(1-(100*(1-(1-(((1-(1-Inputs!$B$19/100)*(1-1/100))*100)+0)/100)*(1-CHOOSE(ArtifactsInput!$N$40+1,5,6,7,8,9,10)/100)^(ArtifactsInput!$M$40-ArtifactsInput!$M$40)))/100)))*(1+(Inputs!$B$24+((C642=TRUE)*(F642-Calc!F25))+B652)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638=TRUE)*(F638-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640=TRUE)*(F640-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630=TRUE)*F630*IF(Inputs!$B$3&gt;=110,7,5))+((C632=TRUE)*F632*IF(AND(Inputs!$B$38&lt;&gt;"pvp",Inputs!$B$43&gt;0),(((R632-1)*(Skills!T15*(1+(Inputs!$B$34+(ArtifactsInput!$M$7-ArtifactsInput!$M$7)*CHOOSE(ArtifactsInput!$N$7+1,6,7.2,8.4,9.6,10.8,12))/100))+MIN((Skills!T15*(1+(Inputs!$B$34+(ArtifactsInput!$M$7-ArtifactsInput!$M$7)*CHOOSE(ArtifactsInput!$N$7+1,6,7.2,8.4,9.6,10.8,12))/100)),MAX(0,Inputs!$B$43-((R632-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I623)</f>
        <v/>
      </c>
      <c r="L623">
        <f>K623*(MIN(Inputs!$B$22+((C639=TRUE)*(F639-Calc!F22)),(Inputs!$B$23+((C641=TRUE)*(F641-Calc!F24))+(IF(ArtifactsInput!$M$15,CHOOSE(ArtifactsInput!$N$15+1,25,30,35,40,45,50)/100*(Inputs!$B$11-Inputs!$B$11),0))))/100+(Inputs!$B$23+((C641=TRUE)*(F641-Calc!F24))+(IF(ArtifactsInput!$M$15,CHOOSE(ArtifactsInput!$N$15+1,25,30,35,40,45,50)/100*(Inputs!$B$11-Inputs!$B$11),0)))/100)/2</f>
        <v/>
      </c>
      <c r="M623">
        <f>L623*(1+(Inputs!$B$10+0+B651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3">
        <f>L623*(1-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623*(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3">
        <f>(1-Summary!$B$11)*T623+Summary!$B$11*V623</f>
        <v/>
      </c>
      <c r="P623">
        <f>IF(B656=0,0,O623/B656)</f>
        <v/>
      </c>
      <c r="Q623">
        <f>IFERROR(1/(IF(Inputs!$B$38="pvp",15,MAX(0.1,Skills!D6-IF(Skills!E6=TRUE,Inputs!$B$32,0)))*(1-IF(AND(ArtifactsInput!$M$27,Inputs!$B$4="Chapter Hunt"),CHOOSE(ArtifactsInput!$N$27+1,20,24,28,32,36,40),0)/100)),0)</f>
        <v/>
      </c>
      <c r="R623">
        <f>IF(AND(Inputs!$B$38&lt;&gt;"pvp",Inputs!$B$43&gt;0),IF(MAX(0,Inputs!$B$43-B653)&lt;=0,0,(INT(MAX(0,Inputs!$B$43-B653)/(IF(Inputs!$B$38="pvp",15,MAX(0.1,Skills!D6-IF(Skills!E6=TRUE,Inputs!$B$32,0)))*(1-IF(AND(ArtifactsInput!$M$27,Inputs!$B$4="Chapter Hunt"),CHOOSE(ArtifactsInput!$N$27+1,20,24,28,32,36,40),0)/100)))+1)),0)</f>
        <v/>
      </c>
      <c r="S623">
        <f>IFERROR(O623/N623,0)</f>
        <v/>
      </c>
      <c r="T623">
        <f>IF(C623,(H623*N623*IF(AND(Inputs!$B$38&lt;&gt;"pvp",Inputs!$B$43&gt;0),((Skills!G6*((R623-1)*IF(Skills!H6&gt;0,Skills!I6/Skills!H6,1)+IF(Skills!H6&gt;0,MIN(Skills!I6,MAX(0,MAX(0,Inputs!$B$43-B653)-((R623-1)*(IF(Inputs!$B$38="pvp",15,MAX(0.1,Skills!D6-IF(Skills!E6=TRUE,Inputs!$B$32,0)))*(1-IF(AND(ArtifactsInput!$M$27,Inputs!$B$4="Chapter Hunt"),CHOOSE(ArtifactsInput!$N$27+1,20,24,28,32,36,40),0)/100)))))/Skills!H6,1)))/Inputs!$B$43),G623*Q623)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623*(1-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623*(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623*(1-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623*(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3">
        <f>IF(C623,(H623*N623*IF(AND(Inputs!$B$38&lt;&gt;"pvp",Inputs!$B$43&gt;0),((Skills!G6*((R623-1)*IF(Skills!H6&gt;0,Skills!I6/Skills!H6,1)+IF(Skills!H6&gt;0,MIN(Skills!I6,MAX(0,MAX(0,Inputs!$B$43-B653)-((R623-1)*(IF(Inputs!$B$38="pvp",15,MAX(0.1,Skills!D6-IF(Skills!E6=TRUE,Inputs!$B$32,0)))*(1-IF(AND(ArtifactsInput!$M$27,Inputs!$B$4="Chapter Hunt"),CHOOSE(ArtifactsInput!$N$27+1,20,24,28,32,36,40),0)/100)))))/Skills!H6,1)))/Inputs!$B$43),G623*Q623)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4">
      <c r="A624">
        <f>Skills!A7</f>
        <v/>
      </c>
      <c r="B624">
        <f>Skills!B7</f>
        <v/>
      </c>
      <c r="C624">
        <f>Inputs!$B$3&gt;=107</f>
        <v/>
      </c>
      <c r="D624">
        <f>IF(Skills!C7=1,60+Inputs!$B$25+Inputs!$B$29,IF(Skills!C7=2,90+Inputs!$B$26+Inputs!$B$29,IF(Skills!C7=3,120+Inputs!$B$27+Inputs!$B$29,MAX(0,(Inputs!$B$3-100)*3)+Inputs!$B$28+Inputs!$B$29)))</f>
        <v/>
      </c>
      <c r="E624">
        <f>INDEX(FactorTable!$B$2:$Y$301, MATCH(ROUND(MIN(300,MAX(1,D624)),0), FactorTable!$A$2:$A$301,0), Skills!M7+1)</f>
        <v/>
      </c>
      <c r="F624">
        <f>IF(Skills!N7=TRUE,(Skills!L7/10)*(E624/1000),Skills!L7/10)+Skills!O7</f>
        <v/>
      </c>
      <c r="G624">
        <f>Skills!G7*IF(Skills!H7&gt;0,Skills!I7/Skills!H7,1)</f>
        <v/>
      </c>
      <c r="H624">
        <f>1-(1-Skills!J7/100)^Skills!K7</f>
        <v/>
      </c>
      <c r="I624" t="inlineStr">
        <is>
          <t>1</t>
        </is>
      </c>
      <c r="J624">
        <f>((Inputs!$B$6*(1+Inputs!$B$7/100))+(((Inputs!$B$12*(1+Inputs!$B$13/100))-(Inputs!$B$12*(1+Inputs!$B$13/100)))+0.25*(Inputs!$B$14-Inputs!$B$14))*(1+Inputs!$B$7/100))*(F624/100)</f>
        <v/>
      </c>
      <c r="K624">
        <f>J624*(1+((Inputs!$B$12*(1+Inputs!$B$13/100))*0.01+Inputs!$B$14*0.0025)/100)*(1+Inputs!$B$15/100)*(1+Inputs!$B$16/100)*(5000/(6000+Inputs!$B$42*(1-(100*(1-(1-(((1-(1-Inputs!$B$19/100)*(1-1/100))*100)+0)/100)*(1-CHOOSE(ArtifactsInput!$N$40+1,5,6,7,8,9,10)/100)^(ArtifactsInput!$M$40-ArtifactsInput!$M$40)))/100)))*(1+(Inputs!$B$24+((C642=TRUE)*(F642-Calc!F25))+B652)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638=TRUE)*(F638-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640=TRUE)*(F640-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630=TRUE)*F630*IF(Inputs!$B$3&gt;=110,7,5))+((C632=TRUE)*F632*IF(AND(Inputs!$B$38&lt;&gt;"pvp",Inputs!$B$43&gt;0),(((R632-1)*(Skills!T15*(1+(Inputs!$B$34+(ArtifactsInput!$M$7-ArtifactsInput!$M$7)*CHOOSE(ArtifactsInput!$N$7+1,6,7.2,8.4,9.6,10.8,12))/100))+MIN((Skills!T15*(1+(Inputs!$B$34+(ArtifactsInput!$M$7-ArtifactsInput!$M$7)*CHOOSE(ArtifactsInput!$N$7+1,6,7.2,8.4,9.6,10.8,12))/100)),MAX(0,Inputs!$B$43-((R632-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I624)</f>
        <v/>
      </c>
      <c r="L624">
        <f>K624*(MIN(Inputs!$B$22+((C639=TRUE)*(F639-Calc!F22)),(Inputs!$B$23+((C641=TRUE)*(F641-Calc!F24))+(IF(ArtifactsInput!$M$15,CHOOSE(ArtifactsInput!$N$15+1,25,30,35,40,45,50)/100*(Inputs!$B$11-Inputs!$B$11),0))))/100+(Inputs!$B$23+((C641=TRUE)*(F641-Calc!F24))+(IF(ArtifactsInput!$M$15,CHOOSE(ArtifactsInput!$N$15+1,25,30,35,40,45,50)/100*(Inputs!$B$11-Inputs!$B$11),0)))/100)/2</f>
        <v/>
      </c>
      <c r="M624">
        <f>L624*(1+(Inputs!$B$10+0+B651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4">
        <f>L624*(1-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624*(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4">
        <f>(1-Summary!$B$11)*T624+Summary!$B$11*V624</f>
        <v/>
      </c>
      <c r="P624">
        <f>IF(B656=0,0,O624/B656)</f>
        <v/>
      </c>
      <c r="Q624">
        <f>IFERROR(1/(IF(Inputs!$B$38="pvp",15,MAX(0.1,Skills!D7-IF(Skills!E7=TRUE,Inputs!$B$32,0)))*(1-IF(AND(ArtifactsInput!$M$27,Inputs!$B$4="Chapter Hunt"),CHOOSE(ArtifactsInput!$N$27+1,20,24,28,32,36,40),0)/100)),0)</f>
        <v/>
      </c>
      <c r="R624">
        <f>IF(AND(Inputs!$B$38&lt;&gt;"pvp",Inputs!$B$43&gt;0),IF(MAX(0,Inputs!$B$43-B653)&lt;=0,0,(INT(MAX(0,Inputs!$B$43-B653)/(IF(Inputs!$B$38="pvp",15,MAX(0.1,Skills!D7-IF(Skills!E7=TRUE,Inputs!$B$32,0)))*(1-IF(AND(ArtifactsInput!$M$27,Inputs!$B$4="Chapter Hunt"),CHOOSE(ArtifactsInput!$N$27+1,20,24,28,32,36,40),0)/100)))+1)),0)</f>
        <v/>
      </c>
      <c r="S624">
        <f>IFERROR(O624/N624,0)</f>
        <v/>
      </c>
      <c r="T624">
        <f>IF(C624,(H624*N624*IF(AND(Inputs!$B$38&lt;&gt;"pvp",Inputs!$B$43&gt;0),((Skills!G7*((R624-1)*IF(Skills!H7&gt;0,Skills!I7/Skills!H7,1)+IF(Skills!H7&gt;0,MIN(Skills!I7,MAX(0,MAX(0,Inputs!$B$43-B653)-((R624-1)*(IF(Inputs!$B$38="pvp",15,MAX(0.1,Skills!D7-IF(Skills!E7=TRUE,Inputs!$B$32,0)))*(1-IF(AND(ArtifactsInput!$M$27,Inputs!$B$4="Chapter Hunt"),CHOOSE(ArtifactsInput!$N$27+1,20,24,28,32,36,40),0)/100)))))/Skills!H7,1)))/Inputs!$B$43),G624*Q624)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624*(1-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624*(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624*(1-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624*(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4">
        <f>IF(C624,(H624*N624*IF(AND(Inputs!$B$38&lt;&gt;"pvp",Inputs!$B$43&gt;0),((Skills!G7*((R624-1)*IF(Skills!H7&gt;0,Skills!I7/Skills!H7,1)+IF(Skills!H7&gt;0,MIN(Skills!I7,MAX(0,MAX(0,Inputs!$B$43-B653)-((R624-1)*(IF(Inputs!$B$38="pvp",15,MAX(0.1,Skills!D7-IF(Skills!E7=TRUE,Inputs!$B$32,0)))*(1-IF(AND(ArtifactsInput!$M$27,Inputs!$B$4="Chapter Hunt"),CHOOSE(ArtifactsInput!$N$27+1,20,24,28,32,36,40),0)/100)))))/Skills!H7,1)))/Inputs!$B$43),G624*Q624)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5">
      <c r="A625">
        <f>Skills!A8</f>
        <v/>
      </c>
      <c r="B625">
        <f>Skills!B8</f>
        <v/>
      </c>
      <c r="C625">
        <f>Inputs!$B$3&gt;=117</f>
        <v/>
      </c>
      <c r="D625">
        <f>IF(Skills!C8=1,60+Inputs!$B$25+Inputs!$B$29,IF(Skills!C8=2,90+Inputs!$B$26+Inputs!$B$29,IF(Skills!C8=3,120+Inputs!$B$27+Inputs!$B$29,MAX(0,(Inputs!$B$3-100)*3)+Inputs!$B$28+Inputs!$B$29)))</f>
        <v/>
      </c>
      <c r="E625">
        <f>INDEX(FactorTable!$B$2:$Y$301, MATCH(ROUND(MIN(300,MAX(1,D625)),0), FactorTable!$A$2:$A$301,0), Skills!M8+1)</f>
        <v/>
      </c>
      <c r="F625">
        <f>IF(Skills!N8=TRUE,(Skills!L8/10)*(E625/1000),Skills!L8/10)+Skills!O8</f>
        <v/>
      </c>
      <c r="G625">
        <f>Skills!G8*IF(Skills!H8&gt;0,Skills!I8/Skills!H8,1)</f>
        <v/>
      </c>
      <c r="H625">
        <f>1-(1-Skills!J8/100)^Skills!K8</f>
        <v/>
      </c>
      <c r="I625" t="inlineStr">
        <is>
          <t>1</t>
        </is>
      </c>
      <c r="J625">
        <f>((Inputs!$B$6*(1+Inputs!$B$7/100))+(((Inputs!$B$12*(1+Inputs!$B$13/100))-(Inputs!$B$12*(1+Inputs!$B$13/100)))+0.25*(Inputs!$B$14-Inputs!$B$14))*(1+Inputs!$B$7/100))*(F625/100)</f>
        <v/>
      </c>
      <c r="K625">
        <f>J625*(1+((Inputs!$B$12*(1+Inputs!$B$13/100))*0.01+Inputs!$B$14*0.0025)/100)*(1+Inputs!$B$15/100)*(1+Inputs!$B$16/100)*(5000/(6000+Inputs!$B$42*(1-(100*(1-(1-(((1-(1-Inputs!$B$19/100)*(1-1/100))*100)+0)/100)*(1-CHOOSE(ArtifactsInput!$N$40+1,5,6,7,8,9,10)/100)^(ArtifactsInput!$M$40-ArtifactsInput!$M$40)))/100)))*(1+(Inputs!$B$24+((C642=TRUE)*(F642-Calc!F25))+B652)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638=TRUE)*(F638-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640=TRUE)*(F640-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630=TRUE)*F630*IF(Inputs!$B$3&gt;=110,7,5))+((C632=TRUE)*F632*IF(AND(Inputs!$B$38&lt;&gt;"pvp",Inputs!$B$43&gt;0),(((R632-1)*(Skills!T15*(1+(Inputs!$B$34+(ArtifactsInput!$M$7-ArtifactsInput!$M$7)*CHOOSE(ArtifactsInput!$N$7+1,6,7.2,8.4,9.6,10.8,12))/100))+MIN((Skills!T15*(1+(Inputs!$B$34+(ArtifactsInput!$M$7-ArtifactsInput!$M$7)*CHOOSE(ArtifactsInput!$N$7+1,6,7.2,8.4,9.6,10.8,12))/100)),MAX(0,Inputs!$B$43-((R632-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I625)</f>
        <v/>
      </c>
      <c r="L625">
        <f>K625*(MIN(Inputs!$B$22+((C639=TRUE)*(F639-Calc!F22)),(Inputs!$B$23+((C641=TRUE)*(F641-Calc!F24))+(IF(ArtifactsInput!$M$15,CHOOSE(ArtifactsInput!$N$15+1,25,30,35,40,45,50)/100*(Inputs!$B$11-Inputs!$B$11),0))))/100+(Inputs!$B$23+((C641=TRUE)*(F641-Calc!F24))+(IF(ArtifactsInput!$M$15,CHOOSE(ArtifactsInput!$N$15+1,25,30,35,40,45,50)/100*(Inputs!$B$11-Inputs!$B$11),0)))/100)/2</f>
        <v/>
      </c>
      <c r="M625">
        <f>L625*(1+(Inputs!$B$10+0+B651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5">
        <f>L625*(1-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625*(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5">
        <f>(1-Summary!$B$11)*T625+Summary!$B$11*V625</f>
        <v/>
      </c>
      <c r="P625">
        <f>IF(B656=0,0,O625/B656)</f>
        <v/>
      </c>
      <c r="Q625">
        <f>IFERROR(1/(IF(Inputs!$B$38="pvp",15,MAX(0.1,Skills!D8-IF(Skills!E8=TRUE,Inputs!$B$32,0)))*(1-IF(AND(ArtifactsInput!$M$27,Inputs!$B$4="Chapter Hunt"),CHOOSE(ArtifactsInput!$N$27+1,20,24,28,32,36,40),0)/100)),0)</f>
        <v/>
      </c>
      <c r="R625">
        <f>IF(AND(Inputs!$B$38&lt;&gt;"pvp",Inputs!$B$43&gt;0),IF(MAX(0,Inputs!$B$43-B653)&lt;=0,0,(INT(MAX(0,Inputs!$B$43-B653)/(IF(Inputs!$B$38="pvp",15,MAX(0.1,Skills!D8-IF(Skills!E8=TRUE,Inputs!$B$32,0)))*(1-IF(AND(ArtifactsInput!$M$27,Inputs!$B$4="Chapter Hunt"),CHOOSE(ArtifactsInput!$N$27+1,20,24,28,32,36,40),0)/100)))+1)),0)</f>
        <v/>
      </c>
      <c r="S625">
        <f>IFERROR(O625/N625,0)</f>
        <v/>
      </c>
      <c r="T625">
        <f>IF(C625,(H625*N625*IF(AND(Inputs!$B$38&lt;&gt;"pvp",Inputs!$B$43&gt;0),((Skills!G8*((R625-1)*IF(Skills!H8&gt;0,Skills!I8/Skills!H8,1)+IF(Skills!H8&gt;0,MIN(Skills!I8,MAX(0,MAX(0,Inputs!$B$43-B653)-((R625-1)*(IF(Inputs!$B$38="pvp",15,MAX(0.1,Skills!D8-IF(Skills!E8=TRUE,Inputs!$B$32,0)))*(1-IF(AND(ArtifactsInput!$M$27,Inputs!$B$4="Chapter Hunt"),CHOOSE(ArtifactsInput!$N$27+1,20,24,28,32,36,40),0)/100)))))/Skills!H8,1)))/Inputs!$B$43),G625*Q625)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625*(1-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625*(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625*(1-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625*(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5">
        <f>IF(C625,(H625*N625*IF(AND(Inputs!$B$38&lt;&gt;"pvp",Inputs!$B$43&gt;0),((Skills!G8*((R625-1)*IF(Skills!H8&gt;0,Skills!I8/Skills!H8,1)+IF(Skills!H8&gt;0,MIN(Skills!I8,MAX(0,MAX(0,Inputs!$B$43-B653)-((R625-1)*(IF(Inputs!$B$38="pvp",15,MAX(0.1,Skills!D8-IF(Skills!E8=TRUE,Inputs!$B$32,0)))*(1-IF(AND(ArtifactsInput!$M$27,Inputs!$B$4="Chapter Hunt"),CHOOSE(ArtifactsInput!$N$27+1,20,24,28,32,36,40),0)/100)))))/Skills!H8,1)))/Inputs!$B$43),G625*Q625)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6">
      <c r="A626">
        <f>Skills!A9</f>
        <v/>
      </c>
      <c r="B626">
        <f>Skills!B9</f>
        <v/>
      </c>
      <c r="C626">
        <f>Inputs!$B$3&gt;=69</f>
        <v/>
      </c>
      <c r="D626">
        <f>IF(Skills!C9=1,60+Inputs!$B$25+Inputs!$B$29,IF(Skills!C9=2,90+Inputs!$B$26+Inputs!$B$29,IF(Skills!C9=3,120+Inputs!$B$27+Inputs!$B$29,MAX(0,(Inputs!$B$3-100)*3)+Inputs!$B$28+Inputs!$B$29)))</f>
        <v/>
      </c>
      <c r="E626">
        <f>INDEX(FactorTable!$B$2:$Y$301, MATCH(ROUND(MIN(300,MAX(1,D626)),0), FactorTable!$A$2:$A$301,0), Skills!M9+1)</f>
        <v/>
      </c>
      <c r="F626">
        <f>IF(Skills!N9=TRUE,(Skills!L9/10)*(E626/1000),Skills!L9/10)+Skills!O9</f>
        <v/>
      </c>
      <c r="G626">
        <f>Skills!G9*IF(Skills!H9&gt;0,Skills!I9/Skills!H9,1)</f>
        <v/>
      </c>
      <c r="H626">
        <f>1-(1-Skills!J9/100)^Skills!K9</f>
        <v/>
      </c>
      <c r="I626" t="inlineStr">
        <is>
          <t>1</t>
        </is>
      </c>
      <c r="J626">
        <f>((Inputs!$B$6*(1+Inputs!$B$7/100))+(((Inputs!$B$12*(1+Inputs!$B$13/100))-(Inputs!$B$12*(1+Inputs!$B$13/100)))+0.25*(Inputs!$B$14-Inputs!$B$14))*(1+Inputs!$B$7/100))*(F626/100)</f>
        <v/>
      </c>
      <c r="K626">
        <f>J626*(1+((Inputs!$B$12*(1+Inputs!$B$13/100))*0.01+Inputs!$B$14*0.0025)/100)*(1+Inputs!$B$15/100)*(1+Inputs!$B$16/100)*(5000/(6000+Inputs!$B$42*(1-(100*(1-(1-(((1-(1-Inputs!$B$19/100)*(1-1/100))*100)+0)/100)*(1-CHOOSE(ArtifactsInput!$N$40+1,5,6,7,8,9,10)/100)^(ArtifactsInput!$M$40-ArtifactsInput!$M$40)))/100)))*(1+(Inputs!$B$24+((C642=TRUE)*(F642-Calc!F25))+B652)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629=TRUE,F629,0)/100)*(1+IF(Skills!A9="ENHANCED_RAGING_BLOW",IF(Inputs!$B$3&gt;=134,MAX(0,IF(Inputs!$B$3&gt;=110,7,5)-5)*50,0),0)/100)*(1+(IF(Skills!A9="RAGING_BLOW",Inputs!$B$17+((C638=TRUE)*(F638-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640=TRUE)*(F640-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630=TRUE)*F630*IF(Inputs!$B$3&gt;=110,7,5))+((C632=TRUE)*F632*IF(AND(Inputs!$B$38&lt;&gt;"pvp",Inputs!$B$43&gt;0),(((R632-1)*(Skills!T15*(1+(Inputs!$B$34+(ArtifactsInput!$M$7-ArtifactsInput!$M$7)*CHOOSE(ArtifactsInput!$N$7+1,6,7.2,8.4,9.6,10.8,12))/100))+MIN((Skills!T15*(1+(Inputs!$B$34+(ArtifactsInput!$M$7-ArtifactsInput!$M$7)*CHOOSE(ArtifactsInput!$N$7+1,6,7.2,8.4,9.6,10.8,12))/100)),MAX(0,Inputs!$B$43-((R632-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I626)</f>
        <v/>
      </c>
      <c r="L626">
        <f>K626*(MIN(Inputs!$B$22+((C639=TRUE)*(F639-Calc!F22)),(Inputs!$B$23+((C641=TRUE)*(F641-Calc!F24))+(IF(ArtifactsInput!$M$15,CHOOSE(ArtifactsInput!$N$15+1,25,30,35,40,45,50)/100*(Inputs!$B$11-Inputs!$B$11),0))))/100+(Inputs!$B$23+((C641=TRUE)*(F641-Calc!F24))+(IF(ArtifactsInput!$M$15,CHOOSE(ArtifactsInput!$N$15+1,25,30,35,40,45,50)/100*(Inputs!$B$11-Inputs!$B$11),0)))/100)/2</f>
        <v/>
      </c>
      <c r="M626">
        <f>L626*(1+(Inputs!$B$10+0+B651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6">
        <f>L626*(1-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626*(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6">
        <f>(1-Summary!$B$11)*T626+Summary!$B$11*V626</f>
        <v/>
      </c>
      <c r="P626">
        <f>IF(B656=0,0,O626/B656)</f>
        <v/>
      </c>
      <c r="Q626">
        <f>IFERROR(1/(IF(Inputs!$B$38="pvp",15,MAX(0.1,Skills!D9-IF(Skills!E9=TRUE,Inputs!$B$32,0)))*(1-IF(AND(ArtifactsInput!$M$27,Inputs!$B$4="Chapter Hunt"),CHOOSE(ArtifactsInput!$N$27+1,20,24,28,32,36,40),0)/100)),0)</f>
        <v/>
      </c>
      <c r="R626">
        <f>IF(AND(Inputs!$B$38&lt;&gt;"pvp",Inputs!$B$43&gt;0),IF(MAX(0,Inputs!$B$43-B653)&lt;=0,0,(INT(MAX(0,Inputs!$B$43-B653)/(IF(Inputs!$B$38="pvp",15,MAX(0.1,Skills!D9-IF(Skills!E9=TRUE,Inputs!$B$32,0)))*(1-IF(AND(ArtifactsInput!$M$27,Inputs!$B$4="Chapter Hunt"),CHOOSE(ArtifactsInput!$N$27+1,20,24,28,32,36,40),0)/100)))+1)),0)</f>
        <v/>
      </c>
      <c r="S626">
        <f>IFERROR(O626/N626,0)</f>
        <v/>
      </c>
      <c r="T626">
        <f>IF(C626,(H626*N626*IF(AND(Inputs!$B$38&lt;&gt;"pvp",Inputs!$B$43&gt;0),((Skills!G9*((R626-1)*IF(Skills!H9&gt;0,Skills!I9/Skills!H9,1)+IF(Skills!H9&gt;0,MIN(Skills!I9,MAX(0,MAX(0,Inputs!$B$43-B653)-((R626-1)*(IF(Inputs!$B$38="pvp",15,MAX(0.1,Skills!D9-IF(Skills!E9=TRUE,Inputs!$B$32,0)))*(1-IF(AND(ArtifactsInput!$M$27,Inputs!$B$4="Chapter Hunt"),CHOOSE(ArtifactsInput!$N$27+1,20,24,28,32,36,40),0)/100)))))/Skills!H9,1)))/Inputs!$B$43),G626*Q626)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626*(1-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626*(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626*(1-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626*(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6">
        <f>IF(C626,(H626*N626*IF(AND(Inputs!$B$38&lt;&gt;"pvp",Inputs!$B$43&gt;0),((Skills!G9*((R626-1)*IF(Skills!H9&gt;0,Skills!I9/Skills!H9,1)+IF(Skills!H9&gt;0,MIN(Skills!I9,MAX(0,MAX(0,Inputs!$B$43-B653)-((R626-1)*(IF(Inputs!$B$38="pvp",15,MAX(0.1,Skills!D9-IF(Skills!E9=TRUE,Inputs!$B$32,0)))*(1-IF(AND(ArtifactsInput!$M$27,Inputs!$B$4="Chapter Hunt"),CHOOSE(ArtifactsInput!$N$27+1,20,24,28,32,36,40),0)/100)))))/Skills!H9,1)))/Inputs!$B$43),G626*Q626)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7">
      <c r="A627">
        <f>Skills!A10</f>
        <v/>
      </c>
      <c r="B627">
        <f>Skills!B10</f>
        <v/>
      </c>
      <c r="C627">
        <f>Inputs!$B$3&gt;=63</f>
        <v/>
      </c>
      <c r="D627">
        <f>IF(Skills!C10=1,60+Inputs!$B$25+Inputs!$B$29,IF(Skills!C10=2,90+Inputs!$B$26+Inputs!$B$29,IF(Skills!C10=3,120+Inputs!$B$27+Inputs!$B$29,MAX(0,(Inputs!$B$3-100)*3)+Inputs!$B$28+Inputs!$B$29)))</f>
        <v/>
      </c>
      <c r="E627">
        <f>INDEX(FactorTable!$B$2:$Y$301, MATCH(ROUND(MIN(300,MAX(1,D627)),0), FactorTable!$A$2:$A$301,0), Skills!M10+1)</f>
        <v/>
      </c>
      <c r="F627">
        <f>IF(Skills!N10=TRUE,(Skills!L10/10)*(E627/1000),Skills!L10/10)+Skills!O10</f>
        <v/>
      </c>
      <c r="G627">
        <f>Skills!G10*IF(Skills!H10&gt;0,Skills!I10/Skills!H10,1)</f>
        <v/>
      </c>
      <c r="H627">
        <f>1-(1-Skills!J10/100)^Skills!K10</f>
        <v/>
      </c>
      <c r="I627" t="inlineStr">
        <is>
          <t>1</t>
        </is>
      </c>
      <c r="J627">
        <f>((Inputs!$B$6*(1+Inputs!$B$7/100))+(((Inputs!$B$12*(1+Inputs!$B$13/100))-(Inputs!$B$12*(1+Inputs!$B$13/100)))+0.25*(Inputs!$B$14-Inputs!$B$14))*(1+Inputs!$B$7/100))*(F627/100)</f>
        <v/>
      </c>
      <c r="K627">
        <f>J627*(1+((Inputs!$B$12*(1+Inputs!$B$13/100))*0.01+Inputs!$B$14*0.0025)/100)*(1+Inputs!$B$15/100)*(1+Inputs!$B$16/100)*(5000/(6000+Inputs!$B$42*(1-(100*(1-(1-(((1-(1-Inputs!$B$19/100)*(1-1/100))*100)+0)/100)*(1-CHOOSE(ArtifactsInput!$N$40+1,5,6,7,8,9,10)/100)^(ArtifactsInput!$M$40-ArtifactsInput!$M$40)))/100)))*(1+(Inputs!$B$24+((C642=TRUE)*(F642-Calc!F25))+B652)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629=TRUE,F629,0)/100)*(1+IF(Skills!A10="ENHANCED_RAGING_BLOW",IF(Inputs!$B$3&gt;=134,MAX(0,IF(Inputs!$B$3&gt;=110,7,5)-5)*50,0),0)/100)*(1+(IF(Skills!A10="RAGING_BLOW",Inputs!$B$17+((C638=TRUE)*(F638-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640=TRUE)*(F640-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630=TRUE)*F630*IF(Inputs!$B$3&gt;=110,7,5))+((C632=TRUE)*F632*IF(AND(Inputs!$B$38&lt;&gt;"pvp",Inputs!$B$43&gt;0),(((R632-1)*(Skills!T15*(1+(Inputs!$B$34+(ArtifactsInput!$M$7-ArtifactsInput!$M$7)*CHOOSE(ArtifactsInput!$N$7+1,6,7.2,8.4,9.6,10.8,12))/100))+MIN((Skills!T15*(1+(Inputs!$B$34+(ArtifactsInput!$M$7-ArtifactsInput!$M$7)*CHOOSE(ArtifactsInput!$N$7+1,6,7.2,8.4,9.6,10.8,12))/100)),MAX(0,Inputs!$B$43-((R632-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I627)</f>
        <v/>
      </c>
      <c r="L627">
        <f>K627*(MIN(Inputs!$B$22+((C639=TRUE)*(F639-Calc!F22)),(Inputs!$B$23+((C641=TRUE)*(F641-Calc!F24))+(IF(ArtifactsInput!$M$15,CHOOSE(ArtifactsInput!$N$15+1,25,30,35,40,45,50)/100*(Inputs!$B$11-Inputs!$B$11),0))))/100+(Inputs!$B$23+((C641=TRUE)*(F641-Calc!F24))+(IF(ArtifactsInput!$M$15,CHOOSE(ArtifactsInput!$N$15+1,25,30,35,40,45,50)/100*(Inputs!$B$11-Inputs!$B$11),0)))/100)/2</f>
        <v/>
      </c>
      <c r="M627">
        <f>L627*(1+(Inputs!$B$10+0+B651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7">
        <f>L627*(1-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627*(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7">
        <f>(1-Summary!$B$11)*T627+Summary!$B$11*V627</f>
        <v/>
      </c>
      <c r="P627">
        <f>IF(B656=0,0,O627/B656)</f>
        <v/>
      </c>
      <c r="Q627">
        <f>IFERROR(1/(IF(Inputs!$B$38="pvp",15,MAX(0.1,Skills!D10-IF(Skills!E10=TRUE,Inputs!$B$32,0)))*(1-IF(AND(ArtifactsInput!$M$27,Inputs!$B$4="Chapter Hunt"),CHOOSE(ArtifactsInput!$N$27+1,20,24,28,32,36,40),0)/100)),0)</f>
        <v/>
      </c>
      <c r="R627">
        <f>IF(AND(Inputs!$B$38&lt;&gt;"pvp",Inputs!$B$43&gt;0),IF(MAX(0,Inputs!$B$43-B653)&lt;=0,0,(INT(MAX(0,Inputs!$B$43-B653)/(IF(Inputs!$B$38="pvp",15,MAX(0.1,Skills!D10-IF(Skills!E10=TRUE,Inputs!$B$32,0)))*(1-IF(AND(ArtifactsInput!$M$27,Inputs!$B$4="Chapter Hunt"),CHOOSE(ArtifactsInput!$N$27+1,20,24,28,32,36,40),0)/100)))+1)),0)</f>
        <v/>
      </c>
      <c r="S627">
        <f>IFERROR(O627/N627,0)</f>
        <v/>
      </c>
      <c r="T627">
        <f>IF(C627,(H627*N627*IF(AND(Inputs!$B$38&lt;&gt;"pvp",Inputs!$B$43&gt;0),((Skills!G10*((R627-1)*IF(Skills!H10&gt;0,Skills!I10/Skills!H10,1)+IF(Skills!H10&gt;0,MIN(Skills!I10,MAX(0,MAX(0,Inputs!$B$43-B653)-((R627-1)*(IF(Inputs!$B$38="pvp",15,MAX(0.1,Skills!D10-IF(Skills!E10=TRUE,Inputs!$B$32,0)))*(1-IF(AND(ArtifactsInput!$M$27,Inputs!$B$4="Chapter Hunt"),CHOOSE(ArtifactsInput!$N$27+1,20,24,28,32,36,40),0)/100)))))/Skills!H10,1)))/Inputs!$B$43),G627*Q627)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627*(1-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627*(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627*(1-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627*(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7">
        <f>IF(C627,(H627*N627*IF(AND(Inputs!$B$38&lt;&gt;"pvp",Inputs!$B$43&gt;0),((Skills!G10*((R627-1)*IF(Skills!H10&gt;0,Skills!I10/Skills!H10,1)+IF(Skills!H10&gt;0,MIN(Skills!I10,MAX(0,MAX(0,Inputs!$B$43-B653)-((R627-1)*(IF(Inputs!$B$38="pvp",15,MAX(0.1,Skills!D10-IF(Skills!E10=TRUE,Inputs!$B$32,0)))*(1-IF(AND(ArtifactsInput!$M$27,Inputs!$B$4="Chapter Hunt"),CHOOSE(ArtifactsInput!$N$27+1,20,24,28,32,36,40),0)/100)))))/Skills!H10,1)))/Inputs!$B$43),G627*Q627)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8">
      <c r="A628">
        <f>Skills!A11</f>
        <v/>
      </c>
      <c r="B628">
        <f>Skills!B11</f>
        <v/>
      </c>
      <c r="C628">
        <f>Inputs!$B$3&gt;=35</f>
        <v/>
      </c>
      <c r="D628">
        <f>IF(Skills!C11=1,60+Inputs!$B$25+Inputs!$B$29,IF(Skills!C11=2,90+Inputs!$B$26+Inputs!$B$29,IF(Skills!C11=3,120+Inputs!$B$27+Inputs!$B$29,MAX(0,(Inputs!$B$3-100)*3)+Inputs!$B$28+Inputs!$B$29)))</f>
        <v/>
      </c>
      <c r="E628">
        <f>INDEX(FactorTable!$B$2:$Y$301, MATCH(ROUND(MIN(300,MAX(1,D628)),0), FactorTable!$A$2:$A$301,0), Skills!M11+1)</f>
        <v/>
      </c>
      <c r="F628">
        <f>IF(Skills!N11=TRUE,(Skills!L11/10)*(E628/1000),Skills!L11/10)+Skills!O11</f>
        <v/>
      </c>
      <c r="G628">
        <f>Skills!G11*IF(Skills!H11&gt;0,Skills!I11/Skills!H11,1)</f>
        <v/>
      </c>
      <c r="H628">
        <f>1-(1-Skills!J11/100)^Skills!K11</f>
        <v/>
      </c>
      <c r="I628" t="inlineStr">
        <is>
          <t>1</t>
        </is>
      </c>
      <c r="J628">
        <f>((Inputs!$B$6*(1+Inputs!$B$7/100))+(((Inputs!$B$12*(1+Inputs!$B$13/100))-(Inputs!$B$12*(1+Inputs!$B$13/100)))+0.25*(Inputs!$B$14-Inputs!$B$14))*(1+Inputs!$B$7/100))*(F628/100)</f>
        <v/>
      </c>
      <c r="K628">
        <f>J628*(1+((Inputs!$B$12*(1+Inputs!$B$13/100))*0.01+Inputs!$B$14*0.0025)/100)*(1+Inputs!$B$15/100)*(1+Inputs!$B$16/100)*(5000/(6000+Inputs!$B$42*(1-(100*(1-(1-(((1-(1-Inputs!$B$19/100)*(1-1/100))*100)+0)/100)*(1-CHOOSE(ArtifactsInput!$N$40+1,5,6,7,8,9,10)/100)^(ArtifactsInput!$M$40-ArtifactsInput!$M$40)))/100)))*(1+(Inputs!$B$24+((C642=TRUE)*(F642-Calc!F25))+B652)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629=TRUE,F629,0)/100)*(1+IF(Skills!A11="ENHANCED_RAGING_BLOW",IF(Inputs!$B$3&gt;=134,MAX(0,IF(Inputs!$B$3&gt;=110,7,5)-5)*50,0),0)/100)*(1+(IF(Skills!A11="RAGING_BLOW",Inputs!$B$17+((C638=TRUE)*(F638-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640=TRUE)*(F640-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630=TRUE)*F630*IF(Inputs!$B$3&gt;=110,7,5))+((C632=TRUE)*F632*IF(AND(Inputs!$B$38&lt;&gt;"pvp",Inputs!$B$43&gt;0),(((R632-1)*(Skills!T15*(1+(Inputs!$B$34+(ArtifactsInput!$M$7-ArtifactsInput!$M$7)*CHOOSE(ArtifactsInput!$N$7+1,6,7.2,8.4,9.6,10.8,12))/100))+MIN((Skills!T15*(1+(Inputs!$B$34+(ArtifactsInput!$M$7-ArtifactsInput!$M$7)*CHOOSE(ArtifactsInput!$N$7+1,6,7.2,8.4,9.6,10.8,12))/100)),MAX(0,Inputs!$B$43-((R632-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I628)</f>
        <v/>
      </c>
      <c r="L628">
        <f>K628*(MIN(Inputs!$B$22+((C639=TRUE)*(F639-Calc!F22)),(Inputs!$B$23+((C641=TRUE)*(F641-Calc!F24))+(IF(ArtifactsInput!$M$15,CHOOSE(ArtifactsInput!$N$15+1,25,30,35,40,45,50)/100*(Inputs!$B$11-Inputs!$B$11),0))))/100+(Inputs!$B$23+((C641=TRUE)*(F641-Calc!F24))+(IF(ArtifactsInput!$M$15,CHOOSE(ArtifactsInput!$N$15+1,25,30,35,40,45,50)/100*(Inputs!$B$11-Inputs!$B$11),0)))/100)/2</f>
        <v/>
      </c>
      <c r="M628">
        <f>L628*(1+(Inputs!$B$10+0+B651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8">
        <f>L628*(1-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628*(MIN((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8">
        <f>(1-Summary!$B$11)*T628+Summary!$B$11*V628</f>
        <v/>
      </c>
      <c r="P628">
        <f>IF(B656=0,0,O628/B656)</f>
        <v/>
      </c>
      <c r="Q628">
        <f>IFERROR(1/(IF(Inputs!$B$38="pvp",15,MAX(0.1,Skills!D11-IF(Skills!E11=TRUE,Inputs!$B$32,0)))*(1-IF(AND(ArtifactsInput!$M$27,Inputs!$B$4="Chapter Hunt"),CHOOSE(ArtifactsInput!$N$27+1,20,24,28,32,36,40),0)/100)),0)</f>
        <v/>
      </c>
      <c r="R628">
        <f>IF(AND(Inputs!$B$38&lt;&gt;"pvp",Inputs!$B$43&gt;0),IF(MAX(0,Inputs!$B$43-B653)&lt;=0,0,(INT(MAX(0,Inputs!$B$43-B653)/(IF(Inputs!$B$38="pvp",15,MAX(0.1,Skills!D11-IF(Skills!E11=TRUE,Inputs!$B$32,0)))*(1-IF(AND(ArtifactsInput!$M$27,Inputs!$B$4="Chapter Hunt"),CHOOSE(ArtifactsInput!$N$27+1,20,24,28,32,36,40),0)/100)))+1)),0)</f>
        <v/>
      </c>
      <c r="S628">
        <f>IFERROR(O628/N628,0)</f>
        <v/>
      </c>
      <c r="T628">
        <f>IF(C628,(H628*N628*IF(AND(Inputs!$B$38&lt;&gt;"pvp",Inputs!$B$43&gt;0),((Skills!G11*((R628-1)*IF(Skills!H11&gt;0,Skills!I11/Skills!H11,1)+IF(Skills!H11&gt;0,MIN(Skills!I11,MAX(0,MAX(0,Inputs!$B$43-B653)-((R628-1)*(IF(Inputs!$B$38="pvp",15,MAX(0.1,Skills!D11-IF(Skills!E11=TRUE,Inputs!$B$32,0)))*(1-IF(AND(ArtifactsInput!$M$27,Inputs!$B$4="Chapter Hunt"),CHOOSE(ArtifactsInput!$N$27+1,20,24,28,32,36,40),0)/100)))))/Skills!H11,1)))/Inputs!$B$43),G628*Q628)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628*(1-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628*(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628*(1-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628*(MIN(100,(Inputs!$B$9+((C643=TRUE)*(F643-Calc!F26))+B646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8">
        <f>IF(C628,(H628*N628*IF(AND(Inputs!$B$38&lt;&gt;"pvp",Inputs!$B$43&gt;0),((Skills!G11*((R628-1)*IF(Skills!H11&gt;0,Skills!I11/Skills!H11,1)+IF(Skills!H11&gt;0,MIN(Skills!I11,MAX(0,MAX(0,Inputs!$B$43-B653)-((R628-1)*(IF(Inputs!$B$38="pvp",15,MAX(0.1,Skills!D11-IF(Skills!E11=TRUE,Inputs!$B$32,0)))*(1-IF(AND(ArtifactsInput!$M$27,Inputs!$B$4="Chapter Hunt"),CHOOSE(ArtifactsInput!$N$27+1,20,24,28,32,36,40),0)/100)))))/Skills!H11,1)))/Inputs!$B$43),G628*Q628)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9">
      <c r="A629">
        <f>Skills!A12</f>
        <v/>
      </c>
      <c r="B629">
        <f>Skills!B12</f>
        <v/>
      </c>
      <c r="C629">
        <f>Inputs!$B$3&gt;=100</f>
        <v/>
      </c>
      <c r="D629">
        <f>IF(Skills!C12=1,60+Inputs!$B$25+Inputs!$B$29,IF(Skills!C12=2,90+Inputs!$B$26+Inputs!$B$29,IF(Skills!C12=3,120+Inputs!$B$27+Inputs!$B$29,MAX(0,(Inputs!$B$3-100)*3)+Inputs!$B$28+Inputs!$B$29)))</f>
        <v/>
      </c>
      <c r="E629">
        <f>INDEX(FactorTable!$B$2:$Y$301, MATCH(ROUND(MIN(300,MAX(1,D629)),0), FactorTable!$A$2:$A$301,0), Skills!M12+1)</f>
        <v/>
      </c>
      <c r="F629">
        <f>IF(Skills!N12=TRUE,(Skills!L12/10)*(E629/1000),Skills!L12/10)+Skills!O12</f>
        <v/>
      </c>
      <c r="G629" t="inlineStr"/>
      <c r="H629" t="inlineStr"/>
      <c r="I629" t="inlineStr">
        <is>
          <t>1</t>
        </is>
      </c>
      <c r="J629" t="inlineStr"/>
      <c r="K629" t="inlineStr"/>
      <c r="L629" t="inlineStr"/>
      <c r="M629" t="inlineStr"/>
      <c r="N629" t="inlineStr"/>
      <c r="O629" t="inlineStr"/>
      <c r="P629" t="inlineStr"/>
      <c r="Q629" t="inlineStr"/>
      <c r="R629" t="inlineStr"/>
      <c r="S629" t="inlineStr"/>
    </row>
    <row r="630">
      <c r="A630">
        <f>Skills!A13</f>
        <v/>
      </c>
      <c r="B630">
        <f>Skills!B13</f>
        <v/>
      </c>
      <c r="C630">
        <f>Inputs!$B$3&gt;=45</f>
        <v/>
      </c>
      <c r="D630">
        <f>IF(Skills!C13=1,60+Inputs!$B$25+Inputs!$B$29,IF(Skills!C13=2,90+Inputs!$B$26+Inputs!$B$29,IF(Skills!C13=3,120+Inputs!$B$27+Inputs!$B$29,MAX(0,(Inputs!$B$3-100)*3)+Inputs!$B$28+Inputs!$B$29)))</f>
        <v/>
      </c>
      <c r="E630">
        <f>INDEX(FactorTable!$B$2:$Y$301, MATCH(ROUND(MIN(300,MAX(1,D630)),0), FactorTable!$A$2:$A$301,0), Skills!M13+1)</f>
        <v/>
      </c>
      <c r="F630">
        <f>IF(Skills!N13=TRUE,(Skills!L13/10)*(E630/1000),Skills!L13/10)+Skills!O13</f>
        <v/>
      </c>
      <c r="G630">
        <f>Skills!G13*IF(Skills!H13&gt;0,Skills!I13/Skills!H13,1)</f>
        <v/>
      </c>
      <c r="H630">
        <f>1-(1-Skills!J13/100)^Skills!K13</f>
        <v/>
      </c>
      <c r="I630" t="inlineStr">
        <is>
          <t>1</t>
        </is>
      </c>
      <c r="J630" t="inlineStr"/>
      <c r="K630" t="inlineStr"/>
      <c r="L630" t="inlineStr"/>
      <c r="M630" t="inlineStr"/>
      <c r="N630" t="inlineStr"/>
      <c r="O630">
        <f>(1-Summary!$B$11)*T630+Summary!$B$11*V630</f>
        <v/>
      </c>
      <c r="P630">
        <f>IF(B656=0,0,O630/B656)</f>
        <v/>
      </c>
      <c r="Q630" t="n">
        <v>0</v>
      </c>
      <c r="R630" t="n">
        <v>0</v>
      </c>
      <c r="S630">
        <f>IFERROR(O630/N630,0)</f>
        <v/>
      </c>
      <c r="T630" t="n">
        <v>0</v>
      </c>
      <c r="V630" t="n">
        <v>0</v>
      </c>
    </row>
    <row r="631">
      <c r="A631">
        <f>Skills!A14</f>
        <v/>
      </c>
      <c r="B631">
        <f>Skills!B14</f>
        <v/>
      </c>
      <c r="C631">
        <f>Inputs!$B$3&gt;=75</f>
        <v/>
      </c>
      <c r="D631">
        <f>IF(Skills!C14=1,60+Inputs!$B$25+Inputs!$B$29,IF(Skills!C14=2,90+Inputs!$B$26+Inputs!$B$29,IF(Skills!C14=3,120+Inputs!$B$27+Inputs!$B$29,MAX(0,(Inputs!$B$3-100)*3)+Inputs!$B$28+Inputs!$B$29)))</f>
        <v/>
      </c>
      <c r="E631">
        <f>INDEX(FactorTable!$B$2:$Y$301, MATCH(ROUND(MIN(300,MAX(1,D631)),0), FactorTable!$A$2:$A$301,0), Skills!M14+1)</f>
        <v/>
      </c>
      <c r="F631">
        <f>IF(Skills!N14=TRUE,(Skills!L14/10)*(E631/1000),Skills!L14/10)+Skills!O14</f>
        <v/>
      </c>
      <c r="G631">
        <f>Skills!G14*IF(Skills!H14&gt;0,Skills!I14/Skills!H14,1)</f>
        <v/>
      </c>
      <c r="H631">
        <f>1-(1-Skills!J14/100)^Skills!K14</f>
        <v/>
      </c>
      <c r="I631" t="inlineStr">
        <is>
          <t>1</t>
        </is>
      </c>
      <c r="J631" t="inlineStr"/>
      <c r="K631" t="inlineStr"/>
      <c r="L631" t="inlineStr"/>
      <c r="M631" t="inlineStr"/>
      <c r="N631" t="inlineStr"/>
      <c r="O631">
        <f>(1-Summary!$B$11)*T631+Summary!$B$11*V631</f>
        <v/>
      </c>
      <c r="P631">
        <f>IF(B656=0,0,O631/B656)</f>
        <v/>
      </c>
      <c r="Q631" t="n">
        <v>0</v>
      </c>
      <c r="R631" t="n">
        <v>0</v>
      </c>
      <c r="S631">
        <f>IFERROR(O631/N631,0)</f>
        <v/>
      </c>
      <c r="T631" t="n">
        <v>0</v>
      </c>
      <c r="V631" t="n">
        <v>0</v>
      </c>
    </row>
    <row r="632">
      <c r="A632">
        <f>Skills!A15</f>
        <v/>
      </c>
      <c r="B632">
        <f>Skills!B15</f>
        <v/>
      </c>
      <c r="C632">
        <f>Inputs!$B$3&gt;=40</f>
        <v/>
      </c>
      <c r="D632">
        <f>IF(Skills!C15=1,60+Inputs!$B$25+Inputs!$B$29,IF(Skills!C15=2,90+Inputs!$B$26+Inputs!$B$29,IF(Skills!C15=3,120+Inputs!$B$27+Inputs!$B$29,MAX(0,(Inputs!$B$3-100)*3)+Inputs!$B$28+Inputs!$B$29)))</f>
        <v/>
      </c>
      <c r="E632">
        <f>INDEX(FactorTable!$B$2:$Y$301, MATCH(ROUND(MIN(300,MAX(1,D632)),0), FactorTable!$A$2:$A$301,0), Skills!M15+1)</f>
        <v/>
      </c>
      <c r="F632">
        <f>IF(Skills!N15=TRUE,(Skills!L15/10)*(E632/1000),Skills!L15/10)+Skills!O15</f>
        <v/>
      </c>
      <c r="G632">
        <f>Skills!G15*IF(Skills!H15&gt;0,Skills!I15/Skills!H15,1)</f>
        <v/>
      </c>
      <c r="H632">
        <f>1-(1-Skills!J15/100)^Skills!K15</f>
        <v/>
      </c>
      <c r="I632" t="inlineStr">
        <is>
          <t>1</t>
        </is>
      </c>
      <c r="J632" t="inlineStr"/>
      <c r="K632" t="inlineStr"/>
      <c r="L632" t="inlineStr"/>
      <c r="M632" t="inlineStr"/>
      <c r="N632" t="inlineStr"/>
      <c r="O632">
        <f>(1-Summary!$B$11)*T632+Summary!$B$11*V632</f>
        <v/>
      </c>
      <c r="P632">
        <f>IF(B656=0,0,O632/B656)</f>
        <v/>
      </c>
      <c r="Q632">
        <f>IFERROR(1/(IF(Inputs!$B$38="pvp",15,MAX(0.1,Skills!D15-IF(Skills!E15=TRUE,Inputs!$B$32,0)))*(1-IF(AND(ArtifactsInput!$M$27,Inputs!$B$4="Chapter Hunt"),CHOOSE(ArtifactsInput!$N$27+1,20,24,28,32,36,40),0)/100)),0)</f>
        <v/>
      </c>
      <c r="R632">
        <f>IF(AND(Inputs!$B$38&lt;&gt;"pvp",Inputs!$B$43&gt;0),IF(Inputs!$B$43&lt;=0,0,(INT(Inputs!$B$43/(IF(Inputs!$B$38="pvp",15,MAX(0.1,Skills!D15-IF(Skills!E15=TRUE,Inputs!$B$32,0)))*(1-IF(AND(ArtifactsInput!$M$27,Inputs!$B$4="Chapter Hunt"),CHOOSE(ArtifactsInput!$N$27+1,20,24,28,32,36,40),0)/100)))+1)),0)</f>
        <v/>
      </c>
      <c r="S632">
        <f>IFERROR(O632/N632,0)</f>
        <v/>
      </c>
      <c r="T632" t="n">
        <v>0</v>
      </c>
      <c r="V632" t="n">
        <v>0</v>
      </c>
    </row>
    <row r="633">
      <c r="A633">
        <f>Skills!A16</f>
        <v/>
      </c>
      <c r="B633">
        <f>Skills!B16</f>
        <v/>
      </c>
      <c r="C633">
        <f>Inputs!$B$3&gt;=66</f>
        <v/>
      </c>
      <c r="D633">
        <f>IF(Skills!C16=1,60+Inputs!$B$25+Inputs!$B$29,IF(Skills!C16=2,90+Inputs!$B$26+Inputs!$B$29,IF(Skills!C16=3,120+Inputs!$B$27+Inputs!$B$29,MAX(0,(Inputs!$B$3-100)*3)+Inputs!$B$28+Inputs!$B$29)))</f>
        <v/>
      </c>
      <c r="E633">
        <f>INDEX(FactorTable!$B$2:$Y$301, MATCH(ROUND(MIN(300,MAX(1,D633)),0), FactorTable!$A$2:$A$301,0), Skills!M16+1)</f>
        <v/>
      </c>
      <c r="F633">
        <f>IF(Skills!N16=TRUE,(Skills!L16/10)*(E633/1000),Skills!L16/10)+Skills!O16</f>
        <v/>
      </c>
      <c r="G633">
        <f>Skills!G16*IF(Skills!H16&gt;0,Skills!I16/Skills!H16,1)</f>
        <v/>
      </c>
      <c r="H633">
        <f>1-(1-Skills!J16/100)^Skills!K16</f>
        <v/>
      </c>
      <c r="I633" t="inlineStr">
        <is>
          <t>1</t>
        </is>
      </c>
      <c r="J633" t="inlineStr"/>
      <c r="K633" t="inlineStr"/>
      <c r="L633" t="inlineStr"/>
      <c r="M633" t="inlineStr"/>
      <c r="N633" t="inlineStr"/>
      <c r="O633">
        <f>(1-Summary!$B$11)*T633+Summary!$B$11*V633</f>
        <v/>
      </c>
      <c r="P633">
        <f>IF(B656=0,0,O633/B656)</f>
        <v/>
      </c>
      <c r="Q633">
        <f>IFERROR(1/(IF(Inputs!$B$38="pvp",15,MAX(0.1,Skills!D16-IF(Skills!E16=TRUE,Inputs!$B$32,0)))*(1-IF(AND(ArtifactsInput!$M$27,Inputs!$B$4="Chapter Hunt"),CHOOSE(ArtifactsInput!$N$27+1,20,24,28,32,36,40),0)/100)),0)</f>
        <v/>
      </c>
      <c r="R633">
        <f>IF(AND(Inputs!$B$38&lt;&gt;"pvp",Inputs!$B$43&gt;0),IF(Inputs!$B$43&lt;=0,0,(INT(Inputs!$B$43/(IF(Inputs!$B$38="pvp",15,MAX(0.1,Skills!D16-IF(Skills!E16=TRUE,Inputs!$B$32,0)))*(1-IF(AND(ArtifactsInput!$M$27,Inputs!$B$4="Chapter Hunt"),CHOOSE(ArtifactsInput!$N$27+1,20,24,28,32,36,40),0)/100)))+1)),0)</f>
        <v/>
      </c>
      <c r="S633">
        <f>IFERROR(O633/N633,0)</f>
        <v/>
      </c>
      <c r="T633" t="n">
        <v>0</v>
      </c>
      <c r="V633" t="n">
        <v>0</v>
      </c>
    </row>
    <row r="634">
      <c r="A634">
        <f>Skills!A17</f>
        <v/>
      </c>
      <c r="B634">
        <f>Skills!B17</f>
        <v/>
      </c>
      <c r="C634">
        <f>Inputs!$B$3&gt;=115</f>
        <v/>
      </c>
      <c r="D634">
        <f>IF(Skills!C17=1,60+Inputs!$B$25+Inputs!$B$29,IF(Skills!C17=2,90+Inputs!$B$26+Inputs!$B$29,IF(Skills!C17=3,120+Inputs!$B$27+Inputs!$B$29,MAX(0,(Inputs!$B$3-100)*3)+Inputs!$B$28+Inputs!$B$29)))</f>
        <v/>
      </c>
      <c r="E634">
        <f>INDEX(FactorTable!$B$2:$Y$301, MATCH(ROUND(MIN(300,MAX(1,D634)),0), FactorTable!$A$2:$A$301,0), Skills!M17+1)</f>
        <v/>
      </c>
      <c r="F634">
        <f>IF(Skills!N17=TRUE,(Skills!L17/10)*(E634/1000),Skills!L17/10)+Skills!O17</f>
        <v/>
      </c>
      <c r="G634">
        <f>Skills!G17*IF(Skills!H17&gt;0,Skills!I17/Skills!H17,1)</f>
        <v/>
      </c>
      <c r="H634">
        <f>1-(1-Skills!J17/100)^Skills!K17</f>
        <v/>
      </c>
      <c r="I634" t="inlineStr">
        <is>
          <t>1</t>
        </is>
      </c>
      <c r="J634" t="inlineStr"/>
      <c r="K634" t="inlineStr"/>
      <c r="L634" t="inlineStr"/>
      <c r="M634" t="inlineStr"/>
      <c r="N634" t="inlineStr"/>
      <c r="O634">
        <f>(1-Summary!$B$11)*T634+Summary!$B$11*V634</f>
        <v/>
      </c>
      <c r="P634">
        <f>IF(B656=0,0,O634/B656)</f>
        <v/>
      </c>
      <c r="Q634">
        <f>IFERROR(1/(IF(Inputs!$B$38="pvp",15,MAX(0.1,Skills!D17-IF(Skills!E17=TRUE,Inputs!$B$32,0)))*(1-IF(AND(ArtifactsInput!$M$27,Inputs!$B$4="Chapter Hunt"),CHOOSE(ArtifactsInput!$N$27+1,20,24,28,32,36,40),0)/100)),0)</f>
        <v/>
      </c>
      <c r="R634">
        <f>IF(AND(Inputs!$B$38&lt;&gt;"pvp",Inputs!$B$43&gt;0),IF(Inputs!$B$43&lt;=0,0,(INT(Inputs!$B$43/(IF(Inputs!$B$38="pvp",15,MAX(0.1,Skills!D17-IF(Skills!E17=TRUE,Inputs!$B$32,0)))*(1-IF(AND(ArtifactsInput!$M$27,Inputs!$B$4="Chapter Hunt"),CHOOSE(ArtifactsInput!$N$27+1,20,24,28,32,36,40),0)/100)))+1)),0)</f>
        <v/>
      </c>
      <c r="S634">
        <f>IFERROR(O634/N634,0)</f>
        <v/>
      </c>
      <c r="T634" t="n">
        <v>0</v>
      </c>
      <c r="V634" t="n">
        <v>0</v>
      </c>
    </row>
    <row r="635">
      <c r="A635">
        <f>Skills!A18</f>
        <v/>
      </c>
      <c r="B635">
        <f>Skills!B18</f>
        <v/>
      </c>
      <c r="C635">
        <f>Inputs!$B$3&gt;=115</f>
        <v/>
      </c>
      <c r="D635">
        <f>IF(Skills!C18=1,60+Inputs!$B$25+Inputs!$B$29,IF(Skills!C18=2,90+Inputs!$B$26+Inputs!$B$29,IF(Skills!C18=3,120+Inputs!$B$27+Inputs!$B$29,MAX(0,(Inputs!$B$3-100)*3)+Inputs!$B$28+Inputs!$B$29)))</f>
        <v/>
      </c>
      <c r="E635">
        <f>INDEX(FactorTable!$B$2:$Y$301, MATCH(ROUND(MIN(300,MAX(1,D635)),0), FactorTable!$A$2:$A$301,0), Skills!M18+1)</f>
        <v/>
      </c>
      <c r="F635">
        <f>IF(Skills!N18=TRUE,(Skills!L18/10)*(E635/1000),Skills!L18/10)+Skills!O18</f>
        <v/>
      </c>
      <c r="G635">
        <f>Skills!G18*IF(Skills!H18&gt;0,Skills!I18/Skills!H18,1)</f>
        <v/>
      </c>
      <c r="H635">
        <f>1-(1-Skills!J18/100)^Skills!K18</f>
        <v/>
      </c>
      <c r="I635" t="inlineStr">
        <is>
          <t>1</t>
        </is>
      </c>
      <c r="J635" t="inlineStr"/>
      <c r="K635" t="inlineStr"/>
      <c r="L635" t="inlineStr"/>
      <c r="M635" t="inlineStr"/>
      <c r="N635" t="inlineStr"/>
      <c r="O635">
        <f>(1-Summary!$B$11)*T635+Summary!$B$11*V635</f>
        <v/>
      </c>
      <c r="P635">
        <f>IF(B656=0,0,O635/B656)</f>
        <v/>
      </c>
      <c r="Q635">
        <f>IFERROR(1/(IF(Inputs!$B$38="pvp",15,MAX(0.1,Skills!D18-IF(Skills!E18=TRUE,Inputs!$B$32,0)))*(1-IF(AND(ArtifactsInput!$M$27,Inputs!$B$4="Chapter Hunt"),CHOOSE(ArtifactsInput!$N$27+1,20,24,28,32,36,40),0)/100)),0)</f>
        <v/>
      </c>
      <c r="R635">
        <f>IF(AND(Inputs!$B$38&lt;&gt;"pvp",Inputs!$B$43&gt;0),IF(Inputs!$B$43&lt;=0,0,(INT(Inputs!$B$43/(IF(Inputs!$B$38="pvp",15,MAX(0.1,Skills!D18-IF(Skills!E18=TRUE,Inputs!$B$32,0)))*(1-IF(AND(ArtifactsInput!$M$27,Inputs!$B$4="Chapter Hunt"),CHOOSE(ArtifactsInput!$N$27+1,20,24,28,32,36,40),0)/100)))+1)),0)</f>
        <v/>
      </c>
      <c r="S635">
        <f>IFERROR(O635/N635,0)</f>
        <v/>
      </c>
      <c r="T635" t="n">
        <v>0</v>
      </c>
      <c r="V635" t="n">
        <v>0</v>
      </c>
    </row>
    <row r="636">
      <c r="A636">
        <f>Skills!A19</f>
        <v/>
      </c>
      <c r="B636">
        <f>Skills!B19</f>
        <v/>
      </c>
      <c r="C636">
        <f>TRUE</f>
        <v/>
      </c>
      <c r="D636">
        <f>IF(Skills!C19=1,60+Inputs!$B$25+Inputs!$B$29,IF(Skills!C19=2,90+Inputs!$B$26+Inputs!$B$29,IF(Skills!C19=3,120+Inputs!$B$27+Inputs!$B$29,MAX(0,(Inputs!$B$3-100)*3)+Inputs!$B$28+Inputs!$B$29)))</f>
        <v/>
      </c>
      <c r="E636">
        <f>INDEX(FactorTable!$B$2:$Y$301, MATCH(ROUND(MIN(300,MAX(1,D636)),0), FactorTable!$A$2:$A$301,0), Skills!M19+1)</f>
        <v/>
      </c>
      <c r="F636">
        <f>IF(Skills!N19=TRUE,(Skills!L19/10)*(E636/1000),Skills!L19/10)+Skills!O19</f>
        <v/>
      </c>
      <c r="G636">
        <f>Skills!G19*IF(Skills!H19&gt;0,Skills!I19/Skills!H19,1)</f>
        <v/>
      </c>
      <c r="H636">
        <f>1-(1-Skills!J19/100)^Skills!K19</f>
        <v/>
      </c>
      <c r="I636" t="inlineStr">
        <is>
          <t>1</t>
        </is>
      </c>
      <c r="J636" t="inlineStr"/>
      <c r="K636" t="inlineStr"/>
      <c r="L636" t="inlineStr"/>
      <c r="M636" t="inlineStr"/>
      <c r="N636" t="inlineStr"/>
      <c r="O636">
        <f>(1-Summary!$B$11)*T636+Summary!$B$11*V636</f>
        <v/>
      </c>
      <c r="P636">
        <f>IF(B656=0,0,O636/B656)</f>
        <v/>
      </c>
      <c r="Q636">
        <f>IFERROR(1/(IF(Inputs!$B$38="pvp",15,MAX(0.1,Skills!D19-IF(Skills!E19=TRUE,Inputs!$B$32,0)))*(1-IF(AND(ArtifactsInput!$M$27,Inputs!$B$4="Chapter Hunt"),CHOOSE(ArtifactsInput!$N$27+1,20,24,28,32,36,40),0)/100)),0)</f>
        <v/>
      </c>
      <c r="R636">
        <f>IF(AND(Inputs!$B$38&lt;&gt;"pvp",Inputs!$B$43&gt;0),IF(Inputs!$B$43&lt;=0,0,(INT(Inputs!$B$43/(IF(Inputs!$B$38="pvp",15,MAX(0.1,Skills!D19-IF(Skills!E19=TRUE,Inputs!$B$32,0)))*(1-IF(AND(ArtifactsInput!$M$27,Inputs!$B$4="Chapter Hunt"),CHOOSE(ArtifactsInput!$N$27+1,20,24,28,32,36,40),0)/100)))+1)),0)</f>
        <v/>
      </c>
      <c r="S636">
        <f>IFERROR(O636/N636,0)</f>
        <v/>
      </c>
      <c r="T636" t="n">
        <v>0</v>
      </c>
      <c r="V636" t="n">
        <v>0</v>
      </c>
    </row>
    <row r="637">
      <c r="A637">
        <f>Skills!A20</f>
        <v/>
      </c>
      <c r="B637">
        <f>Skills!B20</f>
        <v/>
      </c>
      <c r="C637">
        <f>Inputs!$B$3&gt;=33</f>
        <v/>
      </c>
      <c r="D637">
        <f>IF(Skills!C20=1,60+Inputs!$B$25+Inputs!$B$29,IF(Skills!C20=2,90+Inputs!$B$26+Inputs!$B$29,IF(Skills!C20=3,120+Inputs!$B$27+Inputs!$B$29,MAX(0,(Inputs!$B$3-100)*3)+Inputs!$B$28+Inputs!$B$29)))</f>
        <v/>
      </c>
      <c r="E637">
        <f>INDEX(FactorTable!$B$2:$Y$301, MATCH(ROUND(MIN(300,MAX(1,D637)),0), FactorTable!$A$2:$A$301,0), Skills!M20+1)</f>
        <v/>
      </c>
      <c r="F637">
        <f>IF(Skills!N20=TRUE,(Skills!L20/10)*(E637/1000),Skills!L20/10)+Skills!O20</f>
        <v/>
      </c>
      <c r="G637">
        <f>Skills!G20*IF(Skills!H20&gt;0,Skills!I20/Skills!H20,1)</f>
        <v/>
      </c>
      <c r="H637">
        <f>1-(1-Skills!J20/100)^Skills!K20</f>
        <v/>
      </c>
      <c r="I637" t="inlineStr">
        <is>
          <t>1</t>
        </is>
      </c>
      <c r="J637" t="inlineStr"/>
      <c r="K637" t="inlineStr"/>
      <c r="L637" t="inlineStr"/>
      <c r="M637" t="inlineStr"/>
      <c r="N637" t="inlineStr"/>
      <c r="O637">
        <f>(1-Summary!$B$11)*T637+Summary!$B$11*V637</f>
        <v/>
      </c>
      <c r="P637">
        <f>IF(B656=0,0,O637/B656)</f>
        <v/>
      </c>
      <c r="Q637" t="n">
        <v>0</v>
      </c>
      <c r="R637" t="n">
        <v>0</v>
      </c>
      <c r="S637">
        <f>IFERROR(O637/N637,0)</f>
        <v/>
      </c>
      <c r="T637" t="n">
        <v>0</v>
      </c>
      <c r="V637" t="n">
        <v>0</v>
      </c>
    </row>
    <row r="638">
      <c r="A638">
        <f>Skills!A21</f>
        <v/>
      </c>
      <c r="B638">
        <f>Skills!B21</f>
        <v/>
      </c>
      <c r="C638">
        <f>Inputs!$B$3&gt;=38</f>
        <v/>
      </c>
      <c r="D638">
        <f>IF(Skills!C21=1,60+Inputs!$B$25+Inputs!$B$29,IF(Skills!C21=2,90+Inputs!$B$26+Inputs!$B$29,IF(Skills!C21=3,120+Inputs!$B$27+Inputs!$B$29,MAX(0,(Inputs!$B$3-100)*3)+Inputs!$B$28+Inputs!$B$29)))</f>
        <v/>
      </c>
      <c r="E638">
        <f>INDEX(FactorTable!$B$2:$Y$301, MATCH(ROUND(MIN(300,MAX(1,D638)),0), FactorTable!$A$2:$A$301,0), Skills!M21+1)</f>
        <v/>
      </c>
      <c r="F638">
        <f>IF(Skills!N21=TRUE,(Skills!L21/10)*(E638/1000),Skills!L21/10)+Skills!O21</f>
        <v/>
      </c>
      <c r="G638">
        <f>Skills!G21*IF(Skills!H21&gt;0,Skills!I21/Skills!H21,1)</f>
        <v/>
      </c>
      <c r="H638">
        <f>1-(1-Skills!J21/100)^Skills!K21</f>
        <v/>
      </c>
      <c r="I638" t="inlineStr">
        <is>
          <t>1</t>
        </is>
      </c>
      <c r="J638" t="inlineStr"/>
      <c r="K638" t="inlineStr"/>
      <c r="L638" t="inlineStr"/>
      <c r="M638" t="inlineStr"/>
      <c r="N638" t="inlineStr"/>
      <c r="O638">
        <f>(1-Summary!$B$11)*T638+Summary!$B$11*V638</f>
        <v/>
      </c>
      <c r="P638">
        <f>IF(B656=0,0,O638/B656)</f>
        <v/>
      </c>
      <c r="Q638" t="n">
        <v>0</v>
      </c>
      <c r="R638" t="n">
        <v>0</v>
      </c>
      <c r="S638">
        <f>IFERROR(O638/N638,0)</f>
        <v/>
      </c>
      <c r="T638" t="n">
        <v>0</v>
      </c>
      <c r="V638" t="n">
        <v>0</v>
      </c>
    </row>
    <row r="639">
      <c r="A639">
        <f>Skills!A22</f>
        <v/>
      </c>
      <c r="B639">
        <f>Skills!B22</f>
        <v/>
      </c>
      <c r="C639">
        <f>Inputs!$B$3&gt;=43</f>
        <v/>
      </c>
      <c r="D639">
        <f>IF(Skills!C22=1,60+Inputs!$B$25+Inputs!$B$29,IF(Skills!C22=2,90+Inputs!$B$26+Inputs!$B$29,IF(Skills!C22=3,120+Inputs!$B$27+Inputs!$B$29,MAX(0,(Inputs!$B$3-100)*3)+Inputs!$B$28+Inputs!$B$29)))</f>
        <v/>
      </c>
      <c r="E639">
        <f>INDEX(FactorTable!$B$2:$Y$301, MATCH(ROUND(MIN(300,MAX(1,D639)),0), FactorTable!$A$2:$A$301,0), Skills!M22+1)</f>
        <v/>
      </c>
      <c r="F639">
        <f>IF(Skills!N22=TRUE,(Skills!L22/10)*(E639/1000),Skills!L22/10)+Skills!O22</f>
        <v/>
      </c>
      <c r="G639">
        <f>Skills!G22*IF(Skills!H22&gt;0,Skills!I22/Skills!H22,1)</f>
        <v/>
      </c>
      <c r="H639">
        <f>1-(1-Skills!J22/100)^Skills!K22</f>
        <v/>
      </c>
      <c r="I639" t="inlineStr">
        <is>
          <t>1</t>
        </is>
      </c>
      <c r="J639" t="inlineStr"/>
      <c r="K639" t="inlineStr"/>
      <c r="L639" t="inlineStr"/>
      <c r="M639" t="inlineStr"/>
      <c r="N639" t="inlineStr"/>
      <c r="O639">
        <f>(1-Summary!$B$11)*T639+Summary!$B$11*V639</f>
        <v/>
      </c>
      <c r="P639">
        <f>IF(B656=0,0,O639/B656)</f>
        <v/>
      </c>
      <c r="Q639" t="n">
        <v>0</v>
      </c>
      <c r="R639" t="n">
        <v>0</v>
      </c>
      <c r="S639">
        <f>IFERROR(O639/N639,0)</f>
        <v/>
      </c>
      <c r="T639" t="n">
        <v>0</v>
      </c>
      <c r="V639" t="n">
        <v>0</v>
      </c>
    </row>
    <row r="640">
      <c r="A640">
        <f>Skills!A23</f>
        <v/>
      </c>
      <c r="B640">
        <f>Skills!B23</f>
        <v/>
      </c>
      <c r="C640">
        <f>Inputs!$B$3&gt;=120</f>
        <v/>
      </c>
      <c r="D640">
        <f>IF(Skills!C23=1,60+Inputs!$B$25+Inputs!$B$29,IF(Skills!C23=2,90+Inputs!$B$26+Inputs!$B$29,IF(Skills!C23=3,120+Inputs!$B$27+Inputs!$B$29,MAX(0,(Inputs!$B$3-100)*3)+Inputs!$B$28+Inputs!$B$29)))</f>
        <v/>
      </c>
      <c r="E640">
        <f>INDEX(FactorTable!$B$2:$Y$301, MATCH(ROUND(MIN(300,MAX(1,D640)),0), FactorTable!$A$2:$A$301,0), Skills!M23+1)</f>
        <v/>
      </c>
      <c r="F640">
        <f>IF(Skills!N23=TRUE,(Skills!L23/10)*(E640/1000),Skills!L23/10)+Skills!O23</f>
        <v/>
      </c>
      <c r="G640">
        <f>Skills!G23*IF(Skills!H23&gt;0,Skills!I23/Skills!H23,1)</f>
        <v/>
      </c>
      <c r="H640">
        <f>1-(1-Skills!J23/100)^Skills!K23</f>
        <v/>
      </c>
      <c r="I640" t="inlineStr">
        <is>
          <t>1</t>
        </is>
      </c>
      <c r="J640" t="inlineStr"/>
      <c r="K640" t="inlineStr"/>
      <c r="L640" t="inlineStr"/>
      <c r="M640" t="inlineStr"/>
      <c r="N640" t="inlineStr"/>
      <c r="O640">
        <f>(1-Summary!$B$11)*T640+Summary!$B$11*V640</f>
        <v/>
      </c>
      <c r="P640">
        <f>IF(B656=0,0,O640/B656)</f>
        <v/>
      </c>
      <c r="Q640" t="n">
        <v>0</v>
      </c>
      <c r="R640" t="n">
        <v>0</v>
      </c>
      <c r="S640">
        <f>IFERROR(O640/N640,0)</f>
        <v/>
      </c>
      <c r="T640" t="n">
        <v>0</v>
      </c>
      <c r="V640" t="n">
        <v>0</v>
      </c>
    </row>
    <row r="641">
      <c r="A641">
        <f>Skills!A24</f>
        <v/>
      </c>
      <c r="B641">
        <f>Skills!B24</f>
        <v/>
      </c>
      <c r="C641">
        <f>Inputs!$B$3&gt;=120</f>
        <v/>
      </c>
      <c r="D641">
        <f>IF(Skills!C24=1,60+Inputs!$B$25+Inputs!$B$29,IF(Skills!C24=2,90+Inputs!$B$26+Inputs!$B$29,IF(Skills!C24=3,120+Inputs!$B$27+Inputs!$B$29,MAX(0,(Inputs!$B$3-100)*3)+Inputs!$B$28+Inputs!$B$29)))</f>
        <v/>
      </c>
      <c r="E641">
        <f>INDEX(FactorTable!$B$2:$Y$301, MATCH(ROUND(MIN(300,MAX(1,D641)),0), FactorTable!$A$2:$A$301,0), Skills!M24+1)</f>
        <v/>
      </c>
      <c r="F641">
        <f>IF(Skills!N24=TRUE,(Skills!L24/10)*(E641/1000),Skills!L24/10)+Skills!O24</f>
        <v/>
      </c>
      <c r="G641">
        <f>Skills!G24*IF(Skills!H24&gt;0,Skills!I24/Skills!H24,1)</f>
        <v/>
      </c>
      <c r="H641">
        <f>1-(1-Skills!J24/100)^Skills!K24</f>
        <v/>
      </c>
      <c r="I641" t="inlineStr">
        <is>
          <t>1</t>
        </is>
      </c>
      <c r="J641" t="inlineStr"/>
      <c r="K641" t="inlineStr"/>
      <c r="L641" t="inlineStr"/>
      <c r="M641" t="inlineStr"/>
      <c r="N641" t="inlineStr"/>
      <c r="O641">
        <f>(1-Summary!$B$11)*T641+Summary!$B$11*V641</f>
        <v/>
      </c>
      <c r="P641">
        <f>IF(B656=0,0,O641/B656)</f>
        <v/>
      </c>
      <c r="Q641" t="n">
        <v>0</v>
      </c>
      <c r="R641" t="n">
        <v>0</v>
      </c>
      <c r="S641">
        <f>IFERROR(O641/N641,0)</f>
        <v/>
      </c>
      <c r="T641" t="n">
        <v>0</v>
      </c>
      <c r="V641" t="n">
        <v>0</v>
      </c>
    </row>
    <row r="642">
      <c r="A642">
        <f>Skills!A25</f>
        <v/>
      </c>
      <c r="B642">
        <f>Skills!B25</f>
        <v/>
      </c>
      <c r="C642">
        <f>Inputs!$B$3&gt;=125</f>
        <v/>
      </c>
      <c r="D642">
        <f>IF(Skills!C25=1,60+Inputs!$B$25+Inputs!$B$29,IF(Skills!C25=2,90+Inputs!$B$26+Inputs!$B$29,IF(Skills!C25=3,120+Inputs!$B$27+Inputs!$B$29,MAX(0,(Inputs!$B$3-100)*3)+Inputs!$B$28+Inputs!$B$29)))</f>
        <v/>
      </c>
      <c r="E642">
        <f>INDEX(FactorTable!$B$2:$Y$301, MATCH(ROUND(MIN(300,MAX(1,D642)),0), FactorTable!$A$2:$A$301,0), Skills!M25+1)</f>
        <v/>
      </c>
      <c r="F642">
        <f>IF(Skills!N25=TRUE,(Skills!L25/10)*(E642/1000),Skills!L25/10)+Skills!O25</f>
        <v/>
      </c>
      <c r="G642">
        <f>Skills!G25*IF(Skills!H25&gt;0,Skills!I25/Skills!H25,1)</f>
        <v/>
      </c>
      <c r="H642">
        <f>1-(1-Skills!J25/100)^Skills!K25</f>
        <v/>
      </c>
      <c r="I642" t="inlineStr">
        <is>
          <t>1</t>
        </is>
      </c>
      <c r="J642" t="inlineStr"/>
      <c r="K642" t="inlineStr"/>
      <c r="L642" t="inlineStr"/>
      <c r="M642" t="inlineStr"/>
      <c r="N642" t="inlineStr"/>
      <c r="O642">
        <f>(1-Summary!$B$11)*T642+Summary!$B$11*V642</f>
        <v/>
      </c>
      <c r="P642">
        <f>IF(B656=0,0,O642/B656)</f>
        <v/>
      </c>
      <c r="Q642" t="n">
        <v>0</v>
      </c>
      <c r="R642" t="n">
        <v>0</v>
      </c>
      <c r="S642">
        <f>IFERROR(O642/N642,0)</f>
        <v/>
      </c>
      <c r="T642" t="n">
        <v>0</v>
      </c>
      <c r="V642" t="n">
        <v>0</v>
      </c>
    </row>
    <row r="643">
      <c r="A643">
        <f>Skills!A26</f>
        <v/>
      </c>
      <c r="B643">
        <f>Skills!B26</f>
        <v/>
      </c>
      <c r="C643">
        <f>Inputs!$B$3&gt;=72</f>
        <v/>
      </c>
      <c r="D643">
        <f>IF(Skills!C26=1,60+Inputs!$B$25+Inputs!$B$29,IF(Skills!C26=2,90+Inputs!$B$26+Inputs!$B$29,IF(Skills!C26=3,120+Inputs!$B$27+Inputs!$B$29,MAX(0,(Inputs!$B$3-100)*3)+Inputs!$B$28+Inputs!$B$29)))</f>
        <v/>
      </c>
      <c r="E643">
        <f>INDEX(FactorTable!$B$2:$Y$301, MATCH(ROUND(MIN(300,MAX(1,D643)),0), FactorTable!$A$2:$A$301,0), Skills!M26+1)</f>
        <v/>
      </c>
      <c r="F643">
        <f>IF(Skills!N26=TRUE,(Skills!L26/10)*(E643/1000),Skills!L26/10)+Skills!O26</f>
        <v/>
      </c>
      <c r="G643">
        <f>Skills!G26*IF(Skills!H26&gt;0,Skills!I26/Skills!H26,1)</f>
        <v/>
      </c>
      <c r="H643">
        <f>1-(1-Skills!J26/100)^Skills!K26</f>
        <v/>
      </c>
      <c r="I643" t="inlineStr">
        <is>
          <t>1</t>
        </is>
      </c>
      <c r="J643" t="inlineStr"/>
      <c r="K643" t="inlineStr"/>
      <c r="L643" t="inlineStr"/>
      <c r="M643" t="inlineStr"/>
      <c r="N643" t="inlineStr"/>
      <c r="O643">
        <f>(1-Summary!$B$11)*T643+Summary!$B$11*V643</f>
        <v/>
      </c>
      <c r="P643">
        <f>IF(B656=0,0,O643/B656)</f>
        <v/>
      </c>
      <c r="Q643" t="n">
        <v>0</v>
      </c>
      <c r="R643" t="n">
        <v>0</v>
      </c>
      <c r="S643">
        <f>IFERROR(O643/N643,0)</f>
        <v/>
      </c>
      <c r="T643" t="n">
        <v>0</v>
      </c>
      <c r="V643" t="n">
        <v>0</v>
      </c>
    </row>
    <row r="645">
      <c r="A645" t="inlineStr">
        <is>
          <t>Attack% Bucket Multiplier</t>
        </is>
      </c>
      <c r="B645">
        <f>(1+(((C630=TRUE)*F630*IF(Inputs!$B$3&gt;=110,7,5))+((C632=TRUE)*F632*IF(AND(Inputs!$B$38&lt;&gt;"pvp",Inputs!$B$43&gt;0),(((R632-1)*(Skills!T15*(1+(Inputs!$B$34+(ArtifactsInput!$M$7-ArtifactsInput!$M$7)*CHOOSE(ArtifactsInput!$N$7+1,6,7.2,8.4,9.6,10.8,12))/100))+MIN((Skills!T15*(1+(Inputs!$B$34+(ArtifactsInput!$M$7-ArtifactsInput!$M$7)*CHOOSE(ArtifactsInput!$N$7+1,6,7.2,8.4,9.6,10.8,12))/100)),MAX(0,Inputs!$B$43-((R632-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46">
      <c r="A646" t="inlineStr">
        <is>
          <t>Global Crit Rate Bonus %</t>
        </is>
      </c>
      <c r="B646" t="n">
        <v>0</v>
      </c>
    </row>
    <row r="647">
      <c r="A647" t="inlineStr">
        <is>
          <t>Attack Speed Buff Bonus %</t>
        </is>
      </c>
      <c r="B647">
        <f>((C636=TRUE)*F636*IF(AND(Inputs!$B$38&lt;&gt;"pvp",Inputs!$B$43&gt;0),(((R636-1)*(Skills!T19*(1+(Inputs!$B$34+(ArtifactsInput!$M$7-ArtifactsInput!$M$7)*CHOOSE(ArtifactsInput!$N$7+1,6,7.2,8.4,9.6,10.8,12))/100))+MIN((Skills!T19*(1+(Inputs!$B$34+(ArtifactsInput!$M$7-ArtifactsInput!$M$7)*CHOOSE(ArtifactsInput!$N$7+1,6,7.2,8.4,9.6,10.8,12))/100)),MAX(0,Inputs!$B$43-((R636-1)*Skills!D19))))/Inputs!$B$43),IF(Inputs!$B$38="pvp",MIN((Skills!T19*(1+(Inputs!$B$34+(ArtifactsInput!$M$7-ArtifactsInput!$M$7)*CHOOSE(ArtifactsInput!$N$7+1,6,7.2,8.4,9.6,10.8,12))/100)),15)/15,(Skills!T19*(1+(Inputs!$B$34+(ArtifactsInput!$M$7-ArtifactsInput!$M$7)*CHOOSE(ArtifactsInput!$N$7+1,6,7.2,8.4,9.6,10.8,12))/100))/Skills!D19)))</f>
        <v/>
      </c>
    </row>
    <row r="648">
      <c r="A648" t="inlineStr">
        <is>
          <t>Actions Per Second</t>
        </is>
      </c>
      <c r="B648">
        <f>1+MIN(150,150*(1-(1-(Inputs!$B$11+((C637=TRUE)*(F637-Calc!F20)))/150)*(1-B647/150)))/100</f>
        <v/>
      </c>
    </row>
    <row r="649">
      <c r="A649" t="inlineStr">
        <is>
          <t>Skill + Buff Cast Rate</t>
        </is>
      </c>
      <c r="B649">
        <f>IF(AND(Inputs!$B$38&lt;&gt;"pvp",Inputs!$B$43&gt;0),SUMPRODUCT((Skills!E2:E26=TRUE)*(C619:C643=TRUE)*R619:R643*Skills!F2:F26)/Inputs!$B$43,SUMPRODUCT((Skills!E2:E26=TRUE)*(C619:C643=TRUE)*Q619:Q643*Skills!F2:F26))</f>
        <v/>
      </c>
    </row>
    <row r="650">
      <c r="A650" t="inlineStr">
        <is>
          <t>Raging Blow Casts Per Second</t>
        </is>
      </c>
      <c r="B650">
        <f>MAX(0,B648-B649)</f>
        <v/>
      </c>
    </row>
    <row r="651">
      <c r="A651" t="inlineStr">
        <is>
          <t>Global Critical Damage Bonus % (Enrage)</t>
        </is>
      </c>
      <c r="B651">
        <f>((C635=TRUE)*F635*IF(AND(Inputs!$B$38&lt;&gt;"pvp",Inputs!$B$43&gt;0),(((R635-1)*(Skills!T18*(1+(Inputs!$B$34+(ArtifactsInput!$M$7-ArtifactsInput!$M$7)*CHOOSE(ArtifactsInput!$N$7+1,6,7.2,8.4,9.6,10.8,12))/100))+MIN((Skills!T18*(1+(Inputs!$B$34+(ArtifactsInput!$M$7-ArtifactsInput!$M$7)*CHOOSE(ArtifactsInput!$N$7+1,6,7.2,8.4,9.6,10.8,12))/100)),MAX(0,Inputs!$B$43-((R635-1)*Skills!D18))))/Inputs!$B$43),IF(Inputs!$B$38="pvp",MIN((Skills!T18*(1+(Inputs!$B$34+(ArtifactsInput!$M$7-ArtifactsInput!$M$7)*CHOOSE(ArtifactsInput!$N$7+1,6,7.2,8.4,9.6,10.8,12))/100)),15)/15,(Skills!T18*(1+(Inputs!$B$34+(ArtifactsInput!$M$7-ArtifactsInput!$M$7)*CHOOSE(ArtifactsInput!$N$7+1,6,7.2,8.4,9.6,10.8,12))/100))/Skills!D18)))</f>
        <v/>
      </c>
    </row>
    <row r="652">
      <c r="A652" t="inlineStr">
        <is>
          <t>Global Final Damage Bonus % (Enrage + Combo Synergy)</t>
        </is>
      </c>
      <c r="B652">
        <f>((C634=TRUE)*F634*IF(AND(Inputs!$B$38&lt;&gt;"pvp",Inputs!$B$43&gt;0),(((R634-1)*(Skills!T17*(1+(Inputs!$B$34+(ArtifactsInput!$M$7-ArtifactsInput!$M$7)*CHOOSE(ArtifactsInput!$N$7+1,6,7.2,8.4,9.6,10.8,12))/100))+MIN((Skills!T17*(1+(Inputs!$B$34+(ArtifactsInput!$M$7-ArtifactsInput!$M$7)*CHOOSE(ArtifactsInput!$N$7+1,6,7.2,8.4,9.6,10.8,12))/100)),MAX(0,Inputs!$B$43-((R634-1)*Skills!D17))))/Inputs!$B$43),IF(Inputs!$B$38="pvp",MIN((Skills!T17*(1+(Inputs!$B$34+(ArtifactsInput!$M$7-ArtifactsInput!$M$7)*CHOOSE(ArtifactsInput!$N$7+1,6,7.2,8.4,9.6,10.8,12))/100)),15)/15,(Skills!T17*(1+(Inputs!$B$34+(ArtifactsInput!$M$7-ArtifactsInput!$M$7)*CHOOSE(ArtifactsInput!$N$7+1,6,7.2,8.4,9.6,10.8,12))/100))/Skills!D17)))+((C631=TRUE)*F631*IF(Inputs!$B$3&gt;=110,7,5))</f>
        <v/>
      </c>
    </row>
    <row r="653">
      <c r="A653" t="inlineStr">
        <is>
          <t>Buff-Casting Startup Delay (s, fixed-duration only)</t>
        </is>
      </c>
      <c r="B653">
        <f>IF(AND(Inputs!$B$38&lt;&gt;"pvp",Inputs!$B$43&gt;0),SUMPRODUCT((Skills!T2:T26&gt;0)*(Skills!E2:E26=TRUE)*(C619:C643=TRUE))/B648,0)</f>
        <v/>
      </c>
    </row>
    <row r="654">
      <c r="A654" t="inlineStr">
        <is>
          <t>Boss-Only Total DPS (this block's swept value)</t>
        </is>
      </c>
      <c r="B654">
        <f>SUM(T619:T643)</f>
        <v/>
      </c>
    </row>
    <row r="655">
      <c r="A655" t="inlineStr">
        <is>
          <t>Normal-Only Total DPS (this block's swept value)</t>
        </is>
      </c>
      <c r="B655">
        <f>SUM(V619:V643)</f>
        <v/>
      </c>
    </row>
    <row r="656">
      <c r="A656" s="6" t="inlineStr">
        <is>
          <t>TOTAL DPS</t>
        </is>
      </c>
      <c r="B656" s="6">
        <f>SUM(O619:O643)</f>
        <v/>
      </c>
    </row>
    <row r="659">
      <c r="A659" s="6" t="inlineStr">
        <is>
          <t>Stat: BASIC_ATTACK_DAMAGE %</t>
        </is>
      </c>
    </row>
    <row r="660">
      <c r="A660" s="5" t="inlineStr">
        <is>
          <t>Key</t>
        </is>
      </c>
      <c r="B660" s="5" t="inlineStr">
        <is>
          <t>Name</t>
        </is>
      </c>
      <c r="C660" s="5" t="inlineStr">
        <is>
          <t>Unlocked</t>
        </is>
      </c>
      <c r="D660" s="5" t="inlineStr">
        <is>
          <t>InputLevel</t>
        </is>
      </c>
      <c r="E660" s="5" t="inlineStr">
        <is>
          <t>Factor</t>
        </is>
      </c>
      <c r="F660" s="5" t="inlineStr">
        <is>
          <t>CoefficientPercent</t>
        </is>
      </c>
      <c r="G660" s="5" t="inlineStr">
        <is>
          <t>EffectiveHits</t>
        </is>
      </c>
      <c r="H660" s="5" t="inlineStr">
        <is>
          <t>ProcProbability</t>
        </is>
      </c>
      <c r="I660" s="5" t="inlineStr">
        <is>
          <t>MapleHeroMultiplier</t>
        </is>
      </c>
      <c r="J660" s="5" t="inlineStr">
        <is>
          <t>BaseDamage</t>
        </is>
      </c>
      <c r="K660" s="5" t="inlineStr">
        <is>
          <t>BaseHitDamage</t>
        </is>
      </c>
      <c r="L660" s="5" t="inlineStr">
        <is>
          <t>NonCritAvg</t>
        </is>
      </c>
      <c r="M660" s="5" t="inlineStr">
        <is>
          <t>CritAvg</t>
        </is>
      </c>
      <c r="N660" s="5" t="inlineStr">
        <is>
          <t>ExpectedDamage(perHit)</t>
        </is>
      </c>
      <c r="O660" s="5" t="inlineStr">
        <is>
          <t>DPS</t>
        </is>
      </c>
      <c r="P660" s="5" t="inlineStr">
        <is>
          <t>% of Total</t>
        </is>
      </c>
      <c r="Q660" s="5" t="inlineStr">
        <is>
          <t>InvCooldown</t>
        </is>
      </c>
      <c r="R660" s="5" t="inlineStr">
        <is>
          <t>CastsInFight</t>
        </is>
      </c>
      <c r="S660" s="5" t="inlineStr">
        <is>
          <t>HitRate(perSec)</t>
        </is>
      </c>
      <c r="U660" t="inlineStr">
        <is>
          <t>helpers</t>
        </is>
      </c>
    </row>
    <row r="661">
      <c r="A661">
        <f>Skills!A2</f>
        <v/>
      </c>
      <c r="B661">
        <f>Skills!B2</f>
        <v/>
      </c>
      <c r="C661">
        <f>Inputs!$B$3&gt;=100</f>
        <v/>
      </c>
      <c r="D661" t="inlineStr"/>
      <c r="E661" t="inlineStr"/>
      <c r="F661">
        <f>U663+Skills!O2</f>
        <v/>
      </c>
      <c r="G661">
        <f>Skills!G2*IF(Skills!H2&gt;0,Skills!I2/Skills!H2,1)</f>
        <v/>
      </c>
      <c r="H661">
        <f>1-(1-Skills!J2/100)^Skills!K2</f>
        <v/>
      </c>
      <c r="I661" t="inlineStr">
        <is>
          <t>1</t>
        </is>
      </c>
      <c r="J661">
        <f>((Inputs!$B$6*(1+Inputs!$B$7/100))+(((Inputs!$B$12*(1+Inputs!$B$13/100))-(Inputs!$B$12*(1+Inputs!$B$13/100)))+0.25*(Inputs!$B$14-Inputs!$B$14))*(1+Inputs!$B$7/100))*(F661/100)</f>
        <v/>
      </c>
      <c r="K661">
        <f>J661*(1+((Inputs!$B$12*(1+Inputs!$B$13/100))*0.01+Inputs!$B$14*0.0025)/100)*(1+Inputs!$B$15/100)*(1+Inputs!$B$16/100)*(5000/(6000+Inputs!$B$42*(1-(100*(1-(1-(Inputs!$B$19+0)/100)*(1-CHOOSE(ArtifactsInput!$N$40+1,5,6,7,8,9,10)/100)^(ArtifactsInput!$M$40-ArtifactsInput!$M$40)))/100)))*(1+(Inputs!$B$24+((C684=TRUE)*(F684-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+1)+((C680=TRUE)*(F680-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682=TRUE)*(F682-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672=TRUE)*F672*IF(Inputs!$B$3&gt;=110,7,5))+((C674=TRUE)*F674*IF(AND(Inputs!$B$38&lt;&gt;"pvp",Inputs!$B$43&gt;0),(((R674-1)*(Skills!T15*(1+(Inputs!$B$34+(ArtifactsInput!$M$7-ArtifactsInput!$M$7)*CHOOSE(ArtifactsInput!$N$7+1,6,7.2,8.4,9.6,10.8,12))/100))+MIN((Skills!T15*(1+(Inputs!$B$34+(ArtifactsInput!$M$7-ArtifactsInput!$M$7)*CHOOSE(ArtifactsInput!$N$7+1,6,7.2,8.4,9.6,10.8,12))/100)),MAX(0,Inputs!$B$43-((R674-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I661)</f>
        <v/>
      </c>
      <c r="L661">
        <f>K661*(MIN(Inputs!$B$22+((C681=TRUE)*(F681-Calc!F22)),(Inputs!$B$23+((C683=TRUE)*(F683-Calc!F24))+(IF(ArtifactsInput!$M$15,CHOOSE(ArtifactsInput!$N$15+1,25,30,35,40,45,50)/100*(Inputs!$B$11-Inputs!$B$11),0))))/100+(Inputs!$B$23+((C683=TRUE)*(F683-Calc!F24))+(IF(ArtifactsInput!$M$15,CHOOSE(ArtifactsInput!$N$15+1,25,30,35,40,45,50)/100*(Inputs!$B$11-Inputs!$B$11),0)))/100)/2</f>
        <v/>
      </c>
      <c r="M661">
        <f>L661*(1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1">
        <f>L661*(1-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661*(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1">
        <f>(1-Summary!$B$11)*T661+Summary!$B$11*V661</f>
        <v/>
      </c>
      <c r="P661">
        <f>IF(B698=0,0,O661/B698)</f>
        <v/>
      </c>
      <c r="Q661" t="n">
        <v>0</v>
      </c>
      <c r="R661" t="n">
        <v>0</v>
      </c>
      <c r="S661">
        <f>IFERROR(O661/N661,0)</f>
        <v/>
      </c>
      <c r="T661">
        <f>IF(C661,(Skills!G2*N661*B692)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661*(1-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661*(1-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61">
        <f>MAX(0,(Inputs!$B$3-100)*3)+Inputs!$B$28+Inputs!$B$29</f>
        <v/>
      </c>
      <c r="V661">
        <f>IF(C661,(Skills!G2*N661*B692)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2">
      <c r="A662">
        <f>Skills!A3</f>
        <v/>
      </c>
      <c r="B662">
        <f>Skills!B3</f>
        <v/>
      </c>
      <c r="C662">
        <f>Inputs!$B$3&gt;=50</f>
        <v/>
      </c>
      <c r="D662">
        <f>IF(Skills!C3=1,60+Inputs!$B$25+Inputs!$B$29,IF(Skills!C3=2,90+Inputs!$B$26+Inputs!$B$29,IF(Skills!C3=3,120+Inputs!$B$27+Inputs!$B$29,MAX(0,(Inputs!$B$3-100)*3)+Inputs!$B$28+Inputs!$B$29)))</f>
        <v/>
      </c>
      <c r="E662">
        <f>INDEX(FactorTable!$B$2:$Y$301, MATCH(ROUND(MIN(300,MAX(1,D662)),0), FactorTable!$A$2:$A$301,0), Skills!M3+1)</f>
        <v/>
      </c>
      <c r="F662">
        <f>IF(Skills!N3=TRUE,(Skills!L3/10)*(E662/1000),Skills!L3/10)+Skills!O3</f>
        <v/>
      </c>
      <c r="G662" t="inlineStr"/>
      <c r="H662" t="inlineStr"/>
      <c r="I662" t="inlineStr">
        <is>
          <t>1</t>
        </is>
      </c>
      <c r="J662" t="inlineStr"/>
      <c r="K662" t="inlineStr"/>
      <c r="L662" t="inlineStr"/>
      <c r="M662" t="inlineStr"/>
      <c r="N662" t="inlineStr"/>
      <c r="O662" t="inlineStr"/>
      <c r="P662" t="inlineStr"/>
      <c r="Q662" t="inlineStr"/>
      <c r="R662" t="inlineStr"/>
      <c r="S662" t="inlineStr"/>
      <c r="U662">
        <f>INDEX(FactorTable!$B$2:$Y$301, MATCH(ROUND(MIN(300,MAX(1,U661)),0), FactorTable!$A$2:$A$301,0), 22)</f>
        <v/>
      </c>
    </row>
    <row r="663">
      <c r="A663">
        <f>Skills!A4</f>
        <v/>
      </c>
      <c r="B663">
        <f>Skills!B4</f>
        <v/>
      </c>
      <c r="C663">
        <f>Inputs!$B$3&gt;=105</f>
        <v/>
      </c>
      <c r="D663">
        <f>IF(Skills!C4=1,60+Inputs!$B$25+Inputs!$B$29,IF(Skills!C4=2,90+Inputs!$B$26+Inputs!$B$29,IF(Skills!C4=3,120+Inputs!$B$27+Inputs!$B$29,MAX(0,(Inputs!$B$3-100)*3)+Inputs!$B$28+Inputs!$B$29)))</f>
        <v/>
      </c>
      <c r="E663">
        <f>INDEX(FactorTable!$B$2:$Y$301, MATCH(ROUND(MIN(300,MAX(1,D663)),0), FactorTable!$A$2:$A$301,0), Skills!M4+1)</f>
        <v/>
      </c>
      <c r="F663">
        <f>IF(Skills!N4=TRUE,(Skills!L4/10)*(E663/1000),Skills!L4/10)+Skills!O4</f>
        <v/>
      </c>
      <c r="G663" t="inlineStr"/>
      <c r="H663" t="inlineStr"/>
      <c r="I663" t="inlineStr">
        <is>
          <t>1</t>
        </is>
      </c>
      <c r="J663" t="inlineStr"/>
      <c r="K663" t="inlineStr"/>
      <c r="L663" t="inlineStr"/>
      <c r="M663" t="inlineStr"/>
      <c r="N663" t="inlineStr"/>
      <c r="O663" t="inlineStr"/>
      <c r="P663" t="inlineStr"/>
      <c r="Q663" t="inlineStr"/>
      <c r="R663" t="inlineStr"/>
      <c r="S663" t="inlineStr"/>
      <c r="U663">
        <f>290*U662/1000</f>
        <v/>
      </c>
    </row>
    <row r="664">
      <c r="A664">
        <f>Skills!A5</f>
        <v/>
      </c>
      <c r="B664">
        <f>Skills!B5</f>
        <v/>
      </c>
      <c r="C664">
        <f>Inputs!$B$3&gt;=103</f>
        <v/>
      </c>
      <c r="D664">
        <f>IF(Skills!C5=1,60+Inputs!$B$25+Inputs!$B$29,IF(Skills!C5=2,90+Inputs!$B$26+Inputs!$B$29,IF(Skills!C5=3,120+Inputs!$B$27+Inputs!$B$29,MAX(0,(Inputs!$B$3-100)*3)+Inputs!$B$28+Inputs!$B$29)))</f>
        <v/>
      </c>
      <c r="E664">
        <f>INDEX(FactorTable!$B$2:$Y$301, MATCH(ROUND(MIN(300,MAX(1,D664)),0), FactorTable!$A$2:$A$301,0), Skills!M5+1)</f>
        <v/>
      </c>
      <c r="F664">
        <f>IF(Skills!N5=TRUE,(Skills!L5/10)*(E664/1000),Skills!L5/10)+Skills!O5</f>
        <v/>
      </c>
      <c r="G664">
        <f>Skills!G5*IF(Skills!H5&gt;0,Skills!I5/Skills!H5,1)</f>
        <v/>
      </c>
      <c r="H664">
        <f>1-(1-Skills!J5/100)^Skills!K5</f>
        <v/>
      </c>
      <c r="I664" t="inlineStr">
        <is>
          <t>1</t>
        </is>
      </c>
      <c r="J664">
        <f>((Inputs!$B$6*(1+Inputs!$B$7/100))+(((Inputs!$B$12*(1+Inputs!$B$13/100))-(Inputs!$B$12*(1+Inputs!$B$13/100)))+0.25*(Inputs!$B$14-Inputs!$B$14))*(1+Inputs!$B$7/100))*(F664/100)</f>
        <v/>
      </c>
      <c r="K664">
        <f>J664*(1+((Inputs!$B$12*(1+Inputs!$B$13/100))*0.01+Inputs!$B$14*0.0025)/100)*(1+Inputs!$B$15/100)*(1+Inputs!$B$16/100)*(5000/(6000+Inputs!$B$42*(1-(100*(1-(1-(Inputs!$B$19+0)/100)*(1-CHOOSE(ArtifactsInput!$N$40+1,5,6,7,8,9,10)/100)^(ArtifactsInput!$M$40-ArtifactsInput!$M$40)))/100)))*(1+(Inputs!$B$24+((C684=TRUE)*(F684-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+1)+((C680=TRUE)*(F680-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682=TRUE)*(F682-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672=TRUE)*F672*IF(Inputs!$B$3&gt;=110,7,5))+((C674=TRUE)*F674*IF(AND(Inputs!$B$38&lt;&gt;"pvp",Inputs!$B$43&gt;0),(((R674-1)*(Skills!T15*(1+(Inputs!$B$34+(ArtifactsInput!$M$7-ArtifactsInput!$M$7)*CHOOSE(ArtifactsInput!$N$7+1,6,7.2,8.4,9.6,10.8,12))/100))+MIN((Skills!T15*(1+(Inputs!$B$34+(ArtifactsInput!$M$7-ArtifactsInput!$M$7)*CHOOSE(ArtifactsInput!$N$7+1,6,7.2,8.4,9.6,10.8,12))/100)),MAX(0,Inputs!$B$43-((R674-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I664)</f>
        <v/>
      </c>
      <c r="L664">
        <f>K664*(MIN(Inputs!$B$22+((C681=TRUE)*(F681-Calc!F22)),(Inputs!$B$23+((C683=TRUE)*(F683-Calc!F24))+(IF(ArtifactsInput!$M$15,CHOOSE(ArtifactsInput!$N$15+1,25,30,35,40,45,50)/100*(Inputs!$B$11-Inputs!$B$11),0))))/100+(Inputs!$B$23+((C683=TRUE)*(F683-Calc!F24))+(IF(ArtifactsInput!$M$15,CHOOSE(ArtifactsInput!$N$15+1,25,30,35,40,45,50)/100*(Inputs!$B$11-Inputs!$B$11),0)))/100)/2</f>
        <v/>
      </c>
      <c r="M664">
        <f>L664*(1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4">
        <f>L664*(1-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664*(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4">
        <f>(1-Summary!$B$11)*T664+Summary!$B$11*V664</f>
        <v/>
      </c>
      <c r="P664">
        <f>IF(B698=0,0,O664/B698)</f>
        <v/>
      </c>
      <c r="Q664">
        <f>IFERROR(1/(IF(Inputs!$B$38="pvp",15,MAX(0.1,Skills!D5-IF(Skills!E5=TRUE,Inputs!$B$32,0)))*(1-IF(AND(ArtifactsInput!$M$27,Inputs!$B$4="Chapter Hunt"),CHOOSE(ArtifactsInput!$N$27+1,20,24,28,32,36,40),0)/100)),0)</f>
        <v/>
      </c>
      <c r="R664">
        <f>IF(AND(Inputs!$B$38&lt;&gt;"pvp",Inputs!$B$43&gt;0),IF(MAX(0,Inputs!$B$43-B695)&lt;=0,0,(INT(MAX(0,Inputs!$B$43-B695)/(IF(Inputs!$B$38="pvp",15,MAX(0.1,Skills!D5-IF(Skills!E5=TRUE,Inputs!$B$32,0)))*(1-IF(AND(ArtifactsInput!$M$27,Inputs!$B$4="Chapter Hunt"),CHOOSE(ArtifactsInput!$N$27+1,20,24,28,32,36,40),0)/100)))+1)),0)</f>
        <v/>
      </c>
      <c r="S664">
        <f>IFERROR(O664/N664,0)</f>
        <v/>
      </c>
      <c r="T664">
        <f>IF(C664,(H664*N664*IF(AND(Inputs!$B$38&lt;&gt;"pvp",Inputs!$B$43&gt;0),((Skills!G5*((R664-1)*IF(Skills!H5&gt;0,Skills!I5/Skills!H5,1)+IF(Skills!H5&gt;0,MIN(Skills!I5,MAX(0,MAX(0,Inputs!$B$43-B695)-((R664-1)*(IF(Inputs!$B$38="pvp",15,MAX(0.1,Skills!D5-IF(Skills!E5=TRUE,Inputs!$B$32,0)))*(1-IF(AND(ArtifactsInput!$M$27,Inputs!$B$4="Chapter Hunt"),CHOOSE(ArtifactsInput!$N$27+1,20,24,28,32,36,40),0)/100)))))/Skills!H5,1)))/Inputs!$B$43),G664*Q664)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664*(1-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664*(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664*(1-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664*(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4">
        <f>IF(C664,(H664*N664*IF(AND(Inputs!$B$38&lt;&gt;"pvp",Inputs!$B$43&gt;0),((Skills!G5*((R664-1)*IF(Skills!H5&gt;0,Skills!I5/Skills!H5,1)+IF(Skills!H5&gt;0,MIN(Skills!I5,MAX(0,MAX(0,Inputs!$B$43-B695)-((R664-1)*(IF(Inputs!$B$38="pvp",15,MAX(0.1,Skills!D5-IF(Skills!E5=TRUE,Inputs!$B$32,0)))*(1-IF(AND(ArtifactsInput!$M$27,Inputs!$B$4="Chapter Hunt"),CHOOSE(ArtifactsInput!$N$27+1,20,24,28,32,36,40),0)/100)))))/Skills!H5,1)))/Inputs!$B$43),G664*Q664)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5">
      <c r="A665">
        <f>Skills!A6</f>
        <v/>
      </c>
      <c r="B665">
        <f>Skills!B6</f>
        <v/>
      </c>
      <c r="C665">
        <f>Inputs!$B$3&gt;=103</f>
        <v/>
      </c>
      <c r="D665">
        <f>IF(Skills!C6=1,60+Inputs!$B$25+Inputs!$B$29,IF(Skills!C6=2,90+Inputs!$B$26+Inputs!$B$29,IF(Skills!C6=3,120+Inputs!$B$27+Inputs!$B$29,MAX(0,(Inputs!$B$3-100)*3)+Inputs!$B$28+Inputs!$B$29)))</f>
        <v/>
      </c>
      <c r="E665">
        <f>INDEX(FactorTable!$B$2:$Y$301, MATCH(ROUND(MIN(300,MAX(1,D665)),0), FactorTable!$A$2:$A$301,0), Skills!M6+1)</f>
        <v/>
      </c>
      <c r="F665">
        <f>IF(Skills!N6=TRUE,(Skills!L6/10)*(E665/1000),Skills!L6/10)+Skills!O6</f>
        <v/>
      </c>
      <c r="G665">
        <f>Skills!G6*IF(Skills!H6&gt;0,Skills!I6/Skills!H6,1)</f>
        <v/>
      </c>
      <c r="H665">
        <f>1-(1-Skills!J6/100)^Skills!K6</f>
        <v/>
      </c>
      <c r="I665" t="inlineStr">
        <is>
          <t>1</t>
        </is>
      </c>
      <c r="J665">
        <f>((Inputs!$B$6*(1+Inputs!$B$7/100))+(((Inputs!$B$12*(1+Inputs!$B$13/100))-(Inputs!$B$12*(1+Inputs!$B$13/100)))+0.25*(Inputs!$B$14-Inputs!$B$14))*(1+Inputs!$B$7/100))*(F665/100)</f>
        <v/>
      </c>
      <c r="K665">
        <f>J665*(1+((Inputs!$B$12*(1+Inputs!$B$13/100))*0.01+Inputs!$B$14*0.0025)/100)*(1+Inputs!$B$15/100)*(1+Inputs!$B$16/100)*(5000/(6000+Inputs!$B$42*(1-(100*(1-(1-(Inputs!$B$19+0)/100)*(1-CHOOSE(ArtifactsInput!$N$40+1,5,6,7,8,9,10)/100)^(ArtifactsInput!$M$40-ArtifactsInput!$M$40)))/100)))*(1+(Inputs!$B$24+((C684=TRUE)*(F684-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+1)+((C680=TRUE)*(F680-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682=TRUE)*(F682-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672=TRUE)*F672*IF(Inputs!$B$3&gt;=110,7,5))+((C674=TRUE)*F674*IF(AND(Inputs!$B$38&lt;&gt;"pvp",Inputs!$B$43&gt;0),(((R674-1)*(Skills!T15*(1+(Inputs!$B$34+(ArtifactsInput!$M$7-ArtifactsInput!$M$7)*CHOOSE(ArtifactsInput!$N$7+1,6,7.2,8.4,9.6,10.8,12))/100))+MIN((Skills!T15*(1+(Inputs!$B$34+(ArtifactsInput!$M$7-ArtifactsInput!$M$7)*CHOOSE(ArtifactsInput!$N$7+1,6,7.2,8.4,9.6,10.8,12))/100)),MAX(0,Inputs!$B$43-((R674-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I665)</f>
        <v/>
      </c>
      <c r="L665">
        <f>K665*(MIN(Inputs!$B$22+((C681=TRUE)*(F681-Calc!F22)),(Inputs!$B$23+((C683=TRUE)*(F683-Calc!F24))+(IF(ArtifactsInput!$M$15,CHOOSE(ArtifactsInput!$N$15+1,25,30,35,40,45,50)/100*(Inputs!$B$11-Inputs!$B$11),0))))/100+(Inputs!$B$23+((C683=TRUE)*(F683-Calc!F24))+(IF(ArtifactsInput!$M$15,CHOOSE(ArtifactsInput!$N$15+1,25,30,35,40,45,50)/100*(Inputs!$B$11-Inputs!$B$11),0)))/100)/2</f>
        <v/>
      </c>
      <c r="M665">
        <f>L665*(1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5">
        <f>L665*(1-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665*(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5">
        <f>(1-Summary!$B$11)*T665+Summary!$B$11*V665</f>
        <v/>
      </c>
      <c r="P665">
        <f>IF(B698=0,0,O665/B698)</f>
        <v/>
      </c>
      <c r="Q665">
        <f>IFERROR(1/(IF(Inputs!$B$38="pvp",15,MAX(0.1,Skills!D6-IF(Skills!E6=TRUE,Inputs!$B$32,0)))*(1-IF(AND(ArtifactsInput!$M$27,Inputs!$B$4="Chapter Hunt"),CHOOSE(ArtifactsInput!$N$27+1,20,24,28,32,36,40),0)/100)),0)</f>
        <v/>
      </c>
      <c r="R665">
        <f>IF(AND(Inputs!$B$38&lt;&gt;"pvp",Inputs!$B$43&gt;0),IF(MAX(0,Inputs!$B$43-B695)&lt;=0,0,(INT(MAX(0,Inputs!$B$43-B695)/(IF(Inputs!$B$38="pvp",15,MAX(0.1,Skills!D6-IF(Skills!E6=TRUE,Inputs!$B$32,0)))*(1-IF(AND(ArtifactsInput!$M$27,Inputs!$B$4="Chapter Hunt"),CHOOSE(ArtifactsInput!$N$27+1,20,24,28,32,36,40),0)/100)))+1)),0)</f>
        <v/>
      </c>
      <c r="S665">
        <f>IFERROR(O665/N665,0)</f>
        <v/>
      </c>
      <c r="T665">
        <f>IF(C665,(H665*N665*IF(AND(Inputs!$B$38&lt;&gt;"pvp",Inputs!$B$43&gt;0),((Skills!G6*((R665-1)*IF(Skills!H6&gt;0,Skills!I6/Skills!H6,1)+IF(Skills!H6&gt;0,MIN(Skills!I6,MAX(0,MAX(0,Inputs!$B$43-B695)-((R665-1)*(IF(Inputs!$B$38="pvp",15,MAX(0.1,Skills!D6-IF(Skills!E6=TRUE,Inputs!$B$32,0)))*(1-IF(AND(ArtifactsInput!$M$27,Inputs!$B$4="Chapter Hunt"),CHOOSE(ArtifactsInput!$N$27+1,20,24,28,32,36,40),0)/100)))))/Skills!H6,1)))/Inputs!$B$43),G665*Q665)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665*(1-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665*(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665*(1-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665*(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5">
        <f>IF(C665,(H665*N665*IF(AND(Inputs!$B$38&lt;&gt;"pvp",Inputs!$B$43&gt;0),((Skills!G6*((R665-1)*IF(Skills!H6&gt;0,Skills!I6/Skills!H6,1)+IF(Skills!H6&gt;0,MIN(Skills!I6,MAX(0,MAX(0,Inputs!$B$43-B695)-((R665-1)*(IF(Inputs!$B$38="pvp",15,MAX(0.1,Skills!D6-IF(Skills!E6=TRUE,Inputs!$B$32,0)))*(1-IF(AND(ArtifactsInput!$M$27,Inputs!$B$4="Chapter Hunt"),CHOOSE(ArtifactsInput!$N$27+1,20,24,28,32,36,40),0)/100)))))/Skills!H6,1)))/Inputs!$B$43),G665*Q665)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6">
      <c r="A666">
        <f>Skills!A7</f>
        <v/>
      </c>
      <c r="B666">
        <f>Skills!B7</f>
        <v/>
      </c>
      <c r="C666">
        <f>Inputs!$B$3&gt;=107</f>
        <v/>
      </c>
      <c r="D666">
        <f>IF(Skills!C7=1,60+Inputs!$B$25+Inputs!$B$29,IF(Skills!C7=2,90+Inputs!$B$26+Inputs!$B$29,IF(Skills!C7=3,120+Inputs!$B$27+Inputs!$B$29,MAX(0,(Inputs!$B$3-100)*3)+Inputs!$B$28+Inputs!$B$29)))</f>
        <v/>
      </c>
      <c r="E666">
        <f>INDEX(FactorTable!$B$2:$Y$301, MATCH(ROUND(MIN(300,MAX(1,D666)),0), FactorTable!$A$2:$A$301,0), Skills!M7+1)</f>
        <v/>
      </c>
      <c r="F666">
        <f>IF(Skills!N7=TRUE,(Skills!L7/10)*(E666/1000),Skills!L7/10)+Skills!O7</f>
        <v/>
      </c>
      <c r="G666">
        <f>Skills!G7*IF(Skills!H7&gt;0,Skills!I7/Skills!H7,1)</f>
        <v/>
      </c>
      <c r="H666">
        <f>1-(1-Skills!J7/100)^Skills!K7</f>
        <v/>
      </c>
      <c r="I666" t="inlineStr">
        <is>
          <t>1</t>
        </is>
      </c>
      <c r="J666">
        <f>((Inputs!$B$6*(1+Inputs!$B$7/100))+(((Inputs!$B$12*(1+Inputs!$B$13/100))-(Inputs!$B$12*(1+Inputs!$B$13/100)))+0.25*(Inputs!$B$14-Inputs!$B$14))*(1+Inputs!$B$7/100))*(F666/100)</f>
        <v/>
      </c>
      <c r="K666">
        <f>J666*(1+((Inputs!$B$12*(1+Inputs!$B$13/100))*0.01+Inputs!$B$14*0.0025)/100)*(1+Inputs!$B$15/100)*(1+Inputs!$B$16/100)*(5000/(6000+Inputs!$B$42*(1-(100*(1-(1-(Inputs!$B$19+0)/100)*(1-CHOOSE(ArtifactsInput!$N$40+1,5,6,7,8,9,10)/100)^(ArtifactsInput!$M$40-ArtifactsInput!$M$40)))/100)))*(1+(Inputs!$B$24+((C684=TRUE)*(F684-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+1)+((C680=TRUE)*(F680-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682=TRUE)*(F682-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672=TRUE)*F672*IF(Inputs!$B$3&gt;=110,7,5))+((C674=TRUE)*F674*IF(AND(Inputs!$B$38&lt;&gt;"pvp",Inputs!$B$43&gt;0),(((R674-1)*(Skills!T15*(1+(Inputs!$B$34+(ArtifactsInput!$M$7-ArtifactsInput!$M$7)*CHOOSE(ArtifactsInput!$N$7+1,6,7.2,8.4,9.6,10.8,12))/100))+MIN((Skills!T15*(1+(Inputs!$B$34+(ArtifactsInput!$M$7-ArtifactsInput!$M$7)*CHOOSE(ArtifactsInput!$N$7+1,6,7.2,8.4,9.6,10.8,12))/100)),MAX(0,Inputs!$B$43-((R674-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I666)</f>
        <v/>
      </c>
      <c r="L666">
        <f>K666*(MIN(Inputs!$B$22+((C681=TRUE)*(F681-Calc!F22)),(Inputs!$B$23+((C683=TRUE)*(F683-Calc!F24))+(IF(ArtifactsInput!$M$15,CHOOSE(ArtifactsInput!$N$15+1,25,30,35,40,45,50)/100*(Inputs!$B$11-Inputs!$B$11),0))))/100+(Inputs!$B$23+((C683=TRUE)*(F683-Calc!F24))+(IF(ArtifactsInput!$M$15,CHOOSE(ArtifactsInput!$N$15+1,25,30,35,40,45,50)/100*(Inputs!$B$11-Inputs!$B$11),0)))/100)/2</f>
        <v/>
      </c>
      <c r="M666">
        <f>L666*(1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6">
        <f>L666*(1-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666*(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6">
        <f>(1-Summary!$B$11)*T666+Summary!$B$11*V666</f>
        <v/>
      </c>
      <c r="P666">
        <f>IF(B698=0,0,O666/B698)</f>
        <v/>
      </c>
      <c r="Q666">
        <f>IFERROR(1/(IF(Inputs!$B$38="pvp",15,MAX(0.1,Skills!D7-IF(Skills!E7=TRUE,Inputs!$B$32,0)))*(1-IF(AND(ArtifactsInput!$M$27,Inputs!$B$4="Chapter Hunt"),CHOOSE(ArtifactsInput!$N$27+1,20,24,28,32,36,40),0)/100)),0)</f>
        <v/>
      </c>
      <c r="R666">
        <f>IF(AND(Inputs!$B$38&lt;&gt;"pvp",Inputs!$B$43&gt;0),IF(MAX(0,Inputs!$B$43-B695)&lt;=0,0,(INT(MAX(0,Inputs!$B$43-B695)/(IF(Inputs!$B$38="pvp",15,MAX(0.1,Skills!D7-IF(Skills!E7=TRUE,Inputs!$B$32,0)))*(1-IF(AND(ArtifactsInput!$M$27,Inputs!$B$4="Chapter Hunt"),CHOOSE(ArtifactsInput!$N$27+1,20,24,28,32,36,40),0)/100)))+1)),0)</f>
        <v/>
      </c>
      <c r="S666">
        <f>IFERROR(O666/N666,0)</f>
        <v/>
      </c>
      <c r="T666">
        <f>IF(C666,(H666*N666*IF(AND(Inputs!$B$38&lt;&gt;"pvp",Inputs!$B$43&gt;0),((Skills!G7*((R666-1)*IF(Skills!H7&gt;0,Skills!I7/Skills!H7,1)+IF(Skills!H7&gt;0,MIN(Skills!I7,MAX(0,MAX(0,Inputs!$B$43-B695)-((R666-1)*(IF(Inputs!$B$38="pvp",15,MAX(0.1,Skills!D7-IF(Skills!E7=TRUE,Inputs!$B$32,0)))*(1-IF(AND(ArtifactsInput!$M$27,Inputs!$B$4="Chapter Hunt"),CHOOSE(ArtifactsInput!$N$27+1,20,24,28,32,36,40),0)/100)))))/Skills!H7,1)))/Inputs!$B$43),G666*Q666)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666*(1-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666*(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666*(1-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666*(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6">
        <f>IF(C666,(H666*N666*IF(AND(Inputs!$B$38&lt;&gt;"pvp",Inputs!$B$43&gt;0),((Skills!G7*((R666-1)*IF(Skills!H7&gt;0,Skills!I7/Skills!H7,1)+IF(Skills!H7&gt;0,MIN(Skills!I7,MAX(0,MAX(0,Inputs!$B$43-B695)-((R666-1)*(IF(Inputs!$B$38="pvp",15,MAX(0.1,Skills!D7-IF(Skills!E7=TRUE,Inputs!$B$32,0)))*(1-IF(AND(ArtifactsInput!$M$27,Inputs!$B$4="Chapter Hunt"),CHOOSE(ArtifactsInput!$N$27+1,20,24,28,32,36,40),0)/100)))))/Skills!H7,1)))/Inputs!$B$43),G666*Q666)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7">
      <c r="A667">
        <f>Skills!A8</f>
        <v/>
      </c>
      <c r="B667">
        <f>Skills!B8</f>
        <v/>
      </c>
      <c r="C667">
        <f>Inputs!$B$3&gt;=117</f>
        <v/>
      </c>
      <c r="D667">
        <f>IF(Skills!C8=1,60+Inputs!$B$25+Inputs!$B$29,IF(Skills!C8=2,90+Inputs!$B$26+Inputs!$B$29,IF(Skills!C8=3,120+Inputs!$B$27+Inputs!$B$29,MAX(0,(Inputs!$B$3-100)*3)+Inputs!$B$28+Inputs!$B$29)))</f>
        <v/>
      </c>
      <c r="E667">
        <f>INDEX(FactorTable!$B$2:$Y$301, MATCH(ROUND(MIN(300,MAX(1,D667)),0), FactorTable!$A$2:$A$301,0), Skills!M8+1)</f>
        <v/>
      </c>
      <c r="F667">
        <f>IF(Skills!N8=TRUE,(Skills!L8/10)*(E667/1000),Skills!L8/10)+Skills!O8</f>
        <v/>
      </c>
      <c r="G667">
        <f>Skills!G8*IF(Skills!H8&gt;0,Skills!I8/Skills!H8,1)</f>
        <v/>
      </c>
      <c r="H667">
        <f>1-(1-Skills!J8/100)^Skills!K8</f>
        <v/>
      </c>
      <c r="I667" t="inlineStr">
        <is>
          <t>1</t>
        </is>
      </c>
      <c r="J667">
        <f>((Inputs!$B$6*(1+Inputs!$B$7/100))+(((Inputs!$B$12*(1+Inputs!$B$13/100))-(Inputs!$B$12*(1+Inputs!$B$13/100)))+0.25*(Inputs!$B$14-Inputs!$B$14))*(1+Inputs!$B$7/100))*(F667/100)</f>
        <v/>
      </c>
      <c r="K667">
        <f>J667*(1+((Inputs!$B$12*(1+Inputs!$B$13/100))*0.01+Inputs!$B$14*0.0025)/100)*(1+Inputs!$B$15/100)*(1+Inputs!$B$16/100)*(5000/(6000+Inputs!$B$42*(1-(100*(1-(1-(Inputs!$B$19+0)/100)*(1-CHOOSE(ArtifactsInput!$N$40+1,5,6,7,8,9,10)/100)^(ArtifactsInput!$M$40-ArtifactsInput!$M$40)))/100)))*(1+(Inputs!$B$24+((C684=TRUE)*(F684-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+1)+((C680=TRUE)*(F680-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682=TRUE)*(F682-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672=TRUE)*F672*IF(Inputs!$B$3&gt;=110,7,5))+((C674=TRUE)*F674*IF(AND(Inputs!$B$38&lt;&gt;"pvp",Inputs!$B$43&gt;0),(((R674-1)*(Skills!T15*(1+(Inputs!$B$34+(ArtifactsInput!$M$7-ArtifactsInput!$M$7)*CHOOSE(ArtifactsInput!$N$7+1,6,7.2,8.4,9.6,10.8,12))/100))+MIN((Skills!T15*(1+(Inputs!$B$34+(ArtifactsInput!$M$7-ArtifactsInput!$M$7)*CHOOSE(ArtifactsInput!$N$7+1,6,7.2,8.4,9.6,10.8,12))/100)),MAX(0,Inputs!$B$43-((R674-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I667)</f>
        <v/>
      </c>
      <c r="L667">
        <f>K667*(MIN(Inputs!$B$22+((C681=TRUE)*(F681-Calc!F22)),(Inputs!$B$23+((C683=TRUE)*(F683-Calc!F24))+(IF(ArtifactsInput!$M$15,CHOOSE(ArtifactsInput!$N$15+1,25,30,35,40,45,50)/100*(Inputs!$B$11-Inputs!$B$11),0))))/100+(Inputs!$B$23+((C683=TRUE)*(F683-Calc!F24))+(IF(ArtifactsInput!$M$15,CHOOSE(ArtifactsInput!$N$15+1,25,30,35,40,45,50)/100*(Inputs!$B$11-Inputs!$B$11),0)))/100)/2</f>
        <v/>
      </c>
      <c r="M667">
        <f>L667*(1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7">
        <f>L667*(1-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667*(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7">
        <f>(1-Summary!$B$11)*T667+Summary!$B$11*V667</f>
        <v/>
      </c>
      <c r="P667">
        <f>IF(B698=0,0,O667/B698)</f>
        <v/>
      </c>
      <c r="Q667">
        <f>IFERROR(1/(IF(Inputs!$B$38="pvp",15,MAX(0.1,Skills!D8-IF(Skills!E8=TRUE,Inputs!$B$32,0)))*(1-IF(AND(ArtifactsInput!$M$27,Inputs!$B$4="Chapter Hunt"),CHOOSE(ArtifactsInput!$N$27+1,20,24,28,32,36,40),0)/100)),0)</f>
        <v/>
      </c>
      <c r="R667">
        <f>IF(AND(Inputs!$B$38&lt;&gt;"pvp",Inputs!$B$43&gt;0),IF(MAX(0,Inputs!$B$43-B695)&lt;=0,0,(INT(MAX(0,Inputs!$B$43-B695)/(IF(Inputs!$B$38="pvp",15,MAX(0.1,Skills!D8-IF(Skills!E8=TRUE,Inputs!$B$32,0)))*(1-IF(AND(ArtifactsInput!$M$27,Inputs!$B$4="Chapter Hunt"),CHOOSE(ArtifactsInput!$N$27+1,20,24,28,32,36,40),0)/100)))+1)),0)</f>
        <v/>
      </c>
      <c r="S667">
        <f>IFERROR(O667/N667,0)</f>
        <v/>
      </c>
      <c r="T667">
        <f>IF(C667,(H667*N667*IF(AND(Inputs!$B$38&lt;&gt;"pvp",Inputs!$B$43&gt;0),((Skills!G8*((R667-1)*IF(Skills!H8&gt;0,Skills!I8/Skills!H8,1)+IF(Skills!H8&gt;0,MIN(Skills!I8,MAX(0,MAX(0,Inputs!$B$43-B695)-((R667-1)*(IF(Inputs!$B$38="pvp",15,MAX(0.1,Skills!D8-IF(Skills!E8=TRUE,Inputs!$B$32,0)))*(1-IF(AND(ArtifactsInput!$M$27,Inputs!$B$4="Chapter Hunt"),CHOOSE(ArtifactsInput!$N$27+1,20,24,28,32,36,40),0)/100)))))/Skills!H8,1)))/Inputs!$B$43),G667*Q667)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667*(1-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667*(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667*(1-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667*(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7">
        <f>IF(C667,(H667*N667*IF(AND(Inputs!$B$38&lt;&gt;"pvp",Inputs!$B$43&gt;0),((Skills!G8*((R667-1)*IF(Skills!H8&gt;0,Skills!I8/Skills!H8,1)+IF(Skills!H8&gt;0,MIN(Skills!I8,MAX(0,MAX(0,Inputs!$B$43-B695)-((R667-1)*(IF(Inputs!$B$38="pvp",15,MAX(0.1,Skills!D8-IF(Skills!E8=TRUE,Inputs!$B$32,0)))*(1-IF(AND(ArtifactsInput!$M$27,Inputs!$B$4="Chapter Hunt"),CHOOSE(ArtifactsInput!$N$27+1,20,24,28,32,36,40),0)/100)))))/Skills!H8,1)))/Inputs!$B$43),G667*Q667)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8">
      <c r="A668">
        <f>Skills!A9</f>
        <v/>
      </c>
      <c r="B668">
        <f>Skills!B9</f>
        <v/>
      </c>
      <c r="C668">
        <f>Inputs!$B$3&gt;=69</f>
        <v/>
      </c>
      <c r="D668">
        <f>IF(Skills!C9=1,60+Inputs!$B$25+Inputs!$B$29,IF(Skills!C9=2,90+Inputs!$B$26+Inputs!$B$29,IF(Skills!C9=3,120+Inputs!$B$27+Inputs!$B$29,MAX(0,(Inputs!$B$3-100)*3)+Inputs!$B$28+Inputs!$B$29)))</f>
        <v/>
      </c>
      <c r="E668">
        <f>INDEX(FactorTable!$B$2:$Y$301, MATCH(ROUND(MIN(300,MAX(1,D668)),0), FactorTable!$A$2:$A$301,0), Skills!M9+1)</f>
        <v/>
      </c>
      <c r="F668">
        <f>IF(Skills!N9=TRUE,(Skills!L9/10)*(E668/1000),Skills!L9/10)+Skills!O9</f>
        <v/>
      </c>
      <c r="G668">
        <f>Skills!G9*IF(Skills!H9&gt;0,Skills!I9/Skills!H9,1)</f>
        <v/>
      </c>
      <c r="H668">
        <f>1-(1-Skills!J9/100)^Skills!K9</f>
        <v/>
      </c>
      <c r="I668" t="inlineStr">
        <is>
          <t>1</t>
        </is>
      </c>
      <c r="J668">
        <f>((Inputs!$B$6*(1+Inputs!$B$7/100))+(((Inputs!$B$12*(1+Inputs!$B$13/100))-(Inputs!$B$12*(1+Inputs!$B$13/100)))+0.25*(Inputs!$B$14-Inputs!$B$14))*(1+Inputs!$B$7/100))*(F668/100)</f>
        <v/>
      </c>
      <c r="K668">
        <f>J668*(1+((Inputs!$B$12*(1+Inputs!$B$13/100))*0.01+Inputs!$B$14*0.0025)/100)*(1+Inputs!$B$15/100)*(1+Inputs!$B$16/100)*(5000/(6000+Inputs!$B$42*(1-(100*(1-(1-(Inputs!$B$19+0)/100)*(1-CHOOSE(ArtifactsInput!$N$40+1,5,6,7,8,9,10)/100)^(ArtifactsInput!$M$40-ArtifactsInput!$M$40)))/100)))*(1+(Inputs!$B$24+((C684=TRUE)*(F684-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671=TRUE,F671,0)/100)*(1+IF(Skills!A9="ENHANCED_RAGING_BLOW",IF(Inputs!$B$3&gt;=134,MAX(0,IF(Inputs!$B$3&gt;=110,7,5)-5)*50,0),0)/100)*(1+(IF(Skills!A9="RAGING_BLOW",(Inputs!$B$17+1)+((C680=TRUE)*(F680-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682=TRUE)*(F682-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672=TRUE)*F672*IF(Inputs!$B$3&gt;=110,7,5))+((C674=TRUE)*F674*IF(AND(Inputs!$B$38&lt;&gt;"pvp",Inputs!$B$43&gt;0),(((R674-1)*(Skills!T15*(1+(Inputs!$B$34+(ArtifactsInput!$M$7-ArtifactsInput!$M$7)*CHOOSE(ArtifactsInput!$N$7+1,6,7.2,8.4,9.6,10.8,12))/100))+MIN((Skills!T15*(1+(Inputs!$B$34+(ArtifactsInput!$M$7-ArtifactsInput!$M$7)*CHOOSE(ArtifactsInput!$N$7+1,6,7.2,8.4,9.6,10.8,12))/100)),MAX(0,Inputs!$B$43-((R674-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I668)</f>
        <v/>
      </c>
      <c r="L668">
        <f>K668*(MIN(Inputs!$B$22+((C681=TRUE)*(F681-Calc!F22)),(Inputs!$B$23+((C683=TRUE)*(F683-Calc!F24))+(IF(ArtifactsInput!$M$15,CHOOSE(ArtifactsInput!$N$15+1,25,30,35,40,45,50)/100*(Inputs!$B$11-Inputs!$B$11),0))))/100+(Inputs!$B$23+((C683=TRUE)*(F683-Calc!F24))+(IF(ArtifactsInput!$M$15,CHOOSE(ArtifactsInput!$N$15+1,25,30,35,40,45,50)/100*(Inputs!$B$11-Inputs!$B$11),0)))/100)/2</f>
        <v/>
      </c>
      <c r="M668">
        <f>L668*(1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8">
        <f>L668*(1-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668*(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8">
        <f>(1-Summary!$B$11)*T668+Summary!$B$11*V668</f>
        <v/>
      </c>
      <c r="P668">
        <f>IF(B698=0,0,O668/B698)</f>
        <v/>
      </c>
      <c r="Q668">
        <f>IFERROR(1/(IF(Inputs!$B$38="pvp",15,MAX(0.1,Skills!D9-IF(Skills!E9=TRUE,Inputs!$B$32,0)))*(1-IF(AND(ArtifactsInput!$M$27,Inputs!$B$4="Chapter Hunt"),CHOOSE(ArtifactsInput!$N$27+1,20,24,28,32,36,40),0)/100)),0)</f>
        <v/>
      </c>
      <c r="R668">
        <f>IF(AND(Inputs!$B$38&lt;&gt;"pvp",Inputs!$B$43&gt;0),IF(MAX(0,Inputs!$B$43-B695)&lt;=0,0,(INT(MAX(0,Inputs!$B$43-B695)/(IF(Inputs!$B$38="pvp",15,MAX(0.1,Skills!D9-IF(Skills!E9=TRUE,Inputs!$B$32,0)))*(1-IF(AND(ArtifactsInput!$M$27,Inputs!$B$4="Chapter Hunt"),CHOOSE(ArtifactsInput!$N$27+1,20,24,28,32,36,40),0)/100)))+1)),0)</f>
        <v/>
      </c>
      <c r="S668">
        <f>IFERROR(O668/N668,0)</f>
        <v/>
      </c>
      <c r="T668">
        <f>IF(C668,(H668*N668*IF(AND(Inputs!$B$38&lt;&gt;"pvp",Inputs!$B$43&gt;0),((Skills!G9*((R668-1)*IF(Skills!H9&gt;0,Skills!I9/Skills!H9,1)+IF(Skills!H9&gt;0,MIN(Skills!I9,MAX(0,MAX(0,Inputs!$B$43-B695)-((R668-1)*(IF(Inputs!$B$38="pvp",15,MAX(0.1,Skills!D9-IF(Skills!E9=TRUE,Inputs!$B$32,0)))*(1-IF(AND(ArtifactsInput!$M$27,Inputs!$B$4="Chapter Hunt"),CHOOSE(ArtifactsInput!$N$27+1,20,24,28,32,36,40),0)/100)))))/Skills!H9,1)))/Inputs!$B$43),G668*Q668)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668*(1-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668*(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668*(1-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668*(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8">
        <f>IF(C668,(H668*N668*IF(AND(Inputs!$B$38&lt;&gt;"pvp",Inputs!$B$43&gt;0),((Skills!G9*((R668-1)*IF(Skills!H9&gt;0,Skills!I9/Skills!H9,1)+IF(Skills!H9&gt;0,MIN(Skills!I9,MAX(0,MAX(0,Inputs!$B$43-B695)-((R668-1)*(IF(Inputs!$B$38="pvp",15,MAX(0.1,Skills!D9-IF(Skills!E9=TRUE,Inputs!$B$32,0)))*(1-IF(AND(ArtifactsInput!$M$27,Inputs!$B$4="Chapter Hunt"),CHOOSE(ArtifactsInput!$N$27+1,20,24,28,32,36,40),0)/100)))))/Skills!H9,1)))/Inputs!$B$43),G668*Q668)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9">
      <c r="A669">
        <f>Skills!A10</f>
        <v/>
      </c>
      <c r="B669">
        <f>Skills!B10</f>
        <v/>
      </c>
      <c r="C669">
        <f>Inputs!$B$3&gt;=63</f>
        <v/>
      </c>
      <c r="D669">
        <f>IF(Skills!C10=1,60+Inputs!$B$25+Inputs!$B$29,IF(Skills!C10=2,90+Inputs!$B$26+Inputs!$B$29,IF(Skills!C10=3,120+Inputs!$B$27+Inputs!$B$29,MAX(0,(Inputs!$B$3-100)*3)+Inputs!$B$28+Inputs!$B$29)))</f>
        <v/>
      </c>
      <c r="E669">
        <f>INDEX(FactorTable!$B$2:$Y$301, MATCH(ROUND(MIN(300,MAX(1,D669)),0), FactorTable!$A$2:$A$301,0), Skills!M10+1)</f>
        <v/>
      </c>
      <c r="F669">
        <f>IF(Skills!N10=TRUE,(Skills!L10/10)*(E669/1000),Skills!L10/10)+Skills!O10</f>
        <v/>
      </c>
      <c r="G669">
        <f>Skills!G10*IF(Skills!H10&gt;0,Skills!I10/Skills!H10,1)</f>
        <v/>
      </c>
      <c r="H669">
        <f>1-(1-Skills!J10/100)^Skills!K10</f>
        <v/>
      </c>
      <c r="I669" t="inlineStr">
        <is>
          <t>1</t>
        </is>
      </c>
      <c r="J669">
        <f>((Inputs!$B$6*(1+Inputs!$B$7/100))+(((Inputs!$B$12*(1+Inputs!$B$13/100))-(Inputs!$B$12*(1+Inputs!$B$13/100)))+0.25*(Inputs!$B$14-Inputs!$B$14))*(1+Inputs!$B$7/100))*(F669/100)</f>
        <v/>
      </c>
      <c r="K669">
        <f>J669*(1+((Inputs!$B$12*(1+Inputs!$B$13/100))*0.01+Inputs!$B$14*0.0025)/100)*(1+Inputs!$B$15/100)*(1+Inputs!$B$16/100)*(5000/(6000+Inputs!$B$42*(1-(100*(1-(1-(Inputs!$B$19+0)/100)*(1-CHOOSE(ArtifactsInput!$N$40+1,5,6,7,8,9,10)/100)^(ArtifactsInput!$M$40-ArtifactsInput!$M$40)))/100)))*(1+(Inputs!$B$24+((C684=TRUE)*(F684-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671=TRUE,F671,0)/100)*(1+IF(Skills!A10="ENHANCED_RAGING_BLOW",IF(Inputs!$B$3&gt;=134,MAX(0,IF(Inputs!$B$3&gt;=110,7,5)-5)*50,0),0)/100)*(1+(IF(Skills!A10="RAGING_BLOW",(Inputs!$B$17+1)+((C680=TRUE)*(F680-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682=TRUE)*(F682-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672=TRUE)*F672*IF(Inputs!$B$3&gt;=110,7,5))+((C674=TRUE)*F674*IF(AND(Inputs!$B$38&lt;&gt;"pvp",Inputs!$B$43&gt;0),(((R674-1)*(Skills!T15*(1+(Inputs!$B$34+(ArtifactsInput!$M$7-ArtifactsInput!$M$7)*CHOOSE(ArtifactsInput!$N$7+1,6,7.2,8.4,9.6,10.8,12))/100))+MIN((Skills!T15*(1+(Inputs!$B$34+(ArtifactsInput!$M$7-ArtifactsInput!$M$7)*CHOOSE(ArtifactsInput!$N$7+1,6,7.2,8.4,9.6,10.8,12))/100)),MAX(0,Inputs!$B$43-((R674-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I669)</f>
        <v/>
      </c>
      <c r="L669">
        <f>K669*(MIN(Inputs!$B$22+((C681=TRUE)*(F681-Calc!F22)),(Inputs!$B$23+((C683=TRUE)*(F683-Calc!F24))+(IF(ArtifactsInput!$M$15,CHOOSE(ArtifactsInput!$N$15+1,25,30,35,40,45,50)/100*(Inputs!$B$11-Inputs!$B$11),0))))/100+(Inputs!$B$23+((C683=TRUE)*(F683-Calc!F24))+(IF(ArtifactsInput!$M$15,CHOOSE(ArtifactsInput!$N$15+1,25,30,35,40,45,50)/100*(Inputs!$B$11-Inputs!$B$11),0)))/100)/2</f>
        <v/>
      </c>
      <c r="M669">
        <f>L669*(1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9">
        <f>L669*(1-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669*(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9">
        <f>(1-Summary!$B$11)*T669+Summary!$B$11*V669</f>
        <v/>
      </c>
      <c r="P669">
        <f>IF(B698=0,0,O669/B698)</f>
        <v/>
      </c>
      <c r="Q669">
        <f>IFERROR(1/(IF(Inputs!$B$38="pvp",15,MAX(0.1,Skills!D10-IF(Skills!E10=TRUE,Inputs!$B$32,0)))*(1-IF(AND(ArtifactsInput!$M$27,Inputs!$B$4="Chapter Hunt"),CHOOSE(ArtifactsInput!$N$27+1,20,24,28,32,36,40),0)/100)),0)</f>
        <v/>
      </c>
      <c r="R669">
        <f>IF(AND(Inputs!$B$38&lt;&gt;"pvp",Inputs!$B$43&gt;0),IF(MAX(0,Inputs!$B$43-B695)&lt;=0,0,(INT(MAX(0,Inputs!$B$43-B695)/(IF(Inputs!$B$38="pvp",15,MAX(0.1,Skills!D10-IF(Skills!E10=TRUE,Inputs!$B$32,0)))*(1-IF(AND(ArtifactsInput!$M$27,Inputs!$B$4="Chapter Hunt"),CHOOSE(ArtifactsInput!$N$27+1,20,24,28,32,36,40),0)/100)))+1)),0)</f>
        <v/>
      </c>
      <c r="S669">
        <f>IFERROR(O669/N669,0)</f>
        <v/>
      </c>
      <c r="T669">
        <f>IF(C669,(H669*N669*IF(AND(Inputs!$B$38&lt;&gt;"pvp",Inputs!$B$43&gt;0),((Skills!G10*((R669-1)*IF(Skills!H10&gt;0,Skills!I10/Skills!H10,1)+IF(Skills!H10&gt;0,MIN(Skills!I10,MAX(0,MAX(0,Inputs!$B$43-B695)-((R669-1)*(IF(Inputs!$B$38="pvp",15,MAX(0.1,Skills!D10-IF(Skills!E10=TRUE,Inputs!$B$32,0)))*(1-IF(AND(ArtifactsInput!$M$27,Inputs!$B$4="Chapter Hunt"),CHOOSE(ArtifactsInput!$N$27+1,20,24,28,32,36,40),0)/100)))))/Skills!H10,1)))/Inputs!$B$43),G669*Q669)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669*(1-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669*(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669*(1-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669*(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9">
        <f>IF(C669,(H669*N669*IF(AND(Inputs!$B$38&lt;&gt;"pvp",Inputs!$B$43&gt;0),((Skills!G10*((R669-1)*IF(Skills!H10&gt;0,Skills!I10/Skills!H10,1)+IF(Skills!H10&gt;0,MIN(Skills!I10,MAX(0,MAX(0,Inputs!$B$43-B695)-((R669-1)*(IF(Inputs!$B$38="pvp",15,MAX(0.1,Skills!D10-IF(Skills!E10=TRUE,Inputs!$B$32,0)))*(1-IF(AND(ArtifactsInput!$M$27,Inputs!$B$4="Chapter Hunt"),CHOOSE(ArtifactsInput!$N$27+1,20,24,28,32,36,40),0)/100)))))/Skills!H10,1)))/Inputs!$B$43),G669*Q669)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0">
      <c r="A670">
        <f>Skills!A11</f>
        <v/>
      </c>
      <c r="B670">
        <f>Skills!B11</f>
        <v/>
      </c>
      <c r="C670">
        <f>Inputs!$B$3&gt;=35</f>
        <v/>
      </c>
      <c r="D670">
        <f>IF(Skills!C11=1,60+Inputs!$B$25+Inputs!$B$29,IF(Skills!C11=2,90+Inputs!$B$26+Inputs!$B$29,IF(Skills!C11=3,120+Inputs!$B$27+Inputs!$B$29,MAX(0,(Inputs!$B$3-100)*3)+Inputs!$B$28+Inputs!$B$29)))</f>
        <v/>
      </c>
      <c r="E670">
        <f>INDEX(FactorTable!$B$2:$Y$301, MATCH(ROUND(MIN(300,MAX(1,D670)),0), FactorTable!$A$2:$A$301,0), Skills!M11+1)</f>
        <v/>
      </c>
      <c r="F670">
        <f>IF(Skills!N11=TRUE,(Skills!L11/10)*(E670/1000),Skills!L11/10)+Skills!O11</f>
        <v/>
      </c>
      <c r="G670">
        <f>Skills!G11*IF(Skills!H11&gt;0,Skills!I11/Skills!H11,1)</f>
        <v/>
      </c>
      <c r="H670">
        <f>1-(1-Skills!J11/100)^Skills!K11</f>
        <v/>
      </c>
      <c r="I670" t="inlineStr">
        <is>
          <t>1</t>
        </is>
      </c>
      <c r="J670">
        <f>((Inputs!$B$6*(1+Inputs!$B$7/100))+(((Inputs!$B$12*(1+Inputs!$B$13/100))-(Inputs!$B$12*(1+Inputs!$B$13/100)))+0.25*(Inputs!$B$14-Inputs!$B$14))*(1+Inputs!$B$7/100))*(F670/100)</f>
        <v/>
      </c>
      <c r="K670">
        <f>J670*(1+((Inputs!$B$12*(1+Inputs!$B$13/100))*0.01+Inputs!$B$14*0.0025)/100)*(1+Inputs!$B$15/100)*(1+Inputs!$B$16/100)*(5000/(6000+Inputs!$B$42*(1-(100*(1-(1-(Inputs!$B$19+0)/100)*(1-CHOOSE(ArtifactsInput!$N$40+1,5,6,7,8,9,10)/100)^(ArtifactsInput!$M$40-ArtifactsInput!$M$40)))/100)))*(1+(Inputs!$B$24+((C684=TRUE)*(F684-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671=TRUE,F671,0)/100)*(1+IF(Skills!A11="ENHANCED_RAGING_BLOW",IF(Inputs!$B$3&gt;=134,MAX(0,IF(Inputs!$B$3&gt;=110,7,5)-5)*50,0),0)/100)*(1+(IF(Skills!A11="RAGING_BLOW",(Inputs!$B$17+1)+((C680=TRUE)*(F680-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682=TRUE)*(F682-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672=TRUE)*F672*IF(Inputs!$B$3&gt;=110,7,5))+((C674=TRUE)*F674*IF(AND(Inputs!$B$38&lt;&gt;"pvp",Inputs!$B$43&gt;0),(((R674-1)*(Skills!T15*(1+(Inputs!$B$34+(ArtifactsInput!$M$7-ArtifactsInput!$M$7)*CHOOSE(ArtifactsInput!$N$7+1,6,7.2,8.4,9.6,10.8,12))/100))+MIN((Skills!T15*(1+(Inputs!$B$34+(ArtifactsInput!$M$7-ArtifactsInput!$M$7)*CHOOSE(ArtifactsInput!$N$7+1,6,7.2,8.4,9.6,10.8,12))/100)),MAX(0,Inputs!$B$43-((R674-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I670)</f>
        <v/>
      </c>
      <c r="L670">
        <f>K670*(MIN(Inputs!$B$22+((C681=TRUE)*(F681-Calc!F22)),(Inputs!$B$23+((C683=TRUE)*(F683-Calc!F24))+(IF(ArtifactsInput!$M$15,CHOOSE(ArtifactsInput!$N$15+1,25,30,35,40,45,50)/100*(Inputs!$B$11-Inputs!$B$11),0))))/100+(Inputs!$B$23+((C683=TRUE)*(F683-Calc!F24))+(IF(ArtifactsInput!$M$15,CHOOSE(ArtifactsInput!$N$15+1,25,30,35,40,45,50)/100*(Inputs!$B$11-Inputs!$B$11),0)))/100)/2</f>
        <v/>
      </c>
      <c r="M670">
        <f>L670*(1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0">
        <f>L670*(1-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670*(MIN((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0">
        <f>(1-Summary!$B$11)*T670+Summary!$B$11*V670</f>
        <v/>
      </c>
      <c r="P670">
        <f>IF(B698=0,0,O670/B698)</f>
        <v/>
      </c>
      <c r="Q670">
        <f>IFERROR(1/(IF(Inputs!$B$38="pvp",15,MAX(0.1,Skills!D11-IF(Skills!E11=TRUE,Inputs!$B$32,0)))*(1-IF(AND(ArtifactsInput!$M$27,Inputs!$B$4="Chapter Hunt"),CHOOSE(ArtifactsInput!$N$27+1,20,24,28,32,36,40),0)/100)),0)</f>
        <v/>
      </c>
      <c r="R670">
        <f>IF(AND(Inputs!$B$38&lt;&gt;"pvp",Inputs!$B$43&gt;0),IF(MAX(0,Inputs!$B$43-B695)&lt;=0,0,(INT(MAX(0,Inputs!$B$43-B695)/(IF(Inputs!$B$38="pvp",15,MAX(0.1,Skills!D11-IF(Skills!E11=TRUE,Inputs!$B$32,0)))*(1-IF(AND(ArtifactsInput!$M$27,Inputs!$B$4="Chapter Hunt"),CHOOSE(ArtifactsInput!$N$27+1,20,24,28,32,36,40),0)/100)))+1)),0)</f>
        <v/>
      </c>
      <c r="S670">
        <f>IFERROR(O670/N670,0)</f>
        <v/>
      </c>
      <c r="T670">
        <f>IF(C670,(H670*N670*IF(AND(Inputs!$B$38&lt;&gt;"pvp",Inputs!$B$43&gt;0),((Skills!G11*((R670-1)*IF(Skills!H11&gt;0,Skills!I11/Skills!H11,1)+IF(Skills!H11&gt;0,MIN(Skills!I11,MAX(0,MAX(0,Inputs!$B$43-B695)-((R670-1)*(IF(Inputs!$B$38="pvp",15,MAX(0.1,Skills!D11-IF(Skills!E11=TRUE,Inputs!$B$32,0)))*(1-IF(AND(ArtifactsInput!$M$27,Inputs!$B$4="Chapter Hunt"),CHOOSE(ArtifactsInput!$N$27+1,20,24,28,32,36,40),0)/100)))))/Skills!H11,1)))/Inputs!$B$43),G670*Q670)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670*(1-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670*(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670*(1-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670*(MIN(100,(Inputs!$B$9+((C685=TRUE)*(F685-Calc!F26))+B688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70">
        <f>IF(C670,(H670*N670*IF(AND(Inputs!$B$38&lt;&gt;"pvp",Inputs!$B$43&gt;0),((Skills!G11*((R670-1)*IF(Skills!H11&gt;0,Skills!I11/Skills!H11,1)+IF(Skills!H11&gt;0,MIN(Skills!I11,MAX(0,MAX(0,Inputs!$B$43-B695)-((R670-1)*(IF(Inputs!$B$38="pvp",15,MAX(0.1,Skills!D11-IF(Skills!E11=TRUE,Inputs!$B$32,0)))*(1-IF(AND(ArtifactsInput!$M$27,Inputs!$B$4="Chapter Hunt"),CHOOSE(ArtifactsInput!$N$27+1,20,24,28,32,36,40),0)/100)))))/Skills!H11,1)))/Inputs!$B$43),G670*Q670)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1">
      <c r="A671">
        <f>Skills!A12</f>
        <v/>
      </c>
      <c r="B671">
        <f>Skills!B12</f>
        <v/>
      </c>
      <c r="C671">
        <f>Inputs!$B$3&gt;=100</f>
        <v/>
      </c>
      <c r="D671">
        <f>IF(Skills!C12=1,60+Inputs!$B$25+Inputs!$B$29,IF(Skills!C12=2,90+Inputs!$B$26+Inputs!$B$29,IF(Skills!C12=3,120+Inputs!$B$27+Inputs!$B$29,MAX(0,(Inputs!$B$3-100)*3)+Inputs!$B$28+Inputs!$B$29)))</f>
        <v/>
      </c>
      <c r="E671">
        <f>INDEX(FactorTable!$B$2:$Y$301, MATCH(ROUND(MIN(300,MAX(1,D671)),0), FactorTable!$A$2:$A$301,0), Skills!M12+1)</f>
        <v/>
      </c>
      <c r="F671">
        <f>IF(Skills!N12=TRUE,(Skills!L12/10)*(E671/1000),Skills!L12/10)+Skills!O12</f>
        <v/>
      </c>
      <c r="G671" t="inlineStr"/>
      <c r="H671" t="inlineStr"/>
      <c r="I671" t="inlineStr">
        <is>
          <t>1</t>
        </is>
      </c>
      <c r="J671" t="inlineStr"/>
      <c r="K671" t="inlineStr"/>
      <c r="L671" t="inlineStr"/>
      <c r="M671" t="inlineStr"/>
      <c r="N671" t="inlineStr"/>
      <c r="O671" t="inlineStr"/>
      <c r="P671" t="inlineStr"/>
      <c r="Q671" t="inlineStr"/>
      <c r="R671" t="inlineStr"/>
      <c r="S671" t="inlineStr"/>
    </row>
    <row r="672">
      <c r="A672">
        <f>Skills!A13</f>
        <v/>
      </c>
      <c r="B672">
        <f>Skills!B13</f>
        <v/>
      </c>
      <c r="C672">
        <f>Inputs!$B$3&gt;=45</f>
        <v/>
      </c>
      <c r="D672">
        <f>IF(Skills!C13=1,60+Inputs!$B$25+Inputs!$B$29,IF(Skills!C13=2,90+Inputs!$B$26+Inputs!$B$29,IF(Skills!C13=3,120+Inputs!$B$27+Inputs!$B$29,MAX(0,(Inputs!$B$3-100)*3)+Inputs!$B$28+Inputs!$B$29)))</f>
        <v/>
      </c>
      <c r="E672">
        <f>INDEX(FactorTable!$B$2:$Y$301, MATCH(ROUND(MIN(300,MAX(1,D672)),0), FactorTable!$A$2:$A$301,0), Skills!M13+1)</f>
        <v/>
      </c>
      <c r="F672">
        <f>IF(Skills!N13=TRUE,(Skills!L13/10)*(E672/1000),Skills!L13/10)+Skills!O13</f>
        <v/>
      </c>
      <c r="G672">
        <f>Skills!G13*IF(Skills!H13&gt;0,Skills!I13/Skills!H13,1)</f>
        <v/>
      </c>
      <c r="H672">
        <f>1-(1-Skills!J13/100)^Skills!K13</f>
        <v/>
      </c>
      <c r="I672" t="inlineStr">
        <is>
          <t>1</t>
        </is>
      </c>
      <c r="J672" t="inlineStr"/>
      <c r="K672" t="inlineStr"/>
      <c r="L672" t="inlineStr"/>
      <c r="M672" t="inlineStr"/>
      <c r="N672" t="inlineStr"/>
      <c r="O672">
        <f>(1-Summary!$B$11)*T672+Summary!$B$11*V672</f>
        <v/>
      </c>
      <c r="P672">
        <f>IF(B698=0,0,O672/B698)</f>
        <v/>
      </c>
      <c r="Q672" t="n">
        <v>0</v>
      </c>
      <c r="R672" t="n">
        <v>0</v>
      </c>
      <c r="S672">
        <f>IFERROR(O672/N672,0)</f>
        <v/>
      </c>
      <c r="T672" t="n">
        <v>0</v>
      </c>
      <c r="V672" t="n">
        <v>0</v>
      </c>
    </row>
    <row r="673">
      <c r="A673">
        <f>Skills!A14</f>
        <v/>
      </c>
      <c r="B673">
        <f>Skills!B14</f>
        <v/>
      </c>
      <c r="C673">
        <f>Inputs!$B$3&gt;=75</f>
        <v/>
      </c>
      <c r="D673">
        <f>IF(Skills!C14=1,60+Inputs!$B$25+Inputs!$B$29,IF(Skills!C14=2,90+Inputs!$B$26+Inputs!$B$29,IF(Skills!C14=3,120+Inputs!$B$27+Inputs!$B$29,MAX(0,(Inputs!$B$3-100)*3)+Inputs!$B$28+Inputs!$B$29)))</f>
        <v/>
      </c>
      <c r="E673">
        <f>INDEX(FactorTable!$B$2:$Y$301, MATCH(ROUND(MIN(300,MAX(1,D673)),0), FactorTable!$A$2:$A$301,0), Skills!M14+1)</f>
        <v/>
      </c>
      <c r="F673">
        <f>IF(Skills!N14=TRUE,(Skills!L14/10)*(E673/1000),Skills!L14/10)+Skills!O14</f>
        <v/>
      </c>
      <c r="G673">
        <f>Skills!G14*IF(Skills!H14&gt;0,Skills!I14/Skills!H14,1)</f>
        <v/>
      </c>
      <c r="H673">
        <f>1-(1-Skills!J14/100)^Skills!K14</f>
        <v/>
      </c>
      <c r="I673" t="inlineStr">
        <is>
          <t>1</t>
        </is>
      </c>
      <c r="J673" t="inlineStr"/>
      <c r="K673" t="inlineStr"/>
      <c r="L673" t="inlineStr"/>
      <c r="M673" t="inlineStr"/>
      <c r="N673" t="inlineStr"/>
      <c r="O673">
        <f>(1-Summary!$B$11)*T673+Summary!$B$11*V673</f>
        <v/>
      </c>
      <c r="P673">
        <f>IF(B698=0,0,O673/B698)</f>
        <v/>
      </c>
      <c r="Q673" t="n">
        <v>0</v>
      </c>
      <c r="R673" t="n">
        <v>0</v>
      </c>
      <c r="S673">
        <f>IFERROR(O673/N673,0)</f>
        <v/>
      </c>
      <c r="T673" t="n">
        <v>0</v>
      </c>
      <c r="V673" t="n">
        <v>0</v>
      </c>
    </row>
    <row r="674">
      <c r="A674">
        <f>Skills!A15</f>
        <v/>
      </c>
      <c r="B674">
        <f>Skills!B15</f>
        <v/>
      </c>
      <c r="C674">
        <f>Inputs!$B$3&gt;=40</f>
        <v/>
      </c>
      <c r="D674">
        <f>IF(Skills!C15=1,60+Inputs!$B$25+Inputs!$B$29,IF(Skills!C15=2,90+Inputs!$B$26+Inputs!$B$29,IF(Skills!C15=3,120+Inputs!$B$27+Inputs!$B$29,MAX(0,(Inputs!$B$3-100)*3)+Inputs!$B$28+Inputs!$B$29)))</f>
        <v/>
      </c>
      <c r="E674">
        <f>INDEX(FactorTable!$B$2:$Y$301, MATCH(ROUND(MIN(300,MAX(1,D674)),0), FactorTable!$A$2:$A$301,0), Skills!M15+1)</f>
        <v/>
      </c>
      <c r="F674">
        <f>IF(Skills!N15=TRUE,(Skills!L15/10)*(E674/1000),Skills!L15/10)+Skills!O15</f>
        <v/>
      </c>
      <c r="G674">
        <f>Skills!G15*IF(Skills!H15&gt;0,Skills!I15/Skills!H15,1)</f>
        <v/>
      </c>
      <c r="H674">
        <f>1-(1-Skills!J15/100)^Skills!K15</f>
        <v/>
      </c>
      <c r="I674" t="inlineStr">
        <is>
          <t>1</t>
        </is>
      </c>
      <c r="J674" t="inlineStr"/>
      <c r="K674" t="inlineStr"/>
      <c r="L674" t="inlineStr"/>
      <c r="M674" t="inlineStr"/>
      <c r="N674" t="inlineStr"/>
      <c r="O674">
        <f>(1-Summary!$B$11)*T674+Summary!$B$11*V674</f>
        <v/>
      </c>
      <c r="P674">
        <f>IF(B698=0,0,O674/B698)</f>
        <v/>
      </c>
      <c r="Q674">
        <f>IFERROR(1/(IF(Inputs!$B$38="pvp",15,MAX(0.1,Skills!D15-IF(Skills!E15=TRUE,Inputs!$B$32,0)))*(1-IF(AND(ArtifactsInput!$M$27,Inputs!$B$4="Chapter Hunt"),CHOOSE(ArtifactsInput!$N$27+1,20,24,28,32,36,40),0)/100)),0)</f>
        <v/>
      </c>
      <c r="R674">
        <f>IF(AND(Inputs!$B$38&lt;&gt;"pvp",Inputs!$B$43&gt;0),IF(Inputs!$B$43&lt;=0,0,(INT(Inputs!$B$43/(IF(Inputs!$B$38="pvp",15,MAX(0.1,Skills!D15-IF(Skills!E15=TRUE,Inputs!$B$32,0)))*(1-IF(AND(ArtifactsInput!$M$27,Inputs!$B$4="Chapter Hunt"),CHOOSE(ArtifactsInput!$N$27+1,20,24,28,32,36,40),0)/100)))+1)),0)</f>
        <v/>
      </c>
      <c r="S674">
        <f>IFERROR(O674/N674,0)</f>
        <v/>
      </c>
      <c r="T674" t="n">
        <v>0</v>
      </c>
      <c r="V674" t="n">
        <v>0</v>
      </c>
    </row>
    <row r="675">
      <c r="A675">
        <f>Skills!A16</f>
        <v/>
      </c>
      <c r="B675">
        <f>Skills!B16</f>
        <v/>
      </c>
      <c r="C675">
        <f>Inputs!$B$3&gt;=66</f>
        <v/>
      </c>
      <c r="D675">
        <f>IF(Skills!C16=1,60+Inputs!$B$25+Inputs!$B$29,IF(Skills!C16=2,90+Inputs!$B$26+Inputs!$B$29,IF(Skills!C16=3,120+Inputs!$B$27+Inputs!$B$29,MAX(0,(Inputs!$B$3-100)*3)+Inputs!$B$28+Inputs!$B$29)))</f>
        <v/>
      </c>
      <c r="E675">
        <f>INDEX(FactorTable!$B$2:$Y$301, MATCH(ROUND(MIN(300,MAX(1,D675)),0), FactorTable!$A$2:$A$301,0), Skills!M16+1)</f>
        <v/>
      </c>
      <c r="F675">
        <f>IF(Skills!N16=TRUE,(Skills!L16/10)*(E675/1000),Skills!L16/10)+Skills!O16</f>
        <v/>
      </c>
      <c r="G675">
        <f>Skills!G16*IF(Skills!H16&gt;0,Skills!I16/Skills!H16,1)</f>
        <v/>
      </c>
      <c r="H675">
        <f>1-(1-Skills!J16/100)^Skills!K16</f>
        <v/>
      </c>
      <c r="I675" t="inlineStr">
        <is>
          <t>1</t>
        </is>
      </c>
      <c r="J675" t="inlineStr"/>
      <c r="K675" t="inlineStr"/>
      <c r="L675" t="inlineStr"/>
      <c r="M675" t="inlineStr"/>
      <c r="N675" t="inlineStr"/>
      <c r="O675">
        <f>(1-Summary!$B$11)*T675+Summary!$B$11*V675</f>
        <v/>
      </c>
      <c r="P675">
        <f>IF(B698=0,0,O675/B698)</f>
        <v/>
      </c>
      <c r="Q675">
        <f>IFERROR(1/(IF(Inputs!$B$38="pvp",15,MAX(0.1,Skills!D16-IF(Skills!E16=TRUE,Inputs!$B$32,0)))*(1-IF(AND(ArtifactsInput!$M$27,Inputs!$B$4="Chapter Hunt"),CHOOSE(ArtifactsInput!$N$27+1,20,24,28,32,36,40),0)/100)),0)</f>
        <v/>
      </c>
      <c r="R675">
        <f>IF(AND(Inputs!$B$38&lt;&gt;"pvp",Inputs!$B$43&gt;0),IF(Inputs!$B$43&lt;=0,0,(INT(Inputs!$B$43/(IF(Inputs!$B$38="pvp",15,MAX(0.1,Skills!D16-IF(Skills!E16=TRUE,Inputs!$B$32,0)))*(1-IF(AND(ArtifactsInput!$M$27,Inputs!$B$4="Chapter Hunt"),CHOOSE(ArtifactsInput!$N$27+1,20,24,28,32,36,40),0)/100)))+1)),0)</f>
        <v/>
      </c>
      <c r="S675">
        <f>IFERROR(O675/N675,0)</f>
        <v/>
      </c>
      <c r="T675" t="n">
        <v>0</v>
      </c>
      <c r="V675" t="n">
        <v>0</v>
      </c>
    </row>
    <row r="676">
      <c r="A676">
        <f>Skills!A17</f>
        <v/>
      </c>
      <c r="B676">
        <f>Skills!B17</f>
        <v/>
      </c>
      <c r="C676">
        <f>Inputs!$B$3&gt;=115</f>
        <v/>
      </c>
      <c r="D676">
        <f>IF(Skills!C17=1,60+Inputs!$B$25+Inputs!$B$29,IF(Skills!C17=2,90+Inputs!$B$26+Inputs!$B$29,IF(Skills!C17=3,120+Inputs!$B$27+Inputs!$B$29,MAX(0,(Inputs!$B$3-100)*3)+Inputs!$B$28+Inputs!$B$29)))</f>
        <v/>
      </c>
      <c r="E676">
        <f>INDEX(FactorTable!$B$2:$Y$301, MATCH(ROUND(MIN(300,MAX(1,D676)),0), FactorTable!$A$2:$A$301,0), Skills!M17+1)</f>
        <v/>
      </c>
      <c r="F676">
        <f>IF(Skills!N17=TRUE,(Skills!L17/10)*(E676/1000),Skills!L17/10)+Skills!O17</f>
        <v/>
      </c>
      <c r="G676">
        <f>Skills!G17*IF(Skills!H17&gt;0,Skills!I17/Skills!H17,1)</f>
        <v/>
      </c>
      <c r="H676">
        <f>1-(1-Skills!J17/100)^Skills!K17</f>
        <v/>
      </c>
      <c r="I676" t="inlineStr">
        <is>
          <t>1</t>
        </is>
      </c>
      <c r="J676" t="inlineStr"/>
      <c r="K676" t="inlineStr"/>
      <c r="L676" t="inlineStr"/>
      <c r="M676" t="inlineStr"/>
      <c r="N676" t="inlineStr"/>
      <c r="O676">
        <f>(1-Summary!$B$11)*T676+Summary!$B$11*V676</f>
        <v/>
      </c>
      <c r="P676">
        <f>IF(B698=0,0,O676/B698)</f>
        <v/>
      </c>
      <c r="Q676">
        <f>IFERROR(1/(IF(Inputs!$B$38="pvp",15,MAX(0.1,Skills!D17-IF(Skills!E17=TRUE,Inputs!$B$32,0)))*(1-IF(AND(ArtifactsInput!$M$27,Inputs!$B$4="Chapter Hunt"),CHOOSE(ArtifactsInput!$N$27+1,20,24,28,32,36,40),0)/100)),0)</f>
        <v/>
      </c>
      <c r="R676">
        <f>IF(AND(Inputs!$B$38&lt;&gt;"pvp",Inputs!$B$43&gt;0),IF(Inputs!$B$43&lt;=0,0,(INT(Inputs!$B$43/(IF(Inputs!$B$38="pvp",15,MAX(0.1,Skills!D17-IF(Skills!E17=TRUE,Inputs!$B$32,0)))*(1-IF(AND(ArtifactsInput!$M$27,Inputs!$B$4="Chapter Hunt"),CHOOSE(ArtifactsInput!$N$27+1,20,24,28,32,36,40),0)/100)))+1)),0)</f>
        <v/>
      </c>
      <c r="S676">
        <f>IFERROR(O676/N676,0)</f>
        <v/>
      </c>
      <c r="T676" t="n">
        <v>0</v>
      </c>
      <c r="V676" t="n">
        <v>0</v>
      </c>
    </row>
    <row r="677">
      <c r="A677">
        <f>Skills!A18</f>
        <v/>
      </c>
      <c r="B677">
        <f>Skills!B18</f>
        <v/>
      </c>
      <c r="C677">
        <f>Inputs!$B$3&gt;=115</f>
        <v/>
      </c>
      <c r="D677">
        <f>IF(Skills!C18=1,60+Inputs!$B$25+Inputs!$B$29,IF(Skills!C18=2,90+Inputs!$B$26+Inputs!$B$29,IF(Skills!C18=3,120+Inputs!$B$27+Inputs!$B$29,MAX(0,(Inputs!$B$3-100)*3)+Inputs!$B$28+Inputs!$B$29)))</f>
        <v/>
      </c>
      <c r="E677">
        <f>INDEX(FactorTable!$B$2:$Y$301, MATCH(ROUND(MIN(300,MAX(1,D677)),0), FactorTable!$A$2:$A$301,0), Skills!M18+1)</f>
        <v/>
      </c>
      <c r="F677">
        <f>IF(Skills!N18=TRUE,(Skills!L18/10)*(E677/1000),Skills!L18/10)+Skills!O18</f>
        <v/>
      </c>
      <c r="G677">
        <f>Skills!G18*IF(Skills!H18&gt;0,Skills!I18/Skills!H18,1)</f>
        <v/>
      </c>
      <c r="H677">
        <f>1-(1-Skills!J18/100)^Skills!K18</f>
        <v/>
      </c>
      <c r="I677" t="inlineStr">
        <is>
          <t>1</t>
        </is>
      </c>
      <c r="J677" t="inlineStr"/>
      <c r="K677" t="inlineStr"/>
      <c r="L677" t="inlineStr"/>
      <c r="M677" t="inlineStr"/>
      <c r="N677" t="inlineStr"/>
      <c r="O677">
        <f>(1-Summary!$B$11)*T677+Summary!$B$11*V677</f>
        <v/>
      </c>
      <c r="P677">
        <f>IF(B698=0,0,O677/B698)</f>
        <v/>
      </c>
      <c r="Q677">
        <f>IFERROR(1/(IF(Inputs!$B$38="pvp",15,MAX(0.1,Skills!D18-IF(Skills!E18=TRUE,Inputs!$B$32,0)))*(1-IF(AND(ArtifactsInput!$M$27,Inputs!$B$4="Chapter Hunt"),CHOOSE(ArtifactsInput!$N$27+1,20,24,28,32,36,40),0)/100)),0)</f>
        <v/>
      </c>
      <c r="R677">
        <f>IF(AND(Inputs!$B$38&lt;&gt;"pvp",Inputs!$B$43&gt;0),IF(Inputs!$B$43&lt;=0,0,(INT(Inputs!$B$43/(IF(Inputs!$B$38="pvp",15,MAX(0.1,Skills!D18-IF(Skills!E18=TRUE,Inputs!$B$32,0)))*(1-IF(AND(ArtifactsInput!$M$27,Inputs!$B$4="Chapter Hunt"),CHOOSE(ArtifactsInput!$N$27+1,20,24,28,32,36,40),0)/100)))+1)),0)</f>
        <v/>
      </c>
      <c r="S677">
        <f>IFERROR(O677/N677,0)</f>
        <v/>
      </c>
      <c r="T677" t="n">
        <v>0</v>
      </c>
      <c r="V677" t="n">
        <v>0</v>
      </c>
    </row>
    <row r="678">
      <c r="A678">
        <f>Skills!A19</f>
        <v/>
      </c>
      <c r="B678">
        <f>Skills!B19</f>
        <v/>
      </c>
      <c r="C678">
        <f>TRUE</f>
        <v/>
      </c>
      <c r="D678">
        <f>IF(Skills!C19=1,60+Inputs!$B$25+Inputs!$B$29,IF(Skills!C19=2,90+Inputs!$B$26+Inputs!$B$29,IF(Skills!C19=3,120+Inputs!$B$27+Inputs!$B$29,MAX(0,(Inputs!$B$3-100)*3)+Inputs!$B$28+Inputs!$B$29)))</f>
        <v/>
      </c>
      <c r="E678">
        <f>INDEX(FactorTable!$B$2:$Y$301, MATCH(ROUND(MIN(300,MAX(1,D678)),0), FactorTable!$A$2:$A$301,0), Skills!M19+1)</f>
        <v/>
      </c>
      <c r="F678">
        <f>IF(Skills!N19=TRUE,(Skills!L19/10)*(E678/1000),Skills!L19/10)+Skills!O19</f>
        <v/>
      </c>
      <c r="G678">
        <f>Skills!G19*IF(Skills!H19&gt;0,Skills!I19/Skills!H19,1)</f>
        <v/>
      </c>
      <c r="H678">
        <f>1-(1-Skills!J19/100)^Skills!K19</f>
        <v/>
      </c>
      <c r="I678" t="inlineStr">
        <is>
          <t>1</t>
        </is>
      </c>
      <c r="J678" t="inlineStr"/>
      <c r="K678" t="inlineStr"/>
      <c r="L678" t="inlineStr"/>
      <c r="M678" t="inlineStr"/>
      <c r="N678" t="inlineStr"/>
      <c r="O678">
        <f>(1-Summary!$B$11)*T678+Summary!$B$11*V678</f>
        <v/>
      </c>
      <c r="P678">
        <f>IF(B698=0,0,O678/B698)</f>
        <v/>
      </c>
      <c r="Q678">
        <f>IFERROR(1/(IF(Inputs!$B$38="pvp",15,MAX(0.1,Skills!D19-IF(Skills!E19=TRUE,Inputs!$B$32,0)))*(1-IF(AND(ArtifactsInput!$M$27,Inputs!$B$4="Chapter Hunt"),CHOOSE(ArtifactsInput!$N$27+1,20,24,28,32,36,40),0)/100)),0)</f>
        <v/>
      </c>
      <c r="R678">
        <f>IF(AND(Inputs!$B$38&lt;&gt;"pvp",Inputs!$B$43&gt;0),IF(Inputs!$B$43&lt;=0,0,(INT(Inputs!$B$43/(IF(Inputs!$B$38="pvp",15,MAX(0.1,Skills!D19-IF(Skills!E19=TRUE,Inputs!$B$32,0)))*(1-IF(AND(ArtifactsInput!$M$27,Inputs!$B$4="Chapter Hunt"),CHOOSE(ArtifactsInput!$N$27+1,20,24,28,32,36,40),0)/100)))+1)),0)</f>
        <v/>
      </c>
      <c r="S678">
        <f>IFERROR(O678/N678,0)</f>
        <v/>
      </c>
      <c r="T678" t="n">
        <v>0</v>
      </c>
      <c r="V678" t="n">
        <v>0</v>
      </c>
    </row>
    <row r="679">
      <c r="A679">
        <f>Skills!A20</f>
        <v/>
      </c>
      <c r="B679">
        <f>Skills!B20</f>
        <v/>
      </c>
      <c r="C679">
        <f>Inputs!$B$3&gt;=33</f>
        <v/>
      </c>
      <c r="D679">
        <f>IF(Skills!C20=1,60+Inputs!$B$25+Inputs!$B$29,IF(Skills!C20=2,90+Inputs!$B$26+Inputs!$B$29,IF(Skills!C20=3,120+Inputs!$B$27+Inputs!$B$29,MAX(0,(Inputs!$B$3-100)*3)+Inputs!$B$28+Inputs!$B$29)))</f>
        <v/>
      </c>
      <c r="E679">
        <f>INDEX(FactorTable!$B$2:$Y$301, MATCH(ROUND(MIN(300,MAX(1,D679)),0), FactorTable!$A$2:$A$301,0), Skills!M20+1)</f>
        <v/>
      </c>
      <c r="F679">
        <f>IF(Skills!N20=TRUE,(Skills!L20/10)*(E679/1000),Skills!L20/10)+Skills!O20</f>
        <v/>
      </c>
      <c r="G679">
        <f>Skills!G20*IF(Skills!H20&gt;0,Skills!I20/Skills!H20,1)</f>
        <v/>
      </c>
      <c r="H679">
        <f>1-(1-Skills!J20/100)^Skills!K20</f>
        <v/>
      </c>
      <c r="I679" t="inlineStr">
        <is>
          <t>1</t>
        </is>
      </c>
      <c r="J679" t="inlineStr"/>
      <c r="K679" t="inlineStr"/>
      <c r="L679" t="inlineStr"/>
      <c r="M679" t="inlineStr"/>
      <c r="N679" t="inlineStr"/>
      <c r="O679">
        <f>(1-Summary!$B$11)*T679+Summary!$B$11*V679</f>
        <v/>
      </c>
      <c r="P679">
        <f>IF(B698=0,0,O679/B698)</f>
        <v/>
      </c>
      <c r="Q679" t="n">
        <v>0</v>
      </c>
      <c r="R679" t="n">
        <v>0</v>
      </c>
      <c r="S679">
        <f>IFERROR(O679/N679,0)</f>
        <v/>
      </c>
      <c r="T679" t="n">
        <v>0</v>
      </c>
      <c r="V679" t="n">
        <v>0</v>
      </c>
    </row>
    <row r="680">
      <c r="A680">
        <f>Skills!A21</f>
        <v/>
      </c>
      <c r="B680">
        <f>Skills!B21</f>
        <v/>
      </c>
      <c r="C680">
        <f>Inputs!$B$3&gt;=38</f>
        <v/>
      </c>
      <c r="D680">
        <f>IF(Skills!C21=1,60+Inputs!$B$25+Inputs!$B$29,IF(Skills!C21=2,90+Inputs!$B$26+Inputs!$B$29,IF(Skills!C21=3,120+Inputs!$B$27+Inputs!$B$29,MAX(0,(Inputs!$B$3-100)*3)+Inputs!$B$28+Inputs!$B$29)))</f>
        <v/>
      </c>
      <c r="E680">
        <f>INDEX(FactorTable!$B$2:$Y$301, MATCH(ROUND(MIN(300,MAX(1,D680)),0), FactorTable!$A$2:$A$301,0), Skills!M21+1)</f>
        <v/>
      </c>
      <c r="F680">
        <f>IF(Skills!N21=TRUE,(Skills!L21/10)*(E680/1000),Skills!L21/10)+Skills!O21</f>
        <v/>
      </c>
      <c r="G680">
        <f>Skills!G21*IF(Skills!H21&gt;0,Skills!I21/Skills!H21,1)</f>
        <v/>
      </c>
      <c r="H680">
        <f>1-(1-Skills!J21/100)^Skills!K21</f>
        <v/>
      </c>
      <c r="I680" t="inlineStr">
        <is>
          <t>1</t>
        </is>
      </c>
      <c r="J680" t="inlineStr"/>
      <c r="K680" t="inlineStr"/>
      <c r="L680" t="inlineStr"/>
      <c r="M680" t="inlineStr"/>
      <c r="N680" t="inlineStr"/>
      <c r="O680">
        <f>(1-Summary!$B$11)*T680+Summary!$B$11*V680</f>
        <v/>
      </c>
      <c r="P680">
        <f>IF(B698=0,0,O680/B698)</f>
        <v/>
      </c>
      <c r="Q680" t="n">
        <v>0</v>
      </c>
      <c r="R680" t="n">
        <v>0</v>
      </c>
      <c r="S680">
        <f>IFERROR(O680/N680,0)</f>
        <v/>
      </c>
      <c r="T680" t="n">
        <v>0</v>
      </c>
      <c r="V680" t="n">
        <v>0</v>
      </c>
    </row>
    <row r="681">
      <c r="A681">
        <f>Skills!A22</f>
        <v/>
      </c>
      <c r="B681">
        <f>Skills!B22</f>
        <v/>
      </c>
      <c r="C681">
        <f>Inputs!$B$3&gt;=43</f>
        <v/>
      </c>
      <c r="D681">
        <f>IF(Skills!C22=1,60+Inputs!$B$25+Inputs!$B$29,IF(Skills!C22=2,90+Inputs!$B$26+Inputs!$B$29,IF(Skills!C22=3,120+Inputs!$B$27+Inputs!$B$29,MAX(0,(Inputs!$B$3-100)*3)+Inputs!$B$28+Inputs!$B$29)))</f>
        <v/>
      </c>
      <c r="E681">
        <f>INDEX(FactorTable!$B$2:$Y$301, MATCH(ROUND(MIN(300,MAX(1,D681)),0), FactorTable!$A$2:$A$301,0), Skills!M22+1)</f>
        <v/>
      </c>
      <c r="F681">
        <f>IF(Skills!N22=TRUE,(Skills!L22/10)*(E681/1000),Skills!L22/10)+Skills!O22</f>
        <v/>
      </c>
      <c r="G681">
        <f>Skills!G22*IF(Skills!H22&gt;0,Skills!I22/Skills!H22,1)</f>
        <v/>
      </c>
      <c r="H681">
        <f>1-(1-Skills!J22/100)^Skills!K22</f>
        <v/>
      </c>
      <c r="I681" t="inlineStr">
        <is>
          <t>1</t>
        </is>
      </c>
      <c r="J681" t="inlineStr"/>
      <c r="K681" t="inlineStr"/>
      <c r="L681" t="inlineStr"/>
      <c r="M681" t="inlineStr"/>
      <c r="N681" t="inlineStr"/>
      <c r="O681">
        <f>(1-Summary!$B$11)*T681+Summary!$B$11*V681</f>
        <v/>
      </c>
      <c r="P681">
        <f>IF(B698=0,0,O681/B698)</f>
        <v/>
      </c>
      <c r="Q681" t="n">
        <v>0</v>
      </c>
      <c r="R681" t="n">
        <v>0</v>
      </c>
      <c r="S681">
        <f>IFERROR(O681/N681,0)</f>
        <v/>
      </c>
      <c r="T681" t="n">
        <v>0</v>
      </c>
      <c r="V681" t="n">
        <v>0</v>
      </c>
    </row>
    <row r="682">
      <c r="A682">
        <f>Skills!A23</f>
        <v/>
      </c>
      <c r="B682">
        <f>Skills!B23</f>
        <v/>
      </c>
      <c r="C682">
        <f>Inputs!$B$3&gt;=120</f>
        <v/>
      </c>
      <c r="D682">
        <f>IF(Skills!C23=1,60+Inputs!$B$25+Inputs!$B$29,IF(Skills!C23=2,90+Inputs!$B$26+Inputs!$B$29,IF(Skills!C23=3,120+Inputs!$B$27+Inputs!$B$29,MAX(0,(Inputs!$B$3-100)*3)+Inputs!$B$28+Inputs!$B$29)))</f>
        <v/>
      </c>
      <c r="E682">
        <f>INDEX(FactorTable!$B$2:$Y$301, MATCH(ROUND(MIN(300,MAX(1,D682)),0), FactorTable!$A$2:$A$301,0), Skills!M23+1)</f>
        <v/>
      </c>
      <c r="F682">
        <f>IF(Skills!N23=TRUE,(Skills!L23/10)*(E682/1000),Skills!L23/10)+Skills!O23</f>
        <v/>
      </c>
      <c r="G682">
        <f>Skills!G23*IF(Skills!H23&gt;0,Skills!I23/Skills!H23,1)</f>
        <v/>
      </c>
      <c r="H682">
        <f>1-(1-Skills!J23/100)^Skills!K23</f>
        <v/>
      </c>
      <c r="I682" t="inlineStr">
        <is>
          <t>1</t>
        </is>
      </c>
      <c r="J682" t="inlineStr"/>
      <c r="K682" t="inlineStr"/>
      <c r="L682" t="inlineStr"/>
      <c r="M682" t="inlineStr"/>
      <c r="N682" t="inlineStr"/>
      <c r="O682">
        <f>(1-Summary!$B$11)*T682+Summary!$B$11*V682</f>
        <v/>
      </c>
      <c r="P682">
        <f>IF(B698=0,0,O682/B698)</f>
        <v/>
      </c>
      <c r="Q682" t="n">
        <v>0</v>
      </c>
      <c r="R682" t="n">
        <v>0</v>
      </c>
      <c r="S682">
        <f>IFERROR(O682/N682,0)</f>
        <v/>
      </c>
      <c r="T682" t="n">
        <v>0</v>
      </c>
      <c r="V682" t="n">
        <v>0</v>
      </c>
    </row>
    <row r="683">
      <c r="A683">
        <f>Skills!A24</f>
        <v/>
      </c>
      <c r="B683">
        <f>Skills!B24</f>
        <v/>
      </c>
      <c r="C683">
        <f>Inputs!$B$3&gt;=120</f>
        <v/>
      </c>
      <c r="D683">
        <f>IF(Skills!C24=1,60+Inputs!$B$25+Inputs!$B$29,IF(Skills!C24=2,90+Inputs!$B$26+Inputs!$B$29,IF(Skills!C24=3,120+Inputs!$B$27+Inputs!$B$29,MAX(0,(Inputs!$B$3-100)*3)+Inputs!$B$28+Inputs!$B$29)))</f>
        <v/>
      </c>
      <c r="E683">
        <f>INDEX(FactorTable!$B$2:$Y$301, MATCH(ROUND(MIN(300,MAX(1,D683)),0), FactorTable!$A$2:$A$301,0), Skills!M24+1)</f>
        <v/>
      </c>
      <c r="F683">
        <f>IF(Skills!N24=TRUE,(Skills!L24/10)*(E683/1000),Skills!L24/10)+Skills!O24</f>
        <v/>
      </c>
      <c r="G683">
        <f>Skills!G24*IF(Skills!H24&gt;0,Skills!I24/Skills!H24,1)</f>
        <v/>
      </c>
      <c r="H683">
        <f>1-(1-Skills!J24/100)^Skills!K24</f>
        <v/>
      </c>
      <c r="I683" t="inlineStr">
        <is>
          <t>1</t>
        </is>
      </c>
      <c r="J683" t="inlineStr"/>
      <c r="K683" t="inlineStr"/>
      <c r="L683" t="inlineStr"/>
      <c r="M683" t="inlineStr"/>
      <c r="N683" t="inlineStr"/>
      <c r="O683">
        <f>(1-Summary!$B$11)*T683+Summary!$B$11*V683</f>
        <v/>
      </c>
      <c r="P683">
        <f>IF(B698=0,0,O683/B698)</f>
        <v/>
      </c>
      <c r="Q683" t="n">
        <v>0</v>
      </c>
      <c r="R683" t="n">
        <v>0</v>
      </c>
      <c r="S683">
        <f>IFERROR(O683/N683,0)</f>
        <v/>
      </c>
      <c r="T683" t="n">
        <v>0</v>
      </c>
      <c r="V683" t="n">
        <v>0</v>
      </c>
    </row>
    <row r="684">
      <c r="A684">
        <f>Skills!A25</f>
        <v/>
      </c>
      <c r="B684">
        <f>Skills!B25</f>
        <v/>
      </c>
      <c r="C684">
        <f>Inputs!$B$3&gt;=125</f>
        <v/>
      </c>
      <c r="D684">
        <f>IF(Skills!C25=1,60+Inputs!$B$25+Inputs!$B$29,IF(Skills!C25=2,90+Inputs!$B$26+Inputs!$B$29,IF(Skills!C25=3,120+Inputs!$B$27+Inputs!$B$29,MAX(0,(Inputs!$B$3-100)*3)+Inputs!$B$28+Inputs!$B$29)))</f>
        <v/>
      </c>
      <c r="E684">
        <f>INDEX(FactorTable!$B$2:$Y$301, MATCH(ROUND(MIN(300,MAX(1,D684)),0), FactorTable!$A$2:$A$301,0), Skills!M25+1)</f>
        <v/>
      </c>
      <c r="F684">
        <f>IF(Skills!N25=TRUE,(Skills!L25/10)*(E684/1000),Skills!L25/10)+Skills!O25</f>
        <v/>
      </c>
      <c r="G684">
        <f>Skills!G25*IF(Skills!H25&gt;0,Skills!I25/Skills!H25,1)</f>
        <v/>
      </c>
      <c r="H684">
        <f>1-(1-Skills!J25/100)^Skills!K25</f>
        <v/>
      </c>
      <c r="I684" t="inlineStr">
        <is>
          <t>1</t>
        </is>
      </c>
      <c r="J684" t="inlineStr"/>
      <c r="K684" t="inlineStr"/>
      <c r="L684" t="inlineStr"/>
      <c r="M684" t="inlineStr"/>
      <c r="N684" t="inlineStr"/>
      <c r="O684">
        <f>(1-Summary!$B$11)*T684+Summary!$B$11*V684</f>
        <v/>
      </c>
      <c r="P684">
        <f>IF(B698=0,0,O684/B698)</f>
        <v/>
      </c>
      <c r="Q684" t="n">
        <v>0</v>
      </c>
      <c r="R684" t="n">
        <v>0</v>
      </c>
      <c r="S684">
        <f>IFERROR(O684/N684,0)</f>
        <v/>
      </c>
      <c r="T684" t="n">
        <v>0</v>
      </c>
      <c r="V684" t="n">
        <v>0</v>
      </c>
    </row>
    <row r="685">
      <c r="A685">
        <f>Skills!A26</f>
        <v/>
      </c>
      <c r="B685">
        <f>Skills!B26</f>
        <v/>
      </c>
      <c r="C685">
        <f>Inputs!$B$3&gt;=72</f>
        <v/>
      </c>
      <c r="D685">
        <f>IF(Skills!C26=1,60+Inputs!$B$25+Inputs!$B$29,IF(Skills!C26=2,90+Inputs!$B$26+Inputs!$B$29,IF(Skills!C26=3,120+Inputs!$B$27+Inputs!$B$29,MAX(0,(Inputs!$B$3-100)*3)+Inputs!$B$28+Inputs!$B$29)))</f>
        <v/>
      </c>
      <c r="E685">
        <f>INDEX(FactorTable!$B$2:$Y$301, MATCH(ROUND(MIN(300,MAX(1,D685)),0), FactorTable!$A$2:$A$301,0), Skills!M26+1)</f>
        <v/>
      </c>
      <c r="F685">
        <f>IF(Skills!N26=TRUE,(Skills!L26/10)*(E685/1000),Skills!L26/10)+Skills!O26</f>
        <v/>
      </c>
      <c r="G685">
        <f>Skills!G26*IF(Skills!H26&gt;0,Skills!I26/Skills!H26,1)</f>
        <v/>
      </c>
      <c r="H685">
        <f>1-(1-Skills!J26/100)^Skills!K26</f>
        <v/>
      </c>
      <c r="I685" t="inlineStr">
        <is>
          <t>1</t>
        </is>
      </c>
      <c r="J685" t="inlineStr"/>
      <c r="K685" t="inlineStr"/>
      <c r="L685" t="inlineStr"/>
      <c r="M685" t="inlineStr"/>
      <c r="N685" t="inlineStr"/>
      <c r="O685">
        <f>(1-Summary!$B$11)*T685+Summary!$B$11*V685</f>
        <v/>
      </c>
      <c r="P685">
        <f>IF(B698=0,0,O685/B698)</f>
        <v/>
      </c>
      <c r="Q685" t="n">
        <v>0</v>
      </c>
      <c r="R685" t="n">
        <v>0</v>
      </c>
      <c r="S685">
        <f>IFERROR(O685/N685,0)</f>
        <v/>
      </c>
      <c r="T685" t="n">
        <v>0</v>
      </c>
      <c r="V685" t="n">
        <v>0</v>
      </c>
    </row>
    <row r="687">
      <c r="A687" t="inlineStr">
        <is>
          <t>Attack% Bucket Multiplier</t>
        </is>
      </c>
      <c r="B687">
        <f>(1+(((C672=TRUE)*F672*IF(Inputs!$B$3&gt;=110,7,5))+((C674=TRUE)*F674*IF(AND(Inputs!$B$38&lt;&gt;"pvp",Inputs!$B$43&gt;0),(((R674-1)*(Skills!T15*(1+(Inputs!$B$34+(ArtifactsInput!$M$7-ArtifactsInput!$M$7)*CHOOSE(ArtifactsInput!$N$7+1,6,7.2,8.4,9.6,10.8,12))/100))+MIN((Skills!T15*(1+(Inputs!$B$34+(ArtifactsInput!$M$7-ArtifactsInput!$M$7)*CHOOSE(ArtifactsInput!$N$7+1,6,7.2,8.4,9.6,10.8,12))/100)),MAX(0,Inputs!$B$43-((R674-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88">
      <c r="A688" t="inlineStr">
        <is>
          <t>Global Crit Rate Bonus %</t>
        </is>
      </c>
      <c r="B688" t="n">
        <v>0</v>
      </c>
    </row>
    <row r="689">
      <c r="A689" t="inlineStr">
        <is>
          <t>Attack Speed Buff Bonus %</t>
        </is>
      </c>
      <c r="B689">
        <f>((C678=TRUE)*F678*IF(AND(Inputs!$B$38&lt;&gt;"pvp",Inputs!$B$43&gt;0),(((R678-1)*(Skills!T19*(1+(Inputs!$B$34+(ArtifactsInput!$M$7-ArtifactsInput!$M$7)*CHOOSE(ArtifactsInput!$N$7+1,6,7.2,8.4,9.6,10.8,12))/100))+MIN((Skills!T19*(1+(Inputs!$B$34+(ArtifactsInput!$M$7-ArtifactsInput!$M$7)*CHOOSE(ArtifactsInput!$N$7+1,6,7.2,8.4,9.6,10.8,12))/100)),MAX(0,Inputs!$B$43-((R678-1)*Skills!D19))))/Inputs!$B$43),IF(Inputs!$B$38="pvp",MIN((Skills!T19*(1+(Inputs!$B$34+(ArtifactsInput!$M$7-ArtifactsInput!$M$7)*CHOOSE(ArtifactsInput!$N$7+1,6,7.2,8.4,9.6,10.8,12))/100)),15)/15,(Skills!T19*(1+(Inputs!$B$34+(ArtifactsInput!$M$7-ArtifactsInput!$M$7)*CHOOSE(ArtifactsInput!$N$7+1,6,7.2,8.4,9.6,10.8,12))/100))/Skills!D19)))</f>
        <v/>
      </c>
    </row>
    <row r="690">
      <c r="A690" t="inlineStr">
        <is>
          <t>Actions Per Second</t>
        </is>
      </c>
      <c r="B690">
        <f>1+MIN(150,150*(1-(1-(Inputs!$B$11+((C679=TRUE)*(F679-Calc!F20)))/150)*(1-B689/150)))/100</f>
        <v/>
      </c>
    </row>
    <row r="691">
      <c r="A691" t="inlineStr">
        <is>
          <t>Skill + Buff Cast Rate</t>
        </is>
      </c>
      <c r="B691">
        <f>IF(AND(Inputs!$B$38&lt;&gt;"pvp",Inputs!$B$43&gt;0),SUMPRODUCT((Skills!E2:E26=TRUE)*(C661:C685=TRUE)*R661:R685*Skills!F2:F26)/Inputs!$B$43,SUMPRODUCT((Skills!E2:E26=TRUE)*(C661:C685=TRUE)*Q661:Q685*Skills!F2:F26))</f>
        <v/>
      </c>
    </row>
    <row r="692">
      <c r="A692" t="inlineStr">
        <is>
          <t>Raging Blow Casts Per Second</t>
        </is>
      </c>
      <c r="B692">
        <f>MAX(0,B690-B691)</f>
        <v/>
      </c>
    </row>
    <row r="693">
      <c r="A693" t="inlineStr">
        <is>
          <t>Global Critical Damage Bonus % (Enrage)</t>
        </is>
      </c>
      <c r="B693">
        <f>((C677=TRUE)*F677*IF(AND(Inputs!$B$38&lt;&gt;"pvp",Inputs!$B$43&gt;0),(((R677-1)*(Skills!T18*(1+(Inputs!$B$34+(ArtifactsInput!$M$7-ArtifactsInput!$M$7)*CHOOSE(ArtifactsInput!$N$7+1,6,7.2,8.4,9.6,10.8,12))/100))+MIN((Skills!T18*(1+(Inputs!$B$34+(ArtifactsInput!$M$7-ArtifactsInput!$M$7)*CHOOSE(ArtifactsInput!$N$7+1,6,7.2,8.4,9.6,10.8,12))/100)),MAX(0,Inputs!$B$43-((R677-1)*Skills!D18))))/Inputs!$B$43),IF(Inputs!$B$38="pvp",MIN((Skills!T18*(1+(Inputs!$B$34+(ArtifactsInput!$M$7-ArtifactsInput!$M$7)*CHOOSE(ArtifactsInput!$N$7+1,6,7.2,8.4,9.6,10.8,12))/100)),15)/15,(Skills!T18*(1+(Inputs!$B$34+(ArtifactsInput!$M$7-ArtifactsInput!$M$7)*CHOOSE(ArtifactsInput!$N$7+1,6,7.2,8.4,9.6,10.8,12))/100))/Skills!D18)))</f>
        <v/>
      </c>
    </row>
    <row r="694">
      <c r="A694" t="inlineStr">
        <is>
          <t>Global Final Damage Bonus % (Enrage + Combo Synergy)</t>
        </is>
      </c>
      <c r="B694">
        <f>((C676=TRUE)*F676*IF(AND(Inputs!$B$38&lt;&gt;"pvp",Inputs!$B$43&gt;0),(((R676-1)*(Skills!T17*(1+(Inputs!$B$34+(ArtifactsInput!$M$7-ArtifactsInput!$M$7)*CHOOSE(ArtifactsInput!$N$7+1,6,7.2,8.4,9.6,10.8,12))/100))+MIN((Skills!T17*(1+(Inputs!$B$34+(ArtifactsInput!$M$7-ArtifactsInput!$M$7)*CHOOSE(ArtifactsInput!$N$7+1,6,7.2,8.4,9.6,10.8,12))/100)),MAX(0,Inputs!$B$43-((R676-1)*Skills!D17))))/Inputs!$B$43),IF(Inputs!$B$38="pvp",MIN((Skills!T17*(1+(Inputs!$B$34+(ArtifactsInput!$M$7-ArtifactsInput!$M$7)*CHOOSE(ArtifactsInput!$N$7+1,6,7.2,8.4,9.6,10.8,12))/100)),15)/15,(Skills!T17*(1+(Inputs!$B$34+(ArtifactsInput!$M$7-ArtifactsInput!$M$7)*CHOOSE(ArtifactsInput!$N$7+1,6,7.2,8.4,9.6,10.8,12))/100))/Skills!D17)))+((C673=TRUE)*F673*IF(Inputs!$B$3&gt;=110,7,5))</f>
        <v/>
      </c>
    </row>
    <row r="695">
      <c r="A695" t="inlineStr">
        <is>
          <t>Buff-Casting Startup Delay (s, fixed-duration only)</t>
        </is>
      </c>
      <c r="B695">
        <f>IF(AND(Inputs!$B$38&lt;&gt;"pvp",Inputs!$B$43&gt;0),SUMPRODUCT((Skills!T2:T26&gt;0)*(Skills!E2:E26=TRUE)*(C661:C685=TRUE))/B690,0)</f>
        <v/>
      </c>
    </row>
    <row r="696">
      <c r="A696" t="inlineStr">
        <is>
          <t>Boss-Only Total DPS (this block's swept value)</t>
        </is>
      </c>
      <c r="B696">
        <f>SUM(T661:T685)</f>
        <v/>
      </c>
    </row>
    <row r="697">
      <c r="A697" t="inlineStr">
        <is>
          <t>Normal-Only Total DPS (this block's swept value)</t>
        </is>
      </c>
      <c r="B697">
        <f>SUM(V661:V685)</f>
        <v/>
      </c>
    </row>
    <row r="698">
      <c r="A698" s="6" t="inlineStr">
        <is>
          <t>TOTAL DPS</t>
        </is>
      </c>
      <c r="B698" s="6">
        <f>SUM(O661:O685)</f>
        <v/>
      </c>
    </row>
    <row r="701">
      <c r="A701" s="6" t="inlineStr">
        <is>
          <t>Stat: SKILL_DAMAGE %</t>
        </is>
      </c>
    </row>
    <row r="702">
      <c r="A702" s="5" t="inlineStr">
        <is>
          <t>Key</t>
        </is>
      </c>
      <c r="B702" s="5" t="inlineStr">
        <is>
          <t>Name</t>
        </is>
      </c>
      <c r="C702" s="5" t="inlineStr">
        <is>
          <t>Unlocked</t>
        </is>
      </c>
      <c r="D702" s="5" t="inlineStr">
        <is>
          <t>InputLevel</t>
        </is>
      </c>
      <c r="E702" s="5" t="inlineStr">
        <is>
          <t>Factor</t>
        </is>
      </c>
      <c r="F702" s="5" t="inlineStr">
        <is>
          <t>CoefficientPercent</t>
        </is>
      </c>
      <c r="G702" s="5" t="inlineStr">
        <is>
          <t>EffectiveHits</t>
        </is>
      </c>
      <c r="H702" s="5" t="inlineStr">
        <is>
          <t>ProcProbability</t>
        </is>
      </c>
      <c r="I702" s="5" t="inlineStr">
        <is>
          <t>MapleHeroMultiplier</t>
        </is>
      </c>
      <c r="J702" s="5" t="inlineStr">
        <is>
          <t>BaseDamage</t>
        </is>
      </c>
      <c r="K702" s="5" t="inlineStr">
        <is>
          <t>BaseHitDamage</t>
        </is>
      </c>
      <c r="L702" s="5" t="inlineStr">
        <is>
          <t>NonCritAvg</t>
        </is>
      </c>
      <c r="M702" s="5" t="inlineStr">
        <is>
          <t>CritAvg</t>
        </is>
      </c>
      <c r="N702" s="5" t="inlineStr">
        <is>
          <t>ExpectedDamage(perHit)</t>
        </is>
      </c>
      <c r="O702" s="5" t="inlineStr">
        <is>
          <t>DPS</t>
        </is>
      </c>
      <c r="P702" s="5" t="inlineStr">
        <is>
          <t>% of Total</t>
        </is>
      </c>
      <c r="Q702" s="5" t="inlineStr">
        <is>
          <t>InvCooldown</t>
        </is>
      </c>
      <c r="R702" s="5" t="inlineStr">
        <is>
          <t>CastsInFight</t>
        </is>
      </c>
      <c r="S702" s="5" t="inlineStr">
        <is>
          <t>HitRate(perSec)</t>
        </is>
      </c>
      <c r="U702" t="inlineStr">
        <is>
          <t>helpers</t>
        </is>
      </c>
    </row>
    <row r="703">
      <c r="A703">
        <f>Skills!A2</f>
        <v/>
      </c>
      <c r="B703">
        <f>Skills!B2</f>
        <v/>
      </c>
      <c r="C703">
        <f>Inputs!$B$3&gt;=100</f>
        <v/>
      </c>
      <c r="D703" t="inlineStr"/>
      <c r="E703" t="inlineStr"/>
      <c r="F703">
        <f>U705+Skills!O2</f>
        <v/>
      </c>
      <c r="G703">
        <f>Skills!G2*IF(Skills!H2&gt;0,Skills!I2/Skills!H2,1)</f>
        <v/>
      </c>
      <c r="H703">
        <f>1-(1-Skills!J2/100)^Skills!K2</f>
        <v/>
      </c>
      <c r="I703" t="inlineStr">
        <is>
          <t>1</t>
        </is>
      </c>
      <c r="J703">
        <f>((Inputs!$B$6*(1+Inputs!$B$7/100))+(((Inputs!$B$12*(1+Inputs!$B$13/100))-(Inputs!$B$12*(1+Inputs!$B$13/100)))+0.25*(Inputs!$B$14-Inputs!$B$14))*(1+Inputs!$B$7/100))*(F703/100)</f>
        <v/>
      </c>
      <c r="K703">
        <f>J703*(1+((Inputs!$B$12*(1+Inputs!$B$13/100))*0.01+Inputs!$B$14*0.0025)/100)*(1+Inputs!$B$15/100)*(1+Inputs!$B$16/100)*(5000/(6000+Inputs!$B$42*(1-(100*(1-(1-(Inputs!$B$19+0)/100)*(1-CHOOSE(ArtifactsInput!$N$40+1,5,6,7,8,9,10)/100)^(ArtifactsInput!$M$40-ArtifactsInput!$M$40)))/100)))*(1+(Inputs!$B$24+((C726=TRUE)*(F726-Calc!F25))+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722=TRUE)*(F722-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C724=TRUE)*(F724-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714=TRUE)*F714*IF(Inputs!$B$3&gt;=110,7,5))+((C716=TRUE)*F716*IF(AND(Inputs!$B$38&lt;&gt;"pvp",Inputs!$B$43&gt;0),(((R716-1)*(Skills!T15*(1+(Inputs!$B$34+(ArtifactsInput!$M$7-ArtifactsInput!$M$7)*CHOOSE(ArtifactsInput!$N$7+1,6,7.2,8.4,9.6,10.8,12))/100))+MIN((Skills!T15*(1+(Inputs!$B$34+(ArtifactsInput!$M$7-ArtifactsInput!$M$7)*CHOOSE(ArtifactsInput!$N$7+1,6,7.2,8.4,9.6,10.8,12))/100)),MAX(0,Inputs!$B$43-((R716-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100)*I703)</f>
        <v/>
      </c>
      <c r="L703">
        <f>K703*(MIN(Inputs!$B$22+((C723=TRUE)*(F723-Calc!F22)),(Inputs!$B$23+((C725=TRUE)*(F725-Calc!F24))+(IF(ArtifactsInput!$M$15,CHOOSE(ArtifactsInput!$N$15+1,25,30,35,40,45,50)/100*(Inputs!$B$11-Inputs!$B$11),0))))/100+(Inputs!$B$23+((C725=TRUE)*(F725-Calc!F24))+(IF(ArtifactsInput!$M$15,CHOOSE(ArtifactsInput!$N$15+1,25,30,35,40,45,50)/100*(Inputs!$B$11-Inputs!$B$11),0)))/100)/2</f>
        <v/>
      </c>
      <c r="M703">
        <f>L703*(1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3">
        <f>L703*(1-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703*(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3">
        <f>(1-Summary!$B$11)*T703+Summary!$B$11*V703</f>
        <v/>
      </c>
      <c r="P703">
        <f>IF(B740=0,0,O703/B740)</f>
        <v/>
      </c>
      <c r="Q703" t="n">
        <v>0</v>
      </c>
      <c r="R703" t="n">
        <v>0</v>
      </c>
      <c r="S703">
        <f>IFERROR(O703/N703,0)</f>
        <v/>
      </c>
      <c r="T703">
        <f>IF(C703,(Skills!G2*N703*B734)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703*(1-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703*(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703*(1-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703*(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03">
        <f>MAX(0,(Inputs!$B$3-100)*3)+Inputs!$B$28+Inputs!$B$29</f>
        <v/>
      </c>
      <c r="V703">
        <f>IF(C703,(Skills!G2*N703*B734)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4">
      <c r="A704">
        <f>Skills!A3</f>
        <v/>
      </c>
      <c r="B704">
        <f>Skills!B3</f>
        <v/>
      </c>
      <c r="C704">
        <f>Inputs!$B$3&gt;=50</f>
        <v/>
      </c>
      <c r="D704">
        <f>IF(Skills!C3=1,60+Inputs!$B$25+Inputs!$B$29,IF(Skills!C3=2,90+Inputs!$B$26+Inputs!$B$29,IF(Skills!C3=3,120+Inputs!$B$27+Inputs!$B$29,MAX(0,(Inputs!$B$3-100)*3)+Inputs!$B$28+Inputs!$B$29)))</f>
        <v/>
      </c>
      <c r="E704">
        <f>INDEX(FactorTable!$B$2:$Y$301, MATCH(ROUND(MIN(300,MAX(1,D704)),0), FactorTable!$A$2:$A$301,0), Skills!M3+1)</f>
        <v/>
      </c>
      <c r="F704">
        <f>IF(Skills!N3=TRUE,(Skills!L3/10)*(E704/1000),Skills!L3/10)+Skills!O3</f>
        <v/>
      </c>
      <c r="G704" t="inlineStr"/>
      <c r="H704" t="inlineStr"/>
      <c r="I704" t="inlineStr">
        <is>
          <t>1</t>
        </is>
      </c>
      <c r="J704" t="inlineStr"/>
      <c r="K704" t="inlineStr"/>
      <c r="L704" t="inlineStr"/>
      <c r="M704" t="inlineStr"/>
      <c r="N704" t="inlineStr"/>
      <c r="O704" t="inlineStr"/>
      <c r="P704" t="inlineStr"/>
      <c r="Q704" t="inlineStr"/>
      <c r="R704" t="inlineStr"/>
      <c r="S704" t="inlineStr"/>
      <c r="U704">
        <f>INDEX(FactorTable!$B$2:$Y$301, MATCH(ROUND(MIN(300,MAX(1,U703)),0), FactorTable!$A$2:$A$301,0), 22)</f>
        <v/>
      </c>
    </row>
    <row r="705">
      <c r="A705">
        <f>Skills!A4</f>
        <v/>
      </c>
      <c r="B705">
        <f>Skills!B4</f>
        <v/>
      </c>
      <c r="C705">
        <f>Inputs!$B$3&gt;=105</f>
        <v/>
      </c>
      <c r="D705">
        <f>IF(Skills!C4=1,60+Inputs!$B$25+Inputs!$B$29,IF(Skills!C4=2,90+Inputs!$B$26+Inputs!$B$29,IF(Skills!C4=3,120+Inputs!$B$27+Inputs!$B$29,MAX(0,(Inputs!$B$3-100)*3)+Inputs!$B$28+Inputs!$B$29)))</f>
        <v/>
      </c>
      <c r="E705">
        <f>INDEX(FactorTable!$B$2:$Y$301, MATCH(ROUND(MIN(300,MAX(1,D705)),0), FactorTable!$A$2:$A$301,0), Skills!M4+1)</f>
        <v/>
      </c>
      <c r="F705">
        <f>IF(Skills!N4=TRUE,(Skills!L4/10)*(E705/1000),Skills!L4/10)+Skills!O4</f>
        <v/>
      </c>
      <c r="G705" t="inlineStr"/>
      <c r="H705" t="inlineStr"/>
      <c r="I705" t="inlineStr">
        <is>
          <t>1</t>
        </is>
      </c>
      <c r="J705" t="inlineStr"/>
      <c r="K705" t="inlineStr"/>
      <c r="L705" t="inlineStr"/>
      <c r="M705" t="inlineStr"/>
      <c r="N705" t="inlineStr"/>
      <c r="O705" t="inlineStr"/>
      <c r="P705" t="inlineStr"/>
      <c r="Q705" t="inlineStr"/>
      <c r="R705" t="inlineStr"/>
      <c r="S705" t="inlineStr"/>
      <c r="U705">
        <f>290*U704/1000</f>
        <v/>
      </c>
    </row>
    <row r="706">
      <c r="A706">
        <f>Skills!A5</f>
        <v/>
      </c>
      <c r="B706">
        <f>Skills!B5</f>
        <v/>
      </c>
      <c r="C706">
        <f>Inputs!$B$3&gt;=103</f>
        <v/>
      </c>
      <c r="D706">
        <f>IF(Skills!C5=1,60+Inputs!$B$25+Inputs!$B$29,IF(Skills!C5=2,90+Inputs!$B$26+Inputs!$B$29,IF(Skills!C5=3,120+Inputs!$B$27+Inputs!$B$29,MAX(0,(Inputs!$B$3-100)*3)+Inputs!$B$28+Inputs!$B$29)))</f>
        <v/>
      </c>
      <c r="E706">
        <f>INDEX(FactorTable!$B$2:$Y$301, MATCH(ROUND(MIN(300,MAX(1,D706)),0), FactorTable!$A$2:$A$301,0), Skills!M5+1)</f>
        <v/>
      </c>
      <c r="F706">
        <f>IF(Skills!N5=TRUE,(Skills!L5/10)*(E706/1000),Skills!L5/10)+Skills!O5</f>
        <v/>
      </c>
      <c r="G706">
        <f>Skills!G5*IF(Skills!H5&gt;0,Skills!I5/Skills!H5,1)</f>
        <v/>
      </c>
      <c r="H706">
        <f>1-(1-Skills!J5/100)^Skills!K5</f>
        <v/>
      </c>
      <c r="I706" t="inlineStr">
        <is>
          <t>1</t>
        </is>
      </c>
      <c r="J706">
        <f>((Inputs!$B$6*(1+Inputs!$B$7/100))+(((Inputs!$B$12*(1+Inputs!$B$13/100))-(Inputs!$B$12*(1+Inputs!$B$13/100)))+0.25*(Inputs!$B$14-Inputs!$B$14))*(1+Inputs!$B$7/100))*(F706/100)</f>
        <v/>
      </c>
      <c r="K706">
        <f>J706*(1+((Inputs!$B$12*(1+Inputs!$B$13/100))*0.01+Inputs!$B$14*0.0025)/100)*(1+Inputs!$B$15/100)*(1+Inputs!$B$16/100)*(5000/(6000+Inputs!$B$42*(1-(100*(1-(1-(Inputs!$B$19+0)/100)*(1-CHOOSE(ArtifactsInput!$N$40+1,5,6,7,8,9,10)/100)^(ArtifactsInput!$M$40-ArtifactsInput!$M$40)))/100)))*(1+(Inputs!$B$24+((C726=TRUE)*(F726-Calc!F25))+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722=TRUE)*(F722-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C724=TRUE)*(F724-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714=TRUE)*F714*IF(Inputs!$B$3&gt;=110,7,5))+((C716=TRUE)*F716*IF(AND(Inputs!$B$38&lt;&gt;"pvp",Inputs!$B$43&gt;0),(((R716-1)*(Skills!T15*(1+(Inputs!$B$34+(ArtifactsInput!$M$7-ArtifactsInput!$M$7)*CHOOSE(ArtifactsInput!$N$7+1,6,7.2,8.4,9.6,10.8,12))/100))+MIN((Skills!T15*(1+(Inputs!$B$34+(ArtifactsInput!$M$7-ArtifactsInput!$M$7)*CHOOSE(ArtifactsInput!$N$7+1,6,7.2,8.4,9.6,10.8,12))/100)),MAX(0,Inputs!$B$43-((R716-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100)*I706)</f>
        <v/>
      </c>
      <c r="L706">
        <f>K706*(MIN(Inputs!$B$22+((C723=TRUE)*(F723-Calc!F22)),(Inputs!$B$23+((C725=TRUE)*(F725-Calc!F24))+(IF(ArtifactsInput!$M$15,CHOOSE(ArtifactsInput!$N$15+1,25,30,35,40,45,50)/100*(Inputs!$B$11-Inputs!$B$11),0))))/100+(Inputs!$B$23+((C725=TRUE)*(F725-Calc!F24))+(IF(ArtifactsInput!$M$15,CHOOSE(ArtifactsInput!$N$15+1,25,30,35,40,45,50)/100*(Inputs!$B$11-Inputs!$B$11),0)))/100)/2</f>
        <v/>
      </c>
      <c r="M706">
        <f>L706*(1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6">
        <f>L706*(1-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706*(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6">
        <f>(1-Summary!$B$11)*T706+Summary!$B$11*V706</f>
        <v/>
      </c>
      <c r="P706">
        <f>IF(B740=0,0,O706/B740)</f>
        <v/>
      </c>
      <c r="Q706">
        <f>IFERROR(1/(IF(Inputs!$B$38="pvp",15,MAX(0.1,Skills!D5-IF(Skills!E5=TRUE,Inputs!$B$32,0)))*(1-IF(AND(ArtifactsInput!$M$27,Inputs!$B$4="Chapter Hunt"),CHOOSE(ArtifactsInput!$N$27+1,20,24,28,32,36,40),0)/100)),0)</f>
        <v/>
      </c>
      <c r="R706">
        <f>IF(AND(Inputs!$B$38&lt;&gt;"pvp",Inputs!$B$43&gt;0),IF(MAX(0,Inputs!$B$43-B737)&lt;=0,0,(INT(MAX(0,Inputs!$B$43-B737)/(IF(Inputs!$B$38="pvp",15,MAX(0.1,Skills!D5-IF(Skills!E5=TRUE,Inputs!$B$32,0)))*(1-IF(AND(ArtifactsInput!$M$27,Inputs!$B$4="Chapter Hunt"),CHOOSE(ArtifactsInput!$N$27+1,20,24,28,32,36,40),0)/100)))+1)),0)</f>
        <v/>
      </c>
      <c r="S706">
        <f>IFERROR(O706/N706,0)</f>
        <v/>
      </c>
      <c r="T706">
        <f>IF(C706,(H706*N706*IF(AND(Inputs!$B$38&lt;&gt;"pvp",Inputs!$B$43&gt;0),((Skills!G5*((R706-1)*IF(Skills!H5&gt;0,Skills!I5/Skills!H5,1)+IF(Skills!H5&gt;0,MIN(Skills!I5,MAX(0,MAX(0,Inputs!$B$43-B737)-((R706-1)*(IF(Inputs!$B$38="pvp",15,MAX(0.1,Skills!D5-IF(Skills!E5=TRUE,Inputs!$B$32,0)))*(1-IF(AND(ArtifactsInput!$M$27,Inputs!$B$4="Chapter Hunt"),CHOOSE(ArtifactsInput!$N$27+1,20,24,28,32,36,40),0)/100)))))/Skills!H5,1)))/Inputs!$B$43),G706*Q706)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706*(1-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706*(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706*(1-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706*(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06">
        <f>IF(C706,(H706*N706*IF(AND(Inputs!$B$38&lt;&gt;"pvp",Inputs!$B$43&gt;0),((Skills!G5*((R706-1)*IF(Skills!H5&gt;0,Skills!I5/Skills!H5,1)+IF(Skills!H5&gt;0,MIN(Skills!I5,MAX(0,MAX(0,Inputs!$B$43-B737)-((R706-1)*(IF(Inputs!$B$38="pvp",15,MAX(0.1,Skills!D5-IF(Skills!E5=TRUE,Inputs!$B$32,0)))*(1-IF(AND(ArtifactsInput!$M$27,Inputs!$B$4="Chapter Hunt"),CHOOSE(ArtifactsInput!$N$27+1,20,24,28,32,36,40),0)/100)))))/Skills!H5,1)))/Inputs!$B$43),G706*Q706)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7">
      <c r="A707">
        <f>Skills!A6</f>
        <v/>
      </c>
      <c r="B707">
        <f>Skills!B6</f>
        <v/>
      </c>
      <c r="C707">
        <f>Inputs!$B$3&gt;=103</f>
        <v/>
      </c>
      <c r="D707">
        <f>IF(Skills!C6=1,60+Inputs!$B$25+Inputs!$B$29,IF(Skills!C6=2,90+Inputs!$B$26+Inputs!$B$29,IF(Skills!C6=3,120+Inputs!$B$27+Inputs!$B$29,MAX(0,(Inputs!$B$3-100)*3)+Inputs!$B$28+Inputs!$B$29)))</f>
        <v/>
      </c>
      <c r="E707">
        <f>INDEX(FactorTable!$B$2:$Y$301, MATCH(ROUND(MIN(300,MAX(1,D707)),0), FactorTable!$A$2:$A$301,0), Skills!M6+1)</f>
        <v/>
      </c>
      <c r="F707">
        <f>IF(Skills!N6=TRUE,(Skills!L6/10)*(E707/1000),Skills!L6/10)+Skills!O6</f>
        <v/>
      </c>
      <c r="G707">
        <f>Skills!G6*IF(Skills!H6&gt;0,Skills!I6/Skills!H6,1)</f>
        <v/>
      </c>
      <c r="H707">
        <f>1-(1-Skills!J6/100)^Skills!K6</f>
        <v/>
      </c>
      <c r="I707" t="inlineStr">
        <is>
          <t>1</t>
        </is>
      </c>
      <c r="J707">
        <f>((Inputs!$B$6*(1+Inputs!$B$7/100))+(((Inputs!$B$12*(1+Inputs!$B$13/100))-(Inputs!$B$12*(1+Inputs!$B$13/100)))+0.25*(Inputs!$B$14-Inputs!$B$14))*(1+Inputs!$B$7/100))*(F707/100)</f>
        <v/>
      </c>
      <c r="K707">
        <f>J707*(1+((Inputs!$B$12*(1+Inputs!$B$13/100))*0.01+Inputs!$B$14*0.0025)/100)*(1+Inputs!$B$15/100)*(1+Inputs!$B$16/100)*(5000/(6000+Inputs!$B$42*(1-(100*(1-(1-(Inputs!$B$19+0)/100)*(1-CHOOSE(ArtifactsInput!$N$40+1,5,6,7,8,9,10)/100)^(ArtifactsInput!$M$40-ArtifactsInput!$M$40)))/100)))*(1+(Inputs!$B$24+((C726=TRUE)*(F726-Calc!F25))+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722=TRUE)*(F722-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C724=TRUE)*(F724-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714=TRUE)*F714*IF(Inputs!$B$3&gt;=110,7,5))+((C716=TRUE)*F716*IF(AND(Inputs!$B$38&lt;&gt;"pvp",Inputs!$B$43&gt;0),(((R716-1)*(Skills!T15*(1+(Inputs!$B$34+(ArtifactsInput!$M$7-ArtifactsInput!$M$7)*CHOOSE(ArtifactsInput!$N$7+1,6,7.2,8.4,9.6,10.8,12))/100))+MIN((Skills!T15*(1+(Inputs!$B$34+(ArtifactsInput!$M$7-ArtifactsInput!$M$7)*CHOOSE(ArtifactsInput!$N$7+1,6,7.2,8.4,9.6,10.8,12))/100)),MAX(0,Inputs!$B$43-((R716-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100)*I707)</f>
        <v/>
      </c>
      <c r="L707">
        <f>K707*(MIN(Inputs!$B$22+((C723=TRUE)*(F723-Calc!F22)),(Inputs!$B$23+((C725=TRUE)*(F725-Calc!F24))+(IF(ArtifactsInput!$M$15,CHOOSE(ArtifactsInput!$N$15+1,25,30,35,40,45,50)/100*(Inputs!$B$11-Inputs!$B$11),0))))/100+(Inputs!$B$23+((C725=TRUE)*(F725-Calc!F24))+(IF(ArtifactsInput!$M$15,CHOOSE(ArtifactsInput!$N$15+1,25,30,35,40,45,50)/100*(Inputs!$B$11-Inputs!$B$11),0)))/100)/2</f>
        <v/>
      </c>
      <c r="M707">
        <f>L707*(1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7">
        <f>L707*(1-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707*(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7">
        <f>(1-Summary!$B$11)*T707+Summary!$B$11*V707</f>
        <v/>
      </c>
      <c r="P707">
        <f>IF(B740=0,0,O707/B740)</f>
        <v/>
      </c>
      <c r="Q707">
        <f>IFERROR(1/(IF(Inputs!$B$38="pvp",15,MAX(0.1,Skills!D6-IF(Skills!E6=TRUE,Inputs!$B$32,0)))*(1-IF(AND(ArtifactsInput!$M$27,Inputs!$B$4="Chapter Hunt"),CHOOSE(ArtifactsInput!$N$27+1,20,24,28,32,36,40),0)/100)),0)</f>
        <v/>
      </c>
      <c r="R707">
        <f>IF(AND(Inputs!$B$38&lt;&gt;"pvp",Inputs!$B$43&gt;0),IF(MAX(0,Inputs!$B$43-B737)&lt;=0,0,(INT(MAX(0,Inputs!$B$43-B737)/(IF(Inputs!$B$38="pvp",15,MAX(0.1,Skills!D6-IF(Skills!E6=TRUE,Inputs!$B$32,0)))*(1-IF(AND(ArtifactsInput!$M$27,Inputs!$B$4="Chapter Hunt"),CHOOSE(ArtifactsInput!$N$27+1,20,24,28,32,36,40),0)/100)))+1)),0)</f>
        <v/>
      </c>
      <c r="S707">
        <f>IFERROR(O707/N707,0)</f>
        <v/>
      </c>
      <c r="T707">
        <f>IF(C707,(H707*N707*IF(AND(Inputs!$B$38&lt;&gt;"pvp",Inputs!$B$43&gt;0),((Skills!G6*((R707-1)*IF(Skills!H6&gt;0,Skills!I6/Skills!H6,1)+IF(Skills!H6&gt;0,MIN(Skills!I6,MAX(0,MAX(0,Inputs!$B$43-B737)-((R707-1)*(IF(Inputs!$B$38="pvp",15,MAX(0.1,Skills!D6-IF(Skills!E6=TRUE,Inputs!$B$32,0)))*(1-IF(AND(ArtifactsInput!$M$27,Inputs!$B$4="Chapter Hunt"),CHOOSE(ArtifactsInput!$N$27+1,20,24,28,32,36,40),0)/100)))))/Skills!H6,1)))/Inputs!$B$43),G707*Q707)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707*(1-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707*(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707*(1-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707*(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07">
        <f>IF(C707,(H707*N707*IF(AND(Inputs!$B$38&lt;&gt;"pvp",Inputs!$B$43&gt;0),((Skills!G6*((R707-1)*IF(Skills!H6&gt;0,Skills!I6/Skills!H6,1)+IF(Skills!H6&gt;0,MIN(Skills!I6,MAX(0,MAX(0,Inputs!$B$43-B737)-((R707-1)*(IF(Inputs!$B$38="pvp",15,MAX(0.1,Skills!D6-IF(Skills!E6=TRUE,Inputs!$B$32,0)))*(1-IF(AND(ArtifactsInput!$M$27,Inputs!$B$4="Chapter Hunt"),CHOOSE(ArtifactsInput!$N$27+1,20,24,28,32,36,40),0)/100)))))/Skills!H6,1)))/Inputs!$B$43),G707*Q707)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8">
      <c r="A708">
        <f>Skills!A7</f>
        <v/>
      </c>
      <c r="B708">
        <f>Skills!B7</f>
        <v/>
      </c>
      <c r="C708">
        <f>Inputs!$B$3&gt;=107</f>
        <v/>
      </c>
      <c r="D708">
        <f>IF(Skills!C7=1,60+Inputs!$B$25+Inputs!$B$29,IF(Skills!C7=2,90+Inputs!$B$26+Inputs!$B$29,IF(Skills!C7=3,120+Inputs!$B$27+Inputs!$B$29,MAX(0,(Inputs!$B$3-100)*3)+Inputs!$B$28+Inputs!$B$29)))</f>
        <v/>
      </c>
      <c r="E708">
        <f>INDEX(FactorTable!$B$2:$Y$301, MATCH(ROUND(MIN(300,MAX(1,D708)),0), FactorTable!$A$2:$A$301,0), Skills!M7+1)</f>
        <v/>
      </c>
      <c r="F708">
        <f>IF(Skills!N7=TRUE,(Skills!L7/10)*(E708/1000),Skills!L7/10)+Skills!O7</f>
        <v/>
      </c>
      <c r="G708">
        <f>Skills!G7*IF(Skills!H7&gt;0,Skills!I7/Skills!H7,1)</f>
        <v/>
      </c>
      <c r="H708">
        <f>1-(1-Skills!J7/100)^Skills!K7</f>
        <v/>
      </c>
      <c r="I708" t="inlineStr">
        <is>
          <t>1</t>
        </is>
      </c>
      <c r="J708">
        <f>((Inputs!$B$6*(1+Inputs!$B$7/100))+(((Inputs!$B$12*(1+Inputs!$B$13/100))-(Inputs!$B$12*(1+Inputs!$B$13/100)))+0.25*(Inputs!$B$14-Inputs!$B$14))*(1+Inputs!$B$7/100))*(F708/100)</f>
        <v/>
      </c>
      <c r="K708">
        <f>J708*(1+((Inputs!$B$12*(1+Inputs!$B$13/100))*0.01+Inputs!$B$14*0.0025)/100)*(1+Inputs!$B$15/100)*(1+Inputs!$B$16/100)*(5000/(6000+Inputs!$B$42*(1-(100*(1-(1-(Inputs!$B$19+0)/100)*(1-CHOOSE(ArtifactsInput!$N$40+1,5,6,7,8,9,10)/100)^(ArtifactsInput!$M$40-ArtifactsInput!$M$40)))/100)))*(1+(Inputs!$B$24+((C726=TRUE)*(F726-Calc!F25))+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722=TRUE)*(F722-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C724=TRUE)*(F724-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714=TRUE)*F714*IF(Inputs!$B$3&gt;=110,7,5))+((C716=TRUE)*F716*IF(AND(Inputs!$B$38&lt;&gt;"pvp",Inputs!$B$43&gt;0),(((R716-1)*(Skills!T15*(1+(Inputs!$B$34+(ArtifactsInput!$M$7-ArtifactsInput!$M$7)*CHOOSE(ArtifactsInput!$N$7+1,6,7.2,8.4,9.6,10.8,12))/100))+MIN((Skills!T15*(1+(Inputs!$B$34+(ArtifactsInput!$M$7-ArtifactsInput!$M$7)*CHOOSE(ArtifactsInput!$N$7+1,6,7.2,8.4,9.6,10.8,12))/100)),MAX(0,Inputs!$B$43-((R716-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100)*I708)</f>
        <v/>
      </c>
      <c r="L708">
        <f>K708*(MIN(Inputs!$B$22+((C723=TRUE)*(F723-Calc!F22)),(Inputs!$B$23+((C725=TRUE)*(F725-Calc!F24))+(IF(ArtifactsInput!$M$15,CHOOSE(ArtifactsInput!$N$15+1,25,30,35,40,45,50)/100*(Inputs!$B$11-Inputs!$B$11),0))))/100+(Inputs!$B$23+((C725=TRUE)*(F725-Calc!F24))+(IF(ArtifactsInput!$M$15,CHOOSE(ArtifactsInput!$N$15+1,25,30,35,40,45,50)/100*(Inputs!$B$11-Inputs!$B$11),0)))/100)/2</f>
        <v/>
      </c>
      <c r="M708">
        <f>L708*(1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8">
        <f>L708*(1-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708*(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8">
        <f>(1-Summary!$B$11)*T708+Summary!$B$11*V708</f>
        <v/>
      </c>
      <c r="P708">
        <f>IF(B740=0,0,O708/B740)</f>
        <v/>
      </c>
      <c r="Q708">
        <f>IFERROR(1/(IF(Inputs!$B$38="pvp",15,MAX(0.1,Skills!D7-IF(Skills!E7=TRUE,Inputs!$B$32,0)))*(1-IF(AND(ArtifactsInput!$M$27,Inputs!$B$4="Chapter Hunt"),CHOOSE(ArtifactsInput!$N$27+1,20,24,28,32,36,40),0)/100)),0)</f>
        <v/>
      </c>
      <c r="R708">
        <f>IF(AND(Inputs!$B$38&lt;&gt;"pvp",Inputs!$B$43&gt;0),IF(MAX(0,Inputs!$B$43-B737)&lt;=0,0,(INT(MAX(0,Inputs!$B$43-B737)/(IF(Inputs!$B$38="pvp",15,MAX(0.1,Skills!D7-IF(Skills!E7=TRUE,Inputs!$B$32,0)))*(1-IF(AND(ArtifactsInput!$M$27,Inputs!$B$4="Chapter Hunt"),CHOOSE(ArtifactsInput!$N$27+1,20,24,28,32,36,40),0)/100)))+1)),0)</f>
        <v/>
      </c>
      <c r="S708">
        <f>IFERROR(O708/N708,0)</f>
        <v/>
      </c>
      <c r="T708">
        <f>IF(C708,(H708*N708*IF(AND(Inputs!$B$38&lt;&gt;"pvp",Inputs!$B$43&gt;0),((Skills!G7*((R708-1)*IF(Skills!H7&gt;0,Skills!I7/Skills!H7,1)+IF(Skills!H7&gt;0,MIN(Skills!I7,MAX(0,MAX(0,Inputs!$B$43-B737)-((R708-1)*(IF(Inputs!$B$38="pvp",15,MAX(0.1,Skills!D7-IF(Skills!E7=TRUE,Inputs!$B$32,0)))*(1-IF(AND(ArtifactsInput!$M$27,Inputs!$B$4="Chapter Hunt"),CHOOSE(ArtifactsInput!$N$27+1,20,24,28,32,36,40),0)/100)))))/Skills!H7,1)))/Inputs!$B$43),G708*Q708)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708*(1-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708*(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708*(1-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708*(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08">
        <f>IF(C708,(H708*N708*IF(AND(Inputs!$B$38&lt;&gt;"pvp",Inputs!$B$43&gt;0),((Skills!G7*((R708-1)*IF(Skills!H7&gt;0,Skills!I7/Skills!H7,1)+IF(Skills!H7&gt;0,MIN(Skills!I7,MAX(0,MAX(0,Inputs!$B$43-B737)-((R708-1)*(IF(Inputs!$B$38="pvp",15,MAX(0.1,Skills!D7-IF(Skills!E7=TRUE,Inputs!$B$32,0)))*(1-IF(AND(ArtifactsInput!$M$27,Inputs!$B$4="Chapter Hunt"),CHOOSE(ArtifactsInput!$N$27+1,20,24,28,32,36,40),0)/100)))))/Skills!H7,1)))/Inputs!$B$43),G708*Q708)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9">
      <c r="A709">
        <f>Skills!A8</f>
        <v/>
      </c>
      <c r="B709">
        <f>Skills!B8</f>
        <v/>
      </c>
      <c r="C709">
        <f>Inputs!$B$3&gt;=117</f>
        <v/>
      </c>
      <c r="D709">
        <f>IF(Skills!C8=1,60+Inputs!$B$25+Inputs!$B$29,IF(Skills!C8=2,90+Inputs!$B$26+Inputs!$B$29,IF(Skills!C8=3,120+Inputs!$B$27+Inputs!$B$29,MAX(0,(Inputs!$B$3-100)*3)+Inputs!$B$28+Inputs!$B$29)))</f>
        <v/>
      </c>
      <c r="E709">
        <f>INDEX(FactorTable!$B$2:$Y$301, MATCH(ROUND(MIN(300,MAX(1,D709)),0), FactorTable!$A$2:$A$301,0), Skills!M8+1)</f>
        <v/>
      </c>
      <c r="F709">
        <f>IF(Skills!N8=TRUE,(Skills!L8/10)*(E709/1000),Skills!L8/10)+Skills!O8</f>
        <v/>
      </c>
      <c r="G709">
        <f>Skills!G8*IF(Skills!H8&gt;0,Skills!I8/Skills!H8,1)</f>
        <v/>
      </c>
      <c r="H709">
        <f>1-(1-Skills!J8/100)^Skills!K8</f>
        <v/>
      </c>
      <c r="I709" t="inlineStr">
        <is>
          <t>1</t>
        </is>
      </c>
      <c r="J709">
        <f>((Inputs!$B$6*(1+Inputs!$B$7/100))+(((Inputs!$B$12*(1+Inputs!$B$13/100))-(Inputs!$B$12*(1+Inputs!$B$13/100)))+0.25*(Inputs!$B$14-Inputs!$B$14))*(1+Inputs!$B$7/100))*(F709/100)</f>
        <v/>
      </c>
      <c r="K709">
        <f>J709*(1+((Inputs!$B$12*(1+Inputs!$B$13/100))*0.01+Inputs!$B$14*0.0025)/100)*(1+Inputs!$B$15/100)*(1+Inputs!$B$16/100)*(5000/(6000+Inputs!$B$42*(1-(100*(1-(1-(Inputs!$B$19+0)/100)*(1-CHOOSE(ArtifactsInput!$N$40+1,5,6,7,8,9,10)/100)^(ArtifactsInput!$M$40-ArtifactsInput!$M$40)))/100)))*(1+(Inputs!$B$24+((C726=TRUE)*(F726-Calc!F25))+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722=TRUE)*(F722-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C724=TRUE)*(F724-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714=TRUE)*F714*IF(Inputs!$B$3&gt;=110,7,5))+((C716=TRUE)*F716*IF(AND(Inputs!$B$38&lt;&gt;"pvp",Inputs!$B$43&gt;0),(((R716-1)*(Skills!T15*(1+(Inputs!$B$34+(ArtifactsInput!$M$7-ArtifactsInput!$M$7)*CHOOSE(ArtifactsInput!$N$7+1,6,7.2,8.4,9.6,10.8,12))/100))+MIN((Skills!T15*(1+(Inputs!$B$34+(ArtifactsInput!$M$7-ArtifactsInput!$M$7)*CHOOSE(ArtifactsInput!$N$7+1,6,7.2,8.4,9.6,10.8,12))/100)),MAX(0,Inputs!$B$43-((R716-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100)*I709)</f>
        <v/>
      </c>
      <c r="L709">
        <f>K709*(MIN(Inputs!$B$22+((C723=TRUE)*(F723-Calc!F22)),(Inputs!$B$23+((C725=TRUE)*(F725-Calc!F24))+(IF(ArtifactsInput!$M$15,CHOOSE(ArtifactsInput!$N$15+1,25,30,35,40,45,50)/100*(Inputs!$B$11-Inputs!$B$11),0))))/100+(Inputs!$B$23+((C725=TRUE)*(F725-Calc!F24))+(IF(ArtifactsInput!$M$15,CHOOSE(ArtifactsInput!$N$15+1,25,30,35,40,45,50)/100*(Inputs!$B$11-Inputs!$B$11),0)))/100)/2</f>
        <v/>
      </c>
      <c r="M709">
        <f>L709*(1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9">
        <f>L709*(1-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709*(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9">
        <f>(1-Summary!$B$11)*T709+Summary!$B$11*V709</f>
        <v/>
      </c>
      <c r="P709">
        <f>IF(B740=0,0,O709/B740)</f>
        <v/>
      </c>
      <c r="Q709">
        <f>IFERROR(1/(IF(Inputs!$B$38="pvp",15,MAX(0.1,Skills!D8-IF(Skills!E8=TRUE,Inputs!$B$32,0)))*(1-IF(AND(ArtifactsInput!$M$27,Inputs!$B$4="Chapter Hunt"),CHOOSE(ArtifactsInput!$N$27+1,20,24,28,32,36,40),0)/100)),0)</f>
        <v/>
      </c>
      <c r="R709">
        <f>IF(AND(Inputs!$B$38&lt;&gt;"pvp",Inputs!$B$43&gt;0),IF(MAX(0,Inputs!$B$43-B737)&lt;=0,0,(INT(MAX(0,Inputs!$B$43-B737)/(IF(Inputs!$B$38="pvp",15,MAX(0.1,Skills!D8-IF(Skills!E8=TRUE,Inputs!$B$32,0)))*(1-IF(AND(ArtifactsInput!$M$27,Inputs!$B$4="Chapter Hunt"),CHOOSE(ArtifactsInput!$N$27+1,20,24,28,32,36,40),0)/100)))+1)),0)</f>
        <v/>
      </c>
      <c r="S709">
        <f>IFERROR(O709/N709,0)</f>
        <v/>
      </c>
      <c r="T709">
        <f>IF(C709,(H709*N709*IF(AND(Inputs!$B$38&lt;&gt;"pvp",Inputs!$B$43&gt;0),((Skills!G8*((R709-1)*IF(Skills!H8&gt;0,Skills!I8/Skills!H8,1)+IF(Skills!H8&gt;0,MIN(Skills!I8,MAX(0,MAX(0,Inputs!$B$43-B737)-((R709-1)*(IF(Inputs!$B$38="pvp",15,MAX(0.1,Skills!D8-IF(Skills!E8=TRUE,Inputs!$B$32,0)))*(1-IF(AND(ArtifactsInput!$M$27,Inputs!$B$4="Chapter Hunt"),CHOOSE(ArtifactsInput!$N$27+1,20,24,28,32,36,40),0)/100)))))/Skills!H8,1)))/Inputs!$B$43),G709*Q709)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709*(1-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709*(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709*(1-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709*(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09">
        <f>IF(C709,(H709*N709*IF(AND(Inputs!$B$38&lt;&gt;"pvp",Inputs!$B$43&gt;0),((Skills!G8*((R709-1)*IF(Skills!H8&gt;0,Skills!I8/Skills!H8,1)+IF(Skills!H8&gt;0,MIN(Skills!I8,MAX(0,MAX(0,Inputs!$B$43-B737)-((R709-1)*(IF(Inputs!$B$38="pvp",15,MAX(0.1,Skills!D8-IF(Skills!E8=TRUE,Inputs!$B$32,0)))*(1-IF(AND(ArtifactsInput!$M$27,Inputs!$B$4="Chapter Hunt"),CHOOSE(ArtifactsInput!$N$27+1,20,24,28,32,36,40),0)/100)))))/Skills!H8,1)))/Inputs!$B$43),G709*Q709)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0">
      <c r="A710">
        <f>Skills!A9</f>
        <v/>
      </c>
      <c r="B710">
        <f>Skills!B9</f>
        <v/>
      </c>
      <c r="C710">
        <f>Inputs!$B$3&gt;=69</f>
        <v/>
      </c>
      <c r="D710">
        <f>IF(Skills!C9=1,60+Inputs!$B$25+Inputs!$B$29,IF(Skills!C9=2,90+Inputs!$B$26+Inputs!$B$29,IF(Skills!C9=3,120+Inputs!$B$27+Inputs!$B$29,MAX(0,(Inputs!$B$3-100)*3)+Inputs!$B$28+Inputs!$B$29)))</f>
        <v/>
      </c>
      <c r="E710">
        <f>INDEX(FactorTable!$B$2:$Y$301, MATCH(ROUND(MIN(300,MAX(1,D710)),0), FactorTable!$A$2:$A$301,0), Skills!M9+1)</f>
        <v/>
      </c>
      <c r="F710">
        <f>IF(Skills!N9=TRUE,(Skills!L9/10)*(E710/1000),Skills!L9/10)+Skills!O9</f>
        <v/>
      </c>
      <c r="G710">
        <f>Skills!G9*IF(Skills!H9&gt;0,Skills!I9/Skills!H9,1)</f>
        <v/>
      </c>
      <c r="H710">
        <f>1-(1-Skills!J9/100)^Skills!K9</f>
        <v/>
      </c>
      <c r="I710" t="inlineStr">
        <is>
          <t>1</t>
        </is>
      </c>
      <c r="J710">
        <f>((Inputs!$B$6*(1+Inputs!$B$7/100))+(((Inputs!$B$12*(1+Inputs!$B$13/100))-(Inputs!$B$12*(1+Inputs!$B$13/100)))+0.25*(Inputs!$B$14-Inputs!$B$14))*(1+Inputs!$B$7/100))*(F710/100)</f>
        <v/>
      </c>
      <c r="K710">
        <f>J710*(1+((Inputs!$B$12*(1+Inputs!$B$13/100))*0.01+Inputs!$B$14*0.0025)/100)*(1+Inputs!$B$15/100)*(1+Inputs!$B$16/100)*(5000/(6000+Inputs!$B$42*(1-(100*(1-(1-(Inputs!$B$19+0)/100)*(1-CHOOSE(ArtifactsInput!$N$40+1,5,6,7,8,9,10)/100)^(ArtifactsInput!$M$40-ArtifactsInput!$M$40)))/100)))*(1+(Inputs!$B$24+((C726=TRUE)*(F726-Calc!F25))+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713=TRUE,F713,0)/100)*(1+IF(Skills!A9="ENHANCED_RAGING_BLOW",IF(Inputs!$B$3&gt;=134,MAX(0,IF(Inputs!$B$3&gt;=110,7,5)-5)*50,0),0)/100)*(1+(IF(Skills!A9="RAGING_BLOW",Inputs!$B$17+((C722=TRUE)*(F722-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C724=TRUE)*(F724-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714=TRUE)*F714*IF(Inputs!$B$3&gt;=110,7,5))+((C716=TRUE)*F716*IF(AND(Inputs!$B$38&lt;&gt;"pvp",Inputs!$B$43&gt;0),(((R716-1)*(Skills!T15*(1+(Inputs!$B$34+(ArtifactsInput!$M$7-ArtifactsInput!$M$7)*CHOOSE(ArtifactsInput!$N$7+1,6,7.2,8.4,9.6,10.8,12))/100))+MIN((Skills!T15*(1+(Inputs!$B$34+(ArtifactsInput!$M$7-ArtifactsInput!$M$7)*CHOOSE(ArtifactsInput!$N$7+1,6,7.2,8.4,9.6,10.8,12))/100)),MAX(0,Inputs!$B$43-((R716-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100)*I710)</f>
        <v/>
      </c>
      <c r="L710">
        <f>K710*(MIN(Inputs!$B$22+((C723=TRUE)*(F723-Calc!F22)),(Inputs!$B$23+((C725=TRUE)*(F725-Calc!F24))+(IF(ArtifactsInput!$M$15,CHOOSE(ArtifactsInput!$N$15+1,25,30,35,40,45,50)/100*(Inputs!$B$11-Inputs!$B$11),0))))/100+(Inputs!$B$23+((C725=TRUE)*(F725-Calc!F24))+(IF(ArtifactsInput!$M$15,CHOOSE(ArtifactsInput!$N$15+1,25,30,35,40,45,50)/100*(Inputs!$B$11-Inputs!$B$11),0)))/100)/2</f>
        <v/>
      </c>
      <c r="M710">
        <f>L710*(1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0">
        <f>L710*(1-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710*(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0">
        <f>(1-Summary!$B$11)*T710+Summary!$B$11*V710</f>
        <v/>
      </c>
      <c r="P710">
        <f>IF(B740=0,0,O710/B740)</f>
        <v/>
      </c>
      <c r="Q710">
        <f>IFERROR(1/(IF(Inputs!$B$38="pvp",15,MAX(0.1,Skills!D9-IF(Skills!E9=TRUE,Inputs!$B$32,0)))*(1-IF(AND(ArtifactsInput!$M$27,Inputs!$B$4="Chapter Hunt"),CHOOSE(ArtifactsInput!$N$27+1,20,24,28,32,36,40),0)/100)),0)</f>
        <v/>
      </c>
      <c r="R710">
        <f>IF(AND(Inputs!$B$38&lt;&gt;"pvp",Inputs!$B$43&gt;0),IF(MAX(0,Inputs!$B$43-B737)&lt;=0,0,(INT(MAX(0,Inputs!$B$43-B737)/(IF(Inputs!$B$38="pvp",15,MAX(0.1,Skills!D9-IF(Skills!E9=TRUE,Inputs!$B$32,0)))*(1-IF(AND(ArtifactsInput!$M$27,Inputs!$B$4="Chapter Hunt"),CHOOSE(ArtifactsInput!$N$27+1,20,24,28,32,36,40),0)/100)))+1)),0)</f>
        <v/>
      </c>
      <c r="S710">
        <f>IFERROR(O710/N710,0)</f>
        <v/>
      </c>
      <c r="T710">
        <f>IF(C710,(H710*N710*IF(AND(Inputs!$B$38&lt;&gt;"pvp",Inputs!$B$43&gt;0),((Skills!G9*((R710-1)*IF(Skills!H9&gt;0,Skills!I9/Skills!H9,1)+IF(Skills!H9&gt;0,MIN(Skills!I9,MAX(0,MAX(0,Inputs!$B$43-B737)-((R710-1)*(IF(Inputs!$B$38="pvp",15,MAX(0.1,Skills!D9-IF(Skills!E9=TRUE,Inputs!$B$32,0)))*(1-IF(AND(ArtifactsInput!$M$27,Inputs!$B$4="Chapter Hunt"),CHOOSE(ArtifactsInput!$N$27+1,20,24,28,32,36,40),0)/100)))))/Skills!H9,1)))/Inputs!$B$43),G710*Q710)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710*(1-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710*(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710*(1-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710*(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0">
        <f>IF(C710,(H710*N710*IF(AND(Inputs!$B$38&lt;&gt;"pvp",Inputs!$B$43&gt;0),((Skills!G9*((R710-1)*IF(Skills!H9&gt;0,Skills!I9/Skills!H9,1)+IF(Skills!H9&gt;0,MIN(Skills!I9,MAX(0,MAX(0,Inputs!$B$43-B737)-((R710-1)*(IF(Inputs!$B$38="pvp",15,MAX(0.1,Skills!D9-IF(Skills!E9=TRUE,Inputs!$B$32,0)))*(1-IF(AND(ArtifactsInput!$M$27,Inputs!$B$4="Chapter Hunt"),CHOOSE(ArtifactsInput!$N$27+1,20,24,28,32,36,40),0)/100)))))/Skills!H9,1)))/Inputs!$B$43),G710*Q710)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1">
      <c r="A711">
        <f>Skills!A10</f>
        <v/>
      </c>
      <c r="B711">
        <f>Skills!B10</f>
        <v/>
      </c>
      <c r="C711">
        <f>Inputs!$B$3&gt;=63</f>
        <v/>
      </c>
      <c r="D711">
        <f>IF(Skills!C10=1,60+Inputs!$B$25+Inputs!$B$29,IF(Skills!C10=2,90+Inputs!$B$26+Inputs!$B$29,IF(Skills!C10=3,120+Inputs!$B$27+Inputs!$B$29,MAX(0,(Inputs!$B$3-100)*3)+Inputs!$B$28+Inputs!$B$29)))</f>
        <v/>
      </c>
      <c r="E711">
        <f>INDEX(FactorTable!$B$2:$Y$301, MATCH(ROUND(MIN(300,MAX(1,D711)),0), FactorTable!$A$2:$A$301,0), Skills!M10+1)</f>
        <v/>
      </c>
      <c r="F711">
        <f>IF(Skills!N10=TRUE,(Skills!L10/10)*(E711/1000),Skills!L10/10)+Skills!O10</f>
        <v/>
      </c>
      <c r="G711">
        <f>Skills!G10*IF(Skills!H10&gt;0,Skills!I10/Skills!H10,1)</f>
        <v/>
      </c>
      <c r="H711">
        <f>1-(1-Skills!J10/100)^Skills!K10</f>
        <v/>
      </c>
      <c r="I711" t="inlineStr">
        <is>
          <t>1</t>
        </is>
      </c>
      <c r="J711">
        <f>((Inputs!$B$6*(1+Inputs!$B$7/100))+(((Inputs!$B$12*(1+Inputs!$B$13/100))-(Inputs!$B$12*(1+Inputs!$B$13/100)))+0.25*(Inputs!$B$14-Inputs!$B$14))*(1+Inputs!$B$7/100))*(F711/100)</f>
        <v/>
      </c>
      <c r="K711">
        <f>J711*(1+((Inputs!$B$12*(1+Inputs!$B$13/100))*0.01+Inputs!$B$14*0.0025)/100)*(1+Inputs!$B$15/100)*(1+Inputs!$B$16/100)*(5000/(6000+Inputs!$B$42*(1-(100*(1-(1-(Inputs!$B$19+0)/100)*(1-CHOOSE(ArtifactsInput!$N$40+1,5,6,7,8,9,10)/100)^(ArtifactsInput!$M$40-ArtifactsInput!$M$40)))/100)))*(1+(Inputs!$B$24+((C726=TRUE)*(F726-Calc!F25))+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713=TRUE,F713,0)/100)*(1+IF(Skills!A10="ENHANCED_RAGING_BLOW",IF(Inputs!$B$3&gt;=134,MAX(0,IF(Inputs!$B$3&gt;=110,7,5)-5)*50,0),0)/100)*(1+(IF(Skills!A10="RAGING_BLOW",Inputs!$B$17+((C722=TRUE)*(F722-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C724=TRUE)*(F724-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714=TRUE)*F714*IF(Inputs!$B$3&gt;=110,7,5))+((C716=TRUE)*F716*IF(AND(Inputs!$B$38&lt;&gt;"pvp",Inputs!$B$43&gt;0),(((R716-1)*(Skills!T15*(1+(Inputs!$B$34+(ArtifactsInput!$M$7-ArtifactsInput!$M$7)*CHOOSE(ArtifactsInput!$N$7+1,6,7.2,8.4,9.6,10.8,12))/100))+MIN((Skills!T15*(1+(Inputs!$B$34+(ArtifactsInput!$M$7-ArtifactsInput!$M$7)*CHOOSE(ArtifactsInput!$N$7+1,6,7.2,8.4,9.6,10.8,12))/100)),MAX(0,Inputs!$B$43-((R716-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100)*I711)</f>
        <v/>
      </c>
      <c r="L711">
        <f>K711*(MIN(Inputs!$B$22+((C723=TRUE)*(F723-Calc!F22)),(Inputs!$B$23+((C725=TRUE)*(F725-Calc!F24))+(IF(ArtifactsInput!$M$15,CHOOSE(ArtifactsInput!$N$15+1,25,30,35,40,45,50)/100*(Inputs!$B$11-Inputs!$B$11),0))))/100+(Inputs!$B$23+((C725=TRUE)*(F725-Calc!F24))+(IF(ArtifactsInput!$M$15,CHOOSE(ArtifactsInput!$N$15+1,25,30,35,40,45,50)/100*(Inputs!$B$11-Inputs!$B$11),0)))/100)/2</f>
        <v/>
      </c>
      <c r="M711">
        <f>L711*(1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1">
        <f>L711*(1-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711*(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1">
        <f>(1-Summary!$B$11)*T711+Summary!$B$11*V711</f>
        <v/>
      </c>
      <c r="P711">
        <f>IF(B740=0,0,O711/B740)</f>
        <v/>
      </c>
      <c r="Q711">
        <f>IFERROR(1/(IF(Inputs!$B$38="pvp",15,MAX(0.1,Skills!D10-IF(Skills!E10=TRUE,Inputs!$B$32,0)))*(1-IF(AND(ArtifactsInput!$M$27,Inputs!$B$4="Chapter Hunt"),CHOOSE(ArtifactsInput!$N$27+1,20,24,28,32,36,40),0)/100)),0)</f>
        <v/>
      </c>
      <c r="R711">
        <f>IF(AND(Inputs!$B$38&lt;&gt;"pvp",Inputs!$B$43&gt;0),IF(MAX(0,Inputs!$B$43-B737)&lt;=0,0,(INT(MAX(0,Inputs!$B$43-B737)/(IF(Inputs!$B$38="pvp",15,MAX(0.1,Skills!D10-IF(Skills!E10=TRUE,Inputs!$B$32,0)))*(1-IF(AND(ArtifactsInput!$M$27,Inputs!$B$4="Chapter Hunt"),CHOOSE(ArtifactsInput!$N$27+1,20,24,28,32,36,40),0)/100)))+1)),0)</f>
        <v/>
      </c>
      <c r="S711">
        <f>IFERROR(O711/N711,0)</f>
        <v/>
      </c>
      <c r="T711">
        <f>IF(C711,(H711*N711*IF(AND(Inputs!$B$38&lt;&gt;"pvp",Inputs!$B$43&gt;0),((Skills!G10*((R711-1)*IF(Skills!H10&gt;0,Skills!I10/Skills!H10,1)+IF(Skills!H10&gt;0,MIN(Skills!I10,MAX(0,MAX(0,Inputs!$B$43-B737)-((R711-1)*(IF(Inputs!$B$38="pvp",15,MAX(0.1,Skills!D10-IF(Skills!E10=TRUE,Inputs!$B$32,0)))*(1-IF(AND(ArtifactsInput!$M$27,Inputs!$B$4="Chapter Hunt"),CHOOSE(ArtifactsInput!$N$27+1,20,24,28,32,36,40),0)/100)))))/Skills!H10,1)))/Inputs!$B$43),G711*Q711)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711*(1-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711*(1-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1">
        <f>IF(C711,(H711*N711*IF(AND(Inputs!$B$38&lt;&gt;"pvp",Inputs!$B$43&gt;0),((Skills!G10*((R711-1)*IF(Skills!H10&gt;0,Skills!I10/Skills!H10,1)+IF(Skills!H10&gt;0,MIN(Skills!I10,MAX(0,MAX(0,Inputs!$B$43-B737)-((R711-1)*(IF(Inputs!$B$38="pvp",15,MAX(0.1,Skills!D10-IF(Skills!E10=TRUE,Inputs!$B$32,0)))*(1-IF(AND(ArtifactsInput!$M$27,Inputs!$B$4="Chapter Hunt"),CHOOSE(ArtifactsInput!$N$27+1,20,24,28,32,36,40),0)/100)))))/Skills!H10,1)))/Inputs!$B$43),G711*Q711)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2">
      <c r="A712">
        <f>Skills!A11</f>
        <v/>
      </c>
      <c r="B712">
        <f>Skills!B11</f>
        <v/>
      </c>
      <c r="C712">
        <f>Inputs!$B$3&gt;=35</f>
        <v/>
      </c>
      <c r="D712">
        <f>IF(Skills!C11=1,60+Inputs!$B$25+Inputs!$B$29,IF(Skills!C11=2,90+Inputs!$B$26+Inputs!$B$29,IF(Skills!C11=3,120+Inputs!$B$27+Inputs!$B$29,MAX(0,(Inputs!$B$3-100)*3)+Inputs!$B$28+Inputs!$B$29)))</f>
        <v/>
      </c>
      <c r="E712">
        <f>INDEX(FactorTable!$B$2:$Y$301, MATCH(ROUND(MIN(300,MAX(1,D712)),0), FactorTable!$A$2:$A$301,0), Skills!M11+1)</f>
        <v/>
      </c>
      <c r="F712">
        <f>IF(Skills!N11=TRUE,(Skills!L11/10)*(E712/1000),Skills!L11/10)+Skills!O11</f>
        <v/>
      </c>
      <c r="G712">
        <f>Skills!G11*IF(Skills!H11&gt;0,Skills!I11/Skills!H11,1)</f>
        <v/>
      </c>
      <c r="H712">
        <f>1-(1-Skills!J11/100)^Skills!K11</f>
        <v/>
      </c>
      <c r="I712" t="inlineStr">
        <is>
          <t>1</t>
        </is>
      </c>
      <c r="J712">
        <f>((Inputs!$B$6*(1+Inputs!$B$7/100))+(((Inputs!$B$12*(1+Inputs!$B$13/100))-(Inputs!$B$12*(1+Inputs!$B$13/100)))+0.25*(Inputs!$B$14-Inputs!$B$14))*(1+Inputs!$B$7/100))*(F712/100)</f>
        <v/>
      </c>
      <c r="K712">
        <f>J712*(1+((Inputs!$B$12*(1+Inputs!$B$13/100))*0.01+Inputs!$B$14*0.0025)/100)*(1+Inputs!$B$15/100)*(1+Inputs!$B$16/100)*(5000/(6000+Inputs!$B$42*(1-(100*(1-(1-(Inputs!$B$19+0)/100)*(1-CHOOSE(ArtifactsInput!$N$40+1,5,6,7,8,9,10)/100)^(ArtifactsInput!$M$40-ArtifactsInput!$M$40)))/100)))*(1+(Inputs!$B$24+((C726=TRUE)*(F726-Calc!F25))+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713=TRUE,F713,0)/100)*(1+IF(Skills!A11="ENHANCED_RAGING_BLOW",IF(Inputs!$B$3&gt;=134,MAX(0,IF(Inputs!$B$3&gt;=110,7,5)-5)*50,0),0)/100)*(1+(IF(Skills!A11="RAGING_BLOW",Inputs!$B$17+((C722=TRUE)*(F722-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C724=TRUE)*(F724-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714=TRUE)*F714*IF(Inputs!$B$3&gt;=110,7,5))+((C716=TRUE)*F716*IF(AND(Inputs!$B$38&lt;&gt;"pvp",Inputs!$B$43&gt;0),(((R716-1)*(Skills!T15*(1+(Inputs!$B$34+(ArtifactsInput!$M$7-ArtifactsInput!$M$7)*CHOOSE(ArtifactsInput!$N$7+1,6,7.2,8.4,9.6,10.8,12))/100))+MIN((Skills!T15*(1+(Inputs!$B$34+(ArtifactsInput!$M$7-ArtifactsInput!$M$7)*CHOOSE(ArtifactsInput!$N$7+1,6,7.2,8.4,9.6,10.8,12))/100)),MAX(0,Inputs!$B$43-((R716-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100)*I712)</f>
        <v/>
      </c>
      <c r="L712">
        <f>K712*(MIN(Inputs!$B$22+((C723=TRUE)*(F723-Calc!F22)),(Inputs!$B$23+((C725=TRUE)*(F725-Calc!F24))+(IF(ArtifactsInput!$M$15,CHOOSE(ArtifactsInput!$N$15+1,25,30,35,40,45,50)/100*(Inputs!$B$11-Inputs!$B$11),0))))/100+(Inputs!$B$23+((C725=TRUE)*(F725-Calc!F24))+(IF(ArtifactsInput!$M$15,CHOOSE(ArtifactsInput!$N$15+1,25,30,35,40,45,50)/100*(Inputs!$B$11-Inputs!$B$11),0)))/100)/2</f>
        <v/>
      </c>
      <c r="M712">
        <f>L712*(1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2">
        <f>L712*(1-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712*(MIN((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2">
        <f>(1-Summary!$B$11)*T712+Summary!$B$11*V712</f>
        <v/>
      </c>
      <c r="P712">
        <f>IF(B740=0,0,O712/B740)</f>
        <v/>
      </c>
      <c r="Q712">
        <f>IFERROR(1/(IF(Inputs!$B$38="pvp",15,MAX(0.1,Skills!D11-IF(Skills!E11=TRUE,Inputs!$B$32,0)))*(1-IF(AND(ArtifactsInput!$M$27,Inputs!$B$4="Chapter Hunt"),CHOOSE(ArtifactsInput!$N$27+1,20,24,28,32,36,40),0)/100)),0)</f>
        <v/>
      </c>
      <c r="R712">
        <f>IF(AND(Inputs!$B$38&lt;&gt;"pvp",Inputs!$B$43&gt;0),IF(MAX(0,Inputs!$B$43-B737)&lt;=0,0,(INT(MAX(0,Inputs!$B$43-B737)/(IF(Inputs!$B$38="pvp",15,MAX(0.1,Skills!D11-IF(Skills!E11=TRUE,Inputs!$B$32,0)))*(1-IF(AND(ArtifactsInput!$M$27,Inputs!$B$4="Chapter Hunt"),CHOOSE(ArtifactsInput!$N$27+1,20,24,28,32,36,40),0)/100)))+1)),0)</f>
        <v/>
      </c>
      <c r="S712">
        <f>IFERROR(O712/N712,0)</f>
        <v/>
      </c>
      <c r="T712">
        <f>IF(C712,(H712*N712*IF(AND(Inputs!$B$38&lt;&gt;"pvp",Inputs!$B$43&gt;0),((Skills!G11*((R712-1)*IF(Skills!H11&gt;0,Skills!I11/Skills!H11,1)+IF(Skills!H11&gt;0,MIN(Skills!I11,MAX(0,MAX(0,Inputs!$B$43-B737)-((R712-1)*(IF(Inputs!$B$38="pvp",15,MAX(0.1,Skills!D11-IF(Skills!E11=TRUE,Inputs!$B$32,0)))*(1-IF(AND(ArtifactsInput!$M$27,Inputs!$B$4="Chapter Hunt"),CHOOSE(ArtifactsInput!$N$27+1,20,24,28,32,36,40),0)/100)))))/Skills!H11,1)))/Inputs!$B$43),G712*Q712)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712*(1-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712*(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712*(1-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712*(MIN(100,(Inputs!$B$9+((C727=TRUE)*(F727-Calc!F26))+B730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2">
        <f>IF(C712,(H712*N712*IF(AND(Inputs!$B$38&lt;&gt;"pvp",Inputs!$B$43&gt;0),((Skills!G11*((R712-1)*IF(Skills!H11&gt;0,Skills!I11/Skills!H11,1)+IF(Skills!H11&gt;0,MIN(Skills!I11,MAX(0,MAX(0,Inputs!$B$43-B737)-((R712-1)*(IF(Inputs!$B$38="pvp",15,MAX(0.1,Skills!D11-IF(Skills!E11=TRUE,Inputs!$B$32,0)))*(1-IF(AND(ArtifactsInput!$M$27,Inputs!$B$4="Chapter Hunt"),CHOOSE(ArtifactsInput!$N$27+1,20,24,28,32,36,40),0)/100)))))/Skills!H11,1)))/Inputs!$B$43),G712*Q712)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3">
      <c r="A713">
        <f>Skills!A12</f>
        <v/>
      </c>
      <c r="B713">
        <f>Skills!B12</f>
        <v/>
      </c>
      <c r="C713">
        <f>Inputs!$B$3&gt;=100</f>
        <v/>
      </c>
      <c r="D713">
        <f>IF(Skills!C12=1,60+Inputs!$B$25+Inputs!$B$29,IF(Skills!C12=2,90+Inputs!$B$26+Inputs!$B$29,IF(Skills!C12=3,120+Inputs!$B$27+Inputs!$B$29,MAX(0,(Inputs!$B$3-100)*3)+Inputs!$B$28+Inputs!$B$29)))</f>
        <v/>
      </c>
      <c r="E713">
        <f>INDEX(FactorTable!$B$2:$Y$301, MATCH(ROUND(MIN(300,MAX(1,D713)),0), FactorTable!$A$2:$A$301,0), Skills!M12+1)</f>
        <v/>
      </c>
      <c r="F713">
        <f>IF(Skills!N12=TRUE,(Skills!L12/10)*(E713/1000),Skills!L12/10)+Skills!O12</f>
        <v/>
      </c>
      <c r="G713" t="inlineStr"/>
      <c r="H713" t="inlineStr"/>
      <c r="I713" t="inlineStr">
        <is>
          <t>1</t>
        </is>
      </c>
      <c r="J713" t="inlineStr"/>
      <c r="K713" t="inlineStr"/>
      <c r="L713" t="inlineStr"/>
      <c r="M713" t="inlineStr"/>
      <c r="N713" t="inlineStr"/>
      <c r="O713" t="inlineStr"/>
      <c r="P713" t="inlineStr"/>
      <c r="Q713" t="inlineStr"/>
      <c r="R713" t="inlineStr"/>
      <c r="S713" t="inlineStr"/>
    </row>
    <row r="714">
      <c r="A714">
        <f>Skills!A13</f>
        <v/>
      </c>
      <c r="B714">
        <f>Skills!B13</f>
        <v/>
      </c>
      <c r="C714">
        <f>Inputs!$B$3&gt;=45</f>
        <v/>
      </c>
      <c r="D714">
        <f>IF(Skills!C13=1,60+Inputs!$B$25+Inputs!$B$29,IF(Skills!C13=2,90+Inputs!$B$26+Inputs!$B$29,IF(Skills!C13=3,120+Inputs!$B$27+Inputs!$B$29,MAX(0,(Inputs!$B$3-100)*3)+Inputs!$B$28+Inputs!$B$29)))</f>
        <v/>
      </c>
      <c r="E714">
        <f>INDEX(FactorTable!$B$2:$Y$301, MATCH(ROUND(MIN(300,MAX(1,D714)),0), FactorTable!$A$2:$A$301,0), Skills!M13+1)</f>
        <v/>
      </c>
      <c r="F714">
        <f>IF(Skills!N13=TRUE,(Skills!L13/10)*(E714/1000),Skills!L13/10)+Skills!O13</f>
        <v/>
      </c>
      <c r="G714">
        <f>Skills!G13*IF(Skills!H13&gt;0,Skills!I13/Skills!H13,1)</f>
        <v/>
      </c>
      <c r="H714">
        <f>1-(1-Skills!J13/100)^Skills!K13</f>
        <v/>
      </c>
      <c r="I714" t="inlineStr">
        <is>
          <t>1</t>
        </is>
      </c>
      <c r="J714" t="inlineStr"/>
      <c r="K714" t="inlineStr"/>
      <c r="L714" t="inlineStr"/>
      <c r="M714" t="inlineStr"/>
      <c r="N714" t="inlineStr"/>
      <c r="O714">
        <f>(1-Summary!$B$11)*T714+Summary!$B$11*V714</f>
        <v/>
      </c>
      <c r="P714">
        <f>IF(B740=0,0,O714/B740)</f>
        <v/>
      </c>
      <c r="Q714" t="n">
        <v>0</v>
      </c>
      <c r="R714" t="n">
        <v>0</v>
      </c>
      <c r="S714">
        <f>IFERROR(O714/N714,0)</f>
        <v/>
      </c>
      <c r="T714" t="n">
        <v>0</v>
      </c>
      <c r="V714" t="n">
        <v>0</v>
      </c>
    </row>
    <row r="715">
      <c r="A715">
        <f>Skills!A14</f>
        <v/>
      </c>
      <c r="B715">
        <f>Skills!B14</f>
        <v/>
      </c>
      <c r="C715">
        <f>Inputs!$B$3&gt;=75</f>
        <v/>
      </c>
      <c r="D715">
        <f>IF(Skills!C14=1,60+Inputs!$B$25+Inputs!$B$29,IF(Skills!C14=2,90+Inputs!$B$26+Inputs!$B$29,IF(Skills!C14=3,120+Inputs!$B$27+Inputs!$B$29,MAX(0,(Inputs!$B$3-100)*3)+Inputs!$B$28+Inputs!$B$29)))</f>
        <v/>
      </c>
      <c r="E715">
        <f>INDEX(FactorTable!$B$2:$Y$301, MATCH(ROUND(MIN(300,MAX(1,D715)),0), FactorTable!$A$2:$A$301,0), Skills!M14+1)</f>
        <v/>
      </c>
      <c r="F715">
        <f>IF(Skills!N14=TRUE,(Skills!L14/10)*(E715/1000),Skills!L14/10)+Skills!O14</f>
        <v/>
      </c>
      <c r="G715">
        <f>Skills!G14*IF(Skills!H14&gt;0,Skills!I14/Skills!H14,1)</f>
        <v/>
      </c>
      <c r="H715">
        <f>1-(1-Skills!J14/100)^Skills!K14</f>
        <v/>
      </c>
      <c r="I715" t="inlineStr">
        <is>
          <t>1</t>
        </is>
      </c>
      <c r="J715" t="inlineStr"/>
      <c r="K715" t="inlineStr"/>
      <c r="L715" t="inlineStr"/>
      <c r="M715" t="inlineStr"/>
      <c r="N715" t="inlineStr"/>
      <c r="O715">
        <f>(1-Summary!$B$11)*T715+Summary!$B$11*V715</f>
        <v/>
      </c>
      <c r="P715">
        <f>IF(B740=0,0,O715/B740)</f>
        <v/>
      </c>
      <c r="Q715" t="n">
        <v>0</v>
      </c>
      <c r="R715" t="n">
        <v>0</v>
      </c>
      <c r="S715">
        <f>IFERROR(O715/N715,0)</f>
        <v/>
      </c>
      <c r="T715" t="n">
        <v>0</v>
      </c>
      <c r="V715" t="n">
        <v>0</v>
      </c>
    </row>
    <row r="716">
      <c r="A716">
        <f>Skills!A15</f>
        <v/>
      </c>
      <c r="B716">
        <f>Skills!B15</f>
        <v/>
      </c>
      <c r="C716">
        <f>Inputs!$B$3&gt;=40</f>
        <v/>
      </c>
      <c r="D716">
        <f>IF(Skills!C15=1,60+Inputs!$B$25+Inputs!$B$29,IF(Skills!C15=2,90+Inputs!$B$26+Inputs!$B$29,IF(Skills!C15=3,120+Inputs!$B$27+Inputs!$B$29,MAX(0,(Inputs!$B$3-100)*3)+Inputs!$B$28+Inputs!$B$29)))</f>
        <v/>
      </c>
      <c r="E716">
        <f>INDEX(FactorTable!$B$2:$Y$301, MATCH(ROUND(MIN(300,MAX(1,D716)),0), FactorTable!$A$2:$A$301,0), Skills!M15+1)</f>
        <v/>
      </c>
      <c r="F716">
        <f>IF(Skills!N15=TRUE,(Skills!L15/10)*(E716/1000),Skills!L15/10)+Skills!O15</f>
        <v/>
      </c>
      <c r="G716">
        <f>Skills!G15*IF(Skills!H15&gt;0,Skills!I15/Skills!H15,1)</f>
        <v/>
      </c>
      <c r="H716">
        <f>1-(1-Skills!J15/100)^Skills!K15</f>
        <v/>
      </c>
      <c r="I716" t="inlineStr">
        <is>
          <t>1</t>
        </is>
      </c>
      <c r="J716" t="inlineStr"/>
      <c r="K716" t="inlineStr"/>
      <c r="L716" t="inlineStr"/>
      <c r="M716" t="inlineStr"/>
      <c r="N716" t="inlineStr"/>
      <c r="O716">
        <f>(1-Summary!$B$11)*T716+Summary!$B$11*V716</f>
        <v/>
      </c>
      <c r="P716">
        <f>IF(B740=0,0,O716/B740)</f>
        <v/>
      </c>
      <c r="Q716">
        <f>IFERROR(1/(IF(Inputs!$B$38="pvp",15,MAX(0.1,Skills!D15-IF(Skills!E15=TRUE,Inputs!$B$32,0)))*(1-IF(AND(ArtifactsInput!$M$27,Inputs!$B$4="Chapter Hunt"),CHOOSE(ArtifactsInput!$N$27+1,20,24,28,32,36,40),0)/100)),0)</f>
        <v/>
      </c>
      <c r="R716">
        <f>IF(AND(Inputs!$B$38&lt;&gt;"pvp",Inputs!$B$43&gt;0),IF(Inputs!$B$43&lt;=0,0,(INT(Inputs!$B$43/(IF(Inputs!$B$38="pvp",15,MAX(0.1,Skills!D15-IF(Skills!E15=TRUE,Inputs!$B$32,0)))*(1-IF(AND(ArtifactsInput!$M$27,Inputs!$B$4="Chapter Hunt"),CHOOSE(ArtifactsInput!$N$27+1,20,24,28,32,36,40),0)/100)))+1)),0)</f>
        <v/>
      </c>
      <c r="S716">
        <f>IFERROR(O716/N716,0)</f>
        <v/>
      </c>
      <c r="T716" t="n">
        <v>0</v>
      </c>
      <c r="V716" t="n">
        <v>0</v>
      </c>
    </row>
    <row r="717">
      <c r="A717">
        <f>Skills!A16</f>
        <v/>
      </c>
      <c r="B717">
        <f>Skills!B16</f>
        <v/>
      </c>
      <c r="C717">
        <f>Inputs!$B$3&gt;=66</f>
        <v/>
      </c>
      <c r="D717">
        <f>IF(Skills!C16=1,60+Inputs!$B$25+Inputs!$B$29,IF(Skills!C16=2,90+Inputs!$B$26+Inputs!$B$29,IF(Skills!C16=3,120+Inputs!$B$27+Inputs!$B$29,MAX(0,(Inputs!$B$3-100)*3)+Inputs!$B$28+Inputs!$B$29)))</f>
        <v/>
      </c>
      <c r="E717">
        <f>INDEX(FactorTable!$B$2:$Y$301, MATCH(ROUND(MIN(300,MAX(1,D717)),0), FactorTable!$A$2:$A$301,0), Skills!M16+1)</f>
        <v/>
      </c>
      <c r="F717">
        <f>IF(Skills!N16=TRUE,(Skills!L16/10)*(E717/1000),Skills!L16/10)+Skills!O16</f>
        <v/>
      </c>
      <c r="G717">
        <f>Skills!G16*IF(Skills!H16&gt;0,Skills!I16/Skills!H16,1)</f>
        <v/>
      </c>
      <c r="H717">
        <f>1-(1-Skills!J16/100)^Skills!K16</f>
        <v/>
      </c>
      <c r="I717" t="inlineStr">
        <is>
          <t>1</t>
        </is>
      </c>
      <c r="J717" t="inlineStr"/>
      <c r="K717" t="inlineStr"/>
      <c r="L717" t="inlineStr"/>
      <c r="M717" t="inlineStr"/>
      <c r="N717" t="inlineStr"/>
      <c r="O717">
        <f>(1-Summary!$B$11)*T717+Summary!$B$11*V717</f>
        <v/>
      </c>
      <c r="P717">
        <f>IF(B740=0,0,O717/B740)</f>
        <v/>
      </c>
      <c r="Q717">
        <f>IFERROR(1/(IF(Inputs!$B$38="pvp",15,MAX(0.1,Skills!D16-IF(Skills!E16=TRUE,Inputs!$B$32,0)))*(1-IF(AND(ArtifactsInput!$M$27,Inputs!$B$4="Chapter Hunt"),CHOOSE(ArtifactsInput!$N$27+1,20,24,28,32,36,40),0)/100)),0)</f>
        <v/>
      </c>
      <c r="R717">
        <f>IF(AND(Inputs!$B$38&lt;&gt;"pvp",Inputs!$B$43&gt;0),IF(Inputs!$B$43&lt;=0,0,(INT(Inputs!$B$43/(IF(Inputs!$B$38="pvp",15,MAX(0.1,Skills!D16-IF(Skills!E16=TRUE,Inputs!$B$32,0)))*(1-IF(AND(ArtifactsInput!$M$27,Inputs!$B$4="Chapter Hunt"),CHOOSE(ArtifactsInput!$N$27+1,20,24,28,32,36,40),0)/100)))+1)),0)</f>
        <v/>
      </c>
      <c r="S717">
        <f>IFERROR(O717/N717,0)</f>
        <v/>
      </c>
      <c r="T717" t="n">
        <v>0</v>
      </c>
      <c r="V717" t="n">
        <v>0</v>
      </c>
    </row>
    <row r="718">
      <c r="A718">
        <f>Skills!A17</f>
        <v/>
      </c>
      <c r="B718">
        <f>Skills!B17</f>
        <v/>
      </c>
      <c r="C718">
        <f>Inputs!$B$3&gt;=115</f>
        <v/>
      </c>
      <c r="D718">
        <f>IF(Skills!C17=1,60+Inputs!$B$25+Inputs!$B$29,IF(Skills!C17=2,90+Inputs!$B$26+Inputs!$B$29,IF(Skills!C17=3,120+Inputs!$B$27+Inputs!$B$29,MAX(0,(Inputs!$B$3-100)*3)+Inputs!$B$28+Inputs!$B$29)))</f>
        <v/>
      </c>
      <c r="E718">
        <f>INDEX(FactorTable!$B$2:$Y$301, MATCH(ROUND(MIN(300,MAX(1,D718)),0), FactorTable!$A$2:$A$301,0), Skills!M17+1)</f>
        <v/>
      </c>
      <c r="F718">
        <f>IF(Skills!N17=TRUE,(Skills!L17/10)*(E718/1000),Skills!L17/10)+Skills!O17</f>
        <v/>
      </c>
      <c r="G718">
        <f>Skills!G17*IF(Skills!H17&gt;0,Skills!I17/Skills!H17,1)</f>
        <v/>
      </c>
      <c r="H718">
        <f>1-(1-Skills!J17/100)^Skills!K17</f>
        <v/>
      </c>
      <c r="I718" t="inlineStr">
        <is>
          <t>1</t>
        </is>
      </c>
      <c r="J718" t="inlineStr"/>
      <c r="K718" t="inlineStr"/>
      <c r="L718" t="inlineStr"/>
      <c r="M718" t="inlineStr"/>
      <c r="N718" t="inlineStr"/>
      <c r="O718">
        <f>(1-Summary!$B$11)*T718+Summary!$B$11*V718</f>
        <v/>
      </c>
      <c r="P718">
        <f>IF(B740=0,0,O718/B740)</f>
        <v/>
      </c>
      <c r="Q718">
        <f>IFERROR(1/(IF(Inputs!$B$38="pvp",15,MAX(0.1,Skills!D17-IF(Skills!E17=TRUE,Inputs!$B$32,0)))*(1-IF(AND(ArtifactsInput!$M$27,Inputs!$B$4="Chapter Hunt"),CHOOSE(ArtifactsInput!$N$27+1,20,24,28,32,36,40),0)/100)),0)</f>
        <v/>
      </c>
      <c r="R718">
        <f>IF(AND(Inputs!$B$38&lt;&gt;"pvp",Inputs!$B$43&gt;0),IF(Inputs!$B$43&lt;=0,0,(INT(Inputs!$B$43/(IF(Inputs!$B$38="pvp",15,MAX(0.1,Skills!D17-IF(Skills!E17=TRUE,Inputs!$B$32,0)))*(1-IF(AND(ArtifactsInput!$M$27,Inputs!$B$4="Chapter Hunt"),CHOOSE(ArtifactsInput!$N$27+1,20,24,28,32,36,40),0)/100)))+1)),0)</f>
        <v/>
      </c>
      <c r="S718">
        <f>IFERROR(O718/N718,0)</f>
        <v/>
      </c>
      <c r="T718" t="n">
        <v>0</v>
      </c>
      <c r="V718" t="n">
        <v>0</v>
      </c>
    </row>
    <row r="719">
      <c r="A719">
        <f>Skills!A18</f>
        <v/>
      </c>
      <c r="B719">
        <f>Skills!B18</f>
        <v/>
      </c>
      <c r="C719">
        <f>Inputs!$B$3&gt;=115</f>
        <v/>
      </c>
      <c r="D719">
        <f>IF(Skills!C18=1,60+Inputs!$B$25+Inputs!$B$29,IF(Skills!C18=2,90+Inputs!$B$26+Inputs!$B$29,IF(Skills!C18=3,120+Inputs!$B$27+Inputs!$B$29,MAX(0,(Inputs!$B$3-100)*3)+Inputs!$B$28+Inputs!$B$29)))</f>
        <v/>
      </c>
      <c r="E719">
        <f>INDEX(FactorTable!$B$2:$Y$301, MATCH(ROUND(MIN(300,MAX(1,D719)),0), FactorTable!$A$2:$A$301,0), Skills!M18+1)</f>
        <v/>
      </c>
      <c r="F719">
        <f>IF(Skills!N18=TRUE,(Skills!L18/10)*(E719/1000),Skills!L18/10)+Skills!O18</f>
        <v/>
      </c>
      <c r="G719">
        <f>Skills!G18*IF(Skills!H18&gt;0,Skills!I18/Skills!H18,1)</f>
        <v/>
      </c>
      <c r="H719">
        <f>1-(1-Skills!J18/100)^Skills!K18</f>
        <v/>
      </c>
      <c r="I719" t="inlineStr">
        <is>
          <t>1</t>
        </is>
      </c>
      <c r="J719" t="inlineStr"/>
      <c r="K719" t="inlineStr"/>
      <c r="L719" t="inlineStr"/>
      <c r="M719" t="inlineStr"/>
      <c r="N719" t="inlineStr"/>
      <c r="O719">
        <f>(1-Summary!$B$11)*T719+Summary!$B$11*V719</f>
        <v/>
      </c>
      <c r="P719">
        <f>IF(B740=0,0,O719/B740)</f>
        <v/>
      </c>
      <c r="Q719">
        <f>IFERROR(1/(IF(Inputs!$B$38="pvp",15,MAX(0.1,Skills!D18-IF(Skills!E18=TRUE,Inputs!$B$32,0)))*(1-IF(AND(ArtifactsInput!$M$27,Inputs!$B$4="Chapter Hunt"),CHOOSE(ArtifactsInput!$N$27+1,20,24,28,32,36,40),0)/100)),0)</f>
        <v/>
      </c>
      <c r="R719">
        <f>IF(AND(Inputs!$B$38&lt;&gt;"pvp",Inputs!$B$43&gt;0),IF(Inputs!$B$43&lt;=0,0,(INT(Inputs!$B$43/(IF(Inputs!$B$38="pvp",15,MAX(0.1,Skills!D18-IF(Skills!E18=TRUE,Inputs!$B$32,0)))*(1-IF(AND(ArtifactsInput!$M$27,Inputs!$B$4="Chapter Hunt"),CHOOSE(ArtifactsInput!$N$27+1,20,24,28,32,36,40),0)/100)))+1)),0)</f>
        <v/>
      </c>
      <c r="S719">
        <f>IFERROR(O719/N719,0)</f>
        <v/>
      </c>
      <c r="T719" t="n">
        <v>0</v>
      </c>
      <c r="V719" t="n">
        <v>0</v>
      </c>
    </row>
    <row r="720">
      <c r="A720">
        <f>Skills!A19</f>
        <v/>
      </c>
      <c r="B720">
        <f>Skills!B19</f>
        <v/>
      </c>
      <c r="C720">
        <f>TRUE</f>
        <v/>
      </c>
      <c r="D720">
        <f>IF(Skills!C19=1,60+Inputs!$B$25+Inputs!$B$29,IF(Skills!C19=2,90+Inputs!$B$26+Inputs!$B$29,IF(Skills!C19=3,120+Inputs!$B$27+Inputs!$B$29,MAX(0,(Inputs!$B$3-100)*3)+Inputs!$B$28+Inputs!$B$29)))</f>
        <v/>
      </c>
      <c r="E720">
        <f>INDEX(FactorTable!$B$2:$Y$301, MATCH(ROUND(MIN(300,MAX(1,D720)),0), FactorTable!$A$2:$A$301,0), Skills!M19+1)</f>
        <v/>
      </c>
      <c r="F720">
        <f>IF(Skills!N19=TRUE,(Skills!L19/10)*(E720/1000),Skills!L19/10)+Skills!O19</f>
        <v/>
      </c>
      <c r="G720">
        <f>Skills!G19*IF(Skills!H19&gt;0,Skills!I19/Skills!H19,1)</f>
        <v/>
      </c>
      <c r="H720">
        <f>1-(1-Skills!J19/100)^Skills!K19</f>
        <v/>
      </c>
      <c r="I720" t="inlineStr">
        <is>
          <t>1</t>
        </is>
      </c>
      <c r="J720" t="inlineStr"/>
      <c r="K720" t="inlineStr"/>
      <c r="L720" t="inlineStr"/>
      <c r="M720" t="inlineStr"/>
      <c r="N720" t="inlineStr"/>
      <c r="O720">
        <f>(1-Summary!$B$11)*T720+Summary!$B$11*V720</f>
        <v/>
      </c>
      <c r="P720">
        <f>IF(B740=0,0,O720/B740)</f>
        <v/>
      </c>
      <c r="Q720">
        <f>IFERROR(1/(IF(Inputs!$B$38="pvp",15,MAX(0.1,Skills!D19-IF(Skills!E19=TRUE,Inputs!$B$32,0)))*(1-IF(AND(ArtifactsInput!$M$27,Inputs!$B$4="Chapter Hunt"),CHOOSE(ArtifactsInput!$N$27+1,20,24,28,32,36,40),0)/100)),0)</f>
        <v/>
      </c>
      <c r="R720">
        <f>IF(AND(Inputs!$B$38&lt;&gt;"pvp",Inputs!$B$43&gt;0),IF(Inputs!$B$43&lt;=0,0,(INT(Inputs!$B$43/(IF(Inputs!$B$38="pvp",15,MAX(0.1,Skills!D19-IF(Skills!E19=TRUE,Inputs!$B$32,0)))*(1-IF(AND(ArtifactsInput!$M$27,Inputs!$B$4="Chapter Hunt"),CHOOSE(ArtifactsInput!$N$27+1,20,24,28,32,36,40),0)/100)))+1)),0)</f>
        <v/>
      </c>
      <c r="S720">
        <f>IFERROR(O720/N720,0)</f>
        <v/>
      </c>
      <c r="T720" t="n">
        <v>0</v>
      </c>
      <c r="V720" t="n">
        <v>0</v>
      </c>
    </row>
    <row r="721">
      <c r="A721">
        <f>Skills!A20</f>
        <v/>
      </c>
      <c r="B721">
        <f>Skills!B20</f>
        <v/>
      </c>
      <c r="C721">
        <f>Inputs!$B$3&gt;=33</f>
        <v/>
      </c>
      <c r="D721">
        <f>IF(Skills!C20=1,60+Inputs!$B$25+Inputs!$B$29,IF(Skills!C20=2,90+Inputs!$B$26+Inputs!$B$29,IF(Skills!C20=3,120+Inputs!$B$27+Inputs!$B$29,MAX(0,(Inputs!$B$3-100)*3)+Inputs!$B$28+Inputs!$B$29)))</f>
        <v/>
      </c>
      <c r="E721">
        <f>INDEX(FactorTable!$B$2:$Y$301, MATCH(ROUND(MIN(300,MAX(1,D721)),0), FactorTable!$A$2:$A$301,0), Skills!M20+1)</f>
        <v/>
      </c>
      <c r="F721">
        <f>IF(Skills!N20=TRUE,(Skills!L20/10)*(E721/1000),Skills!L20/10)+Skills!O20</f>
        <v/>
      </c>
      <c r="G721">
        <f>Skills!G20*IF(Skills!H20&gt;0,Skills!I20/Skills!H20,1)</f>
        <v/>
      </c>
      <c r="H721">
        <f>1-(1-Skills!J20/100)^Skills!K20</f>
        <v/>
      </c>
      <c r="I721" t="inlineStr">
        <is>
          <t>1</t>
        </is>
      </c>
      <c r="J721" t="inlineStr"/>
      <c r="K721" t="inlineStr"/>
      <c r="L721" t="inlineStr"/>
      <c r="M721" t="inlineStr"/>
      <c r="N721" t="inlineStr"/>
      <c r="O721">
        <f>(1-Summary!$B$11)*T721+Summary!$B$11*V721</f>
        <v/>
      </c>
      <c r="P721">
        <f>IF(B740=0,0,O721/B740)</f>
        <v/>
      </c>
      <c r="Q721" t="n">
        <v>0</v>
      </c>
      <c r="R721" t="n">
        <v>0</v>
      </c>
      <c r="S721">
        <f>IFERROR(O721/N721,0)</f>
        <v/>
      </c>
      <c r="T721" t="n">
        <v>0</v>
      </c>
      <c r="V721" t="n">
        <v>0</v>
      </c>
    </row>
    <row r="722">
      <c r="A722">
        <f>Skills!A21</f>
        <v/>
      </c>
      <c r="B722">
        <f>Skills!B21</f>
        <v/>
      </c>
      <c r="C722">
        <f>Inputs!$B$3&gt;=38</f>
        <v/>
      </c>
      <c r="D722">
        <f>IF(Skills!C21=1,60+Inputs!$B$25+Inputs!$B$29,IF(Skills!C21=2,90+Inputs!$B$26+Inputs!$B$29,IF(Skills!C21=3,120+Inputs!$B$27+Inputs!$B$29,MAX(0,(Inputs!$B$3-100)*3)+Inputs!$B$28+Inputs!$B$29)))</f>
        <v/>
      </c>
      <c r="E722">
        <f>INDEX(FactorTable!$B$2:$Y$301, MATCH(ROUND(MIN(300,MAX(1,D722)),0), FactorTable!$A$2:$A$301,0), Skills!M21+1)</f>
        <v/>
      </c>
      <c r="F722">
        <f>IF(Skills!N21=TRUE,(Skills!L21/10)*(E722/1000),Skills!L21/10)+Skills!O21</f>
        <v/>
      </c>
      <c r="G722">
        <f>Skills!G21*IF(Skills!H21&gt;0,Skills!I21/Skills!H21,1)</f>
        <v/>
      </c>
      <c r="H722">
        <f>1-(1-Skills!J21/100)^Skills!K21</f>
        <v/>
      </c>
      <c r="I722" t="inlineStr">
        <is>
          <t>1</t>
        </is>
      </c>
      <c r="J722" t="inlineStr"/>
      <c r="K722" t="inlineStr"/>
      <c r="L722" t="inlineStr"/>
      <c r="M722" t="inlineStr"/>
      <c r="N722" t="inlineStr"/>
      <c r="O722">
        <f>(1-Summary!$B$11)*T722+Summary!$B$11*V722</f>
        <v/>
      </c>
      <c r="P722">
        <f>IF(B740=0,0,O722/B740)</f>
        <v/>
      </c>
      <c r="Q722" t="n">
        <v>0</v>
      </c>
      <c r="R722" t="n">
        <v>0</v>
      </c>
      <c r="S722">
        <f>IFERROR(O722/N722,0)</f>
        <v/>
      </c>
      <c r="T722" t="n">
        <v>0</v>
      </c>
      <c r="V722" t="n">
        <v>0</v>
      </c>
    </row>
    <row r="723">
      <c r="A723">
        <f>Skills!A22</f>
        <v/>
      </c>
      <c r="B723">
        <f>Skills!B22</f>
        <v/>
      </c>
      <c r="C723">
        <f>Inputs!$B$3&gt;=43</f>
        <v/>
      </c>
      <c r="D723">
        <f>IF(Skills!C22=1,60+Inputs!$B$25+Inputs!$B$29,IF(Skills!C22=2,90+Inputs!$B$26+Inputs!$B$29,IF(Skills!C22=3,120+Inputs!$B$27+Inputs!$B$29,MAX(0,(Inputs!$B$3-100)*3)+Inputs!$B$28+Inputs!$B$29)))</f>
        <v/>
      </c>
      <c r="E723">
        <f>INDEX(FactorTable!$B$2:$Y$301, MATCH(ROUND(MIN(300,MAX(1,D723)),0), FactorTable!$A$2:$A$301,0), Skills!M22+1)</f>
        <v/>
      </c>
      <c r="F723">
        <f>IF(Skills!N22=TRUE,(Skills!L22/10)*(E723/1000),Skills!L22/10)+Skills!O22</f>
        <v/>
      </c>
      <c r="G723">
        <f>Skills!G22*IF(Skills!H22&gt;0,Skills!I22/Skills!H22,1)</f>
        <v/>
      </c>
      <c r="H723">
        <f>1-(1-Skills!J22/100)^Skills!K22</f>
        <v/>
      </c>
      <c r="I723" t="inlineStr">
        <is>
          <t>1</t>
        </is>
      </c>
      <c r="J723" t="inlineStr"/>
      <c r="K723" t="inlineStr"/>
      <c r="L723" t="inlineStr"/>
      <c r="M723" t="inlineStr"/>
      <c r="N723" t="inlineStr"/>
      <c r="O723">
        <f>(1-Summary!$B$11)*T723+Summary!$B$11*V723</f>
        <v/>
      </c>
      <c r="P723">
        <f>IF(B740=0,0,O723/B740)</f>
        <v/>
      </c>
      <c r="Q723" t="n">
        <v>0</v>
      </c>
      <c r="R723" t="n">
        <v>0</v>
      </c>
      <c r="S723">
        <f>IFERROR(O723/N723,0)</f>
        <v/>
      </c>
      <c r="T723" t="n">
        <v>0</v>
      </c>
      <c r="V723" t="n">
        <v>0</v>
      </c>
    </row>
    <row r="724">
      <c r="A724">
        <f>Skills!A23</f>
        <v/>
      </c>
      <c r="B724">
        <f>Skills!B23</f>
        <v/>
      </c>
      <c r="C724">
        <f>Inputs!$B$3&gt;=120</f>
        <v/>
      </c>
      <c r="D724">
        <f>IF(Skills!C23=1,60+Inputs!$B$25+Inputs!$B$29,IF(Skills!C23=2,90+Inputs!$B$26+Inputs!$B$29,IF(Skills!C23=3,120+Inputs!$B$27+Inputs!$B$29,MAX(0,(Inputs!$B$3-100)*3)+Inputs!$B$28+Inputs!$B$29)))</f>
        <v/>
      </c>
      <c r="E724">
        <f>INDEX(FactorTable!$B$2:$Y$301, MATCH(ROUND(MIN(300,MAX(1,D724)),0), FactorTable!$A$2:$A$301,0), Skills!M23+1)</f>
        <v/>
      </c>
      <c r="F724">
        <f>IF(Skills!N23=TRUE,(Skills!L23/10)*(E724/1000),Skills!L23/10)+Skills!O23</f>
        <v/>
      </c>
      <c r="G724">
        <f>Skills!G23*IF(Skills!H23&gt;0,Skills!I23/Skills!H23,1)</f>
        <v/>
      </c>
      <c r="H724">
        <f>1-(1-Skills!J23/100)^Skills!K23</f>
        <v/>
      </c>
      <c r="I724" t="inlineStr">
        <is>
          <t>1</t>
        </is>
      </c>
      <c r="J724" t="inlineStr"/>
      <c r="K724" t="inlineStr"/>
      <c r="L724" t="inlineStr"/>
      <c r="M724" t="inlineStr"/>
      <c r="N724" t="inlineStr"/>
      <c r="O724">
        <f>(1-Summary!$B$11)*T724+Summary!$B$11*V724</f>
        <v/>
      </c>
      <c r="P724">
        <f>IF(B740=0,0,O724/B740)</f>
        <v/>
      </c>
      <c r="Q724" t="n">
        <v>0</v>
      </c>
      <c r="R724" t="n">
        <v>0</v>
      </c>
      <c r="S724">
        <f>IFERROR(O724/N724,0)</f>
        <v/>
      </c>
      <c r="T724" t="n">
        <v>0</v>
      </c>
      <c r="V724" t="n">
        <v>0</v>
      </c>
    </row>
    <row r="725">
      <c r="A725">
        <f>Skills!A24</f>
        <v/>
      </c>
      <c r="B725">
        <f>Skills!B24</f>
        <v/>
      </c>
      <c r="C725">
        <f>Inputs!$B$3&gt;=120</f>
        <v/>
      </c>
      <c r="D725">
        <f>IF(Skills!C24=1,60+Inputs!$B$25+Inputs!$B$29,IF(Skills!C24=2,90+Inputs!$B$26+Inputs!$B$29,IF(Skills!C24=3,120+Inputs!$B$27+Inputs!$B$29,MAX(0,(Inputs!$B$3-100)*3)+Inputs!$B$28+Inputs!$B$29)))</f>
        <v/>
      </c>
      <c r="E725">
        <f>INDEX(FactorTable!$B$2:$Y$301, MATCH(ROUND(MIN(300,MAX(1,D725)),0), FactorTable!$A$2:$A$301,0), Skills!M24+1)</f>
        <v/>
      </c>
      <c r="F725">
        <f>IF(Skills!N24=TRUE,(Skills!L24/10)*(E725/1000),Skills!L24/10)+Skills!O24</f>
        <v/>
      </c>
      <c r="G725">
        <f>Skills!G24*IF(Skills!H24&gt;0,Skills!I24/Skills!H24,1)</f>
        <v/>
      </c>
      <c r="H725">
        <f>1-(1-Skills!J24/100)^Skills!K24</f>
        <v/>
      </c>
      <c r="I725" t="inlineStr">
        <is>
          <t>1</t>
        </is>
      </c>
      <c r="J725" t="inlineStr"/>
      <c r="K725" t="inlineStr"/>
      <c r="L725" t="inlineStr"/>
      <c r="M725" t="inlineStr"/>
      <c r="N725" t="inlineStr"/>
      <c r="O725">
        <f>(1-Summary!$B$11)*T725+Summary!$B$11*V725</f>
        <v/>
      </c>
      <c r="P725">
        <f>IF(B740=0,0,O725/B740)</f>
        <v/>
      </c>
      <c r="Q725" t="n">
        <v>0</v>
      </c>
      <c r="R725" t="n">
        <v>0</v>
      </c>
      <c r="S725">
        <f>IFERROR(O725/N725,0)</f>
        <v/>
      </c>
      <c r="T725" t="n">
        <v>0</v>
      </c>
      <c r="V725" t="n">
        <v>0</v>
      </c>
    </row>
    <row r="726">
      <c r="A726">
        <f>Skills!A25</f>
        <v/>
      </c>
      <c r="B726">
        <f>Skills!B25</f>
        <v/>
      </c>
      <c r="C726">
        <f>Inputs!$B$3&gt;=125</f>
        <v/>
      </c>
      <c r="D726">
        <f>IF(Skills!C25=1,60+Inputs!$B$25+Inputs!$B$29,IF(Skills!C25=2,90+Inputs!$B$26+Inputs!$B$29,IF(Skills!C25=3,120+Inputs!$B$27+Inputs!$B$29,MAX(0,(Inputs!$B$3-100)*3)+Inputs!$B$28+Inputs!$B$29)))</f>
        <v/>
      </c>
      <c r="E726">
        <f>INDEX(FactorTable!$B$2:$Y$301, MATCH(ROUND(MIN(300,MAX(1,D726)),0), FactorTable!$A$2:$A$301,0), Skills!M25+1)</f>
        <v/>
      </c>
      <c r="F726">
        <f>IF(Skills!N25=TRUE,(Skills!L25/10)*(E726/1000),Skills!L25/10)+Skills!O25</f>
        <v/>
      </c>
      <c r="G726">
        <f>Skills!G25*IF(Skills!H25&gt;0,Skills!I25/Skills!H25,1)</f>
        <v/>
      </c>
      <c r="H726">
        <f>1-(1-Skills!J25/100)^Skills!K25</f>
        <v/>
      </c>
      <c r="I726" t="inlineStr">
        <is>
          <t>1</t>
        </is>
      </c>
      <c r="J726" t="inlineStr"/>
      <c r="K726" t="inlineStr"/>
      <c r="L726" t="inlineStr"/>
      <c r="M726" t="inlineStr"/>
      <c r="N726" t="inlineStr"/>
      <c r="O726">
        <f>(1-Summary!$B$11)*T726+Summary!$B$11*V726</f>
        <v/>
      </c>
      <c r="P726">
        <f>IF(B740=0,0,O726/B740)</f>
        <v/>
      </c>
      <c r="Q726" t="n">
        <v>0</v>
      </c>
      <c r="R726" t="n">
        <v>0</v>
      </c>
      <c r="S726">
        <f>IFERROR(O726/N726,0)</f>
        <v/>
      </c>
      <c r="T726" t="n">
        <v>0</v>
      </c>
      <c r="V726" t="n">
        <v>0</v>
      </c>
    </row>
    <row r="727">
      <c r="A727">
        <f>Skills!A26</f>
        <v/>
      </c>
      <c r="B727">
        <f>Skills!B26</f>
        <v/>
      </c>
      <c r="C727">
        <f>Inputs!$B$3&gt;=72</f>
        <v/>
      </c>
      <c r="D727">
        <f>IF(Skills!C26=1,60+Inputs!$B$25+Inputs!$B$29,IF(Skills!C26=2,90+Inputs!$B$26+Inputs!$B$29,IF(Skills!C26=3,120+Inputs!$B$27+Inputs!$B$29,MAX(0,(Inputs!$B$3-100)*3)+Inputs!$B$28+Inputs!$B$29)))</f>
        <v/>
      </c>
      <c r="E727">
        <f>INDEX(FactorTable!$B$2:$Y$301, MATCH(ROUND(MIN(300,MAX(1,D727)),0), FactorTable!$A$2:$A$301,0), Skills!M26+1)</f>
        <v/>
      </c>
      <c r="F727">
        <f>IF(Skills!N26=TRUE,(Skills!L26/10)*(E727/1000),Skills!L26/10)+Skills!O26</f>
        <v/>
      </c>
      <c r="G727">
        <f>Skills!G26*IF(Skills!H26&gt;0,Skills!I26/Skills!H26,1)</f>
        <v/>
      </c>
      <c r="H727">
        <f>1-(1-Skills!J26/100)^Skills!K26</f>
        <v/>
      </c>
      <c r="I727" t="inlineStr">
        <is>
          <t>1</t>
        </is>
      </c>
      <c r="J727" t="inlineStr"/>
      <c r="K727" t="inlineStr"/>
      <c r="L727" t="inlineStr"/>
      <c r="M727" t="inlineStr"/>
      <c r="N727" t="inlineStr"/>
      <c r="O727">
        <f>(1-Summary!$B$11)*T727+Summary!$B$11*V727</f>
        <v/>
      </c>
      <c r="P727">
        <f>IF(B740=0,0,O727/B740)</f>
        <v/>
      </c>
      <c r="Q727" t="n">
        <v>0</v>
      </c>
      <c r="R727" t="n">
        <v>0</v>
      </c>
      <c r="S727">
        <f>IFERROR(O727/N727,0)</f>
        <v/>
      </c>
      <c r="T727" t="n">
        <v>0</v>
      </c>
      <c r="V727" t="n">
        <v>0</v>
      </c>
    </row>
    <row r="729">
      <c r="A729" t="inlineStr">
        <is>
          <t>Attack% Bucket Multiplier</t>
        </is>
      </c>
      <c r="B729">
        <f>(1+(((C714=TRUE)*F714*IF(Inputs!$B$3&gt;=110,7,5))+((C716=TRUE)*F716*IF(AND(Inputs!$B$38&lt;&gt;"pvp",Inputs!$B$43&gt;0),(((R716-1)*(Skills!T15*(1+(Inputs!$B$34+(ArtifactsInput!$M$7-ArtifactsInput!$M$7)*CHOOSE(ArtifactsInput!$N$7+1,6,7.2,8.4,9.6,10.8,12))/100))+MIN((Skills!T15*(1+(Inputs!$B$34+(ArtifactsInput!$M$7-ArtifactsInput!$M$7)*CHOOSE(ArtifactsInput!$N$7+1,6,7.2,8.4,9.6,10.8,12))/100)),MAX(0,Inputs!$B$43-((R716-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30">
      <c r="A730" t="inlineStr">
        <is>
          <t>Global Crit Rate Bonus %</t>
        </is>
      </c>
      <c r="B730" t="n">
        <v>0</v>
      </c>
    </row>
    <row r="731">
      <c r="A731" t="inlineStr">
        <is>
          <t>Attack Speed Buff Bonus %</t>
        </is>
      </c>
      <c r="B731">
        <f>((C720=TRUE)*F720*IF(AND(Inputs!$B$38&lt;&gt;"pvp",Inputs!$B$43&gt;0),(((R720-1)*(Skills!T19*(1+(Inputs!$B$34+(ArtifactsInput!$M$7-ArtifactsInput!$M$7)*CHOOSE(ArtifactsInput!$N$7+1,6,7.2,8.4,9.6,10.8,12))/100))+MIN((Skills!T19*(1+(Inputs!$B$34+(ArtifactsInput!$M$7-ArtifactsInput!$M$7)*CHOOSE(ArtifactsInput!$N$7+1,6,7.2,8.4,9.6,10.8,12))/100)),MAX(0,Inputs!$B$43-((R720-1)*Skills!D19))))/Inputs!$B$43),IF(Inputs!$B$38="pvp",MIN((Skills!T19*(1+(Inputs!$B$34+(ArtifactsInput!$M$7-ArtifactsInput!$M$7)*CHOOSE(ArtifactsInput!$N$7+1,6,7.2,8.4,9.6,10.8,12))/100)),15)/15,(Skills!T19*(1+(Inputs!$B$34+(ArtifactsInput!$M$7-ArtifactsInput!$M$7)*CHOOSE(ArtifactsInput!$N$7+1,6,7.2,8.4,9.6,10.8,12))/100))/Skills!D19)))</f>
        <v/>
      </c>
    </row>
    <row r="732">
      <c r="A732" t="inlineStr">
        <is>
          <t>Actions Per Second</t>
        </is>
      </c>
      <c r="B732">
        <f>1+MIN(150,150*(1-(1-(Inputs!$B$11+((C721=TRUE)*(F721-Calc!F20)))/150)*(1-B731/150)))/100</f>
        <v/>
      </c>
    </row>
    <row r="733">
      <c r="A733" t="inlineStr">
        <is>
          <t>Skill + Buff Cast Rate</t>
        </is>
      </c>
      <c r="B733">
        <f>IF(AND(Inputs!$B$38&lt;&gt;"pvp",Inputs!$B$43&gt;0),SUMPRODUCT((Skills!E2:E26=TRUE)*(C703:C727=TRUE)*R703:R727*Skills!F2:F26)/Inputs!$B$43,SUMPRODUCT((Skills!E2:E26=TRUE)*(C703:C727=TRUE)*Q703:Q727*Skills!F2:F26))</f>
        <v/>
      </c>
    </row>
    <row r="734">
      <c r="A734" t="inlineStr">
        <is>
          <t>Raging Blow Casts Per Second</t>
        </is>
      </c>
      <c r="B734">
        <f>MAX(0,B732-B733)</f>
        <v/>
      </c>
    </row>
    <row r="735">
      <c r="A735" t="inlineStr">
        <is>
          <t>Global Critical Damage Bonus % (Enrage)</t>
        </is>
      </c>
      <c r="B735">
        <f>((C719=TRUE)*F719*IF(AND(Inputs!$B$38&lt;&gt;"pvp",Inputs!$B$43&gt;0),(((R719-1)*(Skills!T18*(1+(Inputs!$B$34+(ArtifactsInput!$M$7-ArtifactsInput!$M$7)*CHOOSE(ArtifactsInput!$N$7+1,6,7.2,8.4,9.6,10.8,12))/100))+MIN((Skills!T18*(1+(Inputs!$B$34+(ArtifactsInput!$M$7-ArtifactsInput!$M$7)*CHOOSE(ArtifactsInput!$N$7+1,6,7.2,8.4,9.6,10.8,12))/100)),MAX(0,Inputs!$B$43-((R719-1)*Skills!D18))))/Inputs!$B$43),IF(Inputs!$B$38="pvp",MIN((Skills!T18*(1+(Inputs!$B$34+(ArtifactsInput!$M$7-ArtifactsInput!$M$7)*CHOOSE(ArtifactsInput!$N$7+1,6,7.2,8.4,9.6,10.8,12))/100)),15)/15,(Skills!T18*(1+(Inputs!$B$34+(ArtifactsInput!$M$7-ArtifactsInput!$M$7)*CHOOSE(ArtifactsInput!$N$7+1,6,7.2,8.4,9.6,10.8,12))/100))/Skills!D18)))</f>
        <v/>
      </c>
    </row>
    <row r="736">
      <c r="A736" t="inlineStr">
        <is>
          <t>Global Final Damage Bonus % (Enrage + Combo Synergy)</t>
        </is>
      </c>
      <c r="B736">
        <f>((C718=TRUE)*F718*IF(AND(Inputs!$B$38&lt;&gt;"pvp",Inputs!$B$43&gt;0),(((R718-1)*(Skills!T17*(1+(Inputs!$B$34+(ArtifactsInput!$M$7-ArtifactsInput!$M$7)*CHOOSE(ArtifactsInput!$N$7+1,6,7.2,8.4,9.6,10.8,12))/100))+MIN((Skills!T17*(1+(Inputs!$B$34+(ArtifactsInput!$M$7-ArtifactsInput!$M$7)*CHOOSE(ArtifactsInput!$N$7+1,6,7.2,8.4,9.6,10.8,12))/100)),MAX(0,Inputs!$B$43-((R718-1)*Skills!D17))))/Inputs!$B$43),IF(Inputs!$B$38="pvp",MIN((Skills!T17*(1+(Inputs!$B$34+(ArtifactsInput!$M$7-ArtifactsInput!$M$7)*CHOOSE(ArtifactsInput!$N$7+1,6,7.2,8.4,9.6,10.8,12))/100)),15)/15,(Skills!T17*(1+(Inputs!$B$34+(ArtifactsInput!$M$7-ArtifactsInput!$M$7)*CHOOSE(ArtifactsInput!$N$7+1,6,7.2,8.4,9.6,10.8,12))/100))/Skills!D17)))+((C715=TRUE)*F715*IF(Inputs!$B$3&gt;=110,7,5))</f>
        <v/>
      </c>
    </row>
    <row r="737">
      <c r="A737" t="inlineStr">
        <is>
          <t>Buff-Casting Startup Delay (s, fixed-duration only)</t>
        </is>
      </c>
      <c r="B737">
        <f>IF(AND(Inputs!$B$38&lt;&gt;"pvp",Inputs!$B$43&gt;0),SUMPRODUCT((Skills!T2:T26&gt;0)*(Skills!E2:E26=TRUE)*(C703:C727=TRUE))/B732,0)</f>
        <v/>
      </c>
    </row>
    <row r="738">
      <c r="A738" t="inlineStr">
        <is>
          <t>Boss-Only Total DPS (this block's swept value)</t>
        </is>
      </c>
      <c r="B738">
        <f>SUM(T703:T727)</f>
        <v/>
      </c>
    </row>
    <row r="739">
      <c r="A739" t="inlineStr">
        <is>
          <t>Normal-Only Total DPS (this block's swept value)</t>
        </is>
      </c>
      <c r="B739">
        <f>SUM(V703:V727)</f>
        <v/>
      </c>
    </row>
    <row r="740">
      <c r="A740" s="6" t="inlineStr">
        <is>
          <t>TOTAL DPS</t>
        </is>
      </c>
      <c r="B740" s="6">
        <f>SUM(O703:O727)</f>
        <v/>
      </c>
    </row>
    <row r="743">
      <c r="A743" s="6" t="inlineStr">
        <is>
          <t>Stat: Skill Level Bonus — 1st Job</t>
        </is>
      </c>
    </row>
    <row r="744">
      <c r="A744" s="5" t="inlineStr">
        <is>
          <t>Key</t>
        </is>
      </c>
      <c r="B744" s="5" t="inlineStr">
        <is>
          <t>Name</t>
        </is>
      </c>
      <c r="C744" s="5" t="inlineStr">
        <is>
          <t>Unlocked</t>
        </is>
      </c>
      <c r="D744" s="5" t="inlineStr">
        <is>
          <t>InputLevel</t>
        </is>
      </c>
      <c r="E744" s="5" t="inlineStr">
        <is>
          <t>Factor</t>
        </is>
      </c>
      <c r="F744" s="5" t="inlineStr">
        <is>
          <t>CoefficientPercent</t>
        </is>
      </c>
      <c r="G744" s="5" t="inlineStr">
        <is>
          <t>EffectiveHits</t>
        </is>
      </c>
      <c r="H744" s="5" t="inlineStr">
        <is>
          <t>ProcProbability</t>
        </is>
      </c>
      <c r="I744" s="5" t="inlineStr">
        <is>
          <t>MapleHeroMultiplier</t>
        </is>
      </c>
      <c r="J744" s="5" t="inlineStr">
        <is>
          <t>BaseDamage</t>
        </is>
      </c>
      <c r="K744" s="5" t="inlineStr">
        <is>
          <t>BaseHitDamage</t>
        </is>
      </c>
      <c r="L744" s="5" t="inlineStr">
        <is>
          <t>NonCritAvg</t>
        </is>
      </c>
      <c r="M744" s="5" t="inlineStr">
        <is>
          <t>CritAvg</t>
        </is>
      </c>
      <c r="N744" s="5" t="inlineStr">
        <is>
          <t>ExpectedDamage(perHit)</t>
        </is>
      </c>
      <c r="O744" s="5" t="inlineStr">
        <is>
          <t>DPS</t>
        </is>
      </c>
      <c r="P744" s="5" t="inlineStr">
        <is>
          <t>% of Total</t>
        </is>
      </c>
      <c r="Q744" s="5" t="inlineStr">
        <is>
          <t>InvCooldown</t>
        </is>
      </c>
      <c r="R744" s="5" t="inlineStr">
        <is>
          <t>CastsInFight</t>
        </is>
      </c>
      <c r="S744" s="5" t="inlineStr">
        <is>
          <t>HitRate(perSec)</t>
        </is>
      </c>
      <c r="U744" t="inlineStr">
        <is>
          <t>helpers</t>
        </is>
      </c>
    </row>
    <row r="745">
      <c r="A745">
        <f>Skills!A2</f>
        <v/>
      </c>
      <c r="B745">
        <f>Skills!B2</f>
        <v/>
      </c>
      <c r="C745">
        <f>Inputs!$B$3&gt;=100</f>
        <v/>
      </c>
      <c r="D745" t="inlineStr"/>
      <c r="E745" t="inlineStr"/>
      <c r="F745">
        <f>U747+Skills!O2</f>
        <v/>
      </c>
      <c r="G745">
        <f>Skills!G2*IF(Skills!H2&gt;0,Skills!I2/Skills!H2,1)</f>
        <v/>
      </c>
      <c r="H745">
        <f>1-(1-Skills!J2/100)^Skills!K2</f>
        <v/>
      </c>
      <c r="I745" t="inlineStr">
        <is>
          <t>1</t>
        </is>
      </c>
      <c r="J745">
        <f>((Inputs!$B$6*(1+Inputs!$B$7/100))+(((Inputs!$B$12*(1+Inputs!$B$13/100))-(Inputs!$B$12*(1+Inputs!$B$13/100)))+0.25*(Inputs!$B$14-Inputs!$B$14))*(1+Inputs!$B$7/100))*(F745/100)</f>
        <v/>
      </c>
      <c r="K745">
        <f>J745*(1+((Inputs!$B$12*(1+Inputs!$B$13/100))*0.01+Inputs!$B$14*0.0025)/100)*(1+Inputs!$B$15/100)*(1+Inputs!$B$16/100)*(5000/(6000+Inputs!$B$42*(1-(100*(1-(1-(Inputs!$B$19+0)/100)*(1-CHOOSE(ArtifactsInput!$N$40+1,5,6,7,8,9,10)/100)^(ArtifactsInput!$M$40-ArtifactsInput!$M$40)))/100)))*(1+(Inputs!$B$24+((C768=TRUE)*(F768-Calc!F25))+B778)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764=TRUE)*(F764-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766=TRUE)*(F766-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756=TRUE)*F756*IF(Inputs!$B$3&gt;=110,7,5))+((C758=TRUE)*F758*IF(AND(Inputs!$B$38&lt;&gt;"pvp",Inputs!$B$43&gt;0),(((R758-1)*(Skills!T15*(1+(Inputs!$B$34+(ArtifactsInput!$M$7-ArtifactsInput!$M$7)*CHOOSE(ArtifactsInput!$N$7+1,6,7.2,8.4,9.6,10.8,12))/100))+MIN((Skills!T15*(1+(Inputs!$B$34+(ArtifactsInput!$M$7-ArtifactsInput!$M$7)*CHOOSE(ArtifactsInput!$N$7+1,6,7.2,8.4,9.6,10.8,12))/100)),MAX(0,Inputs!$B$43-((R758-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Hunt"),CHOOSE(ArtifactsInput!$N$35+1,15,18,21,24,27,30)*(1-EXP(-(0.2*B774)*5)),0)+IF(AND(ArtifactsInput!$M$22,Inputs!$B$4&lt;&gt;"Chapter Hunt"),CHOOSE(ArtifactsInput!$N$22+1,10,12,14,16,18,20)*((0*(((0.15*B774*5))^0/1)+1*(((0.15*B774*5))^1/1)+2*(((0.15*B774*5))^2/2)+3*(((0.15*B774*5))^3/6)+4*(((0.15*B774*5))^4/24)+5*(((0.15*B774*5))^5/120))/((((0.15*B774*5))^0/1)+(((0.15*B774*5))^1/1)+(((0.15*B774*5))^2/2)+(((0.15*B774*5))^3/6)+(((0.15*B774*5))^4/24)+(((0.15*B774*5))^5/120))),0)))/100)*I745)</f>
        <v/>
      </c>
      <c r="L745">
        <f>K745*(MIN(Inputs!$B$22+((C765=TRUE)*(F765-Calc!F22)),(Inputs!$B$23+((C767=TRUE)*(F767-Calc!F24))+(IF(ArtifactsInput!$M$15,CHOOSE(ArtifactsInput!$N$15+1,25,30,35,40,45,50)/100*(Inputs!$B$11-Inputs!$B$11),0))))/100+(Inputs!$B$23+((C767=TRUE)*(F767-Calc!F24))+(IF(ArtifactsInput!$M$15,CHOOSE(ArtifactsInput!$N$15+1,25,30,35,40,45,50)/100*(Inputs!$B$11-Inputs!$B$11),0)))/100)/2</f>
        <v/>
      </c>
      <c r="M745">
        <f>L745*(1+(Inputs!$B$10+0+B777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5">
        <f>L745*(1-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745*(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5">
        <f>(1-Summary!$B$11)*T745+Summary!$B$11*V745</f>
        <v/>
      </c>
      <c r="P745">
        <f>IF(B782=0,0,O745/B782)</f>
        <v/>
      </c>
      <c r="Q745" t="n">
        <v>0</v>
      </c>
      <c r="R745" t="n">
        <v>0</v>
      </c>
      <c r="S745">
        <f>IFERROR(O745/N745,0)</f>
        <v/>
      </c>
      <c r="T745">
        <f>IF(C745,(Skills!G2*N745*B776)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745*(1-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745*(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745*(1-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745*(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5">
        <f>MAX(0,(Inputs!$B$3-100)*3)+Inputs!$B$28+Inputs!$B$29</f>
        <v/>
      </c>
      <c r="V745">
        <f>IF(C745,(Skills!G2*N745*B776)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6">
      <c r="A746">
        <f>Skills!A3</f>
        <v/>
      </c>
      <c r="B746">
        <f>Skills!B3</f>
        <v/>
      </c>
      <c r="C746">
        <f>Inputs!$B$3&gt;=50</f>
        <v/>
      </c>
      <c r="D746">
        <f>IF(Skills!C3=1,60+(Inputs!$B$25+1)+Inputs!$B$29,IF(Skills!C3=2,90+Inputs!$B$26+Inputs!$B$29,IF(Skills!C3=3,120+Inputs!$B$27+Inputs!$B$29,MAX(0,(Inputs!$B$3-100)*3)+Inputs!$B$28+Inputs!$B$29)))</f>
        <v/>
      </c>
      <c r="E746">
        <f>INDEX(FactorTable!$B$2:$Y$301, MATCH(ROUND(MIN(300,MAX(1,D746)),0), FactorTable!$A$2:$A$301,0), Skills!M3+1)</f>
        <v/>
      </c>
      <c r="F746">
        <f>IF(Skills!N3=TRUE,(Skills!L3/10)*(E746/1000),Skills!L3/10)+Skills!O3</f>
        <v/>
      </c>
      <c r="G746" t="inlineStr"/>
      <c r="H746" t="inlineStr"/>
      <c r="I746" t="inlineStr">
        <is>
          <t>1</t>
        </is>
      </c>
      <c r="J746" t="inlineStr"/>
      <c r="K746" t="inlineStr"/>
      <c r="L746" t="inlineStr"/>
      <c r="M746" t="inlineStr"/>
      <c r="N746" t="inlineStr"/>
      <c r="O746" t="inlineStr"/>
      <c r="P746" t="inlineStr"/>
      <c r="Q746" t="inlineStr"/>
      <c r="R746" t="inlineStr"/>
      <c r="S746" t="inlineStr"/>
      <c r="U746">
        <f>INDEX(FactorTable!$B$2:$Y$301, MATCH(ROUND(MIN(300,MAX(1,U745)),0), FactorTable!$A$2:$A$301,0), 22)</f>
        <v/>
      </c>
    </row>
    <row r="747">
      <c r="A747">
        <f>Skills!A4</f>
        <v/>
      </c>
      <c r="B747">
        <f>Skills!B4</f>
        <v/>
      </c>
      <c r="C747">
        <f>Inputs!$B$3&gt;=105</f>
        <v/>
      </c>
      <c r="D747">
        <f>IF(Skills!C4=1,60+(Inputs!$B$25+1)+Inputs!$B$29,IF(Skills!C4=2,90+Inputs!$B$26+Inputs!$B$29,IF(Skills!C4=3,120+Inputs!$B$27+Inputs!$B$29,MAX(0,(Inputs!$B$3-100)*3)+Inputs!$B$28+Inputs!$B$29)))</f>
        <v/>
      </c>
      <c r="E747">
        <f>INDEX(FactorTable!$B$2:$Y$301, MATCH(ROUND(MIN(300,MAX(1,D747)),0), FactorTable!$A$2:$A$301,0), Skills!M4+1)</f>
        <v/>
      </c>
      <c r="F747">
        <f>IF(Skills!N4=TRUE,(Skills!L4/10)*(E747/1000),Skills!L4/10)+Skills!O4</f>
        <v/>
      </c>
      <c r="G747" t="inlineStr"/>
      <c r="H747" t="inlineStr"/>
      <c r="I747" t="inlineStr">
        <is>
          <t>1</t>
        </is>
      </c>
      <c r="J747" t="inlineStr"/>
      <c r="K747" t="inlineStr"/>
      <c r="L747" t="inlineStr"/>
      <c r="M747" t="inlineStr"/>
      <c r="N747" t="inlineStr"/>
      <c r="O747" t="inlineStr"/>
      <c r="P747" t="inlineStr"/>
      <c r="Q747" t="inlineStr"/>
      <c r="R747" t="inlineStr"/>
      <c r="S747" t="inlineStr"/>
      <c r="U747">
        <f>290*U746/1000</f>
        <v/>
      </c>
    </row>
    <row r="748">
      <c r="A748">
        <f>Skills!A5</f>
        <v/>
      </c>
      <c r="B748">
        <f>Skills!B5</f>
        <v/>
      </c>
      <c r="C748">
        <f>Inputs!$B$3&gt;=103</f>
        <v/>
      </c>
      <c r="D748">
        <f>IF(Skills!C5=1,60+(Inputs!$B$25+1)+Inputs!$B$29,IF(Skills!C5=2,90+Inputs!$B$26+Inputs!$B$29,IF(Skills!C5=3,120+Inputs!$B$27+Inputs!$B$29,MAX(0,(Inputs!$B$3-100)*3)+Inputs!$B$28+Inputs!$B$29)))</f>
        <v/>
      </c>
      <c r="E748">
        <f>INDEX(FactorTable!$B$2:$Y$301, MATCH(ROUND(MIN(300,MAX(1,D748)),0), FactorTable!$A$2:$A$301,0), Skills!M5+1)</f>
        <v/>
      </c>
      <c r="F748">
        <f>IF(Skills!N5=TRUE,(Skills!L5/10)*(E748/1000),Skills!L5/10)+Skills!O5</f>
        <v/>
      </c>
      <c r="G748">
        <f>Skills!G5*IF(Skills!H5&gt;0,Skills!I5/Skills!H5,1)</f>
        <v/>
      </c>
      <c r="H748">
        <f>1-(1-Skills!J5/100)^Skills!K5</f>
        <v/>
      </c>
      <c r="I748" t="inlineStr">
        <is>
          <t>1</t>
        </is>
      </c>
      <c r="J748">
        <f>((Inputs!$B$6*(1+Inputs!$B$7/100))+(((Inputs!$B$12*(1+Inputs!$B$13/100))-(Inputs!$B$12*(1+Inputs!$B$13/100)))+0.25*(Inputs!$B$14-Inputs!$B$14))*(1+Inputs!$B$7/100))*(F748/100)</f>
        <v/>
      </c>
      <c r="K748">
        <f>J748*(1+((Inputs!$B$12*(1+Inputs!$B$13/100))*0.01+Inputs!$B$14*0.0025)/100)*(1+Inputs!$B$15/100)*(1+Inputs!$B$16/100)*(5000/(6000+Inputs!$B$42*(1-(100*(1-(1-(Inputs!$B$19+0)/100)*(1-CHOOSE(ArtifactsInput!$N$40+1,5,6,7,8,9,10)/100)^(ArtifactsInput!$M$40-ArtifactsInput!$M$40)))/100)))*(1+(Inputs!$B$24+((C768=TRUE)*(F768-Calc!F25))+B778)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764=TRUE)*(F764-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766=TRUE)*(F766-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756=TRUE)*F756*IF(Inputs!$B$3&gt;=110,7,5))+((C758=TRUE)*F758*IF(AND(Inputs!$B$38&lt;&gt;"pvp",Inputs!$B$43&gt;0),(((R758-1)*(Skills!T15*(1+(Inputs!$B$34+(ArtifactsInput!$M$7-ArtifactsInput!$M$7)*CHOOSE(ArtifactsInput!$N$7+1,6,7.2,8.4,9.6,10.8,12))/100))+MIN((Skills!T15*(1+(Inputs!$B$34+(ArtifactsInput!$M$7-ArtifactsInput!$M$7)*CHOOSE(ArtifactsInput!$N$7+1,6,7.2,8.4,9.6,10.8,12))/100)),MAX(0,Inputs!$B$43-((R758-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Hunt"),CHOOSE(ArtifactsInput!$N$35+1,15,18,21,24,27,30)*(1-EXP(-(0.2*B774)*5)),0)+IF(AND(ArtifactsInput!$M$22,Inputs!$B$4&lt;&gt;"Chapter Hunt"),CHOOSE(ArtifactsInput!$N$22+1,10,12,14,16,18,20)*((0*(((0.15*B774*5))^0/1)+1*(((0.15*B774*5))^1/1)+2*(((0.15*B774*5))^2/2)+3*(((0.15*B774*5))^3/6)+4*(((0.15*B774*5))^4/24)+5*(((0.15*B774*5))^5/120))/((((0.15*B774*5))^0/1)+(((0.15*B774*5))^1/1)+(((0.15*B774*5))^2/2)+(((0.15*B774*5))^3/6)+(((0.15*B774*5))^4/24)+(((0.15*B774*5))^5/120))),0)))/100)*I748)</f>
        <v/>
      </c>
      <c r="L748">
        <f>K748*(MIN(Inputs!$B$22+((C765=TRUE)*(F765-Calc!F22)),(Inputs!$B$23+((C767=TRUE)*(F767-Calc!F24))+(IF(ArtifactsInput!$M$15,CHOOSE(ArtifactsInput!$N$15+1,25,30,35,40,45,50)/100*(Inputs!$B$11-Inputs!$B$11),0))))/100+(Inputs!$B$23+((C767=TRUE)*(F767-Calc!F24))+(IF(ArtifactsInput!$M$15,CHOOSE(ArtifactsInput!$N$15+1,25,30,35,40,45,50)/100*(Inputs!$B$11-Inputs!$B$11),0)))/100)/2</f>
        <v/>
      </c>
      <c r="M748">
        <f>L748*(1+(Inputs!$B$10+0+B777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8">
        <f>L748*(1-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748*(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8">
        <f>(1-Summary!$B$11)*T748+Summary!$B$11*V748</f>
        <v/>
      </c>
      <c r="P748">
        <f>IF(B782=0,0,O748/B782)</f>
        <v/>
      </c>
      <c r="Q748">
        <f>IFERROR(1/(IF(Inputs!$B$38="pvp",15,MAX(0.1,Skills!D5-IF(Skills!E5=TRUE,Inputs!$B$32,0)))*(1-IF(AND(ArtifactsInput!$M$27,Inputs!$B$4="Chapter Hunt"),CHOOSE(ArtifactsInput!$N$27+1,20,24,28,32,36,40),0)/100)),0)</f>
        <v/>
      </c>
      <c r="R748">
        <f>IF(AND(Inputs!$B$38&lt;&gt;"pvp",Inputs!$B$43&gt;0),IF(MAX(0,Inputs!$B$43-B779)&lt;=0,0,(INT(MAX(0,Inputs!$B$43-B779)/(IF(Inputs!$B$38="pvp",15,MAX(0.1,Skills!D5-IF(Skills!E5=TRUE,Inputs!$B$32,0)))*(1-IF(AND(ArtifactsInput!$M$27,Inputs!$B$4="Chapter Hunt"),CHOOSE(ArtifactsInput!$N$27+1,20,24,28,32,36,40),0)/100)))+1)),0)</f>
        <v/>
      </c>
      <c r="S748">
        <f>IFERROR(O748/N748,0)</f>
        <v/>
      </c>
      <c r="T748">
        <f>IF(C748,(H748*N748*IF(AND(Inputs!$B$38&lt;&gt;"pvp",Inputs!$B$43&gt;0),((Skills!G5*((R748-1)*IF(Skills!H5&gt;0,Skills!I5/Skills!H5,1)+IF(Skills!H5&gt;0,MIN(Skills!I5,MAX(0,MAX(0,Inputs!$B$43-B779)-((R748-1)*(IF(Inputs!$B$38="pvp",15,MAX(0.1,Skills!D5-IF(Skills!E5=TRUE,Inputs!$B$32,0)))*(1-IF(AND(ArtifactsInput!$M$27,Inputs!$B$4="Chapter Hunt"),CHOOSE(ArtifactsInput!$N$27+1,20,24,28,32,36,40),0)/100)))))/Skills!H5,1)))/Inputs!$B$43),G748*Q748)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748*(1-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748*(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748*(1-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748*(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48">
        <f>IF(C748,(H748*N748*IF(AND(Inputs!$B$38&lt;&gt;"pvp",Inputs!$B$43&gt;0),((Skills!G5*((R748-1)*IF(Skills!H5&gt;0,Skills!I5/Skills!H5,1)+IF(Skills!H5&gt;0,MIN(Skills!I5,MAX(0,MAX(0,Inputs!$B$43-B779)-((R748-1)*(IF(Inputs!$B$38="pvp",15,MAX(0.1,Skills!D5-IF(Skills!E5=TRUE,Inputs!$B$32,0)))*(1-IF(AND(ArtifactsInput!$M$27,Inputs!$B$4="Chapter Hunt"),CHOOSE(ArtifactsInput!$N$27+1,20,24,28,32,36,40),0)/100)))))/Skills!H5,1)))/Inputs!$B$43),G748*Q748)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9">
      <c r="A749">
        <f>Skills!A6</f>
        <v/>
      </c>
      <c r="B749">
        <f>Skills!B6</f>
        <v/>
      </c>
      <c r="C749">
        <f>Inputs!$B$3&gt;=103</f>
        <v/>
      </c>
      <c r="D749">
        <f>IF(Skills!C6=1,60+(Inputs!$B$25+1)+Inputs!$B$29,IF(Skills!C6=2,90+Inputs!$B$26+Inputs!$B$29,IF(Skills!C6=3,120+Inputs!$B$27+Inputs!$B$29,MAX(0,(Inputs!$B$3-100)*3)+Inputs!$B$28+Inputs!$B$29)))</f>
        <v/>
      </c>
      <c r="E749">
        <f>INDEX(FactorTable!$B$2:$Y$301, MATCH(ROUND(MIN(300,MAX(1,D749)),0), FactorTable!$A$2:$A$301,0), Skills!M6+1)</f>
        <v/>
      </c>
      <c r="F749">
        <f>IF(Skills!N6=TRUE,(Skills!L6/10)*(E749/1000),Skills!L6/10)+Skills!O6</f>
        <v/>
      </c>
      <c r="G749">
        <f>Skills!G6*IF(Skills!H6&gt;0,Skills!I6/Skills!H6,1)</f>
        <v/>
      </c>
      <c r="H749">
        <f>1-(1-Skills!J6/100)^Skills!K6</f>
        <v/>
      </c>
      <c r="I749" t="inlineStr">
        <is>
          <t>1</t>
        </is>
      </c>
      <c r="J749">
        <f>((Inputs!$B$6*(1+Inputs!$B$7/100))+(((Inputs!$B$12*(1+Inputs!$B$13/100))-(Inputs!$B$12*(1+Inputs!$B$13/100)))+0.25*(Inputs!$B$14-Inputs!$B$14))*(1+Inputs!$B$7/100))*(F749/100)</f>
        <v/>
      </c>
      <c r="K749">
        <f>J749*(1+((Inputs!$B$12*(1+Inputs!$B$13/100))*0.01+Inputs!$B$14*0.0025)/100)*(1+Inputs!$B$15/100)*(1+Inputs!$B$16/100)*(5000/(6000+Inputs!$B$42*(1-(100*(1-(1-(Inputs!$B$19+0)/100)*(1-CHOOSE(ArtifactsInput!$N$40+1,5,6,7,8,9,10)/100)^(ArtifactsInput!$M$40-ArtifactsInput!$M$40)))/100)))*(1+(Inputs!$B$24+((C768=TRUE)*(F768-Calc!F25))+B778)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764=TRUE)*(F764-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766=TRUE)*(F766-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756=TRUE)*F756*IF(Inputs!$B$3&gt;=110,7,5))+((C758=TRUE)*F758*IF(AND(Inputs!$B$38&lt;&gt;"pvp",Inputs!$B$43&gt;0),(((R758-1)*(Skills!T15*(1+(Inputs!$B$34+(ArtifactsInput!$M$7-ArtifactsInput!$M$7)*CHOOSE(ArtifactsInput!$N$7+1,6,7.2,8.4,9.6,10.8,12))/100))+MIN((Skills!T15*(1+(Inputs!$B$34+(ArtifactsInput!$M$7-ArtifactsInput!$M$7)*CHOOSE(ArtifactsInput!$N$7+1,6,7.2,8.4,9.6,10.8,12))/100)),MAX(0,Inputs!$B$43-((R758-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Hunt"),CHOOSE(ArtifactsInput!$N$35+1,15,18,21,24,27,30)*(1-EXP(-(0.2*B774)*5)),0)+IF(AND(ArtifactsInput!$M$22,Inputs!$B$4&lt;&gt;"Chapter Hunt"),CHOOSE(ArtifactsInput!$N$22+1,10,12,14,16,18,20)*((0*(((0.15*B774*5))^0/1)+1*(((0.15*B774*5))^1/1)+2*(((0.15*B774*5))^2/2)+3*(((0.15*B774*5))^3/6)+4*(((0.15*B774*5))^4/24)+5*(((0.15*B774*5))^5/120))/((((0.15*B774*5))^0/1)+(((0.15*B774*5))^1/1)+(((0.15*B774*5))^2/2)+(((0.15*B774*5))^3/6)+(((0.15*B774*5))^4/24)+(((0.15*B774*5))^5/120))),0)))/100)*I749)</f>
        <v/>
      </c>
      <c r="L749">
        <f>K749*(MIN(Inputs!$B$22+((C765=TRUE)*(F765-Calc!F22)),(Inputs!$B$23+((C767=TRUE)*(F767-Calc!F24))+(IF(ArtifactsInput!$M$15,CHOOSE(ArtifactsInput!$N$15+1,25,30,35,40,45,50)/100*(Inputs!$B$11-Inputs!$B$11),0))))/100+(Inputs!$B$23+((C767=TRUE)*(F767-Calc!F24))+(IF(ArtifactsInput!$M$15,CHOOSE(ArtifactsInput!$N$15+1,25,30,35,40,45,50)/100*(Inputs!$B$11-Inputs!$B$11),0)))/100)/2</f>
        <v/>
      </c>
      <c r="M749">
        <f>L749*(1+(Inputs!$B$10+0+B777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9">
        <f>L749*(1-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749*(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9">
        <f>(1-Summary!$B$11)*T749+Summary!$B$11*V749</f>
        <v/>
      </c>
      <c r="P749">
        <f>IF(B782=0,0,O749/B782)</f>
        <v/>
      </c>
      <c r="Q749">
        <f>IFERROR(1/(IF(Inputs!$B$38="pvp",15,MAX(0.1,Skills!D6-IF(Skills!E6=TRUE,Inputs!$B$32,0)))*(1-IF(AND(ArtifactsInput!$M$27,Inputs!$B$4="Chapter Hunt"),CHOOSE(ArtifactsInput!$N$27+1,20,24,28,32,36,40),0)/100)),0)</f>
        <v/>
      </c>
      <c r="R749">
        <f>IF(AND(Inputs!$B$38&lt;&gt;"pvp",Inputs!$B$43&gt;0),IF(MAX(0,Inputs!$B$43-B779)&lt;=0,0,(INT(MAX(0,Inputs!$B$43-B779)/(IF(Inputs!$B$38="pvp",15,MAX(0.1,Skills!D6-IF(Skills!E6=TRUE,Inputs!$B$32,0)))*(1-IF(AND(ArtifactsInput!$M$27,Inputs!$B$4="Chapter Hunt"),CHOOSE(ArtifactsInput!$N$27+1,20,24,28,32,36,40),0)/100)))+1)),0)</f>
        <v/>
      </c>
      <c r="S749">
        <f>IFERROR(O749/N749,0)</f>
        <v/>
      </c>
      <c r="T749">
        <f>IF(C749,(H749*N749*IF(AND(Inputs!$B$38&lt;&gt;"pvp",Inputs!$B$43&gt;0),((Skills!G6*((R749-1)*IF(Skills!H6&gt;0,Skills!I6/Skills!H6,1)+IF(Skills!H6&gt;0,MIN(Skills!I6,MAX(0,MAX(0,Inputs!$B$43-B779)-((R749-1)*(IF(Inputs!$B$38="pvp",15,MAX(0.1,Skills!D6-IF(Skills!E6=TRUE,Inputs!$B$32,0)))*(1-IF(AND(ArtifactsInput!$M$27,Inputs!$B$4="Chapter Hunt"),CHOOSE(ArtifactsInput!$N$27+1,20,24,28,32,36,40),0)/100)))))/Skills!H6,1)))/Inputs!$B$43),G749*Q749)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749*(1-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749*(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749*(1-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749*(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49">
        <f>IF(C749,(H749*N749*IF(AND(Inputs!$B$38&lt;&gt;"pvp",Inputs!$B$43&gt;0),((Skills!G6*((R749-1)*IF(Skills!H6&gt;0,Skills!I6/Skills!H6,1)+IF(Skills!H6&gt;0,MIN(Skills!I6,MAX(0,MAX(0,Inputs!$B$43-B779)-((R749-1)*(IF(Inputs!$B$38="pvp",15,MAX(0.1,Skills!D6-IF(Skills!E6=TRUE,Inputs!$B$32,0)))*(1-IF(AND(ArtifactsInput!$M$27,Inputs!$B$4="Chapter Hunt"),CHOOSE(ArtifactsInput!$N$27+1,20,24,28,32,36,40),0)/100)))))/Skills!H6,1)))/Inputs!$B$43),G749*Q749)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0">
      <c r="A750">
        <f>Skills!A7</f>
        <v/>
      </c>
      <c r="B750">
        <f>Skills!B7</f>
        <v/>
      </c>
      <c r="C750">
        <f>Inputs!$B$3&gt;=107</f>
        <v/>
      </c>
      <c r="D750">
        <f>IF(Skills!C7=1,60+(Inputs!$B$25+1)+Inputs!$B$29,IF(Skills!C7=2,90+Inputs!$B$26+Inputs!$B$29,IF(Skills!C7=3,120+Inputs!$B$27+Inputs!$B$29,MAX(0,(Inputs!$B$3-100)*3)+Inputs!$B$28+Inputs!$B$29)))</f>
        <v/>
      </c>
      <c r="E750">
        <f>INDEX(FactorTable!$B$2:$Y$301, MATCH(ROUND(MIN(300,MAX(1,D750)),0), FactorTable!$A$2:$A$301,0), Skills!M7+1)</f>
        <v/>
      </c>
      <c r="F750">
        <f>IF(Skills!N7=TRUE,(Skills!L7/10)*(E750/1000),Skills!L7/10)+Skills!O7</f>
        <v/>
      </c>
      <c r="G750">
        <f>Skills!G7*IF(Skills!H7&gt;0,Skills!I7/Skills!H7,1)</f>
        <v/>
      </c>
      <c r="H750">
        <f>1-(1-Skills!J7/100)^Skills!K7</f>
        <v/>
      </c>
      <c r="I750" t="inlineStr">
        <is>
          <t>1</t>
        </is>
      </c>
      <c r="J750">
        <f>((Inputs!$B$6*(1+Inputs!$B$7/100))+(((Inputs!$B$12*(1+Inputs!$B$13/100))-(Inputs!$B$12*(1+Inputs!$B$13/100)))+0.25*(Inputs!$B$14-Inputs!$B$14))*(1+Inputs!$B$7/100))*(F750/100)</f>
        <v/>
      </c>
      <c r="K750">
        <f>J750*(1+((Inputs!$B$12*(1+Inputs!$B$13/100))*0.01+Inputs!$B$14*0.0025)/100)*(1+Inputs!$B$15/100)*(1+Inputs!$B$16/100)*(5000/(6000+Inputs!$B$42*(1-(100*(1-(1-(Inputs!$B$19+0)/100)*(1-CHOOSE(ArtifactsInput!$N$40+1,5,6,7,8,9,10)/100)^(ArtifactsInput!$M$40-ArtifactsInput!$M$40)))/100)))*(1+(Inputs!$B$24+((C768=TRUE)*(F768-Calc!F25))+B778)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764=TRUE)*(F764-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766=TRUE)*(F766-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756=TRUE)*F756*IF(Inputs!$B$3&gt;=110,7,5))+((C758=TRUE)*F758*IF(AND(Inputs!$B$38&lt;&gt;"pvp",Inputs!$B$43&gt;0),(((R758-1)*(Skills!T15*(1+(Inputs!$B$34+(ArtifactsInput!$M$7-ArtifactsInput!$M$7)*CHOOSE(ArtifactsInput!$N$7+1,6,7.2,8.4,9.6,10.8,12))/100))+MIN((Skills!T15*(1+(Inputs!$B$34+(ArtifactsInput!$M$7-ArtifactsInput!$M$7)*CHOOSE(ArtifactsInput!$N$7+1,6,7.2,8.4,9.6,10.8,12))/100)),MAX(0,Inputs!$B$43-((R758-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Hunt"),CHOOSE(ArtifactsInput!$N$35+1,15,18,21,24,27,30)*(1-EXP(-(0.2*B774)*5)),0)+IF(AND(ArtifactsInput!$M$22,Inputs!$B$4&lt;&gt;"Chapter Hunt"),CHOOSE(ArtifactsInput!$N$22+1,10,12,14,16,18,20)*((0*(((0.15*B774*5))^0/1)+1*(((0.15*B774*5))^1/1)+2*(((0.15*B774*5))^2/2)+3*(((0.15*B774*5))^3/6)+4*(((0.15*B774*5))^4/24)+5*(((0.15*B774*5))^5/120))/((((0.15*B774*5))^0/1)+(((0.15*B774*5))^1/1)+(((0.15*B774*5))^2/2)+(((0.15*B774*5))^3/6)+(((0.15*B774*5))^4/24)+(((0.15*B774*5))^5/120))),0)))/100)*I750)</f>
        <v/>
      </c>
      <c r="L750">
        <f>K750*(MIN(Inputs!$B$22+((C765=TRUE)*(F765-Calc!F22)),(Inputs!$B$23+((C767=TRUE)*(F767-Calc!F24))+(IF(ArtifactsInput!$M$15,CHOOSE(ArtifactsInput!$N$15+1,25,30,35,40,45,50)/100*(Inputs!$B$11-Inputs!$B$11),0))))/100+(Inputs!$B$23+((C767=TRUE)*(F767-Calc!F24))+(IF(ArtifactsInput!$M$15,CHOOSE(ArtifactsInput!$N$15+1,25,30,35,40,45,50)/100*(Inputs!$B$11-Inputs!$B$11),0)))/100)/2</f>
        <v/>
      </c>
      <c r="M750">
        <f>L750*(1+(Inputs!$B$10+0+B777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0">
        <f>L750*(1-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750*(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0">
        <f>(1-Summary!$B$11)*T750+Summary!$B$11*V750</f>
        <v/>
      </c>
      <c r="P750">
        <f>IF(B782=0,0,O750/B782)</f>
        <v/>
      </c>
      <c r="Q750">
        <f>IFERROR(1/(IF(Inputs!$B$38="pvp",15,MAX(0.1,Skills!D7-IF(Skills!E7=TRUE,Inputs!$B$32,0)))*(1-IF(AND(ArtifactsInput!$M$27,Inputs!$B$4="Chapter Hunt"),CHOOSE(ArtifactsInput!$N$27+1,20,24,28,32,36,40),0)/100)),0)</f>
        <v/>
      </c>
      <c r="R750">
        <f>IF(AND(Inputs!$B$38&lt;&gt;"pvp",Inputs!$B$43&gt;0),IF(MAX(0,Inputs!$B$43-B779)&lt;=0,0,(INT(MAX(0,Inputs!$B$43-B779)/(IF(Inputs!$B$38="pvp",15,MAX(0.1,Skills!D7-IF(Skills!E7=TRUE,Inputs!$B$32,0)))*(1-IF(AND(ArtifactsInput!$M$27,Inputs!$B$4="Chapter Hunt"),CHOOSE(ArtifactsInput!$N$27+1,20,24,28,32,36,40),0)/100)))+1)),0)</f>
        <v/>
      </c>
      <c r="S750">
        <f>IFERROR(O750/N750,0)</f>
        <v/>
      </c>
      <c r="T750">
        <f>IF(C750,(H750*N750*IF(AND(Inputs!$B$38&lt;&gt;"pvp",Inputs!$B$43&gt;0),((Skills!G7*((R750-1)*IF(Skills!H7&gt;0,Skills!I7/Skills!H7,1)+IF(Skills!H7&gt;0,MIN(Skills!I7,MAX(0,MAX(0,Inputs!$B$43-B779)-((R750-1)*(IF(Inputs!$B$38="pvp",15,MAX(0.1,Skills!D7-IF(Skills!E7=TRUE,Inputs!$B$32,0)))*(1-IF(AND(ArtifactsInput!$M$27,Inputs!$B$4="Chapter Hunt"),CHOOSE(ArtifactsInput!$N$27+1,20,24,28,32,36,40),0)/100)))))/Skills!H7,1)))/Inputs!$B$43),G750*Q750)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750*(1-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750*(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750*(1-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750*(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0">
        <f>IF(C750,(H750*N750*IF(AND(Inputs!$B$38&lt;&gt;"pvp",Inputs!$B$43&gt;0),((Skills!G7*((R750-1)*IF(Skills!H7&gt;0,Skills!I7/Skills!H7,1)+IF(Skills!H7&gt;0,MIN(Skills!I7,MAX(0,MAX(0,Inputs!$B$43-B779)-((R750-1)*(IF(Inputs!$B$38="pvp",15,MAX(0.1,Skills!D7-IF(Skills!E7=TRUE,Inputs!$B$32,0)))*(1-IF(AND(ArtifactsInput!$M$27,Inputs!$B$4="Chapter Hunt"),CHOOSE(ArtifactsInput!$N$27+1,20,24,28,32,36,40),0)/100)))))/Skills!H7,1)))/Inputs!$B$43),G750*Q750)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1">
      <c r="A751">
        <f>Skills!A8</f>
        <v/>
      </c>
      <c r="B751">
        <f>Skills!B8</f>
        <v/>
      </c>
      <c r="C751">
        <f>Inputs!$B$3&gt;=117</f>
        <v/>
      </c>
      <c r="D751">
        <f>IF(Skills!C8=1,60+(Inputs!$B$25+1)+Inputs!$B$29,IF(Skills!C8=2,90+Inputs!$B$26+Inputs!$B$29,IF(Skills!C8=3,120+Inputs!$B$27+Inputs!$B$29,MAX(0,(Inputs!$B$3-100)*3)+Inputs!$B$28+Inputs!$B$29)))</f>
        <v/>
      </c>
      <c r="E751">
        <f>INDEX(FactorTable!$B$2:$Y$301, MATCH(ROUND(MIN(300,MAX(1,D751)),0), FactorTable!$A$2:$A$301,0), Skills!M8+1)</f>
        <v/>
      </c>
      <c r="F751">
        <f>IF(Skills!N8=TRUE,(Skills!L8/10)*(E751/1000),Skills!L8/10)+Skills!O8</f>
        <v/>
      </c>
      <c r="G751">
        <f>Skills!G8*IF(Skills!H8&gt;0,Skills!I8/Skills!H8,1)</f>
        <v/>
      </c>
      <c r="H751">
        <f>1-(1-Skills!J8/100)^Skills!K8</f>
        <v/>
      </c>
      <c r="I751" t="inlineStr">
        <is>
          <t>1</t>
        </is>
      </c>
      <c r="J751">
        <f>((Inputs!$B$6*(1+Inputs!$B$7/100))+(((Inputs!$B$12*(1+Inputs!$B$13/100))-(Inputs!$B$12*(1+Inputs!$B$13/100)))+0.25*(Inputs!$B$14-Inputs!$B$14))*(1+Inputs!$B$7/100))*(F751/100)</f>
        <v/>
      </c>
      <c r="K751">
        <f>J751*(1+((Inputs!$B$12*(1+Inputs!$B$13/100))*0.01+Inputs!$B$14*0.0025)/100)*(1+Inputs!$B$15/100)*(1+Inputs!$B$16/100)*(5000/(6000+Inputs!$B$42*(1-(100*(1-(1-(Inputs!$B$19+0)/100)*(1-CHOOSE(ArtifactsInput!$N$40+1,5,6,7,8,9,10)/100)^(ArtifactsInput!$M$40-ArtifactsInput!$M$40)))/100)))*(1+(Inputs!$B$24+((C768=TRUE)*(F768-Calc!F25))+B778)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764=TRUE)*(F764-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766=TRUE)*(F766-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756=TRUE)*F756*IF(Inputs!$B$3&gt;=110,7,5))+((C758=TRUE)*F758*IF(AND(Inputs!$B$38&lt;&gt;"pvp",Inputs!$B$43&gt;0),(((R758-1)*(Skills!T15*(1+(Inputs!$B$34+(ArtifactsInput!$M$7-ArtifactsInput!$M$7)*CHOOSE(ArtifactsInput!$N$7+1,6,7.2,8.4,9.6,10.8,12))/100))+MIN((Skills!T15*(1+(Inputs!$B$34+(ArtifactsInput!$M$7-ArtifactsInput!$M$7)*CHOOSE(ArtifactsInput!$N$7+1,6,7.2,8.4,9.6,10.8,12))/100)),MAX(0,Inputs!$B$43-((R758-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Hunt"),CHOOSE(ArtifactsInput!$N$35+1,15,18,21,24,27,30)*(1-EXP(-(0.2*B774)*5)),0)+IF(AND(ArtifactsInput!$M$22,Inputs!$B$4&lt;&gt;"Chapter Hunt"),CHOOSE(ArtifactsInput!$N$22+1,10,12,14,16,18,20)*((0*(((0.15*B774*5))^0/1)+1*(((0.15*B774*5))^1/1)+2*(((0.15*B774*5))^2/2)+3*(((0.15*B774*5))^3/6)+4*(((0.15*B774*5))^4/24)+5*(((0.15*B774*5))^5/120))/((((0.15*B774*5))^0/1)+(((0.15*B774*5))^1/1)+(((0.15*B774*5))^2/2)+(((0.15*B774*5))^3/6)+(((0.15*B774*5))^4/24)+(((0.15*B774*5))^5/120))),0)))/100)*I751)</f>
        <v/>
      </c>
      <c r="L751">
        <f>K751*(MIN(Inputs!$B$22+((C765=TRUE)*(F765-Calc!F22)),(Inputs!$B$23+((C767=TRUE)*(F767-Calc!F24))+(IF(ArtifactsInput!$M$15,CHOOSE(ArtifactsInput!$N$15+1,25,30,35,40,45,50)/100*(Inputs!$B$11-Inputs!$B$11),0))))/100+(Inputs!$B$23+((C767=TRUE)*(F767-Calc!F24))+(IF(ArtifactsInput!$M$15,CHOOSE(ArtifactsInput!$N$15+1,25,30,35,40,45,50)/100*(Inputs!$B$11-Inputs!$B$11),0)))/100)/2</f>
        <v/>
      </c>
      <c r="M751">
        <f>L751*(1+(Inputs!$B$10+0+B777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1">
        <f>L751*(1-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751*(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1">
        <f>(1-Summary!$B$11)*T751+Summary!$B$11*V751</f>
        <v/>
      </c>
      <c r="P751">
        <f>IF(B782=0,0,O751/B782)</f>
        <v/>
      </c>
      <c r="Q751">
        <f>IFERROR(1/(IF(Inputs!$B$38="pvp",15,MAX(0.1,Skills!D8-IF(Skills!E8=TRUE,Inputs!$B$32,0)))*(1-IF(AND(ArtifactsInput!$M$27,Inputs!$B$4="Chapter Hunt"),CHOOSE(ArtifactsInput!$N$27+1,20,24,28,32,36,40),0)/100)),0)</f>
        <v/>
      </c>
      <c r="R751">
        <f>IF(AND(Inputs!$B$38&lt;&gt;"pvp",Inputs!$B$43&gt;0),IF(MAX(0,Inputs!$B$43-B779)&lt;=0,0,(INT(MAX(0,Inputs!$B$43-B779)/(IF(Inputs!$B$38="pvp",15,MAX(0.1,Skills!D8-IF(Skills!E8=TRUE,Inputs!$B$32,0)))*(1-IF(AND(ArtifactsInput!$M$27,Inputs!$B$4="Chapter Hunt"),CHOOSE(ArtifactsInput!$N$27+1,20,24,28,32,36,40),0)/100)))+1)),0)</f>
        <v/>
      </c>
      <c r="S751">
        <f>IFERROR(O751/N751,0)</f>
        <v/>
      </c>
      <c r="T751">
        <f>IF(C751,(H751*N751*IF(AND(Inputs!$B$38&lt;&gt;"pvp",Inputs!$B$43&gt;0),((Skills!G8*((R751-1)*IF(Skills!H8&gt;0,Skills!I8/Skills!H8,1)+IF(Skills!H8&gt;0,MIN(Skills!I8,MAX(0,MAX(0,Inputs!$B$43-B779)-((R751-1)*(IF(Inputs!$B$38="pvp",15,MAX(0.1,Skills!D8-IF(Skills!E8=TRUE,Inputs!$B$32,0)))*(1-IF(AND(ArtifactsInput!$M$27,Inputs!$B$4="Chapter Hunt"),CHOOSE(ArtifactsInput!$N$27+1,20,24,28,32,36,40),0)/100)))))/Skills!H8,1)))/Inputs!$B$43),G751*Q751)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751*(1-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751*(1-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1">
        <f>IF(C751,(H751*N751*IF(AND(Inputs!$B$38&lt;&gt;"pvp",Inputs!$B$43&gt;0),((Skills!G8*((R751-1)*IF(Skills!H8&gt;0,Skills!I8/Skills!H8,1)+IF(Skills!H8&gt;0,MIN(Skills!I8,MAX(0,MAX(0,Inputs!$B$43-B779)-((R751-1)*(IF(Inputs!$B$38="pvp",15,MAX(0.1,Skills!D8-IF(Skills!E8=TRUE,Inputs!$B$32,0)))*(1-IF(AND(ArtifactsInput!$M$27,Inputs!$B$4="Chapter Hunt"),CHOOSE(ArtifactsInput!$N$27+1,20,24,28,32,36,40),0)/100)))))/Skills!H8,1)))/Inputs!$B$43),G751*Q751)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2">
      <c r="A752">
        <f>Skills!A9</f>
        <v/>
      </c>
      <c r="B752">
        <f>Skills!B9</f>
        <v/>
      </c>
      <c r="C752">
        <f>Inputs!$B$3&gt;=69</f>
        <v/>
      </c>
      <c r="D752">
        <f>IF(Skills!C9=1,60+(Inputs!$B$25+1)+Inputs!$B$29,IF(Skills!C9=2,90+Inputs!$B$26+Inputs!$B$29,IF(Skills!C9=3,120+Inputs!$B$27+Inputs!$B$29,MAX(0,(Inputs!$B$3-100)*3)+Inputs!$B$28+Inputs!$B$29)))</f>
        <v/>
      </c>
      <c r="E752">
        <f>INDEX(FactorTable!$B$2:$Y$301, MATCH(ROUND(MIN(300,MAX(1,D752)),0), FactorTable!$A$2:$A$301,0), Skills!M9+1)</f>
        <v/>
      </c>
      <c r="F752">
        <f>IF(Skills!N9=TRUE,(Skills!L9/10)*(E752/1000),Skills!L9/10)+Skills!O9</f>
        <v/>
      </c>
      <c r="G752">
        <f>Skills!G9*IF(Skills!H9&gt;0,Skills!I9/Skills!H9,1)</f>
        <v/>
      </c>
      <c r="H752">
        <f>1-(1-Skills!J9/100)^Skills!K9</f>
        <v/>
      </c>
      <c r="I752" t="inlineStr">
        <is>
          <t>1</t>
        </is>
      </c>
      <c r="J752">
        <f>((Inputs!$B$6*(1+Inputs!$B$7/100))+(((Inputs!$B$12*(1+Inputs!$B$13/100))-(Inputs!$B$12*(1+Inputs!$B$13/100)))+0.25*(Inputs!$B$14-Inputs!$B$14))*(1+Inputs!$B$7/100))*(F752/100)</f>
        <v/>
      </c>
      <c r="K752">
        <f>J752*(1+((Inputs!$B$12*(1+Inputs!$B$13/100))*0.01+Inputs!$B$14*0.0025)/100)*(1+Inputs!$B$15/100)*(1+Inputs!$B$16/100)*(5000/(6000+Inputs!$B$42*(1-(100*(1-(1-(Inputs!$B$19+0)/100)*(1-CHOOSE(ArtifactsInput!$N$40+1,5,6,7,8,9,10)/100)^(ArtifactsInput!$M$40-ArtifactsInput!$M$40)))/100)))*(1+(Inputs!$B$24+((C768=TRUE)*(F768-Calc!F25))+B778)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755=TRUE,F755,0)/100)*(1+IF(Skills!A9="ENHANCED_RAGING_BLOW",IF(Inputs!$B$3&gt;=134,MAX(0,IF(Inputs!$B$3&gt;=110,7,5)-5)*50,0),0)/100)*(1+(IF(Skills!A9="RAGING_BLOW",Inputs!$B$17+((C764=TRUE)*(F764-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766=TRUE)*(F766-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756=TRUE)*F756*IF(Inputs!$B$3&gt;=110,7,5))+((C758=TRUE)*F758*IF(AND(Inputs!$B$38&lt;&gt;"pvp",Inputs!$B$43&gt;0),(((R758-1)*(Skills!T15*(1+(Inputs!$B$34+(ArtifactsInput!$M$7-ArtifactsInput!$M$7)*CHOOSE(ArtifactsInput!$N$7+1,6,7.2,8.4,9.6,10.8,12))/100))+MIN((Skills!T15*(1+(Inputs!$B$34+(ArtifactsInput!$M$7-ArtifactsInput!$M$7)*CHOOSE(ArtifactsInput!$N$7+1,6,7.2,8.4,9.6,10.8,12))/100)),MAX(0,Inputs!$B$43-((R758-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Hunt"),CHOOSE(ArtifactsInput!$N$35+1,15,18,21,24,27,30)*(1-EXP(-(0.2*B774)*5)),0)+IF(AND(ArtifactsInput!$M$22,Inputs!$B$4&lt;&gt;"Chapter Hunt"),CHOOSE(ArtifactsInput!$N$22+1,10,12,14,16,18,20)*((0*(((0.15*B774*5))^0/1)+1*(((0.15*B774*5))^1/1)+2*(((0.15*B774*5))^2/2)+3*(((0.15*B774*5))^3/6)+4*(((0.15*B774*5))^4/24)+5*(((0.15*B774*5))^5/120))/((((0.15*B774*5))^0/1)+(((0.15*B774*5))^1/1)+(((0.15*B774*5))^2/2)+(((0.15*B774*5))^3/6)+(((0.15*B774*5))^4/24)+(((0.15*B774*5))^5/120))),0)))/100)*I752)</f>
        <v/>
      </c>
      <c r="L752">
        <f>K752*(MIN(Inputs!$B$22+((C765=TRUE)*(F765-Calc!F22)),(Inputs!$B$23+((C767=TRUE)*(F767-Calc!F24))+(IF(ArtifactsInput!$M$15,CHOOSE(ArtifactsInput!$N$15+1,25,30,35,40,45,50)/100*(Inputs!$B$11-Inputs!$B$11),0))))/100+(Inputs!$B$23+((C767=TRUE)*(F767-Calc!F24))+(IF(ArtifactsInput!$M$15,CHOOSE(ArtifactsInput!$N$15+1,25,30,35,40,45,50)/100*(Inputs!$B$11-Inputs!$B$11),0)))/100)/2</f>
        <v/>
      </c>
      <c r="M752">
        <f>L752*(1+(Inputs!$B$10+0+B777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2">
        <f>L752*(1-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752*(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2">
        <f>(1-Summary!$B$11)*T752+Summary!$B$11*V752</f>
        <v/>
      </c>
      <c r="P752">
        <f>IF(B782=0,0,O752/B782)</f>
        <v/>
      </c>
      <c r="Q752">
        <f>IFERROR(1/(IF(Inputs!$B$38="pvp",15,MAX(0.1,Skills!D9-IF(Skills!E9=TRUE,Inputs!$B$32,0)))*(1-IF(AND(ArtifactsInput!$M$27,Inputs!$B$4="Chapter Hunt"),CHOOSE(ArtifactsInput!$N$27+1,20,24,28,32,36,40),0)/100)),0)</f>
        <v/>
      </c>
      <c r="R752">
        <f>IF(AND(Inputs!$B$38&lt;&gt;"pvp",Inputs!$B$43&gt;0),IF(MAX(0,Inputs!$B$43-B779)&lt;=0,0,(INT(MAX(0,Inputs!$B$43-B779)/(IF(Inputs!$B$38="pvp",15,MAX(0.1,Skills!D9-IF(Skills!E9=TRUE,Inputs!$B$32,0)))*(1-IF(AND(ArtifactsInput!$M$27,Inputs!$B$4="Chapter Hunt"),CHOOSE(ArtifactsInput!$N$27+1,20,24,28,32,36,40),0)/100)))+1)),0)</f>
        <v/>
      </c>
      <c r="S752">
        <f>IFERROR(O752/N752,0)</f>
        <v/>
      </c>
      <c r="T752">
        <f>IF(C752,(H752*N752*IF(AND(Inputs!$B$38&lt;&gt;"pvp",Inputs!$B$43&gt;0),((Skills!G9*((R752-1)*IF(Skills!H9&gt;0,Skills!I9/Skills!H9,1)+IF(Skills!H9&gt;0,MIN(Skills!I9,MAX(0,MAX(0,Inputs!$B$43-B779)-((R752-1)*(IF(Inputs!$B$38="pvp",15,MAX(0.1,Skills!D9-IF(Skills!E9=TRUE,Inputs!$B$32,0)))*(1-IF(AND(ArtifactsInput!$M$27,Inputs!$B$4="Chapter Hunt"),CHOOSE(ArtifactsInput!$N$27+1,20,24,28,32,36,40),0)/100)))))/Skills!H9,1)))/Inputs!$B$43),G752*Q752)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752*(1-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752*(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752*(1-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752*(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2">
        <f>IF(C752,(H752*N752*IF(AND(Inputs!$B$38&lt;&gt;"pvp",Inputs!$B$43&gt;0),((Skills!G9*((R752-1)*IF(Skills!H9&gt;0,Skills!I9/Skills!H9,1)+IF(Skills!H9&gt;0,MIN(Skills!I9,MAX(0,MAX(0,Inputs!$B$43-B779)-((R752-1)*(IF(Inputs!$B$38="pvp",15,MAX(0.1,Skills!D9-IF(Skills!E9=TRUE,Inputs!$B$32,0)))*(1-IF(AND(ArtifactsInput!$M$27,Inputs!$B$4="Chapter Hunt"),CHOOSE(ArtifactsInput!$N$27+1,20,24,28,32,36,40),0)/100)))))/Skills!H9,1)))/Inputs!$B$43),G752*Q752)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3">
      <c r="A753">
        <f>Skills!A10</f>
        <v/>
      </c>
      <c r="B753">
        <f>Skills!B10</f>
        <v/>
      </c>
      <c r="C753">
        <f>Inputs!$B$3&gt;=63</f>
        <v/>
      </c>
      <c r="D753">
        <f>IF(Skills!C10=1,60+(Inputs!$B$25+1)+Inputs!$B$29,IF(Skills!C10=2,90+Inputs!$B$26+Inputs!$B$29,IF(Skills!C10=3,120+Inputs!$B$27+Inputs!$B$29,MAX(0,(Inputs!$B$3-100)*3)+Inputs!$B$28+Inputs!$B$29)))</f>
        <v/>
      </c>
      <c r="E753">
        <f>INDEX(FactorTable!$B$2:$Y$301, MATCH(ROUND(MIN(300,MAX(1,D753)),0), FactorTable!$A$2:$A$301,0), Skills!M10+1)</f>
        <v/>
      </c>
      <c r="F753">
        <f>IF(Skills!N10=TRUE,(Skills!L10/10)*(E753/1000),Skills!L10/10)+Skills!O10</f>
        <v/>
      </c>
      <c r="G753">
        <f>Skills!G10*IF(Skills!H10&gt;0,Skills!I10/Skills!H10,1)</f>
        <v/>
      </c>
      <c r="H753">
        <f>1-(1-Skills!J10/100)^Skills!K10</f>
        <v/>
      </c>
      <c r="I753" t="inlineStr">
        <is>
          <t>1</t>
        </is>
      </c>
      <c r="J753">
        <f>((Inputs!$B$6*(1+Inputs!$B$7/100))+(((Inputs!$B$12*(1+Inputs!$B$13/100))-(Inputs!$B$12*(1+Inputs!$B$13/100)))+0.25*(Inputs!$B$14-Inputs!$B$14))*(1+Inputs!$B$7/100))*(F753/100)</f>
        <v/>
      </c>
      <c r="K753">
        <f>J753*(1+((Inputs!$B$12*(1+Inputs!$B$13/100))*0.01+Inputs!$B$14*0.0025)/100)*(1+Inputs!$B$15/100)*(1+Inputs!$B$16/100)*(5000/(6000+Inputs!$B$42*(1-(100*(1-(1-(Inputs!$B$19+0)/100)*(1-CHOOSE(ArtifactsInput!$N$40+1,5,6,7,8,9,10)/100)^(ArtifactsInput!$M$40-ArtifactsInput!$M$40)))/100)))*(1+(Inputs!$B$24+((C768=TRUE)*(F768-Calc!F25))+B778)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755=TRUE,F755,0)/100)*(1+IF(Skills!A10="ENHANCED_RAGING_BLOW",IF(Inputs!$B$3&gt;=134,MAX(0,IF(Inputs!$B$3&gt;=110,7,5)-5)*50,0),0)/100)*(1+(IF(Skills!A10="RAGING_BLOW",Inputs!$B$17+((C764=TRUE)*(F764-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766=TRUE)*(F766-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756=TRUE)*F756*IF(Inputs!$B$3&gt;=110,7,5))+((C758=TRUE)*F758*IF(AND(Inputs!$B$38&lt;&gt;"pvp",Inputs!$B$43&gt;0),(((R758-1)*(Skills!T15*(1+(Inputs!$B$34+(ArtifactsInput!$M$7-ArtifactsInput!$M$7)*CHOOSE(ArtifactsInput!$N$7+1,6,7.2,8.4,9.6,10.8,12))/100))+MIN((Skills!T15*(1+(Inputs!$B$34+(ArtifactsInput!$M$7-ArtifactsInput!$M$7)*CHOOSE(ArtifactsInput!$N$7+1,6,7.2,8.4,9.6,10.8,12))/100)),MAX(0,Inputs!$B$43-((R758-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Hunt"),CHOOSE(ArtifactsInput!$N$35+1,15,18,21,24,27,30)*(1-EXP(-(0.2*B774)*5)),0)+IF(AND(ArtifactsInput!$M$22,Inputs!$B$4&lt;&gt;"Chapter Hunt"),CHOOSE(ArtifactsInput!$N$22+1,10,12,14,16,18,20)*((0*(((0.15*B774*5))^0/1)+1*(((0.15*B774*5))^1/1)+2*(((0.15*B774*5))^2/2)+3*(((0.15*B774*5))^3/6)+4*(((0.15*B774*5))^4/24)+5*(((0.15*B774*5))^5/120))/((((0.15*B774*5))^0/1)+(((0.15*B774*5))^1/1)+(((0.15*B774*5))^2/2)+(((0.15*B774*5))^3/6)+(((0.15*B774*5))^4/24)+(((0.15*B774*5))^5/120))),0)))/100)*I753)</f>
        <v/>
      </c>
      <c r="L753">
        <f>K753*(MIN(Inputs!$B$22+((C765=TRUE)*(F765-Calc!F22)),(Inputs!$B$23+((C767=TRUE)*(F767-Calc!F24))+(IF(ArtifactsInput!$M$15,CHOOSE(ArtifactsInput!$N$15+1,25,30,35,40,45,50)/100*(Inputs!$B$11-Inputs!$B$11),0))))/100+(Inputs!$B$23+((C767=TRUE)*(F767-Calc!F24))+(IF(ArtifactsInput!$M$15,CHOOSE(ArtifactsInput!$N$15+1,25,30,35,40,45,50)/100*(Inputs!$B$11-Inputs!$B$11),0)))/100)/2</f>
        <v/>
      </c>
      <c r="M753">
        <f>L753*(1+(Inputs!$B$10+0+B777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3">
        <f>L753*(1-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753*(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3">
        <f>(1-Summary!$B$11)*T753+Summary!$B$11*V753</f>
        <v/>
      </c>
      <c r="P753">
        <f>IF(B782=0,0,O753/B782)</f>
        <v/>
      </c>
      <c r="Q753">
        <f>IFERROR(1/(IF(Inputs!$B$38="pvp",15,MAX(0.1,Skills!D10-IF(Skills!E10=TRUE,Inputs!$B$32,0)))*(1-IF(AND(ArtifactsInput!$M$27,Inputs!$B$4="Chapter Hunt"),CHOOSE(ArtifactsInput!$N$27+1,20,24,28,32,36,40),0)/100)),0)</f>
        <v/>
      </c>
      <c r="R753">
        <f>IF(AND(Inputs!$B$38&lt;&gt;"pvp",Inputs!$B$43&gt;0),IF(MAX(0,Inputs!$B$43-B779)&lt;=0,0,(INT(MAX(0,Inputs!$B$43-B779)/(IF(Inputs!$B$38="pvp",15,MAX(0.1,Skills!D10-IF(Skills!E10=TRUE,Inputs!$B$32,0)))*(1-IF(AND(ArtifactsInput!$M$27,Inputs!$B$4="Chapter Hunt"),CHOOSE(ArtifactsInput!$N$27+1,20,24,28,32,36,40),0)/100)))+1)),0)</f>
        <v/>
      </c>
      <c r="S753">
        <f>IFERROR(O753/N753,0)</f>
        <v/>
      </c>
      <c r="T753">
        <f>IF(C753,(H753*N753*IF(AND(Inputs!$B$38&lt;&gt;"pvp",Inputs!$B$43&gt;0),((Skills!G10*((R753-1)*IF(Skills!H10&gt;0,Skills!I10/Skills!H10,1)+IF(Skills!H10&gt;0,MIN(Skills!I10,MAX(0,MAX(0,Inputs!$B$43-B779)-((R753-1)*(IF(Inputs!$B$38="pvp",15,MAX(0.1,Skills!D10-IF(Skills!E10=TRUE,Inputs!$B$32,0)))*(1-IF(AND(ArtifactsInput!$M$27,Inputs!$B$4="Chapter Hunt"),CHOOSE(ArtifactsInput!$N$27+1,20,24,28,32,36,40),0)/100)))))/Skills!H10,1)))/Inputs!$B$43),G753*Q753)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753*(1-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753*(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753*(1-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753*(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3">
        <f>IF(C753,(H753*N753*IF(AND(Inputs!$B$38&lt;&gt;"pvp",Inputs!$B$43&gt;0),((Skills!G10*((R753-1)*IF(Skills!H10&gt;0,Skills!I10/Skills!H10,1)+IF(Skills!H10&gt;0,MIN(Skills!I10,MAX(0,MAX(0,Inputs!$B$43-B779)-((R753-1)*(IF(Inputs!$B$38="pvp",15,MAX(0.1,Skills!D10-IF(Skills!E10=TRUE,Inputs!$B$32,0)))*(1-IF(AND(ArtifactsInput!$M$27,Inputs!$B$4="Chapter Hunt"),CHOOSE(ArtifactsInput!$N$27+1,20,24,28,32,36,40),0)/100)))))/Skills!H10,1)))/Inputs!$B$43),G753*Q753)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4">
      <c r="A754">
        <f>Skills!A11</f>
        <v/>
      </c>
      <c r="B754">
        <f>Skills!B11</f>
        <v/>
      </c>
      <c r="C754">
        <f>Inputs!$B$3&gt;=35</f>
        <v/>
      </c>
      <c r="D754">
        <f>IF(Skills!C11=1,60+(Inputs!$B$25+1)+Inputs!$B$29,IF(Skills!C11=2,90+Inputs!$B$26+Inputs!$B$29,IF(Skills!C11=3,120+Inputs!$B$27+Inputs!$B$29,MAX(0,(Inputs!$B$3-100)*3)+Inputs!$B$28+Inputs!$B$29)))</f>
        <v/>
      </c>
      <c r="E754">
        <f>INDEX(FactorTable!$B$2:$Y$301, MATCH(ROUND(MIN(300,MAX(1,D754)),0), FactorTable!$A$2:$A$301,0), Skills!M11+1)</f>
        <v/>
      </c>
      <c r="F754">
        <f>IF(Skills!N11=TRUE,(Skills!L11/10)*(E754/1000),Skills!L11/10)+Skills!O11</f>
        <v/>
      </c>
      <c r="G754">
        <f>Skills!G11*IF(Skills!H11&gt;0,Skills!I11/Skills!H11,1)</f>
        <v/>
      </c>
      <c r="H754">
        <f>1-(1-Skills!J11/100)^Skills!K11</f>
        <v/>
      </c>
      <c r="I754" t="inlineStr">
        <is>
          <t>1</t>
        </is>
      </c>
      <c r="J754">
        <f>((Inputs!$B$6*(1+Inputs!$B$7/100))+(((Inputs!$B$12*(1+Inputs!$B$13/100))-(Inputs!$B$12*(1+Inputs!$B$13/100)))+0.25*(Inputs!$B$14-Inputs!$B$14))*(1+Inputs!$B$7/100))*(F754/100)</f>
        <v/>
      </c>
      <c r="K754">
        <f>J754*(1+((Inputs!$B$12*(1+Inputs!$B$13/100))*0.01+Inputs!$B$14*0.0025)/100)*(1+Inputs!$B$15/100)*(1+Inputs!$B$16/100)*(5000/(6000+Inputs!$B$42*(1-(100*(1-(1-(Inputs!$B$19+0)/100)*(1-CHOOSE(ArtifactsInput!$N$40+1,5,6,7,8,9,10)/100)^(ArtifactsInput!$M$40-ArtifactsInput!$M$40)))/100)))*(1+(Inputs!$B$24+((C768=TRUE)*(F768-Calc!F25))+B778)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755=TRUE,F755,0)/100)*(1+IF(Skills!A11="ENHANCED_RAGING_BLOW",IF(Inputs!$B$3&gt;=134,MAX(0,IF(Inputs!$B$3&gt;=110,7,5)-5)*50,0),0)/100)*(1+(IF(Skills!A11="RAGING_BLOW",Inputs!$B$17+((C764=TRUE)*(F764-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766=TRUE)*(F766-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756=TRUE)*F756*IF(Inputs!$B$3&gt;=110,7,5))+((C758=TRUE)*F758*IF(AND(Inputs!$B$38&lt;&gt;"pvp",Inputs!$B$43&gt;0),(((R758-1)*(Skills!T15*(1+(Inputs!$B$34+(ArtifactsInput!$M$7-ArtifactsInput!$M$7)*CHOOSE(ArtifactsInput!$N$7+1,6,7.2,8.4,9.6,10.8,12))/100))+MIN((Skills!T15*(1+(Inputs!$B$34+(ArtifactsInput!$M$7-ArtifactsInput!$M$7)*CHOOSE(ArtifactsInput!$N$7+1,6,7.2,8.4,9.6,10.8,12))/100)),MAX(0,Inputs!$B$43-((R758-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Hunt"),CHOOSE(ArtifactsInput!$N$35+1,15,18,21,24,27,30)*(1-EXP(-(0.2*B774)*5)),0)+IF(AND(ArtifactsInput!$M$22,Inputs!$B$4&lt;&gt;"Chapter Hunt"),CHOOSE(ArtifactsInput!$N$22+1,10,12,14,16,18,20)*((0*(((0.15*B774*5))^0/1)+1*(((0.15*B774*5))^1/1)+2*(((0.15*B774*5))^2/2)+3*(((0.15*B774*5))^3/6)+4*(((0.15*B774*5))^4/24)+5*(((0.15*B774*5))^5/120))/((((0.15*B774*5))^0/1)+(((0.15*B774*5))^1/1)+(((0.15*B774*5))^2/2)+(((0.15*B774*5))^3/6)+(((0.15*B774*5))^4/24)+(((0.15*B774*5))^5/120))),0)))/100)*I754)</f>
        <v/>
      </c>
      <c r="L754">
        <f>K754*(MIN(Inputs!$B$22+((C765=TRUE)*(F765-Calc!F22)),(Inputs!$B$23+((C767=TRUE)*(F767-Calc!F24))+(IF(ArtifactsInput!$M$15,CHOOSE(ArtifactsInput!$N$15+1,25,30,35,40,45,50)/100*(Inputs!$B$11-Inputs!$B$11),0))))/100+(Inputs!$B$23+((C767=TRUE)*(F767-Calc!F24))+(IF(ArtifactsInput!$M$15,CHOOSE(ArtifactsInput!$N$15+1,25,30,35,40,45,50)/100*(Inputs!$B$11-Inputs!$B$11),0)))/100)/2</f>
        <v/>
      </c>
      <c r="M754">
        <f>L754*(1+(Inputs!$B$10+0+B777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4">
        <f>L754*(1-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754*(MIN((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4">
        <f>(1-Summary!$B$11)*T754+Summary!$B$11*V754</f>
        <v/>
      </c>
      <c r="P754">
        <f>IF(B782=0,0,O754/B782)</f>
        <v/>
      </c>
      <c r="Q754">
        <f>IFERROR(1/(IF(Inputs!$B$38="pvp",15,MAX(0.1,Skills!D11-IF(Skills!E11=TRUE,Inputs!$B$32,0)))*(1-IF(AND(ArtifactsInput!$M$27,Inputs!$B$4="Chapter Hunt"),CHOOSE(ArtifactsInput!$N$27+1,20,24,28,32,36,40),0)/100)),0)</f>
        <v/>
      </c>
      <c r="R754">
        <f>IF(AND(Inputs!$B$38&lt;&gt;"pvp",Inputs!$B$43&gt;0),IF(MAX(0,Inputs!$B$43-B779)&lt;=0,0,(INT(MAX(0,Inputs!$B$43-B779)/(IF(Inputs!$B$38="pvp",15,MAX(0.1,Skills!D11-IF(Skills!E11=TRUE,Inputs!$B$32,0)))*(1-IF(AND(ArtifactsInput!$M$27,Inputs!$B$4="Chapter Hunt"),CHOOSE(ArtifactsInput!$N$27+1,20,24,28,32,36,40),0)/100)))+1)),0)</f>
        <v/>
      </c>
      <c r="S754">
        <f>IFERROR(O754/N754,0)</f>
        <v/>
      </c>
      <c r="T754">
        <f>IF(C754,(H754*N754*IF(AND(Inputs!$B$38&lt;&gt;"pvp",Inputs!$B$43&gt;0),((Skills!G11*((R754-1)*IF(Skills!H11&gt;0,Skills!I11/Skills!H11,1)+IF(Skills!H11&gt;0,MIN(Skills!I11,MAX(0,MAX(0,Inputs!$B$43-B779)-((R754-1)*(IF(Inputs!$B$38="pvp",15,MAX(0.1,Skills!D11-IF(Skills!E11=TRUE,Inputs!$B$32,0)))*(1-IF(AND(ArtifactsInput!$M$27,Inputs!$B$4="Chapter Hunt"),CHOOSE(ArtifactsInput!$N$27+1,20,24,28,32,36,40),0)/100)))))/Skills!H11,1)))/Inputs!$B$43),G754*Q754)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754*(1-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754*(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754*(1-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754*(MIN(100,(Inputs!$B$9+((C769=TRUE)*(F769-Calc!F26))+B772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4">
        <f>IF(C754,(H754*N754*IF(AND(Inputs!$B$38&lt;&gt;"pvp",Inputs!$B$43&gt;0),((Skills!G11*((R754-1)*IF(Skills!H11&gt;0,Skills!I11/Skills!H11,1)+IF(Skills!H11&gt;0,MIN(Skills!I11,MAX(0,MAX(0,Inputs!$B$43-B779)-((R754-1)*(IF(Inputs!$B$38="pvp",15,MAX(0.1,Skills!D11-IF(Skills!E11=TRUE,Inputs!$B$32,0)))*(1-IF(AND(ArtifactsInput!$M$27,Inputs!$B$4="Chapter Hunt"),CHOOSE(ArtifactsInput!$N$27+1,20,24,28,32,36,40),0)/100)))))/Skills!H11,1)))/Inputs!$B$43),G754*Q754)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5">
      <c r="A755">
        <f>Skills!A12</f>
        <v/>
      </c>
      <c r="B755">
        <f>Skills!B12</f>
        <v/>
      </c>
      <c r="C755">
        <f>Inputs!$B$3&gt;=100</f>
        <v/>
      </c>
      <c r="D755">
        <f>IF(Skills!C12=1,60+(Inputs!$B$25+1)+Inputs!$B$29,IF(Skills!C12=2,90+Inputs!$B$26+Inputs!$B$29,IF(Skills!C12=3,120+Inputs!$B$27+Inputs!$B$29,MAX(0,(Inputs!$B$3-100)*3)+Inputs!$B$28+Inputs!$B$29)))</f>
        <v/>
      </c>
      <c r="E755">
        <f>INDEX(FactorTable!$B$2:$Y$301, MATCH(ROUND(MIN(300,MAX(1,D755)),0), FactorTable!$A$2:$A$301,0), Skills!M12+1)</f>
        <v/>
      </c>
      <c r="F755">
        <f>IF(Skills!N12=TRUE,(Skills!L12/10)*(E755/1000),Skills!L12/10)+Skills!O12</f>
        <v/>
      </c>
      <c r="G755" t="inlineStr"/>
      <c r="H755" t="inlineStr"/>
      <c r="I755" t="inlineStr">
        <is>
          <t>1</t>
        </is>
      </c>
      <c r="J755" t="inlineStr"/>
      <c r="K755" t="inlineStr"/>
      <c r="L755" t="inlineStr"/>
      <c r="M755" t="inlineStr"/>
      <c r="N755" t="inlineStr"/>
      <c r="O755" t="inlineStr"/>
      <c r="P755" t="inlineStr"/>
      <c r="Q755" t="inlineStr"/>
      <c r="R755" t="inlineStr"/>
      <c r="S755" t="inlineStr"/>
    </row>
    <row r="756">
      <c r="A756">
        <f>Skills!A13</f>
        <v/>
      </c>
      <c r="B756">
        <f>Skills!B13</f>
        <v/>
      </c>
      <c r="C756">
        <f>Inputs!$B$3&gt;=45</f>
        <v/>
      </c>
      <c r="D756">
        <f>IF(Skills!C13=1,60+(Inputs!$B$25+1)+Inputs!$B$29,IF(Skills!C13=2,90+Inputs!$B$26+Inputs!$B$29,IF(Skills!C13=3,120+Inputs!$B$27+Inputs!$B$29,MAX(0,(Inputs!$B$3-100)*3)+Inputs!$B$28+Inputs!$B$29)))</f>
        <v/>
      </c>
      <c r="E756">
        <f>INDEX(FactorTable!$B$2:$Y$301, MATCH(ROUND(MIN(300,MAX(1,D756)),0), FactorTable!$A$2:$A$301,0), Skills!M13+1)</f>
        <v/>
      </c>
      <c r="F756">
        <f>IF(Skills!N13=TRUE,(Skills!L13/10)*(E756/1000),Skills!L13/10)+Skills!O13</f>
        <v/>
      </c>
      <c r="G756">
        <f>Skills!G13*IF(Skills!H13&gt;0,Skills!I13/Skills!H13,1)</f>
        <v/>
      </c>
      <c r="H756">
        <f>1-(1-Skills!J13/100)^Skills!K13</f>
        <v/>
      </c>
      <c r="I756" t="inlineStr">
        <is>
          <t>1</t>
        </is>
      </c>
      <c r="J756" t="inlineStr"/>
      <c r="K756" t="inlineStr"/>
      <c r="L756" t="inlineStr"/>
      <c r="M756" t="inlineStr"/>
      <c r="N756" t="inlineStr"/>
      <c r="O756">
        <f>(1-Summary!$B$11)*T756+Summary!$B$11*V756</f>
        <v/>
      </c>
      <c r="P756">
        <f>IF(B782=0,0,O756/B782)</f>
        <v/>
      </c>
      <c r="Q756" t="n">
        <v>0</v>
      </c>
      <c r="R756" t="n">
        <v>0</v>
      </c>
      <c r="S756">
        <f>IFERROR(O756/N756,0)</f>
        <v/>
      </c>
      <c r="T756" t="n">
        <v>0</v>
      </c>
      <c r="V756" t="n">
        <v>0</v>
      </c>
    </row>
    <row r="757">
      <c r="A757">
        <f>Skills!A14</f>
        <v/>
      </c>
      <c r="B757">
        <f>Skills!B14</f>
        <v/>
      </c>
      <c r="C757">
        <f>Inputs!$B$3&gt;=75</f>
        <v/>
      </c>
      <c r="D757">
        <f>IF(Skills!C14=1,60+(Inputs!$B$25+1)+Inputs!$B$29,IF(Skills!C14=2,90+Inputs!$B$26+Inputs!$B$29,IF(Skills!C14=3,120+Inputs!$B$27+Inputs!$B$29,MAX(0,(Inputs!$B$3-100)*3)+Inputs!$B$28+Inputs!$B$29)))</f>
        <v/>
      </c>
      <c r="E757">
        <f>INDEX(FactorTable!$B$2:$Y$301, MATCH(ROUND(MIN(300,MAX(1,D757)),0), FactorTable!$A$2:$A$301,0), Skills!M14+1)</f>
        <v/>
      </c>
      <c r="F757">
        <f>IF(Skills!N14=TRUE,(Skills!L14/10)*(E757/1000),Skills!L14/10)+Skills!O14</f>
        <v/>
      </c>
      <c r="G757">
        <f>Skills!G14*IF(Skills!H14&gt;0,Skills!I14/Skills!H14,1)</f>
        <v/>
      </c>
      <c r="H757">
        <f>1-(1-Skills!J14/100)^Skills!K14</f>
        <v/>
      </c>
      <c r="I757" t="inlineStr">
        <is>
          <t>1</t>
        </is>
      </c>
      <c r="J757" t="inlineStr"/>
      <c r="K757" t="inlineStr"/>
      <c r="L757" t="inlineStr"/>
      <c r="M757" t="inlineStr"/>
      <c r="N757" t="inlineStr"/>
      <c r="O757">
        <f>(1-Summary!$B$11)*T757+Summary!$B$11*V757</f>
        <v/>
      </c>
      <c r="P757">
        <f>IF(B782=0,0,O757/B782)</f>
        <v/>
      </c>
      <c r="Q757" t="n">
        <v>0</v>
      </c>
      <c r="R757" t="n">
        <v>0</v>
      </c>
      <c r="S757">
        <f>IFERROR(O757/N757,0)</f>
        <v/>
      </c>
      <c r="T757" t="n">
        <v>0</v>
      </c>
      <c r="V757" t="n">
        <v>0</v>
      </c>
    </row>
    <row r="758">
      <c r="A758">
        <f>Skills!A15</f>
        <v/>
      </c>
      <c r="B758">
        <f>Skills!B15</f>
        <v/>
      </c>
      <c r="C758">
        <f>Inputs!$B$3&gt;=40</f>
        <v/>
      </c>
      <c r="D758">
        <f>IF(Skills!C15=1,60+(Inputs!$B$25+1)+Inputs!$B$29,IF(Skills!C15=2,90+Inputs!$B$26+Inputs!$B$29,IF(Skills!C15=3,120+Inputs!$B$27+Inputs!$B$29,MAX(0,(Inputs!$B$3-100)*3)+Inputs!$B$28+Inputs!$B$29)))</f>
        <v/>
      </c>
      <c r="E758">
        <f>INDEX(FactorTable!$B$2:$Y$301, MATCH(ROUND(MIN(300,MAX(1,D758)),0), FactorTable!$A$2:$A$301,0), Skills!M15+1)</f>
        <v/>
      </c>
      <c r="F758">
        <f>IF(Skills!N15=TRUE,(Skills!L15/10)*(E758/1000),Skills!L15/10)+Skills!O15</f>
        <v/>
      </c>
      <c r="G758">
        <f>Skills!G15*IF(Skills!H15&gt;0,Skills!I15/Skills!H15,1)</f>
        <v/>
      </c>
      <c r="H758">
        <f>1-(1-Skills!J15/100)^Skills!K15</f>
        <v/>
      </c>
      <c r="I758" t="inlineStr">
        <is>
          <t>1</t>
        </is>
      </c>
      <c r="J758" t="inlineStr"/>
      <c r="K758" t="inlineStr"/>
      <c r="L758" t="inlineStr"/>
      <c r="M758" t="inlineStr"/>
      <c r="N758" t="inlineStr"/>
      <c r="O758">
        <f>(1-Summary!$B$11)*T758+Summary!$B$11*V758</f>
        <v/>
      </c>
      <c r="P758">
        <f>IF(B782=0,0,O758/B782)</f>
        <v/>
      </c>
      <c r="Q758">
        <f>IFERROR(1/(IF(Inputs!$B$38="pvp",15,MAX(0.1,Skills!D15-IF(Skills!E15=TRUE,Inputs!$B$32,0)))*(1-IF(AND(ArtifactsInput!$M$27,Inputs!$B$4="Chapter Hunt"),CHOOSE(ArtifactsInput!$N$27+1,20,24,28,32,36,40),0)/100)),0)</f>
        <v/>
      </c>
      <c r="R758">
        <f>IF(AND(Inputs!$B$38&lt;&gt;"pvp",Inputs!$B$43&gt;0),IF(Inputs!$B$43&lt;=0,0,(INT(Inputs!$B$43/(IF(Inputs!$B$38="pvp",15,MAX(0.1,Skills!D15-IF(Skills!E15=TRUE,Inputs!$B$32,0)))*(1-IF(AND(ArtifactsInput!$M$27,Inputs!$B$4="Chapter Hunt"),CHOOSE(ArtifactsInput!$N$27+1,20,24,28,32,36,40),0)/100)))+1)),0)</f>
        <v/>
      </c>
      <c r="S758">
        <f>IFERROR(O758/N758,0)</f>
        <v/>
      </c>
      <c r="T758" t="n">
        <v>0</v>
      </c>
      <c r="V758" t="n">
        <v>0</v>
      </c>
    </row>
    <row r="759">
      <c r="A759">
        <f>Skills!A16</f>
        <v/>
      </c>
      <c r="B759">
        <f>Skills!B16</f>
        <v/>
      </c>
      <c r="C759">
        <f>Inputs!$B$3&gt;=66</f>
        <v/>
      </c>
      <c r="D759">
        <f>IF(Skills!C16=1,60+(Inputs!$B$25+1)+Inputs!$B$29,IF(Skills!C16=2,90+Inputs!$B$26+Inputs!$B$29,IF(Skills!C16=3,120+Inputs!$B$27+Inputs!$B$29,MAX(0,(Inputs!$B$3-100)*3)+Inputs!$B$28+Inputs!$B$29)))</f>
        <v/>
      </c>
      <c r="E759">
        <f>INDEX(FactorTable!$B$2:$Y$301, MATCH(ROUND(MIN(300,MAX(1,D759)),0), FactorTable!$A$2:$A$301,0), Skills!M16+1)</f>
        <v/>
      </c>
      <c r="F759">
        <f>IF(Skills!N16=TRUE,(Skills!L16/10)*(E759/1000),Skills!L16/10)+Skills!O16</f>
        <v/>
      </c>
      <c r="G759">
        <f>Skills!G16*IF(Skills!H16&gt;0,Skills!I16/Skills!H16,1)</f>
        <v/>
      </c>
      <c r="H759">
        <f>1-(1-Skills!J16/100)^Skills!K16</f>
        <v/>
      </c>
      <c r="I759" t="inlineStr">
        <is>
          <t>1</t>
        </is>
      </c>
      <c r="J759" t="inlineStr"/>
      <c r="K759" t="inlineStr"/>
      <c r="L759" t="inlineStr"/>
      <c r="M759" t="inlineStr"/>
      <c r="N759" t="inlineStr"/>
      <c r="O759">
        <f>(1-Summary!$B$11)*T759+Summary!$B$11*V759</f>
        <v/>
      </c>
      <c r="P759">
        <f>IF(B782=0,0,O759/B782)</f>
        <v/>
      </c>
      <c r="Q759">
        <f>IFERROR(1/(IF(Inputs!$B$38="pvp",15,MAX(0.1,Skills!D16-IF(Skills!E16=TRUE,Inputs!$B$32,0)))*(1-IF(AND(ArtifactsInput!$M$27,Inputs!$B$4="Chapter Hunt"),CHOOSE(ArtifactsInput!$N$27+1,20,24,28,32,36,40),0)/100)),0)</f>
        <v/>
      </c>
      <c r="R759">
        <f>IF(AND(Inputs!$B$38&lt;&gt;"pvp",Inputs!$B$43&gt;0),IF(Inputs!$B$43&lt;=0,0,(INT(Inputs!$B$43/(IF(Inputs!$B$38="pvp",15,MAX(0.1,Skills!D16-IF(Skills!E16=TRUE,Inputs!$B$32,0)))*(1-IF(AND(ArtifactsInput!$M$27,Inputs!$B$4="Chapter Hunt"),CHOOSE(ArtifactsInput!$N$27+1,20,24,28,32,36,40),0)/100)))+1)),0)</f>
        <v/>
      </c>
      <c r="S759">
        <f>IFERROR(O759/N759,0)</f>
        <v/>
      </c>
      <c r="T759" t="n">
        <v>0</v>
      </c>
      <c r="V759" t="n">
        <v>0</v>
      </c>
    </row>
    <row r="760">
      <c r="A760">
        <f>Skills!A17</f>
        <v/>
      </c>
      <c r="B760">
        <f>Skills!B17</f>
        <v/>
      </c>
      <c r="C760">
        <f>Inputs!$B$3&gt;=115</f>
        <v/>
      </c>
      <c r="D760">
        <f>IF(Skills!C17=1,60+(Inputs!$B$25+1)+Inputs!$B$29,IF(Skills!C17=2,90+Inputs!$B$26+Inputs!$B$29,IF(Skills!C17=3,120+Inputs!$B$27+Inputs!$B$29,MAX(0,(Inputs!$B$3-100)*3)+Inputs!$B$28+Inputs!$B$29)))</f>
        <v/>
      </c>
      <c r="E760">
        <f>INDEX(FactorTable!$B$2:$Y$301, MATCH(ROUND(MIN(300,MAX(1,D760)),0), FactorTable!$A$2:$A$301,0), Skills!M17+1)</f>
        <v/>
      </c>
      <c r="F760">
        <f>IF(Skills!N17=TRUE,(Skills!L17/10)*(E760/1000),Skills!L17/10)+Skills!O17</f>
        <v/>
      </c>
      <c r="G760">
        <f>Skills!G17*IF(Skills!H17&gt;0,Skills!I17/Skills!H17,1)</f>
        <v/>
      </c>
      <c r="H760">
        <f>1-(1-Skills!J17/100)^Skills!K17</f>
        <v/>
      </c>
      <c r="I760" t="inlineStr">
        <is>
          <t>1</t>
        </is>
      </c>
      <c r="J760" t="inlineStr"/>
      <c r="K760" t="inlineStr"/>
      <c r="L760" t="inlineStr"/>
      <c r="M760" t="inlineStr"/>
      <c r="N760" t="inlineStr"/>
      <c r="O760">
        <f>(1-Summary!$B$11)*T760+Summary!$B$11*V760</f>
        <v/>
      </c>
      <c r="P760">
        <f>IF(B782=0,0,O760/B782)</f>
        <v/>
      </c>
      <c r="Q760">
        <f>IFERROR(1/(IF(Inputs!$B$38="pvp",15,MAX(0.1,Skills!D17-IF(Skills!E17=TRUE,Inputs!$B$32,0)))*(1-IF(AND(ArtifactsInput!$M$27,Inputs!$B$4="Chapter Hunt"),CHOOSE(ArtifactsInput!$N$27+1,20,24,28,32,36,40),0)/100)),0)</f>
        <v/>
      </c>
      <c r="R760">
        <f>IF(AND(Inputs!$B$38&lt;&gt;"pvp",Inputs!$B$43&gt;0),IF(Inputs!$B$43&lt;=0,0,(INT(Inputs!$B$43/(IF(Inputs!$B$38="pvp",15,MAX(0.1,Skills!D17-IF(Skills!E17=TRUE,Inputs!$B$32,0)))*(1-IF(AND(ArtifactsInput!$M$27,Inputs!$B$4="Chapter Hunt"),CHOOSE(ArtifactsInput!$N$27+1,20,24,28,32,36,40),0)/100)))+1)),0)</f>
        <v/>
      </c>
      <c r="S760">
        <f>IFERROR(O760/N760,0)</f>
        <v/>
      </c>
      <c r="T760" t="n">
        <v>0</v>
      </c>
      <c r="V760" t="n">
        <v>0</v>
      </c>
    </row>
    <row r="761">
      <c r="A761">
        <f>Skills!A18</f>
        <v/>
      </c>
      <c r="B761">
        <f>Skills!B18</f>
        <v/>
      </c>
      <c r="C761">
        <f>Inputs!$B$3&gt;=115</f>
        <v/>
      </c>
      <c r="D761">
        <f>IF(Skills!C18=1,60+(Inputs!$B$25+1)+Inputs!$B$29,IF(Skills!C18=2,90+Inputs!$B$26+Inputs!$B$29,IF(Skills!C18=3,120+Inputs!$B$27+Inputs!$B$29,MAX(0,(Inputs!$B$3-100)*3)+Inputs!$B$28+Inputs!$B$29)))</f>
        <v/>
      </c>
      <c r="E761">
        <f>INDEX(FactorTable!$B$2:$Y$301, MATCH(ROUND(MIN(300,MAX(1,D761)),0), FactorTable!$A$2:$A$301,0), Skills!M18+1)</f>
        <v/>
      </c>
      <c r="F761">
        <f>IF(Skills!N18=TRUE,(Skills!L18/10)*(E761/1000),Skills!L18/10)+Skills!O18</f>
        <v/>
      </c>
      <c r="G761">
        <f>Skills!G18*IF(Skills!H18&gt;0,Skills!I18/Skills!H18,1)</f>
        <v/>
      </c>
      <c r="H761">
        <f>1-(1-Skills!J18/100)^Skills!K18</f>
        <v/>
      </c>
      <c r="I761" t="inlineStr">
        <is>
          <t>1</t>
        </is>
      </c>
      <c r="J761" t="inlineStr"/>
      <c r="K761" t="inlineStr"/>
      <c r="L761" t="inlineStr"/>
      <c r="M761" t="inlineStr"/>
      <c r="N761" t="inlineStr"/>
      <c r="O761">
        <f>(1-Summary!$B$11)*T761+Summary!$B$11*V761</f>
        <v/>
      </c>
      <c r="P761">
        <f>IF(B782=0,0,O761/B782)</f>
        <v/>
      </c>
      <c r="Q761">
        <f>IFERROR(1/(IF(Inputs!$B$38="pvp",15,MAX(0.1,Skills!D18-IF(Skills!E18=TRUE,Inputs!$B$32,0)))*(1-IF(AND(ArtifactsInput!$M$27,Inputs!$B$4="Chapter Hunt"),CHOOSE(ArtifactsInput!$N$27+1,20,24,28,32,36,40),0)/100)),0)</f>
        <v/>
      </c>
      <c r="R761">
        <f>IF(AND(Inputs!$B$38&lt;&gt;"pvp",Inputs!$B$43&gt;0),IF(Inputs!$B$43&lt;=0,0,(INT(Inputs!$B$43/(IF(Inputs!$B$38="pvp",15,MAX(0.1,Skills!D18-IF(Skills!E18=TRUE,Inputs!$B$32,0)))*(1-IF(AND(ArtifactsInput!$M$27,Inputs!$B$4="Chapter Hunt"),CHOOSE(ArtifactsInput!$N$27+1,20,24,28,32,36,40),0)/100)))+1)),0)</f>
        <v/>
      </c>
      <c r="S761">
        <f>IFERROR(O761/N761,0)</f>
        <v/>
      </c>
      <c r="T761" t="n">
        <v>0</v>
      </c>
      <c r="V761" t="n">
        <v>0</v>
      </c>
    </row>
    <row r="762">
      <c r="A762">
        <f>Skills!A19</f>
        <v/>
      </c>
      <c r="B762">
        <f>Skills!B19</f>
        <v/>
      </c>
      <c r="C762">
        <f>TRUE</f>
        <v/>
      </c>
      <c r="D762">
        <f>IF(Skills!C19=1,60+(Inputs!$B$25+1)+Inputs!$B$29,IF(Skills!C19=2,90+Inputs!$B$26+Inputs!$B$29,IF(Skills!C19=3,120+Inputs!$B$27+Inputs!$B$29,MAX(0,(Inputs!$B$3-100)*3)+Inputs!$B$28+Inputs!$B$29)))</f>
        <v/>
      </c>
      <c r="E762">
        <f>INDEX(FactorTable!$B$2:$Y$301, MATCH(ROUND(MIN(300,MAX(1,D762)),0), FactorTable!$A$2:$A$301,0), Skills!M19+1)</f>
        <v/>
      </c>
      <c r="F762">
        <f>IF(Skills!N19=TRUE,(Skills!L19/10)*(E762/1000),Skills!L19/10)+Skills!O19</f>
        <v/>
      </c>
      <c r="G762">
        <f>Skills!G19*IF(Skills!H19&gt;0,Skills!I19/Skills!H19,1)</f>
        <v/>
      </c>
      <c r="H762">
        <f>1-(1-Skills!J19/100)^Skills!K19</f>
        <v/>
      </c>
      <c r="I762" t="inlineStr">
        <is>
          <t>1</t>
        </is>
      </c>
      <c r="J762" t="inlineStr"/>
      <c r="K762" t="inlineStr"/>
      <c r="L762" t="inlineStr"/>
      <c r="M762" t="inlineStr"/>
      <c r="N762" t="inlineStr"/>
      <c r="O762">
        <f>(1-Summary!$B$11)*T762+Summary!$B$11*V762</f>
        <v/>
      </c>
      <c r="P762">
        <f>IF(B782=0,0,O762/B782)</f>
        <v/>
      </c>
      <c r="Q762">
        <f>IFERROR(1/(IF(Inputs!$B$38="pvp",15,MAX(0.1,Skills!D19-IF(Skills!E19=TRUE,Inputs!$B$32,0)))*(1-IF(AND(ArtifactsInput!$M$27,Inputs!$B$4="Chapter Hunt"),CHOOSE(ArtifactsInput!$N$27+1,20,24,28,32,36,40),0)/100)),0)</f>
        <v/>
      </c>
      <c r="R762">
        <f>IF(AND(Inputs!$B$38&lt;&gt;"pvp",Inputs!$B$43&gt;0),IF(Inputs!$B$43&lt;=0,0,(INT(Inputs!$B$43/(IF(Inputs!$B$38="pvp",15,MAX(0.1,Skills!D19-IF(Skills!E19=TRUE,Inputs!$B$32,0)))*(1-IF(AND(ArtifactsInput!$M$27,Inputs!$B$4="Chapter Hunt"),CHOOSE(ArtifactsInput!$N$27+1,20,24,28,32,36,40),0)/100)))+1)),0)</f>
        <v/>
      </c>
      <c r="S762">
        <f>IFERROR(O762/N762,0)</f>
        <v/>
      </c>
      <c r="T762" t="n">
        <v>0</v>
      </c>
      <c r="V762" t="n">
        <v>0</v>
      </c>
    </row>
    <row r="763">
      <c r="A763">
        <f>Skills!A20</f>
        <v/>
      </c>
      <c r="B763">
        <f>Skills!B20</f>
        <v/>
      </c>
      <c r="C763">
        <f>Inputs!$B$3&gt;=33</f>
        <v/>
      </c>
      <c r="D763">
        <f>IF(Skills!C20=1,60+(Inputs!$B$25+1)+Inputs!$B$29,IF(Skills!C20=2,90+Inputs!$B$26+Inputs!$B$29,IF(Skills!C20=3,120+Inputs!$B$27+Inputs!$B$29,MAX(0,(Inputs!$B$3-100)*3)+Inputs!$B$28+Inputs!$B$29)))</f>
        <v/>
      </c>
      <c r="E763">
        <f>INDEX(FactorTable!$B$2:$Y$301, MATCH(ROUND(MIN(300,MAX(1,D763)),0), FactorTable!$A$2:$A$301,0), Skills!M20+1)</f>
        <v/>
      </c>
      <c r="F763">
        <f>IF(Skills!N20=TRUE,(Skills!L20/10)*(E763/1000),Skills!L20/10)+Skills!O20</f>
        <v/>
      </c>
      <c r="G763">
        <f>Skills!G20*IF(Skills!H20&gt;0,Skills!I20/Skills!H20,1)</f>
        <v/>
      </c>
      <c r="H763">
        <f>1-(1-Skills!J20/100)^Skills!K20</f>
        <v/>
      </c>
      <c r="I763" t="inlineStr">
        <is>
          <t>1</t>
        </is>
      </c>
      <c r="J763" t="inlineStr"/>
      <c r="K763" t="inlineStr"/>
      <c r="L763" t="inlineStr"/>
      <c r="M763" t="inlineStr"/>
      <c r="N763" t="inlineStr"/>
      <c r="O763">
        <f>(1-Summary!$B$11)*T763+Summary!$B$11*V763</f>
        <v/>
      </c>
      <c r="P763">
        <f>IF(B782=0,0,O763/B782)</f>
        <v/>
      </c>
      <c r="Q763" t="n">
        <v>0</v>
      </c>
      <c r="R763" t="n">
        <v>0</v>
      </c>
      <c r="S763">
        <f>IFERROR(O763/N763,0)</f>
        <v/>
      </c>
      <c r="T763" t="n">
        <v>0</v>
      </c>
      <c r="V763" t="n">
        <v>0</v>
      </c>
    </row>
    <row r="764">
      <c r="A764">
        <f>Skills!A21</f>
        <v/>
      </c>
      <c r="B764">
        <f>Skills!B21</f>
        <v/>
      </c>
      <c r="C764">
        <f>Inputs!$B$3&gt;=38</f>
        <v/>
      </c>
      <c r="D764">
        <f>IF(Skills!C21=1,60+(Inputs!$B$25+1)+Inputs!$B$29,IF(Skills!C21=2,90+Inputs!$B$26+Inputs!$B$29,IF(Skills!C21=3,120+Inputs!$B$27+Inputs!$B$29,MAX(0,(Inputs!$B$3-100)*3)+Inputs!$B$28+Inputs!$B$29)))</f>
        <v/>
      </c>
      <c r="E764">
        <f>INDEX(FactorTable!$B$2:$Y$301, MATCH(ROUND(MIN(300,MAX(1,D764)),0), FactorTable!$A$2:$A$301,0), Skills!M21+1)</f>
        <v/>
      </c>
      <c r="F764">
        <f>IF(Skills!N21=TRUE,(Skills!L21/10)*(E764/1000),Skills!L21/10)+Skills!O21</f>
        <v/>
      </c>
      <c r="G764">
        <f>Skills!G21*IF(Skills!H21&gt;0,Skills!I21/Skills!H21,1)</f>
        <v/>
      </c>
      <c r="H764">
        <f>1-(1-Skills!J21/100)^Skills!K21</f>
        <v/>
      </c>
      <c r="I764" t="inlineStr">
        <is>
          <t>1</t>
        </is>
      </c>
      <c r="J764" t="inlineStr"/>
      <c r="K764" t="inlineStr"/>
      <c r="L764" t="inlineStr"/>
      <c r="M764" t="inlineStr"/>
      <c r="N764" t="inlineStr"/>
      <c r="O764">
        <f>(1-Summary!$B$11)*T764+Summary!$B$11*V764</f>
        <v/>
      </c>
      <c r="P764">
        <f>IF(B782=0,0,O764/B782)</f>
        <v/>
      </c>
      <c r="Q764" t="n">
        <v>0</v>
      </c>
      <c r="R764" t="n">
        <v>0</v>
      </c>
      <c r="S764">
        <f>IFERROR(O764/N764,0)</f>
        <v/>
      </c>
      <c r="T764" t="n">
        <v>0</v>
      </c>
      <c r="V764" t="n">
        <v>0</v>
      </c>
    </row>
    <row r="765">
      <c r="A765">
        <f>Skills!A22</f>
        <v/>
      </c>
      <c r="B765">
        <f>Skills!B22</f>
        <v/>
      </c>
      <c r="C765">
        <f>Inputs!$B$3&gt;=43</f>
        <v/>
      </c>
      <c r="D765">
        <f>IF(Skills!C22=1,60+(Inputs!$B$25+1)+Inputs!$B$29,IF(Skills!C22=2,90+Inputs!$B$26+Inputs!$B$29,IF(Skills!C22=3,120+Inputs!$B$27+Inputs!$B$29,MAX(0,(Inputs!$B$3-100)*3)+Inputs!$B$28+Inputs!$B$29)))</f>
        <v/>
      </c>
      <c r="E765">
        <f>INDEX(FactorTable!$B$2:$Y$301, MATCH(ROUND(MIN(300,MAX(1,D765)),0), FactorTable!$A$2:$A$301,0), Skills!M22+1)</f>
        <v/>
      </c>
      <c r="F765">
        <f>IF(Skills!N22=TRUE,(Skills!L22/10)*(E765/1000),Skills!L22/10)+Skills!O22</f>
        <v/>
      </c>
      <c r="G765">
        <f>Skills!G22*IF(Skills!H22&gt;0,Skills!I22/Skills!H22,1)</f>
        <v/>
      </c>
      <c r="H765">
        <f>1-(1-Skills!J22/100)^Skills!K22</f>
        <v/>
      </c>
      <c r="I765" t="inlineStr">
        <is>
          <t>1</t>
        </is>
      </c>
      <c r="J765" t="inlineStr"/>
      <c r="K765" t="inlineStr"/>
      <c r="L765" t="inlineStr"/>
      <c r="M765" t="inlineStr"/>
      <c r="N765" t="inlineStr"/>
      <c r="O765">
        <f>(1-Summary!$B$11)*T765+Summary!$B$11*V765</f>
        <v/>
      </c>
      <c r="P765">
        <f>IF(B782=0,0,O765/B782)</f>
        <v/>
      </c>
      <c r="Q765" t="n">
        <v>0</v>
      </c>
      <c r="R765" t="n">
        <v>0</v>
      </c>
      <c r="S765">
        <f>IFERROR(O765/N765,0)</f>
        <v/>
      </c>
      <c r="T765" t="n">
        <v>0</v>
      </c>
      <c r="V765" t="n">
        <v>0</v>
      </c>
    </row>
    <row r="766">
      <c r="A766">
        <f>Skills!A23</f>
        <v/>
      </c>
      <c r="B766">
        <f>Skills!B23</f>
        <v/>
      </c>
      <c r="C766">
        <f>Inputs!$B$3&gt;=120</f>
        <v/>
      </c>
      <c r="D766">
        <f>IF(Skills!C23=1,60+(Inputs!$B$25+1)+Inputs!$B$29,IF(Skills!C23=2,90+Inputs!$B$26+Inputs!$B$29,IF(Skills!C23=3,120+Inputs!$B$27+Inputs!$B$29,MAX(0,(Inputs!$B$3-100)*3)+Inputs!$B$28+Inputs!$B$29)))</f>
        <v/>
      </c>
      <c r="E766">
        <f>INDEX(FactorTable!$B$2:$Y$301, MATCH(ROUND(MIN(300,MAX(1,D766)),0), FactorTable!$A$2:$A$301,0), Skills!M23+1)</f>
        <v/>
      </c>
      <c r="F766">
        <f>IF(Skills!N23=TRUE,(Skills!L23/10)*(E766/1000),Skills!L23/10)+Skills!O23</f>
        <v/>
      </c>
      <c r="G766">
        <f>Skills!G23*IF(Skills!H23&gt;0,Skills!I23/Skills!H23,1)</f>
        <v/>
      </c>
      <c r="H766">
        <f>1-(1-Skills!J23/100)^Skills!K23</f>
        <v/>
      </c>
      <c r="I766" t="inlineStr">
        <is>
          <t>1</t>
        </is>
      </c>
      <c r="J766" t="inlineStr"/>
      <c r="K766" t="inlineStr"/>
      <c r="L766" t="inlineStr"/>
      <c r="M766" t="inlineStr"/>
      <c r="N766" t="inlineStr"/>
      <c r="O766">
        <f>(1-Summary!$B$11)*T766+Summary!$B$11*V766</f>
        <v/>
      </c>
      <c r="P766">
        <f>IF(B782=0,0,O766/B782)</f>
        <v/>
      </c>
      <c r="Q766" t="n">
        <v>0</v>
      </c>
      <c r="R766" t="n">
        <v>0</v>
      </c>
      <c r="S766">
        <f>IFERROR(O766/N766,0)</f>
        <v/>
      </c>
      <c r="T766" t="n">
        <v>0</v>
      </c>
      <c r="V766" t="n">
        <v>0</v>
      </c>
    </row>
    <row r="767">
      <c r="A767">
        <f>Skills!A24</f>
        <v/>
      </c>
      <c r="B767">
        <f>Skills!B24</f>
        <v/>
      </c>
      <c r="C767">
        <f>Inputs!$B$3&gt;=120</f>
        <v/>
      </c>
      <c r="D767">
        <f>IF(Skills!C24=1,60+(Inputs!$B$25+1)+Inputs!$B$29,IF(Skills!C24=2,90+Inputs!$B$26+Inputs!$B$29,IF(Skills!C24=3,120+Inputs!$B$27+Inputs!$B$29,MAX(0,(Inputs!$B$3-100)*3)+Inputs!$B$28+Inputs!$B$29)))</f>
        <v/>
      </c>
      <c r="E767">
        <f>INDEX(FactorTable!$B$2:$Y$301, MATCH(ROUND(MIN(300,MAX(1,D767)),0), FactorTable!$A$2:$A$301,0), Skills!M24+1)</f>
        <v/>
      </c>
      <c r="F767">
        <f>IF(Skills!N24=TRUE,(Skills!L24/10)*(E767/1000),Skills!L24/10)+Skills!O24</f>
        <v/>
      </c>
      <c r="G767">
        <f>Skills!G24*IF(Skills!H24&gt;0,Skills!I24/Skills!H24,1)</f>
        <v/>
      </c>
      <c r="H767">
        <f>1-(1-Skills!J24/100)^Skills!K24</f>
        <v/>
      </c>
      <c r="I767" t="inlineStr">
        <is>
          <t>1</t>
        </is>
      </c>
      <c r="J767" t="inlineStr"/>
      <c r="K767" t="inlineStr"/>
      <c r="L767" t="inlineStr"/>
      <c r="M767" t="inlineStr"/>
      <c r="N767" t="inlineStr"/>
      <c r="O767">
        <f>(1-Summary!$B$11)*T767+Summary!$B$11*V767</f>
        <v/>
      </c>
      <c r="P767">
        <f>IF(B782=0,0,O767/B782)</f>
        <v/>
      </c>
      <c r="Q767" t="n">
        <v>0</v>
      </c>
      <c r="R767" t="n">
        <v>0</v>
      </c>
      <c r="S767">
        <f>IFERROR(O767/N767,0)</f>
        <v/>
      </c>
      <c r="T767" t="n">
        <v>0</v>
      </c>
      <c r="V767" t="n">
        <v>0</v>
      </c>
    </row>
    <row r="768">
      <c r="A768">
        <f>Skills!A25</f>
        <v/>
      </c>
      <c r="B768">
        <f>Skills!B25</f>
        <v/>
      </c>
      <c r="C768">
        <f>Inputs!$B$3&gt;=125</f>
        <v/>
      </c>
      <c r="D768">
        <f>IF(Skills!C25=1,60+(Inputs!$B$25+1)+Inputs!$B$29,IF(Skills!C25=2,90+Inputs!$B$26+Inputs!$B$29,IF(Skills!C25=3,120+Inputs!$B$27+Inputs!$B$29,MAX(0,(Inputs!$B$3-100)*3)+Inputs!$B$28+Inputs!$B$29)))</f>
        <v/>
      </c>
      <c r="E768">
        <f>INDEX(FactorTable!$B$2:$Y$301, MATCH(ROUND(MIN(300,MAX(1,D768)),0), FactorTable!$A$2:$A$301,0), Skills!M25+1)</f>
        <v/>
      </c>
      <c r="F768">
        <f>IF(Skills!N25=TRUE,(Skills!L25/10)*(E768/1000),Skills!L25/10)+Skills!O25</f>
        <v/>
      </c>
      <c r="G768">
        <f>Skills!G25*IF(Skills!H25&gt;0,Skills!I25/Skills!H25,1)</f>
        <v/>
      </c>
      <c r="H768">
        <f>1-(1-Skills!J25/100)^Skills!K25</f>
        <v/>
      </c>
      <c r="I768" t="inlineStr">
        <is>
          <t>1</t>
        </is>
      </c>
      <c r="J768" t="inlineStr"/>
      <c r="K768" t="inlineStr"/>
      <c r="L768" t="inlineStr"/>
      <c r="M768" t="inlineStr"/>
      <c r="N768" t="inlineStr"/>
      <c r="O768">
        <f>(1-Summary!$B$11)*T768+Summary!$B$11*V768</f>
        <v/>
      </c>
      <c r="P768">
        <f>IF(B782=0,0,O768/B782)</f>
        <v/>
      </c>
      <c r="Q768" t="n">
        <v>0</v>
      </c>
      <c r="R768" t="n">
        <v>0</v>
      </c>
      <c r="S768">
        <f>IFERROR(O768/N768,0)</f>
        <v/>
      </c>
      <c r="T768" t="n">
        <v>0</v>
      </c>
      <c r="V768" t="n">
        <v>0</v>
      </c>
    </row>
    <row r="769">
      <c r="A769">
        <f>Skills!A26</f>
        <v/>
      </c>
      <c r="B769">
        <f>Skills!B26</f>
        <v/>
      </c>
      <c r="C769">
        <f>Inputs!$B$3&gt;=72</f>
        <v/>
      </c>
      <c r="D769">
        <f>IF(Skills!C26=1,60+(Inputs!$B$25+1)+Inputs!$B$29,IF(Skills!C26=2,90+Inputs!$B$26+Inputs!$B$29,IF(Skills!C26=3,120+Inputs!$B$27+Inputs!$B$29,MAX(0,(Inputs!$B$3-100)*3)+Inputs!$B$28+Inputs!$B$29)))</f>
        <v/>
      </c>
      <c r="E769">
        <f>INDEX(FactorTable!$B$2:$Y$301, MATCH(ROUND(MIN(300,MAX(1,D769)),0), FactorTable!$A$2:$A$301,0), Skills!M26+1)</f>
        <v/>
      </c>
      <c r="F769">
        <f>IF(Skills!N26=TRUE,(Skills!L26/10)*(E769/1000),Skills!L26/10)+Skills!O26</f>
        <v/>
      </c>
      <c r="G769">
        <f>Skills!G26*IF(Skills!H26&gt;0,Skills!I26/Skills!H26,1)</f>
        <v/>
      </c>
      <c r="H769">
        <f>1-(1-Skills!J26/100)^Skills!K26</f>
        <v/>
      </c>
      <c r="I769" t="inlineStr">
        <is>
          <t>1</t>
        </is>
      </c>
      <c r="J769" t="inlineStr"/>
      <c r="K769" t="inlineStr"/>
      <c r="L769" t="inlineStr"/>
      <c r="M769" t="inlineStr"/>
      <c r="N769" t="inlineStr"/>
      <c r="O769">
        <f>(1-Summary!$B$11)*T769+Summary!$B$11*V769</f>
        <v/>
      </c>
      <c r="P769">
        <f>IF(B782=0,0,O769/B782)</f>
        <v/>
      </c>
      <c r="Q769" t="n">
        <v>0</v>
      </c>
      <c r="R769" t="n">
        <v>0</v>
      </c>
      <c r="S769">
        <f>IFERROR(O769/N769,0)</f>
        <v/>
      </c>
      <c r="T769" t="n">
        <v>0</v>
      </c>
      <c r="V769" t="n">
        <v>0</v>
      </c>
    </row>
    <row r="771">
      <c r="A771" t="inlineStr">
        <is>
          <t>Attack% Bucket Multiplier</t>
        </is>
      </c>
      <c r="B771">
        <f>(1+(((C756=TRUE)*F756*IF(Inputs!$B$3&gt;=110,7,5))+((C758=TRUE)*F758*IF(AND(Inputs!$B$38&lt;&gt;"pvp",Inputs!$B$43&gt;0),(((R758-1)*(Skills!T15*(1+(Inputs!$B$34+(ArtifactsInput!$M$7-ArtifactsInput!$M$7)*CHOOSE(ArtifactsInput!$N$7+1,6,7.2,8.4,9.6,10.8,12))/100))+MIN((Skills!T15*(1+(Inputs!$B$34+(ArtifactsInput!$M$7-ArtifactsInput!$M$7)*CHOOSE(ArtifactsInput!$N$7+1,6,7.2,8.4,9.6,10.8,12))/100)),MAX(0,Inputs!$B$43-((R758-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72">
      <c r="A772" t="inlineStr">
        <is>
          <t>Global Crit Rate Bonus %</t>
        </is>
      </c>
      <c r="B772" t="n">
        <v>0</v>
      </c>
    </row>
    <row r="773">
      <c r="A773" t="inlineStr">
        <is>
          <t>Attack Speed Buff Bonus %</t>
        </is>
      </c>
      <c r="B773">
        <f>((C762=TRUE)*F762*IF(AND(Inputs!$B$38&lt;&gt;"pvp",Inputs!$B$43&gt;0),(((R762-1)*(Skills!T19*(1+(Inputs!$B$34+(ArtifactsInput!$M$7-ArtifactsInput!$M$7)*CHOOSE(ArtifactsInput!$N$7+1,6,7.2,8.4,9.6,10.8,12))/100))+MIN((Skills!T19*(1+(Inputs!$B$34+(ArtifactsInput!$M$7-ArtifactsInput!$M$7)*CHOOSE(ArtifactsInput!$N$7+1,6,7.2,8.4,9.6,10.8,12))/100)),MAX(0,Inputs!$B$43-((R762-1)*Skills!D19))))/Inputs!$B$43),IF(Inputs!$B$38="pvp",MIN((Skills!T19*(1+(Inputs!$B$34+(ArtifactsInput!$M$7-ArtifactsInput!$M$7)*CHOOSE(ArtifactsInput!$N$7+1,6,7.2,8.4,9.6,10.8,12))/100)),15)/15,(Skills!T19*(1+(Inputs!$B$34+(ArtifactsInput!$M$7-ArtifactsInput!$M$7)*CHOOSE(ArtifactsInput!$N$7+1,6,7.2,8.4,9.6,10.8,12))/100))/Skills!D19)))</f>
        <v/>
      </c>
    </row>
    <row r="774">
      <c r="A774" t="inlineStr">
        <is>
          <t>Actions Per Second</t>
        </is>
      </c>
      <c r="B774">
        <f>1+MIN(150,150*(1-(1-(Inputs!$B$11+((C763=TRUE)*(F763-Calc!F20)))/150)*(1-B773/150)))/100</f>
        <v/>
      </c>
    </row>
    <row r="775">
      <c r="A775" t="inlineStr">
        <is>
          <t>Skill + Buff Cast Rate</t>
        </is>
      </c>
      <c r="B775">
        <f>IF(AND(Inputs!$B$38&lt;&gt;"pvp",Inputs!$B$43&gt;0),SUMPRODUCT((Skills!E2:E26=TRUE)*(C745:C769=TRUE)*R745:R769*Skills!F2:F26)/Inputs!$B$43,SUMPRODUCT((Skills!E2:E26=TRUE)*(C745:C769=TRUE)*Q745:Q769*Skills!F2:F26))</f>
        <v/>
      </c>
    </row>
    <row r="776">
      <c r="A776" t="inlineStr">
        <is>
          <t>Raging Blow Casts Per Second</t>
        </is>
      </c>
      <c r="B776">
        <f>MAX(0,B774-B775)</f>
        <v/>
      </c>
    </row>
    <row r="777">
      <c r="A777" t="inlineStr">
        <is>
          <t>Global Critical Damage Bonus % (Enrage)</t>
        </is>
      </c>
      <c r="B777">
        <f>((C761=TRUE)*F761*IF(AND(Inputs!$B$38&lt;&gt;"pvp",Inputs!$B$43&gt;0),(((R761-1)*(Skills!T18*(1+(Inputs!$B$34+(ArtifactsInput!$M$7-ArtifactsInput!$M$7)*CHOOSE(ArtifactsInput!$N$7+1,6,7.2,8.4,9.6,10.8,12))/100))+MIN((Skills!T18*(1+(Inputs!$B$34+(ArtifactsInput!$M$7-ArtifactsInput!$M$7)*CHOOSE(ArtifactsInput!$N$7+1,6,7.2,8.4,9.6,10.8,12))/100)),MAX(0,Inputs!$B$43-((R761-1)*Skills!D18))))/Inputs!$B$43),IF(Inputs!$B$38="pvp",MIN((Skills!T18*(1+(Inputs!$B$34+(ArtifactsInput!$M$7-ArtifactsInput!$M$7)*CHOOSE(ArtifactsInput!$N$7+1,6,7.2,8.4,9.6,10.8,12))/100)),15)/15,(Skills!T18*(1+(Inputs!$B$34+(ArtifactsInput!$M$7-ArtifactsInput!$M$7)*CHOOSE(ArtifactsInput!$N$7+1,6,7.2,8.4,9.6,10.8,12))/100))/Skills!D18)))</f>
        <v/>
      </c>
    </row>
    <row r="778">
      <c r="A778" t="inlineStr">
        <is>
          <t>Global Final Damage Bonus % (Enrage + Combo Synergy)</t>
        </is>
      </c>
      <c r="B778">
        <f>((C760=TRUE)*F760*IF(AND(Inputs!$B$38&lt;&gt;"pvp",Inputs!$B$43&gt;0),(((R760-1)*(Skills!T17*(1+(Inputs!$B$34+(ArtifactsInput!$M$7-ArtifactsInput!$M$7)*CHOOSE(ArtifactsInput!$N$7+1,6,7.2,8.4,9.6,10.8,12))/100))+MIN((Skills!T17*(1+(Inputs!$B$34+(ArtifactsInput!$M$7-ArtifactsInput!$M$7)*CHOOSE(ArtifactsInput!$N$7+1,6,7.2,8.4,9.6,10.8,12))/100)),MAX(0,Inputs!$B$43-((R760-1)*Skills!D17))))/Inputs!$B$43),IF(Inputs!$B$38="pvp",MIN((Skills!T17*(1+(Inputs!$B$34+(ArtifactsInput!$M$7-ArtifactsInput!$M$7)*CHOOSE(ArtifactsInput!$N$7+1,6,7.2,8.4,9.6,10.8,12))/100)),15)/15,(Skills!T17*(1+(Inputs!$B$34+(ArtifactsInput!$M$7-ArtifactsInput!$M$7)*CHOOSE(ArtifactsInput!$N$7+1,6,7.2,8.4,9.6,10.8,12))/100))/Skills!D17)))+((C757=TRUE)*F757*IF(Inputs!$B$3&gt;=110,7,5))</f>
        <v/>
      </c>
    </row>
    <row r="779">
      <c r="A779" t="inlineStr">
        <is>
          <t>Buff-Casting Startup Delay (s, fixed-duration only)</t>
        </is>
      </c>
      <c r="B779">
        <f>IF(AND(Inputs!$B$38&lt;&gt;"pvp",Inputs!$B$43&gt;0),SUMPRODUCT((Skills!T2:T26&gt;0)*(Skills!E2:E26=TRUE)*(C745:C769=TRUE))/B774,0)</f>
        <v/>
      </c>
    </row>
    <row r="780">
      <c r="A780" t="inlineStr">
        <is>
          <t>Boss-Only Total DPS (this block's swept value)</t>
        </is>
      </c>
      <c r="B780">
        <f>SUM(T745:T769)</f>
        <v/>
      </c>
    </row>
    <row r="781">
      <c r="A781" t="inlineStr">
        <is>
          <t>Normal-Only Total DPS (this block's swept value)</t>
        </is>
      </c>
      <c r="B781">
        <f>SUM(V745:V769)</f>
        <v/>
      </c>
    </row>
    <row r="782">
      <c r="A782" s="6" t="inlineStr">
        <is>
          <t>TOTAL DPS</t>
        </is>
      </c>
      <c r="B782" s="6">
        <f>SUM(O745:O769)</f>
        <v/>
      </c>
    </row>
    <row r="785">
      <c r="A785" s="6" t="inlineStr">
        <is>
          <t>Stat: Skill Level Bonus — 2nd Job</t>
        </is>
      </c>
    </row>
    <row r="786">
      <c r="A786" s="5" t="inlineStr">
        <is>
          <t>Key</t>
        </is>
      </c>
      <c r="B786" s="5" t="inlineStr">
        <is>
          <t>Name</t>
        </is>
      </c>
      <c r="C786" s="5" t="inlineStr">
        <is>
          <t>Unlocked</t>
        </is>
      </c>
      <c r="D786" s="5" t="inlineStr">
        <is>
          <t>InputLevel</t>
        </is>
      </c>
      <c r="E786" s="5" t="inlineStr">
        <is>
          <t>Factor</t>
        </is>
      </c>
      <c r="F786" s="5" t="inlineStr">
        <is>
          <t>CoefficientPercent</t>
        </is>
      </c>
      <c r="G786" s="5" t="inlineStr">
        <is>
          <t>EffectiveHits</t>
        </is>
      </c>
      <c r="H786" s="5" t="inlineStr">
        <is>
          <t>ProcProbability</t>
        </is>
      </c>
      <c r="I786" s="5" t="inlineStr">
        <is>
          <t>MapleHeroMultiplier</t>
        </is>
      </c>
      <c r="J786" s="5" t="inlineStr">
        <is>
          <t>BaseDamage</t>
        </is>
      </c>
      <c r="K786" s="5" t="inlineStr">
        <is>
          <t>BaseHitDamage</t>
        </is>
      </c>
      <c r="L786" s="5" t="inlineStr">
        <is>
          <t>NonCritAvg</t>
        </is>
      </c>
      <c r="M786" s="5" t="inlineStr">
        <is>
          <t>CritAvg</t>
        </is>
      </c>
      <c r="N786" s="5" t="inlineStr">
        <is>
          <t>ExpectedDamage(perHit)</t>
        </is>
      </c>
      <c r="O786" s="5" t="inlineStr">
        <is>
          <t>DPS</t>
        </is>
      </c>
      <c r="P786" s="5" t="inlineStr">
        <is>
          <t>% of Total</t>
        </is>
      </c>
      <c r="Q786" s="5" t="inlineStr">
        <is>
          <t>InvCooldown</t>
        </is>
      </c>
      <c r="R786" s="5" t="inlineStr">
        <is>
          <t>CastsInFight</t>
        </is>
      </c>
      <c r="S786" s="5" t="inlineStr">
        <is>
          <t>HitRate(perSec)</t>
        </is>
      </c>
      <c r="U786" t="inlineStr">
        <is>
          <t>helpers</t>
        </is>
      </c>
    </row>
    <row r="787">
      <c r="A787">
        <f>Skills!A2</f>
        <v/>
      </c>
      <c r="B787">
        <f>Skills!B2</f>
        <v/>
      </c>
      <c r="C787">
        <f>Inputs!$B$3&gt;=100</f>
        <v/>
      </c>
      <c r="D787" t="inlineStr"/>
      <c r="E787" t="inlineStr"/>
      <c r="F787">
        <f>U789+Skills!O2</f>
        <v/>
      </c>
      <c r="G787">
        <f>Skills!G2*IF(Skills!H2&gt;0,Skills!I2/Skills!H2,1)</f>
        <v/>
      </c>
      <c r="H787">
        <f>1-(1-Skills!J2/100)^Skills!K2</f>
        <v/>
      </c>
      <c r="I787" t="inlineStr">
        <is>
          <t>1</t>
        </is>
      </c>
      <c r="J787">
        <f>((Inputs!$B$6*(1+Inputs!$B$7/100))+(((Inputs!$B$12*(1+Inputs!$B$13/100))-(Inputs!$B$12*(1+Inputs!$B$13/100)))+0.25*(Inputs!$B$14-Inputs!$B$14))*(1+Inputs!$B$7/100))*(F787/100)</f>
        <v/>
      </c>
      <c r="K787">
        <f>J787*(1+((Inputs!$B$12*(1+Inputs!$B$13/100))*0.01+Inputs!$B$14*0.0025)/100)*(1+Inputs!$B$15/100)*(1+Inputs!$B$16/100)*(5000/(6000+Inputs!$B$42*(1-(100*(1-(1-(Inputs!$B$19+0)/100)*(1-CHOOSE(ArtifactsInput!$N$40+1,5,6,7,8,9,10)/100)^(ArtifactsInput!$M$40-ArtifactsInput!$M$40)))/100)))*(1+(Inputs!$B$24+((C810=TRUE)*(F810-Calc!F25))+B820)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806=TRUE)*(F806-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808=TRUE)*(F808-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798=TRUE)*F798*IF(Inputs!$B$3&gt;=110,7,5))+((C800=TRUE)*F800*IF(AND(Inputs!$B$38&lt;&gt;"pvp",Inputs!$B$43&gt;0),(((R800-1)*(Skills!T15*(1+(Inputs!$B$34+(ArtifactsInput!$M$7-ArtifactsInput!$M$7)*CHOOSE(ArtifactsInput!$N$7+1,6,7.2,8.4,9.6,10.8,12))/100))+MIN((Skills!T15*(1+(Inputs!$B$34+(ArtifactsInput!$M$7-ArtifactsInput!$M$7)*CHOOSE(ArtifactsInput!$N$7+1,6,7.2,8.4,9.6,10.8,12))/100)),MAX(0,Inputs!$B$43-((R800-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Hunt"),CHOOSE(ArtifactsInput!$N$35+1,15,18,21,24,27,30)*(1-EXP(-(0.2*B816)*5)),0)+IF(AND(ArtifactsInput!$M$22,Inputs!$B$4&lt;&gt;"Chapter Hunt"),CHOOSE(ArtifactsInput!$N$22+1,10,12,14,16,18,20)*((0*(((0.15*B816*5))^0/1)+1*(((0.15*B816*5))^1/1)+2*(((0.15*B816*5))^2/2)+3*(((0.15*B816*5))^3/6)+4*(((0.15*B816*5))^4/24)+5*(((0.15*B816*5))^5/120))/((((0.15*B816*5))^0/1)+(((0.15*B816*5))^1/1)+(((0.15*B816*5))^2/2)+(((0.15*B816*5))^3/6)+(((0.15*B816*5))^4/24)+(((0.15*B816*5))^5/120))),0)))/100)*I787)</f>
        <v/>
      </c>
      <c r="L787">
        <f>K787*(MIN(Inputs!$B$22+((C807=TRUE)*(F807-Calc!F22)),(Inputs!$B$23+((C809=TRUE)*(F809-Calc!F24))+(IF(ArtifactsInput!$M$15,CHOOSE(ArtifactsInput!$N$15+1,25,30,35,40,45,50)/100*(Inputs!$B$11-Inputs!$B$11),0))))/100+(Inputs!$B$23+((C809=TRUE)*(F809-Calc!F24))+(IF(ArtifactsInput!$M$15,CHOOSE(ArtifactsInput!$N$15+1,25,30,35,40,45,50)/100*(Inputs!$B$11-Inputs!$B$11),0)))/100)/2</f>
        <v/>
      </c>
      <c r="M787">
        <f>L787*(1+(Inputs!$B$10+0+B819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7">
        <f>L787*(1-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787*(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7">
        <f>(1-Summary!$B$11)*T787+Summary!$B$11*V787</f>
        <v/>
      </c>
      <c r="P787">
        <f>IF(B824=0,0,O787/B824)</f>
        <v/>
      </c>
      <c r="Q787" t="n">
        <v>0</v>
      </c>
      <c r="R787" t="n">
        <v>0</v>
      </c>
      <c r="S787">
        <f>IFERROR(O787/N787,0)</f>
        <v/>
      </c>
      <c r="T787">
        <f>IF(C787,(Skills!G2*N787*B818)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787*(1-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787*(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787*(1-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787*(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87">
        <f>MAX(0,(Inputs!$B$3-100)*3)+Inputs!$B$28+Inputs!$B$29</f>
        <v/>
      </c>
      <c r="V787">
        <f>IF(C787,(Skills!G2*N787*B818)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8">
      <c r="A788">
        <f>Skills!A3</f>
        <v/>
      </c>
      <c r="B788">
        <f>Skills!B3</f>
        <v/>
      </c>
      <c r="C788">
        <f>Inputs!$B$3&gt;=50</f>
        <v/>
      </c>
      <c r="D788">
        <f>IF(Skills!C3=1,60+Inputs!$B$25+Inputs!$B$29,IF(Skills!C3=2,90+(Inputs!$B$26+1)+Inputs!$B$29,IF(Skills!C3=3,120+Inputs!$B$27+Inputs!$B$29,MAX(0,(Inputs!$B$3-100)*3)+Inputs!$B$28+Inputs!$B$29)))</f>
        <v/>
      </c>
      <c r="E788">
        <f>INDEX(FactorTable!$B$2:$Y$301, MATCH(ROUND(MIN(300,MAX(1,D788)),0), FactorTable!$A$2:$A$301,0), Skills!M3+1)</f>
        <v/>
      </c>
      <c r="F788">
        <f>IF(Skills!N3=TRUE,(Skills!L3/10)*(E788/1000),Skills!L3/10)+Skills!O3</f>
        <v/>
      </c>
      <c r="G788" t="inlineStr"/>
      <c r="H788" t="inlineStr"/>
      <c r="I788" t="inlineStr">
        <is>
          <t>1</t>
        </is>
      </c>
      <c r="J788" t="inlineStr"/>
      <c r="K788" t="inlineStr"/>
      <c r="L788" t="inlineStr"/>
      <c r="M788" t="inlineStr"/>
      <c r="N788" t="inlineStr"/>
      <c r="O788" t="inlineStr"/>
      <c r="P788" t="inlineStr"/>
      <c r="Q788" t="inlineStr"/>
      <c r="R788" t="inlineStr"/>
      <c r="S788" t="inlineStr"/>
      <c r="U788">
        <f>INDEX(FactorTable!$B$2:$Y$301, MATCH(ROUND(MIN(300,MAX(1,U787)),0), FactorTable!$A$2:$A$301,0), 22)</f>
        <v/>
      </c>
    </row>
    <row r="789">
      <c r="A789">
        <f>Skills!A4</f>
        <v/>
      </c>
      <c r="B789">
        <f>Skills!B4</f>
        <v/>
      </c>
      <c r="C789">
        <f>Inputs!$B$3&gt;=105</f>
        <v/>
      </c>
      <c r="D789">
        <f>IF(Skills!C4=1,60+Inputs!$B$25+Inputs!$B$29,IF(Skills!C4=2,90+(Inputs!$B$26+1)+Inputs!$B$29,IF(Skills!C4=3,120+Inputs!$B$27+Inputs!$B$29,MAX(0,(Inputs!$B$3-100)*3)+Inputs!$B$28+Inputs!$B$29)))</f>
        <v/>
      </c>
      <c r="E789">
        <f>INDEX(FactorTable!$B$2:$Y$301, MATCH(ROUND(MIN(300,MAX(1,D789)),0), FactorTable!$A$2:$A$301,0), Skills!M4+1)</f>
        <v/>
      </c>
      <c r="F789">
        <f>IF(Skills!N4=TRUE,(Skills!L4/10)*(E789/1000),Skills!L4/10)+Skills!O4</f>
        <v/>
      </c>
      <c r="G789" t="inlineStr"/>
      <c r="H789" t="inlineStr"/>
      <c r="I789" t="inlineStr">
        <is>
          <t>1</t>
        </is>
      </c>
      <c r="J789" t="inlineStr"/>
      <c r="K789" t="inlineStr"/>
      <c r="L789" t="inlineStr"/>
      <c r="M789" t="inlineStr"/>
      <c r="N789" t="inlineStr"/>
      <c r="O789" t="inlineStr"/>
      <c r="P789" t="inlineStr"/>
      <c r="Q789" t="inlineStr"/>
      <c r="R789" t="inlineStr"/>
      <c r="S789" t="inlineStr"/>
      <c r="U789">
        <f>290*U788/1000</f>
        <v/>
      </c>
    </row>
    <row r="790">
      <c r="A790">
        <f>Skills!A5</f>
        <v/>
      </c>
      <c r="B790">
        <f>Skills!B5</f>
        <v/>
      </c>
      <c r="C790">
        <f>Inputs!$B$3&gt;=103</f>
        <v/>
      </c>
      <c r="D790">
        <f>IF(Skills!C5=1,60+Inputs!$B$25+Inputs!$B$29,IF(Skills!C5=2,90+(Inputs!$B$26+1)+Inputs!$B$29,IF(Skills!C5=3,120+Inputs!$B$27+Inputs!$B$29,MAX(0,(Inputs!$B$3-100)*3)+Inputs!$B$28+Inputs!$B$29)))</f>
        <v/>
      </c>
      <c r="E790">
        <f>INDEX(FactorTable!$B$2:$Y$301, MATCH(ROUND(MIN(300,MAX(1,D790)),0), FactorTable!$A$2:$A$301,0), Skills!M5+1)</f>
        <v/>
      </c>
      <c r="F790">
        <f>IF(Skills!N5=TRUE,(Skills!L5/10)*(E790/1000),Skills!L5/10)+Skills!O5</f>
        <v/>
      </c>
      <c r="G790">
        <f>Skills!G5*IF(Skills!H5&gt;0,Skills!I5/Skills!H5,1)</f>
        <v/>
      </c>
      <c r="H790">
        <f>1-(1-Skills!J5/100)^Skills!K5</f>
        <v/>
      </c>
      <c r="I790" t="inlineStr">
        <is>
          <t>1</t>
        </is>
      </c>
      <c r="J790">
        <f>((Inputs!$B$6*(1+Inputs!$B$7/100))+(((Inputs!$B$12*(1+Inputs!$B$13/100))-(Inputs!$B$12*(1+Inputs!$B$13/100)))+0.25*(Inputs!$B$14-Inputs!$B$14))*(1+Inputs!$B$7/100))*(F790/100)</f>
        <v/>
      </c>
      <c r="K790">
        <f>J790*(1+((Inputs!$B$12*(1+Inputs!$B$13/100))*0.01+Inputs!$B$14*0.0025)/100)*(1+Inputs!$B$15/100)*(1+Inputs!$B$16/100)*(5000/(6000+Inputs!$B$42*(1-(100*(1-(1-(Inputs!$B$19+0)/100)*(1-CHOOSE(ArtifactsInput!$N$40+1,5,6,7,8,9,10)/100)^(ArtifactsInput!$M$40-ArtifactsInput!$M$40)))/100)))*(1+(Inputs!$B$24+((C810=TRUE)*(F810-Calc!F25))+B820)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806=TRUE)*(F806-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808=TRUE)*(F808-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798=TRUE)*F798*IF(Inputs!$B$3&gt;=110,7,5))+((C800=TRUE)*F800*IF(AND(Inputs!$B$38&lt;&gt;"pvp",Inputs!$B$43&gt;0),(((R800-1)*(Skills!T15*(1+(Inputs!$B$34+(ArtifactsInput!$M$7-ArtifactsInput!$M$7)*CHOOSE(ArtifactsInput!$N$7+1,6,7.2,8.4,9.6,10.8,12))/100))+MIN((Skills!T15*(1+(Inputs!$B$34+(ArtifactsInput!$M$7-ArtifactsInput!$M$7)*CHOOSE(ArtifactsInput!$N$7+1,6,7.2,8.4,9.6,10.8,12))/100)),MAX(0,Inputs!$B$43-((R800-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Hunt"),CHOOSE(ArtifactsInput!$N$35+1,15,18,21,24,27,30)*(1-EXP(-(0.2*B816)*5)),0)+IF(AND(ArtifactsInput!$M$22,Inputs!$B$4&lt;&gt;"Chapter Hunt"),CHOOSE(ArtifactsInput!$N$22+1,10,12,14,16,18,20)*((0*(((0.15*B816*5))^0/1)+1*(((0.15*B816*5))^1/1)+2*(((0.15*B816*5))^2/2)+3*(((0.15*B816*5))^3/6)+4*(((0.15*B816*5))^4/24)+5*(((0.15*B816*5))^5/120))/((((0.15*B816*5))^0/1)+(((0.15*B816*5))^1/1)+(((0.15*B816*5))^2/2)+(((0.15*B816*5))^3/6)+(((0.15*B816*5))^4/24)+(((0.15*B816*5))^5/120))),0)))/100)*I790)</f>
        <v/>
      </c>
      <c r="L790">
        <f>K790*(MIN(Inputs!$B$22+((C807=TRUE)*(F807-Calc!F22)),(Inputs!$B$23+((C809=TRUE)*(F809-Calc!F24))+(IF(ArtifactsInput!$M$15,CHOOSE(ArtifactsInput!$N$15+1,25,30,35,40,45,50)/100*(Inputs!$B$11-Inputs!$B$11),0))))/100+(Inputs!$B$23+((C809=TRUE)*(F809-Calc!F24))+(IF(ArtifactsInput!$M$15,CHOOSE(ArtifactsInput!$N$15+1,25,30,35,40,45,50)/100*(Inputs!$B$11-Inputs!$B$11),0)))/100)/2</f>
        <v/>
      </c>
      <c r="M790">
        <f>L790*(1+(Inputs!$B$10+0+B819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0">
        <f>L790*(1-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790*(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0">
        <f>(1-Summary!$B$11)*T790+Summary!$B$11*V790</f>
        <v/>
      </c>
      <c r="P790">
        <f>IF(B824=0,0,O790/B824)</f>
        <v/>
      </c>
      <c r="Q790">
        <f>IFERROR(1/(IF(Inputs!$B$38="pvp",15,MAX(0.1,Skills!D5-IF(Skills!E5=TRUE,Inputs!$B$32,0)))*(1-IF(AND(ArtifactsInput!$M$27,Inputs!$B$4="Chapter Hunt"),CHOOSE(ArtifactsInput!$N$27+1,20,24,28,32,36,40),0)/100)),0)</f>
        <v/>
      </c>
      <c r="R790">
        <f>IF(AND(Inputs!$B$38&lt;&gt;"pvp",Inputs!$B$43&gt;0),IF(MAX(0,Inputs!$B$43-B821)&lt;=0,0,(INT(MAX(0,Inputs!$B$43-B821)/(IF(Inputs!$B$38="pvp",15,MAX(0.1,Skills!D5-IF(Skills!E5=TRUE,Inputs!$B$32,0)))*(1-IF(AND(ArtifactsInput!$M$27,Inputs!$B$4="Chapter Hunt"),CHOOSE(ArtifactsInput!$N$27+1,20,24,28,32,36,40),0)/100)))+1)),0)</f>
        <v/>
      </c>
      <c r="S790">
        <f>IFERROR(O790/N790,0)</f>
        <v/>
      </c>
      <c r="T790">
        <f>IF(C790,(H790*N790*IF(AND(Inputs!$B$38&lt;&gt;"pvp",Inputs!$B$43&gt;0),((Skills!G5*((R790-1)*IF(Skills!H5&gt;0,Skills!I5/Skills!H5,1)+IF(Skills!H5&gt;0,MIN(Skills!I5,MAX(0,MAX(0,Inputs!$B$43-B821)-((R790-1)*(IF(Inputs!$B$38="pvp",15,MAX(0.1,Skills!D5-IF(Skills!E5=TRUE,Inputs!$B$32,0)))*(1-IF(AND(ArtifactsInput!$M$27,Inputs!$B$4="Chapter Hunt"),CHOOSE(ArtifactsInput!$N$27+1,20,24,28,32,36,40),0)/100)))))/Skills!H5,1)))/Inputs!$B$43),G790*Q790)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790*(1-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790*(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790*(1-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790*(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0">
        <f>IF(C790,(H790*N790*IF(AND(Inputs!$B$38&lt;&gt;"pvp",Inputs!$B$43&gt;0),((Skills!G5*((R790-1)*IF(Skills!H5&gt;0,Skills!I5/Skills!H5,1)+IF(Skills!H5&gt;0,MIN(Skills!I5,MAX(0,MAX(0,Inputs!$B$43-B821)-((R790-1)*(IF(Inputs!$B$38="pvp",15,MAX(0.1,Skills!D5-IF(Skills!E5=TRUE,Inputs!$B$32,0)))*(1-IF(AND(ArtifactsInput!$M$27,Inputs!$B$4="Chapter Hunt"),CHOOSE(ArtifactsInput!$N$27+1,20,24,28,32,36,40),0)/100)))))/Skills!H5,1)))/Inputs!$B$43),G790*Q790)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1">
      <c r="A791">
        <f>Skills!A6</f>
        <v/>
      </c>
      <c r="B791">
        <f>Skills!B6</f>
        <v/>
      </c>
      <c r="C791">
        <f>Inputs!$B$3&gt;=103</f>
        <v/>
      </c>
      <c r="D791">
        <f>IF(Skills!C6=1,60+Inputs!$B$25+Inputs!$B$29,IF(Skills!C6=2,90+(Inputs!$B$26+1)+Inputs!$B$29,IF(Skills!C6=3,120+Inputs!$B$27+Inputs!$B$29,MAX(0,(Inputs!$B$3-100)*3)+Inputs!$B$28+Inputs!$B$29)))</f>
        <v/>
      </c>
      <c r="E791">
        <f>INDEX(FactorTable!$B$2:$Y$301, MATCH(ROUND(MIN(300,MAX(1,D791)),0), FactorTable!$A$2:$A$301,0), Skills!M6+1)</f>
        <v/>
      </c>
      <c r="F791">
        <f>IF(Skills!N6=TRUE,(Skills!L6/10)*(E791/1000),Skills!L6/10)+Skills!O6</f>
        <v/>
      </c>
      <c r="G791">
        <f>Skills!G6*IF(Skills!H6&gt;0,Skills!I6/Skills!H6,1)</f>
        <v/>
      </c>
      <c r="H791">
        <f>1-(1-Skills!J6/100)^Skills!K6</f>
        <v/>
      </c>
      <c r="I791" t="inlineStr">
        <is>
          <t>1</t>
        </is>
      </c>
      <c r="J791">
        <f>((Inputs!$B$6*(1+Inputs!$B$7/100))+(((Inputs!$B$12*(1+Inputs!$B$13/100))-(Inputs!$B$12*(1+Inputs!$B$13/100)))+0.25*(Inputs!$B$14-Inputs!$B$14))*(1+Inputs!$B$7/100))*(F791/100)</f>
        <v/>
      </c>
      <c r="K791">
        <f>J791*(1+((Inputs!$B$12*(1+Inputs!$B$13/100))*0.01+Inputs!$B$14*0.0025)/100)*(1+Inputs!$B$15/100)*(1+Inputs!$B$16/100)*(5000/(6000+Inputs!$B$42*(1-(100*(1-(1-(Inputs!$B$19+0)/100)*(1-CHOOSE(ArtifactsInput!$N$40+1,5,6,7,8,9,10)/100)^(ArtifactsInput!$M$40-ArtifactsInput!$M$40)))/100)))*(1+(Inputs!$B$24+((C810=TRUE)*(F810-Calc!F25))+B820)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806=TRUE)*(F806-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808=TRUE)*(F808-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798=TRUE)*F798*IF(Inputs!$B$3&gt;=110,7,5))+((C800=TRUE)*F800*IF(AND(Inputs!$B$38&lt;&gt;"pvp",Inputs!$B$43&gt;0),(((R800-1)*(Skills!T15*(1+(Inputs!$B$34+(ArtifactsInput!$M$7-ArtifactsInput!$M$7)*CHOOSE(ArtifactsInput!$N$7+1,6,7.2,8.4,9.6,10.8,12))/100))+MIN((Skills!T15*(1+(Inputs!$B$34+(ArtifactsInput!$M$7-ArtifactsInput!$M$7)*CHOOSE(ArtifactsInput!$N$7+1,6,7.2,8.4,9.6,10.8,12))/100)),MAX(0,Inputs!$B$43-((R800-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Hunt"),CHOOSE(ArtifactsInput!$N$35+1,15,18,21,24,27,30)*(1-EXP(-(0.2*B816)*5)),0)+IF(AND(ArtifactsInput!$M$22,Inputs!$B$4&lt;&gt;"Chapter Hunt"),CHOOSE(ArtifactsInput!$N$22+1,10,12,14,16,18,20)*((0*(((0.15*B816*5))^0/1)+1*(((0.15*B816*5))^1/1)+2*(((0.15*B816*5))^2/2)+3*(((0.15*B816*5))^3/6)+4*(((0.15*B816*5))^4/24)+5*(((0.15*B816*5))^5/120))/((((0.15*B816*5))^0/1)+(((0.15*B816*5))^1/1)+(((0.15*B816*5))^2/2)+(((0.15*B816*5))^3/6)+(((0.15*B816*5))^4/24)+(((0.15*B816*5))^5/120))),0)))/100)*I791)</f>
        <v/>
      </c>
      <c r="L791">
        <f>K791*(MIN(Inputs!$B$22+((C807=TRUE)*(F807-Calc!F22)),(Inputs!$B$23+((C809=TRUE)*(F809-Calc!F24))+(IF(ArtifactsInput!$M$15,CHOOSE(ArtifactsInput!$N$15+1,25,30,35,40,45,50)/100*(Inputs!$B$11-Inputs!$B$11),0))))/100+(Inputs!$B$23+((C809=TRUE)*(F809-Calc!F24))+(IF(ArtifactsInput!$M$15,CHOOSE(ArtifactsInput!$N$15+1,25,30,35,40,45,50)/100*(Inputs!$B$11-Inputs!$B$11),0)))/100)/2</f>
        <v/>
      </c>
      <c r="M791">
        <f>L791*(1+(Inputs!$B$10+0+B819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1">
        <f>L791*(1-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791*(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1">
        <f>(1-Summary!$B$11)*T791+Summary!$B$11*V791</f>
        <v/>
      </c>
      <c r="P791">
        <f>IF(B824=0,0,O791/B824)</f>
        <v/>
      </c>
      <c r="Q791">
        <f>IFERROR(1/(IF(Inputs!$B$38="pvp",15,MAX(0.1,Skills!D6-IF(Skills!E6=TRUE,Inputs!$B$32,0)))*(1-IF(AND(ArtifactsInput!$M$27,Inputs!$B$4="Chapter Hunt"),CHOOSE(ArtifactsInput!$N$27+1,20,24,28,32,36,40),0)/100)),0)</f>
        <v/>
      </c>
      <c r="R791">
        <f>IF(AND(Inputs!$B$38&lt;&gt;"pvp",Inputs!$B$43&gt;0),IF(MAX(0,Inputs!$B$43-B821)&lt;=0,0,(INT(MAX(0,Inputs!$B$43-B821)/(IF(Inputs!$B$38="pvp",15,MAX(0.1,Skills!D6-IF(Skills!E6=TRUE,Inputs!$B$32,0)))*(1-IF(AND(ArtifactsInput!$M$27,Inputs!$B$4="Chapter Hunt"),CHOOSE(ArtifactsInput!$N$27+1,20,24,28,32,36,40),0)/100)))+1)),0)</f>
        <v/>
      </c>
      <c r="S791">
        <f>IFERROR(O791/N791,0)</f>
        <v/>
      </c>
      <c r="T791">
        <f>IF(C791,(H791*N791*IF(AND(Inputs!$B$38&lt;&gt;"pvp",Inputs!$B$43&gt;0),((Skills!G6*((R791-1)*IF(Skills!H6&gt;0,Skills!I6/Skills!H6,1)+IF(Skills!H6&gt;0,MIN(Skills!I6,MAX(0,MAX(0,Inputs!$B$43-B821)-((R791-1)*(IF(Inputs!$B$38="pvp",15,MAX(0.1,Skills!D6-IF(Skills!E6=TRUE,Inputs!$B$32,0)))*(1-IF(AND(ArtifactsInput!$M$27,Inputs!$B$4="Chapter Hunt"),CHOOSE(ArtifactsInput!$N$27+1,20,24,28,32,36,40),0)/100)))))/Skills!H6,1)))/Inputs!$B$43),G791*Q791)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791*(1-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791*(1-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1">
        <f>IF(C791,(H791*N791*IF(AND(Inputs!$B$38&lt;&gt;"pvp",Inputs!$B$43&gt;0),((Skills!G6*((R791-1)*IF(Skills!H6&gt;0,Skills!I6/Skills!H6,1)+IF(Skills!H6&gt;0,MIN(Skills!I6,MAX(0,MAX(0,Inputs!$B$43-B821)-((R791-1)*(IF(Inputs!$B$38="pvp",15,MAX(0.1,Skills!D6-IF(Skills!E6=TRUE,Inputs!$B$32,0)))*(1-IF(AND(ArtifactsInput!$M$27,Inputs!$B$4="Chapter Hunt"),CHOOSE(ArtifactsInput!$N$27+1,20,24,28,32,36,40),0)/100)))))/Skills!H6,1)))/Inputs!$B$43),G791*Q791)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2">
      <c r="A792">
        <f>Skills!A7</f>
        <v/>
      </c>
      <c r="B792">
        <f>Skills!B7</f>
        <v/>
      </c>
      <c r="C792">
        <f>Inputs!$B$3&gt;=107</f>
        <v/>
      </c>
      <c r="D792">
        <f>IF(Skills!C7=1,60+Inputs!$B$25+Inputs!$B$29,IF(Skills!C7=2,90+(Inputs!$B$26+1)+Inputs!$B$29,IF(Skills!C7=3,120+Inputs!$B$27+Inputs!$B$29,MAX(0,(Inputs!$B$3-100)*3)+Inputs!$B$28+Inputs!$B$29)))</f>
        <v/>
      </c>
      <c r="E792">
        <f>INDEX(FactorTable!$B$2:$Y$301, MATCH(ROUND(MIN(300,MAX(1,D792)),0), FactorTable!$A$2:$A$301,0), Skills!M7+1)</f>
        <v/>
      </c>
      <c r="F792">
        <f>IF(Skills!N7=TRUE,(Skills!L7/10)*(E792/1000),Skills!L7/10)+Skills!O7</f>
        <v/>
      </c>
      <c r="G792">
        <f>Skills!G7*IF(Skills!H7&gt;0,Skills!I7/Skills!H7,1)</f>
        <v/>
      </c>
      <c r="H792">
        <f>1-(1-Skills!J7/100)^Skills!K7</f>
        <v/>
      </c>
      <c r="I792" t="inlineStr">
        <is>
          <t>1</t>
        </is>
      </c>
      <c r="J792">
        <f>((Inputs!$B$6*(1+Inputs!$B$7/100))+(((Inputs!$B$12*(1+Inputs!$B$13/100))-(Inputs!$B$12*(1+Inputs!$B$13/100)))+0.25*(Inputs!$B$14-Inputs!$B$14))*(1+Inputs!$B$7/100))*(F792/100)</f>
        <v/>
      </c>
      <c r="K792">
        <f>J792*(1+((Inputs!$B$12*(1+Inputs!$B$13/100))*0.01+Inputs!$B$14*0.0025)/100)*(1+Inputs!$B$15/100)*(1+Inputs!$B$16/100)*(5000/(6000+Inputs!$B$42*(1-(100*(1-(1-(Inputs!$B$19+0)/100)*(1-CHOOSE(ArtifactsInput!$N$40+1,5,6,7,8,9,10)/100)^(ArtifactsInput!$M$40-ArtifactsInput!$M$40)))/100)))*(1+(Inputs!$B$24+((C810=TRUE)*(F810-Calc!F25))+B820)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806=TRUE)*(F806-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808=TRUE)*(F808-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798=TRUE)*F798*IF(Inputs!$B$3&gt;=110,7,5))+((C800=TRUE)*F800*IF(AND(Inputs!$B$38&lt;&gt;"pvp",Inputs!$B$43&gt;0),(((R800-1)*(Skills!T15*(1+(Inputs!$B$34+(ArtifactsInput!$M$7-ArtifactsInput!$M$7)*CHOOSE(ArtifactsInput!$N$7+1,6,7.2,8.4,9.6,10.8,12))/100))+MIN((Skills!T15*(1+(Inputs!$B$34+(ArtifactsInput!$M$7-ArtifactsInput!$M$7)*CHOOSE(ArtifactsInput!$N$7+1,6,7.2,8.4,9.6,10.8,12))/100)),MAX(0,Inputs!$B$43-((R800-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Hunt"),CHOOSE(ArtifactsInput!$N$35+1,15,18,21,24,27,30)*(1-EXP(-(0.2*B816)*5)),0)+IF(AND(ArtifactsInput!$M$22,Inputs!$B$4&lt;&gt;"Chapter Hunt"),CHOOSE(ArtifactsInput!$N$22+1,10,12,14,16,18,20)*((0*(((0.15*B816*5))^0/1)+1*(((0.15*B816*5))^1/1)+2*(((0.15*B816*5))^2/2)+3*(((0.15*B816*5))^3/6)+4*(((0.15*B816*5))^4/24)+5*(((0.15*B816*5))^5/120))/((((0.15*B816*5))^0/1)+(((0.15*B816*5))^1/1)+(((0.15*B816*5))^2/2)+(((0.15*B816*5))^3/6)+(((0.15*B816*5))^4/24)+(((0.15*B816*5))^5/120))),0)))/100)*I792)</f>
        <v/>
      </c>
      <c r="L792">
        <f>K792*(MIN(Inputs!$B$22+((C807=TRUE)*(F807-Calc!F22)),(Inputs!$B$23+((C809=TRUE)*(F809-Calc!F24))+(IF(ArtifactsInput!$M$15,CHOOSE(ArtifactsInput!$N$15+1,25,30,35,40,45,50)/100*(Inputs!$B$11-Inputs!$B$11),0))))/100+(Inputs!$B$23+((C809=TRUE)*(F809-Calc!F24))+(IF(ArtifactsInput!$M$15,CHOOSE(ArtifactsInput!$N$15+1,25,30,35,40,45,50)/100*(Inputs!$B$11-Inputs!$B$11),0)))/100)/2</f>
        <v/>
      </c>
      <c r="M792">
        <f>L792*(1+(Inputs!$B$10+0+B819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2">
        <f>L792*(1-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792*(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2">
        <f>(1-Summary!$B$11)*T792+Summary!$B$11*V792</f>
        <v/>
      </c>
      <c r="P792">
        <f>IF(B824=0,0,O792/B824)</f>
        <v/>
      </c>
      <c r="Q792">
        <f>IFERROR(1/(IF(Inputs!$B$38="pvp",15,MAX(0.1,Skills!D7-IF(Skills!E7=TRUE,Inputs!$B$32,0)))*(1-IF(AND(ArtifactsInput!$M$27,Inputs!$B$4="Chapter Hunt"),CHOOSE(ArtifactsInput!$N$27+1,20,24,28,32,36,40),0)/100)),0)</f>
        <v/>
      </c>
      <c r="R792">
        <f>IF(AND(Inputs!$B$38&lt;&gt;"pvp",Inputs!$B$43&gt;0),IF(MAX(0,Inputs!$B$43-B821)&lt;=0,0,(INT(MAX(0,Inputs!$B$43-B821)/(IF(Inputs!$B$38="pvp",15,MAX(0.1,Skills!D7-IF(Skills!E7=TRUE,Inputs!$B$32,0)))*(1-IF(AND(ArtifactsInput!$M$27,Inputs!$B$4="Chapter Hunt"),CHOOSE(ArtifactsInput!$N$27+1,20,24,28,32,36,40),0)/100)))+1)),0)</f>
        <v/>
      </c>
      <c r="S792">
        <f>IFERROR(O792/N792,0)</f>
        <v/>
      </c>
      <c r="T792">
        <f>IF(C792,(H792*N792*IF(AND(Inputs!$B$38&lt;&gt;"pvp",Inputs!$B$43&gt;0),((Skills!G7*((R792-1)*IF(Skills!H7&gt;0,Skills!I7/Skills!H7,1)+IF(Skills!H7&gt;0,MIN(Skills!I7,MAX(0,MAX(0,Inputs!$B$43-B821)-((R792-1)*(IF(Inputs!$B$38="pvp",15,MAX(0.1,Skills!D7-IF(Skills!E7=TRUE,Inputs!$B$32,0)))*(1-IF(AND(ArtifactsInput!$M$27,Inputs!$B$4="Chapter Hunt"),CHOOSE(ArtifactsInput!$N$27+1,20,24,28,32,36,40),0)/100)))))/Skills!H7,1)))/Inputs!$B$43),G792*Q792)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792*(1-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792*(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792*(1-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792*(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2">
        <f>IF(C792,(H792*N792*IF(AND(Inputs!$B$38&lt;&gt;"pvp",Inputs!$B$43&gt;0),((Skills!G7*((R792-1)*IF(Skills!H7&gt;0,Skills!I7/Skills!H7,1)+IF(Skills!H7&gt;0,MIN(Skills!I7,MAX(0,MAX(0,Inputs!$B$43-B821)-((R792-1)*(IF(Inputs!$B$38="pvp",15,MAX(0.1,Skills!D7-IF(Skills!E7=TRUE,Inputs!$B$32,0)))*(1-IF(AND(ArtifactsInput!$M$27,Inputs!$B$4="Chapter Hunt"),CHOOSE(ArtifactsInput!$N$27+1,20,24,28,32,36,40),0)/100)))))/Skills!H7,1)))/Inputs!$B$43),G792*Q792)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3">
      <c r="A793">
        <f>Skills!A8</f>
        <v/>
      </c>
      <c r="B793">
        <f>Skills!B8</f>
        <v/>
      </c>
      <c r="C793">
        <f>Inputs!$B$3&gt;=117</f>
        <v/>
      </c>
      <c r="D793">
        <f>IF(Skills!C8=1,60+Inputs!$B$25+Inputs!$B$29,IF(Skills!C8=2,90+(Inputs!$B$26+1)+Inputs!$B$29,IF(Skills!C8=3,120+Inputs!$B$27+Inputs!$B$29,MAX(0,(Inputs!$B$3-100)*3)+Inputs!$B$28+Inputs!$B$29)))</f>
        <v/>
      </c>
      <c r="E793">
        <f>INDEX(FactorTable!$B$2:$Y$301, MATCH(ROUND(MIN(300,MAX(1,D793)),0), FactorTable!$A$2:$A$301,0), Skills!M8+1)</f>
        <v/>
      </c>
      <c r="F793">
        <f>IF(Skills!N8=TRUE,(Skills!L8/10)*(E793/1000),Skills!L8/10)+Skills!O8</f>
        <v/>
      </c>
      <c r="G793">
        <f>Skills!G8*IF(Skills!H8&gt;0,Skills!I8/Skills!H8,1)</f>
        <v/>
      </c>
      <c r="H793">
        <f>1-(1-Skills!J8/100)^Skills!K8</f>
        <v/>
      </c>
      <c r="I793" t="inlineStr">
        <is>
          <t>1</t>
        </is>
      </c>
      <c r="J793">
        <f>((Inputs!$B$6*(1+Inputs!$B$7/100))+(((Inputs!$B$12*(1+Inputs!$B$13/100))-(Inputs!$B$12*(1+Inputs!$B$13/100)))+0.25*(Inputs!$B$14-Inputs!$B$14))*(1+Inputs!$B$7/100))*(F793/100)</f>
        <v/>
      </c>
      <c r="K793">
        <f>J793*(1+((Inputs!$B$12*(1+Inputs!$B$13/100))*0.01+Inputs!$B$14*0.0025)/100)*(1+Inputs!$B$15/100)*(1+Inputs!$B$16/100)*(5000/(6000+Inputs!$B$42*(1-(100*(1-(1-(Inputs!$B$19+0)/100)*(1-CHOOSE(ArtifactsInput!$N$40+1,5,6,7,8,9,10)/100)^(ArtifactsInput!$M$40-ArtifactsInput!$M$40)))/100)))*(1+(Inputs!$B$24+((C810=TRUE)*(F810-Calc!F25))+B820)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806=TRUE)*(F806-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808=TRUE)*(F808-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798=TRUE)*F798*IF(Inputs!$B$3&gt;=110,7,5))+((C800=TRUE)*F800*IF(AND(Inputs!$B$38&lt;&gt;"pvp",Inputs!$B$43&gt;0),(((R800-1)*(Skills!T15*(1+(Inputs!$B$34+(ArtifactsInput!$M$7-ArtifactsInput!$M$7)*CHOOSE(ArtifactsInput!$N$7+1,6,7.2,8.4,9.6,10.8,12))/100))+MIN((Skills!T15*(1+(Inputs!$B$34+(ArtifactsInput!$M$7-ArtifactsInput!$M$7)*CHOOSE(ArtifactsInput!$N$7+1,6,7.2,8.4,9.6,10.8,12))/100)),MAX(0,Inputs!$B$43-((R800-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Hunt"),CHOOSE(ArtifactsInput!$N$35+1,15,18,21,24,27,30)*(1-EXP(-(0.2*B816)*5)),0)+IF(AND(ArtifactsInput!$M$22,Inputs!$B$4&lt;&gt;"Chapter Hunt"),CHOOSE(ArtifactsInput!$N$22+1,10,12,14,16,18,20)*((0*(((0.15*B816*5))^0/1)+1*(((0.15*B816*5))^1/1)+2*(((0.15*B816*5))^2/2)+3*(((0.15*B816*5))^3/6)+4*(((0.15*B816*5))^4/24)+5*(((0.15*B816*5))^5/120))/((((0.15*B816*5))^0/1)+(((0.15*B816*5))^1/1)+(((0.15*B816*5))^2/2)+(((0.15*B816*5))^3/6)+(((0.15*B816*5))^4/24)+(((0.15*B816*5))^5/120))),0)))/100)*I793)</f>
        <v/>
      </c>
      <c r="L793">
        <f>K793*(MIN(Inputs!$B$22+((C807=TRUE)*(F807-Calc!F22)),(Inputs!$B$23+((C809=TRUE)*(F809-Calc!F24))+(IF(ArtifactsInput!$M$15,CHOOSE(ArtifactsInput!$N$15+1,25,30,35,40,45,50)/100*(Inputs!$B$11-Inputs!$B$11),0))))/100+(Inputs!$B$23+((C809=TRUE)*(F809-Calc!F24))+(IF(ArtifactsInput!$M$15,CHOOSE(ArtifactsInput!$N$15+1,25,30,35,40,45,50)/100*(Inputs!$B$11-Inputs!$B$11),0)))/100)/2</f>
        <v/>
      </c>
      <c r="M793">
        <f>L793*(1+(Inputs!$B$10+0+B819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3">
        <f>L793*(1-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793*(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3">
        <f>(1-Summary!$B$11)*T793+Summary!$B$11*V793</f>
        <v/>
      </c>
      <c r="P793">
        <f>IF(B824=0,0,O793/B824)</f>
        <v/>
      </c>
      <c r="Q793">
        <f>IFERROR(1/(IF(Inputs!$B$38="pvp",15,MAX(0.1,Skills!D8-IF(Skills!E8=TRUE,Inputs!$B$32,0)))*(1-IF(AND(ArtifactsInput!$M$27,Inputs!$B$4="Chapter Hunt"),CHOOSE(ArtifactsInput!$N$27+1,20,24,28,32,36,40),0)/100)),0)</f>
        <v/>
      </c>
      <c r="R793">
        <f>IF(AND(Inputs!$B$38&lt;&gt;"pvp",Inputs!$B$43&gt;0),IF(MAX(0,Inputs!$B$43-B821)&lt;=0,0,(INT(MAX(0,Inputs!$B$43-B821)/(IF(Inputs!$B$38="pvp",15,MAX(0.1,Skills!D8-IF(Skills!E8=TRUE,Inputs!$B$32,0)))*(1-IF(AND(ArtifactsInput!$M$27,Inputs!$B$4="Chapter Hunt"),CHOOSE(ArtifactsInput!$N$27+1,20,24,28,32,36,40),0)/100)))+1)),0)</f>
        <v/>
      </c>
      <c r="S793">
        <f>IFERROR(O793/N793,0)</f>
        <v/>
      </c>
      <c r="T793">
        <f>IF(C793,(H793*N793*IF(AND(Inputs!$B$38&lt;&gt;"pvp",Inputs!$B$43&gt;0),((Skills!G8*((R793-1)*IF(Skills!H8&gt;0,Skills!I8/Skills!H8,1)+IF(Skills!H8&gt;0,MIN(Skills!I8,MAX(0,MAX(0,Inputs!$B$43-B821)-((R793-1)*(IF(Inputs!$B$38="pvp",15,MAX(0.1,Skills!D8-IF(Skills!E8=TRUE,Inputs!$B$32,0)))*(1-IF(AND(ArtifactsInput!$M$27,Inputs!$B$4="Chapter Hunt"),CHOOSE(ArtifactsInput!$N$27+1,20,24,28,32,36,40),0)/100)))))/Skills!H8,1)))/Inputs!$B$43),G793*Q793)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793*(1-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793*(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793*(1-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793*(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3">
        <f>IF(C793,(H793*N793*IF(AND(Inputs!$B$38&lt;&gt;"pvp",Inputs!$B$43&gt;0),((Skills!G8*((R793-1)*IF(Skills!H8&gt;0,Skills!I8/Skills!H8,1)+IF(Skills!H8&gt;0,MIN(Skills!I8,MAX(0,MAX(0,Inputs!$B$43-B821)-((R793-1)*(IF(Inputs!$B$38="pvp",15,MAX(0.1,Skills!D8-IF(Skills!E8=TRUE,Inputs!$B$32,0)))*(1-IF(AND(ArtifactsInput!$M$27,Inputs!$B$4="Chapter Hunt"),CHOOSE(ArtifactsInput!$N$27+1,20,24,28,32,36,40),0)/100)))))/Skills!H8,1)))/Inputs!$B$43),G793*Q793)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4">
      <c r="A794">
        <f>Skills!A9</f>
        <v/>
      </c>
      <c r="B794">
        <f>Skills!B9</f>
        <v/>
      </c>
      <c r="C794">
        <f>Inputs!$B$3&gt;=69</f>
        <v/>
      </c>
      <c r="D794">
        <f>IF(Skills!C9=1,60+Inputs!$B$25+Inputs!$B$29,IF(Skills!C9=2,90+(Inputs!$B$26+1)+Inputs!$B$29,IF(Skills!C9=3,120+Inputs!$B$27+Inputs!$B$29,MAX(0,(Inputs!$B$3-100)*3)+Inputs!$B$28+Inputs!$B$29)))</f>
        <v/>
      </c>
      <c r="E794">
        <f>INDEX(FactorTable!$B$2:$Y$301, MATCH(ROUND(MIN(300,MAX(1,D794)),0), FactorTable!$A$2:$A$301,0), Skills!M9+1)</f>
        <v/>
      </c>
      <c r="F794">
        <f>IF(Skills!N9=TRUE,(Skills!L9/10)*(E794/1000),Skills!L9/10)+Skills!O9</f>
        <v/>
      </c>
      <c r="G794">
        <f>Skills!G9*IF(Skills!H9&gt;0,Skills!I9/Skills!H9,1)</f>
        <v/>
      </c>
      <c r="H794">
        <f>1-(1-Skills!J9/100)^Skills!K9</f>
        <v/>
      </c>
      <c r="I794" t="inlineStr">
        <is>
          <t>1</t>
        </is>
      </c>
      <c r="J794">
        <f>((Inputs!$B$6*(1+Inputs!$B$7/100))+(((Inputs!$B$12*(1+Inputs!$B$13/100))-(Inputs!$B$12*(1+Inputs!$B$13/100)))+0.25*(Inputs!$B$14-Inputs!$B$14))*(1+Inputs!$B$7/100))*(F794/100)</f>
        <v/>
      </c>
      <c r="K794">
        <f>J794*(1+((Inputs!$B$12*(1+Inputs!$B$13/100))*0.01+Inputs!$B$14*0.0025)/100)*(1+Inputs!$B$15/100)*(1+Inputs!$B$16/100)*(5000/(6000+Inputs!$B$42*(1-(100*(1-(1-(Inputs!$B$19+0)/100)*(1-CHOOSE(ArtifactsInput!$N$40+1,5,6,7,8,9,10)/100)^(ArtifactsInput!$M$40-ArtifactsInput!$M$40)))/100)))*(1+(Inputs!$B$24+((C810=TRUE)*(F810-Calc!F25))+B820)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797=TRUE,F797,0)/100)*(1+IF(Skills!A9="ENHANCED_RAGING_BLOW",IF(Inputs!$B$3&gt;=134,MAX(0,IF(Inputs!$B$3&gt;=110,7,5)-5)*50,0),0)/100)*(1+(IF(Skills!A9="RAGING_BLOW",Inputs!$B$17+((C806=TRUE)*(F806-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808=TRUE)*(F808-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798=TRUE)*F798*IF(Inputs!$B$3&gt;=110,7,5))+((C800=TRUE)*F800*IF(AND(Inputs!$B$38&lt;&gt;"pvp",Inputs!$B$43&gt;0),(((R800-1)*(Skills!T15*(1+(Inputs!$B$34+(ArtifactsInput!$M$7-ArtifactsInput!$M$7)*CHOOSE(ArtifactsInput!$N$7+1,6,7.2,8.4,9.6,10.8,12))/100))+MIN((Skills!T15*(1+(Inputs!$B$34+(ArtifactsInput!$M$7-ArtifactsInput!$M$7)*CHOOSE(ArtifactsInput!$N$7+1,6,7.2,8.4,9.6,10.8,12))/100)),MAX(0,Inputs!$B$43-((R800-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Hunt"),CHOOSE(ArtifactsInput!$N$35+1,15,18,21,24,27,30)*(1-EXP(-(0.2*B816)*5)),0)+IF(AND(ArtifactsInput!$M$22,Inputs!$B$4&lt;&gt;"Chapter Hunt"),CHOOSE(ArtifactsInput!$N$22+1,10,12,14,16,18,20)*((0*(((0.15*B816*5))^0/1)+1*(((0.15*B816*5))^1/1)+2*(((0.15*B816*5))^2/2)+3*(((0.15*B816*5))^3/6)+4*(((0.15*B816*5))^4/24)+5*(((0.15*B816*5))^5/120))/((((0.15*B816*5))^0/1)+(((0.15*B816*5))^1/1)+(((0.15*B816*5))^2/2)+(((0.15*B816*5))^3/6)+(((0.15*B816*5))^4/24)+(((0.15*B816*5))^5/120))),0)))/100)*I794)</f>
        <v/>
      </c>
      <c r="L794">
        <f>K794*(MIN(Inputs!$B$22+((C807=TRUE)*(F807-Calc!F22)),(Inputs!$B$23+((C809=TRUE)*(F809-Calc!F24))+(IF(ArtifactsInput!$M$15,CHOOSE(ArtifactsInput!$N$15+1,25,30,35,40,45,50)/100*(Inputs!$B$11-Inputs!$B$11),0))))/100+(Inputs!$B$23+((C809=TRUE)*(F809-Calc!F24))+(IF(ArtifactsInput!$M$15,CHOOSE(ArtifactsInput!$N$15+1,25,30,35,40,45,50)/100*(Inputs!$B$11-Inputs!$B$11),0)))/100)/2</f>
        <v/>
      </c>
      <c r="M794">
        <f>L794*(1+(Inputs!$B$10+0+B819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4">
        <f>L794*(1-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794*(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4">
        <f>(1-Summary!$B$11)*T794+Summary!$B$11*V794</f>
        <v/>
      </c>
      <c r="P794">
        <f>IF(B824=0,0,O794/B824)</f>
        <v/>
      </c>
      <c r="Q794">
        <f>IFERROR(1/(IF(Inputs!$B$38="pvp",15,MAX(0.1,Skills!D9-IF(Skills!E9=TRUE,Inputs!$B$32,0)))*(1-IF(AND(ArtifactsInput!$M$27,Inputs!$B$4="Chapter Hunt"),CHOOSE(ArtifactsInput!$N$27+1,20,24,28,32,36,40),0)/100)),0)</f>
        <v/>
      </c>
      <c r="R794">
        <f>IF(AND(Inputs!$B$38&lt;&gt;"pvp",Inputs!$B$43&gt;0),IF(MAX(0,Inputs!$B$43-B821)&lt;=0,0,(INT(MAX(0,Inputs!$B$43-B821)/(IF(Inputs!$B$38="pvp",15,MAX(0.1,Skills!D9-IF(Skills!E9=TRUE,Inputs!$B$32,0)))*(1-IF(AND(ArtifactsInput!$M$27,Inputs!$B$4="Chapter Hunt"),CHOOSE(ArtifactsInput!$N$27+1,20,24,28,32,36,40),0)/100)))+1)),0)</f>
        <v/>
      </c>
      <c r="S794">
        <f>IFERROR(O794/N794,0)</f>
        <v/>
      </c>
      <c r="T794">
        <f>IF(C794,(H794*N794*IF(AND(Inputs!$B$38&lt;&gt;"pvp",Inputs!$B$43&gt;0),((Skills!G9*((R794-1)*IF(Skills!H9&gt;0,Skills!I9/Skills!H9,1)+IF(Skills!H9&gt;0,MIN(Skills!I9,MAX(0,MAX(0,Inputs!$B$43-B821)-((R794-1)*(IF(Inputs!$B$38="pvp",15,MAX(0.1,Skills!D9-IF(Skills!E9=TRUE,Inputs!$B$32,0)))*(1-IF(AND(ArtifactsInput!$M$27,Inputs!$B$4="Chapter Hunt"),CHOOSE(ArtifactsInput!$N$27+1,20,24,28,32,36,40),0)/100)))))/Skills!H9,1)))/Inputs!$B$43),G794*Q794)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794*(1-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794*(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794*(1-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794*(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4">
        <f>IF(C794,(H794*N794*IF(AND(Inputs!$B$38&lt;&gt;"pvp",Inputs!$B$43&gt;0),((Skills!G9*((R794-1)*IF(Skills!H9&gt;0,Skills!I9/Skills!H9,1)+IF(Skills!H9&gt;0,MIN(Skills!I9,MAX(0,MAX(0,Inputs!$B$43-B821)-((R794-1)*(IF(Inputs!$B$38="pvp",15,MAX(0.1,Skills!D9-IF(Skills!E9=TRUE,Inputs!$B$32,0)))*(1-IF(AND(ArtifactsInput!$M$27,Inputs!$B$4="Chapter Hunt"),CHOOSE(ArtifactsInput!$N$27+1,20,24,28,32,36,40),0)/100)))))/Skills!H9,1)))/Inputs!$B$43),G794*Q794)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5">
      <c r="A795">
        <f>Skills!A10</f>
        <v/>
      </c>
      <c r="B795">
        <f>Skills!B10</f>
        <v/>
      </c>
      <c r="C795">
        <f>Inputs!$B$3&gt;=63</f>
        <v/>
      </c>
      <c r="D795">
        <f>IF(Skills!C10=1,60+Inputs!$B$25+Inputs!$B$29,IF(Skills!C10=2,90+(Inputs!$B$26+1)+Inputs!$B$29,IF(Skills!C10=3,120+Inputs!$B$27+Inputs!$B$29,MAX(0,(Inputs!$B$3-100)*3)+Inputs!$B$28+Inputs!$B$29)))</f>
        <v/>
      </c>
      <c r="E795">
        <f>INDEX(FactorTable!$B$2:$Y$301, MATCH(ROUND(MIN(300,MAX(1,D795)),0), FactorTable!$A$2:$A$301,0), Skills!M10+1)</f>
        <v/>
      </c>
      <c r="F795">
        <f>IF(Skills!N10=TRUE,(Skills!L10/10)*(E795/1000),Skills!L10/10)+Skills!O10</f>
        <v/>
      </c>
      <c r="G795">
        <f>Skills!G10*IF(Skills!H10&gt;0,Skills!I10/Skills!H10,1)</f>
        <v/>
      </c>
      <c r="H795">
        <f>1-(1-Skills!J10/100)^Skills!K10</f>
        <v/>
      </c>
      <c r="I795" t="inlineStr">
        <is>
          <t>1</t>
        </is>
      </c>
      <c r="J795">
        <f>((Inputs!$B$6*(1+Inputs!$B$7/100))+(((Inputs!$B$12*(1+Inputs!$B$13/100))-(Inputs!$B$12*(1+Inputs!$B$13/100)))+0.25*(Inputs!$B$14-Inputs!$B$14))*(1+Inputs!$B$7/100))*(F795/100)</f>
        <v/>
      </c>
      <c r="K795">
        <f>J795*(1+((Inputs!$B$12*(1+Inputs!$B$13/100))*0.01+Inputs!$B$14*0.0025)/100)*(1+Inputs!$B$15/100)*(1+Inputs!$B$16/100)*(5000/(6000+Inputs!$B$42*(1-(100*(1-(1-(Inputs!$B$19+0)/100)*(1-CHOOSE(ArtifactsInput!$N$40+1,5,6,7,8,9,10)/100)^(ArtifactsInput!$M$40-ArtifactsInput!$M$40)))/100)))*(1+(Inputs!$B$24+((C810=TRUE)*(F810-Calc!F25))+B820)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797=TRUE,F797,0)/100)*(1+IF(Skills!A10="ENHANCED_RAGING_BLOW",IF(Inputs!$B$3&gt;=134,MAX(0,IF(Inputs!$B$3&gt;=110,7,5)-5)*50,0),0)/100)*(1+(IF(Skills!A10="RAGING_BLOW",Inputs!$B$17+((C806=TRUE)*(F806-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808=TRUE)*(F808-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798=TRUE)*F798*IF(Inputs!$B$3&gt;=110,7,5))+((C800=TRUE)*F800*IF(AND(Inputs!$B$38&lt;&gt;"pvp",Inputs!$B$43&gt;0),(((R800-1)*(Skills!T15*(1+(Inputs!$B$34+(ArtifactsInput!$M$7-ArtifactsInput!$M$7)*CHOOSE(ArtifactsInput!$N$7+1,6,7.2,8.4,9.6,10.8,12))/100))+MIN((Skills!T15*(1+(Inputs!$B$34+(ArtifactsInput!$M$7-ArtifactsInput!$M$7)*CHOOSE(ArtifactsInput!$N$7+1,6,7.2,8.4,9.6,10.8,12))/100)),MAX(0,Inputs!$B$43-((R800-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Hunt"),CHOOSE(ArtifactsInput!$N$35+1,15,18,21,24,27,30)*(1-EXP(-(0.2*B816)*5)),0)+IF(AND(ArtifactsInput!$M$22,Inputs!$B$4&lt;&gt;"Chapter Hunt"),CHOOSE(ArtifactsInput!$N$22+1,10,12,14,16,18,20)*((0*(((0.15*B816*5))^0/1)+1*(((0.15*B816*5))^1/1)+2*(((0.15*B816*5))^2/2)+3*(((0.15*B816*5))^3/6)+4*(((0.15*B816*5))^4/24)+5*(((0.15*B816*5))^5/120))/((((0.15*B816*5))^0/1)+(((0.15*B816*5))^1/1)+(((0.15*B816*5))^2/2)+(((0.15*B816*5))^3/6)+(((0.15*B816*5))^4/24)+(((0.15*B816*5))^5/120))),0)))/100)*I795)</f>
        <v/>
      </c>
      <c r="L795">
        <f>K795*(MIN(Inputs!$B$22+((C807=TRUE)*(F807-Calc!F22)),(Inputs!$B$23+((C809=TRUE)*(F809-Calc!F24))+(IF(ArtifactsInput!$M$15,CHOOSE(ArtifactsInput!$N$15+1,25,30,35,40,45,50)/100*(Inputs!$B$11-Inputs!$B$11),0))))/100+(Inputs!$B$23+((C809=TRUE)*(F809-Calc!F24))+(IF(ArtifactsInput!$M$15,CHOOSE(ArtifactsInput!$N$15+1,25,30,35,40,45,50)/100*(Inputs!$B$11-Inputs!$B$11),0)))/100)/2</f>
        <v/>
      </c>
      <c r="M795">
        <f>L795*(1+(Inputs!$B$10+0+B819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5">
        <f>L795*(1-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795*(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5">
        <f>(1-Summary!$B$11)*T795+Summary!$B$11*V795</f>
        <v/>
      </c>
      <c r="P795">
        <f>IF(B824=0,0,O795/B824)</f>
        <v/>
      </c>
      <c r="Q795">
        <f>IFERROR(1/(IF(Inputs!$B$38="pvp",15,MAX(0.1,Skills!D10-IF(Skills!E10=TRUE,Inputs!$B$32,0)))*(1-IF(AND(ArtifactsInput!$M$27,Inputs!$B$4="Chapter Hunt"),CHOOSE(ArtifactsInput!$N$27+1,20,24,28,32,36,40),0)/100)),0)</f>
        <v/>
      </c>
      <c r="R795">
        <f>IF(AND(Inputs!$B$38&lt;&gt;"pvp",Inputs!$B$43&gt;0),IF(MAX(0,Inputs!$B$43-B821)&lt;=0,0,(INT(MAX(0,Inputs!$B$43-B821)/(IF(Inputs!$B$38="pvp",15,MAX(0.1,Skills!D10-IF(Skills!E10=TRUE,Inputs!$B$32,0)))*(1-IF(AND(ArtifactsInput!$M$27,Inputs!$B$4="Chapter Hunt"),CHOOSE(ArtifactsInput!$N$27+1,20,24,28,32,36,40),0)/100)))+1)),0)</f>
        <v/>
      </c>
      <c r="S795">
        <f>IFERROR(O795/N795,0)</f>
        <v/>
      </c>
      <c r="T795">
        <f>IF(C795,(H795*N795*IF(AND(Inputs!$B$38&lt;&gt;"pvp",Inputs!$B$43&gt;0),((Skills!G10*((R795-1)*IF(Skills!H10&gt;0,Skills!I10/Skills!H10,1)+IF(Skills!H10&gt;0,MIN(Skills!I10,MAX(0,MAX(0,Inputs!$B$43-B821)-((R795-1)*(IF(Inputs!$B$38="pvp",15,MAX(0.1,Skills!D10-IF(Skills!E10=TRUE,Inputs!$B$32,0)))*(1-IF(AND(ArtifactsInput!$M$27,Inputs!$B$4="Chapter Hunt"),CHOOSE(ArtifactsInput!$N$27+1,20,24,28,32,36,40),0)/100)))))/Skills!H10,1)))/Inputs!$B$43),G795*Q795)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795*(1-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795*(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795*(1-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795*(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5">
        <f>IF(C795,(H795*N795*IF(AND(Inputs!$B$38&lt;&gt;"pvp",Inputs!$B$43&gt;0),((Skills!G10*((R795-1)*IF(Skills!H10&gt;0,Skills!I10/Skills!H10,1)+IF(Skills!H10&gt;0,MIN(Skills!I10,MAX(0,MAX(0,Inputs!$B$43-B821)-((R795-1)*(IF(Inputs!$B$38="pvp",15,MAX(0.1,Skills!D10-IF(Skills!E10=TRUE,Inputs!$B$32,0)))*(1-IF(AND(ArtifactsInput!$M$27,Inputs!$B$4="Chapter Hunt"),CHOOSE(ArtifactsInput!$N$27+1,20,24,28,32,36,40),0)/100)))))/Skills!H10,1)))/Inputs!$B$43),G795*Q795)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6">
      <c r="A796">
        <f>Skills!A11</f>
        <v/>
      </c>
      <c r="B796">
        <f>Skills!B11</f>
        <v/>
      </c>
      <c r="C796">
        <f>Inputs!$B$3&gt;=35</f>
        <v/>
      </c>
      <c r="D796">
        <f>IF(Skills!C11=1,60+Inputs!$B$25+Inputs!$B$29,IF(Skills!C11=2,90+(Inputs!$B$26+1)+Inputs!$B$29,IF(Skills!C11=3,120+Inputs!$B$27+Inputs!$B$29,MAX(0,(Inputs!$B$3-100)*3)+Inputs!$B$28+Inputs!$B$29)))</f>
        <v/>
      </c>
      <c r="E796">
        <f>INDEX(FactorTable!$B$2:$Y$301, MATCH(ROUND(MIN(300,MAX(1,D796)),0), FactorTable!$A$2:$A$301,0), Skills!M11+1)</f>
        <v/>
      </c>
      <c r="F796">
        <f>IF(Skills!N11=TRUE,(Skills!L11/10)*(E796/1000),Skills!L11/10)+Skills!O11</f>
        <v/>
      </c>
      <c r="G796">
        <f>Skills!G11*IF(Skills!H11&gt;0,Skills!I11/Skills!H11,1)</f>
        <v/>
      </c>
      <c r="H796">
        <f>1-(1-Skills!J11/100)^Skills!K11</f>
        <v/>
      </c>
      <c r="I796" t="inlineStr">
        <is>
          <t>1</t>
        </is>
      </c>
      <c r="J796">
        <f>((Inputs!$B$6*(1+Inputs!$B$7/100))+(((Inputs!$B$12*(1+Inputs!$B$13/100))-(Inputs!$B$12*(1+Inputs!$B$13/100)))+0.25*(Inputs!$B$14-Inputs!$B$14))*(1+Inputs!$B$7/100))*(F796/100)</f>
        <v/>
      </c>
      <c r="K796">
        <f>J796*(1+((Inputs!$B$12*(1+Inputs!$B$13/100))*0.01+Inputs!$B$14*0.0025)/100)*(1+Inputs!$B$15/100)*(1+Inputs!$B$16/100)*(5000/(6000+Inputs!$B$42*(1-(100*(1-(1-(Inputs!$B$19+0)/100)*(1-CHOOSE(ArtifactsInput!$N$40+1,5,6,7,8,9,10)/100)^(ArtifactsInput!$M$40-ArtifactsInput!$M$40)))/100)))*(1+(Inputs!$B$24+((C810=TRUE)*(F810-Calc!F25))+B820)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797=TRUE,F797,0)/100)*(1+IF(Skills!A11="ENHANCED_RAGING_BLOW",IF(Inputs!$B$3&gt;=134,MAX(0,IF(Inputs!$B$3&gt;=110,7,5)-5)*50,0),0)/100)*(1+(IF(Skills!A11="RAGING_BLOW",Inputs!$B$17+((C806=TRUE)*(F806-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808=TRUE)*(F808-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798=TRUE)*F798*IF(Inputs!$B$3&gt;=110,7,5))+((C800=TRUE)*F800*IF(AND(Inputs!$B$38&lt;&gt;"pvp",Inputs!$B$43&gt;0),(((R800-1)*(Skills!T15*(1+(Inputs!$B$34+(ArtifactsInput!$M$7-ArtifactsInput!$M$7)*CHOOSE(ArtifactsInput!$N$7+1,6,7.2,8.4,9.6,10.8,12))/100))+MIN((Skills!T15*(1+(Inputs!$B$34+(ArtifactsInput!$M$7-ArtifactsInput!$M$7)*CHOOSE(ArtifactsInput!$N$7+1,6,7.2,8.4,9.6,10.8,12))/100)),MAX(0,Inputs!$B$43-((R800-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Hunt"),CHOOSE(ArtifactsInput!$N$35+1,15,18,21,24,27,30)*(1-EXP(-(0.2*B816)*5)),0)+IF(AND(ArtifactsInput!$M$22,Inputs!$B$4&lt;&gt;"Chapter Hunt"),CHOOSE(ArtifactsInput!$N$22+1,10,12,14,16,18,20)*((0*(((0.15*B816*5))^0/1)+1*(((0.15*B816*5))^1/1)+2*(((0.15*B816*5))^2/2)+3*(((0.15*B816*5))^3/6)+4*(((0.15*B816*5))^4/24)+5*(((0.15*B816*5))^5/120))/((((0.15*B816*5))^0/1)+(((0.15*B816*5))^1/1)+(((0.15*B816*5))^2/2)+(((0.15*B816*5))^3/6)+(((0.15*B816*5))^4/24)+(((0.15*B816*5))^5/120))),0)))/100)*I796)</f>
        <v/>
      </c>
      <c r="L796">
        <f>K796*(MIN(Inputs!$B$22+((C807=TRUE)*(F807-Calc!F22)),(Inputs!$B$23+((C809=TRUE)*(F809-Calc!F24))+(IF(ArtifactsInput!$M$15,CHOOSE(ArtifactsInput!$N$15+1,25,30,35,40,45,50)/100*(Inputs!$B$11-Inputs!$B$11),0))))/100+(Inputs!$B$23+((C809=TRUE)*(F809-Calc!F24))+(IF(ArtifactsInput!$M$15,CHOOSE(ArtifactsInput!$N$15+1,25,30,35,40,45,50)/100*(Inputs!$B$11-Inputs!$B$11),0)))/100)/2</f>
        <v/>
      </c>
      <c r="M796">
        <f>L796*(1+(Inputs!$B$10+0+B819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6">
        <f>L796*(1-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796*(MIN((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6">
        <f>(1-Summary!$B$11)*T796+Summary!$B$11*V796</f>
        <v/>
      </c>
      <c r="P796">
        <f>IF(B824=0,0,O796/B824)</f>
        <v/>
      </c>
      <c r="Q796">
        <f>IFERROR(1/(IF(Inputs!$B$38="pvp",15,MAX(0.1,Skills!D11-IF(Skills!E11=TRUE,Inputs!$B$32,0)))*(1-IF(AND(ArtifactsInput!$M$27,Inputs!$B$4="Chapter Hunt"),CHOOSE(ArtifactsInput!$N$27+1,20,24,28,32,36,40),0)/100)),0)</f>
        <v/>
      </c>
      <c r="R796">
        <f>IF(AND(Inputs!$B$38&lt;&gt;"pvp",Inputs!$B$43&gt;0),IF(MAX(0,Inputs!$B$43-B821)&lt;=0,0,(INT(MAX(0,Inputs!$B$43-B821)/(IF(Inputs!$B$38="pvp",15,MAX(0.1,Skills!D11-IF(Skills!E11=TRUE,Inputs!$B$32,0)))*(1-IF(AND(ArtifactsInput!$M$27,Inputs!$B$4="Chapter Hunt"),CHOOSE(ArtifactsInput!$N$27+1,20,24,28,32,36,40),0)/100)))+1)),0)</f>
        <v/>
      </c>
      <c r="S796">
        <f>IFERROR(O796/N796,0)</f>
        <v/>
      </c>
      <c r="T796">
        <f>IF(C796,(H796*N796*IF(AND(Inputs!$B$38&lt;&gt;"pvp",Inputs!$B$43&gt;0),((Skills!G11*((R796-1)*IF(Skills!H11&gt;0,Skills!I11/Skills!H11,1)+IF(Skills!H11&gt;0,MIN(Skills!I11,MAX(0,MAX(0,Inputs!$B$43-B821)-((R796-1)*(IF(Inputs!$B$38="pvp",15,MAX(0.1,Skills!D11-IF(Skills!E11=TRUE,Inputs!$B$32,0)))*(1-IF(AND(ArtifactsInput!$M$27,Inputs!$B$4="Chapter Hunt"),CHOOSE(ArtifactsInput!$N$27+1,20,24,28,32,36,40),0)/100)))))/Skills!H11,1)))/Inputs!$B$43),G796*Q796)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796*(1-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796*(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796*(1-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796*(MIN(100,(Inputs!$B$9+((C811=TRUE)*(F811-Calc!F26))+B814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6">
        <f>IF(C796,(H796*N796*IF(AND(Inputs!$B$38&lt;&gt;"pvp",Inputs!$B$43&gt;0),((Skills!G11*((R796-1)*IF(Skills!H11&gt;0,Skills!I11/Skills!H11,1)+IF(Skills!H11&gt;0,MIN(Skills!I11,MAX(0,MAX(0,Inputs!$B$43-B821)-((R796-1)*(IF(Inputs!$B$38="pvp",15,MAX(0.1,Skills!D11-IF(Skills!E11=TRUE,Inputs!$B$32,0)))*(1-IF(AND(ArtifactsInput!$M$27,Inputs!$B$4="Chapter Hunt"),CHOOSE(ArtifactsInput!$N$27+1,20,24,28,32,36,40),0)/100)))))/Skills!H11,1)))/Inputs!$B$43),G796*Q796)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7">
      <c r="A797">
        <f>Skills!A12</f>
        <v/>
      </c>
      <c r="B797">
        <f>Skills!B12</f>
        <v/>
      </c>
      <c r="C797">
        <f>Inputs!$B$3&gt;=100</f>
        <v/>
      </c>
      <c r="D797">
        <f>IF(Skills!C12=1,60+Inputs!$B$25+Inputs!$B$29,IF(Skills!C12=2,90+(Inputs!$B$26+1)+Inputs!$B$29,IF(Skills!C12=3,120+Inputs!$B$27+Inputs!$B$29,MAX(0,(Inputs!$B$3-100)*3)+Inputs!$B$28+Inputs!$B$29)))</f>
        <v/>
      </c>
      <c r="E797">
        <f>INDEX(FactorTable!$B$2:$Y$301, MATCH(ROUND(MIN(300,MAX(1,D797)),0), FactorTable!$A$2:$A$301,0), Skills!M12+1)</f>
        <v/>
      </c>
      <c r="F797">
        <f>IF(Skills!N12=TRUE,(Skills!L12/10)*(E797/1000),Skills!L12/10)+Skills!O12</f>
        <v/>
      </c>
      <c r="G797" t="inlineStr"/>
      <c r="H797" t="inlineStr"/>
      <c r="I797" t="inlineStr">
        <is>
          <t>1</t>
        </is>
      </c>
      <c r="J797" t="inlineStr"/>
      <c r="K797" t="inlineStr"/>
      <c r="L797" t="inlineStr"/>
      <c r="M797" t="inlineStr"/>
      <c r="N797" t="inlineStr"/>
      <c r="O797" t="inlineStr"/>
      <c r="P797" t="inlineStr"/>
      <c r="Q797" t="inlineStr"/>
      <c r="R797" t="inlineStr"/>
      <c r="S797" t="inlineStr"/>
    </row>
    <row r="798">
      <c r="A798">
        <f>Skills!A13</f>
        <v/>
      </c>
      <c r="B798">
        <f>Skills!B13</f>
        <v/>
      </c>
      <c r="C798">
        <f>Inputs!$B$3&gt;=45</f>
        <v/>
      </c>
      <c r="D798">
        <f>IF(Skills!C13=1,60+Inputs!$B$25+Inputs!$B$29,IF(Skills!C13=2,90+(Inputs!$B$26+1)+Inputs!$B$29,IF(Skills!C13=3,120+Inputs!$B$27+Inputs!$B$29,MAX(0,(Inputs!$B$3-100)*3)+Inputs!$B$28+Inputs!$B$29)))</f>
        <v/>
      </c>
      <c r="E798">
        <f>INDEX(FactorTable!$B$2:$Y$301, MATCH(ROUND(MIN(300,MAX(1,D798)),0), FactorTable!$A$2:$A$301,0), Skills!M13+1)</f>
        <v/>
      </c>
      <c r="F798">
        <f>IF(Skills!N13=TRUE,(Skills!L13/10)*(E798/1000),Skills!L13/10)+Skills!O13</f>
        <v/>
      </c>
      <c r="G798">
        <f>Skills!G13*IF(Skills!H13&gt;0,Skills!I13/Skills!H13,1)</f>
        <v/>
      </c>
      <c r="H798">
        <f>1-(1-Skills!J13/100)^Skills!K13</f>
        <v/>
      </c>
      <c r="I798" t="inlineStr">
        <is>
          <t>1</t>
        </is>
      </c>
      <c r="J798" t="inlineStr"/>
      <c r="K798" t="inlineStr"/>
      <c r="L798" t="inlineStr"/>
      <c r="M798" t="inlineStr"/>
      <c r="N798" t="inlineStr"/>
      <c r="O798">
        <f>(1-Summary!$B$11)*T798+Summary!$B$11*V798</f>
        <v/>
      </c>
      <c r="P798">
        <f>IF(B824=0,0,O798/B824)</f>
        <v/>
      </c>
      <c r="Q798" t="n">
        <v>0</v>
      </c>
      <c r="R798" t="n">
        <v>0</v>
      </c>
      <c r="S798">
        <f>IFERROR(O798/N798,0)</f>
        <v/>
      </c>
      <c r="T798" t="n">
        <v>0</v>
      </c>
      <c r="V798" t="n">
        <v>0</v>
      </c>
    </row>
    <row r="799">
      <c r="A799">
        <f>Skills!A14</f>
        <v/>
      </c>
      <c r="B799">
        <f>Skills!B14</f>
        <v/>
      </c>
      <c r="C799">
        <f>Inputs!$B$3&gt;=75</f>
        <v/>
      </c>
      <c r="D799">
        <f>IF(Skills!C14=1,60+Inputs!$B$25+Inputs!$B$29,IF(Skills!C14=2,90+(Inputs!$B$26+1)+Inputs!$B$29,IF(Skills!C14=3,120+Inputs!$B$27+Inputs!$B$29,MAX(0,(Inputs!$B$3-100)*3)+Inputs!$B$28+Inputs!$B$29)))</f>
        <v/>
      </c>
      <c r="E799">
        <f>INDEX(FactorTable!$B$2:$Y$301, MATCH(ROUND(MIN(300,MAX(1,D799)),0), FactorTable!$A$2:$A$301,0), Skills!M14+1)</f>
        <v/>
      </c>
      <c r="F799">
        <f>IF(Skills!N14=TRUE,(Skills!L14/10)*(E799/1000),Skills!L14/10)+Skills!O14</f>
        <v/>
      </c>
      <c r="G799">
        <f>Skills!G14*IF(Skills!H14&gt;0,Skills!I14/Skills!H14,1)</f>
        <v/>
      </c>
      <c r="H799">
        <f>1-(1-Skills!J14/100)^Skills!K14</f>
        <v/>
      </c>
      <c r="I799" t="inlineStr">
        <is>
          <t>1</t>
        </is>
      </c>
      <c r="J799" t="inlineStr"/>
      <c r="K799" t="inlineStr"/>
      <c r="L799" t="inlineStr"/>
      <c r="M799" t="inlineStr"/>
      <c r="N799" t="inlineStr"/>
      <c r="O799">
        <f>(1-Summary!$B$11)*T799+Summary!$B$11*V799</f>
        <v/>
      </c>
      <c r="P799">
        <f>IF(B824=0,0,O799/B824)</f>
        <v/>
      </c>
      <c r="Q799" t="n">
        <v>0</v>
      </c>
      <c r="R799" t="n">
        <v>0</v>
      </c>
      <c r="S799">
        <f>IFERROR(O799/N799,0)</f>
        <v/>
      </c>
      <c r="T799" t="n">
        <v>0</v>
      </c>
      <c r="V799" t="n">
        <v>0</v>
      </c>
    </row>
    <row r="800">
      <c r="A800">
        <f>Skills!A15</f>
        <v/>
      </c>
      <c r="B800">
        <f>Skills!B15</f>
        <v/>
      </c>
      <c r="C800">
        <f>Inputs!$B$3&gt;=40</f>
        <v/>
      </c>
      <c r="D800">
        <f>IF(Skills!C15=1,60+Inputs!$B$25+Inputs!$B$29,IF(Skills!C15=2,90+(Inputs!$B$26+1)+Inputs!$B$29,IF(Skills!C15=3,120+Inputs!$B$27+Inputs!$B$29,MAX(0,(Inputs!$B$3-100)*3)+Inputs!$B$28+Inputs!$B$29)))</f>
        <v/>
      </c>
      <c r="E800">
        <f>INDEX(FactorTable!$B$2:$Y$301, MATCH(ROUND(MIN(300,MAX(1,D800)),0), FactorTable!$A$2:$A$301,0), Skills!M15+1)</f>
        <v/>
      </c>
      <c r="F800">
        <f>IF(Skills!N15=TRUE,(Skills!L15/10)*(E800/1000),Skills!L15/10)+Skills!O15</f>
        <v/>
      </c>
      <c r="G800">
        <f>Skills!G15*IF(Skills!H15&gt;0,Skills!I15/Skills!H15,1)</f>
        <v/>
      </c>
      <c r="H800">
        <f>1-(1-Skills!J15/100)^Skills!K15</f>
        <v/>
      </c>
      <c r="I800" t="inlineStr">
        <is>
          <t>1</t>
        </is>
      </c>
      <c r="J800" t="inlineStr"/>
      <c r="K800" t="inlineStr"/>
      <c r="L800" t="inlineStr"/>
      <c r="M800" t="inlineStr"/>
      <c r="N800" t="inlineStr"/>
      <c r="O800">
        <f>(1-Summary!$B$11)*T800+Summary!$B$11*V800</f>
        <v/>
      </c>
      <c r="P800">
        <f>IF(B824=0,0,O800/B824)</f>
        <v/>
      </c>
      <c r="Q800">
        <f>IFERROR(1/(IF(Inputs!$B$38="pvp",15,MAX(0.1,Skills!D15-IF(Skills!E15=TRUE,Inputs!$B$32,0)))*(1-IF(AND(ArtifactsInput!$M$27,Inputs!$B$4="Chapter Hunt"),CHOOSE(ArtifactsInput!$N$27+1,20,24,28,32,36,40),0)/100)),0)</f>
        <v/>
      </c>
      <c r="R800">
        <f>IF(AND(Inputs!$B$38&lt;&gt;"pvp",Inputs!$B$43&gt;0),IF(Inputs!$B$43&lt;=0,0,(INT(Inputs!$B$43/(IF(Inputs!$B$38="pvp",15,MAX(0.1,Skills!D15-IF(Skills!E15=TRUE,Inputs!$B$32,0)))*(1-IF(AND(ArtifactsInput!$M$27,Inputs!$B$4="Chapter Hunt"),CHOOSE(ArtifactsInput!$N$27+1,20,24,28,32,36,40),0)/100)))+1)),0)</f>
        <v/>
      </c>
      <c r="S800">
        <f>IFERROR(O800/N800,0)</f>
        <v/>
      </c>
      <c r="T800" t="n">
        <v>0</v>
      </c>
      <c r="V800" t="n">
        <v>0</v>
      </c>
    </row>
    <row r="801">
      <c r="A801">
        <f>Skills!A16</f>
        <v/>
      </c>
      <c r="B801">
        <f>Skills!B16</f>
        <v/>
      </c>
      <c r="C801">
        <f>Inputs!$B$3&gt;=66</f>
        <v/>
      </c>
      <c r="D801">
        <f>IF(Skills!C16=1,60+Inputs!$B$25+Inputs!$B$29,IF(Skills!C16=2,90+(Inputs!$B$26+1)+Inputs!$B$29,IF(Skills!C16=3,120+Inputs!$B$27+Inputs!$B$29,MAX(0,(Inputs!$B$3-100)*3)+Inputs!$B$28+Inputs!$B$29)))</f>
        <v/>
      </c>
      <c r="E801">
        <f>INDEX(FactorTable!$B$2:$Y$301, MATCH(ROUND(MIN(300,MAX(1,D801)),0), FactorTable!$A$2:$A$301,0), Skills!M16+1)</f>
        <v/>
      </c>
      <c r="F801">
        <f>IF(Skills!N16=TRUE,(Skills!L16/10)*(E801/1000),Skills!L16/10)+Skills!O16</f>
        <v/>
      </c>
      <c r="G801">
        <f>Skills!G16*IF(Skills!H16&gt;0,Skills!I16/Skills!H16,1)</f>
        <v/>
      </c>
      <c r="H801">
        <f>1-(1-Skills!J16/100)^Skills!K16</f>
        <v/>
      </c>
      <c r="I801" t="inlineStr">
        <is>
          <t>1</t>
        </is>
      </c>
      <c r="J801" t="inlineStr"/>
      <c r="K801" t="inlineStr"/>
      <c r="L801" t="inlineStr"/>
      <c r="M801" t="inlineStr"/>
      <c r="N801" t="inlineStr"/>
      <c r="O801">
        <f>(1-Summary!$B$11)*T801+Summary!$B$11*V801</f>
        <v/>
      </c>
      <c r="P801">
        <f>IF(B824=0,0,O801/B824)</f>
        <v/>
      </c>
      <c r="Q801">
        <f>IFERROR(1/(IF(Inputs!$B$38="pvp",15,MAX(0.1,Skills!D16-IF(Skills!E16=TRUE,Inputs!$B$32,0)))*(1-IF(AND(ArtifactsInput!$M$27,Inputs!$B$4="Chapter Hunt"),CHOOSE(ArtifactsInput!$N$27+1,20,24,28,32,36,40),0)/100)),0)</f>
        <v/>
      </c>
      <c r="R801">
        <f>IF(AND(Inputs!$B$38&lt;&gt;"pvp",Inputs!$B$43&gt;0),IF(Inputs!$B$43&lt;=0,0,(INT(Inputs!$B$43/(IF(Inputs!$B$38="pvp",15,MAX(0.1,Skills!D16-IF(Skills!E16=TRUE,Inputs!$B$32,0)))*(1-IF(AND(ArtifactsInput!$M$27,Inputs!$B$4="Chapter Hunt"),CHOOSE(ArtifactsInput!$N$27+1,20,24,28,32,36,40),0)/100)))+1)),0)</f>
        <v/>
      </c>
      <c r="S801">
        <f>IFERROR(O801/N801,0)</f>
        <v/>
      </c>
      <c r="T801" t="n">
        <v>0</v>
      </c>
      <c r="V801" t="n">
        <v>0</v>
      </c>
    </row>
    <row r="802">
      <c r="A802">
        <f>Skills!A17</f>
        <v/>
      </c>
      <c r="B802">
        <f>Skills!B17</f>
        <v/>
      </c>
      <c r="C802">
        <f>Inputs!$B$3&gt;=115</f>
        <v/>
      </c>
      <c r="D802">
        <f>IF(Skills!C17=1,60+Inputs!$B$25+Inputs!$B$29,IF(Skills!C17=2,90+(Inputs!$B$26+1)+Inputs!$B$29,IF(Skills!C17=3,120+Inputs!$B$27+Inputs!$B$29,MAX(0,(Inputs!$B$3-100)*3)+Inputs!$B$28+Inputs!$B$29)))</f>
        <v/>
      </c>
      <c r="E802">
        <f>INDEX(FactorTable!$B$2:$Y$301, MATCH(ROUND(MIN(300,MAX(1,D802)),0), FactorTable!$A$2:$A$301,0), Skills!M17+1)</f>
        <v/>
      </c>
      <c r="F802">
        <f>IF(Skills!N17=TRUE,(Skills!L17/10)*(E802/1000),Skills!L17/10)+Skills!O17</f>
        <v/>
      </c>
      <c r="G802">
        <f>Skills!G17*IF(Skills!H17&gt;0,Skills!I17/Skills!H17,1)</f>
        <v/>
      </c>
      <c r="H802">
        <f>1-(1-Skills!J17/100)^Skills!K17</f>
        <v/>
      </c>
      <c r="I802" t="inlineStr">
        <is>
          <t>1</t>
        </is>
      </c>
      <c r="J802" t="inlineStr"/>
      <c r="K802" t="inlineStr"/>
      <c r="L802" t="inlineStr"/>
      <c r="M802" t="inlineStr"/>
      <c r="N802" t="inlineStr"/>
      <c r="O802">
        <f>(1-Summary!$B$11)*T802+Summary!$B$11*V802</f>
        <v/>
      </c>
      <c r="P802">
        <f>IF(B824=0,0,O802/B824)</f>
        <v/>
      </c>
      <c r="Q802">
        <f>IFERROR(1/(IF(Inputs!$B$38="pvp",15,MAX(0.1,Skills!D17-IF(Skills!E17=TRUE,Inputs!$B$32,0)))*(1-IF(AND(ArtifactsInput!$M$27,Inputs!$B$4="Chapter Hunt"),CHOOSE(ArtifactsInput!$N$27+1,20,24,28,32,36,40),0)/100)),0)</f>
        <v/>
      </c>
      <c r="R802">
        <f>IF(AND(Inputs!$B$38&lt;&gt;"pvp",Inputs!$B$43&gt;0),IF(Inputs!$B$43&lt;=0,0,(INT(Inputs!$B$43/(IF(Inputs!$B$38="pvp",15,MAX(0.1,Skills!D17-IF(Skills!E17=TRUE,Inputs!$B$32,0)))*(1-IF(AND(ArtifactsInput!$M$27,Inputs!$B$4="Chapter Hunt"),CHOOSE(ArtifactsInput!$N$27+1,20,24,28,32,36,40),0)/100)))+1)),0)</f>
        <v/>
      </c>
      <c r="S802">
        <f>IFERROR(O802/N802,0)</f>
        <v/>
      </c>
      <c r="T802" t="n">
        <v>0</v>
      </c>
      <c r="V802" t="n">
        <v>0</v>
      </c>
    </row>
    <row r="803">
      <c r="A803">
        <f>Skills!A18</f>
        <v/>
      </c>
      <c r="B803">
        <f>Skills!B18</f>
        <v/>
      </c>
      <c r="C803">
        <f>Inputs!$B$3&gt;=115</f>
        <v/>
      </c>
      <c r="D803">
        <f>IF(Skills!C18=1,60+Inputs!$B$25+Inputs!$B$29,IF(Skills!C18=2,90+(Inputs!$B$26+1)+Inputs!$B$29,IF(Skills!C18=3,120+Inputs!$B$27+Inputs!$B$29,MAX(0,(Inputs!$B$3-100)*3)+Inputs!$B$28+Inputs!$B$29)))</f>
        <v/>
      </c>
      <c r="E803">
        <f>INDEX(FactorTable!$B$2:$Y$301, MATCH(ROUND(MIN(300,MAX(1,D803)),0), FactorTable!$A$2:$A$301,0), Skills!M18+1)</f>
        <v/>
      </c>
      <c r="F803">
        <f>IF(Skills!N18=TRUE,(Skills!L18/10)*(E803/1000),Skills!L18/10)+Skills!O18</f>
        <v/>
      </c>
      <c r="G803">
        <f>Skills!G18*IF(Skills!H18&gt;0,Skills!I18/Skills!H18,1)</f>
        <v/>
      </c>
      <c r="H803">
        <f>1-(1-Skills!J18/100)^Skills!K18</f>
        <v/>
      </c>
      <c r="I803" t="inlineStr">
        <is>
          <t>1</t>
        </is>
      </c>
      <c r="J803" t="inlineStr"/>
      <c r="K803" t="inlineStr"/>
      <c r="L803" t="inlineStr"/>
      <c r="M803" t="inlineStr"/>
      <c r="N803" t="inlineStr"/>
      <c r="O803">
        <f>(1-Summary!$B$11)*T803+Summary!$B$11*V803</f>
        <v/>
      </c>
      <c r="P803">
        <f>IF(B824=0,0,O803/B824)</f>
        <v/>
      </c>
      <c r="Q803">
        <f>IFERROR(1/(IF(Inputs!$B$38="pvp",15,MAX(0.1,Skills!D18-IF(Skills!E18=TRUE,Inputs!$B$32,0)))*(1-IF(AND(ArtifactsInput!$M$27,Inputs!$B$4="Chapter Hunt"),CHOOSE(ArtifactsInput!$N$27+1,20,24,28,32,36,40),0)/100)),0)</f>
        <v/>
      </c>
      <c r="R803">
        <f>IF(AND(Inputs!$B$38&lt;&gt;"pvp",Inputs!$B$43&gt;0),IF(Inputs!$B$43&lt;=0,0,(INT(Inputs!$B$43/(IF(Inputs!$B$38="pvp",15,MAX(0.1,Skills!D18-IF(Skills!E18=TRUE,Inputs!$B$32,0)))*(1-IF(AND(ArtifactsInput!$M$27,Inputs!$B$4="Chapter Hunt"),CHOOSE(ArtifactsInput!$N$27+1,20,24,28,32,36,40),0)/100)))+1)),0)</f>
        <v/>
      </c>
      <c r="S803">
        <f>IFERROR(O803/N803,0)</f>
        <v/>
      </c>
      <c r="T803" t="n">
        <v>0</v>
      </c>
      <c r="V803" t="n">
        <v>0</v>
      </c>
    </row>
    <row r="804">
      <c r="A804">
        <f>Skills!A19</f>
        <v/>
      </c>
      <c r="B804">
        <f>Skills!B19</f>
        <v/>
      </c>
      <c r="C804">
        <f>TRUE</f>
        <v/>
      </c>
      <c r="D804">
        <f>IF(Skills!C19=1,60+Inputs!$B$25+Inputs!$B$29,IF(Skills!C19=2,90+(Inputs!$B$26+1)+Inputs!$B$29,IF(Skills!C19=3,120+Inputs!$B$27+Inputs!$B$29,MAX(0,(Inputs!$B$3-100)*3)+Inputs!$B$28+Inputs!$B$29)))</f>
        <v/>
      </c>
      <c r="E804">
        <f>INDEX(FactorTable!$B$2:$Y$301, MATCH(ROUND(MIN(300,MAX(1,D804)),0), FactorTable!$A$2:$A$301,0), Skills!M19+1)</f>
        <v/>
      </c>
      <c r="F804">
        <f>IF(Skills!N19=TRUE,(Skills!L19/10)*(E804/1000),Skills!L19/10)+Skills!O19</f>
        <v/>
      </c>
      <c r="G804">
        <f>Skills!G19*IF(Skills!H19&gt;0,Skills!I19/Skills!H19,1)</f>
        <v/>
      </c>
      <c r="H804">
        <f>1-(1-Skills!J19/100)^Skills!K19</f>
        <v/>
      </c>
      <c r="I804" t="inlineStr">
        <is>
          <t>1</t>
        </is>
      </c>
      <c r="J804" t="inlineStr"/>
      <c r="K804" t="inlineStr"/>
      <c r="L804" t="inlineStr"/>
      <c r="M804" t="inlineStr"/>
      <c r="N804" t="inlineStr"/>
      <c r="O804">
        <f>(1-Summary!$B$11)*T804+Summary!$B$11*V804</f>
        <v/>
      </c>
      <c r="P804">
        <f>IF(B824=0,0,O804/B824)</f>
        <v/>
      </c>
      <c r="Q804">
        <f>IFERROR(1/(IF(Inputs!$B$38="pvp",15,MAX(0.1,Skills!D19-IF(Skills!E19=TRUE,Inputs!$B$32,0)))*(1-IF(AND(ArtifactsInput!$M$27,Inputs!$B$4="Chapter Hunt"),CHOOSE(ArtifactsInput!$N$27+1,20,24,28,32,36,40),0)/100)),0)</f>
        <v/>
      </c>
      <c r="R804">
        <f>IF(AND(Inputs!$B$38&lt;&gt;"pvp",Inputs!$B$43&gt;0),IF(Inputs!$B$43&lt;=0,0,(INT(Inputs!$B$43/(IF(Inputs!$B$38="pvp",15,MAX(0.1,Skills!D19-IF(Skills!E19=TRUE,Inputs!$B$32,0)))*(1-IF(AND(ArtifactsInput!$M$27,Inputs!$B$4="Chapter Hunt"),CHOOSE(ArtifactsInput!$N$27+1,20,24,28,32,36,40),0)/100)))+1)),0)</f>
        <v/>
      </c>
      <c r="S804">
        <f>IFERROR(O804/N804,0)</f>
        <v/>
      </c>
      <c r="T804" t="n">
        <v>0</v>
      </c>
      <c r="V804" t="n">
        <v>0</v>
      </c>
    </row>
    <row r="805">
      <c r="A805">
        <f>Skills!A20</f>
        <v/>
      </c>
      <c r="B805">
        <f>Skills!B20</f>
        <v/>
      </c>
      <c r="C805">
        <f>Inputs!$B$3&gt;=33</f>
        <v/>
      </c>
      <c r="D805">
        <f>IF(Skills!C20=1,60+Inputs!$B$25+Inputs!$B$29,IF(Skills!C20=2,90+(Inputs!$B$26+1)+Inputs!$B$29,IF(Skills!C20=3,120+Inputs!$B$27+Inputs!$B$29,MAX(0,(Inputs!$B$3-100)*3)+Inputs!$B$28+Inputs!$B$29)))</f>
        <v/>
      </c>
      <c r="E805">
        <f>INDEX(FactorTable!$B$2:$Y$301, MATCH(ROUND(MIN(300,MAX(1,D805)),0), FactorTable!$A$2:$A$301,0), Skills!M20+1)</f>
        <v/>
      </c>
      <c r="F805">
        <f>IF(Skills!N20=TRUE,(Skills!L20/10)*(E805/1000),Skills!L20/10)+Skills!O20</f>
        <v/>
      </c>
      <c r="G805">
        <f>Skills!G20*IF(Skills!H20&gt;0,Skills!I20/Skills!H20,1)</f>
        <v/>
      </c>
      <c r="H805">
        <f>1-(1-Skills!J20/100)^Skills!K20</f>
        <v/>
      </c>
      <c r="I805" t="inlineStr">
        <is>
          <t>1</t>
        </is>
      </c>
      <c r="J805" t="inlineStr"/>
      <c r="K805" t="inlineStr"/>
      <c r="L805" t="inlineStr"/>
      <c r="M805" t="inlineStr"/>
      <c r="N805" t="inlineStr"/>
      <c r="O805">
        <f>(1-Summary!$B$11)*T805+Summary!$B$11*V805</f>
        <v/>
      </c>
      <c r="P805">
        <f>IF(B824=0,0,O805/B824)</f>
        <v/>
      </c>
      <c r="Q805" t="n">
        <v>0</v>
      </c>
      <c r="R805" t="n">
        <v>0</v>
      </c>
      <c r="S805">
        <f>IFERROR(O805/N805,0)</f>
        <v/>
      </c>
      <c r="T805" t="n">
        <v>0</v>
      </c>
      <c r="V805" t="n">
        <v>0</v>
      </c>
    </row>
    <row r="806">
      <c r="A806">
        <f>Skills!A21</f>
        <v/>
      </c>
      <c r="B806">
        <f>Skills!B21</f>
        <v/>
      </c>
      <c r="C806">
        <f>Inputs!$B$3&gt;=38</f>
        <v/>
      </c>
      <c r="D806">
        <f>IF(Skills!C21=1,60+Inputs!$B$25+Inputs!$B$29,IF(Skills!C21=2,90+(Inputs!$B$26+1)+Inputs!$B$29,IF(Skills!C21=3,120+Inputs!$B$27+Inputs!$B$29,MAX(0,(Inputs!$B$3-100)*3)+Inputs!$B$28+Inputs!$B$29)))</f>
        <v/>
      </c>
      <c r="E806">
        <f>INDEX(FactorTable!$B$2:$Y$301, MATCH(ROUND(MIN(300,MAX(1,D806)),0), FactorTable!$A$2:$A$301,0), Skills!M21+1)</f>
        <v/>
      </c>
      <c r="F806">
        <f>IF(Skills!N21=TRUE,(Skills!L21/10)*(E806/1000),Skills!L21/10)+Skills!O21</f>
        <v/>
      </c>
      <c r="G806">
        <f>Skills!G21*IF(Skills!H21&gt;0,Skills!I21/Skills!H21,1)</f>
        <v/>
      </c>
      <c r="H806">
        <f>1-(1-Skills!J21/100)^Skills!K21</f>
        <v/>
      </c>
      <c r="I806" t="inlineStr">
        <is>
          <t>1</t>
        </is>
      </c>
      <c r="J806" t="inlineStr"/>
      <c r="K806" t="inlineStr"/>
      <c r="L806" t="inlineStr"/>
      <c r="M806" t="inlineStr"/>
      <c r="N806" t="inlineStr"/>
      <c r="O806">
        <f>(1-Summary!$B$11)*T806+Summary!$B$11*V806</f>
        <v/>
      </c>
      <c r="P806">
        <f>IF(B824=0,0,O806/B824)</f>
        <v/>
      </c>
      <c r="Q806" t="n">
        <v>0</v>
      </c>
      <c r="R806" t="n">
        <v>0</v>
      </c>
      <c r="S806">
        <f>IFERROR(O806/N806,0)</f>
        <v/>
      </c>
      <c r="T806" t="n">
        <v>0</v>
      </c>
      <c r="V806" t="n">
        <v>0</v>
      </c>
    </row>
    <row r="807">
      <c r="A807">
        <f>Skills!A22</f>
        <v/>
      </c>
      <c r="B807">
        <f>Skills!B22</f>
        <v/>
      </c>
      <c r="C807">
        <f>Inputs!$B$3&gt;=43</f>
        <v/>
      </c>
      <c r="D807">
        <f>IF(Skills!C22=1,60+Inputs!$B$25+Inputs!$B$29,IF(Skills!C22=2,90+(Inputs!$B$26+1)+Inputs!$B$29,IF(Skills!C22=3,120+Inputs!$B$27+Inputs!$B$29,MAX(0,(Inputs!$B$3-100)*3)+Inputs!$B$28+Inputs!$B$29)))</f>
        <v/>
      </c>
      <c r="E807">
        <f>INDEX(FactorTable!$B$2:$Y$301, MATCH(ROUND(MIN(300,MAX(1,D807)),0), FactorTable!$A$2:$A$301,0), Skills!M22+1)</f>
        <v/>
      </c>
      <c r="F807">
        <f>IF(Skills!N22=TRUE,(Skills!L22/10)*(E807/1000),Skills!L22/10)+Skills!O22</f>
        <v/>
      </c>
      <c r="G807">
        <f>Skills!G22*IF(Skills!H22&gt;0,Skills!I22/Skills!H22,1)</f>
        <v/>
      </c>
      <c r="H807">
        <f>1-(1-Skills!J22/100)^Skills!K22</f>
        <v/>
      </c>
      <c r="I807" t="inlineStr">
        <is>
          <t>1</t>
        </is>
      </c>
      <c r="J807" t="inlineStr"/>
      <c r="K807" t="inlineStr"/>
      <c r="L807" t="inlineStr"/>
      <c r="M807" t="inlineStr"/>
      <c r="N807" t="inlineStr"/>
      <c r="O807">
        <f>(1-Summary!$B$11)*T807+Summary!$B$11*V807</f>
        <v/>
      </c>
      <c r="P807">
        <f>IF(B824=0,0,O807/B824)</f>
        <v/>
      </c>
      <c r="Q807" t="n">
        <v>0</v>
      </c>
      <c r="R807" t="n">
        <v>0</v>
      </c>
      <c r="S807">
        <f>IFERROR(O807/N807,0)</f>
        <v/>
      </c>
      <c r="T807" t="n">
        <v>0</v>
      </c>
      <c r="V807" t="n">
        <v>0</v>
      </c>
    </row>
    <row r="808">
      <c r="A808">
        <f>Skills!A23</f>
        <v/>
      </c>
      <c r="B808">
        <f>Skills!B23</f>
        <v/>
      </c>
      <c r="C808">
        <f>Inputs!$B$3&gt;=120</f>
        <v/>
      </c>
      <c r="D808">
        <f>IF(Skills!C23=1,60+Inputs!$B$25+Inputs!$B$29,IF(Skills!C23=2,90+(Inputs!$B$26+1)+Inputs!$B$29,IF(Skills!C23=3,120+Inputs!$B$27+Inputs!$B$29,MAX(0,(Inputs!$B$3-100)*3)+Inputs!$B$28+Inputs!$B$29)))</f>
        <v/>
      </c>
      <c r="E808">
        <f>INDEX(FactorTable!$B$2:$Y$301, MATCH(ROUND(MIN(300,MAX(1,D808)),0), FactorTable!$A$2:$A$301,0), Skills!M23+1)</f>
        <v/>
      </c>
      <c r="F808">
        <f>IF(Skills!N23=TRUE,(Skills!L23/10)*(E808/1000),Skills!L23/10)+Skills!O23</f>
        <v/>
      </c>
      <c r="G808">
        <f>Skills!G23*IF(Skills!H23&gt;0,Skills!I23/Skills!H23,1)</f>
        <v/>
      </c>
      <c r="H808">
        <f>1-(1-Skills!J23/100)^Skills!K23</f>
        <v/>
      </c>
      <c r="I808" t="inlineStr">
        <is>
          <t>1</t>
        </is>
      </c>
      <c r="J808" t="inlineStr"/>
      <c r="K808" t="inlineStr"/>
      <c r="L808" t="inlineStr"/>
      <c r="M808" t="inlineStr"/>
      <c r="N808" t="inlineStr"/>
      <c r="O808">
        <f>(1-Summary!$B$11)*T808+Summary!$B$11*V808</f>
        <v/>
      </c>
      <c r="P808">
        <f>IF(B824=0,0,O808/B824)</f>
        <v/>
      </c>
      <c r="Q808" t="n">
        <v>0</v>
      </c>
      <c r="R808" t="n">
        <v>0</v>
      </c>
      <c r="S808">
        <f>IFERROR(O808/N808,0)</f>
        <v/>
      </c>
      <c r="T808" t="n">
        <v>0</v>
      </c>
      <c r="V808" t="n">
        <v>0</v>
      </c>
    </row>
    <row r="809">
      <c r="A809">
        <f>Skills!A24</f>
        <v/>
      </c>
      <c r="B809">
        <f>Skills!B24</f>
        <v/>
      </c>
      <c r="C809">
        <f>Inputs!$B$3&gt;=120</f>
        <v/>
      </c>
      <c r="D809">
        <f>IF(Skills!C24=1,60+Inputs!$B$25+Inputs!$B$29,IF(Skills!C24=2,90+(Inputs!$B$26+1)+Inputs!$B$29,IF(Skills!C24=3,120+Inputs!$B$27+Inputs!$B$29,MAX(0,(Inputs!$B$3-100)*3)+Inputs!$B$28+Inputs!$B$29)))</f>
        <v/>
      </c>
      <c r="E809">
        <f>INDEX(FactorTable!$B$2:$Y$301, MATCH(ROUND(MIN(300,MAX(1,D809)),0), FactorTable!$A$2:$A$301,0), Skills!M24+1)</f>
        <v/>
      </c>
      <c r="F809">
        <f>IF(Skills!N24=TRUE,(Skills!L24/10)*(E809/1000),Skills!L24/10)+Skills!O24</f>
        <v/>
      </c>
      <c r="G809">
        <f>Skills!G24*IF(Skills!H24&gt;0,Skills!I24/Skills!H24,1)</f>
        <v/>
      </c>
      <c r="H809">
        <f>1-(1-Skills!J24/100)^Skills!K24</f>
        <v/>
      </c>
      <c r="I809" t="inlineStr">
        <is>
          <t>1</t>
        </is>
      </c>
      <c r="J809" t="inlineStr"/>
      <c r="K809" t="inlineStr"/>
      <c r="L809" t="inlineStr"/>
      <c r="M809" t="inlineStr"/>
      <c r="N809" t="inlineStr"/>
      <c r="O809">
        <f>(1-Summary!$B$11)*T809+Summary!$B$11*V809</f>
        <v/>
      </c>
      <c r="P809">
        <f>IF(B824=0,0,O809/B824)</f>
        <v/>
      </c>
      <c r="Q809" t="n">
        <v>0</v>
      </c>
      <c r="R809" t="n">
        <v>0</v>
      </c>
      <c r="S809">
        <f>IFERROR(O809/N809,0)</f>
        <v/>
      </c>
      <c r="T809" t="n">
        <v>0</v>
      </c>
      <c r="V809" t="n">
        <v>0</v>
      </c>
    </row>
    <row r="810">
      <c r="A810">
        <f>Skills!A25</f>
        <v/>
      </c>
      <c r="B810">
        <f>Skills!B25</f>
        <v/>
      </c>
      <c r="C810">
        <f>Inputs!$B$3&gt;=125</f>
        <v/>
      </c>
      <c r="D810">
        <f>IF(Skills!C25=1,60+Inputs!$B$25+Inputs!$B$29,IF(Skills!C25=2,90+(Inputs!$B$26+1)+Inputs!$B$29,IF(Skills!C25=3,120+Inputs!$B$27+Inputs!$B$29,MAX(0,(Inputs!$B$3-100)*3)+Inputs!$B$28+Inputs!$B$29)))</f>
        <v/>
      </c>
      <c r="E810">
        <f>INDEX(FactorTable!$B$2:$Y$301, MATCH(ROUND(MIN(300,MAX(1,D810)),0), FactorTable!$A$2:$A$301,0), Skills!M25+1)</f>
        <v/>
      </c>
      <c r="F810">
        <f>IF(Skills!N25=TRUE,(Skills!L25/10)*(E810/1000),Skills!L25/10)+Skills!O25</f>
        <v/>
      </c>
      <c r="G810">
        <f>Skills!G25*IF(Skills!H25&gt;0,Skills!I25/Skills!H25,1)</f>
        <v/>
      </c>
      <c r="H810">
        <f>1-(1-Skills!J25/100)^Skills!K25</f>
        <v/>
      </c>
      <c r="I810" t="inlineStr">
        <is>
          <t>1</t>
        </is>
      </c>
      <c r="J810" t="inlineStr"/>
      <c r="K810" t="inlineStr"/>
      <c r="L810" t="inlineStr"/>
      <c r="M810" t="inlineStr"/>
      <c r="N810" t="inlineStr"/>
      <c r="O810">
        <f>(1-Summary!$B$11)*T810+Summary!$B$11*V810</f>
        <v/>
      </c>
      <c r="P810">
        <f>IF(B824=0,0,O810/B824)</f>
        <v/>
      </c>
      <c r="Q810" t="n">
        <v>0</v>
      </c>
      <c r="R810" t="n">
        <v>0</v>
      </c>
      <c r="S810">
        <f>IFERROR(O810/N810,0)</f>
        <v/>
      </c>
      <c r="T810" t="n">
        <v>0</v>
      </c>
      <c r="V810" t="n">
        <v>0</v>
      </c>
    </row>
    <row r="811">
      <c r="A811">
        <f>Skills!A26</f>
        <v/>
      </c>
      <c r="B811">
        <f>Skills!B26</f>
        <v/>
      </c>
      <c r="C811">
        <f>Inputs!$B$3&gt;=72</f>
        <v/>
      </c>
      <c r="D811">
        <f>IF(Skills!C26=1,60+Inputs!$B$25+Inputs!$B$29,IF(Skills!C26=2,90+(Inputs!$B$26+1)+Inputs!$B$29,IF(Skills!C26=3,120+Inputs!$B$27+Inputs!$B$29,MAX(0,(Inputs!$B$3-100)*3)+Inputs!$B$28+Inputs!$B$29)))</f>
        <v/>
      </c>
      <c r="E811">
        <f>INDEX(FactorTable!$B$2:$Y$301, MATCH(ROUND(MIN(300,MAX(1,D811)),0), FactorTable!$A$2:$A$301,0), Skills!M26+1)</f>
        <v/>
      </c>
      <c r="F811">
        <f>IF(Skills!N26=TRUE,(Skills!L26/10)*(E811/1000),Skills!L26/10)+Skills!O26</f>
        <v/>
      </c>
      <c r="G811">
        <f>Skills!G26*IF(Skills!H26&gt;0,Skills!I26/Skills!H26,1)</f>
        <v/>
      </c>
      <c r="H811">
        <f>1-(1-Skills!J26/100)^Skills!K26</f>
        <v/>
      </c>
      <c r="I811" t="inlineStr">
        <is>
          <t>1</t>
        </is>
      </c>
      <c r="J811" t="inlineStr"/>
      <c r="K811" t="inlineStr"/>
      <c r="L811" t="inlineStr"/>
      <c r="M811" t="inlineStr"/>
      <c r="N811" t="inlineStr"/>
      <c r="O811">
        <f>(1-Summary!$B$11)*T811+Summary!$B$11*V811</f>
        <v/>
      </c>
      <c r="P811">
        <f>IF(B824=0,0,O811/B824)</f>
        <v/>
      </c>
      <c r="Q811" t="n">
        <v>0</v>
      </c>
      <c r="R811" t="n">
        <v>0</v>
      </c>
      <c r="S811">
        <f>IFERROR(O811/N811,0)</f>
        <v/>
      </c>
      <c r="T811" t="n">
        <v>0</v>
      </c>
      <c r="V811" t="n">
        <v>0</v>
      </c>
    </row>
    <row r="813">
      <c r="A813" t="inlineStr">
        <is>
          <t>Attack% Bucket Multiplier</t>
        </is>
      </c>
      <c r="B813">
        <f>(1+(((C798=TRUE)*F798*IF(Inputs!$B$3&gt;=110,7,5))+((C800=TRUE)*F800*IF(AND(Inputs!$B$38&lt;&gt;"pvp",Inputs!$B$43&gt;0),(((R800-1)*(Skills!T15*(1+(Inputs!$B$34+(ArtifactsInput!$M$7-ArtifactsInput!$M$7)*CHOOSE(ArtifactsInput!$N$7+1,6,7.2,8.4,9.6,10.8,12))/100))+MIN((Skills!T15*(1+(Inputs!$B$34+(ArtifactsInput!$M$7-ArtifactsInput!$M$7)*CHOOSE(ArtifactsInput!$N$7+1,6,7.2,8.4,9.6,10.8,12))/100)),MAX(0,Inputs!$B$43-((R800-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14">
      <c r="A814" t="inlineStr">
        <is>
          <t>Global Crit Rate Bonus %</t>
        </is>
      </c>
      <c r="B814" t="n">
        <v>0</v>
      </c>
    </row>
    <row r="815">
      <c r="A815" t="inlineStr">
        <is>
          <t>Attack Speed Buff Bonus %</t>
        </is>
      </c>
      <c r="B815">
        <f>((C804=TRUE)*F804*IF(AND(Inputs!$B$38&lt;&gt;"pvp",Inputs!$B$43&gt;0),(((R804-1)*(Skills!T19*(1+(Inputs!$B$34+(ArtifactsInput!$M$7-ArtifactsInput!$M$7)*CHOOSE(ArtifactsInput!$N$7+1,6,7.2,8.4,9.6,10.8,12))/100))+MIN((Skills!T19*(1+(Inputs!$B$34+(ArtifactsInput!$M$7-ArtifactsInput!$M$7)*CHOOSE(ArtifactsInput!$N$7+1,6,7.2,8.4,9.6,10.8,12))/100)),MAX(0,Inputs!$B$43-((R804-1)*Skills!D19))))/Inputs!$B$43),IF(Inputs!$B$38="pvp",MIN((Skills!T19*(1+(Inputs!$B$34+(ArtifactsInput!$M$7-ArtifactsInput!$M$7)*CHOOSE(ArtifactsInput!$N$7+1,6,7.2,8.4,9.6,10.8,12))/100)),15)/15,(Skills!T19*(1+(Inputs!$B$34+(ArtifactsInput!$M$7-ArtifactsInput!$M$7)*CHOOSE(ArtifactsInput!$N$7+1,6,7.2,8.4,9.6,10.8,12))/100))/Skills!D19)))</f>
        <v/>
      </c>
    </row>
    <row r="816">
      <c r="A816" t="inlineStr">
        <is>
          <t>Actions Per Second</t>
        </is>
      </c>
      <c r="B816">
        <f>1+MIN(150,150*(1-(1-(Inputs!$B$11+((C805=TRUE)*(F805-Calc!F20)))/150)*(1-B815/150)))/100</f>
        <v/>
      </c>
    </row>
    <row r="817">
      <c r="A817" t="inlineStr">
        <is>
          <t>Skill + Buff Cast Rate</t>
        </is>
      </c>
      <c r="B817">
        <f>IF(AND(Inputs!$B$38&lt;&gt;"pvp",Inputs!$B$43&gt;0),SUMPRODUCT((Skills!E2:E26=TRUE)*(C787:C811=TRUE)*R787:R811*Skills!F2:F26)/Inputs!$B$43,SUMPRODUCT((Skills!E2:E26=TRUE)*(C787:C811=TRUE)*Q787:Q811*Skills!F2:F26))</f>
        <v/>
      </c>
    </row>
    <row r="818">
      <c r="A818" t="inlineStr">
        <is>
          <t>Raging Blow Casts Per Second</t>
        </is>
      </c>
      <c r="B818">
        <f>MAX(0,B816-B817)</f>
        <v/>
      </c>
    </row>
    <row r="819">
      <c r="A819" t="inlineStr">
        <is>
          <t>Global Critical Damage Bonus % (Enrage)</t>
        </is>
      </c>
      <c r="B819">
        <f>((C803=TRUE)*F803*IF(AND(Inputs!$B$38&lt;&gt;"pvp",Inputs!$B$43&gt;0),(((R803-1)*(Skills!T18*(1+(Inputs!$B$34+(ArtifactsInput!$M$7-ArtifactsInput!$M$7)*CHOOSE(ArtifactsInput!$N$7+1,6,7.2,8.4,9.6,10.8,12))/100))+MIN((Skills!T18*(1+(Inputs!$B$34+(ArtifactsInput!$M$7-ArtifactsInput!$M$7)*CHOOSE(ArtifactsInput!$N$7+1,6,7.2,8.4,9.6,10.8,12))/100)),MAX(0,Inputs!$B$43-((R803-1)*Skills!D18))))/Inputs!$B$43),IF(Inputs!$B$38="pvp",MIN((Skills!T18*(1+(Inputs!$B$34+(ArtifactsInput!$M$7-ArtifactsInput!$M$7)*CHOOSE(ArtifactsInput!$N$7+1,6,7.2,8.4,9.6,10.8,12))/100)),15)/15,(Skills!T18*(1+(Inputs!$B$34+(ArtifactsInput!$M$7-ArtifactsInput!$M$7)*CHOOSE(ArtifactsInput!$N$7+1,6,7.2,8.4,9.6,10.8,12))/100))/Skills!D18)))</f>
        <v/>
      </c>
    </row>
    <row r="820">
      <c r="A820" t="inlineStr">
        <is>
          <t>Global Final Damage Bonus % (Enrage + Combo Synergy)</t>
        </is>
      </c>
      <c r="B820">
        <f>((C802=TRUE)*F802*IF(AND(Inputs!$B$38&lt;&gt;"pvp",Inputs!$B$43&gt;0),(((R802-1)*(Skills!T17*(1+(Inputs!$B$34+(ArtifactsInput!$M$7-ArtifactsInput!$M$7)*CHOOSE(ArtifactsInput!$N$7+1,6,7.2,8.4,9.6,10.8,12))/100))+MIN((Skills!T17*(1+(Inputs!$B$34+(ArtifactsInput!$M$7-ArtifactsInput!$M$7)*CHOOSE(ArtifactsInput!$N$7+1,6,7.2,8.4,9.6,10.8,12))/100)),MAX(0,Inputs!$B$43-((R802-1)*Skills!D17))))/Inputs!$B$43),IF(Inputs!$B$38="pvp",MIN((Skills!T17*(1+(Inputs!$B$34+(ArtifactsInput!$M$7-ArtifactsInput!$M$7)*CHOOSE(ArtifactsInput!$N$7+1,6,7.2,8.4,9.6,10.8,12))/100)),15)/15,(Skills!T17*(1+(Inputs!$B$34+(ArtifactsInput!$M$7-ArtifactsInput!$M$7)*CHOOSE(ArtifactsInput!$N$7+1,6,7.2,8.4,9.6,10.8,12))/100))/Skills!D17)))+((C799=TRUE)*F799*IF(Inputs!$B$3&gt;=110,7,5))</f>
        <v/>
      </c>
    </row>
    <row r="821">
      <c r="A821" t="inlineStr">
        <is>
          <t>Buff-Casting Startup Delay (s, fixed-duration only)</t>
        </is>
      </c>
      <c r="B821">
        <f>IF(AND(Inputs!$B$38&lt;&gt;"pvp",Inputs!$B$43&gt;0),SUMPRODUCT((Skills!T2:T26&gt;0)*(Skills!E2:E26=TRUE)*(C787:C811=TRUE))/B816,0)</f>
        <v/>
      </c>
    </row>
    <row r="822">
      <c r="A822" t="inlineStr">
        <is>
          <t>Boss-Only Total DPS (this block's swept value)</t>
        </is>
      </c>
      <c r="B822">
        <f>SUM(T787:T811)</f>
        <v/>
      </c>
    </row>
    <row r="823">
      <c r="A823" t="inlineStr">
        <is>
          <t>Normal-Only Total DPS (this block's swept value)</t>
        </is>
      </c>
      <c r="B823">
        <f>SUM(V787:V811)</f>
        <v/>
      </c>
    </row>
    <row r="824">
      <c r="A824" s="6" t="inlineStr">
        <is>
          <t>TOTAL DPS</t>
        </is>
      </c>
      <c r="B824" s="6">
        <f>SUM(O787:O811)</f>
        <v/>
      </c>
    </row>
    <row r="827">
      <c r="A827" s="6" t="inlineStr">
        <is>
          <t>Stat: Skill Level Bonus — 3rd Job</t>
        </is>
      </c>
    </row>
    <row r="828">
      <c r="A828" s="5" t="inlineStr">
        <is>
          <t>Key</t>
        </is>
      </c>
      <c r="B828" s="5" t="inlineStr">
        <is>
          <t>Name</t>
        </is>
      </c>
      <c r="C828" s="5" t="inlineStr">
        <is>
          <t>Unlocked</t>
        </is>
      </c>
      <c r="D828" s="5" t="inlineStr">
        <is>
          <t>InputLevel</t>
        </is>
      </c>
      <c r="E828" s="5" t="inlineStr">
        <is>
          <t>Factor</t>
        </is>
      </c>
      <c r="F828" s="5" t="inlineStr">
        <is>
          <t>CoefficientPercent</t>
        </is>
      </c>
      <c r="G828" s="5" t="inlineStr">
        <is>
          <t>EffectiveHits</t>
        </is>
      </c>
      <c r="H828" s="5" t="inlineStr">
        <is>
          <t>ProcProbability</t>
        </is>
      </c>
      <c r="I828" s="5" t="inlineStr">
        <is>
          <t>MapleHeroMultiplier</t>
        </is>
      </c>
      <c r="J828" s="5" t="inlineStr">
        <is>
          <t>BaseDamage</t>
        </is>
      </c>
      <c r="K828" s="5" t="inlineStr">
        <is>
          <t>BaseHitDamage</t>
        </is>
      </c>
      <c r="L828" s="5" t="inlineStr">
        <is>
          <t>NonCritAvg</t>
        </is>
      </c>
      <c r="M828" s="5" t="inlineStr">
        <is>
          <t>CritAvg</t>
        </is>
      </c>
      <c r="N828" s="5" t="inlineStr">
        <is>
          <t>ExpectedDamage(perHit)</t>
        </is>
      </c>
      <c r="O828" s="5" t="inlineStr">
        <is>
          <t>DPS</t>
        </is>
      </c>
      <c r="P828" s="5" t="inlineStr">
        <is>
          <t>% of Total</t>
        </is>
      </c>
      <c r="Q828" s="5" t="inlineStr">
        <is>
          <t>InvCooldown</t>
        </is>
      </c>
      <c r="R828" s="5" t="inlineStr">
        <is>
          <t>CastsInFight</t>
        </is>
      </c>
      <c r="S828" s="5" t="inlineStr">
        <is>
          <t>HitRate(perSec)</t>
        </is>
      </c>
      <c r="U828" t="inlineStr">
        <is>
          <t>helpers</t>
        </is>
      </c>
    </row>
    <row r="829">
      <c r="A829">
        <f>Skills!A2</f>
        <v/>
      </c>
      <c r="B829">
        <f>Skills!B2</f>
        <v/>
      </c>
      <c r="C829">
        <f>Inputs!$B$3&gt;=100</f>
        <v/>
      </c>
      <c r="D829" t="inlineStr"/>
      <c r="E829" t="inlineStr"/>
      <c r="F829">
        <f>U831+Skills!O2</f>
        <v/>
      </c>
      <c r="G829">
        <f>Skills!G2*IF(Skills!H2&gt;0,Skills!I2/Skills!H2,1)</f>
        <v/>
      </c>
      <c r="H829">
        <f>1-(1-Skills!J2/100)^Skills!K2</f>
        <v/>
      </c>
      <c r="I829" t="inlineStr">
        <is>
          <t>1</t>
        </is>
      </c>
      <c r="J829">
        <f>((Inputs!$B$6*(1+Inputs!$B$7/100))+(((Inputs!$B$12*(1+Inputs!$B$13/100))-(Inputs!$B$12*(1+Inputs!$B$13/100)))+0.25*(Inputs!$B$14-Inputs!$B$14))*(1+Inputs!$B$7/100))*(F829/100)</f>
        <v/>
      </c>
      <c r="K829">
        <f>J829*(1+((Inputs!$B$12*(1+Inputs!$B$13/100))*0.01+Inputs!$B$14*0.0025)/100)*(1+Inputs!$B$15/100)*(1+Inputs!$B$16/100)*(5000/(6000+Inputs!$B$42*(1-(100*(1-(1-(Inputs!$B$19+0)/100)*(1-CHOOSE(ArtifactsInput!$N$40+1,5,6,7,8,9,10)/100)^(ArtifactsInput!$M$40-ArtifactsInput!$M$40)))/100)))*(1+(Inputs!$B$24+((C852=TRUE)*(F852-Calc!F25))+B862)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848=TRUE)*(F848-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850=TRUE)*(F850-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840=TRUE)*F840*IF(Inputs!$B$3&gt;=110,7,5))+((C842=TRUE)*F842*IF(AND(Inputs!$B$38&lt;&gt;"pvp",Inputs!$B$43&gt;0),(((R842-1)*(Skills!T15*(1+(Inputs!$B$34+(ArtifactsInput!$M$7-ArtifactsInput!$M$7)*CHOOSE(ArtifactsInput!$N$7+1,6,7.2,8.4,9.6,10.8,12))/100))+MIN((Skills!T15*(1+(Inputs!$B$34+(ArtifactsInput!$M$7-ArtifactsInput!$M$7)*CHOOSE(ArtifactsInput!$N$7+1,6,7.2,8.4,9.6,10.8,12))/100)),MAX(0,Inputs!$B$43-((R842-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Hunt"),CHOOSE(ArtifactsInput!$N$35+1,15,18,21,24,27,30)*(1-EXP(-(0.2*B858)*5)),0)+IF(AND(ArtifactsInput!$M$22,Inputs!$B$4&lt;&gt;"Chapter Hunt"),CHOOSE(ArtifactsInput!$N$22+1,10,12,14,16,18,20)*((0*(((0.15*B858*5))^0/1)+1*(((0.15*B858*5))^1/1)+2*(((0.15*B858*5))^2/2)+3*(((0.15*B858*5))^3/6)+4*(((0.15*B858*5))^4/24)+5*(((0.15*B858*5))^5/120))/((((0.15*B858*5))^0/1)+(((0.15*B858*5))^1/1)+(((0.15*B858*5))^2/2)+(((0.15*B858*5))^3/6)+(((0.15*B858*5))^4/24)+(((0.15*B858*5))^5/120))),0)))/100)*I829)</f>
        <v/>
      </c>
      <c r="L829">
        <f>K829*(MIN(Inputs!$B$22+((C849=TRUE)*(F849-Calc!F22)),(Inputs!$B$23+((C851=TRUE)*(F851-Calc!F24))+(IF(ArtifactsInput!$M$15,CHOOSE(ArtifactsInput!$N$15+1,25,30,35,40,45,50)/100*(Inputs!$B$11-Inputs!$B$11),0))))/100+(Inputs!$B$23+((C851=TRUE)*(F851-Calc!F24))+(IF(ArtifactsInput!$M$15,CHOOSE(ArtifactsInput!$N$15+1,25,30,35,40,45,50)/100*(Inputs!$B$11-Inputs!$B$11),0)))/100)/2</f>
        <v/>
      </c>
      <c r="M829">
        <f>L829*(1+(Inputs!$B$10+0+B861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9">
        <f>L829*(1-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829*(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9">
        <f>(1-Summary!$B$11)*T829+Summary!$B$11*V829</f>
        <v/>
      </c>
      <c r="P829">
        <f>IF(B866=0,0,O829/B866)</f>
        <v/>
      </c>
      <c r="Q829" t="n">
        <v>0</v>
      </c>
      <c r="R829" t="n">
        <v>0</v>
      </c>
      <c r="S829">
        <f>IFERROR(O829/N829,0)</f>
        <v/>
      </c>
      <c r="T829">
        <f>IF(C829,(Skills!G2*N829*B860)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829*(1-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829*(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829*(1-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829*(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29">
        <f>MAX(0,(Inputs!$B$3-100)*3)+Inputs!$B$28+Inputs!$B$29</f>
        <v/>
      </c>
      <c r="V829">
        <f>IF(C829,(Skills!G2*N829*B860)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0">
      <c r="A830">
        <f>Skills!A3</f>
        <v/>
      </c>
      <c r="B830">
        <f>Skills!B3</f>
        <v/>
      </c>
      <c r="C830">
        <f>Inputs!$B$3&gt;=50</f>
        <v/>
      </c>
      <c r="D830">
        <f>IF(Skills!C3=1,60+Inputs!$B$25+Inputs!$B$29,IF(Skills!C3=2,90+Inputs!$B$26+Inputs!$B$29,IF(Skills!C3=3,120+(Inputs!$B$27+1)+Inputs!$B$29,MAX(0,(Inputs!$B$3-100)*3)+Inputs!$B$28+Inputs!$B$29)))</f>
        <v/>
      </c>
      <c r="E830">
        <f>INDEX(FactorTable!$B$2:$Y$301, MATCH(ROUND(MIN(300,MAX(1,D830)),0), FactorTable!$A$2:$A$301,0), Skills!M3+1)</f>
        <v/>
      </c>
      <c r="F830">
        <f>IF(Skills!N3=TRUE,(Skills!L3/10)*(E830/1000),Skills!L3/10)+Skills!O3</f>
        <v/>
      </c>
      <c r="G830" t="inlineStr"/>
      <c r="H830" t="inlineStr"/>
      <c r="I830" t="inlineStr">
        <is>
          <t>1</t>
        </is>
      </c>
      <c r="J830" t="inlineStr"/>
      <c r="K830" t="inlineStr"/>
      <c r="L830" t="inlineStr"/>
      <c r="M830" t="inlineStr"/>
      <c r="N830" t="inlineStr"/>
      <c r="O830" t="inlineStr"/>
      <c r="P830" t="inlineStr"/>
      <c r="Q830" t="inlineStr"/>
      <c r="R830" t="inlineStr"/>
      <c r="S830" t="inlineStr"/>
      <c r="U830">
        <f>INDEX(FactorTable!$B$2:$Y$301, MATCH(ROUND(MIN(300,MAX(1,U829)),0), FactorTable!$A$2:$A$301,0), 22)</f>
        <v/>
      </c>
    </row>
    <row r="831">
      <c r="A831">
        <f>Skills!A4</f>
        <v/>
      </c>
      <c r="B831">
        <f>Skills!B4</f>
        <v/>
      </c>
      <c r="C831">
        <f>Inputs!$B$3&gt;=105</f>
        <v/>
      </c>
      <c r="D831">
        <f>IF(Skills!C4=1,60+Inputs!$B$25+Inputs!$B$29,IF(Skills!C4=2,90+Inputs!$B$26+Inputs!$B$29,IF(Skills!C4=3,120+(Inputs!$B$27+1)+Inputs!$B$29,MAX(0,(Inputs!$B$3-100)*3)+Inputs!$B$28+Inputs!$B$29)))</f>
        <v/>
      </c>
      <c r="E831">
        <f>INDEX(FactorTable!$B$2:$Y$301, MATCH(ROUND(MIN(300,MAX(1,D831)),0), FactorTable!$A$2:$A$301,0), Skills!M4+1)</f>
        <v/>
      </c>
      <c r="F831">
        <f>IF(Skills!N4=TRUE,(Skills!L4/10)*(E831/1000),Skills!L4/10)+Skills!O4</f>
        <v/>
      </c>
      <c r="G831" t="inlineStr"/>
      <c r="H831" t="inlineStr"/>
      <c r="I831" t="inlineStr">
        <is>
          <t>1</t>
        </is>
      </c>
      <c r="J831" t="inlineStr"/>
      <c r="K831" t="inlineStr"/>
      <c r="L831" t="inlineStr"/>
      <c r="M831" t="inlineStr"/>
      <c r="N831" t="inlineStr"/>
      <c r="O831" t="inlineStr"/>
      <c r="P831" t="inlineStr"/>
      <c r="Q831" t="inlineStr"/>
      <c r="R831" t="inlineStr"/>
      <c r="S831" t="inlineStr"/>
      <c r="U831">
        <f>290*U830/1000</f>
        <v/>
      </c>
    </row>
    <row r="832">
      <c r="A832">
        <f>Skills!A5</f>
        <v/>
      </c>
      <c r="B832">
        <f>Skills!B5</f>
        <v/>
      </c>
      <c r="C832">
        <f>Inputs!$B$3&gt;=103</f>
        <v/>
      </c>
      <c r="D832">
        <f>IF(Skills!C5=1,60+Inputs!$B$25+Inputs!$B$29,IF(Skills!C5=2,90+Inputs!$B$26+Inputs!$B$29,IF(Skills!C5=3,120+(Inputs!$B$27+1)+Inputs!$B$29,MAX(0,(Inputs!$B$3-100)*3)+Inputs!$B$28+Inputs!$B$29)))</f>
        <v/>
      </c>
      <c r="E832">
        <f>INDEX(FactorTable!$B$2:$Y$301, MATCH(ROUND(MIN(300,MAX(1,D832)),0), FactorTable!$A$2:$A$301,0), Skills!M5+1)</f>
        <v/>
      </c>
      <c r="F832">
        <f>IF(Skills!N5=TRUE,(Skills!L5/10)*(E832/1000),Skills!L5/10)+Skills!O5</f>
        <v/>
      </c>
      <c r="G832">
        <f>Skills!G5*IF(Skills!H5&gt;0,Skills!I5/Skills!H5,1)</f>
        <v/>
      </c>
      <c r="H832">
        <f>1-(1-Skills!J5/100)^Skills!K5</f>
        <v/>
      </c>
      <c r="I832" t="inlineStr">
        <is>
          <t>1</t>
        </is>
      </c>
      <c r="J832">
        <f>((Inputs!$B$6*(1+Inputs!$B$7/100))+(((Inputs!$B$12*(1+Inputs!$B$13/100))-(Inputs!$B$12*(1+Inputs!$B$13/100)))+0.25*(Inputs!$B$14-Inputs!$B$14))*(1+Inputs!$B$7/100))*(F832/100)</f>
        <v/>
      </c>
      <c r="K832">
        <f>J832*(1+((Inputs!$B$12*(1+Inputs!$B$13/100))*0.01+Inputs!$B$14*0.0025)/100)*(1+Inputs!$B$15/100)*(1+Inputs!$B$16/100)*(5000/(6000+Inputs!$B$42*(1-(100*(1-(1-(Inputs!$B$19+0)/100)*(1-CHOOSE(ArtifactsInput!$N$40+1,5,6,7,8,9,10)/100)^(ArtifactsInput!$M$40-ArtifactsInput!$M$40)))/100)))*(1+(Inputs!$B$24+((C852=TRUE)*(F852-Calc!F25))+B862)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848=TRUE)*(F848-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850=TRUE)*(F850-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840=TRUE)*F840*IF(Inputs!$B$3&gt;=110,7,5))+((C842=TRUE)*F842*IF(AND(Inputs!$B$38&lt;&gt;"pvp",Inputs!$B$43&gt;0),(((R842-1)*(Skills!T15*(1+(Inputs!$B$34+(ArtifactsInput!$M$7-ArtifactsInput!$M$7)*CHOOSE(ArtifactsInput!$N$7+1,6,7.2,8.4,9.6,10.8,12))/100))+MIN((Skills!T15*(1+(Inputs!$B$34+(ArtifactsInput!$M$7-ArtifactsInput!$M$7)*CHOOSE(ArtifactsInput!$N$7+1,6,7.2,8.4,9.6,10.8,12))/100)),MAX(0,Inputs!$B$43-((R842-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Hunt"),CHOOSE(ArtifactsInput!$N$35+1,15,18,21,24,27,30)*(1-EXP(-(0.2*B858)*5)),0)+IF(AND(ArtifactsInput!$M$22,Inputs!$B$4&lt;&gt;"Chapter Hunt"),CHOOSE(ArtifactsInput!$N$22+1,10,12,14,16,18,20)*((0*(((0.15*B858*5))^0/1)+1*(((0.15*B858*5))^1/1)+2*(((0.15*B858*5))^2/2)+3*(((0.15*B858*5))^3/6)+4*(((0.15*B858*5))^4/24)+5*(((0.15*B858*5))^5/120))/((((0.15*B858*5))^0/1)+(((0.15*B858*5))^1/1)+(((0.15*B858*5))^2/2)+(((0.15*B858*5))^3/6)+(((0.15*B858*5))^4/24)+(((0.15*B858*5))^5/120))),0)))/100)*I832)</f>
        <v/>
      </c>
      <c r="L832">
        <f>K832*(MIN(Inputs!$B$22+((C849=TRUE)*(F849-Calc!F22)),(Inputs!$B$23+((C851=TRUE)*(F851-Calc!F24))+(IF(ArtifactsInput!$M$15,CHOOSE(ArtifactsInput!$N$15+1,25,30,35,40,45,50)/100*(Inputs!$B$11-Inputs!$B$11),0))))/100+(Inputs!$B$23+((C851=TRUE)*(F851-Calc!F24))+(IF(ArtifactsInput!$M$15,CHOOSE(ArtifactsInput!$N$15+1,25,30,35,40,45,50)/100*(Inputs!$B$11-Inputs!$B$11),0)))/100)/2</f>
        <v/>
      </c>
      <c r="M832">
        <f>L832*(1+(Inputs!$B$10+0+B861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2">
        <f>L832*(1-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832*(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2">
        <f>(1-Summary!$B$11)*T832+Summary!$B$11*V832</f>
        <v/>
      </c>
      <c r="P832">
        <f>IF(B866=0,0,O832/B866)</f>
        <v/>
      </c>
      <c r="Q832">
        <f>IFERROR(1/(IF(Inputs!$B$38="pvp",15,MAX(0.1,Skills!D5-IF(Skills!E5=TRUE,Inputs!$B$32,0)))*(1-IF(AND(ArtifactsInput!$M$27,Inputs!$B$4="Chapter Hunt"),CHOOSE(ArtifactsInput!$N$27+1,20,24,28,32,36,40),0)/100)),0)</f>
        <v/>
      </c>
      <c r="R832">
        <f>IF(AND(Inputs!$B$38&lt;&gt;"pvp",Inputs!$B$43&gt;0),IF(MAX(0,Inputs!$B$43-B863)&lt;=0,0,(INT(MAX(0,Inputs!$B$43-B863)/(IF(Inputs!$B$38="pvp",15,MAX(0.1,Skills!D5-IF(Skills!E5=TRUE,Inputs!$B$32,0)))*(1-IF(AND(ArtifactsInput!$M$27,Inputs!$B$4="Chapter Hunt"),CHOOSE(ArtifactsInput!$N$27+1,20,24,28,32,36,40),0)/100)))+1)),0)</f>
        <v/>
      </c>
      <c r="S832">
        <f>IFERROR(O832/N832,0)</f>
        <v/>
      </c>
      <c r="T832">
        <f>IF(C832,(H832*N832*IF(AND(Inputs!$B$38&lt;&gt;"pvp",Inputs!$B$43&gt;0),((Skills!G5*((R832-1)*IF(Skills!H5&gt;0,Skills!I5/Skills!H5,1)+IF(Skills!H5&gt;0,MIN(Skills!I5,MAX(0,MAX(0,Inputs!$B$43-B863)-((R832-1)*(IF(Inputs!$B$38="pvp",15,MAX(0.1,Skills!D5-IF(Skills!E5=TRUE,Inputs!$B$32,0)))*(1-IF(AND(ArtifactsInput!$M$27,Inputs!$B$4="Chapter Hunt"),CHOOSE(ArtifactsInput!$N$27+1,20,24,28,32,36,40),0)/100)))))/Skills!H5,1)))/Inputs!$B$43),G832*Q832)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832*(1-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832*(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832*(1-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832*(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2">
        <f>IF(C832,(H832*N832*IF(AND(Inputs!$B$38&lt;&gt;"pvp",Inputs!$B$43&gt;0),((Skills!G5*((R832-1)*IF(Skills!H5&gt;0,Skills!I5/Skills!H5,1)+IF(Skills!H5&gt;0,MIN(Skills!I5,MAX(0,MAX(0,Inputs!$B$43-B863)-((R832-1)*(IF(Inputs!$B$38="pvp",15,MAX(0.1,Skills!D5-IF(Skills!E5=TRUE,Inputs!$B$32,0)))*(1-IF(AND(ArtifactsInput!$M$27,Inputs!$B$4="Chapter Hunt"),CHOOSE(ArtifactsInput!$N$27+1,20,24,28,32,36,40),0)/100)))))/Skills!H5,1)))/Inputs!$B$43),G832*Q832)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3">
      <c r="A833">
        <f>Skills!A6</f>
        <v/>
      </c>
      <c r="B833">
        <f>Skills!B6</f>
        <v/>
      </c>
      <c r="C833">
        <f>Inputs!$B$3&gt;=103</f>
        <v/>
      </c>
      <c r="D833">
        <f>IF(Skills!C6=1,60+Inputs!$B$25+Inputs!$B$29,IF(Skills!C6=2,90+Inputs!$B$26+Inputs!$B$29,IF(Skills!C6=3,120+(Inputs!$B$27+1)+Inputs!$B$29,MAX(0,(Inputs!$B$3-100)*3)+Inputs!$B$28+Inputs!$B$29)))</f>
        <v/>
      </c>
      <c r="E833">
        <f>INDEX(FactorTable!$B$2:$Y$301, MATCH(ROUND(MIN(300,MAX(1,D833)),0), FactorTable!$A$2:$A$301,0), Skills!M6+1)</f>
        <v/>
      </c>
      <c r="F833">
        <f>IF(Skills!N6=TRUE,(Skills!L6/10)*(E833/1000),Skills!L6/10)+Skills!O6</f>
        <v/>
      </c>
      <c r="G833">
        <f>Skills!G6*IF(Skills!H6&gt;0,Skills!I6/Skills!H6,1)</f>
        <v/>
      </c>
      <c r="H833">
        <f>1-(1-Skills!J6/100)^Skills!K6</f>
        <v/>
      </c>
      <c r="I833" t="inlineStr">
        <is>
          <t>1</t>
        </is>
      </c>
      <c r="J833">
        <f>((Inputs!$B$6*(1+Inputs!$B$7/100))+(((Inputs!$B$12*(1+Inputs!$B$13/100))-(Inputs!$B$12*(1+Inputs!$B$13/100)))+0.25*(Inputs!$B$14-Inputs!$B$14))*(1+Inputs!$B$7/100))*(F833/100)</f>
        <v/>
      </c>
      <c r="K833">
        <f>J833*(1+((Inputs!$B$12*(1+Inputs!$B$13/100))*0.01+Inputs!$B$14*0.0025)/100)*(1+Inputs!$B$15/100)*(1+Inputs!$B$16/100)*(5000/(6000+Inputs!$B$42*(1-(100*(1-(1-(Inputs!$B$19+0)/100)*(1-CHOOSE(ArtifactsInput!$N$40+1,5,6,7,8,9,10)/100)^(ArtifactsInput!$M$40-ArtifactsInput!$M$40)))/100)))*(1+(Inputs!$B$24+((C852=TRUE)*(F852-Calc!F25))+B862)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848=TRUE)*(F848-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850=TRUE)*(F850-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840=TRUE)*F840*IF(Inputs!$B$3&gt;=110,7,5))+((C842=TRUE)*F842*IF(AND(Inputs!$B$38&lt;&gt;"pvp",Inputs!$B$43&gt;0),(((R842-1)*(Skills!T15*(1+(Inputs!$B$34+(ArtifactsInput!$M$7-ArtifactsInput!$M$7)*CHOOSE(ArtifactsInput!$N$7+1,6,7.2,8.4,9.6,10.8,12))/100))+MIN((Skills!T15*(1+(Inputs!$B$34+(ArtifactsInput!$M$7-ArtifactsInput!$M$7)*CHOOSE(ArtifactsInput!$N$7+1,6,7.2,8.4,9.6,10.8,12))/100)),MAX(0,Inputs!$B$43-((R842-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Hunt"),CHOOSE(ArtifactsInput!$N$35+1,15,18,21,24,27,30)*(1-EXP(-(0.2*B858)*5)),0)+IF(AND(ArtifactsInput!$M$22,Inputs!$B$4&lt;&gt;"Chapter Hunt"),CHOOSE(ArtifactsInput!$N$22+1,10,12,14,16,18,20)*((0*(((0.15*B858*5))^0/1)+1*(((0.15*B858*5))^1/1)+2*(((0.15*B858*5))^2/2)+3*(((0.15*B858*5))^3/6)+4*(((0.15*B858*5))^4/24)+5*(((0.15*B858*5))^5/120))/((((0.15*B858*5))^0/1)+(((0.15*B858*5))^1/1)+(((0.15*B858*5))^2/2)+(((0.15*B858*5))^3/6)+(((0.15*B858*5))^4/24)+(((0.15*B858*5))^5/120))),0)))/100)*I833)</f>
        <v/>
      </c>
      <c r="L833">
        <f>K833*(MIN(Inputs!$B$22+((C849=TRUE)*(F849-Calc!F22)),(Inputs!$B$23+((C851=TRUE)*(F851-Calc!F24))+(IF(ArtifactsInput!$M$15,CHOOSE(ArtifactsInput!$N$15+1,25,30,35,40,45,50)/100*(Inputs!$B$11-Inputs!$B$11),0))))/100+(Inputs!$B$23+((C851=TRUE)*(F851-Calc!F24))+(IF(ArtifactsInput!$M$15,CHOOSE(ArtifactsInput!$N$15+1,25,30,35,40,45,50)/100*(Inputs!$B$11-Inputs!$B$11),0)))/100)/2</f>
        <v/>
      </c>
      <c r="M833">
        <f>L833*(1+(Inputs!$B$10+0+B861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3">
        <f>L833*(1-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833*(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3">
        <f>(1-Summary!$B$11)*T833+Summary!$B$11*V833</f>
        <v/>
      </c>
      <c r="P833">
        <f>IF(B866=0,0,O833/B866)</f>
        <v/>
      </c>
      <c r="Q833">
        <f>IFERROR(1/(IF(Inputs!$B$38="pvp",15,MAX(0.1,Skills!D6-IF(Skills!E6=TRUE,Inputs!$B$32,0)))*(1-IF(AND(ArtifactsInput!$M$27,Inputs!$B$4="Chapter Hunt"),CHOOSE(ArtifactsInput!$N$27+1,20,24,28,32,36,40),0)/100)),0)</f>
        <v/>
      </c>
      <c r="R833">
        <f>IF(AND(Inputs!$B$38&lt;&gt;"pvp",Inputs!$B$43&gt;0),IF(MAX(0,Inputs!$B$43-B863)&lt;=0,0,(INT(MAX(0,Inputs!$B$43-B863)/(IF(Inputs!$B$38="pvp",15,MAX(0.1,Skills!D6-IF(Skills!E6=TRUE,Inputs!$B$32,0)))*(1-IF(AND(ArtifactsInput!$M$27,Inputs!$B$4="Chapter Hunt"),CHOOSE(ArtifactsInput!$N$27+1,20,24,28,32,36,40),0)/100)))+1)),0)</f>
        <v/>
      </c>
      <c r="S833">
        <f>IFERROR(O833/N833,0)</f>
        <v/>
      </c>
      <c r="T833">
        <f>IF(C833,(H833*N833*IF(AND(Inputs!$B$38&lt;&gt;"pvp",Inputs!$B$43&gt;0),((Skills!G6*((R833-1)*IF(Skills!H6&gt;0,Skills!I6/Skills!H6,1)+IF(Skills!H6&gt;0,MIN(Skills!I6,MAX(0,MAX(0,Inputs!$B$43-B863)-((R833-1)*(IF(Inputs!$B$38="pvp",15,MAX(0.1,Skills!D6-IF(Skills!E6=TRUE,Inputs!$B$32,0)))*(1-IF(AND(ArtifactsInput!$M$27,Inputs!$B$4="Chapter Hunt"),CHOOSE(ArtifactsInput!$N$27+1,20,24,28,32,36,40),0)/100)))))/Skills!H6,1)))/Inputs!$B$43),G833*Q833)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833*(1-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833*(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833*(1-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833*(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3">
        <f>IF(C833,(H833*N833*IF(AND(Inputs!$B$38&lt;&gt;"pvp",Inputs!$B$43&gt;0),((Skills!G6*((R833-1)*IF(Skills!H6&gt;0,Skills!I6/Skills!H6,1)+IF(Skills!H6&gt;0,MIN(Skills!I6,MAX(0,MAX(0,Inputs!$B$43-B863)-((R833-1)*(IF(Inputs!$B$38="pvp",15,MAX(0.1,Skills!D6-IF(Skills!E6=TRUE,Inputs!$B$32,0)))*(1-IF(AND(ArtifactsInput!$M$27,Inputs!$B$4="Chapter Hunt"),CHOOSE(ArtifactsInput!$N$27+1,20,24,28,32,36,40),0)/100)))))/Skills!H6,1)))/Inputs!$B$43),G833*Q833)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4">
      <c r="A834">
        <f>Skills!A7</f>
        <v/>
      </c>
      <c r="B834">
        <f>Skills!B7</f>
        <v/>
      </c>
      <c r="C834">
        <f>Inputs!$B$3&gt;=107</f>
        <v/>
      </c>
      <c r="D834">
        <f>IF(Skills!C7=1,60+Inputs!$B$25+Inputs!$B$29,IF(Skills!C7=2,90+Inputs!$B$26+Inputs!$B$29,IF(Skills!C7=3,120+(Inputs!$B$27+1)+Inputs!$B$29,MAX(0,(Inputs!$B$3-100)*3)+Inputs!$B$28+Inputs!$B$29)))</f>
        <v/>
      </c>
      <c r="E834">
        <f>INDEX(FactorTable!$B$2:$Y$301, MATCH(ROUND(MIN(300,MAX(1,D834)),0), FactorTable!$A$2:$A$301,0), Skills!M7+1)</f>
        <v/>
      </c>
      <c r="F834">
        <f>IF(Skills!N7=TRUE,(Skills!L7/10)*(E834/1000),Skills!L7/10)+Skills!O7</f>
        <v/>
      </c>
      <c r="G834">
        <f>Skills!G7*IF(Skills!H7&gt;0,Skills!I7/Skills!H7,1)</f>
        <v/>
      </c>
      <c r="H834">
        <f>1-(1-Skills!J7/100)^Skills!K7</f>
        <v/>
      </c>
      <c r="I834" t="inlineStr">
        <is>
          <t>1</t>
        </is>
      </c>
      <c r="J834">
        <f>((Inputs!$B$6*(1+Inputs!$B$7/100))+(((Inputs!$B$12*(1+Inputs!$B$13/100))-(Inputs!$B$12*(1+Inputs!$B$13/100)))+0.25*(Inputs!$B$14-Inputs!$B$14))*(1+Inputs!$B$7/100))*(F834/100)</f>
        <v/>
      </c>
      <c r="K834">
        <f>J834*(1+((Inputs!$B$12*(1+Inputs!$B$13/100))*0.01+Inputs!$B$14*0.0025)/100)*(1+Inputs!$B$15/100)*(1+Inputs!$B$16/100)*(5000/(6000+Inputs!$B$42*(1-(100*(1-(1-(Inputs!$B$19+0)/100)*(1-CHOOSE(ArtifactsInput!$N$40+1,5,6,7,8,9,10)/100)^(ArtifactsInput!$M$40-ArtifactsInput!$M$40)))/100)))*(1+(Inputs!$B$24+((C852=TRUE)*(F852-Calc!F25))+B862)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848=TRUE)*(F848-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850=TRUE)*(F850-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840=TRUE)*F840*IF(Inputs!$B$3&gt;=110,7,5))+((C842=TRUE)*F842*IF(AND(Inputs!$B$38&lt;&gt;"pvp",Inputs!$B$43&gt;0),(((R842-1)*(Skills!T15*(1+(Inputs!$B$34+(ArtifactsInput!$M$7-ArtifactsInput!$M$7)*CHOOSE(ArtifactsInput!$N$7+1,6,7.2,8.4,9.6,10.8,12))/100))+MIN((Skills!T15*(1+(Inputs!$B$34+(ArtifactsInput!$M$7-ArtifactsInput!$M$7)*CHOOSE(ArtifactsInput!$N$7+1,6,7.2,8.4,9.6,10.8,12))/100)),MAX(0,Inputs!$B$43-((R842-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Hunt"),CHOOSE(ArtifactsInput!$N$35+1,15,18,21,24,27,30)*(1-EXP(-(0.2*B858)*5)),0)+IF(AND(ArtifactsInput!$M$22,Inputs!$B$4&lt;&gt;"Chapter Hunt"),CHOOSE(ArtifactsInput!$N$22+1,10,12,14,16,18,20)*((0*(((0.15*B858*5))^0/1)+1*(((0.15*B858*5))^1/1)+2*(((0.15*B858*5))^2/2)+3*(((0.15*B858*5))^3/6)+4*(((0.15*B858*5))^4/24)+5*(((0.15*B858*5))^5/120))/((((0.15*B858*5))^0/1)+(((0.15*B858*5))^1/1)+(((0.15*B858*5))^2/2)+(((0.15*B858*5))^3/6)+(((0.15*B858*5))^4/24)+(((0.15*B858*5))^5/120))),0)))/100)*I834)</f>
        <v/>
      </c>
      <c r="L834">
        <f>K834*(MIN(Inputs!$B$22+((C849=TRUE)*(F849-Calc!F22)),(Inputs!$B$23+((C851=TRUE)*(F851-Calc!F24))+(IF(ArtifactsInput!$M$15,CHOOSE(ArtifactsInput!$N$15+1,25,30,35,40,45,50)/100*(Inputs!$B$11-Inputs!$B$11),0))))/100+(Inputs!$B$23+((C851=TRUE)*(F851-Calc!F24))+(IF(ArtifactsInput!$M$15,CHOOSE(ArtifactsInput!$N$15+1,25,30,35,40,45,50)/100*(Inputs!$B$11-Inputs!$B$11),0)))/100)/2</f>
        <v/>
      </c>
      <c r="M834">
        <f>L834*(1+(Inputs!$B$10+0+B861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4">
        <f>L834*(1-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834*(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4">
        <f>(1-Summary!$B$11)*T834+Summary!$B$11*V834</f>
        <v/>
      </c>
      <c r="P834">
        <f>IF(B866=0,0,O834/B866)</f>
        <v/>
      </c>
      <c r="Q834">
        <f>IFERROR(1/(IF(Inputs!$B$38="pvp",15,MAX(0.1,Skills!D7-IF(Skills!E7=TRUE,Inputs!$B$32,0)))*(1-IF(AND(ArtifactsInput!$M$27,Inputs!$B$4="Chapter Hunt"),CHOOSE(ArtifactsInput!$N$27+1,20,24,28,32,36,40),0)/100)),0)</f>
        <v/>
      </c>
      <c r="R834">
        <f>IF(AND(Inputs!$B$38&lt;&gt;"pvp",Inputs!$B$43&gt;0),IF(MAX(0,Inputs!$B$43-B863)&lt;=0,0,(INT(MAX(0,Inputs!$B$43-B863)/(IF(Inputs!$B$38="pvp",15,MAX(0.1,Skills!D7-IF(Skills!E7=TRUE,Inputs!$B$32,0)))*(1-IF(AND(ArtifactsInput!$M$27,Inputs!$B$4="Chapter Hunt"),CHOOSE(ArtifactsInput!$N$27+1,20,24,28,32,36,40),0)/100)))+1)),0)</f>
        <v/>
      </c>
      <c r="S834">
        <f>IFERROR(O834/N834,0)</f>
        <v/>
      </c>
      <c r="T834">
        <f>IF(C834,(H834*N834*IF(AND(Inputs!$B$38&lt;&gt;"pvp",Inputs!$B$43&gt;0),((Skills!G7*((R834-1)*IF(Skills!H7&gt;0,Skills!I7/Skills!H7,1)+IF(Skills!H7&gt;0,MIN(Skills!I7,MAX(0,MAX(0,Inputs!$B$43-B863)-((R834-1)*(IF(Inputs!$B$38="pvp",15,MAX(0.1,Skills!D7-IF(Skills!E7=TRUE,Inputs!$B$32,0)))*(1-IF(AND(ArtifactsInput!$M$27,Inputs!$B$4="Chapter Hunt"),CHOOSE(ArtifactsInput!$N$27+1,20,24,28,32,36,40),0)/100)))))/Skills!H7,1)))/Inputs!$B$43),G834*Q834)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834*(1-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834*(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834*(1-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834*(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4">
        <f>IF(C834,(H834*N834*IF(AND(Inputs!$B$38&lt;&gt;"pvp",Inputs!$B$43&gt;0),((Skills!G7*((R834-1)*IF(Skills!H7&gt;0,Skills!I7/Skills!H7,1)+IF(Skills!H7&gt;0,MIN(Skills!I7,MAX(0,MAX(0,Inputs!$B$43-B863)-((R834-1)*(IF(Inputs!$B$38="pvp",15,MAX(0.1,Skills!D7-IF(Skills!E7=TRUE,Inputs!$B$32,0)))*(1-IF(AND(ArtifactsInput!$M$27,Inputs!$B$4="Chapter Hunt"),CHOOSE(ArtifactsInput!$N$27+1,20,24,28,32,36,40),0)/100)))))/Skills!H7,1)))/Inputs!$B$43),G834*Q834)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5">
      <c r="A835">
        <f>Skills!A8</f>
        <v/>
      </c>
      <c r="B835">
        <f>Skills!B8</f>
        <v/>
      </c>
      <c r="C835">
        <f>Inputs!$B$3&gt;=117</f>
        <v/>
      </c>
      <c r="D835">
        <f>IF(Skills!C8=1,60+Inputs!$B$25+Inputs!$B$29,IF(Skills!C8=2,90+Inputs!$B$26+Inputs!$B$29,IF(Skills!C8=3,120+(Inputs!$B$27+1)+Inputs!$B$29,MAX(0,(Inputs!$B$3-100)*3)+Inputs!$B$28+Inputs!$B$29)))</f>
        <v/>
      </c>
      <c r="E835">
        <f>INDEX(FactorTable!$B$2:$Y$301, MATCH(ROUND(MIN(300,MAX(1,D835)),0), FactorTable!$A$2:$A$301,0), Skills!M8+1)</f>
        <v/>
      </c>
      <c r="F835">
        <f>IF(Skills!N8=TRUE,(Skills!L8/10)*(E835/1000),Skills!L8/10)+Skills!O8</f>
        <v/>
      </c>
      <c r="G835">
        <f>Skills!G8*IF(Skills!H8&gt;0,Skills!I8/Skills!H8,1)</f>
        <v/>
      </c>
      <c r="H835">
        <f>1-(1-Skills!J8/100)^Skills!K8</f>
        <v/>
      </c>
      <c r="I835" t="inlineStr">
        <is>
          <t>1</t>
        </is>
      </c>
      <c r="J835">
        <f>((Inputs!$B$6*(1+Inputs!$B$7/100))+(((Inputs!$B$12*(1+Inputs!$B$13/100))-(Inputs!$B$12*(1+Inputs!$B$13/100)))+0.25*(Inputs!$B$14-Inputs!$B$14))*(1+Inputs!$B$7/100))*(F835/100)</f>
        <v/>
      </c>
      <c r="K835">
        <f>J835*(1+((Inputs!$B$12*(1+Inputs!$B$13/100))*0.01+Inputs!$B$14*0.0025)/100)*(1+Inputs!$B$15/100)*(1+Inputs!$B$16/100)*(5000/(6000+Inputs!$B$42*(1-(100*(1-(1-(Inputs!$B$19+0)/100)*(1-CHOOSE(ArtifactsInput!$N$40+1,5,6,7,8,9,10)/100)^(ArtifactsInput!$M$40-ArtifactsInput!$M$40)))/100)))*(1+(Inputs!$B$24+((C852=TRUE)*(F852-Calc!F25))+B862)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848=TRUE)*(F848-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850=TRUE)*(F850-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840=TRUE)*F840*IF(Inputs!$B$3&gt;=110,7,5))+((C842=TRUE)*F842*IF(AND(Inputs!$B$38&lt;&gt;"pvp",Inputs!$B$43&gt;0),(((R842-1)*(Skills!T15*(1+(Inputs!$B$34+(ArtifactsInput!$M$7-ArtifactsInput!$M$7)*CHOOSE(ArtifactsInput!$N$7+1,6,7.2,8.4,9.6,10.8,12))/100))+MIN((Skills!T15*(1+(Inputs!$B$34+(ArtifactsInput!$M$7-ArtifactsInput!$M$7)*CHOOSE(ArtifactsInput!$N$7+1,6,7.2,8.4,9.6,10.8,12))/100)),MAX(0,Inputs!$B$43-((R842-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Hunt"),CHOOSE(ArtifactsInput!$N$35+1,15,18,21,24,27,30)*(1-EXP(-(0.2*B858)*5)),0)+IF(AND(ArtifactsInput!$M$22,Inputs!$B$4&lt;&gt;"Chapter Hunt"),CHOOSE(ArtifactsInput!$N$22+1,10,12,14,16,18,20)*((0*(((0.15*B858*5))^0/1)+1*(((0.15*B858*5))^1/1)+2*(((0.15*B858*5))^2/2)+3*(((0.15*B858*5))^3/6)+4*(((0.15*B858*5))^4/24)+5*(((0.15*B858*5))^5/120))/((((0.15*B858*5))^0/1)+(((0.15*B858*5))^1/1)+(((0.15*B858*5))^2/2)+(((0.15*B858*5))^3/6)+(((0.15*B858*5))^4/24)+(((0.15*B858*5))^5/120))),0)))/100)*I835)</f>
        <v/>
      </c>
      <c r="L835">
        <f>K835*(MIN(Inputs!$B$22+((C849=TRUE)*(F849-Calc!F22)),(Inputs!$B$23+((C851=TRUE)*(F851-Calc!F24))+(IF(ArtifactsInput!$M$15,CHOOSE(ArtifactsInput!$N$15+1,25,30,35,40,45,50)/100*(Inputs!$B$11-Inputs!$B$11),0))))/100+(Inputs!$B$23+((C851=TRUE)*(F851-Calc!F24))+(IF(ArtifactsInput!$M$15,CHOOSE(ArtifactsInput!$N$15+1,25,30,35,40,45,50)/100*(Inputs!$B$11-Inputs!$B$11),0)))/100)/2</f>
        <v/>
      </c>
      <c r="M835">
        <f>L835*(1+(Inputs!$B$10+0+B861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5">
        <f>L835*(1-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835*(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5">
        <f>(1-Summary!$B$11)*T835+Summary!$B$11*V835</f>
        <v/>
      </c>
      <c r="P835">
        <f>IF(B866=0,0,O835/B866)</f>
        <v/>
      </c>
      <c r="Q835">
        <f>IFERROR(1/(IF(Inputs!$B$38="pvp",15,MAX(0.1,Skills!D8-IF(Skills!E8=TRUE,Inputs!$B$32,0)))*(1-IF(AND(ArtifactsInput!$M$27,Inputs!$B$4="Chapter Hunt"),CHOOSE(ArtifactsInput!$N$27+1,20,24,28,32,36,40),0)/100)),0)</f>
        <v/>
      </c>
      <c r="R835">
        <f>IF(AND(Inputs!$B$38&lt;&gt;"pvp",Inputs!$B$43&gt;0),IF(MAX(0,Inputs!$B$43-B863)&lt;=0,0,(INT(MAX(0,Inputs!$B$43-B863)/(IF(Inputs!$B$38="pvp",15,MAX(0.1,Skills!D8-IF(Skills!E8=TRUE,Inputs!$B$32,0)))*(1-IF(AND(ArtifactsInput!$M$27,Inputs!$B$4="Chapter Hunt"),CHOOSE(ArtifactsInput!$N$27+1,20,24,28,32,36,40),0)/100)))+1)),0)</f>
        <v/>
      </c>
      <c r="S835">
        <f>IFERROR(O835/N835,0)</f>
        <v/>
      </c>
      <c r="T835">
        <f>IF(C835,(H835*N835*IF(AND(Inputs!$B$38&lt;&gt;"pvp",Inputs!$B$43&gt;0),((Skills!G8*((R835-1)*IF(Skills!H8&gt;0,Skills!I8/Skills!H8,1)+IF(Skills!H8&gt;0,MIN(Skills!I8,MAX(0,MAX(0,Inputs!$B$43-B863)-((R835-1)*(IF(Inputs!$B$38="pvp",15,MAX(0.1,Skills!D8-IF(Skills!E8=TRUE,Inputs!$B$32,0)))*(1-IF(AND(ArtifactsInput!$M$27,Inputs!$B$4="Chapter Hunt"),CHOOSE(ArtifactsInput!$N$27+1,20,24,28,32,36,40),0)/100)))))/Skills!H8,1)))/Inputs!$B$43),G835*Q835)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835*(1-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835*(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835*(1-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835*(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5">
        <f>IF(C835,(H835*N835*IF(AND(Inputs!$B$38&lt;&gt;"pvp",Inputs!$B$43&gt;0),((Skills!G8*((R835-1)*IF(Skills!H8&gt;0,Skills!I8/Skills!H8,1)+IF(Skills!H8&gt;0,MIN(Skills!I8,MAX(0,MAX(0,Inputs!$B$43-B863)-((R835-1)*(IF(Inputs!$B$38="pvp",15,MAX(0.1,Skills!D8-IF(Skills!E8=TRUE,Inputs!$B$32,0)))*(1-IF(AND(ArtifactsInput!$M$27,Inputs!$B$4="Chapter Hunt"),CHOOSE(ArtifactsInput!$N$27+1,20,24,28,32,36,40),0)/100)))))/Skills!H8,1)))/Inputs!$B$43),G835*Q835)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6">
      <c r="A836">
        <f>Skills!A9</f>
        <v/>
      </c>
      <c r="B836">
        <f>Skills!B9</f>
        <v/>
      </c>
      <c r="C836">
        <f>Inputs!$B$3&gt;=69</f>
        <v/>
      </c>
      <c r="D836">
        <f>IF(Skills!C9=1,60+Inputs!$B$25+Inputs!$B$29,IF(Skills!C9=2,90+Inputs!$B$26+Inputs!$B$29,IF(Skills!C9=3,120+(Inputs!$B$27+1)+Inputs!$B$29,MAX(0,(Inputs!$B$3-100)*3)+Inputs!$B$28+Inputs!$B$29)))</f>
        <v/>
      </c>
      <c r="E836">
        <f>INDEX(FactorTable!$B$2:$Y$301, MATCH(ROUND(MIN(300,MAX(1,D836)),0), FactorTable!$A$2:$A$301,0), Skills!M9+1)</f>
        <v/>
      </c>
      <c r="F836">
        <f>IF(Skills!N9=TRUE,(Skills!L9/10)*(E836/1000),Skills!L9/10)+Skills!O9</f>
        <v/>
      </c>
      <c r="G836">
        <f>Skills!G9*IF(Skills!H9&gt;0,Skills!I9/Skills!H9,1)</f>
        <v/>
      </c>
      <c r="H836">
        <f>1-(1-Skills!J9/100)^Skills!K9</f>
        <v/>
      </c>
      <c r="I836" t="inlineStr">
        <is>
          <t>1</t>
        </is>
      </c>
      <c r="J836">
        <f>((Inputs!$B$6*(1+Inputs!$B$7/100))+(((Inputs!$B$12*(1+Inputs!$B$13/100))-(Inputs!$B$12*(1+Inputs!$B$13/100)))+0.25*(Inputs!$B$14-Inputs!$B$14))*(1+Inputs!$B$7/100))*(F836/100)</f>
        <v/>
      </c>
      <c r="K836">
        <f>J836*(1+((Inputs!$B$12*(1+Inputs!$B$13/100))*0.01+Inputs!$B$14*0.0025)/100)*(1+Inputs!$B$15/100)*(1+Inputs!$B$16/100)*(5000/(6000+Inputs!$B$42*(1-(100*(1-(1-(Inputs!$B$19+0)/100)*(1-CHOOSE(ArtifactsInput!$N$40+1,5,6,7,8,9,10)/100)^(ArtifactsInput!$M$40-ArtifactsInput!$M$40)))/100)))*(1+(Inputs!$B$24+((C852=TRUE)*(F852-Calc!F25))+B862)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839=TRUE,F839,0)/100)*(1+IF(Skills!A9="ENHANCED_RAGING_BLOW",IF(Inputs!$B$3&gt;=134,MAX(0,IF(Inputs!$B$3&gt;=110,7,5)-5)*50,0),0)/100)*(1+(IF(Skills!A9="RAGING_BLOW",Inputs!$B$17+((C848=TRUE)*(F848-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850=TRUE)*(F850-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840=TRUE)*F840*IF(Inputs!$B$3&gt;=110,7,5))+((C842=TRUE)*F842*IF(AND(Inputs!$B$38&lt;&gt;"pvp",Inputs!$B$43&gt;0),(((R842-1)*(Skills!T15*(1+(Inputs!$B$34+(ArtifactsInput!$M$7-ArtifactsInput!$M$7)*CHOOSE(ArtifactsInput!$N$7+1,6,7.2,8.4,9.6,10.8,12))/100))+MIN((Skills!T15*(1+(Inputs!$B$34+(ArtifactsInput!$M$7-ArtifactsInput!$M$7)*CHOOSE(ArtifactsInput!$N$7+1,6,7.2,8.4,9.6,10.8,12))/100)),MAX(0,Inputs!$B$43-((R842-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Hunt"),CHOOSE(ArtifactsInput!$N$35+1,15,18,21,24,27,30)*(1-EXP(-(0.2*B858)*5)),0)+IF(AND(ArtifactsInput!$M$22,Inputs!$B$4&lt;&gt;"Chapter Hunt"),CHOOSE(ArtifactsInput!$N$22+1,10,12,14,16,18,20)*((0*(((0.15*B858*5))^0/1)+1*(((0.15*B858*5))^1/1)+2*(((0.15*B858*5))^2/2)+3*(((0.15*B858*5))^3/6)+4*(((0.15*B858*5))^4/24)+5*(((0.15*B858*5))^5/120))/((((0.15*B858*5))^0/1)+(((0.15*B858*5))^1/1)+(((0.15*B858*5))^2/2)+(((0.15*B858*5))^3/6)+(((0.15*B858*5))^4/24)+(((0.15*B858*5))^5/120))),0)))/100)*I836)</f>
        <v/>
      </c>
      <c r="L836">
        <f>K836*(MIN(Inputs!$B$22+((C849=TRUE)*(F849-Calc!F22)),(Inputs!$B$23+((C851=TRUE)*(F851-Calc!F24))+(IF(ArtifactsInput!$M$15,CHOOSE(ArtifactsInput!$N$15+1,25,30,35,40,45,50)/100*(Inputs!$B$11-Inputs!$B$11),0))))/100+(Inputs!$B$23+((C851=TRUE)*(F851-Calc!F24))+(IF(ArtifactsInput!$M$15,CHOOSE(ArtifactsInput!$N$15+1,25,30,35,40,45,50)/100*(Inputs!$B$11-Inputs!$B$11),0)))/100)/2</f>
        <v/>
      </c>
      <c r="M836">
        <f>L836*(1+(Inputs!$B$10+0+B861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6">
        <f>L836*(1-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836*(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6">
        <f>(1-Summary!$B$11)*T836+Summary!$B$11*V836</f>
        <v/>
      </c>
      <c r="P836">
        <f>IF(B866=0,0,O836/B866)</f>
        <v/>
      </c>
      <c r="Q836">
        <f>IFERROR(1/(IF(Inputs!$B$38="pvp",15,MAX(0.1,Skills!D9-IF(Skills!E9=TRUE,Inputs!$B$32,0)))*(1-IF(AND(ArtifactsInput!$M$27,Inputs!$B$4="Chapter Hunt"),CHOOSE(ArtifactsInput!$N$27+1,20,24,28,32,36,40),0)/100)),0)</f>
        <v/>
      </c>
      <c r="R836">
        <f>IF(AND(Inputs!$B$38&lt;&gt;"pvp",Inputs!$B$43&gt;0),IF(MAX(0,Inputs!$B$43-B863)&lt;=0,0,(INT(MAX(0,Inputs!$B$43-B863)/(IF(Inputs!$B$38="pvp",15,MAX(0.1,Skills!D9-IF(Skills!E9=TRUE,Inputs!$B$32,0)))*(1-IF(AND(ArtifactsInput!$M$27,Inputs!$B$4="Chapter Hunt"),CHOOSE(ArtifactsInput!$N$27+1,20,24,28,32,36,40),0)/100)))+1)),0)</f>
        <v/>
      </c>
      <c r="S836">
        <f>IFERROR(O836/N836,0)</f>
        <v/>
      </c>
      <c r="T836">
        <f>IF(C836,(H836*N836*IF(AND(Inputs!$B$38&lt;&gt;"pvp",Inputs!$B$43&gt;0),((Skills!G9*((R836-1)*IF(Skills!H9&gt;0,Skills!I9/Skills!H9,1)+IF(Skills!H9&gt;0,MIN(Skills!I9,MAX(0,MAX(0,Inputs!$B$43-B863)-((R836-1)*(IF(Inputs!$B$38="pvp",15,MAX(0.1,Skills!D9-IF(Skills!E9=TRUE,Inputs!$B$32,0)))*(1-IF(AND(ArtifactsInput!$M$27,Inputs!$B$4="Chapter Hunt"),CHOOSE(ArtifactsInput!$N$27+1,20,24,28,32,36,40),0)/100)))))/Skills!H9,1)))/Inputs!$B$43),G836*Q836)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836*(1-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836*(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836*(1-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836*(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6">
        <f>IF(C836,(H836*N836*IF(AND(Inputs!$B$38&lt;&gt;"pvp",Inputs!$B$43&gt;0),((Skills!G9*((R836-1)*IF(Skills!H9&gt;0,Skills!I9/Skills!H9,1)+IF(Skills!H9&gt;0,MIN(Skills!I9,MAX(0,MAX(0,Inputs!$B$43-B863)-((R836-1)*(IF(Inputs!$B$38="pvp",15,MAX(0.1,Skills!D9-IF(Skills!E9=TRUE,Inputs!$B$32,0)))*(1-IF(AND(ArtifactsInput!$M$27,Inputs!$B$4="Chapter Hunt"),CHOOSE(ArtifactsInput!$N$27+1,20,24,28,32,36,40),0)/100)))))/Skills!H9,1)))/Inputs!$B$43),G836*Q836)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7">
      <c r="A837">
        <f>Skills!A10</f>
        <v/>
      </c>
      <c r="B837">
        <f>Skills!B10</f>
        <v/>
      </c>
      <c r="C837">
        <f>Inputs!$B$3&gt;=63</f>
        <v/>
      </c>
      <c r="D837">
        <f>IF(Skills!C10=1,60+Inputs!$B$25+Inputs!$B$29,IF(Skills!C10=2,90+Inputs!$B$26+Inputs!$B$29,IF(Skills!C10=3,120+(Inputs!$B$27+1)+Inputs!$B$29,MAX(0,(Inputs!$B$3-100)*3)+Inputs!$B$28+Inputs!$B$29)))</f>
        <v/>
      </c>
      <c r="E837">
        <f>INDEX(FactorTable!$B$2:$Y$301, MATCH(ROUND(MIN(300,MAX(1,D837)),0), FactorTable!$A$2:$A$301,0), Skills!M10+1)</f>
        <v/>
      </c>
      <c r="F837">
        <f>IF(Skills!N10=TRUE,(Skills!L10/10)*(E837/1000),Skills!L10/10)+Skills!O10</f>
        <v/>
      </c>
      <c r="G837">
        <f>Skills!G10*IF(Skills!H10&gt;0,Skills!I10/Skills!H10,1)</f>
        <v/>
      </c>
      <c r="H837">
        <f>1-(1-Skills!J10/100)^Skills!K10</f>
        <v/>
      </c>
      <c r="I837" t="inlineStr">
        <is>
          <t>1</t>
        </is>
      </c>
      <c r="J837">
        <f>((Inputs!$B$6*(1+Inputs!$B$7/100))+(((Inputs!$B$12*(1+Inputs!$B$13/100))-(Inputs!$B$12*(1+Inputs!$B$13/100)))+0.25*(Inputs!$B$14-Inputs!$B$14))*(1+Inputs!$B$7/100))*(F837/100)</f>
        <v/>
      </c>
      <c r="K837">
        <f>J837*(1+((Inputs!$B$12*(1+Inputs!$B$13/100))*0.01+Inputs!$B$14*0.0025)/100)*(1+Inputs!$B$15/100)*(1+Inputs!$B$16/100)*(5000/(6000+Inputs!$B$42*(1-(100*(1-(1-(Inputs!$B$19+0)/100)*(1-CHOOSE(ArtifactsInput!$N$40+1,5,6,7,8,9,10)/100)^(ArtifactsInput!$M$40-ArtifactsInput!$M$40)))/100)))*(1+(Inputs!$B$24+((C852=TRUE)*(F852-Calc!F25))+B862)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839=TRUE,F839,0)/100)*(1+IF(Skills!A10="ENHANCED_RAGING_BLOW",IF(Inputs!$B$3&gt;=134,MAX(0,IF(Inputs!$B$3&gt;=110,7,5)-5)*50,0),0)/100)*(1+(IF(Skills!A10="RAGING_BLOW",Inputs!$B$17+((C848=TRUE)*(F848-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850=TRUE)*(F850-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840=TRUE)*F840*IF(Inputs!$B$3&gt;=110,7,5))+((C842=TRUE)*F842*IF(AND(Inputs!$B$38&lt;&gt;"pvp",Inputs!$B$43&gt;0),(((R842-1)*(Skills!T15*(1+(Inputs!$B$34+(ArtifactsInput!$M$7-ArtifactsInput!$M$7)*CHOOSE(ArtifactsInput!$N$7+1,6,7.2,8.4,9.6,10.8,12))/100))+MIN((Skills!T15*(1+(Inputs!$B$34+(ArtifactsInput!$M$7-ArtifactsInput!$M$7)*CHOOSE(ArtifactsInput!$N$7+1,6,7.2,8.4,9.6,10.8,12))/100)),MAX(0,Inputs!$B$43-((R842-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Hunt"),CHOOSE(ArtifactsInput!$N$35+1,15,18,21,24,27,30)*(1-EXP(-(0.2*B858)*5)),0)+IF(AND(ArtifactsInput!$M$22,Inputs!$B$4&lt;&gt;"Chapter Hunt"),CHOOSE(ArtifactsInput!$N$22+1,10,12,14,16,18,20)*((0*(((0.15*B858*5))^0/1)+1*(((0.15*B858*5))^1/1)+2*(((0.15*B858*5))^2/2)+3*(((0.15*B858*5))^3/6)+4*(((0.15*B858*5))^4/24)+5*(((0.15*B858*5))^5/120))/((((0.15*B858*5))^0/1)+(((0.15*B858*5))^1/1)+(((0.15*B858*5))^2/2)+(((0.15*B858*5))^3/6)+(((0.15*B858*5))^4/24)+(((0.15*B858*5))^5/120))),0)))/100)*I837)</f>
        <v/>
      </c>
      <c r="L837">
        <f>K837*(MIN(Inputs!$B$22+((C849=TRUE)*(F849-Calc!F22)),(Inputs!$B$23+((C851=TRUE)*(F851-Calc!F24))+(IF(ArtifactsInput!$M$15,CHOOSE(ArtifactsInput!$N$15+1,25,30,35,40,45,50)/100*(Inputs!$B$11-Inputs!$B$11),0))))/100+(Inputs!$B$23+((C851=TRUE)*(F851-Calc!F24))+(IF(ArtifactsInput!$M$15,CHOOSE(ArtifactsInput!$N$15+1,25,30,35,40,45,50)/100*(Inputs!$B$11-Inputs!$B$11),0)))/100)/2</f>
        <v/>
      </c>
      <c r="M837">
        <f>L837*(1+(Inputs!$B$10+0+B861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7">
        <f>L837*(1-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837*(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7">
        <f>(1-Summary!$B$11)*T837+Summary!$B$11*V837</f>
        <v/>
      </c>
      <c r="P837">
        <f>IF(B866=0,0,O837/B866)</f>
        <v/>
      </c>
      <c r="Q837">
        <f>IFERROR(1/(IF(Inputs!$B$38="pvp",15,MAX(0.1,Skills!D10-IF(Skills!E10=TRUE,Inputs!$B$32,0)))*(1-IF(AND(ArtifactsInput!$M$27,Inputs!$B$4="Chapter Hunt"),CHOOSE(ArtifactsInput!$N$27+1,20,24,28,32,36,40),0)/100)),0)</f>
        <v/>
      </c>
      <c r="R837">
        <f>IF(AND(Inputs!$B$38&lt;&gt;"pvp",Inputs!$B$43&gt;0),IF(MAX(0,Inputs!$B$43-B863)&lt;=0,0,(INT(MAX(0,Inputs!$B$43-B863)/(IF(Inputs!$B$38="pvp",15,MAX(0.1,Skills!D10-IF(Skills!E10=TRUE,Inputs!$B$32,0)))*(1-IF(AND(ArtifactsInput!$M$27,Inputs!$B$4="Chapter Hunt"),CHOOSE(ArtifactsInput!$N$27+1,20,24,28,32,36,40),0)/100)))+1)),0)</f>
        <v/>
      </c>
      <c r="S837">
        <f>IFERROR(O837/N837,0)</f>
        <v/>
      </c>
      <c r="T837">
        <f>IF(C837,(H837*N837*IF(AND(Inputs!$B$38&lt;&gt;"pvp",Inputs!$B$43&gt;0),((Skills!G10*((R837-1)*IF(Skills!H10&gt;0,Skills!I10/Skills!H10,1)+IF(Skills!H10&gt;0,MIN(Skills!I10,MAX(0,MAX(0,Inputs!$B$43-B863)-((R837-1)*(IF(Inputs!$B$38="pvp",15,MAX(0.1,Skills!D10-IF(Skills!E10=TRUE,Inputs!$B$32,0)))*(1-IF(AND(ArtifactsInput!$M$27,Inputs!$B$4="Chapter Hunt"),CHOOSE(ArtifactsInput!$N$27+1,20,24,28,32,36,40),0)/100)))))/Skills!H10,1)))/Inputs!$B$43),G837*Q837)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837*(1-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837*(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837*(1-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837*(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7">
        <f>IF(C837,(H837*N837*IF(AND(Inputs!$B$38&lt;&gt;"pvp",Inputs!$B$43&gt;0),((Skills!G10*((R837-1)*IF(Skills!H10&gt;0,Skills!I10/Skills!H10,1)+IF(Skills!H10&gt;0,MIN(Skills!I10,MAX(0,MAX(0,Inputs!$B$43-B863)-((R837-1)*(IF(Inputs!$B$38="pvp",15,MAX(0.1,Skills!D10-IF(Skills!E10=TRUE,Inputs!$B$32,0)))*(1-IF(AND(ArtifactsInput!$M$27,Inputs!$B$4="Chapter Hunt"),CHOOSE(ArtifactsInput!$N$27+1,20,24,28,32,36,40),0)/100)))))/Skills!H10,1)))/Inputs!$B$43),G837*Q837)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8">
      <c r="A838">
        <f>Skills!A11</f>
        <v/>
      </c>
      <c r="B838">
        <f>Skills!B11</f>
        <v/>
      </c>
      <c r="C838">
        <f>Inputs!$B$3&gt;=35</f>
        <v/>
      </c>
      <c r="D838">
        <f>IF(Skills!C11=1,60+Inputs!$B$25+Inputs!$B$29,IF(Skills!C11=2,90+Inputs!$B$26+Inputs!$B$29,IF(Skills!C11=3,120+(Inputs!$B$27+1)+Inputs!$B$29,MAX(0,(Inputs!$B$3-100)*3)+Inputs!$B$28+Inputs!$B$29)))</f>
        <v/>
      </c>
      <c r="E838">
        <f>INDEX(FactorTable!$B$2:$Y$301, MATCH(ROUND(MIN(300,MAX(1,D838)),0), FactorTable!$A$2:$A$301,0), Skills!M11+1)</f>
        <v/>
      </c>
      <c r="F838">
        <f>IF(Skills!N11=TRUE,(Skills!L11/10)*(E838/1000),Skills!L11/10)+Skills!O11</f>
        <v/>
      </c>
      <c r="G838">
        <f>Skills!G11*IF(Skills!H11&gt;0,Skills!I11/Skills!H11,1)</f>
        <v/>
      </c>
      <c r="H838">
        <f>1-(1-Skills!J11/100)^Skills!K11</f>
        <v/>
      </c>
      <c r="I838" t="inlineStr">
        <is>
          <t>1</t>
        </is>
      </c>
      <c r="J838">
        <f>((Inputs!$B$6*(1+Inputs!$B$7/100))+(((Inputs!$B$12*(1+Inputs!$B$13/100))-(Inputs!$B$12*(1+Inputs!$B$13/100)))+0.25*(Inputs!$B$14-Inputs!$B$14))*(1+Inputs!$B$7/100))*(F838/100)</f>
        <v/>
      </c>
      <c r="K838">
        <f>J838*(1+((Inputs!$B$12*(1+Inputs!$B$13/100))*0.01+Inputs!$B$14*0.0025)/100)*(1+Inputs!$B$15/100)*(1+Inputs!$B$16/100)*(5000/(6000+Inputs!$B$42*(1-(100*(1-(1-(Inputs!$B$19+0)/100)*(1-CHOOSE(ArtifactsInput!$N$40+1,5,6,7,8,9,10)/100)^(ArtifactsInput!$M$40-ArtifactsInput!$M$40)))/100)))*(1+(Inputs!$B$24+((C852=TRUE)*(F852-Calc!F25))+B862)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839=TRUE,F839,0)/100)*(1+IF(Skills!A11="ENHANCED_RAGING_BLOW",IF(Inputs!$B$3&gt;=134,MAX(0,IF(Inputs!$B$3&gt;=110,7,5)-5)*50,0),0)/100)*(1+(IF(Skills!A11="RAGING_BLOW",Inputs!$B$17+((C848=TRUE)*(F848-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850=TRUE)*(F850-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840=TRUE)*F840*IF(Inputs!$B$3&gt;=110,7,5))+((C842=TRUE)*F842*IF(AND(Inputs!$B$38&lt;&gt;"pvp",Inputs!$B$43&gt;0),(((R842-1)*(Skills!T15*(1+(Inputs!$B$34+(ArtifactsInput!$M$7-ArtifactsInput!$M$7)*CHOOSE(ArtifactsInput!$N$7+1,6,7.2,8.4,9.6,10.8,12))/100))+MIN((Skills!T15*(1+(Inputs!$B$34+(ArtifactsInput!$M$7-ArtifactsInput!$M$7)*CHOOSE(ArtifactsInput!$N$7+1,6,7.2,8.4,9.6,10.8,12))/100)),MAX(0,Inputs!$B$43-((R842-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Hunt"),CHOOSE(ArtifactsInput!$N$35+1,15,18,21,24,27,30)*(1-EXP(-(0.2*B858)*5)),0)+IF(AND(ArtifactsInput!$M$22,Inputs!$B$4&lt;&gt;"Chapter Hunt"),CHOOSE(ArtifactsInput!$N$22+1,10,12,14,16,18,20)*((0*(((0.15*B858*5))^0/1)+1*(((0.15*B858*5))^1/1)+2*(((0.15*B858*5))^2/2)+3*(((0.15*B858*5))^3/6)+4*(((0.15*B858*5))^4/24)+5*(((0.15*B858*5))^5/120))/((((0.15*B858*5))^0/1)+(((0.15*B858*5))^1/1)+(((0.15*B858*5))^2/2)+(((0.15*B858*5))^3/6)+(((0.15*B858*5))^4/24)+(((0.15*B858*5))^5/120))),0)))/100)*I838)</f>
        <v/>
      </c>
      <c r="L838">
        <f>K838*(MIN(Inputs!$B$22+((C849=TRUE)*(F849-Calc!F22)),(Inputs!$B$23+((C851=TRUE)*(F851-Calc!F24))+(IF(ArtifactsInput!$M$15,CHOOSE(ArtifactsInput!$N$15+1,25,30,35,40,45,50)/100*(Inputs!$B$11-Inputs!$B$11),0))))/100+(Inputs!$B$23+((C851=TRUE)*(F851-Calc!F24))+(IF(ArtifactsInput!$M$15,CHOOSE(ArtifactsInput!$N$15+1,25,30,35,40,45,50)/100*(Inputs!$B$11-Inputs!$B$11),0)))/100)/2</f>
        <v/>
      </c>
      <c r="M838">
        <f>L838*(1+(Inputs!$B$10+0+B861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8">
        <f>L838*(1-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838*(MIN((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8">
        <f>(1-Summary!$B$11)*T838+Summary!$B$11*V838</f>
        <v/>
      </c>
      <c r="P838">
        <f>IF(B866=0,0,O838/B866)</f>
        <v/>
      </c>
      <c r="Q838">
        <f>IFERROR(1/(IF(Inputs!$B$38="pvp",15,MAX(0.1,Skills!D11-IF(Skills!E11=TRUE,Inputs!$B$32,0)))*(1-IF(AND(ArtifactsInput!$M$27,Inputs!$B$4="Chapter Hunt"),CHOOSE(ArtifactsInput!$N$27+1,20,24,28,32,36,40),0)/100)),0)</f>
        <v/>
      </c>
      <c r="R838">
        <f>IF(AND(Inputs!$B$38&lt;&gt;"pvp",Inputs!$B$43&gt;0),IF(MAX(0,Inputs!$B$43-B863)&lt;=0,0,(INT(MAX(0,Inputs!$B$43-B863)/(IF(Inputs!$B$38="pvp",15,MAX(0.1,Skills!D11-IF(Skills!E11=TRUE,Inputs!$B$32,0)))*(1-IF(AND(ArtifactsInput!$M$27,Inputs!$B$4="Chapter Hunt"),CHOOSE(ArtifactsInput!$N$27+1,20,24,28,32,36,40),0)/100)))+1)),0)</f>
        <v/>
      </c>
      <c r="S838">
        <f>IFERROR(O838/N838,0)</f>
        <v/>
      </c>
      <c r="T838">
        <f>IF(C838,(H838*N838*IF(AND(Inputs!$B$38&lt;&gt;"pvp",Inputs!$B$43&gt;0),((Skills!G11*((R838-1)*IF(Skills!H11&gt;0,Skills!I11/Skills!H11,1)+IF(Skills!H11&gt;0,MIN(Skills!I11,MAX(0,MAX(0,Inputs!$B$43-B863)-((R838-1)*(IF(Inputs!$B$38="pvp",15,MAX(0.1,Skills!D11-IF(Skills!E11=TRUE,Inputs!$B$32,0)))*(1-IF(AND(ArtifactsInput!$M$27,Inputs!$B$4="Chapter Hunt"),CHOOSE(ArtifactsInput!$N$27+1,20,24,28,32,36,40),0)/100)))))/Skills!H11,1)))/Inputs!$B$43),G838*Q838)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838*(1-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838*(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838*(1-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838*(MIN(100,(Inputs!$B$9+((C853=TRUE)*(F853-Calc!F26))+B856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8">
        <f>IF(C838,(H838*N838*IF(AND(Inputs!$B$38&lt;&gt;"pvp",Inputs!$B$43&gt;0),((Skills!G11*((R838-1)*IF(Skills!H11&gt;0,Skills!I11/Skills!H11,1)+IF(Skills!H11&gt;0,MIN(Skills!I11,MAX(0,MAX(0,Inputs!$B$43-B863)-((R838-1)*(IF(Inputs!$B$38="pvp",15,MAX(0.1,Skills!D11-IF(Skills!E11=TRUE,Inputs!$B$32,0)))*(1-IF(AND(ArtifactsInput!$M$27,Inputs!$B$4="Chapter Hunt"),CHOOSE(ArtifactsInput!$N$27+1,20,24,28,32,36,40),0)/100)))))/Skills!H11,1)))/Inputs!$B$43),G838*Q838)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9">
      <c r="A839">
        <f>Skills!A12</f>
        <v/>
      </c>
      <c r="B839">
        <f>Skills!B12</f>
        <v/>
      </c>
      <c r="C839">
        <f>Inputs!$B$3&gt;=100</f>
        <v/>
      </c>
      <c r="D839">
        <f>IF(Skills!C12=1,60+Inputs!$B$25+Inputs!$B$29,IF(Skills!C12=2,90+Inputs!$B$26+Inputs!$B$29,IF(Skills!C12=3,120+(Inputs!$B$27+1)+Inputs!$B$29,MAX(0,(Inputs!$B$3-100)*3)+Inputs!$B$28+Inputs!$B$29)))</f>
        <v/>
      </c>
      <c r="E839">
        <f>INDEX(FactorTable!$B$2:$Y$301, MATCH(ROUND(MIN(300,MAX(1,D839)),0), FactorTable!$A$2:$A$301,0), Skills!M12+1)</f>
        <v/>
      </c>
      <c r="F839">
        <f>IF(Skills!N12=TRUE,(Skills!L12/10)*(E839/1000),Skills!L12/10)+Skills!O12</f>
        <v/>
      </c>
      <c r="G839" t="inlineStr"/>
      <c r="H839" t="inlineStr"/>
      <c r="I839" t="inlineStr">
        <is>
          <t>1</t>
        </is>
      </c>
      <c r="J839" t="inlineStr"/>
      <c r="K839" t="inlineStr"/>
      <c r="L839" t="inlineStr"/>
      <c r="M839" t="inlineStr"/>
      <c r="N839" t="inlineStr"/>
      <c r="O839" t="inlineStr"/>
      <c r="P839" t="inlineStr"/>
      <c r="Q839" t="inlineStr"/>
      <c r="R839" t="inlineStr"/>
      <c r="S839" t="inlineStr"/>
    </row>
    <row r="840">
      <c r="A840">
        <f>Skills!A13</f>
        <v/>
      </c>
      <c r="B840">
        <f>Skills!B13</f>
        <v/>
      </c>
      <c r="C840">
        <f>Inputs!$B$3&gt;=45</f>
        <v/>
      </c>
      <c r="D840">
        <f>IF(Skills!C13=1,60+Inputs!$B$25+Inputs!$B$29,IF(Skills!C13=2,90+Inputs!$B$26+Inputs!$B$29,IF(Skills!C13=3,120+(Inputs!$B$27+1)+Inputs!$B$29,MAX(0,(Inputs!$B$3-100)*3)+Inputs!$B$28+Inputs!$B$29)))</f>
        <v/>
      </c>
      <c r="E840">
        <f>INDEX(FactorTable!$B$2:$Y$301, MATCH(ROUND(MIN(300,MAX(1,D840)),0), FactorTable!$A$2:$A$301,0), Skills!M13+1)</f>
        <v/>
      </c>
      <c r="F840">
        <f>IF(Skills!N13=TRUE,(Skills!L13/10)*(E840/1000),Skills!L13/10)+Skills!O13</f>
        <v/>
      </c>
      <c r="G840">
        <f>Skills!G13*IF(Skills!H13&gt;0,Skills!I13/Skills!H13,1)</f>
        <v/>
      </c>
      <c r="H840">
        <f>1-(1-Skills!J13/100)^Skills!K13</f>
        <v/>
      </c>
      <c r="I840" t="inlineStr">
        <is>
          <t>1</t>
        </is>
      </c>
      <c r="J840" t="inlineStr"/>
      <c r="K840" t="inlineStr"/>
      <c r="L840" t="inlineStr"/>
      <c r="M840" t="inlineStr"/>
      <c r="N840" t="inlineStr"/>
      <c r="O840">
        <f>(1-Summary!$B$11)*T840+Summary!$B$11*V840</f>
        <v/>
      </c>
      <c r="P840">
        <f>IF(B866=0,0,O840/B866)</f>
        <v/>
      </c>
      <c r="Q840" t="n">
        <v>0</v>
      </c>
      <c r="R840" t="n">
        <v>0</v>
      </c>
      <c r="S840">
        <f>IFERROR(O840/N840,0)</f>
        <v/>
      </c>
      <c r="T840" t="n">
        <v>0</v>
      </c>
      <c r="V840" t="n">
        <v>0</v>
      </c>
    </row>
    <row r="841">
      <c r="A841">
        <f>Skills!A14</f>
        <v/>
      </c>
      <c r="B841">
        <f>Skills!B14</f>
        <v/>
      </c>
      <c r="C841">
        <f>Inputs!$B$3&gt;=75</f>
        <v/>
      </c>
      <c r="D841">
        <f>IF(Skills!C14=1,60+Inputs!$B$25+Inputs!$B$29,IF(Skills!C14=2,90+Inputs!$B$26+Inputs!$B$29,IF(Skills!C14=3,120+(Inputs!$B$27+1)+Inputs!$B$29,MAX(0,(Inputs!$B$3-100)*3)+Inputs!$B$28+Inputs!$B$29)))</f>
        <v/>
      </c>
      <c r="E841">
        <f>INDEX(FactorTable!$B$2:$Y$301, MATCH(ROUND(MIN(300,MAX(1,D841)),0), FactorTable!$A$2:$A$301,0), Skills!M14+1)</f>
        <v/>
      </c>
      <c r="F841">
        <f>IF(Skills!N14=TRUE,(Skills!L14/10)*(E841/1000),Skills!L14/10)+Skills!O14</f>
        <v/>
      </c>
      <c r="G841">
        <f>Skills!G14*IF(Skills!H14&gt;0,Skills!I14/Skills!H14,1)</f>
        <v/>
      </c>
      <c r="H841">
        <f>1-(1-Skills!J14/100)^Skills!K14</f>
        <v/>
      </c>
      <c r="I841" t="inlineStr">
        <is>
          <t>1</t>
        </is>
      </c>
      <c r="J841" t="inlineStr"/>
      <c r="K841" t="inlineStr"/>
      <c r="L841" t="inlineStr"/>
      <c r="M841" t="inlineStr"/>
      <c r="N841" t="inlineStr"/>
      <c r="O841">
        <f>(1-Summary!$B$11)*T841+Summary!$B$11*V841</f>
        <v/>
      </c>
      <c r="P841">
        <f>IF(B866=0,0,O841/B866)</f>
        <v/>
      </c>
      <c r="Q841" t="n">
        <v>0</v>
      </c>
      <c r="R841" t="n">
        <v>0</v>
      </c>
      <c r="S841">
        <f>IFERROR(O841/N841,0)</f>
        <v/>
      </c>
      <c r="T841" t="n">
        <v>0</v>
      </c>
      <c r="V841" t="n">
        <v>0</v>
      </c>
    </row>
    <row r="842">
      <c r="A842">
        <f>Skills!A15</f>
        <v/>
      </c>
      <c r="B842">
        <f>Skills!B15</f>
        <v/>
      </c>
      <c r="C842">
        <f>Inputs!$B$3&gt;=40</f>
        <v/>
      </c>
      <c r="D842">
        <f>IF(Skills!C15=1,60+Inputs!$B$25+Inputs!$B$29,IF(Skills!C15=2,90+Inputs!$B$26+Inputs!$B$29,IF(Skills!C15=3,120+(Inputs!$B$27+1)+Inputs!$B$29,MAX(0,(Inputs!$B$3-100)*3)+Inputs!$B$28+Inputs!$B$29)))</f>
        <v/>
      </c>
      <c r="E842">
        <f>INDEX(FactorTable!$B$2:$Y$301, MATCH(ROUND(MIN(300,MAX(1,D842)),0), FactorTable!$A$2:$A$301,0), Skills!M15+1)</f>
        <v/>
      </c>
      <c r="F842">
        <f>IF(Skills!N15=TRUE,(Skills!L15/10)*(E842/1000),Skills!L15/10)+Skills!O15</f>
        <v/>
      </c>
      <c r="G842">
        <f>Skills!G15*IF(Skills!H15&gt;0,Skills!I15/Skills!H15,1)</f>
        <v/>
      </c>
      <c r="H842">
        <f>1-(1-Skills!J15/100)^Skills!K15</f>
        <v/>
      </c>
      <c r="I842" t="inlineStr">
        <is>
          <t>1</t>
        </is>
      </c>
      <c r="J842" t="inlineStr"/>
      <c r="K842" t="inlineStr"/>
      <c r="L842" t="inlineStr"/>
      <c r="M842" t="inlineStr"/>
      <c r="N842" t="inlineStr"/>
      <c r="O842">
        <f>(1-Summary!$B$11)*T842+Summary!$B$11*V842</f>
        <v/>
      </c>
      <c r="P842">
        <f>IF(B866=0,0,O842/B866)</f>
        <v/>
      </c>
      <c r="Q842">
        <f>IFERROR(1/(IF(Inputs!$B$38="pvp",15,MAX(0.1,Skills!D15-IF(Skills!E15=TRUE,Inputs!$B$32,0)))*(1-IF(AND(ArtifactsInput!$M$27,Inputs!$B$4="Chapter Hunt"),CHOOSE(ArtifactsInput!$N$27+1,20,24,28,32,36,40),0)/100)),0)</f>
        <v/>
      </c>
      <c r="R842">
        <f>IF(AND(Inputs!$B$38&lt;&gt;"pvp",Inputs!$B$43&gt;0),IF(Inputs!$B$43&lt;=0,0,(INT(Inputs!$B$43/(IF(Inputs!$B$38="pvp",15,MAX(0.1,Skills!D15-IF(Skills!E15=TRUE,Inputs!$B$32,0)))*(1-IF(AND(ArtifactsInput!$M$27,Inputs!$B$4="Chapter Hunt"),CHOOSE(ArtifactsInput!$N$27+1,20,24,28,32,36,40),0)/100)))+1)),0)</f>
        <v/>
      </c>
      <c r="S842">
        <f>IFERROR(O842/N842,0)</f>
        <v/>
      </c>
      <c r="T842" t="n">
        <v>0</v>
      </c>
      <c r="V842" t="n">
        <v>0</v>
      </c>
    </row>
    <row r="843">
      <c r="A843">
        <f>Skills!A16</f>
        <v/>
      </c>
      <c r="B843">
        <f>Skills!B16</f>
        <v/>
      </c>
      <c r="C843">
        <f>Inputs!$B$3&gt;=66</f>
        <v/>
      </c>
      <c r="D843">
        <f>IF(Skills!C16=1,60+Inputs!$B$25+Inputs!$B$29,IF(Skills!C16=2,90+Inputs!$B$26+Inputs!$B$29,IF(Skills!C16=3,120+(Inputs!$B$27+1)+Inputs!$B$29,MAX(0,(Inputs!$B$3-100)*3)+Inputs!$B$28+Inputs!$B$29)))</f>
        <v/>
      </c>
      <c r="E843">
        <f>INDEX(FactorTable!$B$2:$Y$301, MATCH(ROUND(MIN(300,MAX(1,D843)),0), FactorTable!$A$2:$A$301,0), Skills!M16+1)</f>
        <v/>
      </c>
      <c r="F843">
        <f>IF(Skills!N16=TRUE,(Skills!L16/10)*(E843/1000),Skills!L16/10)+Skills!O16</f>
        <v/>
      </c>
      <c r="G843">
        <f>Skills!G16*IF(Skills!H16&gt;0,Skills!I16/Skills!H16,1)</f>
        <v/>
      </c>
      <c r="H843">
        <f>1-(1-Skills!J16/100)^Skills!K16</f>
        <v/>
      </c>
      <c r="I843" t="inlineStr">
        <is>
          <t>1</t>
        </is>
      </c>
      <c r="J843" t="inlineStr"/>
      <c r="K843" t="inlineStr"/>
      <c r="L843" t="inlineStr"/>
      <c r="M843" t="inlineStr"/>
      <c r="N843" t="inlineStr"/>
      <c r="O843">
        <f>(1-Summary!$B$11)*T843+Summary!$B$11*V843</f>
        <v/>
      </c>
      <c r="P843">
        <f>IF(B866=0,0,O843/B866)</f>
        <v/>
      </c>
      <c r="Q843">
        <f>IFERROR(1/(IF(Inputs!$B$38="pvp",15,MAX(0.1,Skills!D16-IF(Skills!E16=TRUE,Inputs!$B$32,0)))*(1-IF(AND(ArtifactsInput!$M$27,Inputs!$B$4="Chapter Hunt"),CHOOSE(ArtifactsInput!$N$27+1,20,24,28,32,36,40),0)/100)),0)</f>
        <v/>
      </c>
      <c r="R843">
        <f>IF(AND(Inputs!$B$38&lt;&gt;"pvp",Inputs!$B$43&gt;0),IF(Inputs!$B$43&lt;=0,0,(INT(Inputs!$B$43/(IF(Inputs!$B$38="pvp",15,MAX(0.1,Skills!D16-IF(Skills!E16=TRUE,Inputs!$B$32,0)))*(1-IF(AND(ArtifactsInput!$M$27,Inputs!$B$4="Chapter Hunt"),CHOOSE(ArtifactsInput!$N$27+1,20,24,28,32,36,40),0)/100)))+1)),0)</f>
        <v/>
      </c>
      <c r="S843">
        <f>IFERROR(O843/N843,0)</f>
        <v/>
      </c>
      <c r="T843" t="n">
        <v>0</v>
      </c>
      <c r="V843" t="n">
        <v>0</v>
      </c>
    </row>
    <row r="844">
      <c r="A844">
        <f>Skills!A17</f>
        <v/>
      </c>
      <c r="B844">
        <f>Skills!B17</f>
        <v/>
      </c>
      <c r="C844">
        <f>Inputs!$B$3&gt;=115</f>
        <v/>
      </c>
      <c r="D844">
        <f>IF(Skills!C17=1,60+Inputs!$B$25+Inputs!$B$29,IF(Skills!C17=2,90+Inputs!$B$26+Inputs!$B$29,IF(Skills!C17=3,120+(Inputs!$B$27+1)+Inputs!$B$29,MAX(0,(Inputs!$B$3-100)*3)+Inputs!$B$28+Inputs!$B$29)))</f>
        <v/>
      </c>
      <c r="E844">
        <f>INDEX(FactorTable!$B$2:$Y$301, MATCH(ROUND(MIN(300,MAX(1,D844)),0), FactorTable!$A$2:$A$301,0), Skills!M17+1)</f>
        <v/>
      </c>
      <c r="F844">
        <f>IF(Skills!N17=TRUE,(Skills!L17/10)*(E844/1000),Skills!L17/10)+Skills!O17</f>
        <v/>
      </c>
      <c r="G844">
        <f>Skills!G17*IF(Skills!H17&gt;0,Skills!I17/Skills!H17,1)</f>
        <v/>
      </c>
      <c r="H844">
        <f>1-(1-Skills!J17/100)^Skills!K17</f>
        <v/>
      </c>
      <c r="I844" t="inlineStr">
        <is>
          <t>1</t>
        </is>
      </c>
      <c r="J844" t="inlineStr"/>
      <c r="K844" t="inlineStr"/>
      <c r="L844" t="inlineStr"/>
      <c r="M844" t="inlineStr"/>
      <c r="N844" t="inlineStr"/>
      <c r="O844">
        <f>(1-Summary!$B$11)*T844+Summary!$B$11*V844</f>
        <v/>
      </c>
      <c r="P844">
        <f>IF(B866=0,0,O844/B866)</f>
        <v/>
      </c>
      <c r="Q844">
        <f>IFERROR(1/(IF(Inputs!$B$38="pvp",15,MAX(0.1,Skills!D17-IF(Skills!E17=TRUE,Inputs!$B$32,0)))*(1-IF(AND(ArtifactsInput!$M$27,Inputs!$B$4="Chapter Hunt"),CHOOSE(ArtifactsInput!$N$27+1,20,24,28,32,36,40),0)/100)),0)</f>
        <v/>
      </c>
      <c r="R844">
        <f>IF(AND(Inputs!$B$38&lt;&gt;"pvp",Inputs!$B$43&gt;0),IF(Inputs!$B$43&lt;=0,0,(INT(Inputs!$B$43/(IF(Inputs!$B$38="pvp",15,MAX(0.1,Skills!D17-IF(Skills!E17=TRUE,Inputs!$B$32,0)))*(1-IF(AND(ArtifactsInput!$M$27,Inputs!$B$4="Chapter Hunt"),CHOOSE(ArtifactsInput!$N$27+1,20,24,28,32,36,40),0)/100)))+1)),0)</f>
        <v/>
      </c>
      <c r="S844">
        <f>IFERROR(O844/N844,0)</f>
        <v/>
      </c>
      <c r="T844" t="n">
        <v>0</v>
      </c>
      <c r="V844" t="n">
        <v>0</v>
      </c>
    </row>
    <row r="845">
      <c r="A845">
        <f>Skills!A18</f>
        <v/>
      </c>
      <c r="B845">
        <f>Skills!B18</f>
        <v/>
      </c>
      <c r="C845">
        <f>Inputs!$B$3&gt;=115</f>
        <v/>
      </c>
      <c r="D845">
        <f>IF(Skills!C18=1,60+Inputs!$B$25+Inputs!$B$29,IF(Skills!C18=2,90+Inputs!$B$26+Inputs!$B$29,IF(Skills!C18=3,120+(Inputs!$B$27+1)+Inputs!$B$29,MAX(0,(Inputs!$B$3-100)*3)+Inputs!$B$28+Inputs!$B$29)))</f>
        <v/>
      </c>
      <c r="E845">
        <f>INDEX(FactorTable!$B$2:$Y$301, MATCH(ROUND(MIN(300,MAX(1,D845)),0), FactorTable!$A$2:$A$301,0), Skills!M18+1)</f>
        <v/>
      </c>
      <c r="F845">
        <f>IF(Skills!N18=TRUE,(Skills!L18/10)*(E845/1000),Skills!L18/10)+Skills!O18</f>
        <v/>
      </c>
      <c r="G845">
        <f>Skills!G18*IF(Skills!H18&gt;0,Skills!I18/Skills!H18,1)</f>
        <v/>
      </c>
      <c r="H845">
        <f>1-(1-Skills!J18/100)^Skills!K18</f>
        <v/>
      </c>
      <c r="I845" t="inlineStr">
        <is>
          <t>1</t>
        </is>
      </c>
      <c r="J845" t="inlineStr"/>
      <c r="K845" t="inlineStr"/>
      <c r="L845" t="inlineStr"/>
      <c r="M845" t="inlineStr"/>
      <c r="N845" t="inlineStr"/>
      <c r="O845">
        <f>(1-Summary!$B$11)*T845+Summary!$B$11*V845</f>
        <v/>
      </c>
      <c r="P845">
        <f>IF(B866=0,0,O845/B866)</f>
        <v/>
      </c>
      <c r="Q845">
        <f>IFERROR(1/(IF(Inputs!$B$38="pvp",15,MAX(0.1,Skills!D18-IF(Skills!E18=TRUE,Inputs!$B$32,0)))*(1-IF(AND(ArtifactsInput!$M$27,Inputs!$B$4="Chapter Hunt"),CHOOSE(ArtifactsInput!$N$27+1,20,24,28,32,36,40),0)/100)),0)</f>
        <v/>
      </c>
      <c r="R845">
        <f>IF(AND(Inputs!$B$38&lt;&gt;"pvp",Inputs!$B$43&gt;0),IF(Inputs!$B$43&lt;=0,0,(INT(Inputs!$B$43/(IF(Inputs!$B$38="pvp",15,MAX(0.1,Skills!D18-IF(Skills!E18=TRUE,Inputs!$B$32,0)))*(1-IF(AND(ArtifactsInput!$M$27,Inputs!$B$4="Chapter Hunt"),CHOOSE(ArtifactsInput!$N$27+1,20,24,28,32,36,40),0)/100)))+1)),0)</f>
        <v/>
      </c>
      <c r="S845">
        <f>IFERROR(O845/N845,0)</f>
        <v/>
      </c>
      <c r="T845" t="n">
        <v>0</v>
      </c>
      <c r="V845" t="n">
        <v>0</v>
      </c>
    </row>
    <row r="846">
      <c r="A846">
        <f>Skills!A19</f>
        <v/>
      </c>
      <c r="B846">
        <f>Skills!B19</f>
        <v/>
      </c>
      <c r="C846">
        <f>TRUE</f>
        <v/>
      </c>
      <c r="D846">
        <f>IF(Skills!C19=1,60+Inputs!$B$25+Inputs!$B$29,IF(Skills!C19=2,90+Inputs!$B$26+Inputs!$B$29,IF(Skills!C19=3,120+(Inputs!$B$27+1)+Inputs!$B$29,MAX(0,(Inputs!$B$3-100)*3)+Inputs!$B$28+Inputs!$B$29)))</f>
        <v/>
      </c>
      <c r="E846">
        <f>INDEX(FactorTable!$B$2:$Y$301, MATCH(ROUND(MIN(300,MAX(1,D846)),0), FactorTable!$A$2:$A$301,0), Skills!M19+1)</f>
        <v/>
      </c>
      <c r="F846">
        <f>IF(Skills!N19=TRUE,(Skills!L19/10)*(E846/1000),Skills!L19/10)+Skills!O19</f>
        <v/>
      </c>
      <c r="G846">
        <f>Skills!G19*IF(Skills!H19&gt;0,Skills!I19/Skills!H19,1)</f>
        <v/>
      </c>
      <c r="H846">
        <f>1-(1-Skills!J19/100)^Skills!K19</f>
        <v/>
      </c>
      <c r="I846" t="inlineStr">
        <is>
          <t>1</t>
        </is>
      </c>
      <c r="J846" t="inlineStr"/>
      <c r="K846" t="inlineStr"/>
      <c r="L846" t="inlineStr"/>
      <c r="M846" t="inlineStr"/>
      <c r="N846" t="inlineStr"/>
      <c r="O846">
        <f>(1-Summary!$B$11)*T846+Summary!$B$11*V846</f>
        <v/>
      </c>
      <c r="P846">
        <f>IF(B866=0,0,O846/B866)</f>
        <v/>
      </c>
      <c r="Q846">
        <f>IFERROR(1/(IF(Inputs!$B$38="pvp",15,MAX(0.1,Skills!D19-IF(Skills!E19=TRUE,Inputs!$B$32,0)))*(1-IF(AND(ArtifactsInput!$M$27,Inputs!$B$4="Chapter Hunt"),CHOOSE(ArtifactsInput!$N$27+1,20,24,28,32,36,40),0)/100)),0)</f>
        <v/>
      </c>
      <c r="R846">
        <f>IF(AND(Inputs!$B$38&lt;&gt;"pvp",Inputs!$B$43&gt;0),IF(Inputs!$B$43&lt;=0,0,(INT(Inputs!$B$43/(IF(Inputs!$B$38="pvp",15,MAX(0.1,Skills!D19-IF(Skills!E19=TRUE,Inputs!$B$32,0)))*(1-IF(AND(ArtifactsInput!$M$27,Inputs!$B$4="Chapter Hunt"),CHOOSE(ArtifactsInput!$N$27+1,20,24,28,32,36,40),0)/100)))+1)),0)</f>
        <v/>
      </c>
      <c r="S846">
        <f>IFERROR(O846/N846,0)</f>
        <v/>
      </c>
      <c r="T846" t="n">
        <v>0</v>
      </c>
      <c r="V846" t="n">
        <v>0</v>
      </c>
    </row>
    <row r="847">
      <c r="A847">
        <f>Skills!A20</f>
        <v/>
      </c>
      <c r="B847">
        <f>Skills!B20</f>
        <v/>
      </c>
      <c r="C847">
        <f>Inputs!$B$3&gt;=33</f>
        <v/>
      </c>
      <c r="D847">
        <f>IF(Skills!C20=1,60+Inputs!$B$25+Inputs!$B$29,IF(Skills!C20=2,90+Inputs!$B$26+Inputs!$B$29,IF(Skills!C20=3,120+(Inputs!$B$27+1)+Inputs!$B$29,MAX(0,(Inputs!$B$3-100)*3)+Inputs!$B$28+Inputs!$B$29)))</f>
        <v/>
      </c>
      <c r="E847">
        <f>INDEX(FactorTable!$B$2:$Y$301, MATCH(ROUND(MIN(300,MAX(1,D847)),0), FactorTable!$A$2:$A$301,0), Skills!M20+1)</f>
        <v/>
      </c>
      <c r="F847">
        <f>IF(Skills!N20=TRUE,(Skills!L20/10)*(E847/1000),Skills!L20/10)+Skills!O20</f>
        <v/>
      </c>
      <c r="G847">
        <f>Skills!G20*IF(Skills!H20&gt;0,Skills!I20/Skills!H20,1)</f>
        <v/>
      </c>
      <c r="H847">
        <f>1-(1-Skills!J20/100)^Skills!K20</f>
        <v/>
      </c>
      <c r="I847" t="inlineStr">
        <is>
          <t>1</t>
        </is>
      </c>
      <c r="J847" t="inlineStr"/>
      <c r="K847" t="inlineStr"/>
      <c r="L847" t="inlineStr"/>
      <c r="M847" t="inlineStr"/>
      <c r="N847" t="inlineStr"/>
      <c r="O847">
        <f>(1-Summary!$B$11)*T847+Summary!$B$11*V847</f>
        <v/>
      </c>
      <c r="P847">
        <f>IF(B866=0,0,O847/B866)</f>
        <v/>
      </c>
      <c r="Q847" t="n">
        <v>0</v>
      </c>
      <c r="R847" t="n">
        <v>0</v>
      </c>
      <c r="S847">
        <f>IFERROR(O847/N847,0)</f>
        <v/>
      </c>
      <c r="T847" t="n">
        <v>0</v>
      </c>
      <c r="V847" t="n">
        <v>0</v>
      </c>
    </row>
    <row r="848">
      <c r="A848">
        <f>Skills!A21</f>
        <v/>
      </c>
      <c r="B848">
        <f>Skills!B21</f>
        <v/>
      </c>
      <c r="C848">
        <f>Inputs!$B$3&gt;=38</f>
        <v/>
      </c>
      <c r="D848">
        <f>IF(Skills!C21=1,60+Inputs!$B$25+Inputs!$B$29,IF(Skills!C21=2,90+Inputs!$B$26+Inputs!$B$29,IF(Skills!C21=3,120+(Inputs!$B$27+1)+Inputs!$B$29,MAX(0,(Inputs!$B$3-100)*3)+Inputs!$B$28+Inputs!$B$29)))</f>
        <v/>
      </c>
      <c r="E848">
        <f>INDEX(FactorTable!$B$2:$Y$301, MATCH(ROUND(MIN(300,MAX(1,D848)),0), FactorTable!$A$2:$A$301,0), Skills!M21+1)</f>
        <v/>
      </c>
      <c r="F848">
        <f>IF(Skills!N21=TRUE,(Skills!L21/10)*(E848/1000),Skills!L21/10)+Skills!O21</f>
        <v/>
      </c>
      <c r="G848">
        <f>Skills!G21*IF(Skills!H21&gt;0,Skills!I21/Skills!H21,1)</f>
        <v/>
      </c>
      <c r="H848">
        <f>1-(1-Skills!J21/100)^Skills!K21</f>
        <v/>
      </c>
      <c r="I848" t="inlineStr">
        <is>
          <t>1</t>
        </is>
      </c>
      <c r="J848" t="inlineStr"/>
      <c r="K848" t="inlineStr"/>
      <c r="L848" t="inlineStr"/>
      <c r="M848" t="inlineStr"/>
      <c r="N848" t="inlineStr"/>
      <c r="O848">
        <f>(1-Summary!$B$11)*T848+Summary!$B$11*V848</f>
        <v/>
      </c>
      <c r="P848">
        <f>IF(B866=0,0,O848/B866)</f>
        <v/>
      </c>
      <c r="Q848" t="n">
        <v>0</v>
      </c>
      <c r="R848" t="n">
        <v>0</v>
      </c>
      <c r="S848">
        <f>IFERROR(O848/N848,0)</f>
        <v/>
      </c>
      <c r="T848" t="n">
        <v>0</v>
      </c>
      <c r="V848" t="n">
        <v>0</v>
      </c>
    </row>
    <row r="849">
      <c r="A849">
        <f>Skills!A22</f>
        <v/>
      </c>
      <c r="B849">
        <f>Skills!B22</f>
        <v/>
      </c>
      <c r="C849">
        <f>Inputs!$B$3&gt;=43</f>
        <v/>
      </c>
      <c r="D849">
        <f>IF(Skills!C22=1,60+Inputs!$B$25+Inputs!$B$29,IF(Skills!C22=2,90+Inputs!$B$26+Inputs!$B$29,IF(Skills!C22=3,120+(Inputs!$B$27+1)+Inputs!$B$29,MAX(0,(Inputs!$B$3-100)*3)+Inputs!$B$28+Inputs!$B$29)))</f>
        <v/>
      </c>
      <c r="E849">
        <f>INDEX(FactorTable!$B$2:$Y$301, MATCH(ROUND(MIN(300,MAX(1,D849)),0), FactorTable!$A$2:$A$301,0), Skills!M22+1)</f>
        <v/>
      </c>
      <c r="F849">
        <f>IF(Skills!N22=TRUE,(Skills!L22/10)*(E849/1000),Skills!L22/10)+Skills!O22</f>
        <v/>
      </c>
      <c r="G849">
        <f>Skills!G22*IF(Skills!H22&gt;0,Skills!I22/Skills!H22,1)</f>
        <v/>
      </c>
      <c r="H849">
        <f>1-(1-Skills!J22/100)^Skills!K22</f>
        <v/>
      </c>
      <c r="I849" t="inlineStr">
        <is>
          <t>1</t>
        </is>
      </c>
      <c r="J849" t="inlineStr"/>
      <c r="K849" t="inlineStr"/>
      <c r="L849" t="inlineStr"/>
      <c r="M849" t="inlineStr"/>
      <c r="N849" t="inlineStr"/>
      <c r="O849">
        <f>(1-Summary!$B$11)*T849+Summary!$B$11*V849</f>
        <v/>
      </c>
      <c r="P849">
        <f>IF(B866=0,0,O849/B866)</f>
        <v/>
      </c>
      <c r="Q849" t="n">
        <v>0</v>
      </c>
      <c r="R849" t="n">
        <v>0</v>
      </c>
      <c r="S849">
        <f>IFERROR(O849/N849,0)</f>
        <v/>
      </c>
      <c r="T849" t="n">
        <v>0</v>
      </c>
      <c r="V849" t="n">
        <v>0</v>
      </c>
    </row>
    <row r="850">
      <c r="A850">
        <f>Skills!A23</f>
        <v/>
      </c>
      <c r="B850">
        <f>Skills!B23</f>
        <v/>
      </c>
      <c r="C850">
        <f>Inputs!$B$3&gt;=120</f>
        <v/>
      </c>
      <c r="D850">
        <f>IF(Skills!C23=1,60+Inputs!$B$25+Inputs!$B$29,IF(Skills!C23=2,90+Inputs!$B$26+Inputs!$B$29,IF(Skills!C23=3,120+(Inputs!$B$27+1)+Inputs!$B$29,MAX(0,(Inputs!$B$3-100)*3)+Inputs!$B$28+Inputs!$B$29)))</f>
        <v/>
      </c>
      <c r="E850">
        <f>INDEX(FactorTable!$B$2:$Y$301, MATCH(ROUND(MIN(300,MAX(1,D850)),0), FactorTable!$A$2:$A$301,0), Skills!M23+1)</f>
        <v/>
      </c>
      <c r="F850">
        <f>IF(Skills!N23=TRUE,(Skills!L23/10)*(E850/1000),Skills!L23/10)+Skills!O23</f>
        <v/>
      </c>
      <c r="G850">
        <f>Skills!G23*IF(Skills!H23&gt;0,Skills!I23/Skills!H23,1)</f>
        <v/>
      </c>
      <c r="H850">
        <f>1-(1-Skills!J23/100)^Skills!K23</f>
        <v/>
      </c>
      <c r="I850" t="inlineStr">
        <is>
          <t>1</t>
        </is>
      </c>
      <c r="J850" t="inlineStr"/>
      <c r="K850" t="inlineStr"/>
      <c r="L850" t="inlineStr"/>
      <c r="M850" t="inlineStr"/>
      <c r="N850" t="inlineStr"/>
      <c r="O850">
        <f>(1-Summary!$B$11)*T850+Summary!$B$11*V850</f>
        <v/>
      </c>
      <c r="P850">
        <f>IF(B866=0,0,O850/B866)</f>
        <v/>
      </c>
      <c r="Q850" t="n">
        <v>0</v>
      </c>
      <c r="R850" t="n">
        <v>0</v>
      </c>
      <c r="S850">
        <f>IFERROR(O850/N850,0)</f>
        <v/>
      </c>
      <c r="T850" t="n">
        <v>0</v>
      </c>
      <c r="V850" t="n">
        <v>0</v>
      </c>
    </row>
    <row r="851">
      <c r="A851">
        <f>Skills!A24</f>
        <v/>
      </c>
      <c r="B851">
        <f>Skills!B24</f>
        <v/>
      </c>
      <c r="C851">
        <f>Inputs!$B$3&gt;=120</f>
        <v/>
      </c>
      <c r="D851">
        <f>IF(Skills!C24=1,60+Inputs!$B$25+Inputs!$B$29,IF(Skills!C24=2,90+Inputs!$B$26+Inputs!$B$29,IF(Skills!C24=3,120+(Inputs!$B$27+1)+Inputs!$B$29,MAX(0,(Inputs!$B$3-100)*3)+Inputs!$B$28+Inputs!$B$29)))</f>
        <v/>
      </c>
      <c r="E851">
        <f>INDEX(FactorTable!$B$2:$Y$301, MATCH(ROUND(MIN(300,MAX(1,D851)),0), FactorTable!$A$2:$A$301,0), Skills!M24+1)</f>
        <v/>
      </c>
      <c r="F851">
        <f>IF(Skills!N24=TRUE,(Skills!L24/10)*(E851/1000),Skills!L24/10)+Skills!O24</f>
        <v/>
      </c>
      <c r="G851">
        <f>Skills!G24*IF(Skills!H24&gt;0,Skills!I24/Skills!H24,1)</f>
        <v/>
      </c>
      <c r="H851">
        <f>1-(1-Skills!J24/100)^Skills!K24</f>
        <v/>
      </c>
      <c r="I851" t="inlineStr">
        <is>
          <t>1</t>
        </is>
      </c>
      <c r="J851" t="inlineStr"/>
      <c r="K851" t="inlineStr"/>
      <c r="L851" t="inlineStr"/>
      <c r="M851" t="inlineStr"/>
      <c r="N851" t="inlineStr"/>
      <c r="O851">
        <f>(1-Summary!$B$11)*T851+Summary!$B$11*V851</f>
        <v/>
      </c>
      <c r="P851">
        <f>IF(B866=0,0,O851/B866)</f>
        <v/>
      </c>
      <c r="Q851" t="n">
        <v>0</v>
      </c>
      <c r="R851" t="n">
        <v>0</v>
      </c>
      <c r="S851">
        <f>IFERROR(O851/N851,0)</f>
        <v/>
      </c>
      <c r="T851" t="n">
        <v>0</v>
      </c>
      <c r="V851" t="n">
        <v>0</v>
      </c>
    </row>
    <row r="852">
      <c r="A852">
        <f>Skills!A25</f>
        <v/>
      </c>
      <c r="B852">
        <f>Skills!B25</f>
        <v/>
      </c>
      <c r="C852">
        <f>Inputs!$B$3&gt;=125</f>
        <v/>
      </c>
      <c r="D852">
        <f>IF(Skills!C25=1,60+Inputs!$B$25+Inputs!$B$29,IF(Skills!C25=2,90+Inputs!$B$26+Inputs!$B$29,IF(Skills!C25=3,120+(Inputs!$B$27+1)+Inputs!$B$29,MAX(0,(Inputs!$B$3-100)*3)+Inputs!$B$28+Inputs!$B$29)))</f>
        <v/>
      </c>
      <c r="E852">
        <f>INDEX(FactorTable!$B$2:$Y$301, MATCH(ROUND(MIN(300,MAX(1,D852)),0), FactorTable!$A$2:$A$301,0), Skills!M25+1)</f>
        <v/>
      </c>
      <c r="F852">
        <f>IF(Skills!N25=TRUE,(Skills!L25/10)*(E852/1000),Skills!L25/10)+Skills!O25</f>
        <v/>
      </c>
      <c r="G852">
        <f>Skills!G25*IF(Skills!H25&gt;0,Skills!I25/Skills!H25,1)</f>
        <v/>
      </c>
      <c r="H852">
        <f>1-(1-Skills!J25/100)^Skills!K25</f>
        <v/>
      </c>
      <c r="I852" t="inlineStr">
        <is>
          <t>1</t>
        </is>
      </c>
      <c r="J852" t="inlineStr"/>
      <c r="K852" t="inlineStr"/>
      <c r="L852" t="inlineStr"/>
      <c r="M852" t="inlineStr"/>
      <c r="N852" t="inlineStr"/>
      <c r="O852">
        <f>(1-Summary!$B$11)*T852+Summary!$B$11*V852</f>
        <v/>
      </c>
      <c r="P852">
        <f>IF(B866=0,0,O852/B866)</f>
        <v/>
      </c>
      <c r="Q852" t="n">
        <v>0</v>
      </c>
      <c r="R852" t="n">
        <v>0</v>
      </c>
      <c r="S852">
        <f>IFERROR(O852/N852,0)</f>
        <v/>
      </c>
      <c r="T852" t="n">
        <v>0</v>
      </c>
      <c r="V852" t="n">
        <v>0</v>
      </c>
    </row>
    <row r="853">
      <c r="A853">
        <f>Skills!A26</f>
        <v/>
      </c>
      <c r="B853">
        <f>Skills!B26</f>
        <v/>
      </c>
      <c r="C853">
        <f>Inputs!$B$3&gt;=72</f>
        <v/>
      </c>
      <c r="D853">
        <f>IF(Skills!C26=1,60+Inputs!$B$25+Inputs!$B$29,IF(Skills!C26=2,90+Inputs!$B$26+Inputs!$B$29,IF(Skills!C26=3,120+(Inputs!$B$27+1)+Inputs!$B$29,MAX(0,(Inputs!$B$3-100)*3)+Inputs!$B$28+Inputs!$B$29)))</f>
        <v/>
      </c>
      <c r="E853">
        <f>INDEX(FactorTable!$B$2:$Y$301, MATCH(ROUND(MIN(300,MAX(1,D853)),0), FactorTable!$A$2:$A$301,0), Skills!M26+1)</f>
        <v/>
      </c>
      <c r="F853">
        <f>IF(Skills!N26=TRUE,(Skills!L26/10)*(E853/1000),Skills!L26/10)+Skills!O26</f>
        <v/>
      </c>
      <c r="G853">
        <f>Skills!G26*IF(Skills!H26&gt;0,Skills!I26/Skills!H26,1)</f>
        <v/>
      </c>
      <c r="H853">
        <f>1-(1-Skills!J26/100)^Skills!K26</f>
        <v/>
      </c>
      <c r="I853" t="inlineStr">
        <is>
          <t>1</t>
        </is>
      </c>
      <c r="J853" t="inlineStr"/>
      <c r="K853" t="inlineStr"/>
      <c r="L853" t="inlineStr"/>
      <c r="M853" t="inlineStr"/>
      <c r="N853" t="inlineStr"/>
      <c r="O853">
        <f>(1-Summary!$B$11)*T853+Summary!$B$11*V853</f>
        <v/>
      </c>
      <c r="P853">
        <f>IF(B866=0,0,O853/B866)</f>
        <v/>
      </c>
      <c r="Q853" t="n">
        <v>0</v>
      </c>
      <c r="R853" t="n">
        <v>0</v>
      </c>
      <c r="S853">
        <f>IFERROR(O853/N853,0)</f>
        <v/>
      </c>
      <c r="T853" t="n">
        <v>0</v>
      </c>
      <c r="V853" t="n">
        <v>0</v>
      </c>
    </row>
    <row r="855">
      <c r="A855" t="inlineStr">
        <is>
          <t>Attack% Bucket Multiplier</t>
        </is>
      </c>
      <c r="B855">
        <f>(1+(((C840=TRUE)*F840*IF(Inputs!$B$3&gt;=110,7,5))+((C842=TRUE)*F842*IF(AND(Inputs!$B$38&lt;&gt;"pvp",Inputs!$B$43&gt;0),(((R842-1)*(Skills!T15*(1+(Inputs!$B$34+(ArtifactsInput!$M$7-ArtifactsInput!$M$7)*CHOOSE(ArtifactsInput!$N$7+1,6,7.2,8.4,9.6,10.8,12))/100))+MIN((Skills!T15*(1+(Inputs!$B$34+(ArtifactsInput!$M$7-ArtifactsInput!$M$7)*CHOOSE(ArtifactsInput!$N$7+1,6,7.2,8.4,9.6,10.8,12))/100)),MAX(0,Inputs!$B$43-((R842-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56">
      <c r="A856" t="inlineStr">
        <is>
          <t>Global Crit Rate Bonus %</t>
        </is>
      </c>
      <c r="B856" t="n">
        <v>0</v>
      </c>
    </row>
    <row r="857">
      <c r="A857" t="inlineStr">
        <is>
          <t>Attack Speed Buff Bonus %</t>
        </is>
      </c>
      <c r="B857">
        <f>((C846=TRUE)*F846*IF(AND(Inputs!$B$38&lt;&gt;"pvp",Inputs!$B$43&gt;0),(((R846-1)*(Skills!T19*(1+(Inputs!$B$34+(ArtifactsInput!$M$7-ArtifactsInput!$M$7)*CHOOSE(ArtifactsInput!$N$7+1,6,7.2,8.4,9.6,10.8,12))/100))+MIN((Skills!T19*(1+(Inputs!$B$34+(ArtifactsInput!$M$7-ArtifactsInput!$M$7)*CHOOSE(ArtifactsInput!$N$7+1,6,7.2,8.4,9.6,10.8,12))/100)),MAX(0,Inputs!$B$43-((R846-1)*Skills!D19))))/Inputs!$B$43),IF(Inputs!$B$38="pvp",MIN((Skills!T19*(1+(Inputs!$B$34+(ArtifactsInput!$M$7-ArtifactsInput!$M$7)*CHOOSE(ArtifactsInput!$N$7+1,6,7.2,8.4,9.6,10.8,12))/100)),15)/15,(Skills!T19*(1+(Inputs!$B$34+(ArtifactsInput!$M$7-ArtifactsInput!$M$7)*CHOOSE(ArtifactsInput!$N$7+1,6,7.2,8.4,9.6,10.8,12))/100))/Skills!D19)))</f>
        <v/>
      </c>
    </row>
    <row r="858">
      <c r="A858" t="inlineStr">
        <is>
          <t>Actions Per Second</t>
        </is>
      </c>
      <c r="B858">
        <f>1+MIN(150,150*(1-(1-(Inputs!$B$11+((C847=TRUE)*(F847-Calc!F20)))/150)*(1-B857/150)))/100</f>
        <v/>
      </c>
    </row>
    <row r="859">
      <c r="A859" t="inlineStr">
        <is>
          <t>Skill + Buff Cast Rate</t>
        </is>
      </c>
      <c r="B859">
        <f>IF(AND(Inputs!$B$38&lt;&gt;"pvp",Inputs!$B$43&gt;0),SUMPRODUCT((Skills!E2:E26=TRUE)*(C829:C853=TRUE)*R829:R853*Skills!F2:F26)/Inputs!$B$43,SUMPRODUCT((Skills!E2:E26=TRUE)*(C829:C853=TRUE)*Q829:Q853*Skills!F2:F26))</f>
        <v/>
      </c>
    </row>
    <row r="860">
      <c r="A860" t="inlineStr">
        <is>
          <t>Raging Blow Casts Per Second</t>
        </is>
      </c>
      <c r="B860">
        <f>MAX(0,B858-B859)</f>
        <v/>
      </c>
    </row>
    <row r="861">
      <c r="A861" t="inlineStr">
        <is>
          <t>Global Critical Damage Bonus % (Enrage)</t>
        </is>
      </c>
      <c r="B861">
        <f>((C845=TRUE)*F845*IF(AND(Inputs!$B$38&lt;&gt;"pvp",Inputs!$B$43&gt;0),(((R845-1)*(Skills!T18*(1+(Inputs!$B$34+(ArtifactsInput!$M$7-ArtifactsInput!$M$7)*CHOOSE(ArtifactsInput!$N$7+1,6,7.2,8.4,9.6,10.8,12))/100))+MIN((Skills!T18*(1+(Inputs!$B$34+(ArtifactsInput!$M$7-ArtifactsInput!$M$7)*CHOOSE(ArtifactsInput!$N$7+1,6,7.2,8.4,9.6,10.8,12))/100)),MAX(0,Inputs!$B$43-((R845-1)*Skills!D18))))/Inputs!$B$43),IF(Inputs!$B$38="pvp",MIN((Skills!T18*(1+(Inputs!$B$34+(ArtifactsInput!$M$7-ArtifactsInput!$M$7)*CHOOSE(ArtifactsInput!$N$7+1,6,7.2,8.4,9.6,10.8,12))/100)),15)/15,(Skills!T18*(1+(Inputs!$B$34+(ArtifactsInput!$M$7-ArtifactsInput!$M$7)*CHOOSE(ArtifactsInput!$N$7+1,6,7.2,8.4,9.6,10.8,12))/100))/Skills!D18)))</f>
        <v/>
      </c>
    </row>
    <row r="862">
      <c r="A862" t="inlineStr">
        <is>
          <t>Global Final Damage Bonus % (Enrage + Combo Synergy)</t>
        </is>
      </c>
      <c r="B862">
        <f>((C844=TRUE)*F844*IF(AND(Inputs!$B$38&lt;&gt;"pvp",Inputs!$B$43&gt;0),(((R844-1)*(Skills!T17*(1+(Inputs!$B$34+(ArtifactsInput!$M$7-ArtifactsInput!$M$7)*CHOOSE(ArtifactsInput!$N$7+1,6,7.2,8.4,9.6,10.8,12))/100))+MIN((Skills!T17*(1+(Inputs!$B$34+(ArtifactsInput!$M$7-ArtifactsInput!$M$7)*CHOOSE(ArtifactsInput!$N$7+1,6,7.2,8.4,9.6,10.8,12))/100)),MAX(0,Inputs!$B$43-((R844-1)*Skills!D17))))/Inputs!$B$43),IF(Inputs!$B$38="pvp",MIN((Skills!T17*(1+(Inputs!$B$34+(ArtifactsInput!$M$7-ArtifactsInput!$M$7)*CHOOSE(ArtifactsInput!$N$7+1,6,7.2,8.4,9.6,10.8,12))/100)),15)/15,(Skills!T17*(1+(Inputs!$B$34+(ArtifactsInput!$M$7-ArtifactsInput!$M$7)*CHOOSE(ArtifactsInput!$N$7+1,6,7.2,8.4,9.6,10.8,12))/100))/Skills!D17)))+((C841=TRUE)*F841*IF(Inputs!$B$3&gt;=110,7,5))</f>
        <v/>
      </c>
    </row>
    <row r="863">
      <c r="A863" t="inlineStr">
        <is>
          <t>Buff-Casting Startup Delay (s, fixed-duration only)</t>
        </is>
      </c>
      <c r="B863">
        <f>IF(AND(Inputs!$B$38&lt;&gt;"pvp",Inputs!$B$43&gt;0),SUMPRODUCT((Skills!T2:T26&gt;0)*(Skills!E2:E26=TRUE)*(C829:C853=TRUE))/B858,0)</f>
        <v/>
      </c>
    </row>
    <row r="864">
      <c r="A864" t="inlineStr">
        <is>
          <t>Boss-Only Total DPS (this block's swept value)</t>
        </is>
      </c>
      <c r="B864">
        <f>SUM(T829:T853)</f>
        <v/>
      </c>
    </row>
    <row r="865">
      <c r="A865" t="inlineStr">
        <is>
          <t>Normal-Only Total DPS (this block's swept value)</t>
        </is>
      </c>
      <c r="B865">
        <f>SUM(V829:V853)</f>
        <v/>
      </c>
    </row>
    <row r="866">
      <c r="A866" s="6" t="inlineStr">
        <is>
          <t>TOTAL DPS</t>
        </is>
      </c>
      <c r="B866" s="6">
        <f>SUM(O829:O853)</f>
        <v/>
      </c>
    </row>
    <row r="869">
      <c r="A869" s="6" t="inlineStr">
        <is>
          <t>Stat: Skill Level Bonus — 4th Job</t>
        </is>
      </c>
    </row>
    <row r="870">
      <c r="A870" s="5" t="inlineStr">
        <is>
          <t>Key</t>
        </is>
      </c>
      <c r="B870" s="5" t="inlineStr">
        <is>
          <t>Name</t>
        </is>
      </c>
      <c r="C870" s="5" t="inlineStr">
        <is>
          <t>Unlocked</t>
        </is>
      </c>
      <c r="D870" s="5" t="inlineStr">
        <is>
          <t>InputLevel</t>
        </is>
      </c>
      <c r="E870" s="5" t="inlineStr">
        <is>
          <t>Factor</t>
        </is>
      </c>
      <c r="F870" s="5" t="inlineStr">
        <is>
          <t>CoefficientPercent</t>
        </is>
      </c>
      <c r="G870" s="5" t="inlineStr">
        <is>
          <t>EffectiveHits</t>
        </is>
      </c>
      <c r="H870" s="5" t="inlineStr">
        <is>
          <t>ProcProbability</t>
        </is>
      </c>
      <c r="I870" s="5" t="inlineStr">
        <is>
          <t>MapleHeroMultiplier</t>
        </is>
      </c>
      <c r="J870" s="5" t="inlineStr">
        <is>
          <t>BaseDamage</t>
        </is>
      </c>
      <c r="K870" s="5" t="inlineStr">
        <is>
          <t>BaseHitDamage</t>
        </is>
      </c>
      <c r="L870" s="5" t="inlineStr">
        <is>
          <t>NonCritAvg</t>
        </is>
      </c>
      <c r="M870" s="5" t="inlineStr">
        <is>
          <t>CritAvg</t>
        </is>
      </c>
      <c r="N870" s="5" t="inlineStr">
        <is>
          <t>ExpectedDamage(perHit)</t>
        </is>
      </c>
      <c r="O870" s="5" t="inlineStr">
        <is>
          <t>DPS</t>
        </is>
      </c>
      <c r="P870" s="5" t="inlineStr">
        <is>
          <t>% of Total</t>
        </is>
      </c>
      <c r="Q870" s="5" t="inlineStr">
        <is>
          <t>InvCooldown</t>
        </is>
      </c>
      <c r="R870" s="5" t="inlineStr">
        <is>
          <t>CastsInFight</t>
        </is>
      </c>
      <c r="S870" s="5" t="inlineStr">
        <is>
          <t>HitRate(perSec)</t>
        </is>
      </c>
      <c r="U870" t="inlineStr">
        <is>
          <t>helpers</t>
        </is>
      </c>
    </row>
    <row r="871">
      <c r="A871">
        <f>Skills!A2</f>
        <v/>
      </c>
      <c r="B871">
        <f>Skills!B2</f>
        <v/>
      </c>
      <c r="C871">
        <f>Inputs!$B$3&gt;=100</f>
        <v/>
      </c>
      <c r="D871" t="inlineStr"/>
      <c r="E871" t="inlineStr"/>
      <c r="F871">
        <f>U873+Skills!O2</f>
        <v/>
      </c>
      <c r="G871">
        <f>Skills!G2*IF(Skills!H2&gt;0,Skills!I2/Skills!H2,1)</f>
        <v/>
      </c>
      <c r="H871">
        <f>1-(1-Skills!J2/100)^Skills!K2</f>
        <v/>
      </c>
      <c r="I871" t="inlineStr">
        <is>
          <t>1</t>
        </is>
      </c>
      <c r="J871">
        <f>((Inputs!$B$6*(1+Inputs!$B$7/100))+(((Inputs!$B$12*(1+Inputs!$B$13/100))-(Inputs!$B$12*(1+Inputs!$B$13/100)))+0.25*(Inputs!$B$14-Inputs!$B$14))*(1+Inputs!$B$7/100))*(F871/100)</f>
        <v/>
      </c>
      <c r="K871">
        <f>J871*(1+((Inputs!$B$12*(1+Inputs!$B$13/100))*0.01+Inputs!$B$14*0.0025)/100)*(1+Inputs!$B$15/100)*(1+Inputs!$B$16/100)*(5000/(6000+Inputs!$B$42*(1-(100*(1-(1-(Inputs!$B$19+0)/100)*(1-CHOOSE(ArtifactsInput!$N$40+1,5,6,7,8,9,10)/100)^(ArtifactsInput!$M$40-ArtifactsInput!$M$40)))/100)))*(1+(Inputs!$B$24+((C894=TRUE)*(F894-Calc!F25))+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890=TRUE)*(F890-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892=TRUE)*(F892-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882=TRUE)*F882*IF(Inputs!$B$3&gt;=110,7,5))+((C884=TRUE)*F884*IF(AND(Inputs!$B$38&lt;&gt;"pvp",Inputs!$B$43&gt;0),(((R884-1)*(Skills!T15*(1+(Inputs!$B$34+(ArtifactsInput!$M$7-ArtifactsInput!$M$7)*CHOOSE(ArtifactsInput!$N$7+1,6,7.2,8.4,9.6,10.8,12))/100))+MIN((Skills!T15*(1+(Inputs!$B$34+(ArtifactsInput!$M$7-ArtifactsInput!$M$7)*CHOOSE(ArtifactsInput!$N$7+1,6,7.2,8.4,9.6,10.8,12))/100)),MAX(0,Inputs!$B$43-((R884-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100)*I871)</f>
        <v/>
      </c>
      <c r="L871">
        <f>K871*(MIN(Inputs!$B$22+((C891=TRUE)*(F891-Calc!F22)),(Inputs!$B$23+((C893=TRUE)*(F893-Calc!F24))+(IF(ArtifactsInput!$M$15,CHOOSE(ArtifactsInput!$N$15+1,25,30,35,40,45,50)/100*(Inputs!$B$11-Inputs!$B$11),0))))/100+(Inputs!$B$23+((C893=TRUE)*(F893-Calc!F24))+(IF(ArtifactsInput!$M$15,CHOOSE(ArtifactsInput!$N$15+1,25,30,35,40,45,50)/100*(Inputs!$B$11-Inputs!$B$11),0)))/100)/2</f>
        <v/>
      </c>
      <c r="M871">
        <f>L871*(1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1">
        <f>L871*(1-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871*(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1">
        <f>(1-Summary!$B$11)*T871+Summary!$B$11*V871</f>
        <v/>
      </c>
      <c r="P871">
        <f>IF(B908=0,0,O871/B908)</f>
        <v/>
      </c>
      <c r="Q871" t="n">
        <v>0</v>
      </c>
      <c r="R871" t="n">
        <v>0</v>
      </c>
      <c r="S871">
        <f>IFERROR(O871/N871,0)</f>
        <v/>
      </c>
      <c r="T871">
        <f>IF(C871,(Skills!G2*N871*B902)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871*(1-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871*(1-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1">
        <f>MAX(0,(Inputs!$B$3-100)*3)+(Inputs!$B$28+1)+Inputs!$B$29</f>
        <v/>
      </c>
      <c r="V871">
        <f>IF(C871,(Skills!G2*N871*B902)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2">
      <c r="A872">
        <f>Skills!A3</f>
        <v/>
      </c>
      <c r="B872">
        <f>Skills!B3</f>
        <v/>
      </c>
      <c r="C872">
        <f>Inputs!$B$3&gt;=50</f>
        <v/>
      </c>
      <c r="D872">
        <f>IF(Skills!C3=1,60+Inputs!$B$25+Inputs!$B$29,IF(Skills!C3=2,90+Inputs!$B$26+Inputs!$B$29,IF(Skills!C3=3,120+Inputs!$B$27+Inputs!$B$29,MAX(0,(Inputs!$B$3-100)*3)+(Inputs!$B$28+1)+Inputs!$B$29)))</f>
        <v/>
      </c>
      <c r="E872">
        <f>INDEX(FactorTable!$B$2:$Y$301, MATCH(ROUND(MIN(300,MAX(1,D872)),0), FactorTable!$A$2:$A$301,0), Skills!M3+1)</f>
        <v/>
      </c>
      <c r="F872">
        <f>IF(Skills!N3=TRUE,(Skills!L3/10)*(E872/1000),Skills!L3/10)+Skills!O3</f>
        <v/>
      </c>
      <c r="G872" t="inlineStr"/>
      <c r="H872" t="inlineStr"/>
      <c r="I872" t="inlineStr">
        <is>
          <t>1</t>
        </is>
      </c>
      <c r="J872" t="inlineStr"/>
      <c r="K872" t="inlineStr"/>
      <c r="L872" t="inlineStr"/>
      <c r="M872" t="inlineStr"/>
      <c r="N872" t="inlineStr"/>
      <c r="O872" t="inlineStr"/>
      <c r="P872" t="inlineStr"/>
      <c r="Q872" t="inlineStr"/>
      <c r="R872" t="inlineStr"/>
      <c r="S872" t="inlineStr"/>
      <c r="U872">
        <f>INDEX(FactorTable!$B$2:$Y$301, MATCH(ROUND(MIN(300,MAX(1,U871)),0), FactorTable!$A$2:$A$301,0), 22)</f>
        <v/>
      </c>
    </row>
    <row r="873">
      <c r="A873">
        <f>Skills!A4</f>
        <v/>
      </c>
      <c r="B873">
        <f>Skills!B4</f>
        <v/>
      </c>
      <c r="C873">
        <f>Inputs!$B$3&gt;=105</f>
        <v/>
      </c>
      <c r="D873">
        <f>IF(Skills!C4=1,60+Inputs!$B$25+Inputs!$B$29,IF(Skills!C4=2,90+Inputs!$B$26+Inputs!$B$29,IF(Skills!C4=3,120+Inputs!$B$27+Inputs!$B$29,MAX(0,(Inputs!$B$3-100)*3)+(Inputs!$B$28+1)+Inputs!$B$29)))</f>
        <v/>
      </c>
      <c r="E873">
        <f>INDEX(FactorTable!$B$2:$Y$301, MATCH(ROUND(MIN(300,MAX(1,D873)),0), FactorTable!$A$2:$A$301,0), Skills!M4+1)</f>
        <v/>
      </c>
      <c r="F873">
        <f>IF(Skills!N4=TRUE,(Skills!L4/10)*(E873/1000),Skills!L4/10)+Skills!O4</f>
        <v/>
      </c>
      <c r="G873" t="inlineStr"/>
      <c r="H873" t="inlineStr"/>
      <c r="I873" t="inlineStr">
        <is>
          <t>1</t>
        </is>
      </c>
      <c r="J873" t="inlineStr"/>
      <c r="K873" t="inlineStr"/>
      <c r="L873" t="inlineStr"/>
      <c r="M873" t="inlineStr"/>
      <c r="N873" t="inlineStr"/>
      <c r="O873" t="inlineStr"/>
      <c r="P873" t="inlineStr"/>
      <c r="Q873" t="inlineStr"/>
      <c r="R873" t="inlineStr"/>
      <c r="S873" t="inlineStr"/>
      <c r="U873">
        <f>290*U872/1000</f>
        <v/>
      </c>
    </row>
    <row r="874">
      <c r="A874">
        <f>Skills!A5</f>
        <v/>
      </c>
      <c r="B874">
        <f>Skills!B5</f>
        <v/>
      </c>
      <c r="C874">
        <f>Inputs!$B$3&gt;=103</f>
        <v/>
      </c>
      <c r="D874">
        <f>IF(Skills!C5=1,60+Inputs!$B$25+Inputs!$B$29,IF(Skills!C5=2,90+Inputs!$B$26+Inputs!$B$29,IF(Skills!C5=3,120+Inputs!$B$27+Inputs!$B$29,MAX(0,(Inputs!$B$3-100)*3)+(Inputs!$B$28+1)+Inputs!$B$29)))</f>
        <v/>
      </c>
      <c r="E874">
        <f>INDEX(FactorTable!$B$2:$Y$301, MATCH(ROUND(MIN(300,MAX(1,D874)),0), FactorTable!$A$2:$A$301,0), Skills!M5+1)</f>
        <v/>
      </c>
      <c r="F874">
        <f>IF(Skills!N5=TRUE,(Skills!L5/10)*(E874/1000),Skills!L5/10)+Skills!O5</f>
        <v/>
      </c>
      <c r="G874">
        <f>Skills!G5*IF(Skills!H5&gt;0,Skills!I5/Skills!H5,1)</f>
        <v/>
      </c>
      <c r="H874">
        <f>1-(1-Skills!J5/100)^Skills!K5</f>
        <v/>
      </c>
      <c r="I874" t="inlineStr">
        <is>
          <t>1</t>
        </is>
      </c>
      <c r="J874">
        <f>((Inputs!$B$6*(1+Inputs!$B$7/100))+(((Inputs!$B$12*(1+Inputs!$B$13/100))-(Inputs!$B$12*(1+Inputs!$B$13/100)))+0.25*(Inputs!$B$14-Inputs!$B$14))*(1+Inputs!$B$7/100))*(F874/100)</f>
        <v/>
      </c>
      <c r="K874">
        <f>J874*(1+((Inputs!$B$12*(1+Inputs!$B$13/100))*0.01+Inputs!$B$14*0.0025)/100)*(1+Inputs!$B$15/100)*(1+Inputs!$B$16/100)*(5000/(6000+Inputs!$B$42*(1-(100*(1-(1-(Inputs!$B$19+0)/100)*(1-CHOOSE(ArtifactsInput!$N$40+1,5,6,7,8,9,10)/100)^(ArtifactsInput!$M$40-ArtifactsInput!$M$40)))/100)))*(1+(Inputs!$B$24+((C894=TRUE)*(F894-Calc!F25))+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890=TRUE)*(F890-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892=TRUE)*(F892-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882=TRUE)*F882*IF(Inputs!$B$3&gt;=110,7,5))+((C884=TRUE)*F884*IF(AND(Inputs!$B$38&lt;&gt;"pvp",Inputs!$B$43&gt;0),(((R884-1)*(Skills!T15*(1+(Inputs!$B$34+(ArtifactsInput!$M$7-ArtifactsInput!$M$7)*CHOOSE(ArtifactsInput!$N$7+1,6,7.2,8.4,9.6,10.8,12))/100))+MIN((Skills!T15*(1+(Inputs!$B$34+(ArtifactsInput!$M$7-ArtifactsInput!$M$7)*CHOOSE(ArtifactsInput!$N$7+1,6,7.2,8.4,9.6,10.8,12))/100)),MAX(0,Inputs!$B$43-((R884-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100)*I874)</f>
        <v/>
      </c>
      <c r="L874">
        <f>K874*(MIN(Inputs!$B$22+((C891=TRUE)*(F891-Calc!F22)),(Inputs!$B$23+((C893=TRUE)*(F893-Calc!F24))+(IF(ArtifactsInput!$M$15,CHOOSE(ArtifactsInput!$N$15+1,25,30,35,40,45,50)/100*(Inputs!$B$11-Inputs!$B$11),0))))/100+(Inputs!$B$23+((C893=TRUE)*(F893-Calc!F24))+(IF(ArtifactsInput!$M$15,CHOOSE(ArtifactsInput!$N$15+1,25,30,35,40,45,50)/100*(Inputs!$B$11-Inputs!$B$11),0)))/100)/2</f>
        <v/>
      </c>
      <c r="M874">
        <f>L874*(1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4">
        <f>L874*(1-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874*(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4">
        <f>(1-Summary!$B$11)*T874+Summary!$B$11*V874</f>
        <v/>
      </c>
      <c r="P874">
        <f>IF(B908=0,0,O874/B908)</f>
        <v/>
      </c>
      <c r="Q874">
        <f>IFERROR(1/(IF(Inputs!$B$38="pvp",15,MAX(0.1,Skills!D5-IF(Skills!E5=TRUE,Inputs!$B$32,0)))*(1-IF(AND(ArtifactsInput!$M$27,Inputs!$B$4="Chapter Hunt"),CHOOSE(ArtifactsInput!$N$27+1,20,24,28,32,36,40),0)/100)),0)</f>
        <v/>
      </c>
      <c r="R874">
        <f>IF(AND(Inputs!$B$38&lt;&gt;"pvp",Inputs!$B$43&gt;0),IF(MAX(0,Inputs!$B$43-B905)&lt;=0,0,(INT(MAX(0,Inputs!$B$43-B905)/(IF(Inputs!$B$38="pvp",15,MAX(0.1,Skills!D5-IF(Skills!E5=TRUE,Inputs!$B$32,0)))*(1-IF(AND(ArtifactsInput!$M$27,Inputs!$B$4="Chapter Hunt"),CHOOSE(ArtifactsInput!$N$27+1,20,24,28,32,36,40),0)/100)))+1)),0)</f>
        <v/>
      </c>
      <c r="S874">
        <f>IFERROR(O874/N874,0)</f>
        <v/>
      </c>
      <c r="T874">
        <f>IF(C874,(H874*N874*IF(AND(Inputs!$B$38&lt;&gt;"pvp",Inputs!$B$43&gt;0),((Skills!G5*((R874-1)*IF(Skills!H5&gt;0,Skills!I5/Skills!H5,1)+IF(Skills!H5&gt;0,MIN(Skills!I5,MAX(0,MAX(0,Inputs!$B$43-B905)-((R874-1)*(IF(Inputs!$B$38="pvp",15,MAX(0.1,Skills!D5-IF(Skills!E5=TRUE,Inputs!$B$32,0)))*(1-IF(AND(ArtifactsInput!$M$27,Inputs!$B$4="Chapter Hunt"),CHOOSE(ArtifactsInput!$N$27+1,20,24,28,32,36,40),0)/100)))))/Skills!H5,1)))/Inputs!$B$43),G874*Q874)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874*(1-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874*(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874*(1-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874*(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4">
        <f>IF(C874,(H874*N874*IF(AND(Inputs!$B$38&lt;&gt;"pvp",Inputs!$B$43&gt;0),((Skills!G5*((R874-1)*IF(Skills!H5&gt;0,Skills!I5/Skills!H5,1)+IF(Skills!H5&gt;0,MIN(Skills!I5,MAX(0,MAX(0,Inputs!$B$43-B905)-((R874-1)*(IF(Inputs!$B$38="pvp",15,MAX(0.1,Skills!D5-IF(Skills!E5=TRUE,Inputs!$B$32,0)))*(1-IF(AND(ArtifactsInput!$M$27,Inputs!$B$4="Chapter Hunt"),CHOOSE(ArtifactsInput!$N$27+1,20,24,28,32,36,40),0)/100)))))/Skills!H5,1)))/Inputs!$B$43),G874*Q874)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5">
      <c r="A875">
        <f>Skills!A6</f>
        <v/>
      </c>
      <c r="B875">
        <f>Skills!B6</f>
        <v/>
      </c>
      <c r="C875">
        <f>Inputs!$B$3&gt;=103</f>
        <v/>
      </c>
      <c r="D875">
        <f>IF(Skills!C6=1,60+Inputs!$B$25+Inputs!$B$29,IF(Skills!C6=2,90+Inputs!$B$26+Inputs!$B$29,IF(Skills!C6=3,120+Inputs!$B$27+Inputs!$B$29,MAX(0,(Inputs!$B$3-100)*3)+(Inputs!$B$28+1)+Inputs!$B$29)))</f>
        <v/>
      </c>
      <c r="E875">
        <f>INDEX(FactorTable!$B$2:$Y$301, MATCH(ROUND(MIN(300,MAX(1,D875)),0), FactorTable!$A$2:$A$301,0), Skills!M6+1)</f>
        <v/>
      </c>
      <c r="F875">
        <f>IF(Skills!N6=TRUE,(Skills!L6/10)*(E875/1000),Skills!L6/10)+Skills!O6</f>
        <v/>
      </c>
      <c r="G875">
        <f>Skills!G6*IF(Skills!H6&gt;0,Skills!I6/Skills!H6,1)</f>
        <v/>
      </c>
      <c r="H875">
        <f>1-(1-Skills!J6/100)^Skills!K6</f>
        <v/>
      </c>
      <c r="I875" t="inlineStr">
        <is>
          <t>1</t>
        </is>
      </c>
      <c r="J875">
        <f>((Inputs!$B$6*(1+Inputs!$B$7/100))+(((Inputs!$B$12*(1+Inputs!$B$13/100))-(Inputs!$B$12*(1+Inputs!$B$13/100)))+0.25*(Inputs!$B$14-Inputs!$B$14))*(1+Inputs!$B$7/100))*(F875/100)</f>
        <v/>
      </c>
      <c r="K875">
        <f>J875*(1+((Inputs!$B$12*(1+Inputs!$B$13/100))*0.01+Inputs!$B$14*0.0025)/100)*(1+Inputs!$B$15/100)*(1+Inputs!$B$16/100)*(5000/(6000+Inputs!$B$42*(1-(100*(1-(1-(Inputs!$B$19+0)/100)*(1-CHOOSE(ArtifactsInput!$N$40+1,5,6,7,8,9,10)/100)^(ArtifactsInput!$M$40-ArtifactsInput!$M$40)))/100)))*(1+(Inputs!$B$24+((C894=TRUE)*(F894-Calc!F25))+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890=TRUE)*(F890-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892=TRUE)*(F892-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882=TRUE)*F882*IF(Inputs!$B$3&gt;=110,7,5))+((C884=TRUE)*F884*IF(AND(Inputs!$B$38&lt;&gt;"pvp",Inputs!$B$43&gt;0),(((R884-1)*(Skills!T15*(1+(Inputs!$B$34+(ArtifactsInput!$M$7-ArtifactsInput!$M$7)*CHOOSE(ArtifactsInput!$N$7+1,6,7.2,8.4,9.6,10.8,12))/100))+MIN((Skills!T15*(1+(Inputs!$B$34+(ArtifactsInput!$M$7-ArtifactsInput!$M$7)*CHOOSE(ArtifactsInput!$N$7+1,6,7.2,8.4,9.6,10.8,12))/100)),MAX(0,Inputs!$B$43-((R884-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100)*I875)</f>
        <v/>
      </c>
      <c r="L875">
        <f>K875*(MIN(Inputs!$B$22+((C891=TRUE)*(F891-Calc!F22)),(Inputs!$B$23+((C893=TRUE)*(F893-Calc!F24))+(IF(ArtifactsInput!$M$15,CHOOSE(ArtifactsInput!$N$15+1,25,30,35,40,45,50)/100*(Inputs!$B$11-Inputs!$B$11),0))))/100+(Inputs!$B$23+((C893=TRUE)*(F893-Calc!F24))+(IF(ArtifactsInput!$M$15,CHOOSE(ArtifactsInput!$N$15+1,25,30,35,40,45,50)/100*(Inputs!$B$11-Inputs!$B$11),0)))/100)/2</f>
        <v/>
      </c>
      <c r="M875">
        <f>L875*(1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5">
        <f>L875*(1-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875*(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5">
        <f>(1-Summary!$B$11)*T875+Summary!$B$11*V875</f>
        <v/>
      </c>
      <c r="P875">
        <f>IF(B908=0,0,O875/B908)</f>
        <v/>
      </c>
      <c r="Q875">
        <f>IFERROR(1/(IF(Inputs!$B$38="pvp",15,MAX(0.1,Skills!D6-IF(Skills!E6=TRUE,Inputs!$B$32,0)))*(1-IF(AND(ArtifactsInput!$M$27,Inputs!$B$4="Chapter Hunt"),CHOOSE(ArtifactsInput!$N$27+1,20,24,28,32,36,40),0)/100)),0)</f>
        <v/>
      </c>
      <c r="R875">
        <f>IF(AND(Inputs!$B$38&lt;&gt;"pvp",Inputs!$B$43&gt;0),IF(MAX(0,Inputs!$B$43-B905)&lt;=0,0,(INT(MAX(0,Inputs!$B$43-B905)/(IF(Inputs!$B$38="pvp",15,MAX(0.1,Skills!D6-IF(Skills!E6=TRUE,Inputs!$B$32,0)))*(1-IF(AND(ArtifactsInput!$M$27,Inputs!$B$4="Chapter Hunt"),CHOOSE(ArtifactsInput!$N$27+1,20,24,28,32,36,40),0)/100)))+1)),0)</f>
        <v/>
      </c>
      <c r="S875">
        <f>IFERROR(O875/N875,0)</f>
        <v/>
      </c>
      <c r="T875">
        <f>IF(C875,(H875*N875*IF(AND(Inputs!$B$38&lt;&gt;"pvp",Inputs!$B$43&gt;0),((Skills!G6*((R875-1)*IF(Skills!H6&gt;0,Skills!I6/Skills!H6,1)+IF(Skills!H6&gt;0,MIN(Skills!I6,MAX(0,MAX(0,Inputs!$B$43-B905)-((R875-1)*(IF(Inputs!$B$38="pvp",15,MAX(0.1,Skills!D6-IF(Skills!E6=TRUE,Inputs!$B$32,0)))*(1-IF(AND(ArtifactsInput!$M$27,Inputs!$B$4="Chapter Hunt"),CHOOSE(ArtifactsInput!$N$27+1,20,24,28,32,36,40),0)/100)))))/Skills!H6,1)))/Inputs!$B$43),G875*Q875)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875*(1-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875*(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875*(1-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875*(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5">
        <f>IF(C875,(H875*N875*IF(AND(Inputs!$B$38&lt;&gt;"pvp",Inputs!$B$43&gt;0),((Skills!G6*((R875-1)*IF(Skills!H6&gt;0,Skills!I6/Skills!H6,1)+IF(Skills!H6&gt;0,MIN(Skills!I6,MAX(0,MAX(0,Inputs!$B$43-B905)-((R875-1)*(IF(Inputs!$B$38="pvp",15,MAX(0.1,Skills!D6-IF(Skills!E6=TRUE,Inputs!$B$32,0)))*(1-IF(AND(ArtifactsInput!$M$27,Inputs!$B$4="Chapter Hunt"),CHOOSE(ArtifactsInput!$N$27+1,20,24,28,32,36,40),0)/100)))))/Skills!H6,1)))/Inputs!$B$43),G875*Q875)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6">
      <c r="A876">
        <f>Skills!A7</f>
        <v/>
      </c>
      <c r="B876">
        <f>Skills!B7</f>
        <v/>
      </c>
      <c r="C876">
        <f>Inputs!$B$3&gt;=107</f>
        <v/>
      </c>
      <c r="D876">
        <f>IF(Skills!C7=1,60+Inputs!$B$25+Inputs!$B$29,IF(Skills!C7=2,90+Inputs!$B$26+Inputs!$B$29,IF(Skills!C7=3,120+Inputs!$B$27+Inputs!$B$29,MAX(0,(Inputs!$B$3-100)*3)+(Inputs!$B$28+1)+Inputs!$B$29)))</f>
        <v/>
      </c>
      <c r="E876">
        <f>INDEX(FactorTable!$B$2:$Y$301, MATCH(ROUND(MIN(300,MAX(1,D876)),0), FactorTable!$A$2:$A$301,0), Skills!M7+1)</f>
        <v/>
      </c>
      <c r="F876">
        <f>IF(Skills!N7=TRUE,(Skills!L7/10)*(E876/1000),Skills!L7/10)+Skills!O7</f>
        <v/>
      </c>
      <c r="G876">
        <f>Skills!G7*IF(Skills!H7&gt;0,Skills!I7/Skills!H7,1)</f>
        <v/>
      </c>
      <c r="H876">
        <f>1-(1-Skills!J7/100)^Skills!K7</f>
        <v/>
      </c>
      <c r="I876" t="inlineStr">
        <is>
          <t>1</t>
        </is>
      </c>
      <c r="J876">
        <f>((Inputs!$B$6*(1+Inputs!$B$7/100))+(((Inputs!$B$12*(1+Inputs!$B$13/100))-(Inputs!$B$12*(1+Inputs!$B$13/100)))+0.25*(Inputs!$B$14-Inputs!$B$14))*(1+Inputs!$B$7/100))*(F876/100)</f>
        <v/>
      </c>
      <c r="K876">
        <f>J876*(1+((Inputs!$B$12*(1+Inputs!$B$13/100))*0.01+Inputs!$B$14*0.0025)/100)*(1+Inputs!$B$15/100)*(1+Inputs!$B$16/100)*(5000/(6000+Inputs!$B$42*(1-(100*(1-(1-(Inputs!$B$19+0)/100)*(1-CHOOSE(ArtifactsInput!$N$40+1,5,6,7,8,9,10)/100)^(ArtifactsInput!$M$40-ArtifactsInput!$M$40)))/100)))*(1+(Inputs!$B$24+((C894=TRUE)*(F894-Calc!F25))+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890=TRUE)*(F890-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892=TRUE)*(F892-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882=TRUE)*F882*IF(Inputs!$B$3&gt;=110,7,5))+((C884=TRUE)*F884*IF(AND(Inputs!$B$38&lt;&gt;"pvp",Inputs!$B$43&gt;0),(((R884-1)*(Skills!T15*(1+(Inputs!$B$34+(ArtifactsInput!$M$7-ArtifactsInput!$M$7)*CHOOSE(ArtifactsInput!$N$7+1,6,7.2,8.4,9.6,10.8,12))/100))+MIN((Skills!T15*(1+(Inputs!$B$34+(ArtifactsInput!$M$7-ArtifactsInput!$M$7)*CHOOSE(ArtifactsInput!$N$7+1,6,7.2,8.4,9.6,10.8,12))/100)),MAX(0,Inputs!$B$43-((R884-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100)*I876)</f>
        <v/>
      </c>
      <c r="L876">
        <f>K876*(MIN(Inputs!$B$22+((C891=TRUE)*(F891-Calc!F22)),(Inputs!$B$23+((C893=TRUE)*(F893-Calc!F24))+(IF(ArtifactsInput!$M$15,CHOOSE(ArtifactsInput!$N$15+1,25,30,35,40,45,50)/100*(Inputs!$B$11-Inputs!$B$11),0))))/100+(Inputs!$B$23+((C893=TRUE)*(F893-Calc!F24))+(IF(ArtifactsInput!$M$15,CHOOSE(ArtifactsInput!$N$15+1,25,30,35,40,45,50)/100*(Inputs!$B$11-Inputs!$B$11),0)))/100)/2</f>
        <v/>
      </c>
      <c r="M876">
        <f>L876*(1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6">
        <f>L876*(1-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876*(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6">
        <f>(1-Summary!$B$11)*T876+Summary!$B$11*V876</f>
        <v/>
      </c>
      <c r="P876">
        <f>IF(B908=0,0,O876/B908)</f>
        <v/>
      </c>
      <c r="Q876">
        <f>IFERROR(1/(IF(Inputs!$B$38="pvp",15,MAX(0.1,Skills!D7-IF(Skills!E7=TRUE,Inputs!$B$32,0)))*(1-IF(AND(ArtifactsInput!$M$27,Inputs!$B$4="Chapter Hunt"),CHOOSE(ArtifactsInput!$N$27+1,20,24,28,32,36,40),0)/100)),0)</f>
        <v/>
      </c>
      <c r="R876">
        <f>IF(AND(Inputs!$B$38&lt;&gt;"pvp",Inputs!$B$43&gt;0),IF(MAX(0,Inputs!$B$43-B905)&lt;=0,0,(INT(MAX(0,Inputs!$B$43-B905)/(IF(Inputs!$B$38="pvp",15,MAX(0.1,Skills!D7-IF(Skills!E7=TRUE,Inputs!$B$32,0)))*(1-IF(AND(ArtifactsInput!$M$27,Inputs!$B$4="Chapter Hunt"),CHOOSE(ArtifactsInput!$N$27+1,20,24,28,32,36,40),0)/100)))+1)),0)</f>
        <v/>
      </c>
      <c r="S876">
        <f>IFERROR(O876/N876,0)</f>
        <v/>
      </c>
      <c r="T876">
        <f>IF(C876,(H876*N876*IF(AND(Inputs!$B$38&lt;&gt;"pvp",Inputs!$B$43&gt;0),((Skills!G7*((R876-1)*IF(Skills!H7&gt;0,Skills!I7/Skills!H7,1)+IF(Skills!H7&gt;0,MIN(Skills!I7,MAX(0,MAX(0,Inputs!$B$43-B905)-((R876-1)*(IF(Inputs!$B$38="pvp",15,MAX(0.1,Skills!D7-IF(Skills!E7=TRUE,Inputs!$B$32,0)))*(1-IF(AND(ArtifactsInput!$M$27,Inputs!$B$4="Chapter Hunt"),CHOOSE(ArtifactsInput!$N$27+1,20,24,28,32,36,40),0)/100)))))/Skills!H7,1)))/Inputs!$B$43),G876*Q876)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876*(1-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876*(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876*(1-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876*(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6">
        <f>IF(C876,(H876*N876*IF(AND(Inputs!$B$38&lt;&gt;"pvp",Inputs!$B$43&gt;0),((Skills!G7*((R876-1)*IF(Skills!H7&gt;0,Skills!I7/Skills!H7,1)+IF(Skills!H7&gt;0,MIN(Skills!I7,MAX(0,MAX(0,Inputs!$B$43-B905)-((R876-1)*(IF(Inputs!$B$38="pvp",15,MAX(0.1,Skills!D7-IF(Skills!E7=TRUE,Inputs!$B$32,0)))*(1-IF(AND(ArtifactsInput!$M$27,Inputs!$B$4="Chapter Hunt"),CHOOSE(ArtifactsInput!$N$27+1,20,24,28,32,36,40),0)/100)))))/Skills!H7,1)))/Inputs!$B$43),G876*Q876)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7">
      <c r="A877">
        <f>Skills!A8</f>
        <v/>
      </c>
      <c r="B877">
        <f>Skills!B8</f>
        <v/>
      </c>
      <c r="C877">
        <f>Inputs!$B$3&gt;=117</f>
        <v/>
      </c>
      <c r="D877">
        <f>IF(Skills!C8=1,60+Inputs!$B$25+Inputs!$B$29,IF(Skills!C8=2,90+Inputs!$B$26+Inputs!$B$29,IF(Skills!C8=3,120+Inputs!$B$27+Inputs!$B$29,MAX(0,(Inputs!$B$3-100)*3)+(Inputs!$B$28+1)+Inputs!$B$29)))</f>
        <v/>
      </c>
      <c r="E877">
        <f>INDEX(FactorTable!$B$2:$Y$301, MATCH(ROUND(MIN(300,MAX(1,D877)),0), FactorTable!$A$2:$A$301,0), Skills!M8+1)</f>
        <v/>
      </c>
      <c r="F877">
        <f>IF(Skills!N8=TRUE,(Skills!L8/10)*(E877/1000),Skills!L8/10)+Skills!O8</f>
        <v/>
      </c>
      <c r="G877">
        <f>Skills!G8*IF(Skills!H8&gt;0,Skills!I8/Skills!H8,1)</f>
        <v/>
      </c>
      <c r="H877">
        <f>1-(1-Skills!J8/100)^Skills!K8</f>
        <v/>
      </c>
      <c r="I877" t="inlineStr">
        <is>
          <t>1</t>
        </is>
      </c>
      <c r="J877">
        <f>((Inputs!$B$6*(1+Inputs!$B$7/100))+(((Inputs!$B$12*(1+Inputs!$B$13/100))-(Inputs!$B$12*(1+Inputs!$B$13/100)))+0.25*(Inputs!$B$14-Inputs!$B$14))*(1+Inputs!$B$7/100))*(F877/100)</f>
        <v/>
      </c>
      <c r="K877">
        <f>J877*(1+((Inputs!$B$12*(1+Inputs!$B$13/100))*0.01+Inputs!$B$14*0.0025)/100)*(1+Inputs!$B$15/100)*(1+Inputs!$B$16/100)*(5000/(6000+Inputs!$B$42*(1-(100*(1-(1-(Inputs!$B$19+0)/100)*(1-CHOOSE(ArtifactsInput!$N$40+1,5,6,7,8,9,10)/100)^(ArtifactsInput!$M$40-ArtifactsInput!$M$40)))/100)))*(1+(Inputs!$B$24+((C894=TRUE)*(F894-Calc!F25))+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890=TRUE)*(F890-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892=TRUE)*(F892-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882=TRUE)*F882*IF(Inputs!$B$3&gt;=110,7,5))+((C884=TRUE)*F884*IF(AND(Inputs!$B$38&lt;&gt;"pvp",Inputs!$B$43&gt;0),(((R884-1)*(Skills!T15*(1+(Inputs!$B$34+(ArtifactsInput!$M$7-ArtifactsInput!$M$7)*CHOOSE(ArtifactsInput!$N$7+1,6,7.2,8.4,9.6,10.8,12))/100))+MIN((Skills!T15*(1+(Inputs!$B$34+(ArtifactsInput!$M$7-ArtifactsInput!$M$7)*CHOOSE(ArtifactsInput!$N$7+1,6,7.2,8.4,9.6,10.8,12))/100)),MAX(0,Inputs!$B$43-((R884-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100)*I877)</f>
        <v/>
      </c>
      <c r="L877">
        <f>K877*(MIN(Inputs!$B$22+((C891=TRUE)*(F891-Calc!F22)),(Inputs!$B$23+((C893=TRUE)*(F893-Calc!F24))+(IF(ArtifactsInput!$M$15,CHOOSE(ArtifactsInput!$N$15+1,25,30,35,40,45,50)/100*(Inputs!$B$11-Inputs!$B$11),0))))/100+(Inputs!$B$23+((C893=TRUE)*(F893-Calc!F24))+(IF(ArtifactsInput!$M$15,CHOOSE(ArtifactsInput!$N$15+1,25,30,35,40,45,50)/100*(Inputs!$B$11-Inputs!$B$11),0)))/100)/2</f>
        <v/>
      </c>
      <c r="M877">
        <f>L877*(1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7">
        <f>L877*(1-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877*(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7">
        <f>(1-Summary!$B$11)*T877+Summary!$B$11*V877</f>
        <v/>
      </c>
      <c r="P877">
        <f>IF(B908=0,0,O877/B908)</f>
        <v/>
      </c>
      <c r="Q877">
        <f>IFERROR(1/(IF(Inputs!$B$38="pvp",15,MAX(0.1,Skills!D8-IF(Skills!E8=TRUE,Inputs!$B$32,0)))*(1-IF(AND(ArtifactsInput!$M$27,Inputs!$B$4="Chapter Hunt"),CHOOSE(ArtifactsInput!$N$27+1,20,24,28,32,36,40),0)/100)),0)</f>
        <v/>
      </c>
      <c r="R877">
        <f>IF(AND(Inputs!$B$38&lt;&gt;"pvp",Inputs!$B$43&gt;0),IF(MAX(0,Inputs!$B$43-B905)&lt;=0,0,(INT(MAX(0,Inputs!$B$43-B905)/(IF(Inputs!$B$38="pvp",15,MAX(0.1,Skills!D8-IF(Skills!E8=TRUE,Inputs!$B$32,0)))*(1-IF(AND(ArtifactsInput!$M$27,Inputs!$B$4="Chapter Hunt"),CHOOSE(ArtifactsInput!$N$27+1,20,24,28,32,36,40),0)/100)))+1)),0)</f>
        <v/>
      </c>
      <c r="S877">
        <f>IFERROR(O877/N877,0)</f>
        <v/>
      </c>
      <c r="T877">
        <f>IF(C877,(H877*N877*IF(AND(Inputs!$B$38&lt;&gt;"pvp",Inputs!$B$43&gt;0),((Skills!G8*((R877-1)*IF(Skills!H8&gt;0,Skills!I8/Skills!H8,1)+IF(Skills!H8&gt;0,MIN(Skills!I8,MAX(0,MAX(0,Inputs!$B$43-B905)-((R877-1)*(IF(Inputs!$B$38="pvp",15,MAX(0.1,Skills!D8-IF(Skills!E8=TRUE,Inputs!$B$32,0)))*(1-IF(AND(ArtifactsInput!$M$27,Inputs!$B$4="Chapter Hunt"),CHOOSE(ArtifactsInput!$N$27+1,20,24,28,32,36,40),0)/100)))))/Skills!H8,1)))/Inputs!$B$43),G877*Q877)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877*(1-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877*(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877*(1-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877*(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7">
        <f>IF(C877,(H877*N877*IF(AND(Inputs!$B$38&lt;&gt;"pvp",Inputs!$B$43&gt;0),((Skills!G8*((R877-1)*IF(Skills!H8&gt;0,Skills!I8/Skills!H8,1)+IF(Skills!H8&gt;0,MIN(Skills!I8,MAX(0,MAX(0,Inputs!$B$43-B905)-((R877-1)*(IF(Inputs!$B$38="pvp",15,MAX(0.1,Skills!D8-IF(Skills!E8=TRUE,Inputs!$B$32,0)))*(1-IF(AND(ArtifactsInput!$M$27,Inputs!$B$4="Chapter Hunt"),CHOOSE(ArtifactsInput!$N$27+1,20,24,28,32,36,40),0)/100)))))/Skills!H8,1)))/Inputs!$B$43),G877*Q877)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8">
      <c r="A878">
        <f>Skills!A9</f>
        <v/>
      </c>
      <c r="B878">
        <f>Skills!B9</f>
        <v/>
      </c>
      <c r="C878">
        <f>Inputs!$B$3&gt;=69</f>
        <v/>
      </c>
      <c r="D878">
        <f>IF(Skills!C9=1,60+Inputs!$B$25+Inputs!$B$29,IF(Skills!C9=2,90+Inputs!$B$26+Inputs!$B$29,IF(Skills!C9=3,120+Inputs!$B$27+Inputs!$B$29,MAX(0,(Inputs!$B$3-100)*3)+(Inputs!$B$28+1)+Inputs!$B$29)))</f>
        <v/>
      </c>
      <c r="E878">
        <f>INDEX(FactorTable!$B$2:$Y$301, MATCH(ROUND(MIN(300,MAX(1,D878)),0), FactorTable!$A$2:$A$301,0), Skills!M9+1)</f>
        <v/>
      </c>
      <c r="F878">
        <f>IF(Skills!N9=TRUE,(Skills!L9/10)*(E878/1000),Skills!L9/10)+Skills!O9</f>
        <v/>
      </c>
      <c r="G878">
        <f>Skills!G9*IF(Skills!H9&gt;0,Skills!I9/Skills!H9,1)</f>
        <v/>
      </c>
      <c r="H878">
        <f>1-(1-Skills!J9/100)^Skills!K9</f>
        <v/>
      </c>
      <c r="I878" t="inlineStr">
        <is>
          <t>1</t>
        </is>
      </c>
      <c r="J878">
        <f>((Inputs!$B$6*(1+Inputs!$B$7/100))+(((Inputs!$B$12*(1+Inputs!$B$13/100))-(Inputs!$B$12*(1+Inputs!$B$13/100)))+0.25*(Inputs!$B$14-Inputs!$B$14))*(1+Inputs!$B$7/100))*(F878/100)</f>
        <v/>
      </c>
      <c r="K878">
        <f>J878*(1+((Inputs!$B$12*(1+Inputs!$B$13/100))*0.01+Inputs!$B$14*0.0025)/100)*(1+Inputs!$B$15/100)*(1+Inputs!$B$16/100)*(5000/(6000+Inputs!$B$42*(1-(100*(1-(1-(Inputs!$B$19+0)/100)*(1-CHOOSE(ArtifactsInput!$N$40+1,5,6,7,8,9,10)/100)^(ArtifactsInput!$M$40-ArtifactsInput!$M$40)))/100)))*(1+(Inputs!$B$24+((C894=TRUE)*(F894-Calc!F25))+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881=TRUE,F881,0)/100)*(1+IF(Skills!A9="ENHANCED_RAGING_BLOW",IF(Inputs!$B$3&gt;=134,MAX(0,IF(Inputs!$B$3&gt;=110,7,5)-5)*50,0),0)/100)*(1+(IF(Skills!A9="RAGING_BLOW",Inputs!$B$17+((C890=TRUE)*(F890-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892=TRUE)*(F892-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882=TRUE)*F882*IF(Inputs!$B$3&gt;=110,7,5))+((C884=TRUE)*F884*IF(AND(Inputs!$B$38&lt;&gt;"pvp",Inputs!$B$43&gt;0),(((R884-1)*(Skills!T15*(1+(Inputs!$B$34+(ArtifactsInput!$M$7-ArtifactsInput!$M$7)*CHOOSE(ArtifactsInput!$N$7+1,6,7.2,8.4,9.6,10.8,12))/100))+MIN((Skills!T15*(1+(Inputs!$B$34+(ArtifactsInput!$M$7-ArtifactsInput!$M$7)*CHOOSE(ArtifactsInput!$N$7+1,6,7.2,8.4,9.6,10.8,12))/100)),MAX(0,Inputs!$B$43-((R884-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100)*I878)</f>
        <v/>
      </c>
      <c r="L878">
        <f>K878*(MIN(Inputs!$B$22+((C891=TRUE)*(F891-Calc!F22)),(Inputs!$B$23+((C893=TRUE)*(F893-Calc!F24))+(IF(ArtifactsInput!$M$15,CHOOSE(ArtifactsInput!$N$15+1,25,30,35,40,45,50)/100*(Inputs!$B$11-Inputs!$B$11),0))))/100+(Inputs!$B$23+((C893=TRUE)*(F893-Calc!F24))+(IF(ArtifactsInput!$M$15,CHOOSE(ArtifactsInput!$N$15+1,25,30,35,40,45,50)/100*(Inputs!$B$11-Inputs!$B$11),0)))/100)/2</f>
        <v/>
      </c>
      <c r="M878">
        <f>L878*(1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8">
        <f>L878*(1-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878*(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8">
        <f>(1-Summary!$B$11)*T878+Summary!$B$11*V878</f>
        <v/>
      </c>
      <c r="P878">
        <f>IF(B908=0,0,O878/B908)</f>
        <v/>
      </c>
      <c r="Q878">
        <f>IFERROR(1/(IF(Inputs!$B$38="pvp",15,MAX(0.1,Skills!D9-IF(Skills!E9=TRUE,Inputs!$B$32,0)))*(1-IF(AND(ArtifactsInput!$M$27,Inputs!$B$4="Chapter Hunt"),CHOOSE(ArtifactsInput!$N$27+1,20,24,28,32,36,40),0)/100)),0)</f>
        <v/>
      </c>
      <c r="R878">
        <f>IF(AND(Inputs!$B$38&lt;&gt;"pvp",Inputs!$B$43&gt;0),IF(MAX(0,Inputs!$B$43-B905)&lt;=0,0,(INT(MAX(0,Inputs!$B$43-B905)/(IF(Inputs!$B$38="pvp",15,MAX(0.1,Skills!D9-IF(Skills!E9=TRUE,Inputs!$B$32,0)))*(1-IF(AND(ArtifactsInput!$M$27,Inputs!$B$4="Chapter Hunt"),CHOOSE(ArtifactsInput!$N$27+1,20,24,28,32,36,40),0)/100)))+1)),0)</f>
        <v/>
      </c>
      <c r="S878">
        <f>IFERROR(O878/N878,0)</f>
        <v/>
      </c>
      <c r="T878">
        <f>IF(C878,(H878*N878*IF(AND(Inputs!$B$38&lt;&gt;"pvp",Inputs!$B$43&gt;0),((Skills!G9*((R878-1)*IF(Skills!H9&gt;0,Skills!I9/Skills!H9,1)+IF(Skills!H9&gt;0,MIN(Skills!I9,MAX(0,MAX(0,Inputs!$B$43-B905)-((R878-1)*(IF(Inputs!$B$38="pvp",15,MAX(0.1,Skills!D9-IF(Skills!E9=TRUE,Inputs!$B$32,0)))*(1-IF(AND(ArtifactsInput!$M$27,Inputs!$B$4="Chapter Hunt"),CHOOSE(ArtifactsInput!$N$27+1,20,24,28,32,36,40),0)/100)))))/Skills!H9,1)))/Inputs!$B$43),G878*Q878)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878*(1-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878*(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878*(1-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878*(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8">
        <f>IF(C878,(H878*N878*IF(AND(Inputs!$B$38&lt;&gt;"pvp",Inputs!$B$43&gt;0),((Skills!G9*((R878-1)*IF(Skills!H9&gt;0,Skills!I9/Skills!H9,1)+IF(Skills!H9&gt;0,MIN(Skills!I9,MAX(0,MAX(0,Inputs!$B$43-B905)-((R878-1)*(IF(Inputs!$B$38="pvp",15,MAX(0.1,Skills!D9-IF(Skills!E9=TRUE,Inputs!$B$32,0)))*(1-IF(AND(ArtifactsInput!$M$27,Inputs!$B$4="Chapter Hunt"),CHOOSE(ArtifactsInput!$N$27+1,20,24,28,32,36,40),0)/100)))))/Skills!H9,1)))/Inputs!$B$43),G878*Q878)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9">
      <c r="A879">
        <f>Skills!A10</f>
        <v/>
      </c>
      <c r="B879">
        <f>Skills!B10</f>
        <v/>
      </c>
      <c r="C879">
        <f>Inputs!$B$3&gt;=63</f>
        <v/>
      </c>
      <c r="D879">
        <f>IF(Skills!C10=1,60+Inputs!$B$25+Inputs!$B$29,IF(Skills!C10=2,90+Inputs!$B$26+Inputs!$B$29,IF(Skills!C10=3,120+Inputs!$B$27+Inputs!$B$29,MAX(0,(Inputs!$B$3-100)*3)+(Inputs!$B$28+1)+Inputs!$B$29)))</f>
        <v/>
      </c>
      <c r="E879">
        <f>INDEX(FactorTable!$B$2:$Y$301, MATCH(ROUND(MIN(300,MAX(1,D879)),0), FactorTable!$A$2:$A$301,0), Skills!M10+1)</f>
        <v/>
      </c>
      <c r="F879">
        <f>IF(Skills!N10=TRUE,(Skills!L10/10)*(E879/1000),Skills!L10/10)+Skills!O10</f>
        <v/>
      </c>
      <c r="G879">
        <f>Skills!G10*IF(Skills!H10&gt;0,Skills!I10/Skills!H10,1)</f>
        <v/>
      </c>
      <c r="H879">
        <f>1-(1-Skills!J10/100)^Skills!K10</f>
        <v/>
      </c>
      <c r="I879" t="inlineStr">
        <is>
          <t>1</t>
        </is>
      </c>
      <c r="J879">
        <f>((Inputs!$B$6*(1+Inputs!$B$7/100))+(((Inputs!$B$12*(1+Inputs!$B$13/100))-(Inputs!$B$12*(1+Inputs!$B$13/100)))+0.25*(Inputs!$B$14-Inputs!$B$14))*(1+Inputs!$B$7/100))*(F879/100)</f>
        <v/>
      </c>
      <c r="K879">
        <f>J879*(1+((Inputs!$B$12*(1+Inputs!$B$13/100))*0.01+Inputs!$B$14*0.0025)/100)*(1+Inputs!$B$15/100)*(1+Inputs!$B$16/100)*(5000/(6000+Inputs!$B$42*(1-(100*(1-(1-(Inputs!$B$19+0)/100)*(1-CHOOSE(ArtifactsInput!$N$40+1,5,6,7,8,9,10)/100)^(ArtifactsInput!$M$40-ArtifactsInput!$M$40)))/100)))*(1+(Inputs!$B$24+((C894=TRUE)*(F894-Calc!F25))+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881=TRUE,F881,0)/100)*(1+IF(Skills!A10="ENHANCED_RAGING_BLOW",IF(Inputs!$B$3&gt;=134,MAX(0,IF(Inputs!$B$3&gt;=110,7,5)-5)*50,0),0)/100)*(1+(IF(Skills!A10="RAGING_BLOW",Inputs!$B$17+((C890=TRUE)*(F890-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892=TRUE)*(F892-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882=TRUE)*F882*IF(Inputs!$B$3&gt;=110,7,5))+((C884=TRUE)*F884*IF(AND(Inputs!$B$38&lt;&gt;"pvp",Inputs!$B$43&gt;0),(((R884-1)*(Skills!T15*(1+(Inputs!$B$34+(ArtifactsInput!$M$7-ArtifactsInput!$M$7)*CHOOSE(ArtifactsInput!$N$7+1,6,7.2,8.4,9.6,10.8,12))/100))+MIN((Skills!T15*(1+(Inputs!$B$34+(ArtifactsInput!$M$7-ArtifactsInput!$M$7)*CHOOSE(ArtifactsInput!$N$7+1,6,7.2,8.4,9.6,10.8,12))/100)),MAX(0,Inputs!$B$43-((R884-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100)*I879)</f>
        <v/>
      </c>
      <c r="L879">
        <f>K879*(MIN(Inputs!$B$22+((C891=TRUE)*(F891-Calc!F22)),(Inputs!$B$23+((C893=TRUE)*(F893-Calc!F24))+(IF(ArtifactsInput!$M$15,CHOOSE(ArtifactsInput!$N$15+1,25,30,35,40,45,50)/100*(Inputs!$B$11-Inputs!$B$11),0))))/100+(Inputs!$B$23+((C893=TRUE)*(F893-Calc!F24))+(IF(ArtifactsInput!$M$15,CHOOSE(ArtifactsInput!$N$15+1,25,30,35,40,45,50)/100*(Inputs!$B$11-Inputs!$B$11),0)))/100)/2</f>
        <v/>
      </c>
      <c r="M879">
        <f>L879*(1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9">
        <f>L879*(1-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879*(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9">
        <f>(1-Summary!$B$11)*T879+Summary!$B$11*V879</f>
        <v/>
      </c>
      <c r="P879">
        <f>IF(B908=0,0,O879/B908)</f>
        <v/>
      </c>
      <c r="Q879">
        <f>IFERROR(1/(IF(Inputs!$B$38="pvp",15,MAX(0.1,Skills!D10-IF(Skills!E10=TRUE,Inputs!$B$32,0)))*(1-IF(AND(ArtifactsInput!$M$27,Inputs!$B$4="Chapter Hunt"),CHOOSE(ArtifactsInput!$N$27+1,20,24,28,32,36,40),0)/100)),0)</f>
        <v/>
      </c>
      <c r="R879">
        <f>IF(AND(Inputs!$B$38&lt;&gt;"pvp",Inputs!$B$43&gt;0),IF(MAX(0,Inputs!$B$43-B905)&lt;=0,0,(INT(MAX(0,Inputs!$B$43-B905)/(IF(Inputs!$B$38="pvp",15,MAX(0.1,Skills!D10-IF(Skills!E10=TRUE,Inputs!$B$32,0)))*(1-IF(AND(ArtifactsInput!$M$27,Inputs!$B$4="Chapter Hunt"),CHOOSE(ArtifactsInput!$N$27+1,20,24,28,32,36,40),0)/100)))+1)),0)</f>
        <v/>
      </c>
      <c r="S879">
        <f>IFERROR(O879/N879,0)</f>
        <v/>
      </c>
      <c r="T879">
        <f>IF(C879,(H879*N879*IF(AND(Inputs!$B$38&lt;&gt;"pvp",Inputs!$B$43&gt;0),((Skills!G10*((R879-1)*IF(Skills!H10&gt;0,Skills!I10/Skills!H10,1)+IF(Skills!H10&gt;0,MIN(Skills!I10,MAX(0,MAX(0,Inputs!$B$43-B905)-((R879-1)*(IF(Inputs!$B$38="pvp",15,MAX(0.1,Skills!D10-IF(Skills!E10=TRUE,Inputs!$B$32,0)))*(1-IF(AND(ArtifactsInput!$M$27,Inputs!$B$4="Chapter Hunt"),CHOOSE(ArtifactsInput!$N$27+1,20,24,28,32,36,40),0)/100)))))/Skills!H10,1)))/Inputs!$B$43),G879*Q879)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879*(1-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879*(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879*(1-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879*(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9">
        <f>IF(C879,(H879*N879*IF(AND(Inputs!$B$38&lt;&gt;"pvp",Inputs!$B$43&gt;0),((Skills!G10*((R879-1)*IF(Skills!H10&gt;0,Skills!I10/Skills!H10,1)+IF(Skills!H10&gt;0,MIN(Skills!I10,MAX(0,MAX(0,Inputs!$B$43-B905)-((R879-1)*(IF(Inputs!$B$38="pvp",15,MAX(0.1,Skills!D10-IF(Skills!E10=TRUE,Inputs!$B$32,0)))*(1-IF(AND(ArtifactsInput!$M$27,Inputs!$B$4="Chapter Hunt"),CHOOSE(ArtifactsInput!$N$27+1,20,24,28,32,36,40),0)/100)))))/Skills!H10,1)))/Inputs!$B$43),G879*Q879)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0">
      <c r="A880">
        <f>Skills!A11</f>
        <v/>
      </c>
      <c r="B880">
        <f>Skills!B11</f>
        <v/>
      </c>
      <c r="C880">
        <f>Inputs!$B$3&gt;=35</f>
        <v/>
      </c>
      <c r="D880">
        <f>IF(Skills!C11=1,60+Inputs!$B$25+Inputs!$B$29,IF(Skills!C11=2,90+Inputs!$B$26+Inputs!$B$29,IF(Skills!C11=3,120+Inputs!$B$27+Inputs!$B$29,MAX(0,(Inputs!$B$3-100)*3)+(Inputs!$B$28+1)+Inputs!$B$29)))</f>
        <v/>
      </c>
      <c r="E880">
        <f>INDEX(FactorTable!$B$2:$Y$301, MATCH(ROUND(MIN(300,MAX(1,D880)),0), FactorTable!$A$2:$A$301,0), Skills!M11+1)</f>
        <v/>
      </c>
      <c r="F880">
        <f>IF(Skills!N11=TRUE,(Skills!L11/10)*(E880/1000),Skills!L11/10)+Skills!O11</f>
        <v/>
      </c>
      <c r="G880">
        <f>Skills!G11*IF(Skills!H11&gt;0,Skills!I11/Skills!H11,1)</f>
        <v/>
      </c>
      <c r="H880">
        <f>1-(1-Skills!J11/100)^Skills!K11</f>
        <v/>
      </c>
      <c r="I880" t="inlineStr">
        <is>
          <t>1</t>
        </is>
      </c>
      <c r="J880">
        <f>((Inputs!$B$6*(1+Inputs!$B$7/100))+(((Inputs!$B$12*(1+Inputs!$B$13/100))-(Inputs!$B$12*(1+Inputs!$B$13/100)))+0.25*(Inputs!$B$14-Inputs!$B$14))*(1+Inputs!$B$7/100))*(F880/100)</f>
        <v/>
      </c>
      <c r="K880">
        <f>J880*(1+((Inputs!$B$12*(1+Inputs!$B$13/100))*0.01+Inputs!$B$14*0.0025)/100)*(1+Inputs!$B$15/100)*(1+Inputs!$B$16/100)*(5000/(6000+Inputs!$B$42*(1-(100*(1-(1-(Inputs!$B$19+0)/100)*(1-CHOOSE(ArtifactsInput!$N$40+1,5,6,7,8,9,10)/100)^(ArtifactsInput!$M$40-ArtifactsInput!$M$40)))/100)))*(1+(Inputs!$B$24+((C894=TRUE)*(F894-Calc!F25))+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881=TRUE,F881,0)/100)*(1+IF(Skills!A11="ENHANCED_RAGING_BLOW",IF(Inputs!$B$3&gt;=134,MAX(0,IF(Inputs!$B$3&gt;=110,7,5)-5)*50,0),0)/100)*(1+(IF(Skills!A11="RAGING_BLOW",Inputs!$B$17+((C890=TRUE)*(F890-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892=TRUE)*(F892-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882=TRUE)*F882*IF(Inputs!$B$3&gt;=110,7,5))+((C884=TRUE)*F884*IF(AND(Inputs!$B$38&lt;&gt;"pvp",Inputs!$B$43&gt;0),(((R884-1)*(Skills!T15*(1+(Inputs!$B$34+(ArtifactsInput!$M$7-ArtifactsInput!$M$7)*CHOOSE(ArtifactsInput!$N$7+1,6,7.2,8.4,9.6,10.8,12))/100))+MIN((Skills!T15*(1+(Inputs!$B$34+(ArtifactsInput!$M$7-ArtifactsInput!$M$7)*CHOOSE(ArtifactsInput!$N$7+1,6,7.2,8.4,9.6,10.8,12))/100)),MAX(0,Inputs!$B$43-((R884-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100)*I880)</f>
        <v/>
      </c>
      <c r="L880">
        <f>K880*(MIN(Inputs!$B$22+((C891=TRUE)*(F891-Calc!F22)),(Inputs!$B$23+((C893=TRUE)*(F893-Calc!F24))+(IF(ArtifactsInput!$M$15,CHOOSE(ArtifactsInput!$N$15+1,25,30,35,40,45,50)/100*(Inputs!$B$11-Inputs!$B$11),0))))/100+(Inputs!$B$23+((C893=TRUE)*(F893-Calc!F24))+(IF(ArtifactsInput!$M$15,CHOOSE(ArtifactsInput!$N$15+1,25,30,35,40,45,50)/100*(Inputs!$B$11-Inputs!$B$11),0)))/100)/2</f>
        <v/>
      </c>
      <c r="M880">
        <f>L880*(1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0">
        <f>L880*(1-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880*(MIN((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0">
        <f>(1-Summary!$B$11)*T880+Summary!$B$11*V880</f>
        <v/>
      </c>
      <c r="P880">
        <f>IF(B908=0,0,O880/B908)</f>
        <v/>
      </c>
      <c r="Q880">
        <f>IFERROR(1/(IF(Inputs!$B$38="pvp",15,MAX(0.1,Skills!D11-IF(Skills!E11=TRUE,Inputs!$B$32,0)))*(1-IF(AND(ArtifactsInput!$M$27,Inputs!$B$4="Chapter Hunt"),CHOOSE(ArtifactsInput!$N$27+1,20,24,28,32,36,40),0)/100)),0)</f>
        <v/>
      </c>
      <c r="R880">
        <f>IF(AND(Inputs!$B$38&lt;&gt;"pvp",Inputs!$B$43&gt;0),IF(MAX(0,Inputs!$B$43-B905)&lt;=0,0,(INT(MAX(0,Inputs!$B$43-B905)/(IF(Inputs!$B$38="pvp",15,MAX(0.1,Skills!D11-IF(Skills!E11=TRUE,Inputs!$B$32,0)))*(1-IF(AND(ArtifactsInput!$M$27,Inputs!$B$4="Chapter Hunt"),CHOOSE(ArtifactsInput!$N$27+1,20,24,28,32,36,40),0)/100)))+1)),0)</f>
        <v/>
      </c>
      <c r="S880">
        <f>IFERROR(O880/N880,0)</f>
        <v/>
      </c>
      <c r="T880">
        <f>IF(C880,(H880*N880*IF(AND(Inputs!$B$38&lt;&gt;"pvp",Inputs!$B$43&gt;0),((Skills!G11*((R880-1)*IF(Skills!H11&gt;0,Skills!I11/Skills!H11,1)+IF(Skills!H11&gt;0,MIN(Skills!I11,MAX(0,MAX(0,Inputs!$B$43-B905)-((R880-1)*(IF(Inputs!$B$38="pvp",15,MAX(0.1,Skills!D11-IF(Skills!E11=TRUE,Inputs!$B$32,0)))*(1-IF(AND(ArtifactsInput!$M$27,Inputs!$B$4="Chapter Hunt"),CHOOSE(ArtifactsInput!$N$27+1,20,24,28,32,36,40),0)/100)))))/Skills!H11,1)))/Inputs!$B$43),G880*Q880)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880*(1-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880*(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880*(1-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880*(MIN(100,(Inputs!$B$9+((C895=TRUE)*(F895-Calc!F26))+B898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0">
        <f>IF(C880,(H880*N880*IF(AND(Inputs!$B$38&lt;&gt;"pvp",Inputs!$B$43&gt;0),((Skills!G11*((R880-1)*IF(Skills!H11&gt;0,Skills!I11/Skills!H11,1)+IF(Skills!H11&gt;0,MIN(Skills!I11,MAX(0,MAX(0,Inputs!$B$43-B905)-((R880-1)*(IF(Inputs!$B$38="pvp",15,MAX(0.1,Skills!D11-IF(Skills!E11=TRUE,Inputs!$B$32,0)))*(1-IF(AND(ArtifactsInput!$M$27,Inputs!$B$4="Chapter Hunt"),CHOOSE(ArtifactsInput!$N$27+1,20,24,28,32,36,40),0)/100)))))/Skills!H11,1)))/Inputs!$B$43),G880*Q880)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1">
      <c r="A881">
        <f>Skills!A12</f>
        <v/>
      </c>
      <c r="B881">
        <f>Skills!B12</f>
        <v/>
      </c>
      <c r="C881">
        <f>Inputs!$B$3&gt;=100</f>
        <v/>
      </c>
      <c r="D881">
        <f>IF(Skills!C12=1,60+Inputs!$B$25+Inputs!$B$29,IF(Skills!C12=2,90+Inputs!$B$26+Inputs!$B$29,IF(Skills!C12=3,120+Inputs!$B$27+Inputs!$B$29,MAX(0,(Inputs!$B$3-100)*3)+(Inputs!$B$28+1)+Inputs!$B$29)))</f>
        <v/>
      </c>
      <c r="E881">
        <f>INDEX(FactorTable!$B$2:$Y$301, MATCH(ROUND(MIN(300,MAX(1,D881)),0), FactorTable!$A$2:$A$301,0), Skills!M12+1)</f>
        <v/>
      </c>
      <c r="F881">
        <f>IF(Skills!N12=TRUE,(Skills!L12/10)*(E881/1000),Skills!L12/10)+Skills!O12</f>
        <v/>
      </c>
      <c r="G881" t="inlineStr"/>
      <c r="H881" t="inlineStr"/>
      <c r="I881" t="inlineStr">
        <is>
          <t>1</t>
        </is>
      </c>
      <c r="J881" t="inlineStr"/>
      <c r="K881" t="inlineStr"/>
      <c r="L881" t="inlineStr"/>
      <c r="M881" t="inlineStr"/>
      <c r="N881" t="inlineStr"/>
      <c r="O881" t="inlineStr"/>
      <c r="P881" t="inlineStr"/>
      <c r="Q881" t="inlineStr"/>
      <c r="R881" t="inlineStr"/>
      <c r="S881" t="inlineStr"/>
    </row>
    <row r="882">
      <c r="A882">
        <f>Skills!A13</f>
        <v/>
      </c>
      <c r="B882">
        <f>Skills!B13</f>
        <v/>
      </c>
      <c r="C882">
        <f>Inputs!$B$3&gt;=45</f>
        <v/>
      </c>
      <c r="D882">
        <f>IF(Skills!C13=1,60+Inputs!$B$25+Inputs!$B$29,IF(Skills!C13=2,90+Inputs!$B$26+Inputs!$B$29,IF(Skills!C13=3,120+Inputs!$B$27+Inputs!$B$29,MAX(0,(Inputs!$B$3-100)*3)+(Inputs!$B$28+1)+Inputs!$B$29)))</f>
        <v/>
      </c>
      <c r="E882">
        <f>INDEX(FactorTable!$B$2:$Y$301, MATCH(ROUND(MIN(300,MAX(1,D882)),0), FactorTable!$A$2:$A$301,0), Skills!M13+1)</f>
        <v/>
      </c>
      <c r="F882">
        <f>IF(Skills!N13=TRUE,(Skills!L13/10)*(E882/1000),Skills!L13/10)+Skills!O13</f>
        <v/>
      </c>
      <c r="G882">
        <f>Skills!G13*IF(Skills!H13&gt;0,Skills!I13/Skills!H13,1)</f>
        <v/>
      </c>
      <c r="H882">
        <f>1-(1-Skills!J13/100)^Skills!K13</f>
        <v/>
      </c>
      <c r="I882" t="inlineStr">
        <is>
          <t>1</t>
        </is>
      </c>
      <c r="J882" t="inlineStr"/>
      <c r="K882" t="inlineStr"/>
      <c r="L882" t="inlineStr"/>
      <c r="M882" t="inlineStr"/>
      <c r="N882" t="inlineStr"/>
      <c r="O882">
        <f>(1-Summary!$B$11)*T882+Summary!$B$11*V882</f>
        <v/>
      </c>
      <c r="P882">
        <f>IF(B908=0,0,O882/B908)</f>
        <v/>
      </c>
      <c r="Q882" t="n">
        <v>0</v>
      </c>
      <c r="R882" t="n">
        <v>0</v>
      </c>
      <c r="S882">
        <f>IFERROR(O882/N882,0)</f>
        <v/>
      </c>
      <c r="T882" t="n">
        <v>0</v>
      </c>
      <c r="V882" t="n">
        <v>0</v>
      </c>
    </row>
    <row r="883">
      <c r="A883">
        <f>Skills!A14</f>
        <v/>
      </c>
      <c r="B883">
        <f>Skills!B14</f>
        <v/>
      </c>
      <c r="C883">
        <f>Inputs!$B$3&gt;=75</f>
        <v/>
      </c>
      <c r="D883">
        <f>IF(Skills!C14=1,60+Inputs!$B$25+Inputs!$B$29,IF(Skills!C14=2,90+Inputs!$B$26+Inputs!$B$29,IF(Skills!C14=3,120+Inputs!$B$27+Inputs!$B$29,MAX(0,(Inputs!$B$3-100)*3)+(Inputs!$B$28+1)+Inputs!$B$29)))</f>
        <v/>
      </c>
      <c r="E883">
        <f>INDEX(FactorTable!$B$2:$Y$301, MATCH(ROUND(MIN(300,MAX(1,D883)),0), FactorTable!$A$2:$A$301,0), Skills!M14+1)</f>
        <v/>
      </c>
      <c r="F883">
        <f>IF(Skills!N14=TRUE,(Skills!L14/10)*(E883/1000),Skills!L14/10)+Skills!O14</f>
        <v/>
      </c>
      <c r="G883">
        <f>Skills!G14*IF(Skills!H14&gt;0,Skills!I14/Skills!H14,1)</f>
        <v/>
      </c>
      <c r="H883">
        <f>1-(1-Skills!J14/100)^Skills!K14</f>
        <v/>
      </c>
      <c r="I883" t="inlineStr">
        <is>
          <t>1</t>
        </is>
      </c>
      <c r="J883" t="inlineStr"/>
      <c r="K883" t="inlineStr"/>
      <c r="L883" t="inlineStr"/>
      <c r="M883" t="inlineStr"/>
      <c r="N883" t="inlineStr"/>
      <c r="O883">
        <f>(1-Summary!$B$11)*T883+Summary!$B$11*V883</f>
        <v/>
      </c>
      <c r="P883">
        <f>IF(B908=0,0,O883/B908)</f>
        <v/>
      </c>
      <c r="Q883" t="n">
        <v>0</v>
      </c>
      <c r="R883" t="n">
        <v>0</v>
      </c>
      <c r="S883">
        <f>IFERROR(O883/N883,0)</f>
        <v/>
      </c>
      <c r="T883" t="n">
        <v>0</v>
      </c>
      <c r="V883" t="n">
        <v>0</v>
      </c>
    </row>
    <row r="884">
      <c r="A884">
        <f>Skills!A15</f>
        <v/>
      </c>
      <c r="B884">
        <f>Skills!B15</f>
        <v/>
      </c>
      <c r="C884">
        <f>Inputs!$B$3&gt;=40</f>
        <v/>
      </c>
      <c r="D884">
        <f>IF(Skills!C15=1,60+Inputs!$B$25+Inputs!$B$29,IF(Skills!C15=2,90+Inputs!$B$26+Inputs!$B$29,IF(Skills!C15=3,120+Inputs!$B$27+Inputs!$B$29,MAX(0,(Inputs!$B$3-100)*3)+(Inputs!$B$28+1)+Inputs!$B$29)))</f>
        <v/>
      </c>
      <c r="E884">
        <f>INDEX(FactorTable!$B$2:$Y$301, MATCH(ROUND(MIN(300,MAX(1,D884)),0), FactorTable!$A$2:$A$301,0), Skills!M15+1)</f>
        <v/>
      </c>
      <c r="F884">
        <f>IF(Skills!N15=TRUE,(Skills!L15/10)*(E884/1000),Skills!L15/10)+Skills!O15</f>
        <v/>
      </c>
      <c r="G884">
        <f>Skills!G15*IF(Skills!H15&gt;0,Skills!I15/Skills!H15,1)</f>
        <v/>
      </c>
      <c r="H884">
        <f>1-(1-Skills!J15/100)^Skills!K15</f>
        <v/>
      </c>
      <c r="I884" t="inlineStr">
        <is>
          <t>1</t>
        </is>
      </c>
      <c r="J884" t="inlineStr"/>
      <c r="K884" t="inlineStr"/>
      <c r="L884" t="inlineStr"/>
      <c r="M884" t="inlineStr"/>
      <c r="N884" t="inlineStr"/>
      <c r="O884">
        <f>(1-Summary!$B$11)*T884+Summary!$B$11*V884</f>
        <v/>
      </c>
      <c r="P884">
        <f>IF(B908=0,0,O884/B908)</f>
        <v/>
      </c>
      <c r="Q884">
        <f>IFERROR(1/(IF(Inputs!$B$38="pvp",15,MAX(0.1,Skills!D15-IF(Skills!E15=TRUE,Inputs!$B$32,0)))*(1-IF(AND(ArtifactsInput!$M$27,Inputs!$B$4="Chapter Hunt"),CHOOSE(ArtifactsInput!$N$27+1,20,24,28,32,36,40),0)/100)),0)</f>
        <v/>
      </c>
      <c r="R884">
        <f>IF(AND(Inputs!$B$38&lt;&gt;"pvp",Inputs!$B$43&gt;0),IF(Inputs!$B$43&lt;=0,0,(INT(Inputs!$B$43/(IF(Inputs!$B$38="pvp",15,MAX(0.1,Skills!D15-IF(Skills!E15=TRUE,Inputs!$B$32,0)))*(1-IF(AND(ArtifactsInput!$M$27,Inputs!$B$4="Chapter Hunt"),CHOOSE(ArtifactsInput!$N$27+1,20,24,28,32,36,40),0)/100)))+1)),0)</f>
        <v/>
      </c>
      <c r="S884">
        <f>IFERROR(O884/N884,0)</f>
        <v/>
      </c>
      <c r="T884" t="n">
        <v>0</v>
      </c>
      <c r="V884" t="n">
        <v>0</v>
      </c>
    </row>
    <row r="885">
      <c r="A885">
        <f>Skills!A16</f>
        <v/>
      </c>
      <c r="B885">
        <f>Skills!B16</f>
        <v/>
      </c>
      <c r="C885">
        <f>Inputs!$B$3&gt;=66</f>
        <v/>
      </c>
      <c r="D885">
        <f>IF(Skills!C16=1,60+Inputs!$B$25+Inputs!$B$29,IF(Skills!C16=2,90+Inputs!$B$26+Inputs!$B$29,IF(Skills!C16=3,120+Inputs!$B$27+Inputs!$B$29,MAX(0,(Inputs!$B$3-100)*3)+(Inputs!$B$28+1)+Inputs!$B$29)))</f>
        <v/>
      </c>
      <c r="E885">
        <f>INDEX(FactorTable!$B$2:$Y$301, MATCH(ROUND(MIN(300,MAX(1,D885)),0), FactorTable!$A$2:$A$301,0), Skills!M16+1)</f>
        <v/>
      </c>
      <c r="F885">
        <f>IF(Skills!N16=TRUE,(Skills!L16/10)*(E885/1000),Skills!L16/10)+Skills!O16</f>
        <v/>
      </c>
      <c r="G885">
        <f>Skills!G16*IF(Skills!H16&gt;0,Skills!I16/Skills!H16,1)</f>
        <v/>
      </c>
      <c r="H885">
        <f>1-(1-Skills!J16/100)^Skills!K16</f>
        <v/>
      </c>
      <c r="I885" t="inlineStr">
        <is>
          <t>1</t>
        </is>
      </c>
      <c r="J885" t="inlineStr"/>
      <c r="K885" t="inlineStr"/>
      <c r="L885" t="inlineStr"/>
      <c r="M885" t="inlineStr"/>
      <c r="N885" t="inlineStr"/>
      <c r="O885">
        <f>(1-Summary!$B$11)*T885+Summary!$B$11*V885</f>
        <v/>
      </c>
      <c r="P885">
        <f>IF(B908=0,0,O885/B908)</f>
        <v/>
      </c>
      <c r="Q885">
        <f>IFERROR(1/(IF(Inputs!$B$38="pvp",15,MAX(0.1,Skills!D16-IF(Skills!E16=TRUE,Inputs!$B$32,0)))*(1-IF(AND(ArtifactsInput!$M$27,Inputs!$B$4="Chapter Hunt"),CHOOSE(ArtifactsInput!$N$27+1,20,24,28,32,36,40),0)/100)),0)</f>
        <v/>
      </c>
      <c r="R885">
        <f>IF(AND(Inputs!$B$38&lt;&gt;"pvp",Inputs!$B$43&gt;0),IF(Inputs!$B$43&lt;=0,0,(INT(Inputs!$B$43/(IF(Inputs!$B$38="pvp",15,MAX(0.1,Skills!D16-IF(Skills!E16=TRUE,Inputs!$B$32,0)))*(1-IF(AND(ArtifactsInput!$M$27,Inputs!$B$4="Chapter Hunt"),CHOOSE(ArtifactsInput!$N$27+1,20,24,28,32,36,40),0)/100)))+1)),0)</f>
        <v/>
      </c>
      <c r="S885">
        <f>IFERROR(O885/N885,0)</f>
        <v/>
      </c>
      <c r="T885" t="n">
        <v>0</v>
      </c>
      <c r="V885" t="n">
        <v>0</v>
      </c>
    </row>
    <row r="886">
      <c r="A886">
        <f>Skills!A17</f>
        <v/>
      </c>
      <c r="B886">
        <f>Skills!B17</f>
        <v/>
      </c>
      <c r="C886">
        <f>Inputs!$B$3&gt;=115</f>
        <v/>
      </c>
      <c r="D886">
        <f>IF(Skills!C17=1,60+Inputs!$B$25+Inputs!$B$29,IF(Skills!C17=2,90+Inputs!$B$26+Inputs!$B$29,IF(Skills!C17=3,120+Inputs!$B$27+Inputs!$B$29,MAX(0,(Inputs!$B$3-100)*3)+(Inputs!$B$28+1)+Inputs!$B$29)))</f>
        <v/>
      </c>
      <c r="E886">
        <f>INDEX(FactorTable!$B$2:$Y$301, MATCH(ROUND(MIN(300,MAX(1,D886)),0), FactorTable!$A$2:$A$301,0), Skills!M17+1)</f>
        <v/>
      </c>
      <c r="F886">
        <f>IF(Skills!N17=TRUE,(Skills!L17/10)*(E886/1000),Skills!L17/10)+Skills!O17</f>
        <v/>
      </c>
      <c r="G886">
        <f>Skills!G17*IF(Skills!H17&gt;0,Skills!I17/Skills!H17,1)</f>
        <v/>
      </c>
      <c r="H886">
        <f>1-(1-Skills!J17/100)^Skills!K17</f>
        <v/>
      </c>
      <c r="I886" t="inlineStr">
        <is>
          <t>1</t>
        </is>
      </c>
      <c r="J886" t="inlineStr"/>
      <c r="K886" t="inlineStr"/>
      <c r="L886" t="inlineStr"/>
      <c r="M886" t="inlineStr"/>
      <c r="N886" t="inlineStr"/>
      <c r="O886">
        <f>(1-Summary!$B$11)*T886+Summary!$B$11*V886</f>
        <v/>
      </c>
      <c r="P886">
        <f>IF(B908=0,0,O886/B908)</f>
        <v/>
      </c>
      <c r="Q886">
        <f>IFERROR(1/(IF(Inputs!$B$38="pvp",15,MAX(0.1,Skills!D17-IF(Skills!E17=TRUE,Inputs!$B$32,0)))*(1-IF(AND(ArtifactsInput!$M$27,Inputs!$B$4="Chapter Hunt"),CHOOSE(ArtifactsInput!$N$27+1,20,24,28,32,36,40),0)/100)),0)</f>
        <v/>
      </c>
      <c r="R886">
        <f>IF(AND(Inputs!$B$38&lt;&gt;"pvp",Inputs!$B$43&gt;0),IF(Inputs!$B$43&lt;=0,0,(INT(Inputs!$B$43/(IF(Inputs!$B$38="pvp",15,MAX(0.1,Skills!D17-IF(Skills!E17=TRUE,Inputs!$B$32,0)))*(1-IF(AND(ArtifactsInput!$M$27,Inputs!$B$4="Chapter Hunt"),CHOOSE(ArtifactsInput!$N$27+1,20,24,28,32,36,40),0)/100)))+1)),0)</f>
        <v/>
      </c>
      <c r="S886">
        <f>IFERROR(O886/N886,0)</f>
        <v/>
      </c>
      <c r="T886" t="n">
        <v>0</v>
      </c>
      <c r="V886" t="n">
        <v>0</v>
      </c>
    </row>
    <row r="887">
      <c r="A887">
        <f>Skills!A18</f>
        <v/>
      </c>
      <c r="B887">
        <f>Skills!B18</f>
        <v/>
      </c>
      <c r="C887">
        <f>Inputs!$B$3&gt;=115</f>
        <v/>
      </c>
      <c r="D887">
        <f>IF(Skills!C18=1,60+Inputs!$B$25+Inputs!$B$29,IF(Skills!C18=2,90+Inputs!$B$26+Inputs!$B$29,IF(Skills!C18=3,120+Inputs!$B$27+Inputs!$B$29,MAX(0,(Inputs!$B$3-100)*3)+(Inputs!$B$28+1)+Inputs!$B$29)))</f>
        <v/>
      </c>
      <c r="E887">
        <f>INDEX(FactorTable!$B$2:$Y$301, MATCH(ROUND(MIN(300,MAX(1,D887)),0), FactorTable!$A$2:$A$301,0), Skills!M18+1)</f>
        <v/>
      </c>
      <c r="F887">
        <f>IF(Skills!N18=TRUE,(Skills!L18/10)*(E887/1000),Skills!L18/10)+Skills!O18</f>
        <v/>
      </c>
      <c r="G887">
        <f>Skills!G18*IF(Skills!H18&gt;0,Skills!I18/Skills!H18,1)</f>
        <v/>
      </c>
      <c r="H887">
        <f>1-(1-Skills!J18/100)^Skills!K18</f>
        <v/>
      </c>
      <c r="I887" t="inlineStr">
        <is>
          <t>1</t>
        </is>
      </c>
      <c r="J887" t="inlineStr"/>
      <c r="K887" t="inlineStr"/>
      <c r="L887" t="inlineStr"/>
      <c r="M887" t="inlineStr"/>
      <c r="N887" t="inlineStr"/>
      <c r="O887">
        <f>(1-Summary!$B$11)*T887+Summary!$B$11*V887</f>
        <v/>
      </c>
      <c r="P887">
        <f>IF(B908=0,0,O887/B908)</f>
        <v/>
      </c>
      <c r="Q887">
        <f>IFERROR(1/(IF(Inputs!$B$38="pvp",15,MAX(0.1,Skills!D18-IF(Skills!E18=TRUE,Inputs!$B$32,0)))*(1-IF(AND(ArtifactsInput!$M$27,Inputs!$B$4="Chapter Hunt"),CHOOSE(ArtifactsInput!$N$27+1,20,24,28,32,36,40),0)/100)),0)</f>
        <v/>
      </c>
      <c r="R887">
        <f>IF(AND(Inputs!$B$38&lt;&gt;"pvp",Inputs!$B$43&gt;0),IF(Inputs!$B$43&lt;=0,0,(INT(Inputs!$B$43/(IF(Inputs!$B$38="pvp",15,MAX(0.1,Skills!D18-IF(Skills!E18=TRUE,Inputs!$B$32,0)))*(1-IF(AND(ArtifactsInput!$M$27,Inputs!$B$4="Chapter Hunt"),CHOOSE(ArtifactsInput!$N$27+1,20,24,28,32,36,40),0)/100)))+1)),0)</f>
        <v/>
      </c>
      <c r="S887">
        <f>IFERROR(O887/N887,0)</f>
        <v/>
      </c>
      <c r="T887" t="n">
        <v>0</v>
      </c>
      <c r="V887" t="n">
        <v>0</v>
      </c>
    </row>
    <row r="888">
      <c r="A888">
        <f>Skills!A19</f>
        <v/>
      </c>
      <c r="B888">
        <f>Skills!B19</f>
        <v/>
      </c>
      <c r="C888">
        <f>TRUE</f>
        <v/>
      </c>
      <c r="D888">
        <f>IF(Skills!C19=1,60+Inputs!$B$25+Inputs!$B$29,IF(Skills!C19=2,90+Inputs!$B$26+Inputs!$B$29,IF(Skills!C19=3,120+Inputs!$B$27+Inputs!$B$29,MAX(0,(Inputs!$B$3-100)*3)+(Inputs!$B$28+1)+Inputs!$B$29)))</f>
        <v/>
      </c>
      <c r="E888">
        <f>INDEX(FactorTable!$B$2:$Y$301, MATCH(ROUND(MIN(300,MAX(1,D888)),0), FactorTable!$A$2:$A$301,0), Skills!M19+1)</f>
        <v/>
      </c>
      <c r="F888">
        <f>IF(Skills!N19=TRUE,(Skills!L19/10)*(E888/1000),Skills!L19/10)+Skills!O19</f>
        <v/>
      </c>
      <c r="G888">
        <f>Skills!G19*IF(Skills!H19&gt;0,Skills!I19/Skills!H19,1)</f>
        <v/>
      </c>
      <c r="H888">
        <f>1-(1-Skills!J19/100)^Skills!K19</f>
        <v/>
      </c>
      <c r="I888" t="inlineStr">
        <is>
          <t>1</t>
        </is>
      </c>
      <c r="J888" t="inlineStr"/>
      <c r="K888" t="inlineStr"/>
      <c r="L888" t="inlineStr"/>
      <c r="M888" t="inlineStr"/>
      <c r="N888" t="inlineStr"/>
      <c r="O888">
        <f>(1-Summary!$B$11)*T888+Summary!$B$11*V888</f>
        <v/>
      </c>
      <c r="P888">
        <f>IF(B908=0,0,O888/B908)</f>
        <v/>
      </c>
      <c r="Q888">
        <f>IFERROR(1/(IF(Inputs!$B$38="pvp",15,MAX(0.1,Skills!D19-IF(Skills!E19=TRUE,Inputs!$B$32,0)))*(1-IF(AND(ArtifactsInput!$M$27,Inputs!$B$4="Chapter Hunt"),CHOOSE(ArtifactsInput!$N$27+1,20,24,28,32,36,40),0)/100)),0)</f>
        <v/>
      </c>
      <c r="R888">
        <f>IF(AND(Inputs!$B$38&lt;&gt;"pvp",Inputs!$B$43&gt;0),IF(Inputs!$B$43&lt;=0,0,(INT(Inputs!$B$43/(IF(Inputs!$B$38="pvp",15,MAX(0.1,Skills!D19-IF(Skills!E19=TRUE,Inputs!$B$32,0)))*(1-IF(AND(ArtifactsInput!$M$27,Inputs!$B$4="Chapter Hunt"),CHOOSE(ArtifactsInput!$N$27+1,20,24,28,32,36,40),0)/100)))+1)),0)</f>
        <v/>
      </c>
      <c r="S888">
        <f>IFERROR(O888/N888,0)</f>
        <v/>
      </c>
      <c r="T888" t="n">
        <v>0</v>
      </c>
      <c r="V888" t="n">
        <v>0</v>
      </c>
    </row>
    <row r="889">
      <c r="A889">
        <f>Skills!A20</f>
        <v/>
      </c>
      <c r="B889">
        <f>Skills!B20</f>
        <v/>
      </c>
      <c r="C889">
        <f>Inputs!$B$3&gt;=33</f>
        <v/>
      </c>
      <c r="D889">
        <f>IF(Skills!C20=1,60+Inputs!$B$25+Inputs!$B$29,IF(Skills!C20=2,90+Inputs!$B$26+Inputs!$B$29,IF(Skills!C20=3,120+Inputs!$B$27+Inputs!$B$29,MAX(0,(Inputs!$B$3-100)*3)+(Inputs!$B$28+1)+Inputs!$B$29)))</f>
        <v/>
      </c>
      <c r="E889">
        <f>INDEX(FactorTable!$B$2:$Y$301, MATCH(ROUND(MIN(300,MAX(1,D889)),0), FactorTable!$A$2:$A$301,0), Skills!M20+1)</f>
        <v/>
      </c>
      <c r="F889">
        <f>IF(Skills!N20=TRUE,(Skills!L20/10)*(E889/1000),Skills!L20/10)+Skills!O20</f>
        <v/>
      </c>
      <c r="G889">
        <f>Skills!G20*IF(Skills!H20&gt;0,Skills!I20/Skills!H20,1)</f>
        <v/>
      </c>
      <c r="H889">
        <f>1-(1-Skills!J20/100)^Skills!K20</f>
        <v/>
      </c>
      <c r="I889" t="inlineStr">
        <is>
          <t>1</t>
        </is>
      </c>
      <c r="J889" t="inlineStr"/>
      <c r="K889" t="inlineStr"/>
      <c r="L889" t="inlineStr"/>
      <c r="M889" t="inlineStr"/>
      <c r="N889" t="inlineStr"/>
      <c r="O889">
        <f>(1-Summary!$B$11)*T889+Summary!$B$11*V889</f>
        <v/>
      </c>
      <c r="P889">
        <f>IF(B908=0,0,O889/B908)</f>
        <v/>
      </c>
      <c r="Q889" t="n">
        <v>0</v>
      </c>
      <c r="R889" t="n">
        <v>0</v>
      </c>
      <c r="S889">
        <f>IFERROR(O889/N889,0)</f>
        <v/>
      </c>
      <c r="T889" t="n">
        <v>0</v>
      </c>
      <c r="V889" t="n">
        <v>0</v>
      </c>
    </row>
    <row r="890">
      <c r="A890">
        <f>Skills!A21</f>
        <v/>
      </c>
      <c r="B890">
        <f>Skills!B21</f>
        <v/>
      </c>
      <c r="C890">
        <f>Inputs!$B$3&gt;=38</f>
        <v/>
      </c>
      <c r="D890">
        <f>IF(Skills!C21=1,60+Inputs!$B$25+Inputs!$B$29,IF(Skills!C21=2,90+Inputs!$B$26+Inputs!$B$29,IF(Skills!C21=3,120+Inputs!$B$27+Inputs!$B$29,MAX(0,(Inputs!$B$3-100)*3)+(Inputs!$B$28+1)+Inputs!$B$29)))</f>
        <v/>
      </c>
      <c r="E890">
        <f>INDEX(FactorTable!$B$2:$Y$301, MATCH(ROUND(MIN(300,MAX(1,D890)),0), FactorTable!$A$2:$A$301,0), Skills!M21+1)</f>
        <v/>
      </c>
      <c r="F890">
        <f>IF(Skills!N21=TRUE,(Skills!L21/10)*(E890/1000),Skills!L21/10)+Skills!O21</f>
        <v/>
      </c>
      <c r="G890">
        <f>Skills!G21*IF(Skills!H21&gt;0,Skills!I21/Skills!H21,1)</f>
        <v/>
      </c>
      <c r="H890">
        <f>1-(1-Skills!J21/100)^Skills!K21</f>
        <v/>
      </c>
      <c r="I890" t="inlineStr">
        <is>
          <t>1</t>
        </is>
      </c>
      <c r="J890" t="inlineStr"/>
      <c r="K890" t="inlineStr"/>
      <c r="L890" t="inlineStr"/>
      <c r="M890" t="inlineStr"/>
      <c r="N890" t="inlineStr"/>
      <c r="O890">
        <f>(1-Summary!$B$11)*T890+Summary!$B$11*V890</f>
        <v/>
      </c>
      <c r="P890">
        <f>IF(B908=0,0,O890/B908)</f>
        <v/>
      </c>
      <c r="Q890" t="n">
        <v>0</v>
      </c>
      <c r="R890" t="n">
        <v>0</v>
      </c>
      <c r="S890">
        <f>IFERROR(O890/N890,0)</f>
        <v/>
      </c>
      <c r="T890" t="n">
        <v>0</v>
      </c>
      <c r="V890" t="n">
        <v>0</v>
      </c>
    </row>
    <row r="891">
      <c r="A891">
        <f>Skills!A22</f>
        <v/>
      </c>
      <c r="B891">
        <f>Skills!B22</f>
        <v/>
      </c>
      <c r="C891">
        <f>Inputs!$B$3&gt;=43</f>
        <v/>
      </c>
      <c r="D891">
        <f>IF(Skills!C22=1,60+Inputs!$B$25+Inputs!$B$29,IF(Skills!C22=2,90+Inputs!$B$26+Inputs!$B$29,IF(Skills!C22=3,120+Inputs!$B$27+Inputs!$B$29,MAX(0,(Inputs!$B$3-100)*3)+(Inputs!$B$28+1)+Inputs!$B$29)))</f>
        <v/>
      </c>
      <c r="E891">
        <f>INDEX(FactorTable!$B$2:$Y$301, MATCH(ROUND(MIN(300,MAX(1,D891)),0), FactorTable!$A$2:$A$301,0), Skills!M22+1)</f>
        <v/>
      </c>
      <c r="F891">
        <f>IF(Skills!N22=TRUE,(Skills!L22/10)*(E891/1000),Skills!L22/10)+Skills!O22</f>
        <v/>
      </c>
      <c r="G891">
        <f>Skills!G22*IF(Skills!H22&gt;0,Skills!I22/Skills!H22,1)</f>
        <v/>
      </c>
      <c r="H891">
        <f>1-(1-Skills!J22/100)^Skills!K22</f>
        <v/>
      </c>
      <c r="I891" t="inlineStr">
        <is>
          <t>1</t>
        </is>
      </c>
      <c r="J891" t="inlineStr"/>
      <c r="K891" t="inlineStr"/>
      <c r="L891" t="inlineStr"/>
      <c r="M891" t="inlineStr"/>
      <c r="N891" t="inlineStr"/>
      <c r="O891">
        <f>(1-Summary!$B$11)*T891+Summary!$B$11*V891</f>
        <v/>
      </c>
      <c r="P891">
        <f>IF(B908=0,0,O891/B908)</f>
        <v/>
      </c>
      <c r="Q891" t="n">
        <v>0</v>
      </c>
      <c r="R891" t="n">
        <v>0</v>
      </c>
      <c r="S891">
        <f>IFERROR(O891/N891,0)</f>
        <v/>
      </c>
      <c r="T891" t="n">
        <v>0</v>
      </c>
      <c r="V891" t="n">
        <v>0</v>
      </c>
    </row>
    <row r="892">
      <c r="A892">
        <f>Skills!A23</f>
        <v/>
      </c>
      <c r="B892">
        <f>Skills!B23</f>
        <v/>
      </c>
      <c r="C892">
        <f>Inputs!$B$3&gt;=120</f>
        <v/>
      </c>
      <c r="D892">
        <f>IF(Skills!C23=1,60+Inputs!$B$25+Inputs!$B$29,IF(Skills!C23=2,90+Inputs!$B$26+Inputs!$B$29,IF(Skills!C23=3,120+Inputs!$B$27+Inputs!$B$29,MAX(0,(Inputs!$B$3-100)*3)+(Inputs!$B$28+1)+Inputs!$B$29)))</f>
        <v/>
      </c>
      <c r="E892">
        <f>INDEX(FactorTable!$B$2:$Y$301, MATCH(ROUND(MIN(300,MAX(1,D892)),0), FactorTable!$A$2:$A$301,0), Skills!M23+1)</f>
        <v/>
      </c>
      <c r="F892">
        <f>IF(Skills!N23=TRUE,(Skills!L23/10)*(E892/1000),Skills!L23/10)+Skills!O23</f>
        <v/>
      </c>
      <c r="G892">
        <f>Skills!G23*IF(Skills!H23&gt;0,Skills!I23/Skills!H23,1)</f>
        <v/>
      </c>
      <c r="H892">
        <f>1-(1-Skills!J23/100)^Skills!K23</f>
        <v/>
      </c>
      <c r="I892" t="inlineStr">
        <is>
          <t>1</t>
        </is>
      </c>
      <c r="J892" t="inlineStr"/>
      <c r="K892" t="inlineStr"/>
      <c r="L892" t="inlineStr"/>
      <c r="M892" t="inlineStr"/>
      <c r="N892" t="inlineStr"/>
      <c r="O892">
        <f>(1-Summary!$B$11)*T892+Summary!$B$11*V892</f>
        <v/>
      </c>
      <c r="P892">
        <f>IF(B908=0,0,O892/B908)</f>
        <v/>
      </c>
      <c r="Q892" t="n">
        <v>0</v>
      </c>
      <c r="R892" t="n">
        <v>0</v>
      </c>
      <c r="S892">
        <f>IFERROR(O892/N892,0)</f>
        <v/>
      </c>
      <c r="T892" t="n">
        <v>0</v>
      </c>
      <c r="V892" t="n">
        <v>0</v>
      </c>
    </row>
    <row r="893">
      <c r="A893">
        <f>Skills!A24</f>
        <v/>
      </c>
      <c r="B893">
        <f>Skills!B24</f>
        <v/>
      </c>
      <c r="C893">
        <f>Inputs!$B$3&gt;=120</f>
        <v/>
      </c>
      <c r="D893">
        <f>IF(Skills!C24=1,60+Inputs!$B$25+Inputs!$B$29,IF(Skills!C24=2,90+Inputs!$B$26+Inputs!$B$29,IF(Skills!C24=3,120+Inputs!$B$27+Inputs!$B$29,MAX(0,(Inputs!$B$3-100)*3)+(Inputs!$B$28+1)+Inputs!$B$29)))</f>
        <v/>
      </c>
      <c r="E893">
        <f>INDEX(FactorTable!$B$2:$Y$301, MATCH(ROUND(MIN(300,MAX(1,D893)),0), FactorTable!$A$2:$A$301,0), Skills!M24+1)</f>
        <v/>
      </c>
      <c r="F893">
        <f>IF(Skills!N24=TRUE,(Skills!L24/10)*(E893/1000),Skills!L24/10)+Skills!O24</f>
        <v/>
      </c>
      <c r="G893">
        <f>Skills!G24*IF(Skills!H24&gt;0,Skills!I24/Skills!H24,1)</f>
        <v/>
      </c>
      <c r="H893">
        <f>1-(1-Skills!J24/100)^Skills!K24</f>
        <v/>
      </c>
      <c r="I893" t="inlineStr">
        <is>
          <t>1</t>
        </is>
      </c>
      <c r="J893" t="inlineStr"/>
      <c r="K893" t="inlineStr"/>
      <c r="L893" t="inlineStr"/>
      <c r="M893" t="inlineStr"/>
      <c r="N893" t="inlineStr"/>
      <c r="O893">
        <f>(1-Summary!$B$11)*T893+Summary!$B$11*V893</f>
        <v/>
      </c>
      <c r="P893">
        <f>IF(B908=0,0,O893/B908)</f>
        <v/>
      </c>
      <c r="Q893" t="n">
        <v>0</v>
      </c>
      <c r="R893" t="n">
        <v>0</v>
      </c>
      <c r="S893">
        <f>IFERROR(O893/N893,0)</f>
        <v/>
      </c>
      <c r="T893" t="n">
        <v>0</v>
      </c>
      <c r="V893" t="n">
        <v>0</v>
      </c>
    </row>
    <row r="894">
      <c r="A894">
        <f>Skills!A25</f>
        <v/>
      </c>
      <c r="B894">
        <f>Skills!B25</f>
        <v/>
      </c>
      <c r="C894">
        <f>Inputs!$B$3&gt;=125</f>
        <v/>
      </c>
      <c r="D894">
        <f>IF(Skills!C25=1,60+Inputs!$B$25+Inputs!$B$29,IF(Skills!C25=2,90+Inputs!$B$26+Inputs!$B$29,IF(Skills!C25=3,120+Inputs!$B$27+Inputs!$B$29,MAX(0,(Inputs!$B$3-100)*3)+(Inputs!$B$28+1)+Inputs!$B$29)))</f>
        <v/>
      </c>
      <c r="E894">
        <f>INDEX(FactorTable!$B$2:$Y$301, MATCH(ROUND(MIN(300,MAX(1,D894)),0), FactorTable!$A$2:$A$301,0), Skills!M25+1)</f>
        <v/>
      </c>
      <c r="F894">
        <f>IF(Skills!N25=TRUE,(Skills!L25/10)*(E894/1000),Skills!L25/10)+Skills!O25</f>
        <v/>
      </c>
      <c r="G894">
        <f>Skills!G25*IF(Skills!H25&gt;0,Skills!I25/Skills!H25,1)</f>
        <v/>
      </c>
      <c r="H894">
        <f>1-(1-Skills!J25/100)^Skills!K25</f>
        <v/>
      </c>
      <c r="I894" t="inlineStr">
        <is>
          <t>1</t>
        </is>
      </c>
      <c r="J894" t="inlineStr"/>
      <c r="K894" t="inlineStr"/>
      <c r="L894" t="inlineStr"/>
      <c r="M894" t="inlineStr"/>
      <c r="N894" t="inlineStr"/>
      <c r="O894">
        <f>(1-Summary!$B$11)*T894+Summary!$B$11*V894</f>
        <v/>
      </c>
      <c r="P894">
        <f>IF(B908=0,0,O894/B908)</f>
        <v/>
      </c>
      <c r="Q894" t="n">
        <v>0</v>
      </c>
      <c r="R894" t="n">
        <v>0</v>
      </c>
      <c r="S894">
        <f>IFERROR(O894/N894,0)</f>
        <v/>
      </c>
      <c r="T894" t="n">
        <v>0</v>
      </c>
      <c r="V894" t="n">
        <v>0</v>
      </c>
    </row>
    <row r="895">
      <c r="A895">
        <f>Skills!A26</f>
        <v/>
      </c>
      <c r="B895">
        <f>Skills!B26</f>
        <v/>
      </c>
      <c r="C895">
        <f>Inputs!$B$3&gt;=72</f>
        <v/>
      </c>
      <c r="D895">
        <f>IF(Skills!C26=1,60+Inputs!$B$25+Inputs!$B$29,IF(Skills!C26=2,90+Inputs!$B$26+Inputs!$B$29,IF(Skills!C26=3,120+Inputs!$B$27+Inputs!$B$29,MAX(0,(Inputs!$B$3-100)*3)+(Inputs!$B$28+1)+Inputs!$B$29)))</f>
        <v/>
      </c>
      <c r="E895">
        <f>INDEX(FactorTable!$B$2:$Y$301, MATCH(ROUND(MIN(300,MAX(1,D895)),0), FactorTable!$A$2:$A$301,0), Skills!M26+1)</f>
        <v/>
      </c>
      <c r="F895">
        <f>IF(Skills!N26=TRUE,(Skills!L26/10)*(E895/1000),Skills!L26/10)+Skills!O26</f>
        <v/>
      </c>
      <c r="G895">
        <f>Skills!G26*IF(Skills!H26&gt;0,Skills!I26/Skills!H26,1)</f>
        <v/>
      </c>
      <c r="H895">
        <f>1-(1-Skills!J26/100)^Skills!K26</f>
        <v/>
      </c>
      <c r="I895" t="inlineStr">
        <is>
          <t>1</t>
        </is>
      </c>
      <c r="J895" t="inlineStr"/>
      <c r="K895" t="inlineStr"/>
      <c r="L895" t="inlineStr"/>
      <c r="M895" t="inlineStr"/>
      <c r="N895" t="inlineStr"/>
      <c r="O895">
        <f>(1-Summary!$B$11)*T895+Summary!$B$11*V895</f>
        <v/>
      </c>
      <c r="P895">
        <f>IF(B908=0,0,O895/B908)</f>
        <v/>
      </c>
      <c r="Q895" t="n">
        <v>0</v>
      </c>
      <c r="R895" t="n">
        <v>0</v>
      </c>
      <c r="S895">
        <f>IFERROR(O895/N895,0)</f>
        <v/>
      </c>
      <c r="T895" t="n">
        <v>0</v>
      </c>
      <c r="V895" t="n">
        <v>0</v>
      </c>
    </row>
    <row r="897">
      <c r="A897" t="inlineStr">
        <is>
          <t>Attack% Bucket Multiplier</t>
        </is>
      </c>
      <c r="B897">
        <f>(1+(((C882=TRUE)*F882*IF(Inputs!$B$3&gt;=110,7,5))+((C884=TRUE)*F884*IF(AND(Inputs!$B$38&lt;&gt;"pvp",Inputs!$B$43&gt;0),(((R884-1)*(Skills!T15*(1+(Inputs!$B$34+(ArtifactsInput!$M$7-ArtifactsInput!$M$7)*CHOOSE(ArtifactsInput!$N$7+1,6,7.2,8.4,9.6,10.8,12))/100))+MIN((Skills!T15*(1+(Inputs!$B$34+(ArtifactsInput!$M$7-ArtifactsInput!$M$7)*CHOOSE(ArtifactsInput!$N$7+1,6,7.2,8.4,9.6,10.8,12))/100)),MAX(0,Inputs!$B$43-((R884-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98">
      <c r="A898" t="inlineStr">
        <is>
          <t>Global Crit Rate Bonus %</t>
        </is>
      </c>
      <c r="B898" t="n">
        <v>0</v>
      </c>
    </row>
    <row r="899">
      <c r="A899" t="inlineStr">
        <is>
          <t>Attack Speed Buff Bonus %</t>
        </is>
      </c>
      <c r="B899">
        <f>((C888=TRUE)*F888*IF(AND(Inputs!$B$38&lt;&gt;"pvp",Inputs!$B$43&gt;0),(((R888-1)*(Skills!T19*(1+(Inputs!$B$34+(ArtifactsInput!$M$7-ArtifactsInput!$M$7)*CHOOSE(ArtifactsInput!$N$7+1,6,7.2,8.4,9.6,10.8,12))/100))+MIN((Skills!T19*(1+(Inputs!$B$34+(ArtifactsInput!$M$7-ArtifactsInput!$M$7)*CHOOSE(ArtifactsInput!$N$7+1,6,7.2,8.4,9.6,10.8,12))/100)),MAX(0,Inputs!$B$43-((R888-1)*Skills!D19))))/Inputs!$B$43),IF(Inputs!$B$38="pvp",MIN((Skills!T19*(1+(Inputs!$B$34+(ArtifactsInput!$M$7-ArtifactsInput!$M$7)*CHOOSE(ArtifactsInput!$N$7+1,6,7.2,8.4,9.6,10.8,12))/100)),15)/15,(Skills!T19*(1+(Inputs!$B$34+(ArtifactsInput!$M$7-ArtifactsInput!$M$7)*CHOOSE(ArtifactsInput!$N$7+1,6,7.2,8.4,9.6,10.8,12))/100))/Skills!D19)))</f>
        <v/>
      </c>
    </row>
    <row r="900">
      <c r="A900" t="inlineStr">
        <is>
          <t>Actions Per Second</t>
        </is>
      </c>
      <c r="B900">
        <f>1+MIN(150,150*(1-(1-(Inputs!$B$11+((C889=TRUE)*(F889-Calc!F20)))/150)*(1-B899/150)))/100</f>
        <v/>
      </c>
    </row>
    <row r="901">
      <c r="A901" t="inlineStr">
        <is>
          <t>Skill + Buff Cast Rate</t>
        </is>
      </c>
      <c r="B901">
        <f>IF(AND(Inputs!$B$38&lt;&gt;"pvp",Inputs!$B$43&gt;0),SUMPRODUCT((Skills!E2:E26=TRUE)*(C871:C895=TRUE)*R871:R895*Skills!F2:F26)/Inputs!$B$43,SUMPRODUCT((Skills!E2:E26=TRUE)*(C871:C895=TRUE)*Q871:Q895*Skills!F2:F26))</f>
        <v/>
      </c>
    </row>
    <row r="902">
      <c r="A902" t="inlineStr">
        <is>
          <t>Raging Blow Casts Per Second</t>
        </is>
      </c>
      <c r="B902">
        <f>MAX(0,B900-B901)</f>
        <v/>
      </c>
    </row>
    <row r="903">
      <c r="A903" t="inlineStr">
        <is>
          <t>Global Critical Damage Bonus % (Enrage)</t>
        </is>
      </c>
      <c r="B903">
        <f>((C887=TRUE)*F887*IF(AND(Inputs!$B$38&lt;&gt;"pvp",Inputs!$B$43&gt;0),(((R887-1)*(Skills!T18*(1+(Inputs!$B$34+(ArtifactsInput!$M$7-ArtifactsInput!$M$7)*CHOOSE(ArtifactsInput!$N$7+1,6,7.2,8.4,9.6,10.8,12))/100))+MIN((Skills!T18*(1+(Inputs!$B$34+(ArtifactsInput!$M$7-ArtifactsInput!$M$7)*CHOOSE(ArtifactsInput!$N$7+1,6,7.2,8.4,9.6,10.8,12))/100)),MAX(0,Inputs!$B$43-((R887-1)*Skills!D18))))/Inputs!$B$43),IF(Inputs!$B$38="pvp",MIN((Skills!T18*(1+(Inputs!$B$34+(ArtifactsInput!$M$7-ArtifactsInput!$M$7)*CHOOSE(ArtifactsInput!$N$7+1,6,7.2,8.4,9.6,10.8,12))/100)),15)/15,(Skills!T18*(1+(Inputs!$B$34+(ArtifactsInput!$M$7-ArtifactsInput!$M$7)*CHOOSE(ArtifactsInput!$N$7+1,6,7.2,8.4,9.6,10.8,12))/100))/Skills!D18)))</f>
        <v/>
      </c>
    </row>
    <row r="904">
      <c r="A904" t="inlineStr">
        <is>
          <t>Global Final Damage Bonus % (Enrage + Combo Synergy)</t>
        </is>
      </c>
      <c r="B904">
        <f>((C886=TRUE)*F886*IF(AND(Inputs!$B$38&lt;&gt;"pvp",Inputs!$B$43&gt;0),(((R886-1)*(Skills!T17*(1+(Inputs!$B$34+(ArtifactsInput!$M$7-ArtifactsInput!$M$7)*CHOOSE(ArtifactsInput!$N$7+1,6,7.2,8.4,9.6,10.8,12))/100))+MIN((Skills!T17*(1+(Inputs!$B$34+(ArtifactsInput!$M$7-ArtifactsInput!$M$7)*CHOOSE(ArtifactsInput!$N$7+1,6,7.2,8.4,9.6,10.8,12))/100)),MAX(0,Inputs!$B$43-((R886-1)*Skills!D17))))/Inputs!$B$43),IF(Inputs!$B$38="pvp",MIN((Skills!T17*(1+(Inputs!$B$34+(ArtifactsInput!$M$7-ArtifactsInput!$M$7)*CHOOSE(ArtifactsInput!$N$7+1,6,7.2,8.4,9.6,10.8,12))/100)),15)/15,(Skills!T17*(1+(Inputs!$B$34+(ArtifactsInput!$M$7-ArtifactsInput!$M$7)*CHOOSE(ArtifactsInput!$N$7+1,6,7.2,8.4,9.6,10.8,12))/100))/Skills!D17)))+((C883=TRUE)*F883*IF(Inputs!$B$3&gt;=110,7,5))</f>
        <v/>
      </c>
    </row>
    <row r="905">
      <c r="A905" t="inlineStr">
        <is>
          <t>Buff-Casting Startup Delay (s, fixed-duration only)</t>
        </is>
      </c>
      <c r="B905">
        <f>IF(AND(Inputs!$B$38&lt;&gt;"pvp",Inputs!$B$43&gt;0),SUMPRODUCT((Skills!T2:T26&gt;0)*(Skills!E2:E26=TRUE)*(C871:C895=TRUE))/B900,0)</f>
        <v/>
      </c>
    </row>
    <row r="906">
      <c r="A906" t="inlineStr">
        <is>
          <t>Boss-Only Total DPS (this block's swept value)</t>
        </is>
      </c>
      <c r="B906">
        <f>SUM(T871:T895)</f>
        <v/>
      </c>
    </row>
    <row r="907">
      <c r="A907" t="inlineStr">
        <is>
          <t>Normal-Only Total DPS (this block's swept value)</t>
        </is>
      </c>
      <c r="B907">
        <f>SUM(V871:V895)</f>
        <v/>
      </c>
    </row>
    <row r="908">
      <c r="A908" s="6" t="inlineStr">
        <is>
          <t>TOTAL DPS</t>
        </is>
      </c>
      <c r="B908" s="6">
        <f>SUM(O871:O895)</f>
        <v/>
      </c>
    </row>
    <row r="911">
      <c r="A911" s="6" t="inlineStr">
        <is>
          <t>Stat: Skill Level Bonus — All Skills</t>
        </is>
      </c>
    </row>
    <row r="912">
      <c r="A912" s="5" t="inlineStr">
        <is>
          <t>Key</t>
        </is>
      </c>
      <c r="B912" s="5" t="inlineStr">
        <is>
          <t>Name</t>
        </is>
      </c>
      <c r="C912" s="5" t="inlineStr">
        <is>
          <t>Unlocked</t>
        </is>
      </c>
      <c r="D912" s="5" t="inlineStr">
        <is>
          <t>InputLevel</t>
        </is>
      </c>
      <c r="E912" s="5" t="inlineStr">
        <is>
          <t>Factor</t>
        </is>
      </c>
      <c r="F912" s="5" t="inlineStr">
        <is>
          <t>CoefficientPercent</t>
        </is>
      </c>
      <c r="G912" s="5" t="inlineStr">
        <is>
          <t>EffectiveHits</t>
        </is>
      </c>
      <c r="H912" s="5" t="inlineStr">
        <is>
          <t>ProcProbability</t>
        </is>
      </c>
      <c r="I912" s="5" t="inlineStr">
        <is>
          <t>MapleHeroMultiplier</t>
        </is>
      </c>
      <c r="J912" s="5" t="inlineStr">
        <is>
          <t>BaseDamage</t>
        </is>
      </c>
      <c r="K912" s="5" t="inlineStr">
        <is>
          <t>BaseHitDamage</t>
        </is>
      </c>
      <c r="L912" s="5" t="inlineStr">
        <is>
          <t>NonCritAvg</t>
        </is>
      </c>
      <c r="M912" s="5" t="inlineStr">
        <is>
          <t>CritAvg</t>
        </is>
      </c>
      <c r="N912" s="5" t="inlineStr">
        <is>
          <t>ExpectedDamage(perHit)</t>
        </is>
      </c>
      <c r="O912" s="5" t="inlineStr">
        <is>
          <t>DPS</t>
        </is>
      </c>
      <c r="P912" s="5" t="inlineStr">
        <is>
          <t>% of Total</t>
        </is>
      </c>
      <c r="Q912" s="5" t="inlineStr">
        <is>
          <t>InvCooldown</t>
        </is>
      </c>
      <c r="R912" s="5" t="inlineStr">
        <is>
          <t>CastsInFight</t>
        </is>
      </c>
      <c r="S912" s="5" t="inlineStr">
        <is>
          <t>HitRate(perSec)</t>
        </is>
      </c>
      <c r="U912" t="inlineStr">
        <is>
          <t>helpers</t>
        </is>
      </c>
    </row>
    <row r="913">
      <c r="A913">
        <f>Skills!A2</f>
        <v/>
      </c>
      <c r="B913">
        <f>Skills!B2</f>
        <v/>
      </c>
      <c r="C913">
        <f>Inputs!$B$3&gt;=100</f>
        <v/>
      </c>
      <c r="D913" t="inlineStr"/>
      <c r="E913" t="inlineStr"/>
      <c r="F913">
        <f>U915+Skills!O2</f>
        <v/>
      </c>
      <c r="G913">
        <f>Skills!G2*IF(Skills!H2&gt;0,Skills!I2/Skills!H2,1)</f>
        <v/>
      </c>
      <c r="H913">
        <f>1-(1-Skills!J2/100)^Skills!K2</f>
        <v/>
      </c>
      <c r="I913" t="inlineStr">
        <is>
          <t>1</t>
        </is>
      </c>
      <c r="J913">
        <f>((Inputs!$B$6*(1+Inputs!$B$7/100))+(((Inputs!$B$12*(1+Inputs!$B$13/100))-(Inputs!$B$12*(1+Inputs!$B$13/100)))+0.25*(Inputs!$B$14-Inputs!$B$14))*(1+Inputs!$B$7/100))*(F913/100)</f>
        <v/>
      </c>
      <c r="K913">
        <f>J913*(1+((Inputs!$B$12*(1+Inputs!$B$13/100))*0.01+Inputs!$B$14*0.0025)/100)*(1+Inputs!$B$15/100)*(1+Inputs!$B$16/100)*(5000/(6000+Inputs!$B$42*(1-(100*(1-(1-(Inputs!$B$19+0)/100)*(1-CHOOSE(ArtifactsInput!$N$40+1,5,6,7,8,9,10)/100)^(ArtifactsInput!$M$40-ArtifactsInput!$M$40)))/100)))*(1+(Inputs!$B$24+((C936=TRUE)*(F936-Calc!F25))+B946)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932=TRUE)*(F932-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924=TRUE)*F924*IF(Inputs!$B$3&gt;=110,7,5))+((C926=TRUE)*F926*IF(AND(Inputs!$B$38&lt;&gt;"pvp",Inputs!$B$43&gt;0),(((R926-1)*(Skills!T15*(1+(Inputs!$B$34+(ArtifactsInput!$M$7-ArtifactsInput!$M$7)*CHOOSE(ArtifactsInput!$N$7+1,6,7.2,8.4,9.6,10.8,12))/100))+MIN((Skills!T15*(1+(Inputs!$B$34+(ArtifactsInput!$M$7-ArtifactsInput!$M$7)*CHOOSE(ArtifactsInput!$N$7+1,6,7.2,8.4,9.6,10.8,12))/100)),MAX(0,Inputs!$B$43-((R926-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Hunt"),CHOOSE(ArtifactsInput!$N$35+1,15,18,21,24,27,30)*(1-EXP(-(0.2*B942)*5)),0)+IF(AND(ArtifactsInput!$M$22,Inputs!$B$4&lt;&gt;"Chapter Hunt"),CHOOSE(ArtifactsInput!$N$22+1,10,12,14,16,18,20)*((0*(((0.15*B942*5))^0/1)+1*(((0.15*B942*5))^1/1)+2*(((0.15*B942*5))^2/2)+3*(((0.15*B942*5))^3/6)+4*(((0.15*B942*5))^4/24)+5*(((0.15*B942*5))^5/120))/((((0.15*B942*5))^0/1)+(((0.15*B942*5))^1/1)+(((0.15*B942*5))^2/2)+(((0.15*B942*5))^3/6)+(((0.15*B942*5))^4/24)+(((0.15*B942*5))^5/120))),0)))/100)*I913)</f>
        <v/>
      </c>
      <c r="L913">
        <f>K913*(MIN(Inputs!$B$22+((C933=TRUE)*(F933-Calc!F22)),(Inputs!$B$23+((C935=TRUE)*(F935-Calc!F24))+(IF(ArtifactsInput!$M$15,CHOOSE(ArtifactsInput!$N$15+1,25,30,35,40,45,50)/100*(Inputs!$B$11-Inputs!$B$11),0))))/100+(Inputs!$B$23+((C935=TRUE)*(F935-Calc!F24))+(IF(ArtifactsInput!$M$15,CHOOSE(ArtifactsInput!$N$15+1,25,30,35,40,45,50)/100*(Inputs!$B$11-Inputs!$B$11),0)))/100)/2</f>
        <v/>
      </c>
      <c r="M913">
        <f>L913*(1+(Inputs!$B$10+0+B945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3">
        <f>L913*(1-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913*(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3">
        <f>(1-Summary!$B$11)*T913+Summary!$B$11*V913</f>
        <v/>
      </c>
      <c r="P913">
        <f>IF(B950=0,0,O913/B950)</f>
        <v/>
      </c>
      <c r="Q913" t="n">
        <v>0</v>
      </c>
      <c r="R913" t="n">
        <v>0</v>
      </c>
      <c r="S913">
        <f>IFERROR(O913/N913,0)</f>
        <v/>
      </c>
      <c r="T913">
        <f>IF(C913,(Skills!G2*N913*B944)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913*(1-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913*(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913*(1-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913*(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13">
        <f>MAX(0,(Inputs!$B$3-100)*3)+Inputs!$B$28+(Inputs!$B$29+1)</f>
        <v/>
      </c>
      <c r="V913">
        <f>IF(C913,(Skills!G2*N913*B944)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4">
      <c r="A914">
        <f>Skills!A3</f>
        <v/>
      </c>
      <c r="B914">
        <f>Skills!B3</f>
        <v/>
      </c>
      <c r="C914">
        <f>Inputs!$B$3&gt;=50</f>
        <v/>
      </c>
      <c r="D914">
        <f>IF(Skills!C3=1,60+Inputs!$B$25+(Inputs!$B$29+1),IF(Skills!C3=2,90+Inputs!$B$26+(Inputs!$B$29+1),IF(Skills!C3=3,120+Inputs!$B$27+(Inputs!$B$29+1),MAX(0,(Inputs!$B$3-100)*3)+Inputs!$B$28+(Inputs!$B$29+1))))</f>
        <v/>
      </c>
      <c r="E914">
        <f>INDEX(FactorTable!$B$2:$Y$301, MATCH(ROUND(MIN(300,MAX(1,D914)),0), FactorTable!$A$2:$A$301,0), Skills!M3+1)</f>
        <v/>
      </c>
      <c r="F914">
        <f>IF(Skills!N3=TRUE,(Skills!L3/10)*(E914/1000),Skills!L3/10)+Skills!O3</f>
        <v/>
      </c>
      <c r="G914" t="inlineStr"/>
      <c r="H914" t="inlineStr"/>
      <c r="I914" t="inlineStr">
        <is>
          <t>1</t>
        </is>
      </c>
      <c r="J914" t="inlineStr"/>
      <c r="K914" t="inlineStr"/>
      <c r="L914" t="inlineStr"/>
      <c r="M914" t="inlineStr"/>
      <c r="N914" t="inlineStr"/>
      <c r="O914" t="inlineStr"/>
      <c r="P914" t="inlineStr"/>
      <c r="Q914" t="inlineStr"/>
      <c r="R914" t="inlineStr"/>
      <c r="S914" t="inlineStr"/>
      <c r="U914">
        <f>INDEX(FactorTable!$B$2:$Y$301, MATCH(ROUND(MIN(300,MAX(1,U913)),0), FactorTable!$A$2:$A$301,0), 22)</f>
        <v/>
      </c>
    </row>
    <row r="915">
      <c r="A915">
        <f>Skills!A4</f>
        <v/>
      </c>
      <c r="B915">
        <f>Skills!B4</f>
        <v/>
      </c>
      <c r="C915">
        <f>Inputs!$B$3&gt;=105</f>
        <v/>
      </c>
      <c r="D915">
        <f>IF(Skills!C4=1,60+Inputs!$B$25+(Inputs!$B$29+1),IF(Skills!C4=2,90+Inputs!$B$26+(Inputs!$B$29+1),IF(Skills!C4=3,120+Inputs!$B$27+(Inputs!$B$29+1),MAX(0,(Inputs!$B$3-100)*3)+Inputs!$B$28+(Inputs!$B$29+1))))</f>
        <v/>
      </c>
      <c r="E915">
        <f>INDEX(FactorTable!$B$2:$Y$301, MATCH(ROUND(MIN(300,MAX(1,D915)),0), FactorTable!$A$2:$A$301,0), Skills!M4+1)</f>
        <v/>
      </c>
      <c r="F915">
        <f>IF(Skills!N4=TRUE,(Skills!L4/10)*(E915/1000),Skills!L4/10)+Skills!O4</f>
        <v/>
      </c>
      <c r="G915" t="inlineStr"/>
      <c r="H915" t="inlineStr"/>
      <c r="I915" t="inlineStr">
        <is>
          <t>1</t>
        </is>
      </c>
      <c r="J915" t="inlineStr"/>
      <c r="K915" t="inlineStr"/>
      <c r="L915" t="inlineStr"/>
      <c r="M915" t="inlineStr"/>
      <c r="N915" t="inlineStr"/>
      <c r="O915" t="inlineStr"/>
      <c r="P915" t="inlineStr"/>
      <c r="Q915" t="inlineStr"/>
      <c r="R915" t="inlineStr"/>
      <c r="S915" t="inlineStr"/>
      <c r="U915">
        <f>290*U914/1000</f>
        <v/>
      </c>
    </row>
    <row r="916">
      <c r="A916">
        <f>Skills!A5</f>
        <v/>
      </c>
      <c r="B916">
        <f>Skills!B5</f>
        <v/>
      </c>
      <c r="C916">
        <f>Inputs!$B$3&gt;=103</f>
        <v/>
      </c>
      <c r="D916">
        <f>IF(Skills!C5=1,60+Inputs!$B$25+(Inputs!$B$29+1),IF(Skills!C5=2,90+Inputs!$B$26+(Inputs!$B$29+1),IF(Skills!C5=3,120+Inputs!$B$27+(Inputs!$B$29+1),MAX(0,(Inputs!$B$3-100)*3)+Inputs!$B$28+(Inputs!$B$29+1))))</f>
        <v/>
      </c>
      <c r="E916">
        <f>INDEX(FactorTable!$B$2:$Y$301, MATCH(ROUND(MIN(300,MAX(1,D916)),0), FactorTable!$A$2:$A$301,0), Skills!M5+1)</f>
        <v/>
      </c>
      <c r="F916">
        <f>IF(Skills!N5=TRUE,(Skills!L5/10)*(E916/1000),Skills!L5/10)+Skills!O5</f>
        <v/>
      </c>
      <c r="G916">
        <f>Skills!G5*IF(Skills!H5&gt;0,Skills!I5/Skills!H5,1)</f>
        <v/>
      </c>
      <c r="H916">
        <f>1-(1-Skills!J5/100)^Skills!K5</f>
        <v/>
      </c>
      <c r="I916" t="inlineStr">
        <is>
          <t>1</t>
        </is>
      </c>
      <c r="J916">
        <f>((Inputs!$B$6*(1+Inputs!$B$7/100))+(((Inputs!$B$12*(1+Inputs!$B$13/100))-(Inputs!$B$12*(1+Inputs!$B$13/100)))+0.25*(Inputs!$B$14-Inputs!$B$14))*(1+Inputs!$B$7/100))*(F916/100)</f>
        <v/>
      </c>
      <c r="K916">
        <f>J916*(1+((Inputs!$B$12*(1+Inputs!$B$13/100))*0.01+Inputs!$B$14*0.0025)/100)*(1+Inputs!$B$15/100)*(1+Inputs!$B$16/100)*(5000/(6000+Inputs!$B$42*(1-(100*(1-(1-(Inputs!$B$19+0)/100)*(1-CHOOSE(ArtifactsInput!$N$40+1,5,6,7,8,9,10)/100)^(ArtifactsInput!$M$40-ArtifactsInput!$M$40)))/100)))*(1+(Inputs!$B$24+((C936=TRUE)*(F936-Calc!F25))+B946)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932=TRUE)*(F932-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924=TRUE)*F924*IF(Inputs!$B$3&gt;=110,7,5))+((C926=TRUE)*F926*IF(AND(Inputs!$B$38&lt;&gt;"pvp",Inputs!$B$43&gt;0),(((R926-1)*(Skills!T15*(1+(Inputs!$B$34+(ArtifactsInput!$M$7-ArtifactsInput!$M$7)*CHOOSE(ArtifactsInput!$N$7+1,6,7.2,8.4,9.6,10.8,12))/100))+MIN((Skills!T15*(1+(Inputs!$B$34+(ArtifactsInput!$M$7-ArtifactsInput!$M$7)*CHOOSE(ArtifactsInput!$N$7+1,6,7.2,8.4,9.6,10.8,12))/100)),MAX(0,Inputs!$B$43-((R926-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Hunt"),CHOOSE(ArtifactsInput!$N$35+1,15,18,21,24,27,30)*(1-EXP(-(0.2*B942)*5)),0)+IF(AND(ArtifactsInput!$M$22,Inputs!$B$4&lt;&gt;"Chapter Hunt"),CHOOSE(ArtifactsInput!$N$22+1,10,12,14,16,18,20)*((0*(((0.15*B942*5))^0/1)+1*(((0.15*B942*5))^1/1)+2*(((0.15*B942*5))^2/2)+3*(((0.15*B942*5))^3/6)+4*(((0.15*B942*5))^4/24)+5*(((0.15*B942*5))^5/120))/((((0.15*B942*5))^0/1)+(((0.15*B942*5))^1/1)+(((0.15*B942*5))^2/2)+(((0.15*B942*5))^3/6)+(((0.15*B942*5))^4/24)+(((0.15*B942*5))^5/120))),0)))/100)*I916)</f>
        <v/>
      </c>
      <c r="L916">
        <f>K916*(MIN(Inputs!$B$22+((C933=TRUE)*(F933-Calc!F22)),(Inputs!$B$23+((C935=TRUE)*(F935-Calc!F24))+(IF(ArtifactsInput!$M$15,CHOOSE(ArtifactsInput!$N$15+1,25,30,35,40,45,50)/100*(Inputs!$B$11-Inputs!$B$11),0))))/100+(Inputs!$B$23+((C935=TRUE)*(F935-Calc!F24))+(IF(ArtifactsInput!$M$15,CHOOSE(ArtifactsInput!$N$15+1,25,30,35,40,45,50)/100*(Inputs!$B$11-Inputs!$B$11),0)))/100)/2</f>
        <v/>
      </c>
      <c r="M916">
        <f>L916*(1+(Inputs!$B$10+0+B945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6">
        <f>L916*(1-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916*(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6">
        <f>(1-Summary!$B$11)*T916+Summary!$B$11*V916</f>
        <v/>
      </c>
      <c r="P916">
        <f>IF(B950=0,0,O916/B950)</f>
        <v/>
      </c>
      <c r="Q916">
        <f>IFERROR(1/(IF(Inputs!$B$38="pvp",15,MAX(0.1,Skills!D5-IF(Skills!E5=TRUE,Inputs!$B$32,0)))*(1-IF(AND(ArtifactsInput!$M$27,Inputs!$B$4="Chapter Hunt"),CHOOSE(ArtifactsInput!$N$27+1,20,24,28,32,36,40),0)/100)),0)</f>
        <v/>
      </c>
      <c r="R916">
        <f>IF(AND(Inputs!$B$38&lt;&gt;"pvp",Inputs!$B$43&gt;0),IF(MAX(0,Inputs!$B$43-B947)&lt;=0,0,(INT(MAX(0,Inputs!$B$43-B947)/(IF(Inputs!$B$38="pvp",15,MAX(0.1,Skills!D5-IF(Skills!E5=TRUE,Inputs!$B$32,0)))*(1-IF(AND(ArtifactsInput!$M$27,Inputs!$B$4="Chapter Hunt"),CHOOSE(ArtifactsInput!$N$27+1,20,24,28,32,36,40),0)/100)))+1)),0)</f>
        <v/>
      </c>
      <c r="S916">
        <f>IFERROR(O916/N916,0)</f>
        <v/>
      </c>
      <c r="T916">
        <f>IF(C916,(H916*N916*IF(AND(Inputs!$B$38&lt;&gt;"pvp",Inputs!$B$43&gt;0),((Skills!G5*((R916-1)*IF(Skills!H5&gt;0,Skills!I5/Skills!H5,1)+IF(Skills!H5&gt;0,MIN(Skills!I5,MAX(0,MAX(0,Inputs!$B$43-B947)-((R916-1)*(IF(Inputs!$B$38="pvp",15,MAX(0.1,Skills!D5-IF(Skills!E5=TRUE,Inputs!$B$32,0)))*(1-IF(AND(ArtifactsInput!$M$27,Inputs!$B$4="Chapter Hunt"),CHOOSE(ArtifactsInput!$N$27+1,20,24,28,32,36,40),0)/100)))))/Skills!H5,1)))/Inputs!$B$43),G916*Q916)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916*(1-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916*(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916*(1-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916*(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6">
        <f>IF(C916,(H916*N916*IF(AND(Inputs!$B$38&lt;&gt;"pvp",Inputs!$B$43&gt;0),((Skills!G5*((R916-1)*IF(Skills!H5&gt;0,Skills!I5/Skills!H5,1)+IF(Skills!H5&gt;0,MIN(Skills!I5,MAX(0,MAX(0,Inputs!$B$43-B947)-((R916-1)*(IF(Inputs!$B$38="pvp",15,MAX(0.1,Skills!D5-IF(Skills!E5=TRUE,Inputs!$B$32,0)))*(1-IF(AND(ArtifactsInput!$M$27,Inputs!$B$4="Chapter Hunt"),CHOOSE(ArtifactsInput!$N$27+1,20,24,28,32,36,40),0)/100)))))/Skills!H5,1)))/Inputs!$B$43),G916*Q916)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7">
      <c r="A917">
        <f>Skills!A6</f>
        <v/>
      </c>
      <c r="B917">
        <f>Skills!B6</f>
        <v/>
      </c>
      <c r="C917">
        <f>Inputs!$B$3&gt;=103</f>
        <v/>
      </c>
      <c r="D917">
        <f>IF(Skills!C6=1,60+Inputs!$B$25+(Inputs!$B$29+1),IF(Skills!C6=2,90+Inputs!$B$26+(Inputs!$B$29+1),IF(Skills!C6=3,120+Inputs!$B$27+(Inputs!$B$29+1),MAX(0,(Inputs!$B$3-100)*3)+Inputs!$B$28+(Inputs!$B$29+1))))</f>
        <v/>
      </c>
      <c r="E917">
        <f>INDEX(FactorTable!$B$2:$Y$301, MATCH(ROUND(MIN(300,MAX(1,D917)),0), FactorTable!$A$2:$A$301,0), Skills!M6+1)</f>
        <v/>
      </c>
      <c r="F917">
        <f>IF(Skills!N6=TRUE,(Skills!L6/10)*(E917/1000),Skills!L6/10)+Skills!O6</f>
        <v/>
      </c>
      <c r="G917">
        <f>Skills!G6*IF(Skills!H6&gt;0,Skills!I6/Skills!H6,1)</f>
        <v/>
      </c>
      <c r="H917">
        <f>1-(1-Skills!J6/100)^Skills!K6</f>
        <v/>
      </c>
      <c r="I917" t="inlineStr">
        <is>
          <t>1</t>
        </is>
      </c>
      <c r="J917">
        <f>((Inputs!$B$6*(1+Inputs!$B$7/100))+(((Inputs!$B$12*(1+Inputs!$B$13/100))-(Inputs!$B$12*(1+Inputs!$B$13/100)))+0.25*(Inputs!$B$14-Inputs!$B$14))*(1+Inputs!$B$7/100))*(F917/100)</f>
        <v/>
      </c>
      <c r="K917">
        <f>J917*(1+((Inputs!$B$12*(1+Inputs!$B$13/100))*0.01+Inputs!$B$14*0.0025)/100)*(1+Inputs!$B$15/100)*(1+Inputs!$B$16/100)*(5000/(6000+Inputs!$B$42*(1-(100*(1-(1-(Inputs!$B$19+0)/100)*(1-CHOOSE(ArtifactsInput!$N$40+1,5,6,7,8,9,10)/100)^(ArtifactsInput!$M$40-ArtifactsInput!$M$40)))/100)))*(1+(Inputs!$B$24+((C936=TRUE)*(F936-Calc!F25))+B946)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932=TRUE)*(F932-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924=TRUE)*F924*IF(Inputs!$B$3&gt;=110,7,5))+((C926=TRUE)*F926*IF(AND(Inputs!$B$38&lt;&gt;"pvp",Inputs!$B$43&gt;0),(((R926-1)*(Skills!T15*(1+(Inputs!$B$34+(ArtifactsInput!$M$7-ArtifactsInput!$M$7)*CHOOSE(ArtifactsInput!$N$7+1,6,7.2,8.4,9.6,10.8,12))/100))+MIN((Skills!T15*(1+(Inputs!$B$34+(ArtifactsInput!$M$7-ArtifactsInput!$M$7)*CHOOSE(ArtifactsInput!$N$7+1,6,7.2,8.4,9.6,10.8,12))/100)),MAX(0,Inputs!$B$43-((R926-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Hunt"),CHOOSE(ArtifactsInput!$N$35+1,15,18,21,24,27,30)*(1-EXP(-(0.2*B942)*5)),0)+IF(AND(ArtifactsInput!$M$22,Inputs!$B$4&lt;&gt;"Chapter Hunt"),CHOOSE(ArtifactsInput!$N$22+1,10,12,14,16,18,20)*((0*(((0.15*B942*5))^0/1)+1*(((0.15*B942*5))^1/1)+2*(((0.15*B942*5))^2/2)+3*(((0.15*B942*5))^3/6)+4*(((0.15*B942*5))^4/24)+5*(((0.15*B942*5))^5/120))/((((0.15*B942*5))^0/1)+(((0.15*B942*5))^1/1)+(((0.15*B942*5))^2/2)+(((0.15*B942*5))^3/6)+(((0.15*B942*5))^4/24)+(((0.15*B942*5))^5/120))),0)))/100)*I917)</f>
        <v/>
      </c>
      <c r="L917">
        <f>K917*(MIN(Inputs!$B$22+((C933=TRUE)*(F933-Calc!F22)),(Inputs!$B$23+((C935=TRUE)*(F935-Calc!F24))+(IF(ArtifactsInput!$M$15,CHOOSE(ArtifactsInput!$N$15+1,25,30,35,40,45,50)/100*(Inputs!$B$11-Inputs!$B$11),0))))/100+(Inputs!$B$23+((C935=TRUE)*(F935-Calc!F24))+(IF(ArtifactsInput!$M$15,CHOOSE(ArtifactsInput!$N$15+1,25,30,35,40,45,50)/100*(Inputs!$B$11-Inputs!$B$11),0)))/100)/2</f>
        <v/>
      </c>
      <c r="M917">
        <f>L917*(1+(Inputs!$B$10+0+B945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7">
        <f>L917*(1-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917*(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7">
        <f>(1-Summary!$B$11)*T917+Summary!$B$11*V917</f>
        <v/>
      </c>
      <c r="P917">
        <f>IF(B950=0,0,O917/B950)</f>
        <v/>
      </c>
      <c r="Q917">
        <f>IFERROR(1/(IF(Inputs!$B$38="pvp",15,MAX(0.1,Skills!D6-IF(Skills!E6=TRUE,Inputs!$B$32,0)))*(1-IF(AND(ArtifactsInput!$M$27,Inputs!$B$4="Chapter Hunt"),CHOOSE(ArtifactsInput!$N$27+1,20,24,28,32,36,40),0)/100)),0)</f>
        <v/>
      </c>
      <c r="R917">
        <f>IF(AND(Inputs!$B$38&lt;&gt;"pvp",Inputs!$B$43&gt;0),IF(MAX(0,Inputs!$B$43-B947)&lt;=0,0,(INT(MAX(0,Inputs!$B$43-B947)/(IF(Inputs!$B$38="pvp",15,MAX(0.1,Skills!D6-IF(Skills!E6=TRUE,Inputs!$B$32,0)))*(1-IF(AND(ArtifactsInput!$M$27,Inputs!$B$4="Chapter Hunt"),CHOOSE(ArtifactsInput!$N$27+1,20,24,28,32,36,40),0)/100)))+1)),0)</f>
        <v/>
      </c>
      <c r="S917">
        <f>IFERROR(O917/N917,0)</f>
        <v/>
      </c>
      <c r="T917">
        <f>IF(C917,(H917*N917*IF(AND(Inputs!$B$38&lt;&gt;"pvp",Inputs!$B$43&gt;0),((Skills!G6*((R917-1)*IF(Skills!H6&gt;0,Skills!I6/Skills!H6,1)+IF(Skills!H6&gt;0,MIN(Skills!I6,MAX(0,MAX(0,Inputs!$B$43-B947)-((R917-1)*(IF(Inputs!$B$38="pvp",15,MAX(0.1,Skills!D6-IF(Skills!E6=TRUE,Inputs!$B$32,0)))*(1-IF(AND(ArtifactsInput!$M$27,Inputs!$B$4="Chapter Hunt"),CHOOSE(ArtifactsInput!$N$27+1,20,24,28,32,36,40),0)/100)))))/Skills!H6,1)))/Inputs!$B$43),G917*Q917)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917*(1-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917*(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917*(1-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917*(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7">
        <f>IF(C917,(H917*N917*IF(AND(Inputs!$B$38&lt;&gt;"pvp",Inputs!$B$43&gt;0),((Skills!G6*((R917-1)*IF(Skills!H6&gt;0,Skills!I6/Skills!H6,1)+IF(Skills!H6&gt;0,MIN(Skills!I6,MAX(0,MAX(0,Inputs!$B$43-B947)-((R917-1)*(IF(Inputs!$B$38="pvp",15,MAX(0.1,Skills!D6-IF(Skills!E6=TRUE,Inputs!$B$32,0)))*(1-IF(AND(ArtifactsInput!$M$27,Inputs!$B$4="Chapter Hunt"),CHOOSE(ArtifactsInput!$N$27+1,20,24,28,32,36,40),0)/100)))))/Skills!H6,1)))/Inputs!$B$43),G917*Q917)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8">
      <c r="A918">
        <f>Skills!A7</f>
        <v/>
      </c>
      <c r="B918">
        <f>Skills!B7</f>
        <v/>
      </c>
      <c r="C918">
        <f>Inputs!$B$3&gt;=107</f>
        <v/>
      </c>
      <c r="D918">
        <f>IF(Skills!C7=1,60+Inputs!$B$25+(Inputs!$B$29+1),IF(Skills!C7=2,90+Inputs!$B$26+(Inputs!$B$29+1),IF(Skills!C7=3,120+Inputs!$B$27+(Inputs!$B$29+1),MAX(0,(Inputs!$B$3-100)*3)+Inputs!$B$28+(Inputs!$B$29+1))))</f>
        <v/>
      </c>
      <c r="E918">
        <f>INDEX(FactorTable!$B$2:$Y$301, MATCH(ROUND(MIN(300,MAX(1,D918)),0), FactorTable!$A$2:$A$301,0), Skills!M7+1)</f>
        <v/>
      </c>
      <c r="F918">
        <f>IF(Skills!N7=TRUE,(Skills!L7/10)*(E918/1000),Skills!L7/10)+Skills!O7</f>
        <v/>
      </c>
      <c r="G918">
        <f>Skills!G7*IF(Skills!H7&gt;0,Skills!I7/Skills!H7,1)</f>
        <v/>
      </c>
      <c r="H918">
        <f>1-(1-Skills!J7/100)^Skills!K7</f>
        <v/>
      </c>
      <c r="I918" t="inlineStr">
        <is>
          <t>1</t>
        </is>
      </c>
      <c r="J918">
        <f>((Inputs!$B$6*(1+Inputs!$B$7/100))+(((Inputs!$B$12*(1+Inputs!$B$13/100))-(Inputs!$B$12*(1+Inputs!$B$13/100)))+0.25*(Inputs!$B$14-Inputs!$B$14))*(1+Inputs!$B$7/100))*(F918/100)</f>
        <v/>
      </c>
      <c r="K918">
        <f>J918*(1+((Inputs!$B$12*(1+Inputs!$B$13/100))*0.01+Inputs!$B$14*0.0025)/100)*(1+Inputs!$B$15/100)*(1+Inputs!$B$16/100)*(5000/(6000+Inputs!$B$42*(1-(100*(1-(1-(Inputs!$B$19+0)/100)*(1-CHOOSE(ArtifactsInput!$N$40+1,5,6,7,8,9,10)/100)^(ArtifactsInput!$M$40-ArtifactsInput!$M$40)))/100)))*(1+(Inputs!$B$24+((C936=TRUE)*(F936-Calc!F25))+B946)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932=TRUE)*(F932-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924=TRUE)*F924*IF(Inputs!$B$3&gt;=110,7,5))+((C926=TRUE)*F926*IF(AND(Inputs!$B$38&lt;&gt;"pvp",Inputs!$B$43&gt;0),(((R926-1)*(Skills!T15*(1+(Inputs!$B$34+(ArtifactsInput!$M$7-ArtifactsInput!$M$7)*CHOOSE(ArtifactsInput!$N$7+1,6,7.2,8.4,9.6,10.8,12))/100))+MIN((Skills!T15*(1+(Inputs!$B$34+(ArtifactsInput!$M$7-ArtifactsInput!$M$7)*CHOOSE(ArtifactsInput!$N$7+1,6,7.2,8.4,9.6,10.8,12))/100)),MAX(0,Inputs!$B$43-((R926-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Hunt"),CHOOSE(ArtifactsInput!$N$35+1,15,18,21,24,27,30)*(1-EXP(-(0.2*B942)*5)),0)+IF(AND(ArtifactsInput!$M$22,Inputs!$B$4&lt;&gt;"Chapter Hunt"),CHOOSE(ArtifactsInput!$N$22+1,10,12,14,16,18,20)*((0*(((0.15*B942*5))^0/1)+1*(((0.15*B942*5))^1/1)+2*(((0.15*B942*5))^2/2)+3*(((0.15*B942*5))^3/6)+4*(((0.15*B942*5))^4/24)+5*(((0.15*B942*5))^5/120))/((((0.15*B942*5))^0/1)+(((0.15*B942*5))^1/1)+(((0.15*B942*5))^2/2)+(((0.15*B942*5))^3/6)+(((0.15*B942*5))^4/24)+(((0.15*B942*5))^5/120))),0)))/100)*I918)</f>
        <v/>
      </c>
      <c r="L918">
        <f>K918*(MIN(Inputs!$B$22+((C933=TRUE)*(F933-Calc!F22)),(Inputs!$B$23+((C935=TRUE)*(F935-Calc!F24))+(IF(ArtifactsInput!$M$15,CHOOSE(ArtifactsInput!$N$15+1,25,30,35,40,45,50)/100*(Inputs!$B$11-Inputs!$B$11),0))))/100+(Inputs!$B$23+((C935=TRUE)*(F935-Calc!F24))+(IF(ArtifactsInput!$M$15,CHOOSE(ArtifactsInput!$N$15+1,25,30,35,40,45,50)/100*(Inputs!$B$11-Inputs!$B$11),0)))/100)/2</f>
        <v/>
      </c>
      <c r="M918">
        <f>L918*(1+(Inputs!$B$10+0+B945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8">
        <f>L918*(1-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918*(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8">
        <f>(1-Summary!$B$11)*T918+Summary!$B$11*V918</f>
        <v/>
      </c>
      <c r="P918">
        <f>IF(B950=0,0,O918/B950)</f>
        <v/>
      </c>
      <c r="Q918">
        <f>IFERROR(1/(IF(Inputs!$B$38="pvp",15,MAX(0.1,Skills!D7-IF(Skills!E7=TRUE,Inputs!$B$32,0)))*(1-IF(AND(ArtifactsInput!$M$27,Inputs!$B$4="Chapter Hunt"),CHOOSE(ArtifactsInput!$N$27+1,20,24,28,32,36,40),0)/100)),0)</f>
        <v/>
      </c>
      <c r="R918">
        <f>IF(AND(Inputs!$B$38&lt;&gt;"pvp",Inputs!$B$43&gt;0),IF(MAX(0,Inputs!$B$43-B947)&lt;=0,0,(INT(MAX(0,Inputs!$B$43-B947)/(IF(Inputs!$B$38="pvp",15,MAX(0.1,Skills!D7-IF(Skills!E7=TRUE,Inputs!$B$32,0)))*(1-IF(AND(ArtifactsInput!$M$27,Inputs!$B$4="Chapter Hunt"),CHOOSE(ArtifactsInput!$N$27+1,20,24,28,32,36,40),0)/100)))+1)),0)</f>
        <v/>
      </c>
      <c r="S918">
        <f>IFERROR(O918/N918,0)</f>
        <v/>
      </c>
      <c r="T918">
        <f>IF(C918,(H918*N918*IF(AND(Inputs!$B$38&lt;&gt;"pvp",Inputs!$B$43&gt;0),((Skills!G7*((R918-1)*IF(Skills!H7&gt;0,Skills!I7/Skills!H7,1)+IF(Skills!H7&gt;0,MIN(Skills!I7,MAX(0,MAX(0,Inputs!$B$43-B947)-((R918-1)*(IF(Inputs!$B$38="pvp",15,MAX(0.1,Skills!D7-IF(Skills!E7=TRUE,Inputs!$B$32,0)))*(1-IF(AND(ArtifactsInput!$M$27,Inputs!$B$4="Chapter Hunt"),CHOOSE(ArtifactsInput!$N$27+1,20,24,28,32,36,40),0)/100)))))/Skills!H7,1)))/Inputs!$B$43),G918*Q918)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918*(1-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918*(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918*(1-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918*(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8">
        <f>IF(C918,(H918*N918*IF(AND(Inputs!$B$38&lt;&gt;"pvp",Inputs!$B$43&gt;0),((Skills!G7*((R918-1)*IF(Skills!H7&gt;0,Skills!I7/Skills!H7,1)+IF(Skills!H7&gt;0,MIN(Skills!I7,MAX(0,MAX(0,Inputs!$B$43-B947)-((R918-1)*(IF(Inputs!$B$38="pvp",15,MAX(0.1,Skills!D7-IF(Skills!E7=TRUE,Inputs!$B$32,0)))*(1-IF(AND(ArtifactsInput!$M$27,Inputs!$B$4="Chapter Hunt"),CHOOSE(ArtifactsInput!$N$27+1,20,24,28,32,36,40),0)/100)))))/Skills!H7,1)))/Inputs!$B$43),G918*Q918)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9">
      <c r="A919">
        <f>Skills!A8</f>
        <v/>
      </c>
      <c r="B919">
        <f>Skills!B8</f>
        <v/>
      </c>
      <c r="C919">
        <f>Inputs!$B$3&gt;=117</f>
        <v/>
      </c>
      <c r="D919">
        <f>IF(Skills!C8=1,60+Inputs!$B$25+(Inputs!$B$29+1),IF(Skills!C8=2,90+Inputs!$B$26+(Inputs!$B$29+1),IF(Skills!C8=3,120+Inputs!$B$27+(Inputs!$B$29+1),MAX(0,(Inputs!$B$3-100)*3)+Inputs!$B$28+(Inputs!$B$29+1))))</f>
        <v/>
      </c>
      <c r="E919">
        <f>INDEX(FactorTable!$B$2:$Y$301, MATCH(ROUND(MIN(300,MAX(1,D919)),0), FactorTable!$A$2:$A$301,0), Skills!M8+1)</f>
        <v/>
      </c>
      <c r="F919">
        <f>IF(Skills!N8=TRUE,(Skills!L8/10)*(E919/1000),Skills!L8/10)+Skills!O8</f>
        <v/>
      </c>
      <c r="G919">
        <f>Skills!G8*IF(Skills!H8&gt;0,Skills!I8/Skills!H8,1)</f>
        <v/>
      </c>
      <c r="H919">
        <f>1-(1-Skills!J8/100)^Skills!K8</f>
        <v/>
      </c>
      <c r="I919" t="inlineStr">
        <is>
          <t>1</t>
        </is>
      </c>
      <c r="J919">
        <f>((Inputs!$B$6*(1+Inputs!$B$7/100))+(((Inputs!$B$12*(1+Inputs!$B$13/100))-(Inputs!$B$12*(1+Inputs!$B$13/100)))+0.25*(Inputs!$B$14-Inputs!$B$14))*(1+Inputs!$B$7/100))*(F919/100)</f>
        <v/>
      </c>
      <c r="K919">
        <f>J919*(1+((Inputs!$B$12*(1+Inputs!$B$13/100))*0.01+Inputs!$B$14*0.0025)/100)*(1+Inputs!$B$15/100)*(1+Inputs!$B$16/100)*(5000/(6000+Inputs!$B$42*(1-(100*(1-(1-(Inputs!$B$19+0)/100)*(1-CHOOSE(ArtifactsInput!$N$40+1,5,6,7,8,9,10)/100)^(ArtifactsInput!$M$40-ArtifactsInput!$M$40)))/100)))*(1+(Inputs!$B$24+((C936=TRUE)*(F936-Calc!F25))+B946)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932=TRUE)*(F932-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924=TRUE)*F924*IF(Inputs!$B$3&gt;=110,7,5))+((C926=TRUE)*F926*IF(AND(Inputs!$B$38&lt;&gt;"pvp",Inputs!$B$43&gt;0),(((R926-1)*(Skills!T15*(1+(Inputs!$B$34+(ArtifactsInput!$M$7-ArtifactsInput!$M$7)*CHOOSE(ArtifactsInput!$N$7+1,6,7.2,8.4,9.6,10.8,12))/100))+MIN((Skills!T15*(1+(Inputs!$B$34+(ArtifactsInput!$M$7-ArtifactsInput!$M$7)*CHOOSE(ArtifactsInput!$N$7+1,6,7.2,8.4,9.6,10.8,12))/100)),MAX(0,Inputs!$B$43-((R926-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Hunt"),CHOOSE(ArtifactsInput!$N$35+1,15,18,21,24,27,30)*(1-EXP(-(0.2*B942)*5)),0)+IF(AND(ArtifactsInput!$M$22,Inputs!$B$4&lt;&gt;"Chapter Hunt"),CHOOSE(ArtifactsInput!$N$22+1,10,12,14,16,18,20)*((0*(((0.15*B942*5))^0/1)+1*(((0.15*B942*5))^1/1)+2*(((0.15*B942*5))^2/2)+3*(((0.15*B942*5))^3/6)+4*(((0.15*B942*5))^4/24)+5*(((0.15*B942*5))^5/120))/((((0.15*B942*5))^0/1)+(((0.15*B942*5))^1/1)+(((0.15*B942*5))^2/2)+(((0.15*B942*5))^3/6)+(((0.15*B942*5))^4/24)+(((0.15*B942*5))^5/120))),0)))/100)*I919)</f>
        <v/>
      </c>
      <c r="L919">
        <f>K919*(MIN(Inputs!$B$22+((C933=TRUE)*(F933-Calc!F22)),(Inputs!$B$23+((C935=TRUE)*(F935-Calc!F24))+(IF(ArtifactsInput!$M$15,CHOOSE(ArtifactsInput!$N$15+1,25,30,35,40,45,50)/100*(Inputs!$B$11-Inputs!$B$11),0))))/100+(Inputs!$B$23+((C935=TRUE)*(F935-Calc!F24))+(IF(ArtifactsInput!$M$15,CHOOSE(ArtifactsInput!$N$15+1,25,30,35,40,45,50)/100*(Inputs!$B$11-Inputs!$B$11),0)))/100)/2</f>
        <v/>
      </c>
      <c r="M919">
        <f>L919*(1+(Inputs!$B$10+0+B945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9">
        <f>L919*(1-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919*(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9">
        <f>(1-Summary!$B$11)*T919+Summary!$B$11*V919</f>
        <v/>
      </c>
      <c r="P919">
        <f>IF(B950=0,0,O919/B950)</f>
        <v/>
      </c>
      <c r="Q919">
        <f>IFERROR(1/(IF(Inputs!$B$38="pvp",15,MAX(0.1,Skills!D8-IF(Skills!E8=TRUE,Inputs!$B$32,0)))*(1-IF(AND(ArtifactsInput!$M$27,Inputs!$B$4="Chapter Hunt"),CHOOSE(ArtifactsInput!$N$27+1,20,24,28,32,36,40),0)/100)),0)</f>
        <v/>
      </c>
      <c r="R919">
        <f>IF(AND(Inputs!$B$38&lt;&gt;"pvp",Inputs!$B$43&gt;0),IF(MAX(0,Inputs!$B$43-B947)&lt;=0,0,(INT(MAX(0,Inputs!$B$43-B947)/(IF(Inputs!$B$38="pvp",15,MAX(0.1,Skills!D8-IF(Skills!E8=TRUE,Inputs!$B$32,0)))*(1-IF(AND(ArtifactsInput!$M$27,Inputs!$B$4="Chapter Hunt"),CHOOSE(ArtifactsInput!$N$27+1,20,24,28,32,36,40),0)/100)))+1)),0)</f>
        <v/>
      </c>
      <c r="S919">
        <f>IFERROR(O919/N919,0)</f>
        <v/>
      </c>
      <c r="T919">
        <f>IF(C919,(H919*N919*IF(AND(Inputs!$B$38&lt;&gt;"pvp",Inputs!$B$43&gt;0),((Skills!G8*((R919-1)*IF(Skills!H8&gt;0,Skills!I8/Skills!H8,1)+IF(Skills!H8&gt;0,MIN(Skills!I8,MAX(0,MAX(0,Inputs!$B$43-B947)-((R919-1)*(IF(Inputs!$B$38="pvp",15,MAX(0.1,Skills!D8-IF(Skills!E8=TRUE,Inputs!$B$32,0)))*(1-IF(AND(ArtifactsInput!$M$27,Inputs!$B$4="Chapter Hunt"),CHOOSE(ArtifactsInput!$N$27+1,20,24,28,32,36,40),0)/100)))))/Skills!H8,1)))/Inputs!$B$43),G919*Q919)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919*(1-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919*(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919*(1-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919*(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9">
        <f>IF(C919,(H919*N919*IF(AND(Inputs!$B$38&lt;&gt;"pvp",Inputs!$B$43&gt;0),((Skills!G8*((R919-1)*IF(Skills!H8&gt;0,Skills!I8/Skills!H8,1)+IF(Skills!H8&gt;0,MIN(Skills!I8,MAX(0,MAX(0,Inputs!$B$43-B947)-((R919-1)*(IF(Inputs!$B$38="pvp",15,MAX(0.1,Skills!D8-IF(Skills!E8=TRUE,Inputs!$B$32,0)))*(1-IF(AND(ArtifactsInput!$M$27,Inputs!$B$4="Chapter Hunt"),CHOOSE(ArtifactsInput!$N$27+1,20,24,28,32,36,40),0)/100)))))/Skills!H8,1)))/Inputs!$B$43),G919*Q919)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0">
      <c r="A920">
        <f>Skills!A9</f>
        <v/>
      </c>
      <c r="B920">
        <f>Skills!B9</f>
        <v/>
      </c>
      <c r="C920">
        <f>Inputs!$B$3&gt;=69</f>
        <v/>
      </c>
      <c r="D920">
        <f>IF(Skills!C9=1,60+Inputs!$B$25+(Inputs!$B$29+1),IF(Skills!C9=2,90+Inputs!$B$26+(Inputs!$B$29+1),IF(Skills!C9=3,120+Inputs!$B$27+(Inputs!$B$29+1),MAX(0,(Inputs!$B$3-100)*3)+Inputs!$B$28+(Inputs!$B$29+1))))</f>
        <v/>
      </c>
      <c r="E920">
        <f>INDEX(FactorTable!$B$2:$Y$301, MATCH(ROUND(MIN(300,MAX(1,D920)),0), FactorTable!$A$2:$A$301,0), Skills!M9+1)</f>
        <v/>
      </c>
      <c r="F920">
        <f>IF(Skills!N9=TRUE,(Skills!L9/10)*(E920/1000),Skills!L9/10)+Skills!O9</f>
        <v/>
      </c>
      <c r="G920">
        <f>Skills!G9*IF(Skills!H9&gt;0,Skills!I9/Skills!H9,1)</f>
        <v/>
      </c>
      <c r="H920">
        <f>1-(1-Skills!J9/100)^Skills!K9</f>
        <v/>
      </c>
      <c r="I920" t="inlineStr">
        <is>
          <t>1</t>
        </is>
      </c>
      <c r="J920">
        <f>((Inputs!$B$6*(1+Inputs!$B$7/100))+(((Inputs!$B$12*(1+Inputs!$B$13/100))-(Inputs!$B$12*(1+Inputs!$B$13/100)))+0.25*(Inputs!$B$14-Inputs!$B$14))*(1+Inputs!$B$7/100))*(F920/100)</f>
        <v/>
      </c>
      <c r="K920">
        <f>J920*(1+((Inputs!$B$12*(1+Inputs!$B$13/100))*0.01+Inputs!$B$14*0.0025)/100)*(1+Inputs!$B$15/100)*(1+Inputs!$B$16/100)*(5000/(6000+Inputs!$B$42*(1-(100*(1-(1-(Inputs!$B$19+0)/100)*(1-CHOOSE(ArtifactsInput!$N$40+1,5,6,7,8,9,10)/100)^(ArtifactsInput!$M$40-ArtifactsInput!$M$40)))/100)))*(1+(Inputs!$B$24+((C936=TRUE)*(F936-Calc!F25))+B946)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923=TRUE,F923,0)/100)*(1+IF(Skills!A9="ENHANCED_RAGING_BLOW",IF(Inputs!$B$3&gt;=134,MAX(0,IF(Inputs!$B$3&gt;=110,7,5)-5)*50,0),0)/100)*(1+(IF(Skills!A9="RAGING_BLOW",Inputs!$B$17+((C932=TRUE)*(F932-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924=TRUE)*F924*IF(Inputs!$B$3&gt;=110,7,5))+((C926=TRUE)*F926*IF(AND(Inputs!$B$38&lt;&gt;"pvp",Inputs!$B$43&gt;0),(((R926-1)*(Skills!T15*(1+(Inputs!$B$34+(ArtifactsInput!$M$7-ArtifactsInput!$M$7)*CHOOSE(ArtifactsInput!$N$7+1,6,7.2,8.4,9.6,10.8,12))/100))+MIN((Skills!T15*(1+(Inputs!$B$34+(ArtifactsInput!$M$7-ArtifactsInput!$M$7)*CHOOSE(ArtifactsInput!$N$7+1,6,7.2,8.4,9.6,10.8,12))/100)),MAX(0,Inputs!$B$43-((R926-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Hunt"),CHOOSE(ArtifactsInput!$N$35+1,15,18,21,24,27,30)*(1-EXP(-(0.2*B942)*5)),0)+IF(AND(ArtifactsInput!$M$22,Inputs!$B$4&lt;&gt;"Chapter Hunt"),CHOOSE(ArtifactsInput!$N$22+1,10,12,14,16,18,20)*((0*(((0.15*B942*5))^0/1)+1*(((0.15*B942*5))^1/1)+2*(((0.15*B942*5))^2/2)+3*(((0.15*B942*5))^3/6)+4*(((0.15*B942*5))^4/24)+5*(((0.15*B942*5))^5/120))/((((0.15*B942*5))^0/1)+(((0.15*B942*5))^1/1)+(((0.15*B942*5))^2/2)+(((0.15*B942*5))^3/6)+(((0.15*B942*5))^4/24)+(((0.15*B942*5))^5/120))),0)))/100)*I920)</f>
        <v/>
      </c>
      <c r="L920">
        <f>K920*(MIN(Inputs!$B$22+((C933=TRUE)*(F933-Calc!F22)),(Inputs!$B$23+((C935=TRUE)*(F935-Calc!F24))+(IF(ArtifactsInput!$M$15,CHOOSE(ArtifactsInput!$N$15+1,25,30,35,40,45,50)/100*(Inputs!$B$11-Inputs!$B$11),0))))/100+(Inputs!$B$23+((C935=TRUE)*(F935-Calc!F24))+(IF(ArtifactsInput!$M$15,CHOOSE(ArtifactsInput!$N$15+1,25,30,35,40,45,50)/100*(Inputs!$B$11-Inputs!$B$11),0)))/100)/2</f>
        <v/>
      </c>
      <c r="M920">
        <f>L920*(1+(Inputs!$B$10+0+B945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0">
        <f>L920*(1-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920*(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0">
        <f>(1-Summary!$B$11)*T920+Summary!$B$11*V920</f>
        <v/>
      </c>
      <c r="P920">
        <f>IF(B950=0,0,O920/B950)</f>
        <v/>
      </c>
      <c r="Q920">
        <f>IFERROR(1/(IF(Inputs!$B$38="pvp",15,MAX(0.1,Skills!D9-IF(Skills!E9=TRUE,Inputs!$B$32,0)))*(1-IF(AND(ArtifactsInput!$M$27,Inputs!$B$4="Chapter Hunt"),CHOOSE(ArtifactsInput!$N$27+1,20,24,28,32,36,40),0)/100)),0)</f>
        <v/>
      </c>
      <c r="R920">
        <f>IF(AND(Inputs!$B$38&lt;&gt;"pvp",Inputs!$B$43&gt;0),IF(MAX(0,Inputs!$B$43-B947)&lt;=0,0,(INT(MAX(0,Inputs!$B$43-B947)/(IF(Inputs!$B$38="pvp",15,MAX(0.1,Skills!D9-IF(Skills!E9=TRUE,Inputs!$B$32,0)))*(1-IF(AND(ArtifactsInput!$M$27,Inputs!$B$4="Chapter Hunt"),CHOOSE(ArtifactsInput!$N$27+1,20,24,28,32,36,40),0)/100)))+1)),0)</f>
        <v/>
      </c>
      <c r="S920">
        <f>IFERROR(O920/N920,0)</f>
        <v/>
      </c>
      <c r="T920">
        <f>IF(C920,(H920*N920*IF(AND(Inputs!$B$38&lt;&gt;"pvp",Inputs!$B$43&gt;0),((Skills!G9*((R920-1)*IF(Skills!H9&gt;0,Skills!I9/Skills!H9,1)+IF(Skills!H9&gt;0,MIN(Skills!I9,MAX(0,MAX(0,Inputs!$B$43-B947)-((R920-1)*(IF(Inputs!$B$38="pvp",15,MAX(0.1,Skills!D9-IF(Skills!E9=TRUE,Inputs!$B$32,0)))*(1-IF(AND(ArtifactsInput!$M$27,Inputs!$B$4="Chapter Hunt"),CHOOSE(ArtifactsInput!$N$27+1,20,24,28,32,36,40),0)/100)))))/Skills!H9,1)))/Inputs!$B$43),G920*Q920)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920*(1-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920*(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920*(1-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920*(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0">
        <f>IF(C920,(H920*N920*IF(AND(Inputs!$B$38&lt;&gt;"pvp",Inputs!$B$43&gt;0),((Skills!G9*((R920-1)*IF(Skills!H9&gt;0,Skills!I9/Skills!H9,1)+IF(Skills!H9&gt;0,MIN(Skills!I9,MAX(0,MAX(0,Inputs!$B$43-B947)-((R920-1)*(IF(Inputs!$B$38="pvp",15,MAX(0.1,Skills!D9-IF(Skills!E9=TRUE,Inputs!$B$32,0)))*(1-IF(AND(ArtifactsInput!$M$27,Inputs!$B$4="Chapter Hunt"),CHOOSE(ArtifactsInput!$N$27+1,20,24,28,32,36,40),0)/100)))))/Skills!H9,1)))/Inputs!$B$43),G920*Q920)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1">
      <c r="A921">
        <f>Skills!A10</f>
        <v/>
      </c>
      <c r="B921">
        <f>Skills!B10</f>
        <v/>
      </c>
      <c r="C921">
        <f>Inputs!$B$3&gt;=63</f>
        <v/>
      </c>
      <c r="D921">
        <f>IF(Skills!C10=1,60+Inputs!$B$25+(Inputs!$B$29+1),IF(Skills!C10=2,90+Inputs!$B$26+(Inputs!$B$29+1),IF(Skills!C10=3,120+Inputs!$B$27+(Inputs!$B$29+1),MAX(0,(Inputs!$B$3-100)*3)+Inputs!$B$28+(Inputs!$B$29+1))))</f>
        <v/>
      </c>
      <c r="E921">
        <f>INDEX(FactorTable!$B$2:$Y$301, MATCH(ROUND(MIN(300,MAX(1,D921)),0), FactorTable!$A$2:$A$301,0), Skills!M10+1)</f>
        <v/>
      </c>
      <c r="F921">
        <f>IF(Skills!N10=TRUE,(Skills!L10/10)*(E921/1000),Skills!L10/10)+Skills!O10</f>
        <v/>
      </c>
      <c r="G921">
        <f>Skills!G10*IF(Skills!H10&gt;0,Skills!I10/Skills!H10,1)</f>
        <v/>
      </c>
      <c r="H921">
        <f>1-(1-Skills!J10/100)^Skills!K10</f>
        <v/>
      </c>
      <c r="I921" t="inlineStr">
        <is>
          <t>1</t>
        </is>
      </c>
      <c r="J921">
        <f>((Inputs!$B$6*(1+Inputs!$B$7/100))+(((Inputs!$B$12*(1+Inputs!$B$13/100))-(Inputs!$B$12*(1+Inputs!$B$13/100)))+0.25*(Inputs!$B$14-Inputs!$B$14))*(1+Inputs!$B$7/100))*(F921/100)</f>
        <v/>
      </c>
      <c r="K921">
        <f>J921*(1+((Inputs!$B$12*(1+Inputs!$B$13/100))*0.01+Inputs!$B$14*0.0025)/100)*(1+Inputs!$B$15/100)*(1+Inputs!$B$16/100)*(5000/(6000+Inputs!$B$42*(1-(100*(1-(1-(Inputs!$B$19+0)/100)*(1-CHOOSE(ArtifactsInput!$N$40+1,5,6,7,8,9,10)/100)^(ArtifactsInput!$M$40-ArtifactsInput!$M$40)))/100)))*(1+(Inputs!$B$24+((C936=TRUE)*(F936-Calc!F25))+B946)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923=TRUE,F923,0)/100)*(1+IF(Skills!A10="ENHANCED_RAGING_BLOW",IF(Inputs!$B$3&gt;=134,MAX(0,IF(Inputs!$B$3&gt;=110,7,5)-5)*50,0),0)/100)*(1+(IF(Skills!A10="RAGING_BLOW",Inputs!$B$17+((C932=TRUE)*(F932-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924=TRUE)*F924*IF(Inputs!$B$3&gt;=110,7,5))+((C926=TRUE)*F926*IF(AND(Inputs!$B$38&lt;&gt;"pvp",Inputs!$B$43&gt;0),(((R926-1)*(Skills!T15*(1+(Inputs!$B$34+(ArtifactsInput!$M$7-ArtifactsInput!$M$7)*CHOOSE(ArtifactsInput!$N$7+1,6,7.2,8.4,9.6,10.8,12))/100))+MIN((Skills!T15*(1+(Inputs!$B$34+(ArtifactsInput!$M$7-ArtifactsInput!$M$7)*CHOOSE(ArtifactsInput!$N$7+1,6,7.2,8.4,9.6,10.8,12))/100)),MAX(0,Inputs!$B$43-((R926-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Hunt"),CHOOSE(ArtifactsInput!$N$35+1,15,18,21,24,27,30)*(1-EXP(-(0.2*B942)*5)),0)+IF(AND(ArtifactsInput!$M$22,Inputs!$B$4&lt;&gt;"Chapter Hunt"),CHOOSE(ArtifactsInput!$N$22+1,10,12,14,16,18,20)*((0*(((0.15*B942*5))^0/1)+1*(((0.15*B942*5))^1/1)+2*(((0.15*B942*5))^2/2)+3*(((0.15*B942*5))^3/6)+4*(((0.15*B942*5))^4/24)+5*(((0.15*B942*5))^5/120))/((((0.15*B942*5))^0/1)+(((0.15*B942*5))^1/1)+(((0.15*B942*5))^2/2)+(((0.15*B942*5))^3/6)+(((0.15*B942*5))^4/24)+(((0.15*B942*5))^5/120))),0)))/100)*I921)</f>
        <v/>
      </c>
      <c r="L921">
        <f>K921*(MIN(Inputs!$B$22+((C933=TRUE)*(F933-Calc!F22)),(Inputs!$B$23+((C935=TRUE)*(F935-Calc!F24))+(IF(ArtifactsInput!$M$15,CHOOSE(ArtifactsInput!$N$15+1,25,30,35,40,45,50)/100*(Inputs!$B$11-Inputs!$B$11),0))))/100+(Inputs!$B$23+((C935=TRUE)*(F935-Calc!F24))+(IF(ArtifactsInput!$M$15,CHOOSE(ArtifactsInput!$N$15+1,25,30,35,40,45,50)/100*(Inputs!$B$11-Inputs!$B$11),0)))/100)/2</f>
        <v/>
      </c>
      <c r="M921">
        <f>L921*(1+(Inputs!$B$10+0+B945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1">
        <f>L921*(1-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921*(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1">
        <f>(1-Summary!$B$11)*T921+Summary!$B$11*V921</f>
        <v/>
      </c>
      <c r="P921">
        <f>IF(B950=0,0,O921/B950)</f>
        <v/>
      </c>
      <c r="Q921">
        <f>IFERROR(1/(IF(Inputs!$B$38="pvp",15,MAX(0.1,Skills!D10-IF(Skills!E10=TRUE,Inputs!$B$32,0)))*(1-IF(AND(ArtifactsInput!$M$27,Inputs!$B$4="Chapter Hunt"),CHOOSE(ArtifactsInput!$N$27+1,20,24,28,32,36,40),0)/100)),0)</f>
        <v/>
      </c>
      <c r="R921">
        <f>IF(AND(Inputs!$B$38&lt;&gt;"pvp",Inputs!$B$43&gt;0),IF(MAX(0,Inputs!$B$43-B947)&lt;=0,0,(INT(MAX(0,Inputs!$B$43-B947)/(IF(Inputs!$B$38="pvp",15,MAX(0.1,Skills!D10-IF(Skills!E10=TRUE,Inputs!$B$32,0)))*(1-IF(AND(ArtifactsInput!$M$27,Inputs!$B$4="Chapter Hunt"),CHOOSE(ArtifactsInput!$N$27+1,20,24,28,32,36,40),0)/100)))+1)),0)</f>
        <v/>
      </c>
      <c r="S921">
        <f>IFERROR(O921/N921,0)</f>
        <v/>
      </c>
      <c r="T921">
        <f>IF(C921,(H921*N921*IF(AND(Inputs!$B$38&lt;&gt;"pvp",Inputs!$B$43&gt;0),((Skills!G10*((R921-1)*IF(Skills!H10&gt;0,Skills!I10/Skills!H10,1)+IF(Skills!H10&gt;0,MIN(Skills!I10,MAX(0,MAX(0,Inputs!$B$43-B947)-((R921-1)*(IF(Inputs!$B$38="pvp",15,MAX(0.1,Skills!D10-IF(Skills!E10=TRUE,Inputs!$B$32,0)))*(1-IF(AND(ArtifactsInput!$M$27,Inputs!$B$4="Chapter Hunt"),CHOOSE(ArtifactsInput!$N$27+1,20,24,28,32,36,40),0)/100)))))/Skills!H10,1)))/Inputs!$B$43),G921*Q921)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921*(1-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921*(1-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1">
        <f>IF(C921,(H921*N921*IF(AND(Inputs!$B$38&lt;&gt;"pvp",Inputs!$B$43&gt;0),((Skills!G10*((R921-1)*IF(Skills!H10&gt;0,Skills!I10/Skills!H10,1)+IF(Skills!H10&gt;0,MIN(Skills!I10,MAX(0,MAX(0,Inputs!$B$43-B947)-((R921-1)*(IF(Inputs!$B$38="pvp",15,MAX(0.1,Skills!D10-IF(Skills!E10=TRUE,Inputs!$B$32,0)))*(1-IF(AND(ArtifactsInput!$M$27,Inputs!$B$4="Chapter Hunt"),CHOOSE(ArtifactsInput!$N$27+1,20,24,28,32,36,40),0)/100)))))/Skills!H10,1)))/Inputs!$B$43),G921*Q921)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2">
      <c r="A922">
        <f>Skills!A11</f>
        <v/>
      </c>
      <c r="B922">
        <f>Skills!B11</f>
        <v/>
      </c>
      <c r="C922">
        <f>Inputs!$B$3&gt;=35</f>
        <v/>
      </c>
      <c r="D922">
        <f>IF(Skills!C11=1,60+Inputs!$B$25+(Inputs!$B$29+1),IF(Skills!C11=2,90+Inputs!$B$26+(Inputs!$B$29+1),IF(Skills!C11=3,120+Inputs!$B$27+(Inputs!$B$29+1),MAX(0,(Inputs!$B$3-100)*3)+Inputs!$B$28+(Inputs!$B$29+1))))</f>
        <v/>
      </c>
      <c r="E922">
        <f>INDEX(FactorTable!$B$2:$Y$301, MATCH(ROUND(MIN(300,MAX(1,D922)),0), FactorTable!$A$2:$A$301,0), Skills!M11+1)</f>
        <v/>
      </c>
      <c r="F922">
        <f>IF(Skills!N11=TRUE,(Skills!L11/10)*(E922/1000),Skills!L11/10)+Skills!O11</f>
        <v/>
      </c>
      <c r="G922">
        <f>Skills!G11*IF(Skills!H11&gt;0,Skills!I11/Skills!H11,1)</f>
        <v/>
      </c>
      <c r="H922">
        <f>1-(1-Skills!J11/100)^Skills!K11</f>
        <v/>
      </c>
      <c r="I922" t="inlineStr">
        <is>
          <t>1</t>
        </is>
      </c>
      <c r="J922">
        <f>((Inputs!$B$6*(1+Inputs!$B$7/100))+(((Inputs!$B$12*(1+Inputs!$B$13/100))-(Inputs!$B$12*(1+Inputs!$B$13/100)))+0.25*(Inputs!$B$14-Inputs!$B$14))*(1+Inputs!$B$7/100))*(F922/100)</f>
        <v/>
      </c>
      <c r="K922">
        <f>J922*(1+((Inputs!$B$12*(1+Inputs!$B$13/100))*0.01+Inputs!$B$14*0.0025)/100)*(1+Inputs!$B$15/100)*(1+Inputs!$B$16/100)*(5000/(6000+Inputs!$B$42*(1-(100*(1-(1-(Inputs!$B$19+0)/100)*(1-CHOOSE(ArtifactsInput!$N$40+1,5,6,7,8,9,10)/100)^(ArtifactsInput!$M$40-ArtifactsInput!$M$40)))/100)))*(1+(Inputs!$B$24+((C936=TRUE)*(F936-Calc!F25))+B946)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923=TRUE,F923,0)/100)*(1+IF(Skills!A11="ENHANCED_RAGING_BLOW",IF(Inputs!$B$3&gt;=134,MAX(0,IF(Inputs!$B$3&gt;=110,7,5)-5)*50,0),0)/100)*(1+(IF(Skills!A11="RAGING_BLOW",Inputs!$B$17+((C932=TRUE)*(F932-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924=TRUE)*F924*IF(Inputs!$B$3&gt;=110,7,5))+((C926=TRUE)*F926*IF(AND(Inputs!$B$38&lt;&gt;"pvp",Inputs!$B$43&gt;0),(((R926-1)*(Skills!T15*(1+(Inputs!$B$34+(ArtifactsInput!$M$7-ArtifactsInput!$M$7)*CHOOSE(ArtifactsInput!$N$7+1,6,7.2,8.4,9.6,10.8,12))/100))+MIN((Skills!T15*(1+(Inputs!$B$34+(ArtifactsInput!$M$7-ArtifactsInput!$M$7)*CHOOSE(ArtifactsInput!$N$7+1,6,7.2,8.4,9.6,10.8,12))/100)),MAX(0,Inputs!$B$43-((R926-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Hunt"),CHOOSE(ArtifactsInput!$N$35+1,15,18,21,24,27,30)*(1-EXP(-(0.2*B942)*5)),0)+IF(AND(ArtifactsInput!$M$22,Inputs!$B$4&lt;&gt;"Chapter Hunt"),CHOOSE(ArtifactsInput!$N$22+1,10,12,14,16,18,20)*((0*(((0.15*B942*5))^0/1)+1*(((0.15*B942*5))^1/1)+2*(((0.15*B942*5))^2/2)+3*(((0.15*B942*5))^3/6)+4*(((0.15*B942*5))^4/24)+5*(((0.15*B942*5))^5/120))/((((0.15*B942*5))^0/1)+(((0.15*B942*5))^1/1)+(((0.15*B942*5))^2/2)+(((0.15*B942*5))^3/6)+(((0.15*B942*5))^4/24)+(((0.15*B942*5))^5/120))),0)))/100)*I922)</f>
        <v/>
      </c>
      <c r="L922">
        <f>K922*(MIN(Inputs!$B$22+((C933=TRUE)*(F933-Calc!F22)),(Inputs!$B$23+((C935=TRUE)*(F935-Calc!F24))+(IF(ArtifactsInput!$M$15,CHOOSE(ArtifactsInput!$N$15+1,25,30,35,40,45,50)/100*(Inputs!$B$11-Inputs!$B$11),0))))/100+(Inputs!$B$23+((C935=TRUE)*(F935-Calc!F24))+(IF(ArtifactsInput!$M$15,CHOOSE(ArtifactsInput!$N$15+1,25,30,35,40,45,50)/100*(Inputs!$B$11-Inputs!$B$11),0)))/100)/2</f>
        <v/>
      </c>
      <c r="M922">
        <f>L922*(1+(Inputs!$B$10+0+B945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2">
        <f>L922*(1-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922*(MIN((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2">
        <f>(1-Summary!$B$11)*T922+Summary!$B$11*V922</f>
        <v/>
      </c>
      <c r="P922">
        <f>IF(B950=0,0,O922/B950)</f>
        <v/>
      </c>
      <c r="Q922">
        <f>IFERROR(1/(IF(Inputs!$B$38="pvp",15,MAX(0.1,Skills!D11-IF(Skills!E11=TRUE,Inputs!$B$32,0)))*(1-IF(AND(ArtifactsInput!$M$27,Inputs!$B$4="Chapter Hunt"),CHOOSE(ArtifactsInput!$N$27+1,20,24,28,32,36,40),0)/100)),0)</f>
        <v/>
      </c>
      <c r="R922">
        <f>IF(AND(Inputs!$B$38&lt;&gt;"pvp",Inputs!$B$43&gt;0),IF(MAX(0,Inputs!$B$43-B947)&lt;=0,0,(INT(MAX(0,Inputs!$B$43-B947)/(IF(Inputs!$B$38="pvp",15,MAX(0.1,Skills!D11-IF(Skills!E11=TRUE,Inputs!$B$32,0)))*(1-IF(AND(ArtifactsInput!$M$27,Inputs!$B$4="Chapter Hunt"),CHOOSE(ArtifactsInput!$N$27+1,20,24,28,32,36,40),0)/100)))+1)),0)</f>
        <v/>
      </c>
      <c r="S922">
        <f>IFERROR(O922/N922,0)</f>
        <v/>
      </c>
      <c r="T922">
        <f>IF(C922,(H922*N922*IF(AND(Inputs!$B$38&lt;&gt;"pvp",Inputs!$B$43&gt;0),((Skills!G11*((R922-1)*IF(Skills!H11&gt;0,Skills!I11/Skills!H11,1)+IF(Skills!H11&gt;0,MIN(Skills!I11,MAX(0,MAX(0,Inputs!$B$43-B947)-((R922-1)*(IF(Inputs!$B$38="pvp",15,MAX(0.1,Skills!D11-IF(Skills!E11=TRUE,Inputs!$B$32,0)))*(1-IF(AND(ArtifactsInput!$M$27,Inputs!$B$4="Chapter Hunt"),CHOOSE(ArtifactsInput!$N$27+1,20,24,28,32,36,40),0)/100)))))/Skills!H11,1)))/Inputs!$B$43),G922*Q922)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922*(1-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922*(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922*(1-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922*(MIN(100,(Inputs!$B$9+((C937=TRUE)*(F937-Calc!F26))+B940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2">
        <f>IF(C922,(H922*N922*IF(AND(Inputs!$B$38&lt;&gt;"pvp",Inputs!$B$43&gt;0),((Skills!G11*((R922-1)*IF(Skills!H11&gt;0,Skills!I11/Skills!H11,1)+IF(Skills!H11&gt;0,MIN(Skills!I11,MAX(0,MAX(0,Inputs!$B$43-B947)-((R922-1)*(IF(Inputs!$B$38="pvp",15,MAX(0.1,Skills!D11-IF(Skills!E11=TRUE,Inputs!$B$32,0)))*(1-IF(AND(ArtifactsInput!$M$27,Inputs!$B$4="Chapter Hunt"),CHOOSE(ArtifactsInput!$N$27+1,20,24,28,32,36,40),0)/100)))))/Skills!H11,1)))/Inputs!$B$43),G922*Q922)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3">
      <c r="A923">
        <f>Skills!A12</f>
        <v/>
      </c>
      <c r="B923">
        <f>Skills!B12</f>
        <v/>
      </c>
      <c r="C923">
        <f>Inputs!$B$3&gt;=100</f>
        <v/>
      </c>
      <c r="D923">
        <f>IF(Skills!C12=1,60+Inputs!$B$25+(Inputs!$B$29+1),IF(Skills!C12=2,90+Inputs!$B$26+(Inputs!$B$29+1),IF(Skills!C12=3,120+Inputs!$B$27+(Inputs!$B$29+1),MAX(0,(Inputs!$B$3-100)*3)+Inputs!$B$28+(Inputs!$B$29+1))))</f>
        <v/>
      </c>
      <c r="E923">
        <f>INDEX(FactorTable!$B$2:$Y$301, MATCH(ROUND(MIN(300,MAX(1,D923)),0), FactorTable!$A$2:$A$301,0), Skills!M12+1)</f>
        <v/>
      </c>
      <c r="F923">
        <f>IF(Skills!N12=TRUE,(Skills!L12/10)*(E923/1000),Skills!L12/10)+Skills!O12</f>
        <v/>
      </c>
      <c r="G923" t="inlineStr"/>
      <c r="H923" t="inlineStr"/>
      <c r="I923" t="inlineStr">
        <is>
          <t>1</t>
        </is>
      </c>
      <c r="J923" t="inlineStr"/>
      <c r="K923" t="inlineStr"/>
      <c r="L923" t="inlineStr"/>
      <c r="M923" t="inlineStr"/>
      <c r="N923" t="inlineStr"/>
      <c r="O923" t="inlineStr"/>
      <c r="P923" t="inlineStr"/>
      <c r="Q923" t="inlineStr"/>
      <c r="R923" t="inlineStr"/>
      <c r="S923" t="inlineStr"/>
    </row>
    <row r="924">
      <c r="A924">
        <f>Skills!A13</f>
        <v/>
      </c>
      <c r="B924">
        <f>Skills!B13</f>
        <v/>
      </c>
      <c r="C924">
        <f>Inputs!$B$3&gt;=45</f>
        <v/>
      </c>
      <c r="D924">
        <f>IF(Skills!C13=1,60+Inputs!$B$25+(Inputs!$B$29+1),IF(Skills!C13=2,90+Inputs!$B$26+(Inputs!$B$29+1),IF(Skills!C13=3,120+Inputs!$B$27+(Inputs!$B$29+1),MAX(0,(Inputs!$B$3-100)*3)+Inputs!$B$28+(Inputs!$B$29+1))))</f>
        <v/>
      </c>
      <c r="E924">
        <f>INDEX(FactorTable!$B$2:$Y$301, MATCH(ROUND(MIN(300,MAX(1,D924)),0), FactorTable!$A$2:$A$301,0), Skills!M13+1)</f>
        <v/>
      </c>
      <c r="F924">
        <f>IF(Skills!N13=TRUE,(Skills!L13/10)*(E924/1000),Skills!L13/10)+Skills!O13</f>
        <v/>
      </c>
      <c r="G924">
        <f>Skills!G13*IF(Skills!H13&gt;0,Skills!I13/Skills!H13,1)</f>
        <v/>
      </c>
      <c r="H924">
        <f>1-(1-Skills!J13/100)^Skills!K13</f>
        <v/>
      </c>
      <c r="I924" t="inlineStr">
        <is>
          <t>1</t>
        </is>
      </c>
      <c r="J924" t="inlineStr"/>
      <c r="K924" t="inlineStr"/>
      <c r="L924" t="inlineStr"/>
      <c r="M924" t="inlineStr"/>
      <c r="N924" t="inlineStr"/>
      <c r="O924">
        <f>(1-Summary!$B$11)*T924+Summary!$B$11*V924</f>
        <v/>
      </c>
      <c r="P924">
        <f>IF(B950=0,0,O924/B950)</f>
        <v/>
      </c>
      <c r="Q924" t="n">
        <v>0</v>
      </c>
      <c r="R924" t="n">
        <v>0</v>
      </c>
      <c r="S924">
        <f>IFERROR(O924/N924,0)</f>
        <v/>
      </c>
      <c r="T924" t="n">
        <v>0</v>
      </c>
      <c r="V924" t="n">
        <v>0</v>
      </c>
    </row>
    <row r="925">
      <c r="A925">
        <f>Skills!A14</f>
        <v/>
      </c>
      <c r="B925">
        <f>Skills!B14</f>
        <v/>
      </c>
      <c r="C925">
        <f>Inputs!$B$3&gt;=75</f>
        <v/>
      </c>
      <c r="D925">
        <f>IF(Skills!C14=1,60+Inputs!$B$25+(Inputs!$B$29+1),IF(Skills!C14=2,90+Inputs!$B$26+(Inputs!$B$29+1),IF(Skills!C14=3,120+Inputs!$B$27+(Inputs!$B$29+1),MAX(0,(Inputs!$B$3-100)*3)+Inputs!$B$28+(Inputs!$B$29+1))))</f>
        <v/>
      </c>
      <c r="E925">
        <f>INDEX(FactorTable!$B$2:$Y$301, MATCH(ROUND(MIN(300,MAX(1,D925)),0), FactorTable!$A$2:$A$301,0), Skills!M14+1)</f>
        <v/>
      </c>
      <c r="F925">
        <f>IF(Skills!N14=TRUE,(Skills!L14/10)*(E925/1000),Skills!L14/10)+Skills!O14</f>
        <v/>
      </c>
      <c r="G925">
        <f>Skills!G14*IF(Skills!H14&gt;0,Skills!I14/Skills!H14,1)</f>
        <v/>
      </c>
      <c r="H925">
        <f>1-(1-Skills!J14/100)^Skills!K14</f>
        <v/>
      </c>
      <c r="I925" t="inlineStr">
        <is>
          <t>1</t>
        </is>
      </c>
      <c r="J925" t="inlineStr"/>
      <c r="K925" t="inlineStr"/>
      <c r="L925" t="inlineStr"/>
      <c r="M925" t="inlineStr"/>
      <c r="N925" t="inlineStr"/>
      <c r="O925">
        <f>(1-Summary!$B$11)*T925+Summary!$B$11*V925</f>
        <v/>
      </c>
      <c r="P925">
        <f>IF(B950=0,0,O925/B950)</f>
        <v/>
      </c>
      <c r="Q925" t="n">
        <v>0</v>
      </c>
      <c r="R925" t="n">
        <v>0</v>
      </c>
      <c r="S925">
        <f>IFERROR(O925/N925,0)</f>
        <v/>
      </c>
      <c r="T925" t="n">
        <v>0</v>
      </c>
      <c r="V925" t="n">
        <v>0</v>
      </c>
    </row>
    <row r="926">
      <c r="A926">
        <f>Skills!A15</f>
        <v/>
      </c>
      <c r="B926">
        <f>Skills!B15</f>
        <v/>
      </c>
      <c r="C926">
        <f>Inputs!$B$3&gt;=40</f>
        <v/>
      </c>
      <c r="D926">
        <f>IF(Skills!C15=1,60+Inputs!$B$25+(Inputs!$B$29+1),IF(Skills!C15=2,90+Inputs!$B$26+(Inputs!$B$29+1),IF(Skills!C15=3,120+Inputs!$B$27+(Inputs!$B$29+1),MAX(0,(Inputs!$B$3-100)*3)+Inputs!$B$28+(Inputs!$B$29+1))))</f>
        <v/>
      </c>
      <c r="E926">
        <f>INDEX(FactorTable!$B$2:$Y$301, MATCH(ROUND(MIN(300,MAX(1,D926)),0), FactorTable!$A$2:$A$301,0), Skills!M15+1)</f>
        <v/>
      </c>
      <c r="F926">
        <f>IF(Skills!N15=TRUE,(Skills!L15/10)*(E926/1000),Skills!L15/10)+Skills!O15</f>
        <v/>
      </c>
      <c r="G926">
        <f>Skills!G15*IF(Skills!H15&gt;0,Skills!I15/Skills!H15,1)</f>
        <v/>
      </c>
      <c r="H926">
        <f>1-(1-Skills!J15/100)^Skills!K15</f>
        <v/>
      </c>
      <c r="I926" t="inlineStr">
        <is>
          <t>1</t>
        </is>
      </c>
      <c r="J926" t="inlineStr"/>
      <c r="K926" t="inlineStr"/>
      <c r="L926" t="inlineStr"/>
      <c r="M926" t="inlineStr"/>
      <c r="N926" t="inlineStr"/>
      <c r="O926">
        <f>(1-Summary!$B$11)*T926+Summary!$B$11*V926</f>
        <v/>
      </c>
      <c r="P926">
        <f>IF(B950=0,0,O926/B950)</f>
        <v/>
      </c>
      <c r="Q926">
        <f>IFERROR(1/(IF(Inputs!$B$38="pvp",15,MAX(0.1,Skills!D15-IF(Skills!E15=TRUE,Inputs!$B$32,0)))*(1-IF(AND(ArtifactsInput!$M$27,Inputs!$B$4="Chapter Hunt"),CHOOSE(ArtifactsInput!$N$27+1,20,24,28,32,36,40),0)/100)),0)</f>
        <v/>
      </c>
      <c r="R926">
        <f>IF(AND(Inputs!$B$38&lt;&gt;"pvp",Inputs!$B$43&gt;0),IF(Inputs!$B$43&lt;=0,0,(INT(Inputs!$B$43/(IF(Inputs!$B$38="pvp",15,MAX(0.1,Skills!D15-IF(Skills!E15=TRUE,Inputs!$B$32,0)))*(1-IF(AND(ArtifactsInput!$M$27,Inputs!$B$4="Chapter Hunt"),CHOOSE(ArtifactsInput!$N$27+1,20,24,28,32,36,40),0)/100)))+1)),0)</f>
        <v/>
      </c>
      <c r="S926">
        <f>IFERROR(O926/N926,0)</f>
        <v/>
      </c>
      <c r="T926" t="n">
        <v>0</v>
      </c>
      <c r="V926" t="n">
        <v>0</v>
      </c>
    </row>
    <row r="927">
      <c r="A927">
        <f>Skills!A16</f>
        <v/>
      </c>
      <c r="B927">
        <f>Skills!B16</f>
        <v/>
      </c>
      <c r="C927">
        <f>Inputs!$B$3&gt;=66</f>
        <v/>
      </c>
      <c r="D927">
        <f>IF(Skills!C16=1,60+Inputs!$B$25+(Inputs!$B$29+1),IF(Skills!C16=2,90+Inputs!$B$26+(Inputs!$B$29+1),IF(Skills!C16=3,120+Inputs!$B$27+(Inputs!$B$29+1),MAX(0,(Inputs!$B$3-100)*3)+Inputs!$B$28+(Inputs!$B$29+1))))</f>
        <v/>
      </c>
      <c r="E927">
        <f>INDEX(FactorTable!$B$2:$Y$301, MATCH(ROUND(MIN(300,MAX(1,D927)),0), FactorTable!$A$2:$A$301,0), Skills!M16+1)</f>
        <v/>
      </c>
      <c r="F927">
        <f>IF(Skills!N16=TRUE,(Skills!L16/10)*(E927/1000),Skills!L16/10)+Skills!O16</f>
        <v/>
      </c>
      <c r="G927">
        <f>Skills!G16*IF(Skills!H16&gt;0,Skills!I16/Skills!H16,1)</f>
        <v/>
      </c>
      <c r="H927">
        <f>1-(1-Skills!J16/100)^Skills!K16</f>
        <v/>
      </c>
      <c r="I927" t="inlineStr">
        <is>
          <t>1</t>
        </is>
      </c>
      <c r="J927" t="inlineStr"/>
      <c r="K927" t="inlineStr"/>
      <c r="L927" t="inlineStr"/>
      <c r="M927" t="inlineStr"/>
      <c r="N927" t="inlineStr"/>
      <c r="O927">
        <f>(1-Summary!$B$11)*T927+Summary!$B$11*V927</f>
        <v/>
      </c>
      <c r="P927">
        <f>IF(B950=0,0,O927/B950)</f>
        <v/>
      </c>
      <c r="Q927">
        <f>IFERROR(1/(IF(Inputs!$B$38="pvp",15,MAX(0.1,Skills!D16-IF(Skills!E16=TRUE,Inputs!$B$32,0)))*(1-IF(AND(ArtifactsInput!$M$27,Inputs!$B$4="Chapter Hunt"),CHOOSE(ArtifactsInput!$N$27+1,20,24,28,32,36,40),0)/100)),0)</f>
        <v/>
      </c>
      <c r="R927">
        <f>IF(AND(Inputs!$B$38&lt;&gt;"pvp",Inputs!$B$43&gt;0),IF(Inputs!$B$43&lt;=0,0,(INT(Inputs!$B$43/(IF(Inputs!$B$38="pvp",15,MAX(0.1,Skills!D16-IF(Skills!E16=TRUE,Inputs!$B$32,0)))*(1-IF(AND(ArtifactsInput!$M$27,Inputs!$B$4="Chapter Hunt"),CHOOSE(ArtifactsInput!$N$27+1,20,24,28,32,36,40),0)/100)))+1)),0)</f>
        <v/>
      </c>
      <c r="S927">
        <f>IFERROR(O927/N927,0)</f>
        <v/>
      </c>
      <c r="T927" t="n">
        <v>0</v>
      </c>
      <c r="V927" t="n">
        <v>0</v>
      </c>
    </row>
    <row r="928">
      <c r="A928">
        <f>Skills!A17</f>
        <v/>
      </c>
      <c r="B928">
        <f>Skills!B17</f>
        <v/>
      </c>
      <c r="C928">
        <f>Inputs!$B$3&gt;=115</f>
        <v/>
      </c>
      <c r="D928">
        <f>IF(Skills!C17=1,60+Inputs!$B$25+(Inputs!$B$29+1),IF(Skills!C17=2,90+Inputs!$B$26+(Inputs!$B$29+1),IF(Skills!C17=3,120+Inputs!$B$27+(Inputs!$B$29+1),MAX(0,(Inputs!$B$3-100)*3)+Inputs!$B$28+(Inputs!$B$29+1))))</f>
        <v/>
      </c>
      <c r="E928">
        <f>INDEX(FactorTable!$B$2:$Y$301, MATCH(ROUND(MIN(300,MAX(1,D928)),0), FactorTable!$A$2:$A$301,0), Skills!M17+1)</f>
        <v/>
      </c>
      <c r="F928">
        <f>IF(Skills!N17=TRUE,(Skills!L17/10)*(E928/1000),Skills!L17/10)+Skills!O17</f>
        <v/>
      </c>
      <c r="G928">
        <f>Skills!G17*IF(Skills!H17&gt;0,Skills!I17/Skills!H17,1)</f>
        <v/>
      </c>
      <c r="H928">
        <f>1-(1-Skills!J17/100)^Skills!K17</f>
        <v/>
      </c>
      <c r="I928" t="inlineStr">
        <is>
          <t>1</t>
        </is>
      </c>
      <c r="J928" t="inlineStr"/>
      <c r="K928" t="inlineStr"/>
      <c r="L928" t="inlineStr"/>
      <c r="M928" t="inlineStr"/>
      <c r="N928" t="inlineStr"/>
      <c r="O928">
        <f>(1-Summary!$B$11)*T928+Summary!$B$11*V928</f>
        <v/>
      </c>
      <c r="P928">
        <f>IF(B950=0,0,O928/B950)</f>
        <v/>
      </c>
      <c r="Q928">
        <f>IFERROR(1/(IF(Inputs!$B$38="pvp",15,MAX(0.1,Skills!D17-IF(Skills!E17=TRUE,Inputs!$B$32,0)))*(1-IF(AND(ArtifactsInput!$M$27,Inputs!$B$4="Chapter Hunt"),CHOOSE(ArtifactsInput!$N$27+1,20,24,28,32,36,40),0)/100)),0)</f>
        <v/>
      </c>
      <c r="R928">
        <f>IF(AND(Inputs!$B$38&lt;&gt;"pvp",Inputs!$B$43&gt;0),IF(Inputs!$B$43&lt;=0,0,(INT(Inputs!$B$43/(IF(Inputs!$B$38="pvp",15,MAX(0.1,Skills!D17-IF(Skills!E17=TRUE,Inputs!$B$32,0)))*(1-IF(AND(ArtifactsInput!$M$27,Inputs!$B$4="Chapter Hunt"),CHOOSE(ArtifactsInput!$N$27+1,20,24,28,32,36,40),0)/100)))+1)),0)</f>
        <v/>
      </c>
      <c r="S928">
        <f>IFERROR(O928/N928,0)</f>
        <v/>
      </c>
      <c r="T928" t="n">
        <v>0</v>
      </c>
      <c r="V928" t="n">
        <v>0</v>
      </c>
    </row>
    <row r="929">
      <c r="A929">
        <f>Skills!A18</f>
        <v/>
      </c>
      <c r="B929">
        <f>Skills!B18</f>
        <v/>
      </c>
      <c r="C929">
        <f>Inputs!$B$3&gt;=115</f>
        <v/>
      </c>
      <c r="D929">
        <f>IF(Skills!C18=1,60+Inputs!$B$25+(Inputs!$B$29+1),IF(Skills!C18=2,90+Inputs!$B$26+(Inputs!$B$29+1),IF(Skills!C18=3,120+Inputs!$B$27+(Inputs!$B$29+1),MAX(0,(Inputs!$B$3-100)*3)+Inputs!$B$28+(Inputs!$B$29+1))))</f>
        <v/>
      </c>
      <c r="E929">
        <f>INDEX(FactorTable!$B$2:$Y$301, MATCH(ROUND(MIN(300,MAX(1,D929)),0), FactorTable!$A$2:$A$301,0), Skills!M18+1)</f>
        <v/>
      </c>
      <c r="F929">
        <f>IF(Skills!N18=TRUE,(Skills!L18/10)*(E929/1000),Skills!L18/10)+Skills!O18</f>
        <v/>
      </c>
      <c r="G929">
        <f>Skills!G18*IF(Skills!H18&gt;0,Skills!I18/Skills!H18,1)</f>
        <v/>
      </c>
      <c r="H929">
        <f>1-(1-Skills!J18/100)^Skills!K18</f>
        <v/>
      </c>
      <c r="I929" t="inlineStr">
        <is>
          <t>1</t>
        </is>
      </c>
      <c r="J929" t="inlineStr"/>
      <c r="K929" t="inlineStr"/>
      <c r="L929" t="inlineStr"/>
      <c r="M929" t="inlineStr"/>
      <c r="N929" t="inlineStr"/>
      <c r="O929">
        <f>(1-Summary!$B$11)*T929+Summary!$B$11*V929</f>
        <v/>
      </c>
      <c r="P929">
        <f>IF(B950=0,0,O929/B950)</f>
        <v/>
      </c>
      <c r="Q929">
        <f>IFERROR(1/(IF(Inputs!$B$38="pvp",15,MAX(0.1,Skills!D18-IF(Skills!E18=TRUE,Inputs!$B$32,0)))*(1-IF(AND(ArtifactsInput!$M$27,Inputs!$B$4="Chapter Hunt"),CHOOSE(ArtifactsInput!$N$27+1,20,24,28,32,36,40),0)/100)),0)</f>
        <v/>
      </c>
      <c r="R929">
        <f>IF(AND(Inputs!$B$38&lt;&gt;"pvp",Inputs!$B$43&gt;0),IF(Inputs!$B$43&lt;=0,0,(INT(Inputs!$B$43/(IF(Inputs!$B$38="pvp",15,MAX(0.1,Skills!D18-IF(Skills!E18=TRUE,Inputs!$B$32,0)))*(1-IF(AND(ArtifactsInput!$M$27,Inputs!$B$4="Chapter Hunt"),CHOOSE(ArtifactsInput!$N$27+1,20,24,28,32,36,40),0)/100)))+1)),0)</f>
        <v/>
      </c>
      <c r="S929">
        <f>IFERROR(O929/N929,0)</f>
        <v/>
      </c>
      <c r="T929" t="n">
        <v>0</v>
      </c>
      <c r="V929" t="n">
        <v>0</v>
      </c>
    </row>
    <row r="930">
      <c r="A930">
        <f>Skills!A19</f>
        <v/>
      </c>
      <c r="B930">
        <f>Skills!B19</f>
        <v/>
      </c>
      <c r="C930">
        <f>TRUE</f>
        <v/>
      </c>
      <c r="D930">
        <f>IF(Skills!C19=1,60+Inputs!$B$25+(Inputs!$B$29+1),IF(Skills!C19=2,90+Inputs!$B$26+(Inputs!$B$29+1),IF(Skills!C19=3,120+Inputs!$B$27+(Inputs!$B$29+1),MAX(0,(Inputs!$B$3-100)*3)+Inputs!$B$28+(Inputs!$B$29+1))))</f>
        <v/>
      </c>
      <c r="E930">
        <f>INDEX(FactorTable!$B$2:$Y$301, MATCH(ROUND(MIN(300,MAX(1,D930)),0), FactorTable!$A$2:$A$301,0), Skills!M19+1)</f>
        <v/>
      </c>
      <c r="F930">
        <f>IF(Skills!N19=TRUE,(Skills!L19/10)*(E930/1000),Skills!L19/10)+Skills!O19</f>
        <v/>
      </c>
      <c r="G930">
        <f>Skills!G19*IF(Skills!H19&gt;0,Skills!I19/Skills!H19,1)</f>
        <v/>
      </c>
      <c r="H930">
        <f>1-(1-Skills!J19/100)^Skills!K19</f>
        <v/>
      </c>
      <c r="I930" t="inlineStr">
        <is>
          <t>1</t>
        </is>
      </c>
      <c r="J930" t="inlineStr"/>
      <c r="K930" t="inlineStr"/>
      <c r="L930" t="inlineStr"/>
      <c r="M930" t="inlineStr"/>
      <c r="N930" t="inlineStr"/>
      <c r="O930">
        <f>(1-Summary!$B$11)*T930+Summary!$B$11*V930</f>
        <v/>
      </c>
      <c r="P930">
        <f>IF(B950=0,0,O930/B950)</f>
        <v/>
      </c>
      <c r="Q930">
        <f>IFERROR(1/(IF(Inputs!$B$38="pvp",15,MAX(0.1,Skills!D19-IF(Skills!E19=TRUE,Inputs!$B$32,0)))*(1-IF(AND(ArtifactsInput!$M$27,Inputs!$B$4="Chapter Hunt"),CHOOSE(ArtifactsInput!$N$27+1,20,24,28,32,36,40),0)/100)),0)</f>
        <v/>
      </c>
      <c r="R930">
        <f>IF(AND(Inputs!$B$38&lt;&gt;"pvp",Inputs!$B$43&gt;0),IF(Inputs!$B$43&lt;=0,0,(INT(Inputs!$B$43/(IF(Inputs!$B$38="pvp",15,MAX(0.1,Skills!D19-IF(Skills!E19=TRUE,Inputs!$B$32,0)))*(1-IF(AND(ArtifactsInput!$M$27,Inputs!$B$4="Chapter Hunt"),CHOOSE(ArtifactsInput!$N$27+1,20,24,28,32,36,40),0)/100)))+1)),0)</f>
        <v/>
      </c>
      <c r="S930">
        <f>IFERROR(O930/N930,0)</f>
        <v/>
      </c>
      <c r="T930" t="n">
        <v>0</v>
      </c>
      <c r="V930" t="n">
        <v>0</v>
      </c>
    </row>
    <row r="931">
      <c r="A931">
        <f>Skills!A20</f>
        <v/>
      </c>
      <c r="B931">
        <f>Skills!B20</f>
        <v/>
      </c>
      <c r="C931">
        <f>Inputs!$B$3&gt;=33</f>
        <v/>
      </c>
      <c r="D931">
        <f>IF(Skills!C20=1,60+Inputs!$B$25+(Inputs!$B$29+1),IF(Skills!C20=2,90+Inputs!$B$26+(Inputs!$B$29+1),IF(Skills!C20=3,120+Inputs!$B$27+(Inputs!$B$29+1),MAX(0,(Inputs!$B$3-100)*3)+Inputs!$B$28+(Inputs!$B$29+1))))</f>
        <v/>
      </c>
      <c r="E931">
        <f>INDEX(FactorTable!$B$2:$Y$301, MATCH(ROUND(MIN(300,MAX(1,D931)),0), FactorTable!$A$2:$A$301,0), Skills!M20+1)</f>
        <v/>
      </c>
      <c r="F931">
        <f>IF(Skills!N20=TRUE,(Skills!L20/10)*(E931/1000),Skills!L20/10)+Skills!O20</f>
        <v/>
      </c>
      <c r="G931">
        <f>Skills!G20*IF(Skills!H20&gt;0,Skills!I20/Skills!H20,1)</f>
        <v/>
      </c>
      <c r="H931">
        <f>1-(1-Skills!J20/100)^Skills!K20</f>
        <v/>
      </c>
      <c r="I931" t="inlineStr">
        <is>
          <t>1</t>
        </is>
      </c>
      <c r="J931" t="inlineStr"/>
      <c r="K931" t="inlineStr"/>
      <c r="L931" t="inlineStr"/>
      <c r="M931" t="inlineStr"/>
      <c r="N931" t="inlineStr"/>
      <c r="O931">
        <f>(1-Summary!$B$11)*T931+Summary!$B$11*V931</f>
        <v/>
      </c>
      <c r="P931">
        <f>IF(B950=0,0,O931/B950)</f>
        <v/>
      </c>
      <c r="Q931" t="n">
        <v>0</v>
      </c>
      <c r="R931" t="n">
        <v>0</v>
      </c>
      <c r="S931">
        <f>IFERROR(O931/N931,0)</f>
        <v/>
      </c>
      <c r="T931" t="n">
        <v>0</v>
      </c>
      <c r="V931" t="n">
        <v>0</v>
      </c>
    </row>
    <row r="932">
      <c r="A932">
        <f>Skills!A21</f>
        <v/>
      </c>
      <c r="B932">
        <f>Skills!B21</f>
        <v/>
      </c>
      <c r="C932">
        <f>Inputs!$B$3&gt;=38</f>
        <v/>
      </c>
      <c r="D932">
        <f>IF(Skills!C21=1,60+Inputs!$B$25+(Inputs!$B$29+1),IF(Skills!C21=2,90+Inputs!$B$26+(Inputs!$B$29+1),IF(Skills!C21=3,120+Inputs!$B$27+(Inputs!$B$29+1),MAX(0,(Inputs!$B$3-100)*3)+Inputs!$B$28+(Inputs!$B$29+1))))</f>
        <v/>
      </c>
      <c r="E932">
        <f>INDEX(FactorTable!$B$2:$Y$301, MATCH(ROUND(MIN(300,MAX(1,D932)),0), FactorTable!$A$2:$A$301,0), Skills!M21+1)</f>
        <v/>
      </c>
      <c r="F932">
        <f>IF(Skills!N21=TRUE,(Skills!L21/10)*(E932/1000),Skills!L21/10)+Skills!O21</f>
        <v/>
      </c>
      <c r="G932">
        <f>Skills!G21*IF(Skills!H21&gt;0,Skills!I21/Skills!H21,1)</f>
        <v/>
      </c>
      <c r="H932">
        <f>1-(1-Skills!J21/100)^Skills!K21</f>
        <v/>
      </c>
      <c r="I932" t="inlineStr">
        <is>
          <t>1</t>
        </is>
      </c>
      <c r="J932" t="inlineStr"/>
      <c r="K932" t="inlineStr"/>
      <c r="L932" t="inlineStr"/>
      <c r="M932" t="inlineStr"/>
      <c r="N932" t="inlineStr"/>
      <c r="O932">
        <f>(1-Summary!$B$11)*T932+Summary!$B$11*V932</f>
        <v/>
      </c>
      <c r="P932">
        <f>IF(B950=0,0,O932/B950)</f>
        <v/>
      </c>
      <c r="Q932" t="n">
        <v>0</v>
      </c>
      <c r="R932" t="n">
        <v>0</v>
      </c>
      <c r="S932">
        <f>IFERROR(O932/N932,0)</f>
        <v/>
      </c>
      <c r="T932" t="n">
        <v>0</v>
      </c>
      <c r="V932" t="n">
        <v>0</v>
      </c>
    </row>
    <row r="933">
      <c r="A933">
        <f>Skills!A22</f>
        <v/>
      </c>
      <c r="B933">
        <f>Skills!B22</f>
        <v/>
      </c>
      <c r="C933">
        <f>Inputs!$B$3&gt;=43</f>
        <v/>
      </c>
      <c r="D933">
        <f>IF(Skills!C22=1,60+Inputs!$B$25+(Inputs!$B$29+1),IF(Skills!C22=2,90+Inputs!$B$26+(Inputs!$B$29+1),IF(Skills!C22=3,120+Inputs!$B$27+(Inputs!$B$29+1),MAX(0,(Inputs!$B$3-100)*3)+Inputs!$B$28+(Inputs!$B$29+1))))</f>
        <v/>
      </c>
      <c r="E933">
        <f>INDEX(FactorTable!$B$2:$Y$301, MATCH(ROUND(MIN(300,MAX(1,D933)),0), FactorTable!$A$2:$A$301,0), Skills!M22+1)</f>
        <v/>
      </c>
      <c r="F933">
        <f>IF(Skills!N22=TRUE,(Skills!L22/10)*(E933/1000),Skills!L22/10)+Skills!O22</f>
        <v/>
      </c>
      <c r="G933">
        <f>Skills!G22*IF(Skills!H22&gt;0,Skills!I22/Skills!H22,1)</f>
        <v/>
      </c>
      <c r="H933">
        <f>1-(1-Skills!J22/100)^Skills!K22</f>
        <v/>
      </c>
      <c r="I933" t="inlineStr">
        <is>
          <t>1</t>
        </is>
      </c>
      <c r="J933" t="inlineStr"/>
      <c r="K933" t="inlineStr"/>
      <c r="L933" t="inlineStr"/>
      <c r="M933" t="inlineStr"/>
      <c r="N933" t="inlineStr"/>
      <c r="O933">
        <f>(1-Summary!$B$11)*T933+Summary!$B$11*V933</f>
        <v/>
      </c>
      <c r="P933">
        <f>IF(B950=0,0,O933/B950)</f>
        <v/>
      </c>
      <c r="Q933" t="n">
        <v>0</v>
      </c>
      <c r="R933" t="n">
        <v>0</v>
      </c>
      <c r="S933">
        <f>IFERROR(O933/N933,0)</f>
        <v/>
      </c>
      <c r="T933" t="n">
        <v>0</v>
      </c>
      <c r="V933" t="n">
        <v>0</v>
      </c>
    </row>
    <row r="934">
      <c r="A934">
        <f>Skills!A23</f>
        <v/>
      </c>
      <c r="B934">
        <f>Skills!B23</f>
        <v/>
      </c>
      <c r="C934">
        <f>Inputs!$B$3&gt;=120</f>
        <v/>
      </c>
      <c r="D934">
        <f>IF(Skills!C23=1,60+Inputs!$B$25+(Inputs!$B$29+1),IF(Skills!C23=2,90+Inputs!$B$26+(Inputs!$B$29+1),IF(Skills!C23=3,120+Inputs!$B$27+(Inputs!$B$29+1),MAX(0,(Inputs!$B$3-100)*3)+Inputs!$B$28+(Inputs!$B$29+1))))</f>
        <v/>
      </c>
      <c r="E934">
        <f>INDEX(FactorTable!$B$2:$Y$301, MATCH(ROUND(MIN(300,MAX(1,D934)),0), FactorTable!$A$2:$A$301,0), Skills!M23+1)</f>
        <v/>
      </c>
      <c r="F934">
        <f>IF(Skills!N23=TRUE,(Skills!L23/10)*(E934/1000),Skills!L23/10)+Skills!O23</f>
        <v/>
      </c>
      <c r="G934">
        <f>Skills!G23*IF(Skills!H23&gt;0,Skills!I23/Skills!H23,1)</f>
        <v/>
      </c>
      <c r="H934">
        <f>1-(1-Skills!J23/100)^Skills!K23</f>
        <v/>
      </c>
      <c r="I934" t="inlineStr">
        <is>
          <t>1</t>
        </is>
      </c>
      <c r="J934" t="inlineStr"/>
      <c r="K934" t="inlineStr"/>
      <c r="L934" t="inlineStr"/>
      <c r="M934" t="inlineStr"/>
      <c r="N934" t="inlineStr"/>
      <c r="O934">
        <f>(1-Summary!$B$11)*T934+Summary!$B$11*V934</f>
        <v/>
      </c>
      <c r="P934">
        <f>IF(B950=0,0,O934/B950)</f>
        <v/>
      </c>
      <c r="Q934" t="n">
        <v>0</v>
      </c>
      <c r="R934" t="n">
        <v>0</v>
      </c>
      <c r="S934">
        <f>IFERROR(O934/N934,0)</f>
        <v/>
      </c>
      <c r="T934" t="n">
        <v>0</v>
      </c>
      <c r="V934" t="n">
        <v>0</v>
      </c>
    </row>
    <row r="935">
      <c r="A935">
        <f>Skills!A24</f>
        <v/>
      </c>
      <c r="B935">
        <f>Skills!B24</f>
        <v/>
      </c>
      <c r="C935">
        <f>Inputs!$B$3&gt;=120</f>
        <v/>
      </c>
      <c r="D935">
        <f>IF(Skills!C24=1,60+Inputs!$B$25+(Inputs!$B$29+1),IF(Skills!C24=2,90+Inputs!$B$26+(Inputs!$B$29+1),IF(Skills!C24=3,120+Inputs!$B$27+(Inputs!$B$29+1),MAX(0,(Inputs!$B$3-100)*3)+Inputs!$B$28+(Inputs!$B$29+1))))</f>
        <v/>
      </c>
      <c r="E935">
        <f>INDEX(FactorTable!$B$2:$Y$301, MATCH(ROUND(MIN(300,MAX(1,D935)),0), FactorTable!$A$2:$A$301,0), Skills!M24+1)</f>
        <v/>
      </c>
      <c r="F935">
        <f>IF(Skills!N24=TRUE,(Skills!L24/10)*(E935/1000),Skills!L24/10)+Skills!O24</f>
        <v/>
      </c>
      <c r="G935">
        <f>Skills!G24*IF(Skills!H24&gt;0,Skills!I24/Skills!H24,1)</f>
        <v/>
      </c>
      <c r="H935">
        <f>1-(1-Skills!J24/100)^Skills!K24</f>
        <v/>
      </c>
      <c r="I935" t="inlineStr">
        <is>
          <t>1</t>
        </is>
      </c>
      <c r="J935" t="inlineStr"/>
      <c r="K935" t="inlineStr"/>
      <c r="L935" t="inlineStr"/>
      <c r="M935" t="inlineStr"/>
      <c r="N935" t="inlineStr"/>
      <c r="O935">
        <f>(1-Summary!$B$11)*T935+Summary!$B$11*V935</f>
        <v/>
      </c>
      <c r="P935">
        <f>IF(B950=0,0,O935/B950)</f>
        <v/>
      </c>
      <c r="Q935" t="n">
        <v>0</v>
      </c>
      <c r="R935" t="n">
        <v>0</v>
      </c>
      <c r="S935">
        <f>IFERROR(O935/N935,0)</f>
        <v/>
      </c>
      <c r="T935" t="n">
        <v>0</v>
      </c>
      <c r="V935" t="n">
        <v>0</v>
      </c>
    </row>
    <row r="936">
      <c r="A936">
        <f>Skills!A25</f>
        <v/>
      </c>
      <c r="B936">
        <f>Skills!B25</f>
        <v/>
      </c>
      <c r="C936">
        <f>Inputs!$B$3&gt;=125</f>
        <v/>
      </c>
      <c r="D936">
        <f>IF(Skills!C25=1,60+Inputs!$B$25+(Inputs!$B$29+1),IF(Skills!C25=2,90+Inputs!$B$26+(Inputs!$B$29+1),IF(Skills!C25=3,120+Inputs!$B$27+(Inputs!$B$29+1),MAX(0,(Inputs!$B$3-100)*3)+Inputs!$B$28+(Inputs!$B$29+1))))</f>
        <v/>
      </c>
      <c r="E936">
        <f>INDEX(FactorTable!$B$2:$Y$301, MATCH(ROUND(MIN(300,MAX(1,D936)),0), FactorTable!$A$2:$A$301,0), Skills!M25+1)</f>
        <v/>
      </c>
      <c r="F936">
        <f>IF(Skills!N25=TRUE,(Skills!L25/10)*(E936/1000),Skills!L25/10)+Skills!O25</f>
        <v/>
      </c>
      <c r="G936">
        <f>Skills!G25*IF(Skills!H25&gt;0,Skills!I25/Skills!H25,1)</f>
        <v/>
      </c>
      <c r="H936">
        <f>1-(1-Skills!J25/100)^Skills!K25</f>
        <v/>
      </c>
      <c r="I936" t="inlineStr">
        <is>
          <t>1</t>
        </is>
      </c>
      <c r="J936" t="inlineStr"/>
      <c r="K936" t="inlineStr"/>
      <c r="L936" t="inlineStr"/>
      <c r="M936" t="inlineStr"/>
      <c r="N936" t="inlineStr"/>
      <c r="O936">
        <f>(1-Summary!$B$11)*T936+Summary!$B$11*V936</f>
        <v/>
      </c>
      <c r="P936">
        <f>IF(B950=0,0,O936/B950)</f>
        <v/>
      </c>
      <c r="Q936" t="n">
        <v>0</v>
      </c>
      <c r="R936" t="n">
        <v>0</v>
      </c>
      <c r="S936">
        <f>IFERROR(O936/N936,0)</f>
        <v/>
      </c>
      <c r="T936" t="n">
        <v>0</v>
      </c>
      <c r="V936" t="n">
        <v>0</v>
      </c>
    </row>
    <row r="937">
      <c r="A937">
        <f>Skills!A26</f>
        <v/>
      </c>
      <c r="B937">
        <f>Skills!B26</f>
        <v/>
      </c>
      <c r="C937">
        <f>Inputs!$B$3&gt;=72</f>
        <v/>
      </c>
      <c r="D937">
        <f>IF(Skills!C26=1,60+Inputs!$B$25+(Inputs!$B$29+1),IF(Skills!C26=2,90+Inputs!$B$26+(Inputs!$B$29+1),IF(Skills!C26=3,120+Inputs!$B$27+(Inputs!$B$29+1),MAX(0,(Inputs!$B$3-100)*3)+Inputs!$B$28+(Inputs!$B$29+1))))</f>
        <v/>
      </c>
      <c r="E937">
        <f>INDEX(FactorTable!$B$2:$Y$301, MATCH(ROUND(MIN(300,MAX(1,D937)),0), FactorTable!$A$2:$A$301,0), Skills!M26+1)</f>
        <v/>
      </c>
      <c r="F937">
        <f>IF(Skills!N26=TRUE,(Skills!L26/10)*(E937/1000),Skills!L26/10)+Skills!O26</f>
        <v/>
      </c>
      <c r="G937">
        <f>Skills!G26*IF(Skills!H26&gt;0,Skills!I26/Skills!H26,1)</f>
        <v/>
      </c>
      <c r="H937">
        <f>1-(1-Skills!J26/100)^Skills!K26</f>
        <v/>
      </c>
      <c r="I937" t="inlineStr">
        <is>
          <t>1</t>
        </is>
      </c>
      <c r="J937" t="inlineStr"/>
      <c r="K937" t="inlineStr"/>
      <c r="L937" t="inlineStr"/>
      <c r="M937" t="inlineStr"/>
      <c r="N937" t="inlineStr"/>
      <c r="O937">
        <f>(1-Summary!$B$11)*T937+Summary!$B$11*V937</f>
        <v/>
      </c>
      <c r="P937">
        <f>IF(B950=0,0,O937/B950)</f>
        <v/>
      </c>
      <c r="Q937" t="n">
        <v>0</v>
      </c>
      <c r="R937" t="n">
        <v>0</v>
      </c>
      <c r="S937">
        <f>IFERROR(O937/N937,0)</f>
        <v/>
      </c>
      <c r="T937" t="n">
        <v>0</v>
      </c>
      <c r="V937" t="n">
        <v>0</v>
      </c>
    </row>
    <row r="939">
      <c r="A939" t="inlineStr">
        <is>
          <t>Attack% Bucket Multiplier</t>
        </is>
      </c>
      <c r="B939">
        <f>(1+(((C924=TRUE)*F924*IF(Inputs!$B$3&gt;=110,7,5))+((C926=TRUE)*F926*IF(AND(Inputs!$B$38&lt;&gt;"pvp",Inputs!$B$43&gt;0),(((R926-1)*(Skills!T15*(1+(Inputs!$B$34+(ArtifactsInput!$M$7-ArtifactsInput!$M$7)*CHOOSE(ArtifactsInput!$N$7+1,6,7.2,8.4,9.6,10.8,12))/100))+MIN((Skills!T15*(1+(Inputs!$B$34+(ArtifactsInput!$M$7-ArtifactsInput!$M$7)*CHOOSE(ArtifactsInput!$N$7+1,6,7.2,8.4,9.6,10.8,12))/100)),MAX(0,Inputs!$B$43-((R926-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40">
      <c r="A940" t="inlineStr">
        <is>
          <t>Global Crit Rate Bonus %</t>
        </is>
      </c>
      <c r="B940" t="n">
        <v>0</v>
      </c>
    </row>
    <row r="941">
      <c r="A941" t="inlineStr">
        <is>
          <t>Attack Speed Buff Bonus %</t>
        </is>
      </c>
      <c r="B941">
        <f>((C930=TRUE)*F930*IF(AND(Inputs!$B$38&lt;&gt;"pvp",Inputs!$B$43&gt;0),(((R930-1)*(Skills!T19*(1+(Inputs!$B$34+(ArtifactsInput!$M$7-ArtifactsInput!$M$7)*CHOOSE(ArtifactsInput!$N$7+1,6,7.2,8.4,9.6,10.8,12))/100))+MIN((Skills!T19*(1+(Inputs!$B$34+(ArtifactsInput!$M$7-ArtifactsInput!$M$7)*CHOOSE(ArtifactsInput!$N$7+1,6,7.2,8.4,9.6,10.8,12))/100)),MAX(0,Inputs!$B$43-((R930-1)*Skills!D19))))/Inputs!$B$43),IF(Inputs!$B$38="pvp",MIN((Skills!T19*(1+(Inputs!$B$34+(ArtifactsInput!$M$7-ArtifactsInput!$M$7)*CHOOSE(ArtifactsInput!$N$7+1,6,7.2,8.4,9.6,10.8,12))/100)),15)/15,(Skills!T19*(1+(Inputs!$B$34+(ArtifactsInput!$M$7-ArtifactsInput!$M$7)*CHOOSE(ArtifactsInput!$N$7+1,6,7.2,8.4,9.6,10.8,12))/100))/Skills!D19)))</f>
        <v/>
      </c>
    </row>
    <row r="942">
      <c r="A942" t="inlineStr">
        <is>
          <t>Actions Per Second</t>
        </is>
      </c>
      <c r="B942">
        <f>1+MIN(150,150*(1-(1-(Inputs!$B$11+((C931=TRUE)*(F931-Calc!F20)))/150)*(1-B941/150)))/100</f>
        <v/>
      </c>
    </row>
    <row r="943">
      <c r="A943" t="inlineStr">
        <is>
          <t>Skill + Buff Cast Rate</t>
        </is>
      </c>
      <c r="B943">
        <f>IF(AND(Inputs!$B$38&lt;&gt;"pvp",Inputs!$B$43&gt;0),SUMPRODUCT((Skills!E2:E26=TRUE)*(C913:C937=TRUE)*R913:R937*Skills!F2:F26)/Inputs!$B$43,SUMPRODUCT((Skills!E2:E26=TRUE)*(C913:C937=TRUE)*Q913:Q937*Skills!F2:F26))</f>
        <v/>
      </c>
    </row>
    <row r="944">
      <c r="A944" t="inlineStr">
        <is>
          <t>Raging Blow Casts Per Second</t>
        </is>
      </c>
      <c r="B944">
        <f>MAX(0,B942-B943)</f>
        <v/>
      </c>
    </row>
    <row r="945">
      <c r="A945" t="inlineStr">
        <is>
          <t>Global Critical Damage Bonus % (Enrage)</t>
        </is>
      </c>
      <c r="B945">
        <f>((C929=TRUE)*F929*IF(AND(Inputs!$B$38&lt;&gt;"pvp",Inputs!$B$43&gt;0),(((R929-1)*(Skills!T18*(1+(Inputs!$B$34+(ArtifactsInput!$M$7-ArtifactsInput!$M$7)*CHOOSE(ArtifactsInput!$N$7+1,6,7.2,8.4,9.6,10.8,12))/100))+MIN((Skills!T18*(1+(Inputs!$B$34+(ArtifactsInput!$M$7-ArtifactsInput!$M$7)*CHOOSE(ArtifactsInput!$N$7+1,6,7.2,8.4,9.6,10.8,12))/100)),MAX(0,Inputs!$B$43-((R929-1)*Skills!D18))))/Inputs!$B$43),IF(Inputs!$B$38="pvp",MIN((Skills!T18*(1+(Inputs!$B$34+(ArtifactsInput!$M$7-ArtifactsInput!$M$7)*CHOOSE(ArtifactsInput!$N$7+1,6,7.2,8.4,9.6,10.8,12))/100)),15)/15,(Skills!T18*(1+(Inputs!$B$34+(ArtifactsInput!$M$7-ArtifactsInput!$M$7)*CHOOSE(ArtifactsInput!$N$7+1,6,7.2,8.4,9.6,10.8,12))/100))/Skills!D18)))</f>
        <v/>
      </c>
    </row>
    <row r="946">
      <c r="A946" t="inlineStr">
        <is>
          <t>Global Final Damage Bonus % (Enrage + Combo Synergy)</t>
        </is>
      </c>
      <c r="B946">
        <f>((C928=TRUE)*F928*IF(AND(Inputs!$B$38&lt;&gt;"pvp",Inputs!$B$43&gt;0),(((R928-1)*(Skills!T17*(1+(Inputs!$B$34+(ArtifactsInput!$M$7-ArtifactsInput!$M$7)*CHOOSE(ArtifactsInput!$N$7+1,6,7.2,8.4,9.6,10.8,12))/100))+MIN((Skills!T17*(1+(Inputs!$B$34+(ArtifactsInput!$M$7-ArtifactsInput!$M$7)*CHOOSE(ArtifactsInput!$N$7+1,6,7.2,8.4,9.6,10.8,12))/100)),MAX(0,Inputs!$B$43-((R928-1)*Skills!D17))))/Inputs!$B$43),IF(Inputs!$B$38="pvp",MIN((Skills!T17*(1+(Inputs!$B$34+(ArtifactsInput!$M$7-ArtifactsInput!$M$7)*CHOOSE(ArtifactsInput!$N$7+1,6,7.2,8.4,9.6,10.8,12))/100)),15)/15,(Skills!T17*(1+(Inputs!$B$34+(ArtifactsInput!$M$7-ArtifactsInput!$M$7)*CHOOSE(ArtifactsInput!$N$7+1,6,7.2,8.4,9.6,10.8,12))/100))/Skills!D17)))+((C925=TRUE)*F925*IF(Inputs!$B$3&gt;=110,7,5))</f>
        <v/>
      </c>
    </row>
    <row r="947">
      <c r="A947" t="inlineStr">
        <is>
          <t>Buff-Casting Startup Delay (s, fixed-duration only)</t>
        </is>
      </c>
      <c r="B947">
        <f>IF(AND(Inputs!$B$38&lt;&gt;"pvp",Inputs!$B$43&gt;0),SUMPRODUCT((Skills!T2:T26&gt;0)*(Skills!E2:E26=TRUE)*(C913:C937=TRUE))/B942,0)</f>
        <v/>
      </c>
    </row>
    <row r="948">
      <c r="A948" t="inlineStr">
        <is>
          <t>Boss-Only Total DPS (this block's swept value)</t>
        </is>
      </c>
      <c r="B948">
        <f>SUM(T913:T937)</f>
        <v/>
      </c>
    </row>
    <row r="949">
      <c r="A949" t="inlineStr">
        <is>
          <t>Normal-Only Total DPS (this block's swept value)</t>
        </is>
      </c>
      <c r="B949">
        <f>SUM(V913:V937)</f>
        <v/>
      </c>
    </row>
    <row r="950">
      <c r="A950" s="6" t="inlineStr">
        <is>
          <t>TOTAL DPS</t>
        </is>
      </c>
      <c r="B950" s="6">
        <f>SUM(O913:O937)</f>
        <v/>
      </c>
    </row>
    <row r="953">
      <c r="A953" s="6" t="inlineStr">
        <is>
          <t>Stat: Flat ATTACK</t>
        </is>
      </c>
    </row>
    <row r="954">
      <c r="A954" s="5" t="inlineStr">
        <is>
          <t>Key</t>
        </is>
      </c>
      <c r="B954" s="5" t="inlineStr">
        <is>
          <t>Name</t>
        </is>
      </c>
      <c r="C954" s="5" t="inlineStr">
        <is>
          <t>Unlocked</t>
        </is>
      </c>
      <c r="D954" s="5" t="inlineStr">
        <is>
          <t>InputLevel</t>
        </is>
      </c>
      <c r="E954" s="5" t="inlineStr">
        <is>
          <t>Factor</t>
        </is>
      </c>
      <c r="F954" s="5" t="inlineStr">
        <is>
          <t>CoefficientPercent</t>
        </is>
      </c>
      <c r="G954" s="5" t="inlineStr">
        <is>
          <t>EffectiveHits</t>
        </is>
      </c>
      <c r="H954" s="5" t="inlineStr">
        <is>
          <t>ProcProbability</t>
        </is>
      </c>
      <c r="I954" s="5" t="inlineStr">
        <is>
          <t>MapleHeroMultiplier</t>
        </is>
      </c>
      <c r="J954" s="5" t="inlineStr">
        <is>
          <t>BaseDamage</t>
        </is>
      </c>
      <c r="K954" s="5" t="inlineStr">
        <is>
          <t>BaseHitDamage</t>
        </is>
      </c>
      <c r="L954" s="5" t="inlineStr">
        <is>
          <t>NonCritAvg</t>
        </is>
      </c>
      <c r="M954" s="5" t="inlineStr">
        <is>
          <t>CritAvg</t>
        </is>
      </c>
      <c r="N954" s="5" t="inlineStr">
        <is>
          <t>ExpectedDamage(perHit)</t>
        </is>
      </c>
      <c r="O954" s="5" t="inlineStr">
        <is>
          <t>DPS</t>
        </is>
      </c>
      <c r="P954" s="5" t="inlineStr">
        <is>
          <t>% of Total</t>
        </is>
      </c>
      <c r="Q954" s="5" t="inlineStr">
        <is>
          <t>InvCooldown</t>
        </is>
      </c>
      <c r="R954" s="5" t="inlineStr">
        <is>
          <t>CastsInFight</t>
        </is>
      </c>
      <c r="S954" s="5" t="inlineStr">
        <is>
          <t>HitRate(perSec)</t>
        </is>
      </c>
      <c r="U954" t="inlineStr">
        <is>
          <t>helpers</t>
        </is>
      </c>
    </row>
    <row r="955">
      <c r="A955">
        <f>Skills!A2</f>
        <v/>
      </c>
      <c r="B955">
        <f>Skills!B2</f>
        <v/>
      </c>
      <c r="C955">
        <f>Inputs!$B$3&gt;=100</f>
        <v/>
      </c>
      <c r="D955" t="inlineStr"/>
      <c r="E955" t="inlineStr"/>
      <c r="F955">
        <f>U957+Skills!O2</f>
        <v/>
      </c>
      <c r="G955">
        <f>Skills!G2*IF(Skills!H2&gt;0,Skills!I2/Skills!H2,1)</f>
        <v/>
      </c>
      <c r="H955">
        <f>1-(1-Skills!J2/100)^Skills!K2</f>
        <v/>
      </c>
      <c r="I955" t="inlineStr">
        <is>
          <t>1</t>
        </is>
      </c>
      <c r="J955">
        <f>(((Inputs!$B$6+1)*(1+Inputs!$B$7/100))+(((Inputs!$B$12*(1+Inputs!$B$13/100))-(Inputs!$B$12*(1+Inputs!$B$13/100)))+0.25*(Inputs!$B$14-Inputs!$B$14))*(1+Inputs!$B$7/100))*(F955/100)</f>
        <v/>
      </c>
      <c r="K955">
        <f>J955*(1+((Inputs!$B$12*(1+Inputs!$B$13/100))*0.01+Inputs!$B$14*0.0025)/100)*(1+Inputs!$B$15/100)*(1+Inputs!$B$16/100)*(5000/(6000+Inputs!$B$42*(1-(100*(1-(1-(Inputs!$B$19+0)/100)*(1-CHOOSE(ArtifactsInput!$N$40+1,5,6,7,8,9,10)/100)^(ArtifactsInput!$M$40-ArtifactsInput!$M$40)))/100)))*(1+(Inputs!$B$24+((C978=TRUE)*(F978-Calc!F25))+B988)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974=TRUE)*(F974-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976=TRUE)*(F976-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966=TRUE)*F966*IF(Inputs!$B$3&gt;=110,7,5))+((C968=TRUE)*F968*IF(AND(Inputs!$B$38&lt;&gt;"pvp",Inputs!$B$43&gt;0),(((R968-1)*(Skills!T15*(1+(Inputs!$B$34+(ArtifactsInput!$M$7-ArtifactsInput!$M$7)*CHOOSE(ArtifactsInput!$N$7+1,6,7.2,8.4,9.6,10.8,12))/100))+MIN((Skills!T15*(1+(Inputs!$B$34+(ArtifactsInput!$M$7-ArtifactsInput!$M$7)*CHOOSE(ArtifactsInput!$N$7+1,6,7.2,8.4,9.6,10.8,12))/100)),MAX(0,Inputs!$B$43-((R968-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Hunt"),CHOOSE(ArtifactsInput!$N$35+1,15,18,21,24,27,30)*(1-EXP(-(0.2*B984)*5)),0)+IF(AND(ArtifactsInput!$M$22,Inputs!$B$4&lt;&gt;"Chapter Hunt"),CHOOSE(ArtifactsInput!$N$22+1,10,12,14,16,18,20)*((0*(((0.15*B984*5))^0/1)+1*(((0.15*B984*5))^1/1)+2*(((0.15*B984*5))^2/2)+3*(((0.15*B984*5))^3/6)+4*(((0.15*B984*5))^4/24)+5*(((0.15*B984*5))^5/120))/((((0.15*B984*5))^0/1)+(((0.15*B984*5))^1/1)+(((0.15*B984*5))^2/2)+(((0.15*B984*5))^3/6)+(((0.15*B984*5))^4/24)+(((0.15*B984*5))^5/120))),0)))/100)*I955)</f>
        <v/>
      </c>
      <c r="L955">
        <f>K955*(MIN(Inputs!$B$22+((C975=TRUE)*(F975-Calc!F22)),(Inputs!$B$23+((C977=TRUE)*(F977-Calc!F24))+(IF(ArtifactsInput!$M$15,CHOOSE(ArtifactsInput!$N$15+1,25,30,35,40,45,50)/100*(Inputs!$B$11-Inputs!$B$11),0))))/100+(Inputs!$B$23+((C977=TRUE)*(F977-Calc!F24))+(IF(ArtifactsInput!$M$15,CHOOSE(ArtifactsInput!$N$15+1,25,30,35,40,45,50)/100*(Inputs!$B$11-Inputs!$B$11),0)))/100)/2</f>
        <v/>
      </c>
      <c r="M955">
        <f>L955*(1+(Inputs!$B$10+0+B987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5">
        <f>L955*(1-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955*(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5">
        <f>(1-Summary!$B$11)*T955+Summary!$B$11*V955</f>
        <v/>
      </c>
      <c r="P955">
        <f>IF(B992=0,0,O955/B992)</f>
        <v/>
      </c>
      <c r="Q955" t="n">
        <v>0</v>
      </c>
      <c r="R955" t="n">
        <v>0</v>
      </c>
      <c r="S955">
        <f>IFERROR(O955/N955,0)</f>
        <v/>
      </c>
      <c r="T955">
        <f>IF(C955,(Skills!G2*N955*B986)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955*(1-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955*(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955*(1-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955*(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55">
        <f>MAX(0,(Inputs!$B$3-100)*3)+Inputs!$B$28+Inputs!$B$29</f>
        <v/>
      </c>
      <c r="V955">
        <f>IF(C955,(Skills!G2*N955*B986)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6">
      <c r="A956">
        <f>Skills!A3</f>
        <v/>
      </c>
      <c r="B956">
        <f>Skills!B3</f>
        <v/>
      </c>
      <c r="C956">
        <f>Inputs!$B$3&gt;=50</f>
        <v/>
      </c>
      <c r="D956">
        <f>IF(Skills!C3=1,60+Inputs!$B$25+Inputs!$B$29,IF(Skills!C3=2,90+Inputs!$B$26+Inputs!$B$29,IF(Skills!C3=3,120+Inputs!$B$27+Inputs!$B$29,MAX(0,(Inputs!$B$3-100)*3)+Inputs!$B$28+Inputs!$B$29)))</f>
        <v/>
      </c>
      <c r="E956">
        <f>INDEX(FactorTable!$B$2:$Y$301, MATCH(ROUND(MIN(300,MAX(1,D956)),0), FactorTable!$A$2:$A$301,0), Skills!M3+1)</f>
        <v/>
      </c>
      <c r="F956">
        <f>IF(Skills!N3=TRUE,(Skills!L3/10)*(E956/1000),Skills!L3/10)+Skills!O3</f>
        <v/>
      </c>
      <c r="G956" t="inlineStr"/>
      <c r="H956" t="inlineStr"/>
      <c r="I956" t="inlineStr">
        <is>
          <t>1</t>
        </is>
      </c>
      <c r="J956" t="inlineStr"/>
      <c r="K956" t="inlineStr"/>
      <c r="L956" t="inlineStr"/>
      <c r="M956" t="inlineStr"/>
      <c r="N956" t="inlineStr"/>
      <c r="O956" t="inlineStr"/>
      <c r="P956" t="inlineStr"/>
      <c r="Q956" t="inlineStr"/>
      <c r="R956" t="inlineStr"/>
      <c r="S956" t="inlineStr"/>
      <c r="U956">
        <f>INDEX(FactorTable!$B$2:$Y$301, MATCH(ROUND(MIN(300,MAX(1,U955)),0), FactorTable!$A$2:$A$301,0), 22)</f>
        <v/>
      </c>
    </row>
    <row r="957">
      <c r="A957">
        <f>Skills!A4</f>
        <v/>
      </c>
      <c r="B957">
        <f>Skills!B4</f>
        <v/>
      </c>
      <c r="C957">
        <f>Inputs!$B$3&gt;=105</f>
        <v/>
      </c>
      <c r="D957">
        <f>IF(Skills!C4=1,60+Inputs!$B$25+Inputs!$B$29,IF(Skills!C4=2,90+Inputs!$B$26+Inputs!$B$29,IF(Skills!C4=3,120+Inputs!$B$27+Inputs!$B$29,MAX(0,(Inputs!$B$3-100)*3)+Inputs!$B$28+Inputs!$B$29)))</f>
        <v/>
      </c>
      <c r="E957">
        <f>INDEX(FactorTable!$B$2:$Y$301, MATCH(ROUND(MIN(300,MAX(1,D957)),0), FactorTable!$A$2:$A$301,0), Skills!M4+1)</f>
        <v/>
      </c>
      <c r="F957">
        <f>IF(Skills!N4=TRUE,(Skills!L4/10)*(E957/1000),Skills!L4/10)+Skills!O4</f>
        <v/>
      </c>
      <c r="G957" t="inlineStr"/>
      <c r="H957" t="inlineStr"/>
      <c r="I957" t="inlineStr">
        <is>
          <t>1</t>
        </is>
      </c>
      <c r="J957" t="inlineStr"/>
      <c r="K957" t="inlineStr"/>
      <c r="L957" t="inlineStr"/>
      <c r="M957" t="inlineStr"/>
      <c r="N957" t="inlineStr"/>
      <c r="O957" t="inlineStr"/>
      <c r="P957" t="inlineStr"/>
      <c r="Q957" t="inlineStr"/>
      <c r="R957" t="inlineStr"/>
      <c r="S957" t="inlineStr"/>
      <c r="U957">
        <f>290*U956/1000</f>
        <v/>
      </c>
    </row>
    <row r="958">
      <c r="A958">
        <f>Skills!A5</f>
        <v/>
      </c>
      <c r="B958">
        <f>Skills!B5</f>
        <v/>
      </c>
      <c r="C958">
        <f>Inputs!$B$3&gt;=103</f>
        <v/>
      </c>
      <c r="D958">
        <f>IF(Skills!C5=1,60+Inputs!$B$25+Inputs!$B$29,IF(Skills!C5=2,90+Inputs!$B$26+Inputs!$B$29,IF(Skills!C5=3,120+Inputs!$B$27+Inputs!$B$29,MAX(0,(Inputs!$B$3-100)*3)+Inputs!$B$28+Inputs!$B$29)))</f>
        <v/>
      </c>
      <c r="E958">
        <f>INDEX(FactorTable!$B$2:$Y$301, MATCH(ROUND(MIN(300,MAX(1,D958)),0), FactorTable!$A$2:$A$301,0), Skills!M5+1)</f>
        <v/>
      </c>
      <c r="F958">
        <f>IF(Skills!N5=TRUE,(Skills!L5/10)*(E958/1000),Skills!L5/10)+Skills!O5</f>
        <v/>
      </c>
      <c r="G958">
        <f>Skills!G5*IF(Skills!H5&gt;0,Skills!I5/Skills!H5,1)</f>
        <v/>
      </c>
      <c r="H958">
        <f>1-(1-Skills!J5/100)^Skills!K5</f>
        <v/>
      </c>
      <c r="I958" t="inlineStr">
        <is>
          <t>1</t>
        </is>
      </c>
      <c r="J958">
        <f>(((Inputs!$B$6+1)*(1+Inputs!$B$7/100))+(((Inputs!$B$12*(1+Inputs!$B$13/100))-(Inputs!$B$12*(1+Inputs!$B$13/100)))+0.25*(Inputs!$B$14-Inputs!$B$14))*(1+Inputs!$B$7/100))*(F958/100)</f>
        <v/>
      </c>
      <c r="K958">
        <f>J958*(1+((Inputs!$B$12*(1+Inputs!$B$13/100))*0.01+Inputs!$B$14*0.0025)/100)*(1+Inputs!$B$15/100)*(1+Inputs!$B$16/100)*(5000/(6000+Inputs!$B$42*(1-(100*(1-(1-(Inputs!$B$19+0)/100)*(1-CHOOSE(ArtifactsInput!$N$40+1,5,6,7,8,9,10)/100)^(ArtifactsInput!$M$40-ArtifactsInput!$M$40)))/100)))*(1+(Inputs!$B$24+((C978=TRUE)*(F978-Calc!F25))+B988)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974=TRUE)*(F974-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976=TRUE)*(F976-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966=TRUE)*F966*IF(Inputs!$B$3&gt;=110,7,5))+((C968=TRUE)*F968*IF(AND(Inputs!$B$38&lt;&gt;"pvp",Inputs!$B$43&gt;0),(((R968-1)*(Skills!T15*(1+(Inputs!$B$34+(ArtifactsInput!$M$7-ArtifactsInput!$M$7)*CHOOSE(ArtifactsInput!$N$7+1,6,7.2,8.4,9.6,10.8,12))/100))+MIN((Skills!T15*(1+(Inputs!$B$34+(ArtifactsInput!$M$7-ArtifactsInput!$M$7)*CHOOSE(ArtifactsInput!$N$7+1,6,7.2,8.4,9.6,10.8,12))/100)),MAX(0,Inputs!$B$43-((R968-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Hunt"),CHOOSE(ArtifactsInput!$N$35+1,15,18,21,24,27,30)*(1-EXP(-(0.2*B984)*5)),0)+IF(AND(ArtifactsInput!$M$22,Inputs!$B$4&lt;&gt;"Chapter Hunt"),CHOOSE(ArtifactsInput!$N$22+1,10,12,14,16,18,20)*((0*(((0.15*B984*5))^0/1)+1*(((0.15*B984*5))^1/1)+2*(((0.15*B984*5))^2/2)+3*(((0.15*B984*5))^3/6)+4*(((0.15*B984*5))^4/24)+5*(((0.15*B984*5))^5/120))/((((0.15*B984*5))^0/1)+(((0.15*B984*5))^1/1)+(((0.15*B984*5))^2/2)+(((0.15*B984*5))^3/6)+(((0.15*B984*5))^4/24)+(((0.15*B984*5))^5/120))),0)))/100)*I958)</f>
        <v/>
      </c>
      <c r="L958">
        <f>K958*(MIN(Inputs!$B$22+((C975=TRUE)*(F975-Calc!F22)),(Inputs!$B$23+((C977=TRUE)*(F977-Calc!F24))+(IF(ArtifactsInput!$M$15,CHOOSE(ArtifactsInput!$N$15+1,25,30,35,40,45,50)/100*(Inputs!$B$11-Inputs!$B$11),0))))/100+(Inputs!$B$23+((C977=TRUE)*(F977-Calc!F24))+(IF(ArtifactsInput!$M$15,CHOOSE(ArtifactsInput!$N$15+1,25,30,35,40,45,50)/100*(Inputs!$B$11-Inputs!$B$11),0)))/100)/2</f>
        <v/>
      </c>
      <c r="M958">
        <f>L958*(1+(Inputs!$B$10+0+B987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8">
        <f>L958*(1-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958*(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8">
        <f>(1-Summary!$B$11)*T958+Summary!$B$11*V958</f>
        <v/>
      </c>
      <c r="P958">
        <f>IF(B992=0,0,O958/B992)</f>
        <v/>
      </c>
      <c r="Q958">
        <f>IFERROR(1/(IF(Inputs!$B$38="pvp",15,MAX(0.1,Skills!D5-IF(Skills!E5=TRUE,Inputs!$B$32,0)))*(1-IF(AND(ArtifactsInput!$M$27,Inputs!$B$4="Chapter Hunt"),CHOOSE(ArtifactsInput!$N$27+1,20,24,28,32,36,40),0)/100)),0)</f>
        <v/>
      </c>
      <c r="R958">
        <f>IF(AND(Inputs!$B$38&lt;&gt;"pvp",Inputs!$B$43&gt;0),IF(MAX(0,Inputs!$B$43-B989)&lt;=0,0,(INT(MAX(0,Inputs!$B$43-B989)/(IF(Inputs!$B$38="pvp",15,MAX(0.1,Skills!D5-IF(Skills!E5=TRUE,Inputs!$B$32,0)))*(1-IF(AND(ArtifactsInput!$M$27,Inputs!$B$4="Chapter Hunt"),CHOOSE(ArtifactsInput!$N$27+1,20,24,28,32,36,40),0)/100)))+1)),0)</f>
        <v/>
      </c>
      <c r="S958">
        <f>IFERROR(O958/N958,0)</f>
        <v/>
      </c>
      <c r="T958">
        <f>IF(C958,(H958*N958*IF(AND(Inputs!$B$38&lt;&gt;"pvp",Inputs!$B$43&gt;0),((Skills!G5*((R958-1)*IF(Skills!H5&gt;0,Skills!I5/Skills!H5,1)+IF(Skills!H5&gt;0,MIN(Skills!I5,MAX(0,MAX(0,Inputs!$B$43-B989)-((R958-1)*(IF(Inputs!$B$38="pvp",15,MAX(0.1,Skills!D5-IF(Skills!E5=TRUE,Inputs!$B$32,0)))*(1-IF(AND(ArtifactsInput!$M$27,Inputs!$B$4="Chapter Hunt"),CHOOSE(ArtifactsInput!$N$27+1,20,24,28,32,36,40),0)/100)))))/Skills!H5,1)))/Inputs!$B$43),G958*Q958)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958*(1-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958*(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958*(1-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958*(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8">
        <f>IF(C958,(H958*N958*IF(AND(Inputs!$B$38&lt;&gt;"pvp",Inputs!$B$43&gt;0),((Skills!G5*((R958-1)*IF(Skills!H5&gt;0,Skills!I5/Skills!H5,1)+IF(Skills!H5&gt;0,MIN(Skills!I5,MAX(0,MAX(0,Inputs!$B$43-B989)-((R958-1)*(IF(Inputs!$B$38="pvp",15,MAX(0.1,Skills!D5-IF(Skills!E5=TRUE,Inputs!$B$32,0)))*(1-IF(AND(ArtifactsInput!$M$27,Inputs!$B$4="Chapter Hunt"),CHOOSE(ArtifactsInput!$N$27+1,20,24,28,32,36,40),0)/100)))))/Skills!H5,1)))/Inputs!$B$43),G958*Q958)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9">
      <c r="A959">
        <f>Skills!A6</f>
        <v/>
      </c>
      <c r="B959">
        <f>Skills!B6</f>
        <v/>
      </c>
      <c r="C959">
        <f>Inputs!$B$3&gt;=103</f>
        <v/>
      </c>
      <c r="D959">
        <f>IF(Skills!C6=1,60+Inputs!$B$25+Inputs!$B$29,IF(Skills!C6=2,90+Inputs!$B$26+Inputs!$B$29,IF(Skills!C6=3,120+Inputs!$B$27+Inputs!$B$29,MAX(0,(Inputs!$B$3-100)*3)+Inputs!$B$28+Inputs!$B$29)))</f>
        <v/>
      </c>
      <c r="E959">
        <f>INDEX(FactorTable!$B$2:$Y$301, MATCH(ROUND(MIN(300,MAX(1,D959)),0), FactorTable!$A$2:$A$301,0), Skills!M6+1)</f>
        <v/>
      </c>
      <c r="F959">
        <f>IF(Skills!N6=TRUE,(Skills!L6/10)*(E959/1000),Skills!L6/10)+Skills!O6</f>
        <v/>
      </c>
      <c r="G959">
        <f>Skills!G6*IF(Skills!H6&gt;0,Skills!I6/Skills!H6,1)</f>
        <v/>
      </c>
      <c r="H959">
        <f>1-(1-Skills!J6/100)^Skills!K6</f>
        <v/>
      </c>
      <c r="I959" t="inlineStr">
        <is>
          <t>1</t>
        </is>
      </c>
      <c r="J959">
        <f>(((Inputs!$B$6+1)*(1+Inputs!$B$7/100))+(((Inputs!$B$12*(1+Inputs!$B$13/100))-(Inputs!$B$12*(1+Inputs!$B$13/100)))+0.25*(Inputs!$B$14-Inputs!$B$14))*(1+Inputs!$B$7/100))*(F959/100)</f>
        <v/>
      </c>
      <c r="K959">
        <f>J959*(1+((Inputs!$B$12*(1+Inputs!$B$13/100))*0.01+Inputs!$B$14*0.0025)/100)*(1+Inputs!$B$15/100)*(1+Inputs!$B$16/100)*(5000/(6000+Inputs!$B$42*(1-(100*(1-(1-(Inputs!$B$19+0)/100)*(1-CHOOSE(ArtifactsInput!$N$40+1,5,6,7,8,9,10)/100)^(ArtifactsInput!$M$40-ArtifactsInput!$M$40)))/100)))*(1+(Inputs!$B$24+((C978=TRUE)*(F978-Calc!F25))+B988)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974=TRUE)*(F974-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976=TRUE)*(F976-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966=TRUE)*F966*IF(Inputs!$B$3&gt;=110,7,5))+((C968=TRUE)*F968*IF(AND(Inputs!$B$38&lt;&gt;"pvp",Inputs!$B$43&gt;0),(((R968-1)*(Skills!T15*(1+(Inputs!$B$34+(ArtifactsInput!$M$7-ArtifactsInput!$M$7)*CHOOSE(ArtifactsInput!$N$7+1,6,7.2,8.4,9.6,10.8,12))/100))+MIN((Skills!T15*(1+(Inputs!$B$34+(ArtifactsInput!$M$7-ArtifactsInput!$M$7)*CHOOSE(ArtifactsInput!$N$7+1,6,7.2,8.4,9.6,10.8,12))/100)),MAX(0,Inputs!$B$43-((R968-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Hunt"),CHOOSE(ArtifactsInput!$N$35+1,15,18,21,24,27,30)*(1-EXP(-(0.2*B984)*5)),0)+IF(AND(ArtifactsInput!$M$22,Inputs!$B$4&lt;&gt;"Chapter Hunt"),CHOOSE(ArtifactsInput!$N$22+1,10,12,14,16,18,20)*((0*(((0.15*B984*5))^0/1)+1*(((0.15*B984*5))^1/1)+2*(((0.15*B984*5))^2/2)+3*(((0.15*B984*5))^3/6)+4*(((0.15*B984*5))^4/24)+5*(((0.15*B984*5))^5/120))/((((0.15*B984*5))^0/1)+(((0.15*B984*5))^1/1)+(((0.15*B984*5))^2/2)+(((0.15*B984*5))^3/6)+(((0.15*B984*5))^4/24)+(((0.15*B984*5))^5/120))),0)))/100)*I959)</f>
        <v/>
      </c>
      <c r="L959">
        <f>K959*(MIN(Inputs!$B$22+((C975=TRUE)*(F975-Calc!F22)),(Inputs!$B$23+((C977=TRUE)*(F977-Calc!F24))+(IF(ArtifactsInput!$M$15,CHOOSE(ArtifactsInput!$N$15+1,25,30,35,40,45,50)/100*(Inputs!$B$11-Inputs!$B$11),0))))/100+(Inputs!$B$23+((C977=TRUE)*(F977-Calc!F24))+(IF(ArtifactsInput!$M$15,CHOOSE(ArtifactsInput!$N$15+1,25,30,35,40,45,50)/100*(Inputs!$B$11-Inputs!$B$11),0)))/100)/2</f>
        <v/>
      </c>
      <c r="M959">
        <f>L959*(1+(Inputs!$B$10+0+B987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9">
        <f>L959*(1-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959*(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9">
        <f>(1-Summary!$B$11)*T959+Summary!$B$11*V959</f>
        <v/>
      </c>
      <c r="P959">
        <f>IF(B992=0,0,O959/B992)</f>
        <v/>
      </c>
      <c r="Q959">
        <f>IFERROR(1/(IF(Inputs!$B$38="pvp",15,MAX(0.1,Skills!D6-IF(Skills!E6=TRUE,Inputs!$B$32,0)))*(1-IF(AND(ArtifactsInput!$M$27,Inputs!$B$4="Chapter Hunt"),CHOOSE(ArtifactsInput!$N$27+1,20,24,28,32,36,40),0)/100)),0)</f>
        <v/>
      </c>
      <c r="R959">
        <f>IF(AND(Inputs!$B$38&lt;&gt;"pvp",Inputs!$B$43&gt;0),IF(MAX(0,Inputs!$B$43-B989)&lt;=0,0,(INT(MAX(0,Inputs!$B$43-B989)/(IF(Inputs!$B$38="pvp",15,MAX(0.1,Skills!D6-IF(Skills!E6=TRUE,Inputs!$B$32,0)))*(1-IF(AND(ArtifactsInput!$M$27,Inputs!$B$4="Chapter Hunt"),CHOOSE(ArtifactsInput!$N$27+1,20,24,28,32,36,40),0)/100)))+1)),0)</f>
        <v/>
      </c>
      <c r="S959">
        <f>IFERROR(O959/N959,0)</f>
        <v/>
      </c>
      <c r="T959">
        <f>IF(C959,(H959*N959*IF(AND(Inputs!$B$38&lt;&gt;"pvp",Inputs!$B$43&gt;0),((Skills!G6*((R959-1)*IF(Skills!H6&gt;0,Skills!I6/Skills!H6,1)+IF(Skills!H6&gt;0,MIN(Skills!I6,MAX(0,MAX(0,Inputs!$B$43-B989)-((R959-1)*(IF(Inputs!$B$38="pvp",15,MAX(0.1,Skills!D6-IF(Skills!E6=TRUE,Inputs!$B$32,0)))*(1-IF(AND(ArtifactsInput!$M$27,Inputs!$B$4="Chapter Hunt"),CHOOSE(ArtifactsInput!$N$27+1,20,24,28,32,36,40),0)/100)))))/Skills!H6,1)))/Inputs!$B$43),G959*Q959)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959*(1-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959*(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959*(1-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959*(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9">
        <f>IF(C959,(H959*N959*IF(AND(Inputs!$B$38&lt;&gt;"pvp",Inputs!$B$43&gt;0),((Skills!G6*((R959-1)*IF(Skills!H6&gt;0,Skills!I6/Skills!H6,1)+IF(Skills!H6&gt;0,MIN(Skills!I6,MAX(0,MAX(0,Inputs!$B$43-B989)-((R959-1)*(IF(Inputs!$B$38="pvp",15,MAX(0.1,Skills!D6-IF(Skills!E6=TRUE,Inputs!$B$32,0)))*(1-IF(AND(ArtifactsInput!$M$27,Inputs!$B$4="Chapter Hunt"),CHOOSE(ArtifactsInput!$N$27+1,20,24,28,32,36,40),0)/100)))))/Skills!H6,1)))/Inputs!$B$43),G959*Q959)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0">
      <c r="A960">
        <f>Skills!A7</f>
        <v/>
      </c>
      <c r="B960">
        <f>Skills!B7</f>
        <v/>
      </c>
      <c r="C960">
        <f>Inputs!$B$3&gt;=107</f>
        <v/>
      </c>
      <c r="D960">
        <f>IF(Skills!C7=1,60+Inputs!$B$25+Inputs!$B$29,IF(Skills!C7=2,90+Inputs!$B$26+Inputs!$B$29,IF(Skills!C7=3,120+Inputs!$B$27+Inputs!$B$29,MAX(0,(Inputs!$B$3-100)*3)+Inputs!$B$28+Inputs!$B$29)))</f>
        <v/>
      </c>
      <c r="E960">
        <f>INDEX(FactorTable!$B$2:$Y$301, MATCH(ROUND(MIN(300,MAX(1,D960)),0), FactorTable!$A$2:$A$301,0), Skills!M7+1)</f>
        <v/>
      </c>
      <c r="F960">
        <f>IF(Skills!N7=TRUE,(Skills!L7/10)*(E960/1000),Skills!L7/10)+Skills!O7</f>
        <v/>
      </c>
      <c r="G960">
        <f>Skills!G7*IF(Skills!H7&gt;0,Skills!I7/Skills!H7,1)</f>
        <v/>
      </c>
      <c r="H960">
        <f>1-(1-Skills!J7/100)^Skills!K7</f>
        <v/>
      </c>
      <c r="I960" t="inlineStr">
        <is>
          <t>1</t>
        </is>
      </c>
      <c r="J960">
        <f>(((Inputs!$B$6+1)*(1+Inputs!$B$7/100))+(((Inputs!$B$12*(1+Inputs!$B$13/100))-(Inputs!$B$12*(1+Inputs!$B$13/100)))+0.25*(Inputs!$B$14-Inputs!$B$14))*(1+Inputs!$B$7/100))*(F960/100)</f>
        <v/>
      </c>
      <c r="K960">
        <f>J960*(1+((Inputs!$B$12*(1+Inputs!$B$13/100))*0.01+Inputs!$B$14*0.0025)/100)*(1+Inputs!$B$15/100)*(1+Inputs!$B$16/100)*(5000/(6000+Inputs!$B$42*(1-(100*(1-(1-(Inputs!$B$19+0)/100)*(1-CHOOSE(ArtifactsInput!$N$40+1,5,6,7,8,9,10)/100)^(ArtifactsInput!$M$40-ArtifactsInput!$M$40)))/100)))*(1+(Inputs!$B$24+((C978=TRUE)*(F978-Calc!F25))+B988)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974=TRUE)*(F974-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976=TRUE)*(F976-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966=TRUE)*F966*IF(Inputs!$B$3&gt;=110,7,5))+((C968=TRUE)*F968*IF(AND(Inputs!$B$38&lt;&gt;"pvp",Inputs!$B$43&gt;0),(((R968-1)*(Skills!T15*(1+(Inputs!$B$34+(ArtifactsInput!$M$7-ArtifactsInput!$M$7)*CHOOSE(ArtifactsInput!$N$7+1,6,7.2,8.4,9.6,10.8,12))/100))+MIN((Skills!T15*(1+(Inputs!$B$34+(ArtifactsInput!$M$7-ArtifactsInput!$M$7)*CHOOSE(ArtifactsInput!$N$7+1,6,7.2,8.4,9.6,10.8,12))/100)),MAX(0,Inputs!$B$43-((R968-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Hunt"),CHOOSE(ArtifactsInput!$N$35+1,15,18,21,24,27,30)*(1-EXP(-(0.2*B984)*5)),0)+IF(AND(ArtifactsInput!$M$22,Inputs!$B$4&lt;&gt;"Chapter Hunt"),CHOOSE(ArtifactsInput!$N$22+1,10,12,14,16,18,20)*((0*(((0.15*B984*5))^0/1)+1*(((0.15*B984*5))^1/1)+2*(((0.15*B984*5))^2/2)+3*(((0.15*B984*5))^3/6)+4*(((0.15*B984*5))^4/24)+5*(((0.15*B984*5))^5/120))/((((0.15*B984*5))^0/1)+(((0.15*B984*5))^1/1)+(((0.15*B984*5))^2/2)+(((0.15*B984*5))^3/6)+(((0.15*B984*5))^4/24)+(((0.15*B984*5))^5/120))),0)))/100)*I960)</f>
        <v/>
      </c>
      <c r="L960">
        <f>K960*(MIN(Inputs!$B$22+((C975=TRUE)*(F975-Calc!F22)),(Inputs!$B$23+((C977=TRUE)*(F977-Calc!F24))+(IF(ArtifactsInput!$M$15,CHOOSE(ArtifactsInput!$N$15+1,25,30,35,40,45,50)/100*(Inputs!$B$11-Inputs!$B$11),0))))/100+(Inputs!$B$23+((C977=TRUE)*(F977-Calc!F24))+(IF(ArtifactsInput!$M$15,CHOOSE(ArtifactsInput!$N$15+1,25,30,35,40,45,50)/100*(Inputs!$B$11-Inputs!$B$11),0)))/100)/2</f>
        <v/>
      </c>
      <c r="M960">
        <f>L960*(1+(Inputs!$B$10+0+B987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0">
        <f>L960*(1-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960*(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0">
        <f>(1-Summary!$B$11)*T960+Summary!$B$11*V960</f>
        <v/>
      </c>
      <c r="P960">
        <f>IF(B992=0,0,O960/B992)</f>
        <v/>
      </c>
      <c r="Q960">
        <f>IFERROR(1/(IF(Inputs!$B$38="pvp",15,MAX(0.1,Skills!D7-IF(Skills!E7=TRUE,Inputs!$B$32,0)))*(1-IF(AND(ArtifactsInput!$M$27,Inputs!$B$4="Chapter Hunt"),CHOOSE(ArtifactsInput!$N$27+1,20,24,28,32,36,40),0)/100)),0)</f>
        <v/>
      </c>
      <c r="R960">
        <f>IF(AND(Inputs!$B$38&lt;&gt;"pvp",Inputs!$B$43&gt;0),IF(MAX(0,Inputs!$B$43-B989)&lt;=0,0,(INT(MAX(0,Inputs!$B$43-B989)/(IF(Inputs!$B$38="pvp",15,MAX(0.1,Skills!D7-IF(Skills!E7=TRUE,Inputs!$B$32,0)))*(1-IF(AND(ArtifactsInput!$M$27,Inputs!$B$4="Chapter Hunt"),CHOOSE(ArtifactsInput!$N$27+1,20,24,28,32,36,40),0)/100)))+1)),0)</f>
        <v/>
      </c>
      <c r="S960">
        <f>IFERROR(O960/N960,0)</f>
        <v/>
      </c>
      <c r="T960">
        <f>IF(C960,(H960*N960*IF(AND(Inputs!$B$38&lt;&gt;"pvp",Inputs!$B$43&gt;0),((Skills!G7*((R960-1)*IF(Skills!H7&gt;0,Skills!I7/Skills!H7,1)+IF(Skills!H7&gt;0,MIN(Skills!I7,MAX(0,MAX(0,Inputs!$B$43-B989)-((R960-1)*(IF(Inputs!$B$38="pvp",15,MAX(0.1,Skills!D7-IF(Skills!E7=TRUE,Inputs!$B$32,0)))*(1-IF(AND(ArtifactsInput!$M$27,Inputs!$B$4="Chapter Hunt"),CHOOSE(ArtifactsInput!$N$27+1,20,24,28,32,36,40),0)/100)))))/Skills!H7,1)))/Inputs!$B$43),G960*Q960)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960*(1-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960*(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960*(1-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960*(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60">
        <f>IF(C960,(H960*N960*IF(AND(Inputs!$B$38&lt;&gt;"pvp",Inputs!$B$43&gt;0),((Skills!G7*((R960-1)*IF(Skills!H7&gt;0,Skills!I7/Skills!H7,1)+IF(Skills!H7&gt;0,MIN(Skills!I7,MAX(0,MAX(0,Inputs!$B$43-B989)-((R960-1)*(IF(Inputs!$B$38="pvp",15,MAX(0.1,Skills!D7-IF(Skills!E7=TRUE,Inputs!$B$32,0)))*(1-IF(AND(ArtifactsInput!$M$27,Inputs!$B$4="Chapter Hunt"),CHOOSE(ArtifactsInput!$N$27+1,20,24,28,32,36,40),0)/100)))))/Skills!H7,1)))/Inputs!$B$43),G960*Q960)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1">
      <c r="A961">
        <f>Skills!A8</f>
        <v/>
      </c>
      <c r="B961">
        <f>Skills!B8</f>
        <v/>
      </c>
      <c r="C961">
        <f>Inputs!$B$3&gt;=117</f>
        <v/>
      </c>
      <c r="D961">
        <f>IF(Skills!C8=1,60+Inputs!$B$25+Inputs!$B$29,IF(Skills!C8=2,90+Inputs!$B$26+Inputs!$B$29,IF(Skills!C8=3,120+Inputs!$B$27+Inputs!$B$29,MAX(0,(Inputs!$B$3-100)*3)+Inputs!$B$28+Inputs!$B$29)))</f>
        <v/>
      </c>
      <c r="E961">
        <f>INDEX(FactorTable!$B$2:$Y$301, MATCH(ROUND(MIN(300,MAX(1,D961)),0), FactorTable!$A$2:$A$301,0), Skills!M8+1)</f>
        <v/>
      </c>
      <c r="F961">
        <f>IF(Skills!N8=TRUE,(Skills!L8/10)*(E961/1000),Skills!L8/10)+Skills!O8</f>
        <v/>
      </c>
      <c r="G961">
        <f>Skills!G8*IF(Skills!H8&gt;0,Skills!I8/Skills!H8,1)</f>
        <v/>
      </c>
      <c r="H961">
        <f>1-(1-Skills!J8/100)^Skills!K8</f>
        <v/>
      </c>
      <c r="I961" t="inlineStr">
        <is>
          <t>1</t>
        </is>
      </c>
      <c r="J961">
        <f>(((Inputs!$B$6+1)*(1+Inputs!$B$7/100))+(((Inputs!$B$12*(1+Inputs!$B$13/100))-(Inputs!$B$12*(1+Inputs!$B$13/100)))+0.25*(Inputs!$B$14-Inputs!$B$14))*(1+Inputs!$B$7/100))*(F961/100)</f>
        <v/>
      </c>
      <c r="K961">
        <f>J961*(1+((Inputs!$B$12*(1+Inputs!$B$13/100))*0.01+Inputs!$B$14*0.0025)/100)*(1+Inputs!$B$15/100)*(1+Inputs!$B$16/100)*(5000/(6000+Inputs!$B$42*(1-(100*(1-(1-(Inputs!$B$19+0)/100)*(1-CHOOSE(ArtifactsInput!$N$40+1,5,6,7,8,9,10)/100)^(ArtifactsInput!$M$40-ArtifactsInput!$M$40)))/100)))*(1+(Inputs!$B$24+((C978=TRUE)*(F978-Calc!F25))+B988)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974=TRUE)*(F974-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976=TRUE)*(F976-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966=TRUE)*F966*IF(Inputs!$B$3&gt;=110,7,5))+((C968=TRUE)*F968*IF(AND(Inputs!$B$38&lt;&gt;"pvp",Inputs!$B$43&gt;0),(((R968-1)*(Skills!T15*(1+(Inputs!$B$34+(ArtifactsInput!$M$7-ArtifactsInput!$M$7)*CHOOSE(ArtifactsInput!$N$7+1,6,7.2,8.4,9.6,10.8,12))/100))+MIN((Skills!T15*(1+(Inputs!$B$34+(ArtifactsInput!$M$7-ArtifactsInput!$M$7)*CHOOSE(ArtifactsInput!$N$7+1,6,7.2,8.4,9.6,10.8,12))/100)),MAX(0,Inputs!$B$43-((R968-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Hunt"),CHOOSE(ArtifactsInput!$N$35+1,15,18,21,24,27,30)*(1-EXP(-(0.2*B984)*5)),0)+IF(AND(ArtifactsInput!$M$22,Inputs!$B$4&lt;&gt;"Chapter Hunt"),CHOOSE(ArtifactsInput!$N$22+1,10,12,14,16,18,20)*((0*(((0.15*B984*5))^0/1)+1*(((0.15*B984*5))^1/1)+2*(((0.15*B984*5))^2/2)+3*(((0.15*B984*5))^3/6)+4*(((0.15*B984*5))^4/24)+5*(((0.15*B984*5))^5/120))/((((0.15*B984*5))^0/1)+(((0.15*B984*5))^1/1)+(((0.15*B984*5))^2/2)+(((0.15*B984*5))^3/6)+(((0.15*B984*5))^4/24)+(((0.15*B984*5))^5/120))),0)))/100)*I961)</f>
        <v/>
      </c>
      <c r="L961">
        <f>K961*(MIN(Inputs!$B$22+((C975=TRUE)*(F975-Calc!F22)),(Inputs!$B$23+((C977=TRUE)*(F977-Calc!F24))+(IF(ArtifactsInput!$M$15,CHOOSE(ArtifactsInput!$N$15+1,25,30,35,40,45,50)/100*(Inputs!$B$11-Inputs!$B$11),0))))/100+(Inputs!$B$23+((C977=TRUE)*(F977-Calc!F24))+(IF(ArtifactsInput!$M$15,CHOOSE(ArtifactsInput!$N$15+1,25,30,35,40,45,50)/100*(Inputs!$B$11-Inputs!$B$11),0)))/100)/2</f>
        <v/>
      </c>
      <c r="M961">
        <f>L961*(1+(Inputs!$B$10+0+B987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1">
        <f>L961*(1-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961*(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1">
        <f>(1-Summary!$B$11)*T961+Summary!$B$11*V961</f>
        <v/>
      </c>
      <c r="P961">
        <f>IF(B992=0,0,O961/B992)</f>
        <v/>
      </c>
      <c r="Q961">
        <f>IFERROR(1/(IF(Inputs!$B$38="pvp",15,MAX(0.1,Skills!D8-IF(Skills!E8=TRUE,Inputs!$B$32,0)))*(1-IF(AND(ArtifactsInput!$M$27,Inputs!$B$4="Chapter Hunt"),CHOOSE(ArtifactsInput!$N$27+1,20,24,28,32,36,40),0)/100)),0)</f>
        <v/>
      </c>
      <c r="R961">
        <f>IF(AND(Inputs!$B$38&lt;&gt;"pvp",Inputs!$B$43&gt;0),IF(MAX(0,Inputs!$B$43-B989)&lt;=0,0,(INT(MAX(0,Inputs!$B$43-B989)/(IF(Inputs!$B$38="pvp",15,MAX(0.1,Skills!D8-IF(Skills!E8=TRUE,Inputs!$B$32,0)))*(1-IF(AND(ArtifactsInput!$M$27,Inputs!$B$4="Chapter Hunt"),CHOOSE(ArtifactsInput!$N$27+1,20,24,28,32,36,40),0)/100)))+1)),0)</f>
        <v/>
      </c>
      <c r="S961">
        <f>IFERROR(O961/N961,0)</f>
        <v/>
      </c>
      <c r="T961">
        <f>IF(C961,(H961*N961*IF(AND(Inputs!$B$38&lt;&gt;"pvp",Inputs!$B$43&gt;0),((Skills!G8*((R961-1)*IF(Skills!H8&gt;0,Skills!I8/Skills!H8,1)+IF(Skills!H8&gt;0,MIN(Skills!I8,MAX(0,MAX(0,Inputs!$B$43-B989)-((R961-1)*(IF(Inputs!$B$38="pvp",15,MAX(0.1,Skills!D8-IF(Skills!E8=TRUE,Inputs!$B$32,0)))*(1-IF(AND(ArtifactsInput!$M$27,Inputs!$B$4="Chapter Hunt"),CHOOSE(ArtifactsInput!$N$27+1,20,24,28,32,36,40),0)/100)))))/Skills!H8,1)))/Inputs!$B$43),G961*Q961)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961*(1-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961*(1-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61">
        <f>IF(C961,(H961*N961*IF(AND(Inputs!$B$38&lt;&gt;"pvp",Inputs!$B$43&gt;0),((Skills!G8*((R961-1)*IF(Skills!H8&gt;0,Skills!I8/Skills!H8,1)+IF(Skills!H8&gt;0,MIN(Skills!I8,MAX(0,MAX(0,Inputs!$B$43-B989)-((R961-1)*(IF(Inputs!$B$38="pvp",15,MAX(0.1,Skills!D8-IF(Skills!E8=TRUE,Inputs!$B$32,0)))*(1-IF(AND(ArtifactsInput!$M$27,Inputs!$B$4="Chapter Hunt"),CHOOSE(ArtifactsInput!$N$27+1,20,24,28,32,36,40),0)/100)))))/Skills!H8,1)))/Inputs!$B$43),G961*Q961)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2">
      <c r="A962">
        <f>Skills!A9</f>
        <v/>
      </c>
      <c r="B962">
        <f>Skills!B9</f>
        <v/>
      </c>
      <c r="C962">
        <f>Inputs!$B$3&gt;=69</f>
        <v/>
      </c>
      <c r="D962">
        <f>IF(Skills!C9=1,60+Inputs!$B$25+Inputs!$B$29,IF(Skills!C9=2,90+Inputs!$B$26+Inputs!$B$29,IF(Skills!C9=3,120+Inputs!$B$27+Inputs!$B$29,MAX(0,(Inputs!$B$3-100)*3)+Inputs!$B$28+Inputs!$B$29)))</f>
        <v/>
      </c>
      <c r="E962">
        <f>INDEX(FactorTable!$B$2:$Y$301, MATCH(ROUND(MIN(300,MAX(1,D962)),0), FactorTable!$A$2:$A$301,0), Skills!M9+1)</f>
        <v/>
      </c>
      <c r="F962">
        <f>IF(Skills!N9=TRUE,(Skills!L9/10)*(E962/1000),Skills!L9/10)+Skills!O9</f>
        <v/>
      </c>
      <c r="G962">
        <f>Skills!G9*IF(Skills!H9&gt;0,Skills!I9/Skills!H9,1)</f>
        <v/>
      </c>
      <c r="H962">
        <f>1-(1-Skills!J9/100)^Skills!K9</f>
        <v/>
      </c>
      <c r="I962" t="inlineStr">
        <is>
          <t>1</t>
        </is>
      </c>
      <c r="J962">
        <f>(((Inputs!$B$6+1)*(1+Inputs!$B$7/100))+(((Inputs!$B$12*(1+Inputs!$B$13/100))-(Inputs!$B$12*(1+Inputs!$B$13/100)))+0.25*(Inputs!$B$14-Inputs!$B$14))*(1+Inputs!$B$7/100))*(F962/100)</f>
        <v/>
      </c>
      <c r="K962">
        <f>J962*(1+((Inputs!$B$12*(1+Inputs!$B$13/100))*0.01+Inputs!$B$14*0.0025)/100)*(1+Inputs!$B$15/100)*(1+Inputs!$B$16/100)*(5000/(6000+Inputs!$B$42*(1-(100*(1-(1-(Inputs!$B$19+0)/100)*(1-CHOOSE(ArtifactsInput!$N$40+1,5,6,7,8,9,10)/100)^(ArtifactsInput!$M$40-ArtifactsInput!$M$40)))/100)))*(1+(Inputs!$B$24+((C978=TRUE)*(F978-Calc!F25))+B988)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965=TRUE,F965,0)/100)*(1+IF(Skills!A9="ENHANCED_RAGING_BLOW",IF(Inputs!$B$3&gt;=134,MAX(0,IF(Inputs!$B$3&gt;=110,7,5)-5)*50,0),0)/100)*(1+(IF(Skills!A9="RAGING_BLOW",Inputs!$B$17+((C974=TRUE)*(F974-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976=TRUE)*(F976-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966=TRUE)*F966*IF(Inputs!$B$3&gt;=110,7,5))+((C968=TRUE)*F968*IF(AND(Inputs!$B$38&lt;&gt;"pvp",Inputs!$B$43&gt;0),(((R968-1)*(Skills!T15*(1+(Inputs!$B$34+(ArtifactsInput!$M$7-ArtifactsInput!$M$7)*CHOOSE(ArtifactsInput!$N$7+1,6,7.2,8.4,9.6,10.8,12))/100))+MIN((Skills!T15*(1+(Inputs!$B$34+(ArtifactsInput!$M$7-ArtifactsInput!$M$7)*CHOOSE(ArtifactsInput!$N$7+1,6,7.2,8.4,9.6,10.8,12))/100)),MAX(0,Inputs!$B$43-((R968-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Hunt"),CHOOSE(ArtifactsInput!$N$35+1,15,18,21,24,27,30)*(1-EXP(-(0.2*B984)*5)),0)+IF(AND(ArtifactsInput!$M$22,Inputs!$B$4&lt;&gt;"Chapter Hunt"),CHOOSE(ArtifactsInput!$N$22+1,10,12,14,16,18,20)*((0*(((0.15*B984*5))^0/1)+1*(((0.15*B984*5))^1/1)+2*(((0.15*B984*5))^2/2)+3*(((0.15*B984*5))^3/6)+4*(((0.15*B984*5))^4/24)+5*(((0.15*B984*5))^5/120))/((((0.15*B984*5))^0/1)+(((0.15*B984*5))^1/1)+(((0.15*B984*5))^2/2)+(((0.15*B984*5))^3/6)+(((0.15*B984*5))^4/24)+(((0.15*B984*5))^5/120))),0)))/100)*I962)</f>
        <v/>
      </c>
      <c r="L962">
        <f>K962*(MIN(Inputs!$B$22+((C975=TRUE)*(F975-Calc!F22)),(Inputs!$B$23+((C977=TRUE)*(F977-Calc!F24))+(IF(ArtifactsInput!$M$15,CHOOSE(ArtifactsInput!$N$15+1,25,30,35,40,45,50)/100*(Inputs!$B$11-Inputs!$B$11),0))))/100+(Inputs!$B$23+((C977=TRUE)*(F977-Calc!F24))+(IF(ArtifactsInput!$M$15,CHOOSE(ArtifactsInput!$N$15+1,25,30,35,40,45,50)/100*(Inputs!$B$11-Inputs!$B$11),0)))/100)/2</f>
        <v/>
      </c>
      <c r="M962">
        <f>L962*(1+(Inputs!$B$10+0+B987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2">
        <f>L962*(1-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962*(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2">
        <f>(1-Summary!$B$11)*T962+Summary!$B$11*V962</f>
        <v/>
      </c>
      <c r="P962">
        <f>IF(B992=0,0,O962/B992)</f>
        <v/>
      </c>
      <c r="Q962">
        <f>IFERROR(1/(IF(Inputs!$B$38="pvp",15,MAX(0.1,Skills!D9-IF(Skills!E9=TRUE,Inputs!$B$32,0)))*(1-IF(AND(ArtifactsInput!$M$27,Inputs!$B$4="Chapter Hunt"),CHOOSE(ArtifactsInput!$N$27+1,20,24,28,32,36,40),0)/100)),0)</f>
        <v/>
      </c>
      <c r="R962">
        <f>IF(AND(Inputs!$B$38&lt;&gt;"pvp",Inputs!$B$43&gt;0),IF(MAX(0,Inputs!$B$43-B989)&lt;=0,0,(INT(MAX(0,Inputs!$B$43-B989)/(IF(Inputs!$B$38="pvp",15,MAX(0.1,Skills!D9-IF(Skills!E9=TRUE,Inputs!$B$32,0)))*(1-IF(AND(ArtifactsInput!$M$27,Inputs!$B$4="Chapter Hunt"),CHOOSE(ArtifactsInput!$N$27+1,20,24,28,32,36,40),0)/100)))+1)),0)</f>
        <v/>
      </c>
      <c r="S962">
        <f>IFERROR(O962/N962,0)</f>
        <v/>
      </c>
      <c r="T962">
        <f>IF(C962,(H962*N962*IF(AND(Inputs!$B$38&lt;&gt;"pvp",Inputs!$B$43&gt;0),((Skills!G9*((R962-1)*IF(Skills!H9&gt;0,Skills!I9/Skills!H9,1)+IF(Skills!H9&gt;0,MIN(Skills!I9,MAX(0,MAX(0,Inputs!$B$43-B989)-((R962-1)*(IF(Inputs!$B$38="pvp",15,MAX(0.1,Skills!D9-IF(Skills!E9=TRUE,Inputs!$B$32,0)))*(1-IF(AND(ArtifactsInput!$M$27,Inputs!$B$4="Chapter Hunt"),CHOOSE(ArtifactsInput!$N$27+1,20,24,28,32,36,40),0)/100)))))/Skills!H9,1)))/Inputs!$B$43),G962*Q962)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962*(1-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962*(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962*(1-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962*(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62">
        <f>IF(C962,(H962*N962*IF(AND(Inputs!$B$38&lt;&gt;"pvp",Inputs!$B$43&gt;0),((Skills!G9*((R962-1)*IF(Skills!H9&gt;0,Skills!I9/Skills!H9,1)+IF(Skills!H9&gt;0,MIN(Skills!I9,MAX(0,MAX(0,Inputs!$B$43-B989)-((R962-1)*(IF(Inputs!$B$38="pvp",15,MAX(0.1,Skills!D9-IF(Skills!E9=TRUE,Inputs!$B$32,0)))*(1-IF(AND(ArtifactsInput!$M$27,Inputs!$B$4="Chapter Hunt"),CHOOSE(ArtifactsInput!$N$27+1,20,24,28,32,36,40),0)/100)))))/Skills!H9,1)))/Inputs!$B$43),G962*Q962)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3">
      <c r="A963">
        <f>Skills!A10</f>
        <v/>
      </c>
      <c r="B963">
        <f>Skills!B10</f>
        <v/>
      </c>
      <c r="C963">
        <f>Inputs!$B$3&gt;=63</f>
        <v/>
      </c>
      <c r="D963">
        <f>IF(Skills!C10=1,60+Inputs!$B$25+Inputs!$B$29,IF(Skills!C10=2,90+Inputs!$B$26+Inputs!$B$29,IF(Skills!C10=3,120+Inputs!$B$27+Inputs!$B$29,MAX(0,(Inputs!$B$3-100)*3)+Inputs!$B$28+Inputs!$B$29)))</f>
        <v/>
      </c>
      <c r="E963">
        <f>INDEX(FactorTable!$B$2:$Y$301, MATCH(ROUND(MIN(300,MAX(1,D963)),0), FactorTable!$A$2:$A$301,0), Skills!M10+1)</f>
        <v/>
      </c>
      <c r="F963">
        <f>IF(Skills!N10=TRUE,(Skills!L10/10)*(E963/1000),Skills!L10/10)+Skills!O10</f>
        <v/>
      </c>
      <c r="G963">
        <f>Skills!G10*IF(Skills!H10&gt;0,Skills!I10/Skills!H10,1)</f>
        <v/>
      </c>
      <c r="H963">
        <f>1-(1-Skills!J10/100)^Skills!K10</f>
        <v/>
      </c>
      <c r="I963" t="inlineStr">
        <is>
          <t>1</t>
        </is>
      </c>
      <c r="J963">
        <f>(((Inputs!$B$6+1)*(1+Inputs!$B$7/100))+(((Inputs!$B$12*(1+Inputs!$B$13/100))-(Inputs!$B$12*(1+Inputs!$B$13/100)))+0.25*(Inputs!$B$14-Inputs!$B$14))*(1+Inputs!$B$7/100))*(F963/100)</f>
        <v/>
      </c>
      <c r="K963">
        <f>J963*(1+((Inputs!$B$12*(1+Inputs!$B$13/100))*0.01+Inputs!$B$14*0.0025)/100)*(1+Inputs!$B$15/100)*(1+Inputs!$B$16/100)*(5000/(6000+Inputs!$B$42*(1-(100*(1-(1-(Inputs!$B$19+0)/100)*(1-CHOOSE(ArtifactsInput!$N$40+1,5,6,7,8,9,10)/100)^(ArtifactsInput!$M$40-ArtifactsInput!$M$40)))/100)))*(1+(Inputs!$B$24+((C978=TRUE)*(F978-Calc!F25))+B988)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965=TRUE,F965,0)/100)*(1+IF(Skills!A10="ENHANCED_RAGING_BLOW",IF(Inputs!$B$3&gt;=134,MAX(0,IF(Inputs!$B$3&gt;=110,7,5)-5)*50,0),0)/100)*(1+(IF(Skills!A10="RAGING_BLOW",Inputs!$B$17+((C974=TRUE)*(F974-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976=TRUE)*(F976-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966=TRUE)*F966*IF(Inputs!$B$3&gt;=110,7,5))+((C968=TRUE)*F968*IF(AND(Inputs!$B$38&lt;&gt;"pvp",Inputs!$B$43&gt;0),(((R968-1)*(Skills!T15*(1+(Inputs!$B$34+(ArtifactsInput!$M$7-ArtifactsInput!$M$7)*CHOOSE(ArtifactsInput!$N$7+1,6,7.2,8.4,9.6,10.8,12))/100))+MIN((Skills!T15*(1+(Inputs!$B$34+(ArtifactsInput!$M$7-ArtifactsInput!$M$7)*CHOOSE(ArtifactsInput!$N$7+1,6,7.2,8.4,9.6,10.8,12))/100)),MAX(0,Inputs!$B$43-((R968-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Hunt"),CHOOSE(ArtifactsInput!$N$35+1,15,18,21,24,27,30)*(1-EXP(-(0.2*B984)*5)),0)+IF(AND(ArtifactsInput!$M$22,Inputs!$B$4&lt;&gt;"Chapter Hunt"),CHOOSE(ArtifactsInput!$N$22+1,10,12,14,16,18,20)*((0*(((0.15*B984*5))^0/1)+1*(((0.15*B984*5))^1/1)+2*(((0.15*B984*5))^2/2)+3*(((0.15*B984*5))^3/6)+4*(((0.15*B984*5))^4/24)+5*(((0.15*B984*5))^5/120))/((((0.15*B984*5))^0/1)+(((0.15*B984*5))^1/1)+(((0.15*B984*5))^2/2)+(((0.15*B984*5))^3/6)+(((0.15*B984*5))^4/24)+(((0.15*B984*5))^5/120))),0)))/100)*I963)</f>
        <v/>
      </c>
      <c r="L963">
        <f>K963*(MIN(Inputs!$B$22+((C975=TRUE)*(F975-Calc!F22)),(Inputs!$B$23+((C977=TRUE)*(F977-Calc!F24))+(IF(ArtifactsInput!$M$15,CHOOSE(ArtifactsInput!$N$15+1,25,30,35,40,45,50)/100*(Inputs!$B$11-Inputs!$B$11),0))))/100+(Inputs!$B$23+((C977=TRUE)*(F977-Calc!F24))+(IF(ArtifactsInput!$M$15,CHOOSE(ArtifactsInput!$N$15+1,25,30,35,40,45,50)/100*(Inputs!$B$11-Inputs!$B$11),0)))/100)/2</f>
        <v/>
      </c>
      <c r="M963">
        <f>L963*(1+(Inputs!$B$10+0+B987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3">
        <f>L963*(1-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963*(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3">
        <f>(1-Summary!$B$11)*T963+Summary!$B$11*V963</f>
        <v/>
      </c>
      <c r="P963">
        <f>IF(B992=0,0,O963/B992)</f>
        <v/>
      </c>
      <c r="Q963">
        <f>IFERROR(1/(IF(Inputs!$B$38="pvp",15,MAX(0.1,Skills!D10-IF(Skills!E10=TRUE,Inputs!$B$32,0)))*(1-IF(AND(ArtifactsInput!$M$27,Inputs!$B$4="Chapter Hunt"),CHOOSE(ArtifactsInput!$N$27+1,20,24,28,32,36,40),0)/100)),0)</f>
        <v/>
      </c>
      <c r="R963">
        <f>IF(AND(Inputs!$B$38&lt;&gt;"pvp",Inputs!$B$43&gt;0),IF(MAX(0,Inputs!$B$43-B989)&lt;=0,0,(INT(MAX(0,Inputs!$B$43-B989)/(IF(Inputs!$B$38="pvp",15,MAX(0.1,Skills!D10-IF(Skills!E10=TRUE,Inputs!$B$32,0)))*(1-IF(AND(ArtifactsInput!$M$27,Inputs!$B$4="Chapter Hunt"),CHOOSE(ArtifactsInput!$N$27+1,20,24,28,32,36,40),0)/100)))+1)),0)</f>
        <v/>
      </c>
      <c r="S963">
        <f>IFERROR(O963/N963,0)</f>
        <v/>
      </c>
      <c r="T963">
        <f>IF(C963,(H963*N963*IF(AND(Inputs!$B$38&lt;&gt;"pvp",Inputs!$B$43&gt;0),((Skills!G10*((R963-1)*IF(Skills!H10&gt;0,Skills!I10/Skills!H10,1)+IF(Skills!H10&gt;0,MIN(Skills!I10,MAX(0,MAX(0,Inputs!$B$43-B989)-((R963-1)*(IF(Inputs!$B$38="pvp",15,MAX(0.1,Skills!D10-IF(Skills!E10=TRUE,Inputs!$B$32,0)))*(1-IF(AND(ArtifactsInput!$M$27,Inputs!$B$4="Chapter Hunt"),CHOOSE(ArtifactsInput!$N$27+1,20,24,28,32,36,40),0)/100)))))/Skills!H10,1)))/Inputs!$B$43),G963*Q963)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963*(1-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963*(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963*(1-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963*(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63">
        <f>IF(C963,(H963*N963*IF(AND(Inputs!$B$38&lt;&gt;"pvp",Inputs!$B$43&gt;0),((Skills!G10*((R963-1)*IF(Skills!H10&gt;0,Skills!I10/Skills!H10,1)+IF(Skills!H10&gt;0,MIN(Skills!I10,MAX(0,MAX(0,Inputs!$B$43-B989)-((R963-1)*(IF(Inputs!$B$38="pvp",15,MAX(0.1,Skills!D10-IF(Skills!E10=TRUE,Inputs!$B$32,0)))*(1-IF(AND(ArtifactsInput!$M$27,Inputs!$B$4="Chapter Hunt"),CHOOSE(ArtifactsInput!$N$27+1,20,24,28,32,36,40),0)/100)))))/Skills!H10,1)))/Inputs!$B$43),G963*Q963)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4">
      <c r="A964">
        <f>Skills!A11</f>
        <v/>
      </c>
      <c r="B964">
        <f>Skills!B11</f>
        <v/>
      </c>
      <c r="C964">
        <f>Inputs!$B$3&gt;=35</f>
        <v/>
      </c>
      <c r="D964">
        <f>IF(Skills!C11=1,60+Inputs!$B$25+Inputs!$B$29,IF(Skills!C11=2,90+Inputs!$B$26+Inputs!$B$29,IF(Skills!C11=3,120+Inputs!$B$27+Inputs!$B$29,MAX(0,(Inputs!$B$3-100)*3)+Inputs!$B$28+Inputs!$B$29)))</f>
        <v/>
      </c>
      <c r="E964">
        <f>INDEX(FactorTable!$B$2:$Y$301, MATCH(ROUND(MIN(300,MAX(1,D964)),0), FactorTable!$A$2:$A$301,0), Skills!M11+1)</f>
        <v/>
      </c>
      <c r="F964">
        <f>IF(Skills!N11=TRUE,(Skills!L11/10)*(E964/1000),Skills!L11/10)+Skills!O11</f>
        <v/>
      </c>
      <c r="G964">
        <f>Skills!G11*IF(Skills!H11&gt;0,Skills!I11/Skills!H11,1)</f>
        <v/>
      </c>
      <c r="H964">
        <f>1-(1-Skills!J11/100)^Skills!K11</f>
        <v/>
      </c>
      <c r="I964" t="inlineStr">
        <is>
          <t>1</t>
        </is>
      </c>
      <c r="J964">
        <f>(((Inputs!$B$6+1)*(1+Inputs!$B$7/100))+(((Inputs!$B$12*(1+Inputs!$B$13/100))-(Inputs!$B$12*(1+Inputs!$B$13/100)))+0.25*(Inputs!$B$14-Inputs!$B$14))*(1+Inputs!$B$7/100))*(F964/100)</f>
        <v/>
      </c>
      <c r="K964">
        <f>J964*(1+((Inputs!$B$12*(1+Inputs!$B$13/100))*0.01+Inputs!$B$14*0.0025)/100)*(1+Inputs!$B$15/100)*(1+Inputs!$B$16/100)*(5000/(6000+Inputs!$B$42*(1-(100*(1-(1-(Inputs!$B$19+0)/100)*(1-CHOOSE(ArtifactsInput!$N$40+1,5,6,7,8,9,10)/100)^(ArtifactsInput!$M$40-ArtifactsInput!$M$40)))/100)))*(1+(Inputs!$B$24+((C978=TRUE)*(F978-Calc!F25))+B988)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965=TRUE,F965,0)/100)*(1+IF(Skills!A11="ENHANCED_RAGING_BLOW",IF(Inputs!$B$3&gt;=134,MAX(0,IF(Inputs!$B$3&gt;=110,7,5)-5)*50,0),0)/100)*(1+(IF(Skills!A11="RAGING_BLOW",Inputs!$B$17+((C974=TRUE)*(F974-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976=TRUE)*(F976-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966=TRUE)*F966*IF(Inputs!$B$3&gt;=110,7,5))+((C968=TRUE)*F968*IF(AND(Inputs!$B$38&lt;&gt;"pvp",Inputs!$B$43&gt;0),(((R968-1)*(Skills!T15*(1+(Inputs!$B$34+(ArtifactsInput!$M$7-ArtifactsInput!$M$7)*CHOOSE(ArtifactsInput!$N$7+1,6,7.2,8.4,9.6,10.8,12))/100))+MIN((Skills!T15*(1+(Inputs!$B$34+(ArtifactsInput!$M$7-ArtifactsInput!$M$7)*CHOOSE(ArtifactsInput!$N$7+1,6,7.2,8.4,9.6,10.8,12))/100)),MAX(0,Inputs!$B$43-((R968-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Hunt"),CHOOSE(ArtifactsInput!$N$35+1,15,18,21,24,27,30)*(1-EXP(-(0.2*B984)*5)),0)+IF(AND(ArtifactsInput!$M$22,Inputs!$B$4&lt;&gt;"Chapter Hunt"),CHOOSE(ArtifactsInput!$N$22+1,10,12,14,16,18,20)*((0*(((0.15*B984*5))^0/1)+1*(((0.15*B984*5))^1/1)+2*(((0.15*B984*5))^2/2)+3*(((0.15*B984*5))^3/6)+4*(((0.15*B984*5))^4/24)+5*(((0.15*B984*5))^5/120))/((((0.15*B984*5))^0/1)+(((0.15*B984*5))^1/1)+(((0.15*B984*5))^2/2)+(((0.15*B984*5))^3/6)+(((0.15*B984*5))^4/24)+(((0.15*B984*5))^5/120))),0)))/100)*I964)</f>
        <v/>
      </c>
      <c r="L964">
        <f>K964*(MIN(Inputs!$B$22+((C975=TRUE)*(F975-Calc!F22)),(Inputs!$B$23+((C977=TRUE)*(F977-Calc!F24))+(IF(ArtifactsInput!$M$15,CHOOSE(ArtifactsInput!$N$15+1,25,30,35,40,45,50)/100*(Inputs!$B$11-Inputs!$B$11),0))))/100+(Inputs!$B$23+((C977=TRUE)*(F977-Calc!F24))+(IF(ArtifactsInput!$M$15,CHOOSE(ArtifactsInput!$N$15+1,25,30,35,40,45,50)/100*(Inputs!$B$11-Inputs!$B$11),0)))/100)/2</f>
        <v/>
      </c>
      <c r="M964">
        <f>L964*(1+(Inputs!$B$10+0+B987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4">
        <f>L964*(1-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964*(MIN((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4">
        <f>(1-Summary!$B$11)*T964+Summary!$B$11*V964</f>
        <v/>
      </c>
      <c r="P964">
        <f>IF(B992=0,0,O964/B992)</f>
        <v/>
      </c>
      <c r="Q964">
        <f>IFERROR(1/(IF(Inputs!$B$38="pvp",15,MAX(0.1,Skills!D11-IF(Skills!E11=TRUE,Inputs!$B$32,0)))*(1-IF(AND(ArtifactsInput!$M$27,Inputs!$B$4="Chapter Hunt"),CHOOSE(ArtifactsInput!$N$27+1,20,24,28,32,36,40),0)/100)),0)</f>
        <v/>
      </c>
      <c r="R964">
        <f>IF(AND(Inputs!$B$38&lt;&gt;"pvp",Inputs!$B$43&gt;0),IF(MAX(0,Inputs!$B$43-B989)&lt;=0,0,(INT(MAX(0,Inputs!$B$43-B989)/(IF(Inputs!$B$38="pvp",15,MAX(0.1,Skills!D11-IF(Skills!E11=TRUE,Inputs!$B$32,0)))*(1-IF(AND(ArtifactsInput!$M$27,Inputs!$B$4="Chapter Hunt"),CHOOSE(ArtifactsInput!$N$27+1,20,24,28,32,36,40),0)/100)))+1)),0)</f>
        <v/>
      </c>
      <c r="S964">
        <f>IFERROR(O964/N964,0)</f>
        <v/>
      </c>
      <c r="T964">
        <f>IF(C964,(H964*N964*IF(AND(Inputs!$B$38&lt;&gt;"pvp",Inputs!$B$43&gt;0),((Skills!G11*((R964-1)*IF(Skills!H11&gt;0,Skills!I11/Skills!H11,1)+IF(Skills!H11&gt;0,MIN(Skills!I11,MAX(0,MAX(0,Inputs!$B$43-B989)-((R964-1)*(IF(Inputs!$B$38="pvp",15,MAX(0.1,Skills!D11-IF(Skills!E11=TRUE,Inputs!$B$32,0)))*(1-IF(AND(ArtifactsInput!$M$27,Inputs!$B$4="Chapter Hunt"),CHOOSE(ArtifactsInput!$N$27+1,20,24,28,32,36,40),0)/100)))))/Skills!H11,1)))/Inputs!$B$43),G964*Q964)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964*(1-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964*(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964*(1-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964*(MIN(100,(Inputs!$B$9+((C979=TRUE)*(F979-Calc!F26))+B982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64">
        <f>IF(C964,(H964*N964*IF(AND(Inputs!$B$38&lt;&gt;"pvp",Inputs!$B$43&gt;0),((Skills!G11*((R964-1)*IF(Skills!H11&gt;0,Skills!I11/Skills!H11,1)+IF(Skills!H11&gt;0,MIN(Skills!I11,MAX(0,MAX(0,Inputs!$B$43-B989)-((R964-1)*(IF(Inputs!$B$38="pvp",15,MAX(0.1,Skills!D11-IF(Skills!E11=TRUE,Inputs!$B$32,0)))*(1-IF(AND(ArtifactsInput!$M$27,Inputs!$B$4="Chapter Hunt"),CHOOSE(ArtifactsInput!$N$27+1,20,24,28,32,36,40),0)/100)))))/Skills!H11,1)))/Inputs!$B$43),G964*Q964)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5">
      <c r="A965">
        <f>Skills!A12</f>
        <v/>
      </c>
      <c r="B965">
        <f>Skills!B12</f>
        <v/>
      </c>
      <c r="C965">
        <f>Inputs!$B$3&gt;=100</f>
        <v/>
      </c>
      <c r="D965">
        <f>IF(Skills!C12=1,60+Inputs!$B$25+Inputs!$B$29,IF(Skills!C12=2,90+Inputs!$B$26+Inputs!$B$29,IF(Skills!C12=3,120+Inputs!$B$27+Inputs!$B$29,MAX(0,(Inputs!$B$3-100)*3)+Inputs!$B$28+Inputs!$B$29)))</f>
        <v/>
      </c>
      <c r="E965">
        <f>INDEX(FactorTable!$B$2:$Y$301, MATCH(ROUND(MIN(300,MAX(1,D965)),0), FactorTable!$A$2:$A$301,0), Skills!M12+1)</f>
        <v/>
      </c>
      <c r="F965">
        <f>IF(Skills!N12=TRUE,(Skills!L12/10)*(E965/1000),Skills!L12/10)+Skills!O12</f>
        <v/>
      </c>
      <c r="G965" t="inlineStr"/>
      <c r="H965" t="inlineStr"/>
      <c r="I965" t="inlineStr">
        <is>
          <t>1</t>
        </is>
      </c>
      <c r="J965" t="inlineStr"/>
      <c r="K965" t="inlineStr"/>
      <c r="L965" t="inlineStr"/>
      <c r="M965" t="inlineStr"/>
      <c r="N965" t="inlineStr"/>
      <c r="O965" t="inlineStr"/>
      <c r="P965" t="inlineStr"/>
      <c r="Q965" t="inlineStr"/>
      <c r="R965" t="inlineStr"/>
      <c r="S965" t="inlineStr"/>
    </row>
    <row r="966">
      <c r="A966">
        <f>Skills!A13</f>
        <v/>
      </c>
      <c r="B966">
        <f>Skills!B13</f>
        <v/>
      </c>
      <c r="C966">
        <f>Inputs!$B$3&gt;=45</f>
        <v/>
      </c>
      <c r="D966">
        <f>IF(Skills!C13=1,60+Inputs!$B$25+Inputs!$B$29,IF(Skills!C13=2,90+Inputs!$B$26+Inputs!$B$29,IF(Skills!C13=3,120+Inputs!$B$27+Inputs!$B$29,MAX(0,(Inputs!$B$3-100)*3)+Inputs!$B$28+Inputs!$B$29)))</f>
        <v/>
      </c>
      <c r="E966">
        <f>INDEX(FactorTable!$B$2:$Y$301, MATCH(ROUND(MIN(300,MAX(1,D966)),0), FactorTable!$A$2:$A$301,0), Skills!M13+1)</f>
        <v/>
      </c>
      <c r="F966">
        <f>IF(Skills!N13=TRUE,(Skills!L13/10)*(E966/1000),Skills!L13/10)+Skills!O13</f>
        <v/>
      </c>
      <c r="G966">
        <f>Skills!G13*IF(Skills!H13&gt;0,Skills!I13/Skills!H13,1)</f>
        <v/>
      </c>
      <c r="H966">
        <f>1-(1-Skills!J13/100)^Skills!K13</f>
        <v/>
      </c>
      <c r="I966" t="inlineStr">
        <is>
          <t>1</t>
        </is>
      </c>
      <c r="J966" t="inlineStr"/>
      <c r="K966" t="inlineStr"/>
      <c r="L966" t="inlineStr"/>
      <c r="M966" t="inlineStr"/>
      <c r="N966" t="inlineStr"/>
      <c r="O966">
        <f>(1-Summary!$B$11)*T966+Summary!$B$11*V966</f>
        <v/>
      </c>
      <c r="P966">
        <f>IF(B992=0,0,O966/B992)</f>
        <v/>
      </c>
      <c r="Q966" t="n">
        <v>0</v>
      </c>
      <c r="R966" t="n">
        <v>0</v>
      </c>
      <c r="S966">
        <f>IFERROR(O966/N966,0)</f>
        <v/>
      </c>
      <c r="T966" t="n">
        <v>0</v>
      </c>
      <c r="V966" t="n">
        <v>0</v>
      </c>
    </row>
    <row r="967">
      <c r="A967">
        <f>Skills!A14</f>
        <v/>
      </c>
      <c r="B967">
        <f>Skills!B14</f>
        <v/>
      </c>
      <c r="C967">
        <f>Inputs!$B$3&gt;=75</f>
        <v/>
      </c>
      <c r="D967">
        <f>IF(Skills!C14=1,60+Inputs!$B$25+Inputs!$B$29,IF(Skills!C14=2,90+Inputs!$B$26+Inputs!$B$29,IF(Skills!C14=3,120+Inputs!$B$27+Inputs!$B$29,MAX(0,(Inputs!$B$3-100)*3)+Inputs!$B$28+Inputs!$B$29)))</f>
        <v/>
      </c>
      <c r="E967">
        <f>INDEX(FactorTable!$B$2:$Y$301, MATCH(ROUND(MIN(300,MAX(1,D967)),0), FactorTable!$A$2:$A$301,0), Skills!M14+1)</f>
        <v/>
      </c>
      <c r="F967">
        <f>IF(Skills!N14=TRUE,(Skills!L14/10)*(E967/1000),Skills!L14/10)+Skills!O14</f>
        <v/>
      </c>
      <c r="G967">
        <f>Skills!G14*IF(Skills!H14&gt;0,Skills!I14/Skills!H14,1)</f>
        <v/>
      </c>
      <c r="H967">
        <f>1-(1-Skills!J14/100)^Skills!K14</f>
        <v/>
      </c>
      <c r="I967" t="inlineStr">
        <is>
          <t>1</t>
        </is>
      </c>
      <c r="J967" t="inlineStr"/>
      <c r="K967" t="inlineStr"/>
      <c r="L967" t="inlineStr"/>
      <c r="M967" t="inlineStr"/>
      <c r="N967" t="inlineStr"/>
      <c r="O967">
        <f>(1-Summary!$B$11)*T967+Summary!$B$11*V967</f>
        <v/>
      </c>
      <c r="P967">
        <f>IF(B992=0,0,O967/B992)</f>
        <v/>
      </c>
      <c r="Q967" t="n">
        <v>0</v>
      </c>
      <c r="R967" t="n">
        <v>0</v>
      </c>
      <c r="S967">
        <f>IFERROR(O967/N967,0)</f>
        <v/>
      </c>
      <c r="T967" t="n">
        <v>0</v>
      </c>
      <c r="V967" t="n">
        <v>0</v>
      </c>
    </row>
    <row r="968">
      <c r="A968">
        <f>Skills!A15</f>
        <v/>
      </c>
      <c r="B968">
        <f>Skills!B15</f>
        <v/>
      </c>
      <c r="C968">
        <f>Inputs!$B$3&gt;=40</f>
        <v/>
      </c>
      <c r="D968">
        <f>IF(Skills!C15=1,60+Inputs!$B$25+Inputs!$B$29,IF(Skills!C15=2,90+Inputs!$B$26+Inputs!$B$29,IF(Skills!C15=3,120+Inputs!$B$27+Inputs!$B$29,MAX(0,(Inputs!$B$3-100)*3)+Inputs!$B$28+Inputs!$B$29)))</f>
        <v/>
      </c>
      <c r="E968">
        <f>INDEX(FactorTable!$B$2:$Y$301, MATCH(ROUND(MIN(300,MAX(1,D968)),0), FactorTable!$A$2:$A$301,0), Skills!M15+1)</f>
        <v/>
      </c>
      <c r="F968">
        <f>IF(Skills!N15=TRUE,(Skills!L15/10)*(E968/1000),Skills!L15/10)+Skills!O15</f>
        <v/>
      </c>
      <c r="G968">
        <f>Skills!G15*IF(Skills!H15&gt;0,Skills!I15/Skills!H15,1)</f>
        <v/>
      </c>
      <c r="H968">
        <f>1-(1-Skills!J15/100)^Skills!K15</f>
        <v/>
      </c>
      <c r="I968" t="inlineStr">
        <is>
          <t>1</t>
        </is>
      </c>
      <c r="J968" t="inlineStr"/>
      <c r="K968" t="inlineStr"/>
      <c r="L968" t="inlineStr"/>
      <c r="M968" t="inlineStr"/>
      <c r="N968" t="inlineStr"/>
      <c r="O968">
        <f>(1-Summary!$B$11)*T968+Summary!$B$11*V968</f>
        <v/>
      </c>
      <c r="P968">
        <f>IF(B992=0,0,O968/B992)</f>
        <v/>
      </c>
      <c r="Q968">
        <f>IFERROR(1/(IF(Inputs!$B$38="pvp",15,MAX(0.1,Skills!D15-IF(Skills!E15=TRUE,Inputs!$B$32,0)))*(1-IF(AND(ArtifactsInput!$M$27,Inputs!$B$4="Chapter Hunt"),CHOOSE(ArtifactsInput!$N$27+1,20,24,28,32,36,40),0)/100)),0)</f>
        <v/>
      </c>
      <c r="R968">
        <f>IF(AND(Inputs!$B$38&lt;&gt;"pvp",Inputs!$B$43&gt;0),IF(Inputs!$B$43&lt;=0,0,(INT(Inputs!$B$43/(IF(Inputs!$B$38="pvp",15,MAX(0.1,Skills!D15-IF(Skills!E15=TRUE,Inputs!$B$32,0)))*(1-IF(AND(ArtifactsInput!$M$27,Inputs!$B$4="Chapter Hunt"),CHOOSE(ArtifactsInput!$N$27+1,20,24,28,32,36,40),0)/100)))+1)),0)</f>
        <v/>
      </c>
      <c r="S968">
        <f>IFERROR(O968/N968,0)</f>
        <v/>
      </c>
      <c r="T968" t="n">
        <v>0</v>
      </c>
      <c r="V968" t="n">
        <v>0</v>
      </c>
    </row>
    <row r="969">
      <c r="A969">
        <f>Skills!A16</f>
        <v/>
      </c>
      <c r="B969">
        <f>Skills!B16</f>
        <v/>
      </c>
      <c r="C969">
        <f>Inputs!$B$3&gt;=66</f>
        <v/>
      </c>
      <c r="D969">
        <f>IF(Skills!C16=1,60+Inputs!$B$25+Inputs!$B$29,IF(Skills!C16=2,90+Inputs!$B$26+Inputs!$B$29,IF(Skills!C16=3,120+Inputs!$B$27+Inputs!$B$29,MAX(0,(Inputs!$B$3-100)*3)+Inputs!$B$28+Inputs!$B$29)))</f>
        <v/>
      </c>
      <c r="E969">
        <f>INDEX(FactorTable!$B$2:$Y$301, MATCH(ROUND(MIN(300,MAX(1,D969)),0), FactorTable!$A$2:$A$301,0), Skills!M16+1)</f>
        <v/>
      </c>
      <c r="F969">
        <f>IF(Skills!N16=TRUE,(Skills!L16/10)*(E969/1000),Skills!L16/10)+Skills!O16</f>
        <v/>
      </c>
      <c r="G969">
        <f>Skills!G16*IF(Skills!H16&gt;0,Skills!I16/Skills!H16,1)</f>
        <v/>
      </c>
      <c r="H969">
        <f>1-(1-Skills!J16/100)^Skills!K16</f>
        <v/>
      </c>
      <c r="I969" t="inlineStr">
        <is>
          <t>1</t>
        </is>
      </c>
      <c r="J969" t="inlineStr"/>
      <c r="K969" t="inlineStr"/>
      <c r="L969" t="inlineStr"/>
      <c r="M969" t="inlineStr"/>
      <c r="N969" t="inlineStr"/>
      <c r="O969">
        <f>(1-Summary!$B$11)*T969+Summary!$B$11*V969</f>
        <v/>
      </c>
      <c r="P969">
        <f>IF(B992=0,0,O969/B992)</f>
        <v/>
      </c>
      <c r="Q969">
        <f>IFERROR(1/(IF(Inputs!$B$38="pvp",15,MAX(0.1,Skills!D16-IF(Skills!E16=TRUE,Inputs!$B$32,0)))*(1-IF(AND(ArtifactsInput!$M$27,Inputs!$B$4="Chapter Hunt"),CHOOSE(ArtifactsInput!$N$27+1,20,24,28,32,36,40),0)/100)),0)</f>
        <v/>
      </c>
      <c r="R969">
        <f>IF(AND(Inputs!$B$38&lt;&gt;"pvp",Inputs!$B$43&gt;0),IF(Inputs!$B$43&lt;=0,0,(INT(Inputs!$B$43/(IF(Inputs!$B$38="pvp",15,MAX(0.1,Skills!D16-IF(Skills!E16=TRUE,Inputs!$B$32,0)))*(1-IF(AND(ArtifactsInput!$M$27,Inputs!$B$4="Chapter Hunt"),CHOOSE(ArtifactsInput!$N$27+1,20,24,28,32,36,40),0)/100)))+1)),0)</f>
        <v/>
      </c>
      <c r="S969">
        <f>IFERROR(O969/N969,0)</f>
        <v/>
      </c>
      <c r="T969" t="n">
        <v>0</v>
      </c>
      <c r="V969" t="n">
        <v>0</v>
      </c>
    </row>
    <row r="970">
      <c r="A970">
        <f>Skills!A17</f>
        <v/>
      </c>
      <c r="B970">
        <f>Skills!B17</f>
        <v/>
      </c>
      <c r="C970">
        <f>Inputs!$B$3&gt;=115</f>
        <v/>
      </c>
      <c r="D970">
        <f>IF(Skills!C17=1,60+Inputs!$B$25+Inputs!$B$29,IF(Skills!C17=2,90+Inputs!$B$26+Inputs!$B$29,IF(Skills!C17=3,120+Inputs!$B$27+Inputs!$B$29,MAX(0,(Inputs!$B$3-100)*3)+Inputs!$B$28+Inputs!$B$29)))</f>
        <v/>
      </c>
      <c r="E970">
        <f>INDEX(FactorTable!$B$2:$Y$301, MATCH(ROUND(MIN(300,MAX(1,D970)),0), FactorTable!$A$2:$A$301,0), Skills!M17+1)</f>
        <v/>
      </c>
      <c r="F970">
        <f>IF(Skills!N17=TRUE,(Skills!L17/10)*(E970/1000),Skills!L17/10)+Skills!O17</f>
        <v/>
      </c>
      <c r="G970">
        <f>Skills!G17*IF(Skills!H17&gt;0,Skills!I17/Skills!H17,1)</f>
        <v/>
      </c>
      <c r="H970">
        <f>1-(1-Skills!J17/100)^Skills!K17</f>
        <v/>
      </c>
      <c r="I970" t="inlineStr">
        <is>
          <t>1</t>
        </is>
      </c>
      <c r="J970" t="inlineStr"/>
      <c r="K970" t="inlineStr"/>
      <c r="L970" t="inlineStr"/>
      <c r="M970" t="inlineStr"/>
      <c r="N970" t="inlineStr"/>
      <c r="O970">
        <f>(1-Summary!$B$11)*T970+Summary!$B$11*V970</f>
        <v/>
      </c>
      <c r="P970">
        <f>IF(B992=0,0,O970/B992)</f>
        <v/>
      </c>
      <c r="Q970">
        <f>IFERROR(1/(IF(Inputs!$B$38="pvp",15,MAX(0.1,Skills!D17-IF(Skills!E17=TRUE,Inputs!$B$32,0)))*(1-IF(AND(ArtifactsInput!$M$27,Inputs!$B$4="Chapter Hunt"),CHOOSE(ArtifactsInput!$N$27+1,20,24,28,32,36,40),0)/100)),0)</f>
        <v/>
      </c>
      <c r="R970">
        <f>IF(AND(Inputs!$B$38&lt;&gt;"pvp",Inputs!$B$43&gt;0),IF(Inputs!$B$43&lt;=0,0,(INT(Inputs!$B$43/(IF(Inputs!$B$38="pvp",15,MAX(0.1,Skills!D17-IF(Skills!E17=TRUE,Inputs!$B$32,0)))*(1-IF(AND(ArtifactsInput!$M$27,Inputs!$B$4="Chapter Hunt"),CHOOSE(ArtifactsInput!$N$27+1,20,24,28,32,36,40),0)/100)))+1)),0)</f>
        <v/>
      </c>
      <c r="S970">
        <f>IFERROR(O970/N970,0)</f>
        <v/>
      </c>
      <c r="T970" t="n">
        <v>0</v>
      </c>
      <c r="V970" t="n">
        <v>0</v>
      </c>
    </row>
    <row r="971">
      <c r="A971">
        <f>Skills!A18</f>
        <v/>
      </c>
      <c r="B971">
        <f>Skills!B18</f>
        <v/>
      </c>
      <c r="C971">
        <f>Inputs!$B$3&gt;=115</f>
        <v/>
      </c>
      <c r="D971">
        <f>IF(Skills!C18=1,60+Inputs!$B$25+Inputs!$B$29,IF(Skills!C18=2,90+Inputs!$B$26+Inputs!$B$29,IF(Skills!C18=3,120+Inputs!$B$27+Inputs!$B$29,MAX(0,(Inputs!$B$3-100)*3)+Inputs!$B$28+Inputs!$B$29)))</f>
        <v/>
      </c>
      <c r="E971">
        <f>INDEX(FactorTable!$B$2:$Y$301, MATCH(ROUND(MIN(300,MAX(1,D971)),0), FactorTable!$A$2:$A$301,0), Skills!M18+1)</f>
        <v/>
      </c>
      <c r="F971">
        <f>IF(Skills!N18=TRUE,(Skills!L18/10)*(E971/1000),Skills!L18/10)+Skills!O18</f>
        <v/>
      </c>
      <c r="G971">
        <f>Skills!G18*IF(Skills!H18&gt;0,Skills!I18/Skills!H18,1)</f>
        <v/>
      </c>
      <c r="H971">
        <f>1-(1-Skills!J18/100)^Skills!K18</f>
        <v/>
      </c>
      <c r="I971" t="inlineStr">
        <is>
          <t>1</t>
        </is>
      </c>
      <c r="J971" t="inlineStr"/>
      <c r="K971" t="inlineStr"/>
      <c r="L971" t="inlineStr"/>
      <c r="M971" t="inlineStr"/>
      <c r="N971" t="inlineStr"/>
      <c r="O971">
        <f>(1-Summary!$B$11)*T971+Summary!$B$11*V971</f>
        <v/>
      </c>
      <c r="P971">
        <f>IF(B992=0,0,O971/B992)</f>
        <v/>
      </c>
      <c r="Q971">
        <f>IFERROR(1/(IF(Inputs!$B$38="pvp",15,MAX(0.1,Skills!D18-IF(Skills!E18=TRUE,Inputs!$B$32,0)))*(1-IF(AND(ArtifactsInput!$M$27,Inputs!$B$4="Chapter Hunt"),CHOOSE(ArtifactsInput!$N$27+1,20,24,28,32,36,40),0)/100)),0)</f>
        <v/>
      </c>
      <c r="R971">
        <f>IF(AND(Inputs!$B$38&lt;&gt;"pvp",Inputs!$B$43&gt;0),IF(Inputs!$B$43&lt;=0,0,(INT(Inputs!$B$43/(IF(Inputs!$B$38="pvp",15,MAX(0.1,Skills!D18-IF(Skills!E18=TRUE,Inputs!$B$32,0)))*(1-IF(AND(ArtifactsInput!$M$27,Inputs!$B$4="Chapter Hunt"),CHOOSE(ArtifactsInput!$N$27+1,20,24,28,32,36,40),0)/100)))+1)),0)</f>
        <v/>
      </c>
      <c r="S971">
        <f>IFERROR(O971/N971,0)</f>
        <v/>
      </c>
      <c r="T971" t="n">
        <v>0</v>
      </c>
      <c r="V971" t="n">
        <v>0</v>
      </c>
    </row>
    <row r="972">
      <c r="A972">
        <f>Skills!A19</f>
        <v/>
      </c>
      <c r="B972">
        <f>Skills!B19</f>
        <v/>
      </c>
      <c r="C972">
        <f>TRUE</f>
        <v/>
      </c>
      <c r="D972">
        <f>IF(Skills!C19=1,60+Inputs!$B$25+Inputs!$B$29,IF(Skills!C19=2,90+Inputs!$B$26+Inputs!$B$29,IF(Skills!C19=3,120+Inputs!$B$27+Inputs!$B$29,MAX(0,(Inputs!$B$3-100)*3)+Inputs!$B$28+Inputs!$B$29)))</f>
        <v/>
      </c>
      <c r="E972">
        <f>INDEX(FactorTable!$B$2:$Y$301, MATCH(ROUND(MIN(300,MAX(1,D972)),0), FactorTable!$A$2:$A$301,0), Skills!M19+1)</f>
        <v/>
      </c>
      <c r="F972">
        <f>IF(Skills!N19=TRUE,(Skills!L19/10)*(E972/1000),Skills!L19/10)+Skills!O19</f>
        <v/>
      </c>
      <c r="G972">
        <f>Skills!G19*IF(Skills!H19&gt;0,Skills!I19/Skills!H19,1)</f>
        <v/>
      </c>
      <c r="H972">
        <f>1-(1-Skills!J19/100)^Skills!K19</f>
        <v/>
      </c>
      <c r="I972" t="inlineStr">
        <is>
          <t>1</t>
        </is>
      </c>
      <c r="J972" t="inlineStr"/>
      <c r="K972" t="inlineStr"/>
      <c r="L972" t="inlineStr"/>
      <c r="M972" t="inlineStr"/>
      <c r="N972" t="inlineStr"/>
      <c r="O972">
        <f>(1-Summary!$B$11)*T972+Summary!$B$11*V972</f>
        <v/>
      </c>
      <c r="P972">
        <f>IF(B992=0,0,O972/B992)</f>
        <v/>
      </c>
      <c r="Q972">
        <f>IFERROR(1/(IF(Inputs!$B$38="pvp",15,MAX(0.1,Skills!D19-IF(Skills!E19=TRUE,Inputs!$B$32,0)))*(1-IF(AND(ArtifactsInput!$M$27,Inputs!$B$4="Chapter Hunt"),CHOOSE(ArtifactsInput!$N$27+1,20,24,28,32,36,40),0)/100)),0)</f>
        <v/>
      </c>
      <c r="R972">
        <f>IF(AND(Inputs!$B$38&lt;&gt;"pvp",Inputs!$B$43&gt;0),IF(Inputs!$B$43&lt;=0,0,(INT(Inputs!$B$43/(IF(Inputs!$B$38="pvp",15,MAX(0.1,Skills!D19-IF(Skills!E19=TRUE,Inputs!$B$32,0)))*(1-IF(AND(ArtifactsInput!$M$27,Inputs!$B$4="Chapter Hunt"),CHOOSE(ArtifactsInput!$N$27+1,20,24,28,32,36,40),0)/100)))+1)),0)</f>
        <v/>
      </c>
      <c r="S972">
        <f>IFERROR(O972/N972,0)</f>
        <v/>
      </c>
      <c r="T972" t="n">
        <v>0</v>
      </c>
      <c r="V972" t="n">
        <v>0</v>
      </c>
    </row>
    <row r="973">
      <c r="A973">
        <f>Skills!A20</f>
        <v/>
      </c>
      <c r="B973">
        <f>Skills!B20</f>
        <v/>
      </c>
      <c r="C973">
        <f>Inputs!$B$3&gt;=33</f>
        <v/>
      </c>
      <c r="D973">
        <f>IF(Skills!C20=1,60+Inputs!$B$25+Inputs!$B$29,IF(Skills!C20=2,90+Inputs!$B$26+Inputs!$B$29,IF(Skills!C20=3,120+Inputs!$B$27+Inputs!$B$29,MAX(0,(Inputs!$B$3-100)*3)+Inputs!$B$28+Inputs!$B$29)))</f>
        <v/>
      </c>
      <c r="E973">
        <f>INDEX(FactorTable!$B$2:$Y$301, MATCH(ROUND(MIN(300,MAX(1,D973)),0), FactorTable!$A$2:$A$301,0), Skills!M20+1)</f>
        <v/>
      </c>
      <c r="F973">
        <f>IF(Skills!N20=TRUE,(Skills!L20/10)*(E973/1000),Skills!L20/10)+Skills!O20</f>
        <v/>
      </c>
      <c r="G973">
        <f>Skills!G20*IF(Skills!H20&gt;0,Skills!I20/Skills!H20,1)</f>
        <v/>
      </c>
      <c r="H973">
        <f>1-(1-Skills!J20/100)^Skills!K20</f>
        <v/>
      </c>
      <c r="I973" t="inlineStr">
        <is>
          <t>1</t>
        </is>
      </c>
      <c r="J973" t="inlineStr"/>
      <c r="K973" t="inlineStr"/>
      <c r="L973" t="inlineStr"/>
      <c r="M973" t="inlineStr"/>
      <c r="N973" t="inlineStr"/>
      <c r="O973">
        <f>(1-Summary!$B$11)*T973+Summary!$B$11*V973</f>
        <v/>
      </c>
      <c r="P973">
        <f>IF(B992=0,0,O973/B992)</f>
        <v/>
      </c>
      <c r="Q973" t="n">
        <v>0</v>
      </c>
      <c r="R973" t="n">
        <v>0</v>
      </c>
      <c r="S973">
        <f>IFERROR(O973/N973,0)</f>
        <v/>
      </c>
      <c r="T973" t="n">
        <v>0</v>
      </c>
      <c r="V973" t="n">
        <v>0</v>
      </c>
    </row>
    <row r="974">
      <c r="A974">
        <f>Skills!A21</f>
        <v/>
      </c>
      <c r="B974">
        <f>Skills!B21</f>
        <v/>
      </c>
      <c r="C974">
        <f>Inputs!$B$3&gt;=38</f>
        <v/>
      </c>
      <c r="D974">
        <f>IF(Skills!C21=1,60+Inputs!$B$25+Inputs!$B$29,IF(Skills!C21=2,90+Inputs!$B$26+Inputs!$B$29,IF(Skills!C21=3,120+Inputs!$B$27+Inputs!$B$29,MAX(0,(Inputs!$B$3-100)*3)+Inputs!$B$28+Inputs!$B$29)))</f>
        <v/>
      </c>
      <c r="E974">
        <f>INDEX(FactorTable!$B$2:$Y$301, MATCH(ROUND(MIN(300,MAX(1,D974)),0), FactorTable!$A$2:$A$301,0), Skills!M21+1)</f>
        <v/>
      </c>
      <c r="F974">
        <f>IF(Skills!N21=TRUE,(Skills!L21/10)*(E974/1000),Skills!L21/10)+Skills!O21</f>
        <v/>
      </c>
      <c r="G974">
        <f>Skills!G21*IF(Skills!H21&gt;0,Skills!I21/Skills!H21,1)</f>
        <v/>
      </c>
      <c r="H974">
        <f>1-(1-Skills!J21/100)^Skills!K21</f>
        <v/>
      </c>
      <c r="I974" t="inlineStr">
        <is>
          <t>1</t>
        </is>
      </c>
      <c r="J974" t="inlineStr"/>
      <c r="K974" t="inlineStr"/>
      <c r="L974" t="inlineStr"/>
      <c r="M974" t="inlineStr"/>
      <c r="N974" t="inlineStr"/>
      <c r="O974">
        <f>(1-Summary!$B$11)*T974+Summary!$B$11*V974</f>
        <v/>
      </c>
      <c r="P974">
        <f>IF(B992=0,0,O974/B992)</f>
        <v/>
      </c>
      <c r="Q974" t="n">
        <v>0</v>
      </c>
      <c r="R974" t="n">
        <v>0</v>
      </c>
      <c r="S974">
        <f>IFERROR(O974/N974,0)</f>
        <v/>
      </c>
      <c r="T974" t="n">
        <v>0</v>
      </c>
      <c r="V974" t="n">
        <v>0</v>
      </c>
    </row>
    <row r="975">
      <c r="A975">
        <f>Skills!A22</f>
        <v/>
      </c>
      <c r="B975">
        <f>Skills!B22</f>
        <v/>
      </c>
      <c r="C975">
        <f>Inputs!$B$3&gt;=43</f>
        <v/>
      </c>
      <c r="D975">
        <f>IF(Skills!C22=1,60+Inputs!$B$25+Inputs!$B$29,IF(Skills!C22=2,90+Inputs!$B$26+Inputs!$B$29,IF(Skills!C22=3,120+Inputs!$B$27+Inputs!$B$29,MAX(0,(Inputs!$B$3-100)*3)+Inputs!$B$28+Inputs!$B$29)))</f>
        <v/>
      </c>
      <c r="E975">
        <f>INDEX(FactorTable!$B$2:$Y$301, MATCH(ROUND(MIN(300,MAX(1,D975)),0), FactorTable!$A$2:$A$301,0), Skills!M22+1)</f>
        <v/>
      </c>
      <c r="F975">
        <f>IF(Skills!N22=TRUE,(Skills!L22/10)*(E975/1000),Skills!L22/10)+Skills!O22</f>
        <v/>
      </c>
      <c r="G975">
        <f>Skills!G22*IF(Skills!H22&gt;0,Skills!I22/Skills!H22,1)</f>
        <v/>
      </c>
      <c r="H975">
        <f>1-(1-Skills!J22/100)^Skills!K22</f>
        <v/>
      </c>
      <c r="I975" t="inlineStr">
        <is>
          <t>1</t>
        </is>
      </c>
      <c r="J975" t="inlineStr"/>
      <c r="K975" t="inlineStr"/>
      <c r="L975" t="inlineStr"/>
      <c r="M975" t="inlineStr"/>
      <c r="N975" t="inlineStr"/>
      <c r="O975">
        <f>(1-Summary!$B$11)*T975+Summary!$B$11*V975</f>
        <v/>
      </c>
      <c r="P975">
        <f>IF(B992=0,0,O975/B992)</f>
        <v/>
      </c>
      <c r="Q975" t="n">
        <v>0</v>
      </c>
      <c r="R975" t="n">
        <v>0</v>
      </c>
      <c r="S975">
        <f>IFERROR(O975/N975,0)</f>
        <v/>
      </c>
      <c r="T975" t="n">
        <v>0</v>
      </c>
      <c r="V975" t="n">
        <v>0</v>
      </c>
    </row>
    <row r="976">
      <c r="A976">
        <f>Skills!A23</f>
        <v/>
      </c>
      <c r="B976">
        <f>Skills!B23</f>
        <v/>
      </c>
      <c r="C976">
        <f>Inputs!$B$3&gt;=120</f>
        <v/>
      </c>
      <c r="D976">
        <f>IF(Skills!C23=1,60+Inputs!$B$25+Inputs!$B$29,IF(Skills!C23=2,90+Inputs!$B$26+Inputs!$B$29,IF(Skills!C23=3,120+Inputs!$B$27+Inputs!$B$29,MAX(0,(Inputs!$B$3-100)*3)+Inputs!$B$28+Inputs!$B$29)))</f>
        <v/>
      </c>
      <c r="E976">
        <f>INDEX(FactorTable!$B$2:$Y$301, MATCH(ROUND(MIN(300,MAX(1,D976)),0), FactorTable!$A$2:$A$301,0), Skills!M23+1)</f>
        <v/>
      </c>
      <c r="F976">
        <f>IF(Skills!N23=TRUE,(Skills!L23/10)*(E976/1000),Skills!L23/10)+Skills!O23</f>
        <v/>
      </c>
      <c r="G976">
        <f>Skills!G23*IF(Skills!H23&gt;0,Skills!I23/Skills!H23,1)</f>
        <v/>
      </c>
      <c r="H976">
        <f>1-(1-Skills!J23/100)^Skills!K23</f>
        <v/>
      </c>
      <c r="I976" t="inlineStr">
        <is>
          <t>1</t>
        </is>
      </c>
      <c r="J976" t="inlineStr"/>
      <c r="K976" t="inlineStr"/>
      <c r="L976" t="inlineStr"/>
      <c r="M976" t="inlineStr"/>
      <c r="N976" t="inlineStr"/>
      <c r="O976">
        <f>(1-Summary!$B$11)*T976+Summary!$B$11*V976</f>
        <v/>
      </c>
      <c r="P976">
        <f>IF(B992=0,0,O976/B992)</f>
        <v/>
      </c>
      <c r="Q976" t="n">
        <v>0</v>
      </c>
      <c r="R976" t="n">
        <v>0</v>
      </c>
      <c r="S976">
        <f>IFERROR(O976/N976,0)</f>
        <v/>
      </c>
      <c r="T976" t="n">
        <v>0</v>
      </c>
      <c r="V976" t="n">
        <v>0</v>
      </c>
    </row>
    <row r="977">
      <c r="A977">
        <f>Skills!A24</f>
        <v/>
      </c>
      <c r="B977">
        <f>Skills!B24</f>
        <v/>
      </c>
      <c r="C977">
        <f>Inputs!$B$3&gt;=120</f>
        <v/>
      </c>
      <c r="D977">
        <f>IF(Skills!C24=1,60+Inputs!$B$25+Inputs!$B$29,IF(Skills!C24=2,90+Inputs!$B$26+Inputs!$B$29,IF(Skills!C24=3,120+Inputs!$B$27+Inputs!$B$29,MAX(0,(Inputs!$B$3-100)*3)+Inputs!$B$28+Inputs!$B$29)))</f>
        <v/>
      </c>
      <c r="E977">
        <f>INDEX(FactorTable!$B$2:$Y$301, MATCH(ROUND(MIN(300,MAX(1,D977)),0), FactorTable!$A$2:$A$301,0), Skills!M24+1)</f>
        <v/>
      </c>
      <c r="F977">
        <f>IF(Skills!N24=TRUE,(Skills!L24/10)*(E977/1000),Skills!L24/10)+Skills!O24</f>
        <v/>
      </c>
      <c r="G977">
        <f>Skills!G24*IF(Skills!H24&gt;0,Skills!I24/Skills!H24,1)</f>
        <v/>
      </c>
      <c r="H977">
        <f>1-(1-Skills!J24/100)^Skills!K24</f>
        <v/>
      </c>
      <c r="I977" t="inlineStr">
        <is>
          <t>1</t>
        </is>
      </c>
      <c r="J977" t="inlineStr"/>
      <c r="K977" t="inlineStr"/>
      <c r="L977" t="inlineStr"/>
      <c r="M977" t="inlineStr"/>
      <c r="N977" t="inlineStr"/>
      <c r="O977">
        <f>(1-Summary!$B$11)*T977+Summary!$B$11*V977</f>
        <v/>
      </c>
      <c r="P977">
        <f>IF(B992=0,0,O977/B992)</f>
        <v/>
      </c>
      <c r="Q977" t="n">
        <v>0</v>
      </c>
      <c r="R977" t="n">
        <v>0</v>
      </c>
      <c r="S977">
        <f>IFERROR(O977/N977,0)</f>
        <v/>
      </c>
      <c r="T977" t="n">
        <v>0</v>
      </c>
      <c r="V977" t="n">
        <v>0</v>
      </c>
    </row>
    <row r="978">
      <c r="A978">
        <f>Skills!A25</f>
        <v/>
      </c>
      <c r="B978">
        <f>Skills!B25</f>
        <v/>
      </c>
      <c r="C978">
        <f>Inputs!$B$3&gt;=125</f>
        <v/>
      </c>
      <c r="D978">
        <f>IF(Skills!C25=1,60+Inputs!$B$25+Inputs!$B$29,IF(Skills!C25=2,90+Inputs!$B$26+Inputs!$B$29,IF(Skills!C25=3,120+Inputs!$B$27+Inputs!$B$29,MAX(0,(Inputs!$B$3-100)*3)+Inputs!$B$28+Inputs!$B$29)))</f>
        <v/>
      </c>
      <c r="E978">
        <f>INDEX(FactorTable!$B$2:$Y$301, MATCH(ROUND(MIN(300,MAX(1,D978)),0), FactorTable!$A$2:$A$301,0), Skills!M25+1)</f>
        <v/>
      </c>
      <c r="F978">
        <f>IF(Skills!N25=TRUE,(Skills!L25/10)*(E978/1000),Skills!L25/10)+Skills!O25</f>
        <v/>
      </c>
      <c r="G978">
        <f>Skills!G25*IF(Skills!H25&gt;0,Skills!I25/Skills!H25,1)</f>
        <v/>
      </c>
      <c r="H978">
        <f>1-(1-Skills!J25/100)^Skills!K25</f>
        <v/>
      </c>
      <c r="I978" t="inlineStr">
        <is>
          <t>1</t>
        </is>
      </c>
      <c r="J978" t="inlineStr"/>
      <c r="K978" t="inlineStr"/>
      <c r="L978" t="inlineStr"/>
      <c r="M978" t="inlineStr"/>
      <c r="N978" t="inlineStr"/>
      <c r="O978">
        <f>(1-Summary!$B$11)*T978+Summary!$B$11*V978</f>
        <v/>
      </c>
      <c r="P978">
        <f>IF(B992=0,0,O978/B992)</f>
        <v/>
      </c>
      <c r="Q978" t="n">
        <v>0</v>
      </c>
      <c r="R978" t="n">
        <v>0</v>
      </c>
      <c r="S978">
        <f>IFERROR(O978/N978,0)</f>
        <v/>
      </c>
      <c r="T978" t="n">
        <v>0</v>
      </c>
      <c r="V978" t="n">
        <v>0</v>
      </c>
    </row>
    <row r="979">
      <c r="A979">
        <f>Skills!A26</f>
        <v/>
      </c>
      <c r="B979">
        <f>Skills!B26</f>
        <v/>
      </c>
      <c r="C979">
        <f>Inputs!$B$3&gt;=72</f>
        <v/>
      </c>
      <c r="D979">
        <f>IF(Skills!C26=1,60+Inputs!$B$25+Inputs!$B$29,IF(Skills!C26=2,90+Inputs!$B$26+Inputs!$B$29,IF(Skills!C26=3,120+Inputs!$B$27+Inputs!$B$29,MAX(0,(Inputs!$B$3-100)*3)+Inputs!$B$28+Inputs!$B$29)))</f>
        <v/>
      </c>
      <c r="E979">
        <f>INDEX(FactorTable!$B$2:$Y$301, MATCH(ROUND(MIN(300,MAX(1,D979)),0), FactorTable!$A$2:$A$301,0), Skills!M26+1)</f>
        <v/>
      </c>
      <c r="F979">
        <f>IF(Skills!N26=TRUE,(Skills!L26/10)*(E979/1000),Skills!L26/10)+Skills!O26</f>
        <v/>
      </c>
      <c r="G979">
        <f>Skills!G26*IF(Skills!H26&gt;0,Skills!I26/Skills!H26,1)</f>
        <v/>
      </c>
      <c r="H979">
        <f>1-(1-Skills!J26/100)^Skills!K26</f>
        <v/>
      </c>
      <c r="I979" t="inlineStr">
        <is>
          <t>1</t>
        </is>
      </c>
      <c r="J979" t="inlineStr"/>
      <c r="K979" t="inlineStr"/>
      <c r="L979" t="inlineStr"/>
      <c r="M979" t="inlineStr"/>
      <c r="N979" t="inlineStr"/>
      <c r="O979">
        <f>(1-Summary!$B$11)*T979+Summary!$B$11*V979</f>
        <v/>
      </c>
      <c r="P979">
        <f>IF(B992=0,0,O979/B992)</f>
        <v/>
      </c>
      <c r="Q979" t="n">
        <v>0</v>
      </c>
      <c r="R979" t="n">
        <v>0</v>
      </c>
      <c r="S979">
        <f>IFERROR(O979/N979,0)</f>
        <v/>
      </c>
      <c r="T979" t="n">
        <v>0</v>
      </c>
      <c r="V979" t="n">
        <v>0</v>
      </c>
    </row>
    <row r="981">
      <c r="A981" t="inlineStr">
        <is>
          <t>Attack% Bucket Multiplier</t>
        </is>
      </c>
      <c r="B981">
        <f>(1+(((C966=TRUE)*F966*IF(Inputs!$B$3&gt;=110,7,5))+((C968=TRUE)*F968*IF(AND(Inputs!$B$38&lt;&gt;"pvp",Inputs!$B$43&gt;0),(((R968-1)*(Skills!T15*(1+(Inputs!$B$34+(ArtifactsInput!$M$7-ArtifactsInput!$M$7)*CHOOSE(ArtifactsInput!$N$7+1,6,7.2,8.4,9.6,10.8,12))/100))+MIN((Skills!T15*(1+(Inputs!$B$34+(ArtifactsInput!$M$7-ArtifactsInput!$M$7)*CHOOSE(ArtifactsInput!$N$7+1,6,7.2,8.4,9.6,10.8,12))/100)),MAX(0,Inputs!$B$43-((R968-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82">
      <c r="A982" t="inlineStr">
        <is>
          <t>Global Crit Rate Bonus %</t>
        </is>
      </c>
      <c r="B982" t="n">
        <v>0</v>
      </c>
    </row>
    <row r="983">
      <c r="A983" t="inlineStr">
        <is>
          <t>Attack Speed Buff Bonus %</t>
        </is>
      </c>
      <c r="B983">
        <f>((C972=TRUE)*F972*IF(AND(Inputs!$B$38&lt;&gt;"pvp",Inputs!$B$43&gt;0),(((R972-1)*(Skills!T19*(1+(Inputs!$B$34+(ArtifactsInput!$M$7-ArtifactsInput!$M$7)*CHOOSE(ArtifactsInput!$N$7+1,6,7.2,8.4,9.6,10.8,12))/100))+MIN((Skills!T19*(1+(Inputs!$B$34+(ArtifactsInput!$M$7-ArtifactsInput!$M$7)*CHOOSE(ArtifactsInput!$N$7+1,6,7.2,8.4,9.6,10.8,12))/100)),MAX(0,Inputs!$B$43-((R972-1)*Skills!D19))))/Inputs!$B$43),IF(Inputs!$B$38="pvp",MIN((Skills!T19*(1+(Inputs!$B$34+(ArtifactsInput!$M$7-ArtifactsInput!$M$7)*CHOOSE(ArtifactsInput!$N$7+1,6,7.2,8.4,9.6,10.8,12))/100)),15)/15,(Skills!T19*(1+(Inputs!$B$34+(ArtifactsInput!$M$7-ArtifactsInput!$M$7)*CHOOSE(ArtifactsInput!$N$7+1,6,7.2,8.4,9.6,10.8,12))/100))/Skills!D19)))</f>
        <v/>
      </c>
    </row>
    <row r="984">
      <c r="A984" t="inlineStr">
        <is>
          <t>Actions Per Second</t>
        </is>
      </c>
      <c r="B984">
        <f>1+MIN(150,150*(1-(1-(Inputs!$B$11+((C973=TRUE)*(F973-Calc!F20)))/150)*(1-B983/150)))/100</f>
        <v/>
      </c>
    </row>
    <row r="985">
      <c r="A985" t="inlineStr">
        <is>
          <t>Skill + Buff Cast Rate</t>
        </is>
      </c>
      <c r="B985">
        <f>IF(AND(Inputs!$B$38&lt;&gt;"pvp",Inputs!$B$43&gt;0),SUMPRODUCT((Skills!E2:E26=TRUE)*(C955:C979=TRUE)*R955:R979*Skills!F2:F26)/Inputs!$B$43,SUMPRODUCT((Skills!E2:E26=TRUE)*(C955:C979=TRUE)*Q955:Q979*Skills!F2:F26))</f>
        <v/>
      </c>
    </row>
    <row r="986">
      <c r="A986" t="inlineStr">
        <is>
          <t>Raging Blow Casts Per Second</t>
        </is>
      </c>
      <c r="B986">
        <f>MAX(0,B984-B985)</f>
        <v/>
      </c>
    </row>
    <row r="987">
      <c r="A987" t="inlineStr">
        <is>
          <t>Global Critical Damage Bonus % (Enrage)</t>
        </is>
      </c>
      <c r="B987">
        <f>((C971=TRUE)*F971*IF(AND(Inputs!$B$38&lt;&gt;"pvp",Inputs!$B$43&gt;0),(((R971-1)*(Skills!T18*(1+(Inputs!$B$34+(ArtifactsInput!$M$7-ArtifactsInput!$M$7)*CHOOSE(ArtifactsInput!$N$7+1,6,7.2,8.4,9.6,10.8,12))/100))+MIN((Skills!T18*(1+(Inputs!$B$34+(ArtifactsInput!$M$7-ArtifactsInput!$M$7)*CHOOSE(ArtifactsInput!$N$7+1,6,7.2,8.4,9.6,10.8,12))/100)),MAX(0,Inputs!$B$43-((R971-1)*Skills!D18))))/Inputs!$B$43),IF(Inputs!$B$38="pvp",MIN((Skills!T18*(1+(Inputs!$B$34+(ArtifactsInput!$M$7-ArtifactsInput!$M$7)*CHOOSE(ArtifactsInput!$N$7+1,6,7.2,8.4,9.6,10.8,12))/100)),15)/15,(Skills!T18*(1+(Inputs!$B$34+(ArtifactsInput!$M$7-ArtifactsInput!$M$7)*CHOOSE(ArtifactsInput!$N$7+1,6,7.2,8.4,9.6,10.8,12))/100))/Skills!D18)))</f>
        <v/>
      </c>
    </row>
    <row r="988">
      <c r="A988" t="inlineStr">
        <is>
          <t>Global Final Damage Bonus % (Enrage + Combo Synergy)</t>
        </is>
      </c>
      <c r="B988">
        <f>((C970=TRUE)*F970*IF(AND(Inputs!$B$38&lt;&gt;"pvp",Inputs!$B$43&gt;0),(((R970-1)*(Skills!T17*(1+(Inputs!$B$34+(ArtifactsInput!$M$7-ArtifactsInput!$M$7)*CHOOSE(ArtifactsInput!$N$7+1,6,7.2,8.4,9.6,10.8,12))/100))+MIN((Skills!T17*(1+(Inputs!$B$34+(ArtifactsInput!$M$7-ArtifactsInput!$M$7)*CHOOSE(ArtifactsInput!$N$7+1,6,7.2,8.4,9.6,10.8,12))/100)),MAX(0,Inputs!$B$43-((R970-1)*Skills!D17))))/Inputs!$B$43),IF(Inputs!$B$38="pvp",MIN((Skills!T17*(1+(Inputs!$B$34+(ArtifactsInput!$M$7-ArtifactsInput!$M$7)*CHOOSE(ArtifactsInput!$N$7+1,6,7.2,8.4,9.6,10.8,12))/100)),15)/15,(Skills!T17*(1+(Inputs!$B$34+(ArtifactsInput!$M$7-ArtifactsInput!$M$7)*CHOOSE(ArtifactsInput!$N$7+1,6,7.2,8.4,9.6,10.8,12))/100))/Skills!D17)))+((C967=TRUE)*F967*IF(Inputs!$B$3&gt;=110,7,5))</f>
        <v/>
      </c>
    </row>
    <row r="989">
      <c r="A989" t="inlineStr">
        <is>
          <t>Buff-Casting Startup Delay (s, fixed-duration only)</t>
        </is>
      </c>
      <c r="B989">
        <f>IF(AND(Inputs!$B$38&lt;&gt;"pvp",Inputs!$B$43&gt;0),SUMPRODUCT((Skills!T2:T26&gt;0)*(Skills!E2:E26=TRUE)*(C955:C979=TRUE))/B984,0)</f>
        <v/>
      </c>
    </row>
    <row r="990">
      <c r="A990" t="inlineStr">
        <is>
          <t>Boss-Only Total DPS (this block's swept value)</t>
        </is>
      </c>
      <c r="B990">
        <f>SUM(T955:T979)</f>
        <v/>
      </c>
    </row>
    <row r="991">
      <c r="A991" t="inlineStr">
        <is>
          <t>Normal-Only Total DPS (this block's swept value)</t>
        </is>
      </c>
      <c r="B991">
        <f>SUM(V955:V979)</f>
        <v/>
      </c>
    </row>
    <row r="992">
      <c r="A992" s="6" t="inlineStr">
        <is>
          <t>TOTAL DPS</t>
        </is>
      </c>
      <c r="B992" s="6">
        <f>SUM(O955:O979)</f>
        <v/>
      </c>
    </row>
    <row r="995">
      <c r="A995" s="6" t="inlineStr">
        <is>
          <t>Stat: ATTACK %</t>
        </is>
      </c>
    </row>
    <row r="996">
      <c r="A996" s="5" t="inlineStr">
        <is>
          <t>Key</t>
        </is>
      </c>
      <c r="B996" s="5" t="inlineStr">
        <is>
          <t>Name</t>
        </is>
      </c>
      <c r="C996" s="5" t="inlineStr">
        <is>
          <t>Unlocked</t>
        </is>
      </c>
      <c r="D996" s="5" t="inlineStr">
        <is>
          <t>InputLevel</t>
        </is>
      </c>
      <c r="E996" s="5" t="inlineStr">
        <is>
          <t>Factor</t>
        </is>
      </c>
      <c r="F996" s="5" t="inlineStr">
        <is>
          <t>CoefficientPercent</t>
        </is>
      </c>
      <c r="G996" s="5" t="inlineStr">
        <is>
          <t>EffectiveHits</t>
        </is>
      </c>
      <c r="H996" s="5" t="inlineStr">
        <is>
          <t>ProcProbability</t>
        </is>
      </c>
      <c r="I996" s="5" t="inlineStr">
        <is>
          <t>MapleHeroMultiplier</t>
        </is>
      </c>
      <c r="J996" s="5" t="inlineStr">
        <is>
          <t>BaseDamage</t>
        </is>
      </c>
      <c r="K996" s="5" t="inlineStr">
        <is>
          <t>BaseHitDamage</t>
        </is>
      </c>
      <c r="L996" s="5" t="inlineStr">
        <is>
          <t>NonCritAvg</t>
        </is>
      </c>
      <c r="M996" s="5" t="inlineStr">
        <is>
          <t>CritAvg</t>
        </is>
      </c>
      <c r="N996" s="5" t="inlineStr">
        <is>
          <t>ExpectedDamage(perHit)</t>
        </is>
      </c>
      <c r="O996" s="5" t="inlineStr">
        <is>
          <t>DPS</t>
        </is>
      </c>
      <c r="P996" s="5" t="inlineStr">
        <is>
          <t>% of Total</t>
        </is>
      </c>
      <c r="Q996" s="5" t="inlineStr">
        <is>
          <t>InvCooldown</t>
        </is>
      </c>
      <c r="R996" s="5" t="inlineStr">
        <is>
          <t>CastsInFight</t>
        </is>
      </c>
      <c r="S996" s="5" t="inlineStr">
        <is>
          <t>HitRate(perSec)</t>
        </is>
      </c>
      <c r="U996" t="inlineStr">
        <is>
          <t>helpers</t>
        </is>
      </c>
    </row>
    <row r="997">
      <c r="A997">
        <f>Skills!A2</f>
        <v/>
      </c>
      <c r="B997">
        <f>Skills!B2</f>
        <v/>
      </c>
      <c r="C997">
        <f>Inputs!$B$3&gt;=100</f>
        <v/>
      </c>
      <c r="D997" t="inlineStr"/>
      <c r="E997" t="inlineStr"/>
      <c r="F997">
        <f>U999+Skills!O2</f>
        <v/>
      </c>
      <c r="G997">
        <f>Skills!G2*IF(Skills!H2&gt;0,Skills!I2/Skills!H2,1)</f>
        <v/>
      </c>
      <c r="H997">
        <f>1-(1-Skills!J2/100)^Skills!K2</f>
        <v/>
      </c>
      <c r="I997" t="inlineStr">
        <is>
          <t>1</t>
        </is>
      </c>
      <c r="J997">
        <f>((Inputs!$B$6*(1+(Inputs!$B$7+1)/100))+(((Inputs!$B$12*(1+Inputs!$B$13/100))-(Inputs!$B$12*(1+Inputs!$B$13/100)))+0.25*(Inputs!$B$14-Inputs!$B$14))*(1+(Inputs!$B$7+1)/100))*(F997/100)</f>
        <v/>
      </c>
      <c r="K997">
        <f>J997*(1+((Inputs!$B$12*(1+Inputs!$B$13/100))*0.01+Inputs!$B$14*0.0025)/100)*(1+Inputs!$B$15/100)*(1+Inputs!$B$16/100)*(5000/(6000+Inputs!$B$42*(1-(100*(1-(1-(Inputs!$B$19+0)/100)*(1-CHOOSE(ArtifactsInput!$N$40+1,5,6,7,8,9,10)/100)^(ArtifactsInput!$M$40-ArtifactsInput!$M$40)))/100)))*(1+(Inputs!$B$24+((C1020=TRUE)*(F1020-Calc!F25))+B1030)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1016=TRUE)*(F1016-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1018=TRUE)*(F1018-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1008=TRUE)*F1008*IF(Inputs!$B$3&gt;=110,7,5))+((C1010=TRUE)*F1010*IF(AND(Inputs!$B$38&lt;&gt;"pvp",Inputs!$B$43&gt;0),(((R1010-1)*(Skills!T15*(1+(Inputs!$B$34+(ArtifactsInput!$M$7-ArtifactsInput!$M$7)*CHOOSE(ArtifactsInput!$N$7+1,6,7.2,8.4,9.6,10.8,12))/100))+MIN((Skills!T15*(1+(Inputs!$B$34+(ArtifactsInput!$M$7-ArtifactsInput!$M$7)*CHOOSE(ArtifactsInput!$N$7+1,6,7.2,8.4,9.6,10.8,12))/100)),MAX(0,Inputs!$B$43-((R1010-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I997)</f>
        <v/>
      </c>
      <c r="L997">
        <f>K997*(MIN(Inputs!$B$22+((C1017=TRUE)*(F1017-Calc!F22)),(Inputs!$B$23+((C1019=TRUE)*(F1019-Calc!F24))+(IF(ArtifactsInput!$M$15,CHOOSE(ArtifactsInput!$N$15+1,25,30,35,40,45,50)/100*(Inputs!$B$11-Inputs!$B$11),0))))/100+(Inputs!$B$23+((C1019=TRUE)*(F1019-Calc!F24))+(IF(ArtifactsInput!$M$15,CHOOSE(ArtifactsInput!$N$15+1,25,30,35,40,45,50)/100*(Inputs!$B$11-Inputs!$B$11),0)))/100)/2</f>
        <v/>
      </c>
      <c r="M997">
        <f>L997*(1+(Inputs!$B$10+0+B1029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7">
        <f>L997*(1-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997*(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7">
        <f>(1-Summary!$B$11)*T997+Summary!$B$11*V997</f>
        <v/>
      </c>
      <c r="P997">
        <f>IF(B1034=0,0,O997/B1034)</f>
        <v/>
      </c>
      <c r="Q997" t="n">
        <v>0</v>
      </c>
      <c r="R997" t="n">
        <v>0</v>
      </c>
      <c r="S997">
        <f>IFERROR(O997/N997,0)</f>
        <v/>
      </c>
      <c r="T997">
        <f>IF(C997,(Skills!G2*N997*B1028)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997*(1-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997*(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997*(1-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997*(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97">
        <f>MAX(0,(Inputs!$B$3-100)*3)+Inputs!$B$28+Inputs!$B$29</f>
        <v/>
      </c>
      <c r="V997">
        <f>IF(C997,(Skills!G2*N997*B1028)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8">
      <c r="A998">
        <f>Skills!A3</f>
        <v/>
      </c>
      <c r="B998">
        <f>Skills!B3</f>
        <v/>
      </c>
      <c r="C998">
        <f>Inputs!$B$3&gt;=50</f>
        <v/>
      </c>
      <c r="D998">
        <f>IF(Skills!C3=1,60+Inputs!$B$25+Inputs!$B$29,IF(Skills!C3=2,90+Inputs!$B$26+Inputs!$B$29,IF(Skills!C3=3,120+Inputs!$B$27+Inputs!$B$29,MAX(0,(Inputs!$B$3-100)*3)+Inputs!$B$28+Inputs!$B$29)))</f>
        <v/>
      </c>
      <c r="E998">
        <f>INDEX(FactorTable!$B$2:$Y$301, MATCH(ROUND(MIN(300,MAX(1,D998)),0), FactorTable!$A$2:$A$301,0), Skills!M3+1)</f>
        <v/>
      </c>
      <c r="F998">
        <f>IF(Skills!N3=TRUE,(Skills!L3/10)*(E998/1000),Skills!L3/10)+Skills!O3</f>
        <v/>
      </c>
      <c r="G998" t="inlineStr"/>
      <c r="H998" t="inlineStr"/>
      <c r="I998" t="inlineStr">
        <is>
          <t>1</t>
        </is>
      </c>
      <c r="J998" t="inlineStr"/>
      <c r="K998" t="inlineStr"/>
      <c r="L998" t="inlineStr"/>
      <c r="M998" t="inlineStr"/>
      <c r="N998" t="inlineStr"/>
      <c r="O998" t="inlineStr"/>
      <c r="P998" t="inlineStr"/>
      <c r="Q998" t="inlineStr"/>
      <c r="R998" t="inlineStr"/>
      <c r="S998" t="inlineStr"/>
      <c r="U998">
        <f>INDEX(FactorTable!$B$2:$Y$301, MATCH(ROUND(MIN(300,MAX(1,U997)),0), FactorTable!$A$2:$A$301,0), 22)</f>
        <v/>
      </c>
    </row>
    <row r="999">
      <c r="A999">
        <f>Skills!A4</f>
        <v/>
      </c>
      <c r="B999">
        <f>Skills!B4</f>
        <v/>
      </c>
      <c r="C999">
        <f>Inputs!$B$3&gt;=105</f>
        <v/>
      </c>
      <c r="D999">
        <f>IF(Skills!C4=1,60+Inputs!$B$25+Inputs!$B$29,IF(Skills!C4=2,90+Inputs!$B$26+Inputs!$B$29,IF(Skills!C4=3,120+Inputs!$B$27+Inputs!$B$29,MAX(0,(Inputs!$B$3-100)*3)+Inputs!$B$28+Inputs!$B$29)))</f>
        <v/>
      </c>
      <c r="E999">
        <f>INDEX(FactorTable!$B$2:$Y$301, MATCH(ROUND(MIN(300,MAX(1,D999)),0), FactorTable!$A$2:$A$301,0), Skills!M4+1)</f>
        <v/>
      </c>
      <c r="F999">
        <f>IF(Skills!N4=TRUE,(Skills!L4/10)*(E999/1000),Skills!L4/10)+Skills!O4</f>
        <v/>
      </c>
      <c r="G999" t="inlineStr"/>
      <c r="H999" t="inlineStr"/>
      <c r="I999" t="inlineStr">
        <is>
          <t>1</t>
        </is>
      </c>
      <c r="J999" t="inlineStr"/>
      <c r="K999" t="inlineStr"/>
      <c r="L999" t="inlineStr"/>
      <c r="M999" t="inlineStr"/>
      <c r="N999" t="inlineStr"/>
      <c r="O999" t="inlineStr"/>
      <c r="P999" t="inlineStr"/>
      <c r="Q999" t="inlineStr"/>
      <c r="R999" t="inlineStr"/>
      <c r="S999" t="inlineStr"/>
      <c r="U999">
        <f>290*U998/1000</f>
        <v/>
      </c>
    </row>
    <row r="1000">
      <c r="A1000">
        <f>Skills!A5</f>
        <v/>
      </c>
      <c r="B1000">
        <f>Skills!B5</f>
        <v/>
      </c>
      <c r="C1000">
        <f>Inputs!$B$3&gt;=103</f>
        <v/>
      </c>
      <c r="D1000">
        <f>IF(Skills!C5=1,60+Inputs!$B$25+Inputs!$B$29,IF(Skills!C5=2,90+Inputs!$B$26+Inputs!$B$29,IF(Skills!C5=3,120+Inputs!$B$27+Inputs!$B$29,MAX(0,(Inputs!$B$3-100)*3)+Inputs!$B$28+Inputs!$B$29)))</f>
        <v/>
      </c>
      <c r="E1000">
        <f>INDEX(FactorTable!$B$2:$Y$301, MATCH(ROUND(MIN(300,MAX(1,D1000)),0), FactorTable!$A$2:$A$301,0), Skills!M5+1)</f>
        <v/>
      </c>
      <c r="F1000">
        <f>IF(Skills!N5=TRUE,(Skills!L5/10)*(E1000/1000),Skills!L5/10)+Skills!O5</f>
        <v/>
      </c>
      <c r="G1000">
        <f>Skills!G5*IF(Skills!H5&gt;0,Skills!I5/Skills!H5,1)</f>
        <v/>
      </c>
      <c r="H1000">
        <f>1-(1-Skills!J5/100)^Skills!K5</f>
        <v/>
      </c>
      <c r="I1000" t="inlineStr">
        <is>
          <t>1</t>
        </is>
      </c>
      <c r="J1000">
        <f>((Inputs!$B$6*(1+(Inputs!$B$7+1)/100))+(((Inputs!$B$12*(1+Inputs!$B$13/100))-(Inputs!$B$12*(1+Inputs!$B$13/100)))+0.25*(Inputs!$B$14-Inputs!$B$14))*(1+(Inputs!$B$7+1)/100))*(F1000/100)</f>
        <v/>
      </c>
      <c r="K1000">
        <f>J1000*(1+((Inputs!$B$12*(1+Inputs!$B$13/100))*0.01+Inputs!$B$14*0.0025)/100)*(1+Inputs!$B$15/100)*(1+Inputs!$B$16/100)*(5000/(6000+Inputs!$B$42*(1-(100*(1-(1-(Inputs!$B$19+0)/100)*(1-CHOOSE(ArtifactsInput!$N$40+1,5,6,7,8,9,10)/100)^(ArtifactsInput!$M$40-ArtifactsInput!$M$40)))/100)))*(1+(Inputs!$B$24+((C1020=TRUE)*(F1020-Calc!F25))+B1030)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1016=TRUE)*(F1016-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1018=TRUE)*(F1018-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1008=TRUE)*F1008*IF(Inputs!$B$3&gt;=110,7,5))+((C1010=TRUE)*F1010*IF(AND(Inputs!$B$38&lt;&gt;"pvp",Inputs!$B$43&gt;0),(((R1010-1)*(Skills!T15*(1+(Inputs!$B$34+(ArtifactsInput!$M$7-ArtifactsInput!$M$7)*CHOOSE(ArtifactsInput!$N$7+1,6,7.2,8.4,9.6,10.8,12))/100))+MIN((Skills!T15*(1+(Inputs!$B$34+(ArtifactsInput!$M$7-ArtifactsInput!$M$7)*CHOOSE(ArtifactsInput!$N$7+1,6,7.2,8.4,9.6,10.8,12))/100)),MAX(0,Inputs!$B$43-((R1010-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I1000)</f>
        <v/>
      </c>
      <c r="L1000">
        <f>K1000*(MIN(Inputs!$B$22+((C1017=TRUE)*(F1017-Calc!F22)),(Inputs!$B$23+((C1019=TRUE)*(F1019-Calc!F24))+(IF(ArtifactsInput!$M$15,CHOOSE(ArtifactsInput!$N$15+1,25,30,35,40,45,50)/100*(Inputs!$B$11-Inputs!$B$11),0))))/100+(Inputs!$B$23+((C1019=TRUE)*(F1019-Calc!F24))+(IF(ArtifactsInput!$M$15,CHOOSE(ArtifactsInput!$N$15+1,25,30,35,40,45,50)/100*(Inputs!$B$11-Inputs!$B$11),0)))/100)/2</f>
        <v/>
      </c>
      <c r="M1000">
        <f>L1000*(1+(Inputs!$B$10+0+B1029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0">
        <f>L1000*(1-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1000*(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0">
        <f>(1-Summary!$B$11)*T1000+Summary!$B$11*V1000</f>
        <v/>
      </c>
      <c r="P1000">
        <f>IF(B1034=0,0,O1000/B1034)</f>
        <v/>
      </c>
      <c r="Q1000">
        <f>IFERROR(1/(IF(Inputs!$B$38="pvp",15,MAX(0.1,Skills!D5-IF(Skills!E5=TRUE,Inputs!$B$32,0)))*(1-IF(AND(ArtifactsInput!$M$27,Inputs!$B$4="Chapter Hunt"),CHOOSE(ArtifactsInput!$N$27+1,20,24,28,32,36,40),0)/100)),0)</f>
        <v/>
      </c>
      <c r="R1000">
        <f>IF(AND(Inputs!$B$38&lt;&gt;"pvp",Inputs!$B$43&gt;0),IF(MAX(0,Inputs!$B$43-B1031)&lt;=0,0,(INT(MAX(0,Inputs!$B$43-B1031)/(IF(Inputs!$B$38="pvp",15,MAX(0.1,Skills!D5-IF(Skills!E5=TRUE,Inputs!$B$32,0)))*(1-IF(AND(ArtifactsInput!$M$27,Inputs!$B$4="Chapter Hunt"),CHOOSE(ArtifactsInput!$N$27+1,20,24,28,32,36,40),0)/100)))+1)),0)</f>
        <v/>
      </c>
      <c r="S1000">
        <f>IFERROR(O1000/N1000,0)</f>
        <v/>
      </c>
      <c r="T1000">
        <f>IF(C1000,(H1000*N1000*IF(AND(Inputs!$B$38&lt;&gt;"pvp",Inputs!$B$43&gt;0),((Skills!G5*((R1000-1)*IF(Skills!H5&gt;0,Skills!I5/Skills!H5,1)+IF(Skills!H5&gt;0,MIN(Skills!I5,MAX(0,MAX(0,Inputs!$B$43-B1031)-((R1000-1)*(IF(Inputs!$B$38="pvp",15,MAX(0.1,Skills!D5-IF(Skills!E5=TRUE,Inputs!$B$32,0)))*(1-IF(AND(ArtifactsInput!$M$27,Inputs!$B$4="Chapter Hunt"),CHOOSE(ArtifactsInput!$N$27+1,20,24,28,32,36,40),0)/100)))))/Skills!H5,1)))/Inputs!$B$43),G1000*Q1000)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1000*(1-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1000*(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1000*(1-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1000*(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0">
        <f>IF(C1000,(H1000*N1000*IF(AND(Inputs!$B$38&lt;&gt;"pvp",Inputs!$B$43&gt;0),((Skills!G5*((R1000-1)*IF(Skills!H5&gt;0,Skills!I5/Skills!H5,1)+IF(Skills!H5&gt;0,MIN(Skills!I5,MAX(0,MAX(0,Inputs!$B$43-B1031)-((R1000-1)*(IF(Inputs!$B$38="pvp",15,MAX(0.1,Skills!D5-IF(Skills!E5=TRUE,Inputs!$B$32,0)))*(1-IF(AND(ArtifactsInput!$M$27,Inputs!$B$4="Chapter Hunt"),CHOOSE(ArtifactsInput!$N$27+1,20,24,28,32,36,40),0)/100)))))/Skills!H5,1)))/Inputs!$B$43),G1000*Q1000)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1">
      <c r="A1001">
        <f>Skills!A6</f>
        <v/>
      </c>
      <c r="B1001">
        <f>Skills!B6</f>
        <v/>
      </c>
      <c r="C1001">
        <f>Inputs!$B$3&gt;=103</f>
        <v/>
      </c>
      <c r="D1001">
        <f>IF(Skills!C6=1,60+Inputs!$B$25+Inputs!$B$29,IF(Skills!C6=2,90+Inputs!$B$26+Inputs!$B$29,IF(Skills!C6=3,120+Inputs!$B$27+Inputs!$B$29,MAX(0,(Inputs!$B$3-100)*3)+Inputs!$B$28+Inputs!$B$29)))</f>
        <v/>
      </c>
      <c r="E1001">
        <f>INDEX(FactorTable!$B$2:$Y$301, MATCH(ROUND(MIN(300,MAX(1,D1001)),0), FactorTable!$A$2:$A$301,0), Skills!M6+1)</f>
        <v/>
      </c>
      <c r="F1001">
        <f>IF(Skills!N6=TRUE,(Skills!L6/10)*(E1001/1000),Skills!L6/10)+Skills!O6</f>
        <v/>
      </c>
      <c r="G1001">
        <f>Skills!G6*IF(Skills!H6&gt;0,Skills!I6/Skills!H6,1)</f>
        <v/>
      </c>
      <c r="H1001">
        <f>1-(1-Skills!J6/100)^Skills!K6</f>
        <v/>
      </c>
      <c r="I1001" t="inlineStr">
        <is>
          <t>1</t>
        </is>
      </c>
      <c r="J1001">
        <f>((Inputs!$B$6*(1+(Inputs!$B$7+1)/100))+(((Inputs!$B$12*(1+Inputs!$B$13/100))-(Inputs!$B$12*(1+Inputs!$B$13/100)))+0.25*(Inputs!$B$14-Inputs!$B$14))*(1+(Inputs!$B$7+1)/100))*(F1001/100)</f>
        <v/>
      </c>
      <c r="K1001">
        <f>J1001*(1+((Inputs!$B$12*(1+Inputs!$B$13/100))*0.01+Inputs!$B$14*0.0025)/100)*(1+Inputs!$B$15/100)*(1+Inputs!$B$16/100)*(5000/(6000+Inputs!$B$42*(1-(100*(1-(1-(Inputs!$B$19+0)/100)*(1-CHOOSE(ArtifactsInput!$N$40+1,5,6,7,8,9,10)/100)^(ArtifactsInput!$M$40-ArtifactsInput!$M$40)))/100)))*(1+(Inputs!$B$24+((C1020=TRUE)*(F1020-Calc!F25))+B1030)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1016=TRUE)*(F1016-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1018=TRUE)*(F1018-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1008=TRUE)*F1008*IF(Inputs!$B$3&gt;=110,7,5))+((C1010=TRUE)*F1010*IF(AND(Inputs!$B$38&lt;&gt;"pvp",Inputs!$B$43&gt;0),(((R1010-1)*(Skills!T15*(1+(Inputs!$B$34+(ArtifactsInput!$M$7-ArtifactsInput!$M$7)*CHOOSE(ArtifactsInput!$N$7+1,6,7.2,8.4,9.6,10.8,12))/100))+MIN((Skills!T15*(1+(Inputs!$B$34+(ArtifactsInput!$M$7-ArtifactsInput!$M$7)*CHOOSE(ArtifactsInput!$N$7+1,6,7.2,8.4,9.6,10.8,12))/100)),MAX(0,Inputs!$B$43-((R1010-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I1001)</f>
        <v/>
      </c>
      <c r="L1001">
        <f>K1001*(MIN(Inputs!$B$22+((C1017=TRUE)*(F1017-Calc!F22)),(Inputs!$B$23+((C1019=TRUE)*(F1019-Calc!F24))+(IF(ArtifactsInput!$M$15,CHOOSE(ArtifactsInput!$N$15+1,25,30,35,40,45,50)/100*(Inputs!$B$11-Inputs!$B$11),0))))/100+(Inputs!$B$23+((C1019=TRUE)*(F1019-Calc!F24))+(IF(ArtifactsInput!$M$15,CHOOSE(ArtifactsInput!$N$15+1,25,30,35,40,45,50)/100*(Inputs!$B$11-Inputs!$B$11),0)))/100)/2</f>
        <v/>
      </c>
      <c r="M1001">
        <f>L1001*(1+(Inputs!$B$10+0+B1029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1">
        <f>L1001*(1-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1001*(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1">
        <f>(1-Summary!$B$11)*T1001+Summary!$B$11*V1001</f>
        <v/>
      </c>
      <c r="P1001">
        <f>IF(B1034=0,0,O1001/B1034)</f>
        <v/>
      </c>
      <c r="Q1001">
        <f>IFERROR(1/(IF(Inputs!$B$38="pvp",15,MAX(0.1,Skills!D6-IF(Skills!E6=TRUE,Inputs!$B$32,0)))*(1-IF(AND(ArtifactsInput!$M$27,Inputs!$B$4="Chapter Hunt"),CHOOSE(ArtifactsInput!$N$27+1,20,24,28,32,36,40),0)/100)),0)</f>
        <v/>
      </c>
      <c r="R1001">
        <f>IF(AND(Inputs!$B$38&lt;&gt;"pvp",Inputs!$B$43&gt;0),IF(MAX(0,Inputs!$B$43-B1031)&lt;=0,0,(INT(MAX(0,Inputs!$B$43-B1031)/(IF(Inputs!$B$38="pvp",15,MAX(0.1,Skills!D6-IF(Skills!E6=TRUE,Inputs!$B$32,0)))*(1-IF(AND(ArtifactsInput!$M$27,Inputs!$B$4="Chapter Hunt"),CHOOSE(ArtifactsInput!$N$27+1,20,24,28,32,36,40),0)/100)))+1)),0)</f>
        <v/>
      </c>
      <c r="S1001">
        <f>IFERROR(O1001/N1001,0)</f>
        <v/>
      </c>
      <c r="T1001">
        <f>IF(C1001,(H1001*N1001*IF(AND(Inputs!$B$38&lt;&gt;"pvp",Inputs!$B$43&gt;0),((Skills!G6*((R1001-1)*IF(Skills!H6&gt;0,Skills!I6/Skills!H6,1)+IF(Skills!H6&gt;0,MIN(Skills!I6,MAX(0,MAX(0,Inputs!$B$43-B1031)-((R1001-1)*(IF(Inputs!$B$38="pvp",15,MAX(0.1,Skills!D6-IF(Skills!E6=TRUE,Inputs!$B$32,0)))*(1-IF(AND(ArtifactsInput!$M$27,Inputs!$B$4="Chapter Hunt"),CHOOSE(ArtifactsInput!$N$27+1,20,24,28,32,36,40),0)/100)))))/Skills!H6,1)))/Inputs!$B$43),G1001*Q1001)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1001*(1-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1001*(1-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1">
        <f>IF(C1001,(H1001*N1001*IF(AND(Inputs!$B$38&lt;&gt;"pvp",Inputs!$B$43&gt;0),((Skills!G6*((R1001-1)*IF(Skills!H6&gt;0,Skills!I6/Skills!H6,1)+IF(Skills!H6&gt;0,MIN(Skills!I6,MAX(0,MAX(0,Inputs!$B$43-B1031)-((R1001-1)*(IF(Inputs!$B$38="pvp",15,MAX(0.1,Skills!D6-IF(Skills!E6=TRUE,Inputs!$B$32,0)))*(1-IF(AND(ArtifactsInput!$M$27,Inputs!$B$4="Chapter Hunt"),CHOOSE(ArtifactsInput!$N$27+1,20,24,28,32,36,40),0)/100)))))/Skills!H6,1)))/Inputs!$B$43),G1001*Q1001)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2">
      <c r="A1002">
        <f>Skills!A7</f>
        <v/>
      </c>
      <c r="B1002">
        <f>Skills!B7</f>
        <v/>
      </c>
      <c r="C1002">
        <f>Inputs!$B$3&gt;=107</f>
        <v/>
      </c>
      <c r="D1002">
        <f>IF(Skills!C7=1,60+Inputs!$B$25+Inputs!$B$29,IF(Skills!C7=2,90+Inputs!$B$26+Inputs!$B$29,IF(Skills!C7=3,120+Inputs!$B$27+Inputs!$B$29,MAX(0,(Inputs!$B$3-100)*3)+Inputs!$B$28+Inputs!$B$29)))</f>
        <v/>
      </c>
      <c r="E1002">
        <f>INDEX(FactorTable!$B$2:$Y$301, MATCH(ROUND(MIN(300,MAX(1,D1002)),0), FactorTable!$A$2:$A$301,0), Skills!M7+1)</f>
        <v/>
      </c>
      <c r="F1002">
        <f>IF(Skills!N7=TRUE,(Skills!L7/10)*(E1002/1000),Skills!L7/10)+Skills!O7</f>
        <v/>
      </c>
      <c r="G1002">
        <f>Skills!G7*IF(Skills!H7&gt;0,Skills!I7/Skills!H7,1)</f>
        <v/>
      </c>
      <c r="H1002">
        <f>1-(1-Skills!J7/100)^Skills!K7</f>
        <v/>
      </c>
      <c r="I1002" t="inlineStr">
        <is>
          <t>1</t>
        </is>
      </c>
      <c r="J1002">
        <f>((Inputs!$B$6*(1+(Inputs!$B$7+1)/100))+(((Inputs!$B$12*(1+Inputs!$B$13/100))-(Inputs!$B$12*(1+Inputs!$B$13/100)))+0.25*(Inputs!$B$14-Inputs!$B$14))*(1+(Inputs!$B$7+1)/100))*(F1002/100)</f>
        <v/>
      </c>
      <c r="K1002">
        <f>J1002*(1+((Inputs!$B$12*(1+Inputs!$B$13/100))*0.01+Inputs!$B$14*0.0025)/100)*(1+Inputs!$B$15/100)*(1+Inputs!$B$16/100)*(5000/(6000+Inputs!$B$42*(1-(100*(1-(1-(Inputs!$B$19+0)/100)*(1-CHOOSE(ArtifactsInput!$N$40+1,5,6,7,8,9,10)/100)^(ArtifactsInput!$M$40-ArtifactsInput!$M$40)))/100)))*(1+(Inputs!$B$24+((C1020=TRUE)*(F1020-Calc!F25))+B1030)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1016=TRUE)*(F1016-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1018=TRUE)*(F1018-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1008=TRUE)*F1008*IF(Inputs!$B$3&gt;=110,7,5))+((C1010=TRUE)*F1010*IF(AND(Inputs!$B$38&lt;&gt;"pvp",Inputs!$B$43&gt;0),(((R1010-1)*(Skills!T15*(1+(Inputs!$B$34+(ArtifactsInput!$M$7-ArtifactsInput!$M$7)*CHOOSE(ArtifactsInput!$N$7+1,6,7.2,8.4,9.6,10.8,12))/100))+MIN((Skills!T15*(1+(Inputs!$B$34+(ArtifactsInput!$M$7-ArtifactsInput!$M$7)*CHOOSE(ArtifactsInput!$N$7+1,6,7.2,8.4,9.6,10.8,12))/100)),MAX(0,Inputs!$B$43-((R1010-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I1002)</f>
        <v/>
      </c>
      <c r="L1002">
        <f>K1002*(MIN(Inputs!$B$22+((C1017=TRUE)*(F1017-Calc!F22)),(Inputs!$B$23+((C1019=TRUE)*(F1019-Calc!F24))+(IF(ArtifactsInput!$M$15,CHOOSE(ArtifactsInput!$N$15+1,25,30,35,40,45,50)/100*(Inputs!$B$11-Inputs!$B$11),0))))/100+(Inputs!$B$23+((C1019=TRUE)*(F1019-Calc!F24))+(IF(ArtifactsInput!$M$15,CHOOSE(ArtifactsInput!$N$15+1,25,30,35,40,45,50)/100*(Inputs!$B$11-Inputs!$B$11),0)))/100)/2</f>
        <v/>
      </c>
      <c r="M1002">
        <f>L1002*(1+(Inputs!$B$10+0+B1029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2">
        <f>L1002*(1-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1002*(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2">
        <f>(1-Summary!$B$11)*T1002+Summary!$B$11*V1002</f>
        <v/>
      </c>
      <c r="P1002">
        <f>IF(B1034=0,0,O1002/B1034)</f>
        <v/>
      </c>
      <c r="Q1002">
        <f>IFERROR(1/(IF(Inputs!$B$38="pvp",15,MAX(0.1,Skills!D7-IF(Skills!E7=TRUE,Inputs!$B$32,0)))*(1-IF(AND(ArtifactsInput!$M$27,Inputs!$B$4="Chapter Hunt"),CHOOSE(ArtifactsInput!$N$27+1,20,24,28,32,36,40),0)/100)),0)</f>
        <v/>
      </c>
      <c r="R1002">
        <f>IF(AND(Inputs!$B$38&lt;&gt;"pvp",Inputs!$B$43&gt;0),IF(MAX(0,Inputs!$B$43-B1031)&lt;=0,0,(INT(MAX(0,Inputs!$B$43-B1031)/(IF(Inputs!$B$38="pvp",15,MAX(0.1,Skills!D7-IF(Skills!E7=TRUE,Inputs!$B$32,0)))*(1-IF(AND(ArtifactsInput!$M$27,Inputs!$B$4="Chapter Hunt"),CHOOSE(ArtifactsInput!$N$27+1,20,24,28,32,36,40),0)/100)))+1)),0)</f>
        <v/>
      </c>
      <c r="S1002">
        <f>IFERROR(O1002/N1002,0)</f>
        <v/>
      </c>
      <c r="T1002">
        <f>IF(C1002,(H1002*N1002*IF(AND(Inputs!$B$38&lt;&gt;"pvp",Inputs!$B$43&gt;0),((Skills!G7*((R1002-1)*IF(Skills!H7&gt;0,Skills!I7/Skills!H7,1)+IF(Skills!H7&gt;0,MIN(Skills!I7,MAX(0,MAX(0,Inputs!$B$43-B1031)-((R1002-1)*(IF(Inputs!$B$38="pvp",15,MAX(0.1,Skills!D7-IF(Skills!E7=TRUE,Inputs!$B$32,0)))*(1-IF(AND(ArtifactsInput!$M$27,Inputs!$B$4="Chapter Hunt"),CHOOSE(ArtifactsInput!$N$27+1,20,24,28,32,36,40),0)/100)))))/Skills!H7,1)))/Inputs!$B$43),G1002*Q1002)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1002*(1-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1002*(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1002*(1-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1002*(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2">
        <f>IF(C1002,(H1002*N1002*IF(AND(Inputs!$B$38&lt;&gt;"pvp",Inputs!$B$43&gt;0),((Skills!G7*((R1002-1)*IF(Skills!H7&gt;0,Skills!I7/Skills!H7,1)+IF(Skills!H7&gt;0,MIN(Skills!I7,MAX(0,MAX(0,Inputs!$B$43-B1031)-((R1002-1)*(IF(Inputs!$B$38="pvp",15,MAX(0.1,Skills!D7-IF(Skills!E7=TRUE,Inputs!$B$32,0)))*(1-IF(AND(ArtifactsInput!$M$27,Inputs!$B$4="Chapter Hunt"),CHOOSE(ArtifactsInput!$N$27+1,20,24,28,32,36,40),0)/100)))))/Skills!H7,1)))/Inputs!$B$43),G1002*Q1002)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3">
      <c r="A1003">
        <f>Skills!A8</f>
        <v/>
      </c>
      <c r="B1003">
        <f>Skills!B8</f>
        <v/>
      </c>
      <c r="C1003">
        <f>Inputs!$B$3&gt;=117</f>
        <v/>
      </c>
      <c r="D1003">
        <f>IF(Skills!C8=1,60+Inputs!$B$25+Inputs!$B$29,IF(Skills!C8=2,90+Inputs!$B$26+Inputs!$B$29,IF(Skills!C8=3,120+Inputs!$B$27+Inputs!$B$29,MAX(0,(Inputs!$B$3-100)*3)+Inputs!$B$28+Inputs!$B$29)))</f>
        <v/>
      </c>
      <c r="E1003">
        <f>INDEX(FactorTable!$B$2:$Y$301, MATCH(ROUND(MIN(300,MAX(1,D1003)),0), FactorTable!$A$2:$A$301,0), Skills!M8+1)</f>
        <v/>
      </c>
      <c r="F1003">
        <f>IF(Skills!N8=TRUE,(Skills!L8/10)*(E1003/1000),Skills!L8/10)+Skills!O8</f>
        <v/>
      </c>
      <c r="G1003">
        <f>Skills!G8*IF(Skills!H8&gt;0,Skills!I8/Skills!H8,1)</f>
        <v/>
      </c>
      <c r="H1003">
        <f>1-(1-Skills!J8/100)^Skills!K8</f>
        <v/>
      </c>
      <c r="I1003" t="inlineStr">
        <is>
          <t>1</t>
        </is>
      </c>
      <c r="J1003">
        <f>((Inputs!$B$6*(1+(Inputs!$B$7+1)/100))+(((Inputs!$B$12*(1+Inputs!$B$13/100))-(Inputs!$B$12*(1+Inputs!$B$13/100)))+0.25*(Inputs!$B$14-Inputs!$B$14))*(1+(Inputs!$B$7+1)/100))*(F1003/100)</f>
        <v/>
      </c>
      <c r="K1003">
        <f>J1003*(1+((Inputs!$B$12*(1+Inputs!$B$13/100))*0.01+Inputs!$B$14*0.0025)/100)*(1+Inputs!$B$15/100)*(1+Inputs!$B$16/100)*(5000/(6000+Inputs!$B$42*(1-(100*(1-(1-(Inputs!$B$19+0)/100)*(1-CHOOSE(ArtifactsInput!$N$40+1,5,6,7,8,9,10)/100)^(ArtifactsInput!$M$40-ArtifactsInput!$M$40)))/100)))*(1+(Inputs!$B$24+((C1020=TRUE)*(F1020-Calc!F25))+B1030)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1016=TRUE)*(F1016-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1018=TRUE)*(F1018-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1008=TRUE)*F1008*IF(Inputs!$B$3&gt;=110,7,5))+((C1010=TRUE)*F1010*IF(AND(Inputs!$B$38&lt;&gt;"pvp",Inputs!$B$43&gt;0),(((R1010-1)*(Skills!T15*(1+(Inputs!$B$34+(ArtifactsInput!$M$7-ArtifactsInput!$M$7)*CHOOSE(ArtifactsInput!$N$7+1,6,7.2,8.4,9.6,10.8,12))/100))+MIN((Skills!T15*(1+(Inputs!$B$34+(ArtifactsInput!$M$7-ArtifactsInput!$M$7)*CHOOSE(ArtifactsInput!$N$7+1,6,7.2,8.4,9.6,10.8,12))/100)),MAX(0,Inputs!$B$43-((R1010-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I1003)</f>
        <v/>
      </c>
      <c r="L1003">
        <f>K1003*(MIN(Inputs!$B$22+((C1017=TRUE)*(F1017-Calc!F22)),(Inputs!$B$23+((C1019=TRUE)*(F1019-Calc!F24))+(IF(ArtifactsInput!$M$15,CHOOSE(ArtifactsInput!$N$15+1,25,30,35,40,45,50)/100*(Inputs!$B$11-Inputs!$B$11),0))))/100+(Inputs!$B$23+((C1019=TRUE)*(F1019-Calc!F24))+(IF(ArtifactsInput!$M$15,CHOOSE(ArtifactsInput!$N$15+1,25,30,35,40,45,50)/100*(Inputs!$B$11-Inputs!$B$11),0)))/100)/2</f>
        <v/>
      </c>
      <c r="M1003">
        <f>L1003*(1+(Inputs!$B$10+0+B1029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3">
        <f>L1003*(1-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1003*(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3">
        <f>(1-Summary!$B$11)*T1003+Summary!$B$11*V1003</f>
        <v/>
      </c>
      <c r="P1003">
        <f>IF(B1034=0,0,O1003/B1034)</f>
        <v/>
      </c>
      <c r="Q1003">
        <f>IFERROR(1/(IF(Inputs!$B$38="pvp",15,MAX(0.1,Skills!D8-IF(Skills!E8=TRUE,Inputs!$B$32,0)))*(1-IF(AND(ArtifactsInput!$M$27,Inputs!$B$4="Chapter Hunt"),CHOOSE(ArtifactsInput!$N$27+1,20,24,28,32,36,40),0)/100)),0)</f>
        <v/>
      </c>
      <c r="R1003">
        <f>IF(AND(Inputs!$B$38&lt;&gt;"pvp",Inputs!$B$43&gt;0),IF(MAX(0,Inputs!$B$43-B1031)&lt;=0,0,(INT(MAX(0,Inputs!$B$43-B1031)/(IF(Inputs!$B$38="pvp",15,MAX(0.1,Skills!D8-IF(Skills!E8=TRUE,Inputs!$B$32,0)))*(1-IF(AND(ArtifactsInput!$M$27,Inputs!$B$4="Chapter Hunt"),CHOOSE(ArtifactsInput!$N$27+1,20,24,28,32,36,40),0)/100)))+1)),0)</f>
        <v/>
      </c>
      <c r="S1003">
        <f>IFERROR(O1003/N1003,0)</f>
        <v/>
      </c>
      <c r="T1003">
        <f>IF(C1003,(H1003*N1003*IF(AND(Inputs!$B$38&lt;&gt;"pvp",Inputs!$B$43&gt;0),((Skills!G8*((R1003-1)*IF(Skills!H8&gt;0,Skills!I8/Skills!H8,1)+IF(Skills!H8&gt;0,MIN(Skills!I8,MAX(0,MAX(0,Inputs!$B$43-B1031)-((R1003-1)*(IF(Inputs!$B$38="pvp",15,MAX(0.1,Skills!D8-IF(Skills!E8=TRUE,Inputs!$B$32,0)))*(1-IF(AND(ArtifactsInput!$M$27,Inputs!$B$4="Chapter Hunt"),CHOOSE(ArtifactsInput!$N$27+1,20,24,28,32,36,40),0)/100)))))/Skills!H8,1)))/Inputs!$B$43),G1003*Q1003)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1003*(1-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1003*(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1003*(1-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1003*(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3">
        <f>IF(C1003,(H1003*N1003*IF(AND(Inputs!$B$38&lt;&gt;"pvp",Inputs!$B$43&gt;0),((Skills!G8*((R1003-1)*IF(Skills!H8&gt;0,Skills!I8/Skills!H8,1)+IF(Skills!H8&gt;0,MIN(Skills!I8,MAX(0,MAX(0,Inputs!$B$43-B1031)-((R1003-1)*(IF(Inputs!$B$38="pvp",15,MAX(0.1,Skills!D8-IF(Skills!E8=TRUE,Inputs!$B$32,0)))*(1-IF(AND(ArtifactsInput!$M$27,Inputs!$B$4="Chapter Hunt"),CHOOSE(ArtifactsInput!$N$27+1,20,24,28,32,36,40),0)/100)))))/Skills!H8,1)))/Inputs!$B$43),G1003*Q1003)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4">
      <c r="A1004">
        <f>Skills!A9</f>
        <v/>
      </c>
      <c r="B1004">
        <f>Skills!B9</f>
        <v/>
      </c>
      <c r="C1004">
        <f>Inputs!$B$3&gt;=69</f>
        <v/>
      </c>
      <c r="D1004">
        <f>IF(Skills!C9=1,60+Inputs!$B$25+Inputs!$B$29,IF(Skills!C9=2,90+Inputs!$B$26+Inputs!$B$29,IF(Skills!C9=3,120+Inputs!$B$27+Inputs!$B$29,MAX(0,(Inputs!$B$3-100)*3)+Inputs!$B$28+Inputs!$B$29)))</f>
        <v/>
      </c>
      <c r="E1004">
        <f>INDEX(FactorTable!$B$2:$Y$301, MATCH(ROUND(MIN(300,MAX(1,D1004)),0), FactorTable!$A$2:$A$301,0), Skills!M9+1)</f>
        <v/>
      </c>
      <c r="F1004">
        <f>IF(Skills!N9=TRUE,(Skills!L9/10)*(E1004/1000),Skills!L9/10)+Skills!O9</f>
        <v/>
      </c>
      <c r="G1004">
        <f>Skills!G9*IF(Skills!H9&gt;0,Skills!I9/Skills!H9,1)</f>
        <v/>
      </c>
      <c r="H1004">
        <f>1-(1-Skills!J9/100)^Skills!K9</f>
        <v/>
      </c>
      <c r="I1004" t="inlineStr">
        <is>
          <t>1</t>
        </is>
      </c>
      <c r="J1004">
        <f>((Inputs!$B$6*(1+(Inputs!$B$7+1)/100))+(((Inputs!$B$12*(1+Inputs!$B$13/100))-(Inputs!$B$12*(1+Inputs!$B$13/100)))+0.25*(Inputs!$B$14-Inputs!$B$14))*(1+(Inputs!$B$7+1)/100))*(F1004/100)</f>
        <v/>
      </c>
      <c r="K1004">
        <f>J1004*(1+((Inputs!$B$12*(1+Inputs!$B$13/100))*0.01+Inputs!$B$14*0.0025)/100)*(1+Inputs!$B$15/100)*(1+Inputs!$B$16/100)*(5000/(6000+Inputs!$B$42*(1-(100*(1-(1-(Inputs!$B$19+0)/100)*(1-CHOOSE(ArtifactsInput!$N$40+1,5,6,7,8,9,10)/100)^(ArtifactsInput!$M$40-ArtifactsInput!$M$40)))/100)))*(1+(Inputs!$B$24+((C1020=TRUE)*(F1020-Calc!F25))+B1030)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1007=TRUE,F1007,0)/100)*(1+IF(Skills!A9="ENHANCED_RAGING_BLOW",IF(Inputs!$B$3&gt;=134,MAX(0,IF(Inputs!$B$3&gt;=110,7,5)-5)*50,0),0)/100)*(1+(IF(Skills!A9="RAGING_BLOW",Inputs!$B$17+((C1016=TRUE)*(F1016-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1018=TRUE)*(F1018-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1008=TRUE)*F1008*IF(Inputs!$B$3&gt;=110,7,5))+((C1010=TRUE)*F1010*IF(AND(Inputs!$B$38&lt;&gt;"pvp",Inputs!$B$43&gt;0),(((R1010-1)*(Skills!T15*(1+(Inputs!$B$34+(ArtifactsInput!$M$7-ArtifactsInput!$M$7)*CHOOSE(ArtifactsInput!$N$7+1,6,7.2,8.4,9.6,10.8,12))/100))+MIN((Skills!T15*(1+(Inputs!$B$34+(ArtifactsInput!$M$7-ArtifactsInput!$M$7)*CHOOSE(ArtifactsInput!$N$7+1,6,7.2,8.4,9.6,10.8,12))/100)),MAX(0,Inputs!$B$43-((R1010-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I1004)</f>
        <v/>
      </c>
      <c r="L1004">
        <f>K1004*(MIN(Inputs!$B$22+((C1017=TRUE)*(F1017-Calc!F22)),(Inputs!$B$23+((C1019=TRUE)*(F1019-Calc!F24))+(IF(ArtifactsInput!$M$15,CHOOSE(ArtifactsInput!$N$15+1,25,30,35,40,45,50)/100*(Inputs!$B$11-Inputs!$B$11),0))))/100+(Inputs!$B$23+((C1019=TRUE)*(F1019-Calc!F24))+(IF(ArtifactsInput!$M$15,CHOOSE(ArtifactsInput!$N$15+1,25,30,35,40,45,50)/100*(Inputs!$B$11-Inputs!$B$11),0)))/100)/2</f>
        <v/>
      </c>
      <c r="M1004">
        <f>L1004*(1+(Inputs!$B$10+0+B1029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4">
        <f>L1004*(1-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1004*(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4">
        <f>(1-Summary!$B$11)*T1004+Summary!$B$11*V1004</f>
        <v/>
      </c>
      <c r="P1004">
        <f>IF(B1034=0,0,O1004/B1034)</f>
        <v/>
      </c>
      <c r="Q1004">
        <f>IFERROR(1/(IF(Inputs!$B$38="pvp",15,MAX(0.1,Skills!D9-IF(Skills!E9=TRUE,Inputs!$B$32,0)))*(1-IF(AND(ArtifactsInput!$M$27,Inputs!$B$4="Chapter Hunt"),CHOOSE(ArtifactsInput!$N$27+1,20,24,28,32,36,40),0)/100)),0)</f>
        <v/>
      </c>
      <c r="R1004">
        <f>IF(AND(Inputs!$B$38&lt;&gt;"pvp",Inputs!$B$43&gt;0),IF(MAX(0,Inputs!$B$43-B1031)&lt;=0,0,(INT(MAX(0,Inputs!$B$43-B1031)/(IF(Inputs!$B$38="pvp",15,MAX(0.1,Skills!D9-IF(Skills!E9=TRUE,Inputs!$B$32,0)))*(1-IF(AND(ArtifactsInput!$M$27,Inputs!$B$4="Chapter Hunt"),CHOOSE(ArtifactsInput!$N$27+1,20,24,28,32,36,40),0)/100)))+1)),0)</f>
        <v/>
      </c>
      <c r="S1004">
        <f>IFERROR(O1004/N1004,0)</f>
        <v/>
      </c>
      <c r="T1004">
        <f>IF(C1004,(H1004*N1004*IF(AND(Inputs!$B$38&lt;&gt;"pvp",Inputs!$B$43&gt;0),((Skills!G9*((R1004-1)*IF(Skills!H9&gt;0,Skills!I9/Skills!H9,1)+IF(Skills!H9&gt;0,MIN(Skills!I9,MAX(0,MAX(0,Inputs!$B$43-B1031)-((R1004-1)*(IF(Inputs!$B$38="pvp",15,MAX(0.1,Skills!D9-IF(Skills!E9=TRUE,Inputs!$B$32,0)))*(1-IF(AND(ArtifactsInput!$M$27,Inputs!$B$4="Chapter Hunt"),CHOOSE(ArtifactsInput!$N$27+1,20,24,28,32,36,40),0)/100)))))/Skills!H9,1)))/Inputs!$B$43),G1004*Q1004)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1004*(1-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1004*(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1004*(1-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1004*(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4">
        <f>IF(C1004,(H1004*N1004*IF(AND(Inputs!$B$38&lt;&gt;"pvp",Inputs!$B$43&gt;0),((Skills!G9*((R1004-1)*IF(Skills!H9&gt;0,Skills!I9/Skills!H9,1)+IF(Skills!H9&gt;0,MIN(Skills!I9,MAX(0,MAX(0,Inputs!$B$43-B1031)-((R1004-1)*(IF(Inputs!$B$38="pvp",15,MAX(0.1,Skills!D9-IF(Skills!E9=TRUE,Inputs!$B$32,0)))*(1-IF(AND(ArtifactsInput!$M$27,Inputs!$B$4="Chapter Hunt"),CHOOSE(ArtifactsInput!$N$27+1,20,24,28,32,36,40),0)/100)))))/Skills!H9,1)))/Inputs!$B$43),G1004*Q1004)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5">
      <c r="A1005">
        <f>Skills!A10</f>
        <v/>
      </c>
      <c r="B1005">
        <f>Skills!B10</f>
        <v/>
      </c>
      <c r="C1005">
        <f>Inputs!$B$3&gt;=63</f>
        <v/>
      </c>
      <c r="D1005">
        <f>IF(Skills!C10=1,60+Inputs!$B$25+Inputs!$B$29,IF(Skills!C10=2,90+Inputs!$B$26+Inputs!$B$29,IF(Skills!C10=3,120+Inputs!$B$27+Inputs!$B$29,MAX(0,(Inputs!$B$3-100)*3)+Inputs!$B$28+Inputs!$B$29)))</f>
        <v/>
      </c>
      <c r="E1005">
        <f>INDEX(FactorTable!$B$2:$Y$301, MATCH(ROUND(MIN(300,MAX(1,D1005)),0), FactorTable!$A$2:$A$301,0), Skills!M10+1)</f>
        <v/>
      </c>
      <c r="F1005">
        <f>IF(Skills!N10=TRUE,(Skills!L10/10)*(E1005/1000),Skills!L10/10)+Skills!O10</f>
        <v/>
      </c>
      <c r="G1005">
        <f>Skills!G10*IF(Skills!H10&gt;0,Skills!I10/Skills!H10,1)</f>
        <v/>
      </c>
      <c r="H1005">
        <f>1-(1-Skills!J10/100)^Skills!K10</f>
        <v/>
      </c>
      <c r="I1005" t="inlineStr">
        <is>
          <t>1</t>
        </is>
      </c>
      <c r="J1005">
        <f>((Inputs!$B$6*(1+(Inputs!$B$7+1)/100))+(((Inputs!$B$12*(1+Inputs!$B$13/100))-(Inputs!$B$12*(1+Inputs!$B$13/100)))+0.25*(Inputs!$B$14-Inputs!$B$14))*(1+(Inputs!$B$7+1)/100))*(F1005/100)</f>
        <v/>
      </c>
      <c r="K1005">
        <f>J1005*(1+((Inputs!$B$12*(1+Inputs!$B$13/100))*0.01+Inputs!$B$14*0.0025)/100)*(1+Inputs!$B$15/100)*(1+Inputs!$B$16/100)*(5000/(6000+Inputs!$B$42*(1-(100*(1-(1-(Inputs!$B$19+0)/100)*(1-CHOOSE(ArtifactsInput!$N$40+1,5,6,7,8,9,10)/100)^(ArtifactsInput!$M$40-ArtifactsInput!$M$40)))/100)))*(1+(Inputs!$B$24+((C1020=TRUE)*(F1020-Calc!F25))+B1030)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1007=TRUE,F1007,0)/100)*(1+IF(Skills!A10="ENHANCED_RAGING_BLOW",IF(Inputs!$B$3&gt;=134,MAX(0,IF(Inputs!$B$3&gt;=110,7,5)-5)*50,0),0)/100)*(1+(IF(Skills!A10="RAGING_BLOW",Inputs!$B$17+((C1016=TRUE)*(F1016-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1018=TRUE)*(F1018-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1008=TRUE)*F1008*IF(Inputs!$B$3&gt;=110,7,5))+((C1010=TRUE)*F1010*IF(AND(Inputs!$B$38&lt;&gt;"pvp",Inputs!$B$43&gt;0),(((R1010-1)*(Skills!T15*(1+(Inputs!$B$34+(ArtifactsInput!$M$7-ArtifactsInput!$M$7)*CHOOSE(ArtifactsInput!$N$7+1,6,7.2,8.4,9.6,10.8,12))/100))+MIN((Skills!T15*(1+(Inputs!$B$34+(ArtifactsInput!$M$7-ArtifactsInput!$M$7)*CHOOSE(ArtifactsInput!$N$7+1,6,7.2,8.4,9.6,10.8,12))/100)),MAX(0,Inputs!$B$43-((R1010-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I1005)</f>
        <v/>
      </c>
      <c r="L1005">
        <f>K1005*(MIN(Inputs!$B$22+((C1017=TRUE)*(F1017-Calc!F22)),(Inputs!$B$23+((C1019=TRUE)*(F1019-Calc!F24))+(IF(ArtifactsInput!$M$15,CHOOSE(ArtifactsInput!$N$15+1,25,30,35,40,45,50)/100*(Inputs!$B$11-Inputs!$B$11),0))))/100+(Inputs!$B$23+((C1019=TRUE)*(F1019-Calc!F24))+(IF(ArtifactsInput!$M$15,CHOOSE(ArtifactsInput!$N$15+1,25,30,35,40,45,50)/100*(Inputs!$B$11-Inputs!$B$11),0)))/100)/2</f>
        <v/>
      </c>
      <c r="M1005">
        <f>L1005*(1+(Inputs!$B$10+0+B1029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5">
        <f>L1005*(1-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1005*(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5">
        <f>(1-Summary!$B$11)*T1005+Summary!$B$11*V1005</f>
        <v/>
      </c>
      <c r="P1005">
        <f>IF(B1034=0,0,O1005/B1034)</f>
        <v/>
      </c>
      <c r="Q1005">
        <f>IFERROR(1/(IF(Inputs!$B$38="pvp",15,MAX(0.1,Skills!D10-IF(Skills!E10=TRUE,Inputs!$B$32,0)))*(1-IF(AND(ArtifactsInput!$M$27,Inputs!$B$4="Chapter Hunt"),CHOOSE(ArtifactsInput!$N$27+1,20,24,28,32,36,40),0)/100)),0)</f>
        <v/>
      </c>
      <c r="R1005">
        <f>IF(AND(Inputs!$B$38&lt;&gt;"pvp",Inputs!$B$43&gt;0),IF(MAX(0,Inputs!$B$43-B1031)&lt;=0,0,(INT(MAX(0,Inputs!$B$43-B1031)/(IF(Inputs!$B$38="pvp",15,MAX(0.1,Skills!D10-IF(Skills!E10=TRUE,Inputs!$B$32,0)))*(1-IF(AND(ArtifactsInput!$M$27,Inputs!$B$4="Chapter Hunt"),CHOOSE(ArtifactsInput!$N$27+1,20,24,28,32,36,40),0)/100)))+1)),0)</f>
        <v/>
      </c>
      <c r="S1005">
        <f>IFERROR(O1005/N1005,0)</f>
        <v/>
      </c>
      <c r="T1005">
        <f>IF(C1005,(H1005*N1005*IF(AND(Inputs!$B$38&lt;&gt;"pvp",Inputs!$B$43&gt;0),((Skills!G10*((R1005-1)*IF(Skills!H10&gt;0,Skills!I10/Skills!H10,1)+IF(Skills!H10&gt;0,MIN(Skills!I10,MAX(0,MAX(0,Inputs!$B$43-B1031)-((R1005-1)*(IF(Inputs!$B$38="pvp",15,MAX(0.1,Skills!D10-IF(Skills!E10=TRUE,Inputs!$B$32,0)))*(1-IF(AND(ArtifactsInput!$M$27,Inputs!$B$4="Chapter Hunt"),CHOOSE(ArtifactsInput!$N$27+1,20,24,28,32,36,40),0)/100)))))/Skills!H10,1)))/Inputs!$B$43),G1005*Q1005)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1005*(1-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1005*(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1005*(1-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1005*(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5">
        <f>IF(C1005,(H1005*N1005*IF(AND(Inputs!$B$38&lt;&gt;"pvp",Inputs!$B$43&gt;0),((Skills!G10*((R1005-1)*IF(Skills!H10&gt;0,Skills!I10/Skills!H10,1)+IF(Skills!H10&gt;0,MIN(Skills!I10,MAX(0,MAX(0,Inputs!$B$43-B1031)-((R1005-1)*(IF(Inputs!$B$38="pvp",15,MAX(0.1,Skills!D10-IF(Skills!E10=TRUE,Inputs!$B$32,0)))*(1-IF(AND(ArtifactsInput!$M$27,Inputs!$B$4="Chapter Hunt"),CHOOSE(ArtifactsInput!$N$27+1,20,24,28,32,36,40),0)/100)))))/Skills!H10,1)))/Inputs!$B$43),G1005*Q1005)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6">
      <c r="A1006">
        <f>Skills!A11</f>
        <v/>
      </c>
      <c r="B1006">
        <f>Skills!B11</f>
        <v/>
      </c>
      <c r="C1006">
        <f>Inputs!$B$3&gt;=35</f>
        <v/>
      </c>
      <c r="D1006">
        <f>IF(Skills!C11=1,60+Inputs!$B$25+Inputs!$B$29,IF(Skills!C11=2,90+Inputs!$B$26+Inputs!$B$29,IF(Skills!C11=3,120+Inputs!$B$27+Inputs!$B$29,MAX(0,(Inputs!$B$3-100)*3)+Inputs!$B$28+Inputs!$B$29)))</f>
        <v/>
      </c>
      <c r="E1006">
        <f>INDEX(FactorTable!$B$2:$Y$301, MATCH(ROUND(MIN(300,MAX(1,D1006)),0), FactorTable!$A$2:$A$301,0), Skills!M11+1)</f>
        <v/>
      </c>
      <c r="F1006">
        <f>IF(Skills!N11=TRUE,(Skills!L11/10)*(E1006/1000),Skills!L11/10)+Skills!O11</f>
        <v/>
      </c>
      <c r="G1006">
        <f>Skills!G11*IF(Skills!H11&gt;0,Skills!I11/Skills!H11,1)</f>
        <v/>
      </c>
      <c r="H1006">
        <f>1-(1-Skills!J11/100)^Skills!K11</f>
        <v/>
      </c>
      <c r="I1006" t="inlineStr">
        <is>
          <t>1</t>
        </is>
      </c>
      <c r="J1006">
        <f>((Inputs!$B$6*(1+(Inputs!$B$7+1)/100))+(((Inputs!$B$12*(1+Inputs!$B$13/100))-(Inputs!$B$12*(1+Inputs!$B$13/100)))+0.25*(Inputs!$B$14-Inputs!$B$14))*(1+(Inputs!$B$7+1)/100))*(F1006/100)</f>
        <v/>
      </c>
      <c r="K1006">
        <f>J1006*(1+((Inputs!$B$12*(1+Inputs!$B$13/100))*0.01+Inputs!$B$14*0.0025)/100)*(1+Inputs!$B$15/100)*(1+Inputs!$B$16/100)*(5000/(6000+Inputs!$B$42*(1-(100*(1-(1-(Inputs!$B$19+0)/100)*(1-CHOOSE(ArtifactsInput!$N$40+1,5,6,7,8,9,10)/100)^(ArtifactsInput!$M$40-ArtifactsInput!$M$40)))/100)))*(1+(Inputs!$B$24+((C1020=TRUE)*(F1020-Calc!F25))+B1030)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1007=TRUE,F1007,0)/100)*(1+IF(Skills!A11="ENHANCED_RAGING_BLOW",IF(Inputs!$B$3&gt;=134,MAX(0,IF(Inputs!$B$3&gt;=110,7,5)-5)*50,0),0)/100)*(1+(IF(Skills!A11="RAGING_BLOW",Inputs!$B$17+((C1016=TRUE)*(F1016-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1018=TRUE)*(F1018-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1008=TRUE)*F1008*IF(Inputs!$B$3&gt;=110,7,5))+((C1010=TRUE)*F1010*IF(AND(Inputs!$B$38&lt;&gt;"pvp",Inputs!$B$43&gt;0),(((R1010-1)*(Skills!T15*(1+(Inputs!$B$34+(ArtifactsInput!$M$7-ArtifactsInput!$M$7)*CHOOSE(ArtifactsInput!$N$7+1,6,7.2,8.4,9.6,10.8,12))/100))+MIN((Skills!T15*(1+(Inputs!$B$34+(ArtifactsInput!$M$7-ArtifactsInput!$M$7)*CHOOSE(ArtifactsInput!$N$7+1,6,7.2,8.4,9.6,10.8,12))/100)),MAX(0,Inputs!$B$43-((R1010-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I1006)</f>
        <v/>
      </c>
      <c r="L1006">
        <f>K1006*(MIN(Inputs!$B$22+((C1017=TRUE)*(F1017-Calc!F22)),(Inputs!$B$23+((C1019=TRUE)*(F1019-Calc!F24))+(IF(ArtifactsInput!$M$15,CHOOSE(ArtifactsInput!$N$15+1,25,30,35,40,45,50)/100*(Inputs!$B$11-Inputs!$B$11),0))))/100+(Inputs!$B$23+((C1019=TRUE)*(F1019-Calc!F24))+(IF(ArtifactsInput!$M$15,CHOOSE(ArtifactsInput!$N$15+1,25,30,35,40,45,50)/100*(Inputs!$B$11-Inputs!$B$11),0)))/100)/2</f>
        <v/>
      </c>
      <c r="M1006">
        <f>L1006*(1+(Inputs!$B$10+0+B1029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6">
        <f>L1006*(1-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1006*(MIN((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6">
        <f>(1-Summary!$B$11)*T1006+Summary!$B$11*V1006</f>
        <v/>
      </c>
      <c r="P1006">
        <f>IF(B1034=0,0,O1006/B1034)</f>
        <v/>
      </c>
      <c r="Q1006">
        <f>IFERROR(1/(IF(Inputs!$B$38="pvp",15,MAX(0.1,Skills!D11-IF(Skills!E11=TRUE,Inputs!$B$32,0)))*(1-IF(AND(ArtifactsInput!$M$27,Inputs!$B$4="Chapter Hunt"),CHOOSE(ArtifactsInput!$N$27+1,20,24,28,32,36,40),0)/100)),0)</f>
        <v/>
      </c>
      <c r="R1006">
        <f>IF(AND(Inputs!$B$38&lt;&gt;"pvp",Inputs!$B$43&gt;0),IF(MAX(0,Inputs!$B$43-B1031)&lt;=0,0,(INT(MAX(0,Inputs!$B$43-B1031)/(IF(Inputs!$B$38="pvp",15,MAX(0.1,Skills!D11-IF(Skills!E11=TRUE,Inputs!$B$32,0)))*(1-IF(AND(ArtifactsInput!$M$27,Inputs!$B$4="Chapter Hunt"),CHOOSE(ArtifactsInput!$N$27+1,20,24,28,32,36,40),0)/100)))+1)),0)</f>
        <v/>
      </c>
      <c r="S1006">
        <f>IFERROR(O1006/N1006,0)</f>
        <v/>
      </c>
      <c r="T1006">
        <f>IF(C1006,(H1006*N1006*IF(AND(Inputs!$B$38&lt;&gt;"pvp",Inputs!$B$43&gt;0),((Skills!G11*((R1006-1)*IF(Skills!H11&gt;0,Skills!I11/Skills!H11,1)+IF(Skills!H11&gt;0,MIN(Skills!I11,MAX(0,MAX(0,Inputs!$B$43-B1031)-((R1006-1)*(IF(Inputs!$B$38="pvp",15,MAX(0.1,Skills!D11-IF(Skills!E11=TRUE,Inputs!$B$32,0)))*(1-IF(AND(ArtifactsInput!$M$27,Inputs!$B$4="Chapter Hunt"),CHOOSE(ArtifactsInput!$N$27+1,20,24,28,32,36,40),0)/100)))))/Skills!H11,1)))/Inputs!$B$43),G1006*Q1006)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1006*(1-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1006*(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1006*(1-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1006*(MIN(100,(Inputs!$B$9+((C1021=TRUE)*(F1021-Calc!F26))+B1024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6">
        <f>IF(C1006,(H1006*N1006*IF(AND(Inputs!$B$38&lt;&gt;"pvp",Inputs!$B$43&gt;0),((Skills!G11*((R1006-1)*IF(Skills!H11&gt;0,Skills!I11/Skills!H11,1)+IF(Skills!H11&gt;0,MIN(Skills!I11,MAX(0,MAX(0,Inputs!$B$43-B1031)-((R1006-1)*(IF(Inputs!$B$38="pvp",15,MAX(0.1,Skills!D11-IF(Skills!E11=TRUE,Inputs!$B$32,0)))*(1-IF(AND(ArtifactsInput!$M$27,Inputs!$B$4="Chapter Hunt"),CHOOSE(ArtifactsInput!$N$27+1,20,24,28,32,36,40),0)/100)))))/Skills!H11,1)))/Inputs!$B$43),G1006*Q1006)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7">
      <c r="A1007">
        <f>Skills!A12</f>
        <v/>
      </c>
      <c r="B1007">
        <f>Skills!B12</f>
        <v/>
      </c>
      <c r="C1007">
        <f>Inputs!$B$3&gt;=100</f>
        <v/>
      </c>
      <c r="D1007">
        <f>IF(Skills!C12=1,60+Inputs!$B$25+Inputs!$B$29,IF(Skills!C12=2,90+Inputs!$B$26+Inputs!$B$29,IF(Skills!C12=3,120+Inputs!$B$27+Inputs!$B$29,MAX(0,(Inputs!$B$3-100)*3)+Inputs!$B$28+Inputs!$B$29)))</f>
        <v/>
      </c>
      <c r="E1007">
        <f>INDEX(FactorTable!$B$2:$Y$301, MATCH(ROUND(MIN(300,MAX(1,D1007)),0), FactorTable!$A$2:$A$301,0), Skills!M12+1)</f>
        <v/>
      </c>
      <c r="F1007">
        <f>IF(Skills!N12=TRUE,(Skills!L12/10)*(E1007/1000),Skills!L12/10)+Skills!O12</f>
        <v/>
      </c>
      <c r="G1007" t="inlineStr"/>
      <c r="H1007" t="inlineStr"/>
      <c r="I1007" t="inlineStr">
        <is>
          <t>1</t>
        </is>
      </c>
      <c r="J1007" t="inlineStr"/>
      <c r="K1007" t="inlineStr"/>
      <c r="L1007" t="inlineStr"/>
      <c r="M1007" t="inlineStr"/>
      <c r="N1007" t="inlineStr"/>
      <c r="O1007" t="inlineStr"/>
      <c r="P1007" t="inlineStr"/>
      <c r="Q1007" t="inlineStr"/>
      <c r="R1007" t="inlineStr"/>
      <c r="S1007" t="inlineStr"/>
    </row>
    <row r="1008">
      <c r="A1008">
        <f>Skills!A13</f>
        <v/>
      </c>
      <c r="B1008">
        <f>Skills!B13</f>
        <v/>
      </c>
      <c r="C1008">
        <f>Inputs!$B$3&gt;=45</f>
        <v/>
      </c>
      <c r="D1008">
        <f>IF(Skills!C13=1,60+Inputs!$B$25+Inputs!$B$29,IF(Skills!C13=2,90+Inputs!$B$26+Inputs!$B$29,IF(Skills!C13=3,120+Inputs!$B$27+Inputs!$B$29,MAX(0,(Inputs!$B$3-100)*3)+Inputs!$B$28+Inputs!$B$29)))</f>
        <v/>
      </c>
      <c r="E1008">
        <f>INDEX(FactorTable!$B$2:$Y$301, MATCH(ROUND(MIN(300,MAX(1,D1008)),0), FactorTable!$A$2:$A$301,0), Skills!M13+1)</f>
        <v/>
      </c>
      <c r="F1008">
        <f>IF(Skills!N13=TRUE,(Skills!L13/10)*(E1008/1000),Skills!L13/10)+Skills!O13</f>
        <v/>
      </c>
      <c r="G1008">
        <f>Skills!G13*IF(Skills!H13&gt;0,Skills!I13/Skills!H13,1)</f>
        <v/>
      </c>
      <c r="H1008">
        <f>1-(1-Skills!J13/100)^Skills!K13</f>
        <v/>
      </c>
      <c r="I1008" t="inlineStr">
        <is>
          <t>1</t>
        </is>
      </c>
      <c r="J1008" t="inlineStr"/>
      <c r="K1008" t="inlineStr"/>
      <c r="L1008" t="inlineStr"/>
      <c r="M1008" t="inlineStr"/>
      <c r="N1008" t="inlineStr"/>
      <c r="O1008">
        <f>(1-Summary!$B$11)*T1008+Summary!$B$11*V1008</f>
        <v/>
      </c>
      <c r="P1008">
        <f>IF(B1034=0,0,O1008/B1034)</f>
        <v/>
      </c>
      <c r="Q1008" t="n">
        <v>0</v>
      </c>
      <c r="R1008" t="n">
        <v>0</v>
      </c>
      <c r="S1008">
        <f>IFERROR(O1008/N1008,0)</f>
        <v/>
      </c>
      <c r="T1008" t="n">
        <v>0</v>
      </c>
      <c r="V1008" t="n">
        <v>0</v>
      </c>
    </row>
    <row r="1009">
      <c r="A1009">
        <f>Skills!A14</f>
        <v/>
      </c>
      <c r="B1009">
        <f>Skills!B14</f>
        <v/>
      </c>
      <c r="C1009">
        <f>Inputs!$B$3&gt;=75</f>
        <v/>
      </c>
      <c r="D1009">
        <f>IF(Skills!C14=1,60+Inputs!$B$25+Inputs!$B$29,IF(Skills!C14=2,90+Inputs!$B$26+Inputs!$B$29,IF(Skills!C14=3,120+Inputs!$B$27+Inputs!$B$29,MAX(0,(Inputs!$B$3-100)*3)+Inputs!$B$28+Inputs!$B$29)))</f>
        <v/>
      </c>
      <c r="E1009">
        <f>INDEX(FactorTable!$B$2:$Y$301, MATCH(ROUND(MIN(300,MAX(1,D1009)),0), FactorTable!$A$2:$A$301,0), Skills!M14+1)</f>
        <v/>
      </c>
      <c r="F1009">
        <f>IF(Skills!N14=TRUE,(Skills!L14/10)*(E1009/1000),Skills!L14/10)+Skills!O14</f>
        <v/>
      </c>
      <c r="G1009">
        <f>Skills!G14*IF(Skills!H14&gt;0,Skills!I14/Skills!H14,1)</f>
        <v/>
      </c>
      <c r="H1009">
        <f>1-(1-Skills!J14/100)^Skills!K14</f>
        <v/>
      </c>
      <c r="I1009" t="inlineStr">
        <is>
          <t>1</t>
        </is>
      </c>
      <c r="J1009" t="inlineStr"/>
      <c r="K1009" t="inlineStr"/>
      <c r="L1009" t="inlineStr"/>
      <c r="M1009" t="inlineStr"/>
      <c r="N1009" t="inlineStr"/>
      <c r="O1009">
        <f>(1-Summary!$B$11)*T1009+Summary!$B$11*V1009</f>
        <v/>
      </c>
      <c r="P1009">
        <f>IF(B1034=0,0,O1009/B1034)</f>
        <v/>
      </c>
      <c r="Q1009" t="n">
        <v>0</v>
      </c>
      <c r="R1009" t="n">
        <v>0</v>
      </c>
      <c r="S1009">
        <f>IFERROR(O1009/N1009,0)</f>
        <v/>
      </c>
      <c r="T1009" t="n">
        <v>0</v>
      </c>
      <c r="V1009" t="n">
        <v>0</v>
      </c>
    </row>
    <row r="1010">
      <c r="A1010">
        <f>Skills!A15</f>
        <v/>
      </c>
      <c r="B1010">
        <f>Skills!B15</f>
        <v/>
      </c>
      <c r="C1010">
        <f>Inputs!$B$3&gt;=40</f>
        <v/>
      </c>
      <c r="D1010">
        <f>IF(Skills!C15=1,60+Inputs!$B$25+Inputs!$B$29,IF(Skills!C15=2,90+Inputs!$B$26+Inputs!$B$29,IF(Skills!C15=3,120+Inputs!$B$27+Inputs!$B$29,MAX(0,(Inputs!$B$3-100)*3)+Inputs!$B$28+Inputs!$B$29)))</f>
        <v/>
      </c>
      <c r="E1010">
        <f>INDEX(FactorTable!$B$2:$Y$301, MATCH(ROUND(MIN(300,MAX(1,D1010)),0), FactorTable!$A$2:$A$301,0), Skills!M15+1)</f>
        <v/>
      </c>
      <c r="F1010">
        <f>IF(Skills!N15=TRUE,(Skills!L15/10)*(E1010/1000),Skills!L15/10)+Skills!O15</f>
        <v/>
      </c>
      <c r="G1010">
        <f>Skills!G15*IF(Skills!H15&gt;0,Skills!I15/Skills!H15,1)</f>
        <v/>
      </c>
      <c r="H1010">
        <f>1-(1-Skills!J15/100)^Skills!K15</f>
        <v/>
      </c>
      <c r="I1010" t="inlineStr">
        <is>
          <t>1</t>
        </is>
      </c>
      <c r="J1010" t="inlineStr"/>
      <c r="K1010" t="inlineStr"/>
      <c r="L1010" t="inlineStr"/>
      <c r="M1010" t="inlineStr"/>
      <c r="N1010" t="inlineStr"/>
      <c r="O1010">
        <f>(1-Summary!$B$11)*T1010+Summary!$B$11*V1010</f>
        <v/>
      </c>
      <c r="P1010">
        <f>IF(B1034=0,0,O1010/B1034)</f>
        <v/>
      </c>
      <c r="Q1010">
        <f>IFERROR(1/(IF(Inputs!$B$38="pvp",15,MAX(0.1,Skills!D15-IF(Skills!E15=TRUE,Inputs!$B$32,0)))*(1-IF(AND(ArtifactsInput!$M$27,Inputs!$B$4="Chapter Hunt"),CHOOSE(ArtifactsInput!$N$27+1,20,24,28,32,36,40),0)/100)),0)</f>
        <v/>
      </c>
      <c r="R1010">
        <f>IF(AND(Inputs!$B$38&lt;&gt;"pvp",Inputs!$B$43&gt;0),IF(Inputs!$B$43&lt;=0,0,(INT(Inputs!$B$43/(IF(Inputs!$B$38="pvp",15,MAX(0.1,Skills!D15-IF(Skills!E15=TRUE,Inputs!$B$32,0)))*(1-IF(AND(ArtifactsInput!$M$27,Inputs!$B$4="Chapter Hunt"),CHOOSE(ArtifactsInput!$N$27+1,20,24,28,32,36,40),0)/100)))+1)),0)</f>
        <v/>
      </c>
      <c r="S1010">
        <f>IFERROR(O1010/N1010,0)</f>
        <v/>
      </c>
      <c r="T1010" t="n">
        <v>0</v>
      </c>
      <c r="V1010" t="n">
        <v>0</v>
      </c>
    </row>
    <row r="1011">
      <c r="A1011">
        <f>Skills!A16</f>
        <v/>
      </c>
      <c r="B1011">
        <f>Skills!B16</f>
        <v/>
      </c>
      <c r="C1011">
        <f>Inputs!$B$3&gt;=66</f>
        <v/>
      </c>
      <c r="D1011">
        <f>IF(Skills!C16=1,60+Inputs!$B$25+Inputs!$B$29,IF(Skills!C16=2,90+Inputs!$B$26+Inputs!$B$29,IF(Skills!C16=3,120+Inputs!$B$27+Inputs!$B$29,MAX(0,(Inputs!$B$3-100)*3)+Inputs!$B$28+Inputs!$B$29)))</f>
        <v/>
      </c>
      <c r="E1011">
        <f>INDEX(FactorTable!$B$2:$Y$301, MATCH(ROUND(MIN(300,MAX(1,D1011)),0), FactorTable!$A$2:$A$301,0), Skills!M16+1)</f>
        <v/>
      </c>
      <c r="F1011">
        <f>IF(Skills!N16=TRUE,(Skills!L16/10)*(E1011/1000),Skills!L16/10)+Skills!O16</f>
        <v/>
      </c>
      <c r="G1011">
        <f>Skills!G16*IF(Skills!H16&gt;0,Skills!I16/Skills!H16,1)</f>
        <v/>
      </c>
      <c r="H1011">
        <f>1-(1-Skills!J16/100)^Skills!K16</f>
        <v/>
      </c>
      <c r="I1011" t="inlineStr">
        <is>
          <t>1</t>
        </is>
      </c>
      <c r="J1011" t="inlineStr"/>
      <c r="K1011" t="inlineStr"/>
      <c r="L1011" t="inlineStr"/>
      <c r="M1011" t="inlineStr"/>
      <c r="N1011" t="inlineStr"/>
      <c r="O1011">
        <f>(1-Summary!$B$11)*T1011+Summary!$B$11*V1011</f>
        <v/>
      </c>
      <c r="P1011">
        <f>IF(B1034=0,0,O1011/B1034)</f>
        <v/>
      </c>
      <c r="Q1011">
        <f>IFERROR(1/(IF(Inputs!$B$38="pvp",15,MAX(0.1,Skills!D16-IF(Skills!E16=TRUE,Inputs!$B$32,0)))*(1-IF(AND(ArtifactsInput!$M$27,Inputs!$B$4="Chapter Hunt"),CHOOSE(ArtifactsInput!$N$27+1,20,24,28,32,36,40),0)/100)),0)</f>
        <v/>
      </c>
      <c r="R1011">
        <f>IF(AND(Inputs!$B$38&lt;&gt;"pvp",Inputs!$B$43&gt;0),IF(Inputs!$B$43&lt;=0,0,(INT(Inputs!$B$43/(IF(Inputs!$B$38="pvp",15,MAX(0.1,Skills!D16-IF(Skills!E16=TRUE,Inputs!$B$32,0)))*(1-IF(AND(ArtifactsInput!$M$27,Inputs!$B$4="Chapter Hunt"),CHOOSE(ArtifactsInput!$N$27+1,20,24,28,32,36,40),0)/100)))+1)),0)</f>
        <v/>
      </c>
      <c r="S1011">
        <f>IFERROR(O1011/N1011,0)</f>
        <v/>
      </c>
      <c r="T1011" t="n">
        <v>0</v>
      </c>
      <c r="V1011" t="n">
        <v>0</v>
      </c>
    </row>
    <row r="1012">
      <c r="A1012">
        <f>Skills!A17</f>
        <v/>
      </c>
      <c r="B1012">
        <f>Skills!B17</f>
        <v/>
      </c>
      <c r="C1012">
        <f>Inputs!$B$3&gt;=115</f>
        <v/>
      </c>
      <c r="D1012">
        <f>IF(Skills!C17=1,60+Inputs!$B$25+Inputs!$B$29,IF(Skills!C17=2,90+Inputs!$B$26+Inputs!$B$29,IF(Skills!C17=3,120+Inputs!$B$27+Inputs!$B$29,MAX(0,(Inputs!$B$3-100)*3)+Inputs!$B$28+Inputs!$B$29)))</f>
        <v/>
      </c>
      <c r="E1012">
        <f>INDEX(FactorTable!$B$2:$Y$301, MATCH(ROUND(MIN(300,MAX(1,D1012)),0), FactorTable!$A$2:$A$301,0), Skills!M17+1)</f>
        <v/>
      </c>
      <c r="F1012">
        <f>IF(Skills!N17=TRUE,(Skills!L17/10)*(E1012/1000),Skills!L17/10)+Skills!O17</f>
        <v/>
      </c>
      <c r="G1012">
        <f>Skills!G17*IF(Skills!H17&gt;0,Skills!I17/Skills!H17,1)</f>
        <v/>
      </c>
      <c r="H1012">
        <f>1-(1-Skills!J17/100)^Skills!K17</f>
        <v/>
      </c>
      <c r="I1012" t="inlineStr">
        <is>
          <t>1</t>
        </is>
      </c>
      <c r="J1012" t="inlineStr"/>
      <c r="K1012" t="inlineStr"/>
      <c r="L1012" t="inlineStr"/>
      <c r="M1012" t="inlineStr"/>
      <c r="N1012" t="inlineStr"/>
      <c r="O1012">
        <f>(1-Summary!$B$11)*T1012+Summary!$B$11*V1012</f>
        <v/>
      </c>
      <c r="P1012">
        <f>IF(B1034=0,0,O1012/B1034)</f>
        <v/>
      </c>
      <c r="Q1012">
        <f>IFERROR(1/(IF(Inputs!$B$38="pvp",15,MAX(0.1,Skills!D17-IF(Skills!E17=TRUE,Inputs!$B$32,0)))*(1-IF(AND(ArtifactsInput!$M$27,Inputs!$B$4="Chapter Hunt"),CHOOSE(ArtifactsInput!$N$27+1,20,24,28,32,36,40),0)/100)),0)</f>
        <v/>
      </c>
      <c r="R1012">
        <f>IF(AND(Inputs!$B$38&lt;&gt;"pvp",Inputs!$B$43&gt;0),IF(Inputs!$B$43&lt;=0,0,(INT(Inputs!$B$43/(IF(Inputs!$B$38="pvp",15,MAX(0.1,Skills!D17-IF(Skills!E17=TRUE,Inputs!$B$32,0)))*(1-IF(AND(ArtifactsInput!$M$27,Inputs!$B$4="Chapter Hunt"),CHOOSE(ArtifactsInput!$N$27+1,20,24,28,32,36,40),0)/100)))+1)),0)</f>
        <v/>
      </c>
      <c r="S1012">
        <f>IFERROR(O1012/N1012,0)</f>
        <v/>
      </c>
      <c r="T1012" t="n">
        <v>0</v>
      </c>
      <c r="V1012" t="n">
        <v>0</v>
      </c>
    </row>
    <row r="1013">
      <c r="A1013">
        <f>Skills!A18</f>
        <v/>
      </c>
      <c r="B1013">
        <f>Skills!B18</f>
        <v/>
      </c>
      <c r="C1013">
        <f>Inputs!$B$3&gt;=115</f>
        <v/>
      </c>
      <c r="D1013">
        <f>IF(Skills!C18=1,60+Inputs!$B$25+Inputs!$B$29,IF(Skills!C18=2,90+Inputs!$B$26+Inputs!$B$29,IF(Skills!C18=3,120+Inputs!$B$27+Inputs!$B$29,MAX(0,(Inputs!$B$3-100)*3)+Inputs!$B$28+Inputs!$B$29)))</f>
        <v/>
      </c>
      <c r="E1013">
        <f>INDEX(FactorTable!$B$2:$Y$301, MATCH(ROUND(MIN(300,MAX(1,D1013)),0), FactorTable!$A$2:$A$301,0), Skills!M18+1)</f>
        <v/>
      </c>
      <c r="F1013">
        <f>IF(Skills!N18=TRUE,(Skills!L18/10)*(E1013/1000),Skills!L18/10)+Skills!O18</f>
        <v/>
      </c>
      <c r="G1013">
        <f>Skills!G18*IF(Skills!H18&gt;0,Skills!I18/Skills!H18,1)</f>
        <v/>
      </c>
      <c r="H1013">
        <f>1-(1-Skills!J18/100)^Skills!K18</f>
        <v/>
      </c>
      <c r="I1013" t="inlineStr">
        <is>
          <t>1</t>
        </is>
      </c>
      <c r="J1013" t="inlineStr"/>
      <c r="K1013" t="inlineStr"/>
      <c r="L1013" t="inlineStr"/>
      <c r="M1013" t="inlineStr"/>
      <c r="N1013" t="inlineStr"/>
      <c r="O1013">
        <f>(1-Summary!$B$11)*T1013+Summary!$B$11*V1013</f>
        <v/>
      </c>
      <c r="P1013">
        <f>IF(B1034=0,0,O1013/B1034)</f>
        <v/>
      </c>
      <c r="Q1013">
        <f>IFERROR(1/(IF(Inputs!$B$38="pvp",15,MAX(0.1,Skills!D18-IF(Skills!E18=TRUE,Inputs!$B$32,0)))*(1-IF(AND(ArtifactsInput!$M$27,Inputs!$B$4="Chapter Hunt"),CHOOSE(ArtifactsInput!$N$27+1,20,24,28,32,36,40),0)/100)),0)</f>
        <v/>
      </c>
      <c r="R1013">
        <f>IF(AND(Inputs!$B$38&lt;&gt;"pvp",Inputs!$B$43&gt;0),IF(Inputs!$B$43&lt;=0,0,(INT(Inputs!$B$43/(IF(Inputs!$B$38="pvp",15,MAX(0.1,Skills!D18-IF(Skills!E18=TRUE,Inputs!$B$32,0)))*(1-IF(AND(ArtifactsInput!$M$27,Inputs!$B$4="Chapter Hunt"),CHOOSE(ArtifactsInput!$N$27+1,20,24,28,32,36,40),0)/100)))+1)),0)</f>
        <v/>
      </c>
      <c r="S1013">
        <f>IFERROR(O1013/N1013,0)</f>
        <v/>
      </c>
      <c r="T1013" t="n">
        <v>0</v>
      </c>
      <c r="V1013" t="n">
        <v>0</v>
      </c>
    </row>
    <row r="1014">
      <c r="A1014">
        <f>Skills!A19</f>
        <v/>
      </c>
      <c r="B1014">
        <f>Skills!B19</f>
        <v/>
      </c>
      <c r="C1014">
        <f>TRUE</f>
        <v/>
      </c>
      <c r="D1014">
        <f>IF(Skills!C19=1,60+Inputs!$B$25+Inputs!$B$29,IF(Skills!C19=2,90+Inputs!$B$26+Inputs!$B$29,IF(Skills!C19=3,120+Inputs!$B$27+Inputs!$B$29,MAX(0,(Inputs!$B$3-100)*3)+Inputs!$B$28+Inputs!$B$29)))</f>
        <v/>
      </c>
      <c r="E1014">
        <f>INDEX(FactorTable!$B$2:$Y$301, MATCH(ROUND(MIN(300,MAX(1,D1014)),0), FactorTable!$A$2:$A$301,0), Skills!M19+1)</f>
        <v/>
      </c>
      <c r="F1014">
        <f>IF(Skills!N19=TRUE,(Skills!L19/10)*(E1014/1000),Skills!L19/10)+Skills!O19</f>
        <v/>
      </c>
      <c r="G1014">
        <f>Skills!G19*IF(Skills!H19&gt;0,Skills!I19/Skills!H19,1)</f>
        <v/>
      </c>
      <c r="H1014">
        <f>1-(1-Skills!J19/100)^Skills!K19</f>
        <v/>
      </c>
      <c r="I1014" t="inlineStr">
        <is>
          <t>1</t>
        </is>
      </c>
      <c r="J1014" t="inlineStr"/>
      <c r="K1014" t="inlineStr"/>
      <c r="L1014" t="inlineStr"/>
      <c r="M1014" t="inlineStr"/>
      <c r="N1014" t="inlineStr"/>
      <c r="O1014">
        <f>(1-Summary!$B$11)*T1014+Summary!$B$11*V1014</f>
        <v/>
      </c>
      <c r="P1014">
        <f>IF(B1034=0,0,O1014/B1034)</f>
        <v/>
      </c>
      <c r="Q1014">
        <f>IFERROR(1/(IF(Inputs!$B$38="pvp",15,MAX(0.1,Skills!D19-IF(Skills!E19=TRUE,Inputs!$B$32,0)))*(1-IF(AND(ArtifactsInput!$M$27,Inputs!$B$4="Chapter Hunt"),CHOOSE(ArtifactsInput!$N$27+1,20,24,28,32,36,40),0)/100)),0)</f>
        <v/>
      </c>
      <c r="R1014">
        <f>IF(AND(Inputs!$B$38&lt;&gt;"pvp",Inputs!$B$43&gt;0),IF(Inputs!$B$43&lt;=0,0,(INT(Inputs!$B$43/(IF(Inputs!$B$38="pvp",15,MAX(0.1,Skills!D19-IF(Skills!E19=TRUE,Inputs!$B$32,0)))*(1-IF(AND(ArtifactsInput!$M$27,Inputs!$B$4="Chapter Hunt"),CHOOSE(ArtifactsInput!$N$27+1,20,24,28,32,36,40),0)/100)))+1)),0)</f>
        <v/>
      </c>
      <c r="S1014">
        <f>IFERROR(O1014/N1014,0)</f>
        <v/>
      </c>
      <c r="T1014" t="n">
        <v>0</v>
      </c>
      <c r="V1014" t="n">
        <v>0</v>
      </c>
    </row>
    <row r="1015">
      <c r="A1015">
        <f>Skills!A20</f>
        <v/>
      </c>
      <c r="B1015">
        <f>Skills!B20</f>
        <v/>
      </c>
      <c r="C1015">
        <f>Inputs!$B$3&gt;=33</f>
        <v/>
      </c>
      <c r="D1015">
        <f>IF(Skills!C20=1,60+Inputs!$B$25+Inputs!$B$29,IF(Skills!C20=2,90+Inputs!$B$26+Inputs!$B$29,IF(Skills!C20=3,120+Inputs!$B$27+Inputs!$B$29,MAX(0,(Inputs!$B$3-100)*3)+Inputs!$B$28+Inputs!$B$29)))</f>
        <v/>
      </c>
      <c r="E1015">
        <f>INDEX(FactorTable!$B$2:$Y$301, MATCH(ROUND(MIN(300,MAX(1,D1015)),0), FactorTable!$A$2:$A$301,0), Skills!M20+1)</f>
        <v/>
      </c>
      <c r="F1015">
        <f>IF(Skills!N20=TRUE,(Skills!L20/10)*(E1015/1000),Skills!L20/10)+Skills!O20</f>
        <v/>
      </c>
      <c r="G1015">
        <f>Skills!G20*IF(Skills!H20&gt;0,Skills!I20/Skills!H20,1)</f>
        <v/>
      </c>
      <c r="H1015">
        <f>1-(1-Skills!J20/100)^Skills!K20</f>
        <v/>
      </c>
      <c r="I1015" t="inlineStr">
        <is>
          <t>1</t>
        </is>
      </c>
      <c r="J1015" t="inlineStr"/>
      <c r="K1015" t="inlineStr"/>
      <c r="L1015" t="inlineStr"/>
      <c r="M1015" t="inlineStr"/>
      <c r="N1015" t="inlineStr"/>
      <c r="O1015">
        <f>(1-Summary!$B$11)*T1015+Summary!$B$11*V1015</f>
        <v/>
      </c>
      <c r="P1015">
        <f>IF(B1034=0,0,O1015/B1034)</f>
        <v/>
      </c>
      <c r="Q1015" t="n">
        <v>0</v>
      </c>
      <c r="R1015" t="n">
        <v>0</v>
      </c>
      <c r="S1015">
        <f>IFERROR(O1015/N1015,0)</f>
        <v/>
      </c>
      <c r="T1015" t="n">
        <v>0</v>
      </c>
      <c r="V1015" t="n">
        <v>0</v>
      </c>
    </row>
    <row r="1016">
      <c r="A1016">
        <f>Skills!A21</f>
        <v/>
      </c>
      <c r="B1016">
        <f>Skills!B21</f>
        <v/>
      </c>
      <c r="C1016">
        <f>Inputs!$B$3&gt;=38</f>
        <v/>
      </c>
      <c r="D1016">
        <f>IF(Skills!C21=1,60+Inputs!$B$25+Inputs!$B$29,IF(Skills!C21=2,90+Inputs!$B$26+Inputs!$B$29,IF(Skills!C21=3,120+Inputs!$B$27+Inputs!$B$29,MAX(0,(Inputs!$B$3-100)*3)+Inputs!$B$28+Inputs!$B$29)))</f>
        <v/>
      </c>
      <c r="E1016">
        <f>INDEX(FactorTable!$B$2:$Y$301, MATCH(ROUND(MIN(300,MAX(1,D1016)),0), FactorTable!$A$2:$A$301,0), Skills!M21+1)</f>
        <v/>
      </c>
      <c r="F1016">
        <f>IF(Skills!N21=TRUE,(Skills!L21/10)*(E1016/1000),Skills!L21/10)+Skills!O21</f>
        <v/>
      </c>
      <c r="G1016">
        <f>Skills!G21*IF(Skills!H21&gt;0,Skills!I21/Skills!H21,1)</f>
        <v/>
      </c>
      <c r="H1016">
        <f>1-(1-Skills!J21/100)^Skills!K21</f>
        <v/>
      </c>
      <c r="I1016" t="inlineStr">
        <is>
          <t>1</t>
        </is>
      </c>
      <c r="J1016" t="inlineStr"/>
      <c r="K1016" t="inlineStr"/>
      <c r="L1016" t="inlineStr"/>
      <c r="M1016" t="inlineStr"/>
      <c r="N1016" t="inlineStr"/>
      <c r="O1016">
        <f>(1-Summary!$B$11)*T1016+Summary!$B$11*V1016</f>
        <v/>
      </c>
      <c r="P1016">
        <f>IF(B1034=0,0,O1016/B1034)</f>
        <v/>
      </c>
      <c r="Q1016" t="n">
        <v>0</v>
      </c>
      <c r="R1016" t="n">
        <v>0</v>
      </c>
      <c r="S1016">
        <f>IFERROR(O1016/N1016,0)</f>
        <v/>
      </c>
      <c r="T1016" t="n">
        <v>0</v>
      </c>
      <c r="V1016" t="n">
        <v>0</v>
      </c>
    </row>
    <row r="1017">
      <c r="A1017">
        <f>Skills!A22</f>
        <v/>
      </c>
      <c r="B1017">
        <f>Skills!B22</f>
        <v/>
      </c>
      <c r="C1017">
        <f>Inputs!$B$3&gt;=43</f>
        <v/>
      </c>
      <c r="D1017">
        <f>IF(Skills!C22=1,60+Inputs!$B$25+Inputs!$B$29,IF(Skills!C22=2,90+Inputs!$B$26+Inputs!$B$29,IF(Skills!C22=3,120+Inputs!$B$27+Inputs!$B$29,MAX(0,(Inputs!$B$3-100)*3)+Inputs!$B$28+Inputs!$B$29)))</f>
        <v/>
      </c>
      <c r="E1017">
        <f>INDEX(FactorTable!$B$2:$Y$301, MATCH(ROUND(MIN(300,MAX(1,D1017)),0), FactorTable!$A$2:$A$301,0), Skills!M22+1)</f>
        <v/>
      </c>
      <c r="F1017">
        <f>IF(Skills!N22=TRUE,(Skills!L22/10)*(E1017/1000),Skills!L22/10)+Skills!O22</f>
        <v/>
      </c>
      <c r="G1017">
        <f>Skills!G22*IF(Skills!H22&gt;0,Skills!I22/Skills!H22,1)</f>
        <v/>
      </c>
      <c r="H1017">
        <f>1-(1-Skills!J22/100)^Skills!K22</f>
        <v/>
      </c>
      <c r="I1017" t="inlineStr">
        <is>
          <t>1</t>
        </is>
      </c>
      <c r="J1017" t="inlineStr"/>
      <c r="K1017" t="inlineStr"/>
      <c r="L1017" t="inlineStr"/>
      <c r="M1017" t="inlineStr"/>
      <c r="N1017" t="inlineStr"/>
      <c r="O1017">
        <f>(1-Summary!$B$11)*T1017+Summary!$B$11*V1017</f>
        <v/>
      </c>
      <c r="P1017">
        <f>IF(B1034=0,0,O1017/B1034)</f>
        <v/>
      </c>
      <c r="Q1017" t="n">
        <v>0</v>
      </c>
      <c r="R1017" t="n">
        <v>0</v>
      </c>
      <c r="S1017">
        <f>IFERROR(O1017/N1017,0)</f>
        <v/>
      </c>
      <c r="T1017" t="n">
        <v>0</v>
      </c>
      <c r="V1017" t="n">
        <v>0</v>
      </c>
    </row>
    <row r="1018">
      <c r="A1018">
        <f>Skills!A23</f>
        <v/>
      </c>
      <c r="B1018">
        <f>Skills!B23</f>
        <v/>
      </c>
      <c r="C1018">
        <f>Inputs!$B$3&gt;=120</f>
        <v/>
      </c>
      <c r="D1018">
        <f>IF(Skills!C23=1,60+Inputs!$B$25+Inputs!$B$29,IF(Skills!C23=2,90+Inputs!$B$26+Inputs!$B$29,IF(Skills!C23=3,120+Inputs!$B$27+Inputs!$B$29,MAX(0,(Inputs!$B$3-100)*3)+Inputs!$B$28+Inputs!$B$29)))</f>
        <v/>
      </c>
      <c r="E1018">
        <f>INDEX(FactorTable!$B$2:$Y$301, MATCH(ROUND(MIN(300,MAX(1,D1018)),0), FactorTable!$A$2:$A$301,0), Skills!M23+1)</f>
        <v/>
      </c>
      <c r="F1018">
        <f>IF(Skills!N23=TRUE,(Skills!L23/10)*(E1018/1000),Skills!L23/10)+Skills!O23</f>
        <v/>
      </c>
      <c r="G1018">
        <f>Skills!G23*IF(Skills!H23&gt;0,Skills!I23/Skills!H23,1)</f>
        <v/>
      </c>
      <c r="H1018">
        <f>1-(1-Skills!J23/100)^Skills!K23</f>
        <v/>
      </c>
      <c r="I1018" t="inlineStr">
        <is>
          <t>1</t>
        </is>
      </c>
      <c r="J1018" t="inlineStr"/>
      <c r="K1018" t="inlineStr"/>
      <c r="L1018" t="inlineStr"/>
      <c r="M1018" t="inlineStr"/>
      <c r="N1018" t="inlineStr"/>
      <c r="O1018">
        <f>(1-Summary!$B$11)*T1018+Summary!$B$11*V1018</f>
        <v/>
      </c>
      <c r="P1018">
        <f>IF(B1034=0,0,O1018/B1034)</f>
        <v/>
      </c>
      <c r="Q1018" t="n">
        <v>0</v>
      </c>
      <c r="R1018" t="n">
        <v>0</v>
      </c>
      <c r="S1018">
        <f>IFERROR(O1018/N1018,0)</f>
        <v/>
      </c>
      <c r="T1018" t="n">
        <v>0</v>
      </c>
      <c r="V1018" t="n">
        <v>0</v>
      </c>
    </row>
    <row r="1019">
      <c r="A1019">
        <f>Skills!A24</f>
        <v/>
      </c>
      <c r="B1019">
        <f>Skills!B24</f>
        <v/>
      </c>
      <c r="C1019">
        <f>Inputs!$B$3&gt;=120</f>
        <v/>
      </c>
      <c r="D1019">
        <f>IF(Skills!C24=1,60+Inputs!$B$25+Inputs!$B$29,IF(Skills!C24=2,90+Inputs!$B$26+Inputs!$B$29,IF(Skills!C24=3,120+Inputs!$B$27+Inputs!$B$29,MAX(0,(Inputs!$B$3-100)*3)+Inputs!$B$28+Inputs!$B$29)))</f>
        <v/>
      </c>
      <c r="E1019">
        <f>INDEX(FactorTable!$B$2:$Y$301, MATCH(ROUND(MIN(300,MAX(1,D1019)),0), FactorTable!$A$2:$A$301,0), Skills!M24+1)</f>
        <v/>
      </c>
      <c r="F1019">
        <f>IF(Skills!N24=TRUE,(Skills!L24/10)*(E1019/1000),Skills!L24/10)+Skills!O24</f>
        <v/>
      </c>
      <c r="G1019">
        <f>Skills!G24*IF(Skills!H24&gt;0,Skills!I24/Skills!H24,1)</f>
        <v/>
      </c>
      <c r="H1019">
        <f>1-(1-Skills!J24/100)^Skills!K24</f>
        <v/>
      </c>
      <c r="I1019" t="inlineStr">
        <is>
          <t>1</t>
        </is>
      </c>
      <c r="J1019" t="inlineStr"/>
      <c r="K1019" t="inlineStr"/>
      <c r="L1019" t="inlineStr"/>
      <c r="M1019" t="inlineStr"/>
      <c r="N1019" t="inlineStr"/>
      <c r="O1019">
        <f>(1-Summary!$B$11)*T1019+Summary!$B$11*V1019</f>
        <v/>
      </c>
      <c r="P1019">
        <f>IF(B1034=0,0,O1019/B1034)</f>
        <v/>
      </c>
      <c r="Q1019" t="n">
        <v>0</v>
      </c>
      <c r="R1019" t="n">
        <v>0</v>
      </c>
      <c r="S1019">
        <f>IFERROR(O1019/N1019,0)</f>
        <v/>
      </c>
      <c r="T1019" t="n">
        <v>0</v>
      </c>
      <c r="V1019" t="n">
        <v>0</v>
      </c>
    </row>
    <row r="1020">
      <c r="A1020">
        <f>Skills!A25</f>
        <v/>
      </c>
      <c r="B1020">
        <f>Skills!B25</f>
        <v/>
      </c>
      <c r="C1020">
        <f>Inputs!$B$3&gt;=125</f>
        <v/>
      </c>
      <c r="D1020">
        <f>IF(Skills!C25=1,60+Inputs!$B$25+Inputs!$B$29,IF(Skills!C25=2,90+Inputs!$B$26+Inputs!$B$29,IF(Skills!C25=3,120+Inputs!$B$27+Inputs!$B$29,MAX(0,(Inputs!$B$3-100)*3)+Inputs!$B$28+Inputs!$B$29)))</f>
        <v/>
      </c>
      <c r="E1020">
        <f>INDEX(FactorTable!$B$2:$Y$301, MATCH(ROUND(MIN(300,MAX(1,D1020)),0), FactorTable!$A$2:$A$301,0), Skills!M25+1)</f>
        <v/>
      </c>
      <c r="F1020">
        <f>IF(Skills!N25=TRUE,(Skills!L25/10)*(E1020/1000),Skills!L25/10)+Skills!O25</f>
        <v/>
      </c>
      <c r="G1020">
        <f>Skills!G25*IF(Skills!H25&gt;0,Skills!I25/Skills!H25,1)</f>
        <v/>
      </c>
      <c r="H1020">
        <f>1-(1-Skills!J25/100)^Skills!K25</f>
        <v/>
      </c>
      <c r="I1020" t="inlineStr">
        <is>
          <t>1</t>
        </is>
      </c>
      <c r="J1020" t="inlineStr"/>
      <c r="K1020" t="inlineStr"/>
      <c r="L1020" t="inlineStr"/>
      <c r="M1020" t="inlineStr"/>
      <c r="N1020" t="inlineStr"/>
      <c r="O1020">
        <f>(1-Summary!$B$11)*T1020+Summary!$B$11*V1020</f>
        <v/>
      </c>
      <c r="P1020">
        <f>IF(B1034=0,0,O1020/B1034)</f>
        <v/>
      </c>
      <c r="Q1020" t="n">
        <v>0</v>
      </c>
      <c r="R1020" t="n">
        <v>0</v>
      </c>
      <c r="S1020">
        <f>IFERROR(O1020/N1020,0)</f>
        <v/>
      </c>
      <c r="T1020" t="n">
        <v>0</v>
      </c>
      <c r="V1020" t="n">
        <v>0</v>
      </c>
    </row>
    <row r="1021">
      <c r="A1021">
        <f>Skills!A26</f>
        <v/>
      </c>
      <c r="B1021">
        <f>Skills!B26</f>
        <v/>
      </c>
      <c r="C1021">
        <f>Inputs!$B$3&gt;=72</f>
        <v/>
      </c>
      <c r="D1021">
        <f>IF(Skills!C26=1,60+Inputs!$B$25+Inputs!$B$29,IF(Skills!C26=2,90+Inputs!$B$26+Inputs!$B$29,IF(Skills!C26=3,120+Inputs!$B$27+Inputs!$B$29,MAX(0,(Inputs!$B$3-100)*3)+Inputs!$B$28+Inputs!$B$29)))</f>
        <v/>
      </c>
      <c r="E1021">
        <f>INDEX(FactorTable!$B$2:$Y$301, MATCH(ROUND(MIN(300,MAX(1,D1021)),0), FactorTable!$A$2:$A$301,0), Skills!M26+1)</f>
        <v/>
      </c>
      <c r="F1021">
        <f>IF(Skills!N26=TRUE,(Skills!L26/10)*(E1021/1000),Skills!L26/10)+Skills!O26</f>
        <v/>
      </c>
      <c r="G1021">
        <f>Skills!G26*IF(Skills!H26&gt;0,Skills!I26/Skills!H26,1)</f>
        <v/>
      </c>
      <c r="H1021">
        <f>1-(1-Skills!J26/100)^Skills!K26</f>
        <v/>
      </c>
      <c r="I1021" t="inlineStr">
        <is>
          <t>1</t>
        </is>
      </c>
      <c r="J1021" t="inlineStr"/>
      <c r="K1021" t="inlineStr"/>
      <c r="L1021" t="inlineStr"/>
      <c r="M1021" t="inlineStr"/>
      <c r="N1021" t="inlineStr"/>
      <c r="O1021">
        <f>(1-Summary!$B$11)*T1021+Summary!$B$11*V1021</f>
        <v/>
      </c>
      <c r="P1021">
        <f>IF(B1034=0,0,O1021/B1034)</f>
        <v/>
      </c>
      <c r="Q1021" t="n">
        <v>0</v>
      </c>
      <c r="R1021" t="n">
        <v>0</v>
      </c>
      <c r="S1021">
        <f>IFERROR(O1021/N1021,0)</f>
        <v/>
      </c>
      <c r="T1021" t="n">
        <v>0</v>
      </c>
      <c r="V1021" t="n">
        <v>0</v>
      </c>
    </row>
    <row r="1023">
      <c r="A1023" t="inlineStr">
        <is>
          <t>Attack% Bucket Multiplier</t>
        </is>
      </c>
      <c r="B1023">
        <f>(1+(((C1008=TRUE)*F1008*IF(Inputs!$B$3&gt;=110,7,5))+((C1010=TRUE)*F1010*IF(AND(Inputs!$B$38&lt;&gt;"pvp",Inputs!$B$43&gt;0),(((R1010-1)*(Skills!T15*(1+(Inputs!$B$34+(ArtifactsInput!$M$7-ArtifactsInput!$M$7)*CHOOSE(ArtifactsInput!$N$7+1,6,7.2,8.4,9.6,10.8,12))/100))+MIN((Skills!T15*(1+(Inputs!$B$34+(ArtifactsInput!$M$7-ArtifactsInput!$M$7)*CHOOSE(ArtifactsInput!$N$7+1,6,7.2,8.4,9.6,10.8,12))/100)),MAX(0,Inputs!$B$43-((R1010-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24">
      <c r="A1024" t="inlineStr">
        <is>
          <t>Global Crit Rate Bonus %</t>
        </is>
      </c>
      <c r="B1024" t="n">
        <v>0</v>
      </c>
    </row>
    <row r="1025">
      <c r="A1025" t="inlineStr">
        <is>
          <t>Attack Speed Buff Bonus %</t>
        </is>
      </c>
      <c r="B1025">
        <f>((C1014=TRUE)*F1014*IF(AND(Inputs!$B$38&lt;&gt;"pvp",Inputs!$B$43&gt;0),(((R1014-1)*(Skills!T19*(1+(Inputs!$B$34+(ArtifactsInput!$M$7-ArtifactsInput!$M$7)*CHOOSE(ArtifactsInput!$N$7+1,6,7.2,8.4,9.6,10.8,12))/100))+MIN((Skills!T19*(1+(Inputs!$B$34+(ArtifactsInput!$M$7-ArtifactsInput!$M$7)*CHOOSE(ArtifactsInput!$N$7+1,6,7.2,8.4,9.6,10.8,12))/100)),MAX(0,Inputs!$B$43-((R1014-1)*Skills!D19))))/Inputs!$B$43),IF(Inputs!$B$38="pvp",MIN((Skills!T19*(1+(Inputs!$B$34+(ArtifactsInput!$M$7-ArtifactsInput!$M$7)*CHOOSE(ArtifactsInput!$N$7+1,6,7.2,8.4,9.6,10.8,12))/100)),15)/15,(Skills!T19*(1+(Inputs!$B$34+(ArtifactsInput!$M$7-ArtifactsInput!$M$7)*CHOOSE(ArtifactsInput!$N$7+1,6,7.2,8.4,9.6,10.8,12))/100))/Skills!D19)))</f>
        <v/>
      </c>
    </row>
    <row r="1026">
      <c r="A1026" t="inlineStr">
        <is>
          <t>Actions Per Second</t>
        </is>
      </c>
      <c r="B1026">
        <f>1+MIN(150,150*(1-(1-(Inputs!$B$11+((C1015=TRUE)*(F1015-Calc!F20)))/150)*(1-B1025/150)))/100</f>
        <v/>
      </c>
    </row>
    <row r="1027">
      <c r="A1027" t="inlineStr">
        <is>
          <t>Skill + Buff Cast Rate</t>
        </is>
      </c>
      <c r="B1027">
        <f>IF(AND(Inputs!$B$38&lt;&gt;"pvp",Inputs!$B$43&gt;0),SUMPRODUCT((Skills!E2:E26=TRUE)*(C997:C1021=TRUE)*R997:R1021*Skills!F2:F26)/Inputs!$B$43,SUMPRODUCT((Skills!E2:E26=TRUE)*(C997:C1021=TRUE)*Q997:Q1021*Skills!F2:F26))</f>
        <v/>
      </c>
    </row>
    <row r="1028">
      <c r="A1028" t="inlineStr">
        <is>
          <t>Raging Blow Casts Per Second</t>
        </is>
      </c>
      <c r="B1028">
        <f>MAX(0,B1026-B1027)</f>
        <v/>
      </c>
    </row>
    <row r="1029">
      <c r="A1029" t="inlineStr">
        <is>
          <t>Global Critical Damage Bonus % (Enrage)</t>
        </is>
      </c>
      <c r="B1029">
        <f>((C1013=TRUE)*F1013*IF(AND(Inputs!$B$38&lt;&gt;"pvp",Inputs!$B$43&gt;0),(((R1013-1)*(Skills!T18*(1+(Inputs!$B$34+(ArtifactsInput!$M$7-ArtifactsInput!$M$7)*CHOOSE(ArtifactsInput!$N$7+1,6,7.2,8.4,9.6,10.8,12))/100))+MIN((Skills!T18*(1+(Inputs!$B$34+(ArtifactsInput!$M$7-ArtifactsInput!$M$7)*CHOOSE(ArtifactsInput!$N$7+1,6,7.2,8.4,9.6,10.8,12))/100)),MAX(0,Inputs!$B$43-((R1013-1)*Skills!D18))))/Inputs!$B$43),IF(Inputs!$B$38="pvp",MIN((Skills!T18*(1+(Inputs!$B$34+(ArtifactsInput!$M$7-ArtifactsInput!$M$7)*CHOOSE(ArtifactsInput!$N$7+1,6,7.2,8.4,9.6,10.8,12))/100)),15)/15,(Skills!T18*(1+(Inputs!$B$34+(ArtifactsInput!$M$7-ArtifactsInput!$M$7)*CHOOSE(ArtifactsInput!$N$7+1,6,7.2,8.4,9.6,10.8,12))/100))/Skills!D18)))</f>
        <v/>
      </c>
    </row>
    <row r="1030">
      <c r="A1030" t="inlineStr">
        <is>
          <t>Global Final Damage Bonus % (Enrage + Combo Synergy)</t>
        </is>
      </c>
      <c r="B1030">
        <f>((C1012=TRUE)*F1012*IF(AND(Inputs!$B$38&lt;&gt;"pvp",Inputs!$B$43&gt;0),(((R1012-1)*(Skills!T17*(1+(Inputs!$B$34+(ArtifactsInput!$M$7-ArtifactsInput!$M$7)*CHOOSE(ArtifactsInput!$N$7+1,6,7.2,8.4,9.6,10.8,12))/100))+MIN((Skills!T17*(1+(Inputs!$B$34+(ArtifactsInput!$M$7-ArtifactsInput!$M$7)*CHOOSE(ArtifactsInput!$N$7+1,6,7.2,8.4,9.6,10.8,12))/100)),MAX(0,Inputs!$B$43-((R1012-1)*Skills!D17))))/Inputs!$B$43),IF(Inputs!$B$38="pvp",MIN((Skills!T17*(1+(Inputs!$B$34+(ArtifactsInput!$M$7-ArtifactsInput!$M$7)*CHOOSE(ArtifactsInput!$N$7+1,6,7.2,8.4,9.6,10.8,12))/100)),15)/15,(Skills!T17*(1+(Inputs!$B$34+(ArtifactsInput!$M$7-ArtifactsInput!$M$7)*CHOOSE(ArtifactsInput!$N$7+1,6,7.2,8.4,9.6,10.8,12))/100))/Skills!D17)))+((C1009=TRUE)*F1009*IF(Inputs!$B$3&gt;=110,7,5))</f>
        <v/>
      </c>
    </row>
    <row r="1031">
      <c r="A1031" t="inlineStr">
        <is>
          <t>Buff-Casting Startup Delay (s, fixed-duration only)</t>
        </is>
      </c>
      <c r="B1031">
        <f>IF(AND(Inputs!$B$38&lt;&gt;"pvp",Inputs!$B$43&gt;0),SUMPRODUCT((Skills!T2:T26&gt;0)*(Skills!E2:E26=TRUE)*(C997:C1021=TRUE))/B1026,0)</f>
        <v/>
      </c>
    </row>
    <row r="1032">
      <c r="A1032" t="inlineStr">
        <is>
          <t>Boss-Only Total DPS (this block's swept value)</t>
        </is>
      </c>
      <c r="B1032">
        <f>SUM(T997:T1021)</f>
        <v/>
      </c>
    </row>
    <row r="1033">
      <c r="A1033" t="inlineStr">
        <is>
          <t>Normal-Only Total DPS (this block's swept value)</t>
        </is>
      </c>
      <c r="B1033">
        <f>SUM(V997:V1021)</f>
        <v/>
      </c>
    </row>
    <row r="1034">
      <c r="A1034" s="6" t="inlineStr">
        <is>
          <t>TOTAL DPS</t>
        </is>
      </c>
      <c r="B1034" s="6">
        <f>SUM(O997:O1021)</f>
        <v/>
      </c>
    </row>
    <row r="1037">
      <c r="A1037" s="6" t="inlineStr">
        <is>
          <t>Stat: Skill Cooldown Decrease (seconds)</t>
        </is>
      </c>
    </row>
    <row r="1038">
      <c r="A1038" s="5" t="inlineStr">
        <is>
          <t>Key</t>
        </is>
      </c>
      <c r="B1038" s="5" t="inlineStr">
        <is>
          <t>Name</t>
        </is>
      </c>
      <c r="C1038" s="5" t="inlineStr">
        <is>
          <t>Unlocked</t>
        </is>
      </c>
      <c r="D1038" s="5" t="inlineStr">
        <is>
          <t>InputLevel</t>
        </is>
      </c>
      <c r="E1038" s="5" t="inlineStr">
        <is>
          <t>Factor</t>
        </is>
      </c>
      <c r="F1038" s="5" t="inlineStr">
        <is>
          <t>CoefficientPercent</t>
        </is>
      </c>
      <c r="G1038" s="5" t="inlineStr">
        <is>
          <t>EffectiveHits</t>
        </is>
      </c>
      <c r="H1038" s="5" t="inlineStr">
        <is>
          <t>ProcProbability</t>
        </is>
      </c>
      <c r="I1038" s="5" t="inlineStr">
        <is>
          <t>MapleHeroMultiplier</t>
        </is>
      </c>
      <c r="J1038" s="5" t="inlineStr">
        <is>
          <t>BaseDamage</t>
        </is>
      </c>
      <c r="K1038" s="5" t="inlineStr">
        <is>
          <t>BaseHitDamage</t>
        </is>
      </c>
      <c r="L1038" s="5" t="inlineStr">
        <is>
          <t>NonCritAvg</t>
        </is>
      </c>
      <c r="M1038" s="5" t="inlineStr">
        <is>
          <t>CritAvg</t>
        </is>
      </c>
      <c r="N1038" s="5" t="inlineStr">
        <is>
          <t>ExpectedDamage(perHit)</t>
        </is>
      </c>
      <c r="O1038" s="5" t="inlineStr">
        <is>
          <t>DPS</t>
        </is>
      </c>
      <c r="P1038" s="5" t="inlineStr">
        <is>
          <t>% of Total</t>
        </is>
      </c>
      <c r="Q1038" s="5" t="inlineStr">
        <is>
          <t>InvCooldown</t>
        </is>
      </c>
      <c r="R1038" s="5" t="inlineStr">
        <is>
          <t>CastsInFight</t>
        </is>
      </c>
      <c r="S1038" s="5" t="inlineStr">
        <is>
          <t>HitRate(perSec)</t>
        </is>
      </c>
      <c r="U1038" t="inlineStr">
        <is>
          <t>helpers</t>
        </is>
      </c>
    </row>
    <row r="1039">
      <c r="A1039">
        <f>Skills!A2</f>
        <v/>
      </c>
      <c r="B1039">
        <f>Skills!B2</f>
        <v/>
      </c>
      <c r="C1039">
        <f>Inputs!$B$3&gt;=100</f>
        <v/>
      </c>
      <c r="D1039" t="inlineStr"/>
      <c r="E1039" t="inlineStr"/>
      <c r="F1039">
        <f>U1041+Skills!O2</f>
        <v/>
      </c>
      <c r="G1039">
        <f>Skills!G2*IF(Skills!H2&gt;0,Skills!I2/Skills!H2,1)</f>
        <v/>
      </c>
      <c r="H1039">
        <f>1-(1-Skills!J2/100)^Skills!K2</f>
        <v/>
      </c>
      <c r="I1039" t="inlineStr">
        <is>
          <t>1</t>
        </is>
      </c>
      <c r="J1039">
        <f>((Inputs!$B$6*(1+Inputs!$B$7/100))+(((Inputs!$B$12*(1+Inputs!$B$13/100))-(Inputs!$B$12*(1+Inputs!$B$13/100)))+0.25*(Inputs!$B$14-Inputs!$B$14))*(1+Inputs!$B$7/100))*(F1039/100)</f>
        <v/>
      </c>
      <c r="K1039">
        <f>J1039*(1+((Inputs!$B$12*(1+Inputs!$B$13/100))*0.01+Inputs!$B$14*0.0025)/100)*(1+Inputs!$B$15/100)*(1+Inputs!$B$16/100)*(5000/(6000+Inputs!$B$42*(1-(100*(1-(1-(Inputs!$B$19+0)/100)*(1-CHOOSE(ArtifactsInput!$N$40+1,5,6,7,8,9,10)/100)^(ArtifactsInput!$M$40-ArtifactsInput!$M$40)))/100)))*(1+(Inputs!$B$24+((C1062=TRUE)*(F1062-Calc!F25))+B1072)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1058=TRUE)*(F1058-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1060=TRUE)*(F1060-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1050=TRUE)*F1050*IF(Inputs!$B$3&gt;=110,7,5))+((C1052=TRUE)*F1052*IF(AND(Inputs!$B$38&lt;&gt;"pvp",Inputs!$B$43&gt;0),(((R1052-1)*(Skills!T15*(1+(Inputs!$B$34+(ArtifactsInput!$M$7-ArtifactsInput!$M$7)*CHOOSE(ArtifactsInput!$N$7+1,6,7.2,8.4,9.6,10.8,12))/100))+MIN((Skills!T15*(1+(Inputs!$B$34+(ArtifactsInput!$M$7-ArtifactsInput!$M$7)*CHOOSE(ArtifactsInput!$N$7+1,6,7.2,8.4,9.6,10.8,12))/100)),MAX(0,Inputs!$B$43-((R1052-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Hunt"),CHOOSE(ArtifactsInput!$N$35+1,15,18,21,24,27,30)*(1-EXP(-(0.2*B1068)*5)),0)+IF(AND(ArtifactsInput!$M$22,Inputs!$B$4&lt;&gt;"Chapter Hunt"),CHOOSE(ArtifactsInput!$N$22+1,10,12,14,16,18,20)*((0*(((0.15*B1068*5))^0/1)+1*(((0.15*B1068*5))^1/1)+2*(((0.15*B1068*5))^2/2)+3*(((0.15*B1068*5))^3/6)+4*(((0.15*B1068*5))^4/24)+5*(((0.15*B1068*5))^5/120))/((((0.15*B1068*5))^0/1)+(((0.15*B1068*5))^1/1)+(((0.15*B1068*5))^2/2)+(((0.15*B1068*5))^3/6)+(((0.15*B1068*5))^4/24)+(((0.15*B1068*5))^5/120))),0)))/100)*I1039)</f>
        <v/>
      </c>
      <c r="L1039">
        <f>K1039*(MIN(Inputs!$B$22+((C1059=TRUE)*(F1059-Calc!F22)),(Inputs!$B$23+((C1061=TRUE)*(F1061-Calc!F24))+(IF(ArtifactsInput!$M$15,CHOOSE(ArtifactsInput!$N$15+1,25,30,35,40,45,50)/100*(Inputs!$B$11-Inputs!$B$11),0))))/100+(Inputs!$B$23+((C1061=TRUE)*(F1061-Calc!F24))+(IF(ArtifactsInput!$M$15,CHOOSE(ArtifactsInput!$N$15+1,25,30,35,40,45,50)/100*(Inputs!$B$11-Inputs!$B$11),0)))/100)/2</f>
        <v/>
      </c>
      <c r="M1039">
        <f>L1039*(1+(Inputs!$B$10+0+B1071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39">
        <f>L1039*(1-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1039*(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39">
        <f>(1-Summary!$B$11)*T1039+Summary!$B$11*V1039</f>
        <v/>
      </c>
      <c r="P1039">
        <f>IF(B1076=0,0,O1039/B1076)</f>
        <v/>
      </c>
      <c r="Q1039" t="n">
        <v>0</v>
      </c>
      <c r="R1039" t="n">
        <v>0</v>
      </c>
      <c r="S1039">
        <f>IFERROR(O1039/N1039,0)</f>
        <v/>
      </c>
      <c r="T1039">
        <f>IF(C1039,(Skills!G2*N1039*B1070)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1039*(1-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1039*(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1039*(1-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1039*(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39">
        <f>MAX(0,(Inputs!$B$3-100)*3)+Inputs!$B$28+Inputs!$B$29</f>
        <v/>
      </c>
      <c r="V1039">
        <f>IF(C1039,(Skills!G2*N1039*B1070)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0">
      <c r="A1040">
        <f>Skills!A3</f>
        <v/>
      </c>
      <c r="B1040">
        <f>Skills!B3</f>
        <v/>
      </c>
      <c r="C1040">
        <f>Inputs!$B$3&gt;=50</f>
        <v/>
      </c>
      <c r="D1040">
        <f>IF(Skills!C3=1,60+Inputs!$B$25+Inputs!$B$29,IF(Skills!C3=2,90+Inputs!$B$26+Inputs!$B$29,IF(Skills!C3=3,120+Inputs!$B$27+Inputs!$B$29,MAX(0,(Inputs!$B$3-100)*3)+Inputs!$B$28+Inputs!$B$29)))</f>
        <v/>
      </c>
      <c r="E1040">
        <f>INDEX(FactorTable!$B$2:$Y$301, MATCH(ROUND(MIN(300,MAX(1,D1040)),0), FactorTable!$A$2:$A$301,0), Skills!M3+1)</f>
        <v/>
      </c>
      <c r="F1040">
        <f>IF(Skills!N3=TRUE,(Skills!L3/10)*(E1040/1000),Skills!L3/10)+Skills!O3</f>
        <v/>
      </c>
      <c r="G1040" t="inlineStr"/>
      <c r="H1040" t="inlineStr"/>
      <c r="I1040" t="inlineStr">
        <is>
          <t>1</t>
        </is>
      </c>
      <c r="J1040" t="inlineStr"/>
      <c r="K1040" t="inlineStr"/>
      <c r="L1040" t="inlineStr"/>
      <c r="M1040" t="inlineStr"/>
      <c r="N1040" t="inlineStr"/>
      <c r="O1040" t="inlineStr"/>
      <c r="P1040" t="inlineStr"/>
      <c r="Q1040" t="inlineStr"/>
      <c r="R1040" t="inlineStr"/>
      <c r="S1040" t="inlineStr"/>
      <c r="U1040">
        <f>INDEX(FactorTable!$B$2:$Y$301, MATCH(ROUND(MIN(300,MAX(1,U1039)),0), FactorTable!$A$2:$A$301,0), 22)</f>
        <v/>
      </c>
    </row>
    <row r="1041">
      <c r="A1041">
        <f>Skills!A4</f>
        <v/>
      </c>
      <c r="B1041">
        <f>Skills!B4</f>
        <v/>
      </c>
      <c r="C1041">
        <f>Inputs!$B$3&gt;=105</f>
        <v/>
      </c>
      <c r="D1041">
        <f>IF(Skills!C4=1,60+Inputs!$B$25+Inputs!$B$29,IF(Skills!C4=2,90+Inputs!$B$26+Inputs!$B$29,IF(Skills!C4=3,120+Inputs!$B$27+Inputs!$B$29,MAX(0,(Inputs!$B$3-100)*3)+Inputs!$B$28+Inputs!$B$29)))</f>
        <v/>
      </c>
      <c r="E1041">
        <f>INDEX(FactorTable!$B$2:$Y$301, MATCH(ROUND(MIN(300,MAX(1,D1041)),0), FactorTable!$A$2:$A$301,0), Skills!M4+1)</f>
        <v/>
      </c>
      <c r="F1041">
        <f>IF(Skills!N4=TRUE,(Skills!L4/10)*(E1041/1000),Skills!L4/10)+Skills!O4</f>
        <v/>
      </c>
      <c r="G1041" t="inlineStr"/>
      <c r="H1041" t="inlineStr"/>
      <c r="I1041" t="inlineStr">
        <is>
          <t>1</t>
        </is>
      </c>
      <c r="J1041" t="inlineStr"/>
      <c r="K1041" t="inlineStr"/>
      <c r="L1041" t="inlineStr"/>
      <c r="M1041" t="inlineStr"/>
      <c r="N1041" t="inlineStr"/>
      <c r="O1041" t="inlineStr"/>
      <c r="P1041" t="inlineStr"/>
      <c r="Q1041" t="inlineStr"/>
      <c r="R1041" t="inlineStr"/>
      <c r="S1041" t="inlineStr"/>
      <c r="U1041">
        <f>290*U1040/1000</f>
        <v/>
      </c>
    </row>
    <row r="1042">
      <c r="A1042">
        <f>Skills!A5</f>
        <v/>
      </c>
      <c r="B1042">
        <f>Skills!B5</f>
        <v/>
      </c>
      <c r="C1042">
        <f>Inputs!$B$3&gt;=103</f>
        <v/>
      </c>
      <c r="D1042">
        <f>IF(Skills!C5=1,60+Inputs!$B$25+Inputs!$B$29,IF(Skills!C5=2,90+Inputs!$B$26+Inputs!$B$29,IF(Skills!C5=3,120+Inputs!$B$27+Inputs!$B$29,MAX(0,(Inputs!$B$3-100)*3)+Inputs!$B$28+Inputs!$B$29)))</f>
        <v/>
      </c>
      <c r="E1042">
        <f>INDEX(FactorTable!$B$2:$Y$301, MATCH(ROUND(MIN(300,MAX(1,D1042)),0), FactorTable!$A$2:$A$301,0), Skills!M5+1)</f>
        <v/>
      </c>
      <c r="F1042">
        <f>IF(Skills!N5=TRUE,(Skills!L5/10)*(E1042/1000),Skills!L5/10)+Skills!O5</f>
        <v/>
      </c>
      <c r="G1042">
        <f>Skills!G5*IF(Skills!H5&gt;0,Skills!I5/Skills!H5,1)</f>
        <v/>
      </c>
      <c r="H1042">
        <f>1-(1-Skills!J5/100)^Skills!K5</f>
        <v/>
      </c>
      <c r="I1042" t="inlineStr">
        <is>
          <t>1</t>
        </is>
      </c>
      <c r="J1042">
        <f>((Inputs!$B$6*(1+Inputs!$B$7/100))+(((Inputs!$B$12*(1+Inputs!$B$13/100))-(Inputs!$B$12*(1+Inputs!$B$13/100)))+0.25*(Inputs!$B$14-Inputs!$B$14))*(1+Inputs!$B$7/100))*(F1042/100)</f>
        <v/>
      </c>
      <c r="K1042">
        <f>J1042*(1+((Inputs!$B$12*(1+Inputs!$B$13/100))*0.01+Inputs!$B$14*0.0025)/100)*(1+Inputs!$B$15/100)*(1+Inputs!$B$16/100)*(5000/(6000+Inputs!$B$42*(1-(100*(1-(1-(Inputs!$B$19+0)/100)*(1-CHOOSE(ArtifactsInput!$N$40+1,5,6,7,8,9,10)/100)^(ArtifactsInput!$M$40-ArtifactsInput!$M$40)))/100)))*(1+(Inputs!$B$24+((C1062=TRUE)*(F1062-Calc!F25))+B1072)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1058=TRUE)*(F1058-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1060=TRUE)*(F1060-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1050=TRUE)*F1050*IF(Inputs!$B$3&gt;=110,7,5))+((C1052=TRUE)*F1052*IF(AND(Inputs!$B$38&lt;&gt;"pvp",Inputs!$B$43&gt;0),(((R1052-1)*(Skills!T15*(1+(Inputs!$B$34+(ArtifactsInput!$M$7-ArtifactsInput!$M$7)*CHOOSE(ArtifactsInput!$N$7+1,6,7.2,8.4,9.6,10.8,12))/100))+MIN((Skills!T15*(1+(Inputs!$B$34+(ArtifactsInput!$M$7-ArtifactsInput!$M$7)*CHOOSE(ArtifactsInput!$N$7+1,6,7.2,8.4,9.6,10.8,12))/100)),MAX(0,Inputs!$B$43-((R1052-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Hunt"),CHOOSE(ArtifactsInput!$N$35+1,15,18,21,24,27,30)*(1-EXP(-(0.2*B1068)*5)),0)+IF(AND(ArtifactsInput!$M$22,Inputs!$B$4&lt;&gt;"Chapter Hunt"),CHOOSE(ArtifactsInput!$N$22+1,10,12,14,16,18,20)*((0*(((0.15*B1068*5))^0/1)+1*(((0.15*B1068*5))^1/1)+2*(((0.15*B1068*5))^2/2)+3*(((0.15*B1068*5))^3/6)+4*(((0.15*B1068*5))^4/24)+5*(((0.15*B1068*5))^5/120))/((((0.15*B1068*5))^0/1)+(((0.15*B1068*5))^1/1)+(((0.15*B1068*5))^2/2)+(((0.15*B1068*5))^3/6)+(((0.15*B1068*5))^4/24)+(((0.15*B1068*5))^5/120))),0)))/100)*I1042)</f>
        <v/>
      </c>
      <c r="L1042">
        <f>K1042*(MIN(Inputs!$B$22+((C1059=TRUE)*(F1059-Calc!F22)),(Inputs!$B$23+((C1061=TRUE)*(F1061-Calc!F24))+(IF(ArtifactsInput!$M$15,CHOOSE(ArtifactsInput!$N$15+1,25,30,35,40,45,50)/100*(Inputs!$B$11-Inputs!$B$11),0))))/100+(Inputs!$B$23+((C1061=TRUE)*(F1061-Calc!F24))+(IF(ArtifactsInput!$M$15,CHOOSE(ArtifactsInput!$N$15+1,25,30,35,40,45,50)/100*(Inputs!$B$11-Inputs!$B$11),0)))/100)/2</f>
        <v/>
      </c>
      <c r="M1042">
        <f>L1042*(1+(Inputs!$B$10+0+B1071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2">
        <f>L1042*(1-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1042*(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2">
        <f>(1-Summary!$B$11)*T1042+Summary!$B$11*V1042</f>
        <v/>
      </c>
      <c r="P1042">
        <f>IF(B1076=0,0,O1042/B1076)</f>
        <v/>
      </c>
      <c r="Q1042">
        <f>IFERROR(1/(IF(Inputs!$B$38="pvp",15,MAX(0.1,Skills!D5-IF(Skills!E5=TRUE,(Inputs!$B$32+1),0)))*(1-IF(AND(ArtifactsInput!$M$27,Inputs!$B$4="Chapter Hunt"),CHOOSE(ArtifactsInput!$N$27+1,20,24,28,32,36,40),0)/100)),0)</f>
        <v/>
      </c>
      <c r="R1042">
        <f>IF(AND(Inputs!$B$38&lt;&gt;"pvp",Inputs!$B$43&gt;0),IF(MAX(0,Inputs!$B$43-B1073)&lt;=0,0,(INT(MAX(0,Inputs!$B$43-B1073)/(IF(Inputs!$B$38="pvp",15,MAX(0.1,Skills!D5-IF(Skills!E5=TRUE,(Inputs!$B$32+1),0)))*(1-IF(AND(ArtifactsInput!$M$27,Inputs!$B$4="Chapter Hunt"),CHOOSE(ArtifactsInput!$N$27+1,20,24,28,32,36,40),0)/100)))+1)),0)</f>
        <v/>
      </c>
      <c r="S1042">
        <f>IFERROR(O1042/N1042,0)</f>
        <v/>
      </c>
      <c r="T1042">
        <f>IF(C1042,(H1042*N1042*IF(AND(Inputs!$B$38&lt;&gt;"pvp",Inputs!$B$43&gt;0),((Skills!G5*((R1042-1)*IF(Skills!H5&gt;0,Skills!I5/Skills!H5,1)+IF(Skills!H5&gt;0,MIN(Skills!I5,MAX(0,MAX(0,Inputs!$B$43-B1073)-((R1042-1)*(IF(Inputs!$B$38="pvp",15,MAX(0.1,Skills!D5-IF(Skills!E5=TRUE,(Inputs!$B$32+1),0)))*(1-IF(AND(ArtifactsInput!$M$27,Inputs!$B$4="Chapter Hunt"),CHOOSE(ArtifactsInput!$N$27+1,20,24,28,32,36,40),0)/100)))))/Skills!H5,1)))/Inputs!$B$43),G1042*Q1042)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1042*(1-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1042*(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1042*(1-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1042*(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2">
        <f>IF(C1042,(H1042*N1042*IF(AND(Inputs!$B$38&lt;&gt;"pvp",Inputs!$B$43&gt;0),((Skills!G5*((R1042-1)*IF(Skills!H5&gt;0,Skills!I5/Skills!H5,1)+IF(Skills!H5&gt;0,MIN(Skills!I5,MAX(0,MAX(0,Inputs!$B$43-B1073)-((R1042-1)*(IF(Inputs!$B$38="pvp",15,MAX(0.1,Skills!D5-IF(Skills!E5=TRUE,(Inputs!$B$32+1),0)))*(1-IF(AND(ArtifactsInput!$M$27,Inputs!$B$4="Chapter Hunt"),CHOOSE(ArtifactsInput!$N$27+1,20,24,28,32,36,40),0)/100)))))/Skills!H5,1)))/Inputs!$B$43),G1042*Q1042)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3">
      <c r="A1043">
        <f>Skills!A6</f>
        <v/>
      </c>
      <c r="B1043">
        <f>Skills!B6</f>
        <v/>
      </c>
      <c r="C1043">
        <f>Inputs!$B$3&gt;=103</f>
        <v/>
      </c>
      <c r="D1043">
        <f>IF(Skills!C6=1,60+Inputs!$B$25+Inputs!$B$29,IF(Skills!C6=2,90+Inputs!$B$26+Inputs!$B$29,IF(Skills!C6=3,120+Inputs!$B$27+Inputs!$B$29,MAX(0,(Inputs!$B$3-100)*3)+Inputs!$B$28+Inputs!$B$29)))</f>
        <v/>
      </c>
      <c r="E1043">
        <f>INDEX(FactorTable!$B$2:$Y$301, MATCH(ROUND(MIN(300,MAX(1,D1043)),0), FactorTable!$A$2:$A$301,0), Skills!M6+1)</f>
        <v/>
      </c>
      <c r="F1043">
        <f>IF(Skills!N6=TRUE,(Skills!L6/10)*(E1043/1000),Skills!L6/10)+Skills!O6</f>
        <v/>
      </c>
      <c r="G1043">
        <f>Skills!G6*IF(Skills!H6&gt;0,Skills!I6/Skills!H6,1)</f>
        <v/>
      </c>
      <c r="H1043">
        <f>1-(1-Skills!J6/100)^Skills!K6</f>
        <v/>
      </c>
      <c r="I1043" t="inlineStr">
        <is>
          <t>1</t>
        </is>
      </c>
      <c r="J1043">
        <f>((Inputs!$B$6*(1+Inputs!$B$7/100))+(((Inputs!$B$12*(1+Inputs!$B$13/100))-(Inputs!$B$12*(1+Inputs!$B$13/100)))+0.25*(Inputs!$B$14-Inputs!$B$14))*(1+Inputs!$B$7/100))*(F1043/100)</f>
        <v/>
      </c>
      <c r="K1043">
        <f>J1043*(1+((Inputs!$B$12*(1+Inputs!$B$13/100))*0.01+Inputs!$B$14*0.0025)/100)*(1+Inputs!$B$15/100)*(1+Inputs!$B$16/100)*(5000/(6000+Inputs!$B$42*(1-(100*(1-(1-(Inputs!$B$19+0)/100)*(1-CHOOSE(ArtifactsInput!$N$40+1,5,6,7,8,9,10)/100)^(ArtifactsInput!$M$40-ArtifactsInput!$M$40)))/100)))*(1+(Inputs!$B$24+((C1062=TRUE)*(F1062-Calc!F25))+B1072)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1058=TRUE)*(F1058-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1060=TRUE)*(F1060-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1050=TRUE)*F1050*IF(Inputs!$B$3&gt;=110,7,5))+((C1052=TRUE)*F1052*IF(AND(Inputs!$B$38&lt;&gt;"pvp",Inputs!$B$43&gt;0),(((R1052-1)*(Skills!T15*(1+(Inputs!$B$34+(ArtifactsInput!$M$7-ArtifactsInput!$M$7)*CHOOSE(ArtifactsInput!$N$7+1,6,7.2,8.4,9.6,10.8,12))/100))+MIN((Skills!T15*(1+(Inputs!$B$34+(ArtifactsInput!$M$7-ArtifactsInput!$M$7)*CHOOSE(ArtifactsInput!$N$7+1,6,7.2,8.4,9.6,10.8,12))/100)),MAX(0,Inputs!$B$43-((R1052-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Hunt"),CHOOSE(ArtifactsInput!$N$35+1,15,18,21,24,27,30)*(1-EXP(-(0.2*B1068)*5)),0)+IF(AND(ArtifactsInput!$M$22,Inputs!$B$4&lt;&gt;"Chapter Hunt"),CHOOSE(ArtifactsInput!$N$22+1,10,12,14,16,18,20)*((0*(((0.15*B1068*5))^0/1)+1*(((0.15*B1068*5))^1/1)+2*(((0.15*B1068*5))^2/2)+3*(((0.15*B1068*5))^3/6)+4*(((0.15*B1068*5))^4/24)+5*(((0.15*B1068*5))^5/120))/((((0.15*B1068*5))^0/1)+(((0.15*B1068*5))^1/1)+(((0.15*B1068*5))^2/2)+(((0.15*B1068*5))^3/6)+(((0.15*B1068*5))^4/24)+(((0.15*B1068*5))^5/120))),0)))/100)*I1043)</f>
        <v/>
      </c>
      <c r="L1043">
        <f>K1043*(MIN(Inputs!$B$22+((C1059=TRUE)*(F1059-Calc!F22)),(Inputs!$B$23+((C1061=TRUE)*(F1061-Calc!F24))+(IF(ArtifactsInput!$M$15,CHOOSE(ArtifactsInput!$N$15+1,25,30,35,40,45,50)/100*(Inputs!$B$11-Inputs!$B$11),0))))/100+(Inputs!$B$23+((C1061=TRUE)*(F1061-Calc!F24))+(IF(ArtifactsInput!$M$15,CHOOSE(ArtifactsInput!$N$15+1,25,30,35,40,45,50)/100*(Inputs!$B$11-Inputs!$B$11),0)))/100)/2</f>
        <v/>
      </c>
      <c r="M1043">
        <f>L1043*(1+(Inputs!$B$10+0+B1071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3">
        <f>L1043*(1-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1043*(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3">
        <f>(1-Summary!$B$11)*T1043+Summary!$B$11*V1043</f>
        <v/>
      </c>
      <c r="P1043">
        <f>IF(B1076=0,0,O1043/B1076)</f>
        <v/>
      </c>
      <c r="Q1043">
        <f>IFERROR(1/(IF(Inputs!$B$38="pvp",15,MAX(0.1,Skills!D6-IF(Skills!E6=TRUE,(Inputs!$B$32+1),0)))*(1-IF(AND(ArtifactsInput!$M$27,Inputs!$B$4="Chapter Hunt"),CHOOSE(ArtifactsInput!$N$27+1,20,24,28,32,36,40),0)/100)),0)</f>
        <v/>
      </c>
      <c r="R1043">
        <f>IF(AND(Inputs!$B$38&lt;&gt;"pvp",Inputs!$B$43&gt;0),IF(MAX(0,Inputs!$B$43-B1073)&lt;=0,0,(INT(MAX(0,Inputs!$B$43-B1073)/(IF(Inputs!$B$38="pvp",15,MAX(0.1,Skills!D6-IF(Skills!E6=TRUE,(Inputs!$B$32+1),0)))*(1-IF(AND(ArtifactsInput!$M$27,Inputs!$B$4="Chapter Hunt"),CHOOSE(ArtifactsInput!$N$27+1,20,24,28,32,36,40),0)/100)))+1)),0)</f>
        <v/>
      </c>
      <c r="S1043">
        <f>IFERROR(O1043/N1043,0)</f>
        <v/>
      </c>
      <c r="T1043">
        <f>IF(C1043,(H1043*N1043*IF(AND(Inputs!$B$38&lt;&gt;"pvp",Inputs!$B$43&gt;0),((Skills!G6*((R1043-1)*IF(Skills!H6&gt;0,Skills!I6/Skills!H6,1)+IF(Skills!H6&gt;0,MIN(Skills!I6,MAX(0,MAX(0,Inputs!$B$43-B1073)-((R1043-1)*(IF(Inputs!$B$38="pvp",15,MAX(0.1,Skills!D6-IF(Skills!E6=TRUE,(Inputs!$B$32+1),0)))*(1-IF(AND(ArtifactsInput!$M$27,Inputs!$B$4="Chapter Hunt"),CHOOSE(ArtifactsInput!$N$27+1,20,24,28,32,36,40),0)/100)))))/Skills!H6,1)))/Inputs!$B$43),G1043*Q1043)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1043*(1-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1043*(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1043*(1-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1043*(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3">
        <f>IF(C1043,(H1043*N1043*IF(AND(Inputs!$B$38&lt;&gt;"pvp",Inputs!$B$43&gt;0),((Skills!G6*((R1043-1)*IF(Skills!H6&gt;0,Skills!I6/Skills!H6,1)+IF(Skills!H6&gt;0,MIN(Skills!I6,MAX(0,MAX(0,Inputs!$B$43-B1073)-((R1043-1)*(IF(Inputs!$B$38="pvp",15,MAX(0.1,Skills!D6-IF(Skills!E6=TRUE,(Inputs!$B$32+1),0)))*(1-IF(AND(ArtifactsInput!$M$27,Inputs!$B$4="Chapter Hunt"),CHOOSE(ArtifactsInput!$N$27+1,20,24,28,32,36,40),0)/100)))))/Skills!H6,1)))/Inputs!$B$43),G1043*Q1043)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4">
      <c r="A1044">
        <f>Skills!A7</f>
        <v/>
      </c>
      <c r="B1044">
        <f>Skills!B7</f>
        <v/>
      </c>
      <c r="C1044">
        <f>Inputs!$B$3&gt;=107</f>
        <v/>
      </c>
      <c r="D1044">
        <f>IF(Skills!C7=1,60+Inputs!$B$25+Inputs!$B$29,IF(Skills!C7=2,90+Inputs!$B$26+Inputs!$B$29,IF(Skills!C7=3,120+Inputs!$B$27+Inputs!$B$29,MAX(0,(Inputs!$B$3-100)*3)+Inputs!$B$28+Inputs!$B$29)))</f>
        <v/>
      </c>
      <c r="E1044">
        <f>INDEX(FactorTable!$B$2:$Y$301, MATCH(ROUND(MIN(300,MAX(1,D1044)),0), FactorTable!$A$2:$A$301,0), Skills!M7+1)</f>
        <v/>
      </c>
      <c r="F1044">
        <f>IF(Skills!N7=TRUE,(Skills!L7/10)*(E1044/1000),Skills!L7/10)+Skills!O7</f>
        <v/>
      </c>
      <c r="G1044">
        <f>Skills!G7*IF(Skills!H7&gt;0,Skills!I7/Skills!H7,1)</f>
        <v/>
      </c>
      <c r="H1044">
        <f>1-(1-Skills!J7/100)^Skills!K7</f>
        <v/>
      </c>
      <c r="I1044" t="inlineStr">
        <is>
          <t>1</t>
        </is>
      </c>
      <c r="J1044">
        <f>((Inputs!$B$6*(1+Inputs!$B$7/100))+(((Inputs!$B$12*(1+Inputs!$B$13/100))-(Inputs!$B$12*(1+Inputs!$B$13/100)))+0.25*(Inputs!$B$14-Inputs!$B$14))*(1+Inputs!$B$7/100))*(F1044/100)</f>
        <v/>
      </c>
      <c r="K1044">
        <f>J1044*(1+((Inputs!$B$12*(1+Inputs!$B$13/100))*0.01+Inputs!$B$14*0.0025)/100)*(1+Inputs!$B$15/100)*(1+Inputs!$B$16/100)*(5000/(6000+Inputs!$B$42*(1-(100*(1-(1-(Inputs!$B$19+0)/100)*(1-CHOOSE(ArtifactsInput!$N$40+1,5,6,7,8,9,10)/100)^(ArtifactsInput!$M$40-ArtifactsInput!$M$40)))/100)))*(1+(Inputs!$B$24+((C1062=TRUE)*(F1062-Calc!F25))+B1072)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1058=TRUE)*(F1058-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1060=TRUE)*(F1060-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1050=TRUE)*F1050*IF(Inputs!$B$3&gt;=110,7,5))+((C1052=TRUE)*F1052*IF(AND(Inputs!$B$38&lt;&gt;"pvp",Inputs!$B$43&gt;0),(((R1052-1)*(Skills!T15*(1+(Inputs!$B$34+(ArtifactsInput!$M$7-ArtifactsInput!$M$7)*CHOOSE(ArtifactsInput!$N$7+1,6,7.2,8.4,9.6,10.8,12))/100))+MIN((Skills!T15*(1+(Inputs!$B$34+(ArtifactsInput!$M$7-ArtifactsInput!$M$7)*CHOOSE(ArtifactsInput!$N$7+1,6,7.2,8.4,9.6,10.8,12))/100)),MAX(0,Inputs!$B$43-((R1052-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Hunt"),CHOOSE(ArtifactsInput!$N$35+1,15,18,21,24,27,30)*(1-EXP(-(0.2*B1068)*5)),0)+IF(AND(ArtifactsInput!$M$22,Inputs!$B$4&lt;&gt;"Chapter Hunt"),CHOOSE(ArtifactsInput!$N$22+1,10,12,14,16,18,20)*((0*(((0.15*B1068*5))^0/1)+1*(((0.15*B1068*5))^1/1)+2*(((0.15*B1068*5))^2/2)+3*(((0.15*B1068*5))^3/6)+4*(((0.15*B1068*5))^4/24)+5*(((0.15*B1068*5))^5/120))/((((0.15*B1068*5))^0/1)+(((0.15*B1068*5))^1/1)+(((0.15*B1068*5))^2/2)+(((0.15*B1068*5))^3/6)+(((0.15*B1068*5))^4/24)+(((0.15*B1068*5))^5/120))),0)))/100)*I1044)</f>
        <v/>
      </c>
      <c r="L1044">
        <f>K1044*(MIN(Inputs!$B$22+((C1059=TRUE)*(F1059-Calc!F22)),(Inputs!$B$23+((C1061=TRUE)*(F1061-Calc!F24))+(IF(ArtifactsInput!$M$15,CHOOSE(ArtifactsInput!$N$15+1,25,30,35,40,45,50)/100*(Inputs!$B$11-Inputs!$B$11),0))))/100+(Inputs!$B$23+((C1061=TRUE)*(F1061-Calc!F24))+(IF(ArtifactsInput!$M$15,CHOOSE(ArtifactsInput!$N$15+1,25,30,35,40,45,50)/100*(Inputs!$B$11-Inputs!$B$11),0)))/100)/2</f>
        <v/>
      </c>
      <c r="M1044">
        <f>L1044*(1+(Inputs!$B$10+0+B1071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4">
        <f>L1044*(1-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1044*(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4">
        <f>(1-Summary!$B$11)*T1044+Summary!$B$11*V1044</f>
        <v/>
      </c>
      <c r="P1044">
        <f>IF(B1076=0,0,O1044/B1076)</f>
        <v/>
      </c>
      <c r="Q1044">
        <f>IFERROR(1/(IF(Inputs!$B$38="pvp",15,MAX(0.1,Skills!D7-IF(Skills!E7=TRUE,(Inputs!$B$32+1),0)))*(1-IF(AND(ArtifactsInput!$M$27,Inputs!$B$4="Chapter Hunt"),CHOOSE(ArtifactsInput!$N$27+1,20,24,28,32,36,40),0)/100)),0)</f>
        <v/>
      </c>
      <c r="R1044">
        <f>IF(AND(Inputs!$B$38&lt;&gt;"pvp",Inputs!$B$43&gt;0),IF(MAX(0,Inputs!$B$43-B1073)&lt;=0,0,(INT(MAX(0,Inputs!$B$43-B1073)/(IF(Inputs!$B$38="pvp",15,MAX(0.1,Skills!D7-IF(Skills!E7=TRUE,(Inputs!$B$32+1),0)))*(1-IF(AND(ArtifactsInput!$M$27,Inputs!$B$4="Chapter Hunt"),CHOOSE(ArtifactsInput!$N$27+1,20,24,28,32,36,40),0)/100)))+1)),0)</f>
        <v/>
      </c>
      <c r="S1044">
        <f>IFERROR(O1044/N1044,0)</f>
        <v/>
      </c>
      <c r="T1044">
        <f>IF(C1044,(H1044*N1044*IF(AND(Inputs!$B$38&lt;&gt;"pvp",Inputs!$B$43&gt;0),((Skills!G7*((R1044-1)*IF(Skills!H7&gt;0,Skills!I7/Skills!H7,1)+IF(Skills!H7&gt;0,MIN(Skills!I7,MAX(0,MAX(0,Inputs!$B$43-B1073)-((R1044-1)*(IF(Inputs!$B$38="pvp",15,MAX(0.1,Skills!D7-IF(Skills!E7=TRUE,(Inputs!$B$32+1),0)))*(1-IF(AND(ArtifactsInput!$M$27,Inputs!$B$4="Chapter Hunt"),CHOOSE(ArtifactsInput!$N$27+1,20,24,28,32,36,40),0)/100)))))/Skills!H7,1)))/Inputs!$B$43),G1044*Q1044)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1044*(1-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1044*(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1044*(1-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1044*(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4">
        <f>IF(C1044,(H1044*N1044*IF(AND(Inputs!$B$38&lt;&gt;"pvp",Inputs!$B$43&gt;0),((Skills!G7*((R1044-1)*IF(Skills!H7&gt;0,Skills!I7/Skills!H7,1)+IF(Skills!H7&gt;0,MIN(Skills!I7,MAX(0,MAX(0,Inputs!$B$43-B1073)-((R1044-1)*(IF(Inputs!$B$38="pvp",15,MAX(0.1,Skills!D7-IF(Skills!E7=TRUE,(Inputs!$B$32+1),0)))*(1-IF(AND(ArtifactsInput!$M$27,Inputs!$B$4="Chapter Hunt"),CHOOSE(ArtifactsInput!$N$27+1,20,24,28,32,36,40),0)/100)))))/Skills!H7,1)))/Inputs!$B$43),G1044*Q1044)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5">
      <c r="A1045">
        <f>Skills!A8</f>
        <v/>
      </c>
      <c r="B1045">
        <f>Skills!B8</f>
        <v/>
      </c>
      <c r="C1045">
        <f>Inputs!$B$3&gt;=117</f>
        <v/>
      </c>
      <c r="D1045">
        <f>IF(Skills!C8=1,60+Inputs!$B$25+Inputs!$B$29,IF(Skills!C8=2,90+Inputs!$B$26+Inputs!$B$29,IF(Skills!C8=3,120+Inputs!$B$27+Inputs!$B$29,MAX(0,(Inputs!$B$3-100)*3)+Inputs!$B$28+Inputs!$B$29)))</f>
        <v/>
      </c>
      <c r="E1045">
        <f>INDEX(FactorTable!$B$2:$Y$301, MATCH(ROUND(MIN(300,MAX(1,D1045)),0), FactorTable!$A$2:$A$301,0), Skills!M8+1)</f>
        <v/>
      </c>
      <c r="F1045">
        <f>IF(Skills!N8=TRUE,(Skills!L8/10)*(E1045/1000),Skills!L8/10)+Skills!O8</f>
        <v/>
      </c>
      <c r="G1045">
        <f>Skills!G8*IF(Skills!H8&gt;0,Skills!I8/Skills!H8,1)</f>
        <v/>
      </c>
      <c r="H1045">
        <f>1-(1-Skills!J8/100)^Skills!K8</f>
        <v/>
      </c>
      <c r="I1045" t="inlineStr">
        <is>
          <t>1</t>
        </is>
      </c>
      <c r="J1045">
        <f>((Inputs!$B$6*(1+Inputs!$B$7/100))+(((Inputs!$B$12*(1+Inputs!$B$13/100))-(Inputs!$B$12*(1+Inputs!$B$13/100)))+0.25*(Inputs!$B$14-Inputs!$B$14))*(1+Inputs!$B$7/100))*(F1045/100)</f>
        <v/>
      </c>
      <c r="K1045">
        <f>J1045*(1+((Inputs!$B$12*(1+Inputs!$B$13/100))*0.01+Inputs!$B$14*0.0025)/100)*(1+Inputs!$B$15/100)*(1+Inputs!$B$16/100)*(5000/(6000+Inputs!$B$42*(1-(100*(1-(1-(Inputs!$B$19+0)/100)*(1-CHOOSE(ArtifactsInput!$N$40+1,5,6,7,8,9,10)/100)^(ArtifactsInput!$M$40-ArtifactsInput!$M$40)))/100)))*(1+(Inputs!$B$24+((C1062=TRUE)*(F1062-Calc!F25))+B1072)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1058=TRUE)*(F1058-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1060=TRUE)*(F1060-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1050=TRUE)*F1050*IF(Inputs!$B$3&gt;=110,7,5))+((C1052=TRUE)*F1052*IF(AND(Inputs!$B$38&lt;&gt;"pvp",Inputs!$B$43&gt;0),(((R1052-1)*(Skills!T15*(1+(Inputs!$B$34+(ArtifactsInput!$M$7-ArtifactsInput!$M$7)*CHOOSE(ArtifactsInput!$N$7+1,6,7.2,8.4,9.6,10.8,12))/100))+MIN((Skills!T15*(1+(Inputs!$B$34+(ArtifactsInput!$M$7-ArtifactsInput!$M$7)*CHOOSE(ArtifactsInput!$N$7+1,6,7.2,8.4,9.6,10.8,12))/100)),MAX(0,Inputs!$B$43-((R1052-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Hunt"),CHOOSE(ArtifactsInput!$N$35+1,15,18,21,24,27,30)*(1-EXP(-(0.2*B1068)*5)),0)+IF(AND(ArtifactsInput!$M$22,Inputs!$B$4&lt;&gt;"Chapter Hunt"),CHOOSE(ArtifactsInput!$N$22+1,10,12,14,16,18,20)*((0*(((0.15*B1068*5))^0/1)+1*(((0.15*B1068*5))^1/1)+2*(((0.15*B1068*5))^2/2)+3*(((0.15*B1068*5))^3/6)+4*(((0.15*B1068*5))^4/24)+5*(((0.15*B1068*5))^5/120))/((((0.15*B1068*5))^0/1)+(((0.15*B1068*5))^1/1)+(((0.15*B1068*5))^2/2)+(((0.15*B1068*5))^3/6)+(((0.15*B1068*5))^4/24)+(((0.15*B1068*5))^5/120))),0)))/100)*I1045)</f>
        <v/>
      </c>
      <c r="L1045">
        <f>K1045*(MIN(Inputs!$B$22+((C1059=TRUE)*(F1059-Calc!F22)),(Inputs!$B$23+((C1061=TRUE)*(F1061-Calc!F24))+(IF(ArtifactsInput!$M$15,CHOOSE(ArtifactsInput!$N$15+1,25,30,35,40,45,50)/100*(Inputs!$B$11-Inputs!$B$11),0))))/100+(Inputs!$B$23+((C1061=TRUE)*(F1061-Calc!F24))+(IF(ArtifactsInput!$M$15,CHOOSE(ArtifactsInput!$N$15+1,25,30,35,40,45,50)/100*(Inputs!$B$11-Inputs!$B$11),0)))/100)/2</f>
        <v/>
      </c>
      <c r="M1045">
        <f>L1045*(1+(Inputs!$B$10+0+B1071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5">
        <f>L1045*(1-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1045*(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5">
        <f>(1-Summary!$B$11)*T1045+Summary!$B$11*V1045</f>
        <v/>
      </c>
      <c r="P1045">
        <f>IF(B1076=0,0,O1045/B1076)</f>
        <v/>
      </c>
      <c r="Q1045">
        <f>IFERROR(1/(IF(Inputs!$B$38="pvp",15,MAX(0.1,Skills!D8-IF(Skills!E8=TRUE,(Inputs!$B$32+1),0)))*(1-IF(AND(ArtifactsInput!$M$27,Inputs!$B$4="Chapter Hunt"),CHOOSE(ArtifactsInput!$N$27+1,20,24,28,32,36,40),0)/100)),0)</f>
        <v/>
      </c>
      <c r="R1045">
        <f>IF(AND(Inputs!$B$38&lt;&gt;"pvp",Inputs!$B$43&gt;0),IF(MAX(0,Inputs!$B$43-B1073)&lt;=0,0,(INT(MAX(0,Inputs!$B$43-B1073)/(IF(Inputs!$B$38="pvp",15,MAX(0.1,Skills!D8-IF(Skills!E8=TRUE,(Inputs!$B$32+1),0)))*(1-IF(AND(ArtifactsInput!$M$27,Inputs!$B$4="Chapter Hunt"),CHOOSE(ArtifactsInput!$N$27+1,20,24,28,32,36,40),0)/100)))+1)),0)</f>
        <v/>
      </c>
      <c r="S1045">
        <f>IFERROR(O1045/N1045,0)</f>
        <v/>
      </c>
      <c r="T1045">
        <f>IF(C1045,(H1045*N1045*IF(AND(Inputs!$B$38&lt;&gt;"pvp",Inputs!$B$43&gt;0),((Skills!G8*((R1045-1)*IF(Skills!H8&gt;0,Skills!I8/Skills!H8,1)+IF(Skills!H8&gt;0,MIN(Skills!I8,MAX(0,MAX(0,Inputs!$B$43-B1073)-((R1045-1)*(IF(Inputs!$B$38="pvp",15,MAX(0.1,Skills!D8-IF(Skills!E8=TRUE,(Inputs!$B$32+1),0)))*(1-IF(AND(ArtifactsInput!$M$27,Inputs!$B$4="Chapter Hunt"),CHOOSE(ArtifactsInput!$N$27+1,20,24,28,32,36,40),0)/100)))))/Skills!H8,1)))/Inputs!$B$43),G1045*Q1045)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1045*(1-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1045*(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1045*(1-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1045*(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5">
        <f>IF(C1045,(H1045*N1045*IF(AND(Inputs!$B$38&lt;&gt;"pvp",Inputs!$B$43&gt;0),((Skills!G8*((R1045-1)*IF(Skills!H8&gt;0,Skills!I8/Skills!H8,1)+IF(Skills!H8&gt;0,MIN(Skills!I8,MAX(0,MAX(0,Inputs!$B$43-B1073)-((R1045-1)*(IF(Inputs!$B$38="pvp",15,MAX(0.1,Skills!D8-IF(Skills!E8=TRUE,(Inputs!$B$32+1),0)))*(1-IF(AND(ArtifactsInput!$M$27,Inputs!$B$4="Chapter Hunt"),CHOOSE(ArtifactsInput!$N$27+1,20,24,28,32,36,40),0)/100)))))/Skills!H8,1)))/Inputs!$B$43),G1045*Q1045)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6">
      <c r="A1046">
        <f>Skills!A9</f>
        <v/>
      </c>
      <c r="B1046">
        <f>Skills!B9</f>
        <v/>
      </c>
      <c r="C1046">
        <f>Inputs!$B$3&gt;=69</f>
        <v/>
      </c>
      <c r="D1046">
        <f>IF(Skills!C9=1,60+Inputs!$B$25+Inputs!$B$29,IF(Skills!C9=2,90+Inputs!$B$26+Inputs!$B$29,IF(Skills!C9=3,120+Inputs!$B$27+Inputs!$B$29,MAX(0,(Inputs!$B$3-100)*3)+Inputs!$B$28+Inputs!$B$29)))</f>
        <v/>
      </c>
      <c r="E1046">
        <f>INDEX(FactorTable!$B$2:$Y$301, MATCH(ROUND(MIN(300,MAX(1,D1046)),0), FactorTable!$A$2:$A$301,0), Skills!M9+1)</f>
        <v/>
      </c>
      <c r="F1046">
        <f>IF(Skills!N9=TRUE,(Skills!L9/10)*(E1046/1000),Skills!L9/10)+Skills!O9</f>
        <v/>
      </c>
      <c r="G1046">
        <f>Skills!G9*IF(Skills!H9&gt;0,Skills!I9/Skills!H9,1)</f>
        <v/>
      </c>
      <c r="H1046">
        <f>1-(1-Skills!J9/100)^Skills!K9</f>
        <v/>
      </c>
      <c r="I1046" t="inlineStr">
        <is>
          <t>1</t>
        </is>
      </c>
      <c r="J1046">
        <f>((Inputs!$B$6*(1+Inputs!$B$7/100))+(((Inputs!$B$12*(1+Inputs!$B$13/100))-(Inputs!$B$12*(1+Inputs!$B$13/100)))+0.25*(Inputs!$B$14-Inputs!$B$14))*(1+Inputs!$B$7/100))*(F1046/100)</f>
        <v/>
      </c>
      <c r="K1046">
        <f>J1046*(1+((Inputs!$B$12*(1+Inputs!$B$13/100))*0.01+Inputs!$B$14*0.0025)/100)*(1+Inputs!$B$15/100)*(1+Inputs!$B$16/100)*(5000/(6000+Inputs!$B$42*(1-(100*(1-(1-(Inputs!$B$19+0)/100)*(1-CHOOSE(ArtifactsInput!$N$40+1,5,6,7,8,9,10)/100)^(ArtifactsInput!$M$40-ArtifactsInput!$M$40)))/100)))*(1+(Inputs!$B$24+((C1062=TRUE)*(F1062-Calc!F25))+B1072)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1049=TRUE,F1049,0)/100)*(1+IF(Skills!A9="ENHANCED_RAGING_BLOW",IF(Inputs!$B$3&gt;=134,MAX(0,IF(Inputs!$B$3&gt;=110,7,5)-5)*50,0),0)/100)*(1+(IF(Skills!A9="RAGING_BLOW",Inputs!$B$17+((C1058=TRUE)*(F1058-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1060=TRUE)*(F1060-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1050=TRUE)*F1050*IF(Inputs!$B$3&gt;=110,7,5))+((C1052=TRUE)*F1052*IF(AND(Inputs!$B$38&lt;&gt;"pvp",Inputs!$B$43&gt;0),(((R1052-1)*(Skills!T15*(1+(Inputs!$B$34+(ArtifactsInput!$M$7-ArtifactsInput!$M$7)*CHOOSE(ArtifactsInput!$N$7+1,6,7.2,8.4,9.6,10.8,12))/100))+MIN((Skills!T15*(1+(Inputs!$B$34+(ArtifactsInput!$M$7-ArtifactsInput!$M$7)*CHOOSE(ArtifactsInput!$N$7+1,6,7.2,8.4,9.6,10.8,12))/100)),MAX(0,Inputs!$B$43-((R1052-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Hunt"),CHOOSE(ArtifactsInput!$N$35+1,15,18,21,24,27,30)*(1-EXP(-(0.2*B1068)*5)),0)+IF(AND(ArtifactsInput!$M$22,Inputs!$B$4&lt;&gt;"Chapter Hunt"),CHOOSE(ArtifactsInput!$N$22+1,10,12,14,16,18,20)*((0*(((0.15*B1068*5))^0/1)+1*(((0.15*B1068*5))^1/1)+2*(((0.15*B1068*5))^2/2)+3*(((0.15*B1068*5))^3/6)+4*(((0.15*B1068*5))^4/24)+5*(((0.15*B1068*5))^5/120))/((((0.15*B1068*5))^0/1)+(((0.15*B1068*5))^1/1)+(((0.15*B1068*5))^2/2)+(((0.15*B1068*5))^3/6)+(((0.15*B1068*5))^4/24)+(((0.15*B1068*5))^5/120))),0)))/100)*I1046)</f>
        <v/>
      </c>
      <c r="L1046">
        <f>K1046*(MIN(Inputs!$B$22+((C1059=TRUE)*(F1059-Calc!F22)),(Inputs!$B$23+((C1061=TRUE)*(F1061-Calc!F24))+(IF(ArtifactsInput!$M$15,CHOOSE(ArtifactsInput!$N$15+1,25,30,35,40,45,50)/100*(Inputs!$B$11-Inputs!$B$11),0))))/100+(Inputs!$B$23+((C1061=TRUE)*(F1061-Calc!F24))+(IF(ArtifactsInput!$M$15,CHOOSE(ArtifactsInput!$N$15+1,25,30,35,40,45,50)/100*(Inputs!$B$11-Inputs!$B$11),0)))/100)/2</f>
        <v/>
      </c>
      <c r="M1046">
        <f>L1046*(1+(Inputs!$B$10+0+B1071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6">
        <f>L1046*(1-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1046*(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6">
        <f>(1-Summary!$B$11)*T1046+Summary!$B$11*V1046</f>
        <v/>
      </c>
      <c r="P1046">
        <f>IF(B1076=0,0,O1046/B1076)</f>
        <v/>
      </c>
      <c r="Q1046">
        <f>IFERROR(1/(IF(Inputs!$B$38="pvp",15,MAX(0.1,Skills!D9-IF(Skills!E9=TRUE,(Inputs!$B$32+1),0)))*(1-IF(AND(ArtifactsInput!$M$27,Inputs!$B$4="Chapter Hunt"),CHOOSE(ArtifactsInput!$N$27+1,20,24,28,32,36,40),0)/100)),0)</f>
        <v/>
      </c>
      <c r="R1046">
        <f>IF(AND(Inputs!$B$38&lt;&gt;"pvp",Inputs!$B$43&gt;0),IF(MAX(0,Inputs!$B$43-B1073)&lt;=0,0,(INT(MAX(0,Inputs!$B$43-B1073)/(IF(Inputs!$B$38="pvp",15,MAX(0.1,Skills!D9-IF(Skills!E9=TRUE,(Inputs!$B$32+1),0)))*(1-IF(AND(ArtifactsInput!$M$27,Inputs!$B$4="Chapter Hunt"),CHOOSE(ArtifactsInput!$N$27+1,20,24,28,32,36,40),0)/100)))+1)),0)</f>
        <v/>
      </c>
      <c r="S1046">
        <f>IFERROR(O1046/N1046,0)</f>
        <v/>
      </c>
      <c r="T1046">
        <f>IF(C1046,(H1046*N1046*IF(AND(Inputs!$B$38&lt;&gt;"pvp",Inputs!$B$43&gt;0),((Skills!G9*((R1046-1)*IF(Skills!H9&gt;0,Skills!I9/Skills!H9,1)+IF(Skills!H9&gt;0,MIN(Skills!I9,MAX(0,MAX(0,Inputs!$B$43-B1073)-((R1046-1)*(IF(Inputs!$B$38="pvp",15,MAX(0.1,Skills!D9-IF(Skills!E9=TRUE,(Inputs!$B$32+1),0)))*(1-IF(AND(ArtifactsInput!$M$27,Inputs!$B$4="Chapter Hunt"),CHOOSE(ArtifactsInput!$N$27+1,20,24,28,32,36,40),0)/100)))))/Skills!H9,1)))/Inputs!$B$43),G1046*Q1046)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1046*(1-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1046*(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1046*(1-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1046*(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6">
        <f>IF(C1046,(H1046*N1046*IF(AND(Inputs!$B$38&lt;&gt;"pvp",Inputs!$B$43&gt;0),((Skills!G9*((R1046-1)*IF(Skills!H9&gt;0,Skills!I9/Skills!H9,1)+IF(Skills!H9&gt;0,MIN(Skills!I9,MAX(0,MAX(0,Inputs!$B$43-B1073)-((R1046-1)*(IF(Inputs!$B$38="pvp",15,MAX(0.1,Skills!D9-IF(Skills!E9=TRUE,(Inputs!$B$32+1),0)))*(1-IF(AND(ArtifactsInput!$M$27,Inputs!$B$4="Chapter Hunt"),CHOOSE(ArtifactsInput!$N$27+1,20,24,28,32,36,40),0)/100)))))/Skills!H9,1)))/Inputs!$B$43),G1046*Q1046)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7">
      <c r="A1047">
        <f>Skills!A10</f>
        <v/>
      </c>
      <c r="B1047">
        <f>Skills!B10</f>
        <v/>
      </c>
      <c r="C1047">
        <f>Inputs!$B$3&gt;=63</f>
        <v/>
      </c>
      <c r="D1047">
        <f>IF(Skills!C10=1,60+Inputs!$B$25+Inputs!$B$29,IF(Skills!C10=2,90+Inputs!$B$26+Inputs!$B$29,IF(Skills!C10=3,120+Inputs!$B$27+Inputs!$B$29,MAX(0,(Inputs!$B$3-100)*3)+Inputs!$B$28+Inputs!$B$29)))</f>
        <v/>
      </c>
      <c r="E1047">
        <f>INDEX(FactorTable!$B$2:$Y$301, MATCH(ROUND(MIN(300,MAX(1,D1047)),0), FactorTable!$A$2:$A$301,0), Skills!M10+1)</f>
        <v/>
      </c>
      <c r="F1047">
        <f>IF(Skills!N10=TRUE,(Skills!L10/10)*(E1047/1000),Skills!L10/10)+Skills!O10</f>
        <v/>
      </c>
      <c r="G1047">
        <f>Skills!G10*IF(Skills!H10&gt;0,Skills!I10/Skills!H10,1)</f>
        <v/>
      </c>
      <c r="H1047">
        <f>1-(1-Skills!J10/100)^Skills!K10</f>
        <v/>
      </c>
      <c r="I1047" t="inlineStr">
        <is>
          <t>1</t>
        </is>
      </c>
      <c r="J1047">
        <f>((Inputs!$B$6*(1+Inputs!$B$7/100))+(((Inputs!$B$12*(1+Inputs!$B$13/100))-(Inputs!$B$12*(1+Inputs!$B$13/100)))+0.25*(Inputs!$B$14-Inputs!$B$14))*(1+Inputs!$B$7/100))*(F1047/100)</f>
        <v/>
      </c>
      <c r="K1047">
        <f>J1047*(1+((Inputs!$B$12*(1+Inputs!$B$13/100))*0.01+Inputs!$B$14*0.0025)/100)*(1+Inputs!$B$15/100)*(1+Inputs!$B$16/100)*(5000/(6000+Inputs!$B$42*(1-(100*(1-(1-(Inputs!$B$19+0)/100)*(1-CHOOSE(ArtifactsInput!$N$40+1,5,6,7,8,9,10)/100)^(ArtifactsInput!$M$40-ArtifactsInput!$M$40)))/100)))*(1+(Inputs!$B$24+((C1062=TRUE)*(F1062-Calc!F25))+B1072)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1049=TRUE,F1049,0)/100)*(1+IF(Skills!A10="ENHANCED_RAGING_BLOW",IF(Inputs!$B$3&gt;=134,MAX(0,IF(Inputs!$B$3&gt;=110,7,5)-5)*50,0),0)/100)*(1+(IF(Skills!A10="RAGING_BLOW",Inputs!$B$17+((C1058=TRUE)*(F1058-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1060=TRUE)*(F1060-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1050=TRUE)*F1050*IF(Inputs!$B$3&gt;=110,7,5))+((C1052=TRUE)*F1052*IF(AND(Inputs!$B$38&lt;&gt;"pvp",Inputs!$B$43&gt;0),(((R1052-1)*(Skills!T15*(1+(Inputs!$B$34+(ArtifactsInput!$M$7-ArtifactsInput!$M$7)*CHOOSE(ArtifactsInput!$N$7+1,6,7.2,8.4,9.6,10.8,12))/100))+MIN((Skills!T15*(1+(Inputs!$B$34+(ArtifactsInput!$M$7-ArtifactsInput!$M$7)*CHOOSE(ArtifactsInput!$N$7+1,6,7.2,8.4,9.6,10.8,12))/100)),MAX(0,Inputs!$B$43-((R1052-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Hunt"),CHOOSE(ArtifactsInput!$N$35+1,15,18,21,24,27,30)*(1-EXP(-(0.2*B1068)*5)),0)+IF(AND(ArtifactsInput!$M$22,Inputs!$B$4&lt;&gt;"Chapter Hunt"),CHOOSE(ArtifactsInput!$N$22+1,10,12,14,16,18,20)*((0*(((0.15*B1068*5))^0/1)+1*(((0.15*B1068*5))^1/1)+2*(((0.15*B1068*5))^2/2)+3*(((0.15*B1068*5))^3/6)+4*(((0.15*B1068*5))^4/24)+5*(((0.15*B1068*5))^5/120))/((((0.15*B1068*5))^0/1)+(((0.15*B1068*5))^1/1)+(((0.15*B1068*5))^2/2)+(((0.15*B1068*5))^3/6)+(((0.15*B1068*5))^4/24)+(((0.15*B1068*5))^5/120))),0)))/100)*I1047)</f>
        <v/>
      </c>
      <c r="L1047">
        <f>K1047*(MIN(Inputs!$B$22+((C1059=TRUE)*(F1059-Calc!F22)),(Inputs!$B$23+((C1061=TRUE)*(F1061-Calc!F24))+(IF(ArtifactsInput!$M$15,CHOOSE(ArtifactsInput!$N$15+1,25,30,35,40,45,50)/100*(Inputs!$B$11-Inputs!$B$11),0))))/100+(Inputs!$B$23+((C1061=TRUE)*(F1061-Calc!F24))+(IF(ArtifactsInput!$M$15,CHOOSE(ArtifactsInput!$N$15+1,25,30,35,40,45,50)/100*(Inputs!$B$11-Inputs!$B$11),0)))/100)/2</f>
        <v/>
      </c>
      <c r="M1047">
        <f>L1047*(1+(Inputs!$B$10+0+B1071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7">
        <f>L1047*(1-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1047*(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7">
        <f>(1-Summary!$B$11)*T1047+Summary!$B$11*V1047</f>
        <v/>
      </c>
      <c r="P1047">
        <f>IF(B1076=0,0,O1047/B1076)</f>
        <v/>
      </c>
      <c r="Q1047">
        <f>IFERROR(1/(IF(Inputs!$B$38="pvp",15,MAX(0.1,Skills!D10-IF(Skills!E10=TRUE,(Inputs!$B$32+1),0)))*(1-IF(AND(ArtifactsInput!$M$27,Inputs!$B$4="Chapter Hunt"),CHOOSE(ArtifactsInput!$N$27+1,20,24,28,32,36,40),0)/100)),0)</f>
        <v/>
      </c>
      <c r="R1047">
        <f>IF(AND(Inputs!$B$38&lt;&gt;"pvp",Inputs!$B$43&gt;0),IF(MAX(0,Inputs!$B$43-B1073)&lt;=0,0,(INT(MAX(0,Inputs!$B$43-B1073)/(IF(Inputs!$B$38="pvp",15,MAX(0.1,Skills!D10-IF(Skills!E10=TRUE,(Inputs!$B$32+1),0)))*(1-IF(AND(ArtifactsInput!$M$27,Inputs!$B$4="Chapter Hunt"),CHOOSE(ArtifactsInput!$N$27+1,20,24,28,32,36,40),0)/100)))+1)),0)</f>
        <v/>
      </c>
      <c r="S1047">
        <f>IFERROR(O1047/N1047,0)</f>
        <v/>
      </c>
      <c r="T1047">
        <f>IF(C1047,(H1047*N1047*IF(AND(Inputs!$B$38&lt;&gt;"pvp",Inputs!$B$43&gt;0),((Skills!G10*((R1047-1)*IF(Skills!H10&gt;0,Skills!I10/Skills!H10,1)+IF(Skills!H10&gt;0,MIN(Skills!I10,MAX(0,MAX(0,Inputs!$B$43-B1073)-((R1047-1)*(IF(Inputs!$B$38="pvp",15,MAX(0.1,Skills!D10-IF(Skills!E10=TRUE,(Inputs!$B$32+1),0)))*(1-IF(AND(ArtifactsInput!$M$27,Inputs!$B$4="Chapter Hunt"),CHOOSE(ArtifactsInput!$N$27+1,20,24,28,32,36,40),0)/100)))))/Skills!H10,1)))/Inputs!$B$43),G1047*Q1047)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1047*(1-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1047*(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1047*(1-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1047*(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7">
        <f>IF(C1047,(H1047*N1047*IF(AND(Inputs!$B$38&lt;&gt;"pvp",Inputs!$B$43&gt;0),((Skills!G10*((R1047-1)*IF(Skills!H10&gt;0,Skills!I10/Skills!H10,1)+IF(Skills!H10&gt;0,MIN(Skills!I10,MAX(0,MAX(0,Inputs!$B$43-B1073)-((R1047-1)*(IF(Inputs!$B$38="pvp",15,MAX(0.1,Skills!D10-IF(Skills!E10=TRUE,(Inputs!$B$32+1),0)))*(1-IF(AND(ArtifactsInput!$M$27,Inputs!$B$4="Chapter Hunt"),CHOOSE(ArtifactsInput!$N$27+1,20,24,28,32,36,40),0)/100)))))/Skills!H10,1)))/Inputs!$B$43),G1047*Q1047)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8">
      <c r="A1048">
        <f>Skills!A11</f>
        <v/>
      </c>
      <c r="B1048">
        <f>Skills!B11</f>
        <v/>
      </c>
      <c r="C1048">
        <f>Inputs!$B$3&gt;=35</f>
        <v/>
      </c>
      <c r="D1048">
        <f>IF(Skills!C11=1,60+Inputs!$B$25+Inputs!$B$29,IF(Skills!C11=2,90+Inputs!$B$26+Inputs!$B$29,IF(Skills!C11=3,120+Inputs!$B$27+Inputs!$B$29,MAX(0,(Inputs!$B$3-100)*3)+Inputs!$B$28+Inputs!$B$29)))</f>
        <v/>
      </c>
      <c r="E1048">
        <f>INDEX(FactorTable!$B$2:$Y$301, MATCH(ROUND(MIN(300,MAX(1,D1048)),0), FactorTable!$A$2:$A$301,0), Skills!M11+1)</f>
        <v/>
      </c>
      <c r="F1048">
        <f>IF(Skills!N11=TRUE,(Skills!L11/10)*(E1048/1000),Skills!L11/10)+Skills!O11</f>
        <v/>
      </c>
      <c r="G1048">
        <f>Skills!G11*IF(Skills!H11&gt;0,Skills!I11/Skills!H11,1)</f>
        <v/>
      </c>
      <c r="H1048">
        <f>1-(1-Skills!J11/100)^Skills!K11</f>
        <v/>
      </c>
      <c r="I1048" t="inlineStr">
        <is>
          <t>1</t>
        </is>
      </c>
      <c r="J1048">
        <f>((Inputs!$B$6*(1+Inputs!$B$7/100))+(((Inputs!$B$12*(1+Inputs!$B$13/100))-(Inputs!$B$12*(1+Inputs!$B$13/100)))+0.25*(Inputs!$B$14-Inputs!$B$14))*(1+Inputs!$B$7/100))*(F1048/100)</f>
        <v/>
      </c>
      <c r="K1048">
        <f>J1048*(1+((Inputs!$B$12*(1+Inputs!$B$13/100))*0.01+Inputs!$B$14*0.0025)/100)*(1+Inputs!$B$15/100)*(1+Inputs!$B$16/100)*(5000/(6000+Inputs!$B$42*(1-(100*(1-(1-(Inputs!$B$19+0)/100)*(1-CHOOSE(ArtifactsInput!$N$40+1,5,6,7,8,9,10)/100)^(ArtifactsInput!$M$40-ArtifactsInput!$M$40)))/100)))*(1+(Inputs!$B$24+((C1062=TRUE)*(F1062-Calc!F25))+B1072)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1049=TRUE,F1049,0)/100)*(1+IF(Skills!A11="ENHANCED_RAGING_BLOW",IF(Inputs!$B$3&gt;=134,MAX(0,IF(Inputs!$B$3&gt;=110,7,5)-5)*50,0),0)/100)*(1+(IF(Skills!A11="RAGING_BLOW",Inputs!$B$17+((C1058=TRUE)*(F1058-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1060=TRUE)*(F1060-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1050=TRUE)*F1050*IF(Inputs!$B$3&gt;=110,7,5))+((C1052=TRUE)*F1052*IF(AND(Inputs!$B$38&lt;&gt;"pvp",Inputs!$B$43&gt;0),(((R1052-1)*(Skills!T15*(1+(Inputs!$B$34+(ArtifactsInput!$M$7-ArtifactsInput!$M$7)*CHOOSE(ArtifactsInput!$N$7+1,6,7.2,8.4,9.6,10.8,12))/100))+MIN((Skills!T15*(1+(Inputs!$B$34+(ArtifactsInput!$M$7-ArtifactsInput!$M$7)*CHOOSE(ArtifactsInput!$N$7+1,6,7.2,8.4,9.6,10.8,12))/100)),MAX(0,Inputs!$B$43-((R1052-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Hunt"),CHOOSE(ArtifactsInput!$N$35+1,15,18,21,24,27,30)*(1-EXP(-(0.2*B1068)*5)),0)+IF(AND(ArtifactsInput!$M$22,Inputs!$B$4&lt;&gt;"Chapter Hunt"),CHOOSE(ArtifactsInput!$N$22+1,10,12,14,16,18,20)*((0*(((0.15*B1068*5))^0/1)+1*(((0.15*B1068*5))^1/1)+2*(((0.15*B1068*5))^2/2)+3*(((0.15*B1068*5))^3/6)+4*(((0.15*B1068*5))^4/24)+5*(((0.15*B1068*5))^5/120))/((((0.15*B1068*5))^0/1)+(((0.15*B1068*5))^1/1)+(((0.15*B1068*5))^2/2)+(((0.15*B1068*5))^3/6)+(((0.15*B1068*5))^4/24)+(((0.15*B1068*5))^5/120))),0)))/100)*I1048)</f>
        <v/>
      </c>
      <c r="L1048">
        <f>K1048*(MIN(Inputs!$B$22+((C1059=TRUE)*(F1059-Calc!F22)),(Inputs!$B$23+((C1061=TRUE)*(F1061-Calc!F24))+(IF(ArtifactsInput!$M$15,CHOOSE(ArtifactsInput!$N$15+1,25,30,35,40,45,50)/100*(Inputs!$B$11-Inputs!$B$11),0))))/100+(Inputs!$B$23+((C1061=TRUE)*(F1061-Calc!F24))+(IF(ArtifactsInput!$M$15,CHOOSE(ArtifactsInput!$N$15+1,25,30,35,40,45,50)/100*(Inputs!$B$11-Inputs!$B$11),0)))/100)/2</f>
        <v/>
      </c>
      <c r="M1048">
        <f>L1048*(1+(Inputs!$B$10+0+B1071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8">
        <f>L1048*(1-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1048*(MIN((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8">
        <f>(1-Summary!$B$11)*T1048+Summary!$B$11*V1048</f>
        <v/>
      </c>
      <c r="P1048">
        <f>IF(B1076=0,0,O1048/B1076)</f>
        <v/>
      </c>
      <c r="Q1048">
        <f>IFERROR(1/(IF(Inputs!$B$38="pvp",15,MAX(0.1,Skills!D11-IF(Skills!E11=TRUE,(Inputs!$B$32+1),0)))*(1-IF(AND(ArtifactsInput!$M$27,Inputs!$B$4="Chapter Hunt"),CHOOSE(ArtifactsInput!$N$27+1,20,24,28,32,36,40),0)/100)),0)</f>
        <v/>
      </c>
      <c r="R1048">
        <f>IF(AND(Inputs!$B$38&lt;&gt;"pvp",Inputs!$B$43&gt;0),IF(MAX(0,Inputs!$B$43-B1073)&lt;=0,0,(INT(MAX(0,Inputs!$B$43-B1073)/(IF(Inputs!$B$38="pvp",15,MAX(0.1,Skills!D11-IF(Skills!E11=TRUE,(Inputs!$B$32+1),0)))*(1-IF(AND(ArtifactsInput!$M$27,Inputs!$B$4="Chapter Hunt"),CHOOSE(ArtifactsInput!$N$27+1,20,24,28,32,36,40),0)/100)))+1)),0)</f>
        <v/>
      </c>
      <c r="S1048">
        <f>IFERROR(O1048/N1048,0)</f>
        <v/>
      </c>
      <c r="T1048">
        <f>IF(C1048,(H1048*N1048*IF(AND(Inputs!$B$38&lt;&gt;"pvp",Inputs!$B$43&gt;0),((Skills!G11*((R1048-1)*IF(Skills!H11&gt;0,Skills!I11/Skills!H11,1)+IF(Skills!H11&gt;0,MIN(Skills!I11,MAX(0,MAX(0,Inputs!$B$43-B1073)-((R1048-1)*(IF(Inputs!$B$38="pvp",15,MAX(0.1,Skills!D11-IF(Skills!E11=TRUE,(Inputs!$B$32+1),0)))*(1-IF(AND(ArtifactsInput!$M$27,Inputs!$B$4="Chapter Hunt"),CHOOSE(ArtifactsInput!$N$27+1,20,24,28,32,36,40),0)/100)))))/Skills!H11,1)))/Inputs!$B$43),G1048*Q1048)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1048*(1-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1048*(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1048*(1-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1048*(MIN(100,(Inputs!$B$9+((C1063=TRUE)*(F1063-Calc!F26))+B1066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8">
        <f>IF(C1048,(H1048*N1048*IF(AND(Inputs!$B$38&lt;&gt;"pvp",Inputs!$B$43&gt;0),((Skills!G11*((R1048-1)*IF(Skills!H11&gt;0,Skills!I11/Skills!H11,1)+IF(Skills!H11&gt;0,MIN(Skills!I11,MAX(0,MAX(0,Inputs!$B$43-B1073)-((R1048-1)*(IF(Inputs!$B$38="pvp",15,MAX(0.1,Skills!D11-IF(Skills!E11=TRUE,(Inputs!$B$32+1),0)))*(1-IF(AND(ArtifactsInput!$M$27,Inputs!$B$4="Chapter Hunt"),CHOOSE(ArtifactsInput!$N$27+1,20,24,28,32,36,40),0)/100)))))/Skills!H11,1)))/Inputs!$B$43),G1048*Q1048)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9">
      <c r="A1049">
        <f>Skills!A12</f>
        <v/>
      </c>
      <c r="B1049">
        <f>Skills!B12</f>
        <v/>
      </c>
      <c r="C1049">
        <f>Inputs!$B$3&gt;=100</f>
        <v/>
      </c>
      <c r="D1049">
        <f>IF(Skills!C12=1,60+Inputs!$B$25+Inputs!$B$29,IF(Skills!C12=2,90+Inputs!$B$26+Inputs!$B$29,IF(Skills!C12=3,120+Inputs!$B$27+Inputs!$B$29,MAX(0,(Inputs!$B$3-100)*3)+Inputs!$B$28+Inputs!$B$29)))</f>
        <v/>
      </c>
      <c r="E1049">
        <f>INDEX(FactorTable!$B$2:$Y$301, MATCH(ROUND(MIN(300,MAX(1,D1049)),0), FactorTable!$A$2:$A$301,0), Skills!M12+1)</f>
        <v/>
      </c>
      <c r="F1049">
        <f>IF(Skills!N12=TRUE,(Skills!L12/10)*(E1049/1000),Skills!L12/10)+Skills!O12</f>
        <v/>
      </c>
      <c r="G1049" t="inlineStr"/>
      <c r="H1049" t="inlineStr"/>
      <c r="I1049" t="inlineStr">
        <is>
          <t>1</t>
        </is>
      </c>
      <c r="J1049" t="inlineStr"/>
      <c r="K1049" t="inlineStr"/>
      <c r="L1049" t="inlineStr"/>
      <c r="M1049" t="inlineStr"/>
      <c r="N1049" t="inlineStr"/>
      <c r="O1049" t="inlineStr"/>
      <c r="P1049" t="inlineStr"/>
      <c r="Q1049" t="inlineStr"/>
      <c r="R1049" t="inlineStr"/>
      <c r="S1049" t="inlineStr"/>
    </row>
    <row r="1050">
      <c r="A1050">
        <f>Skills!A13</f>
        <v/>
      </c>
      <c r="B1050">
        <f>Skills!B13</f>
        <v/>
      </c>
      <c r="C1050">
        <f>Inputs!$B$3&gt;=45</f>
        <v/>
      </c>
      <c r="D1050">
        <f>IF(Skills!C13=1,60+Inputs!$B$25+Inputs!$B$29,IF(Skills!C13=2,90+Inputs!$B$26+Inputs!$B$29,IF(Skills!C13=3,120+Inputs!$B$27+Inputs!$B$29,MAX(0,(Inputs!$B$3-100)*3)+Inputs!$B$28+Inputs!$B$29)))</f>
        <v/>
      </c>
      <c r="E1050">
        <f>INDEX(FactorTable!$B$2:$Y$301, MATCH(ROUND(MIN(300,MAX(1,D1050)),0), FactorTable!$A$2:$A$301,0), Skills!M13+1)</f>
        <v/>
      </c>
      <c r="F1050">
        <f>IF(Skills!N13=TRUE,(Skills!L13/10)*(E1050/1000),Skills!L13/10)+Skills!O13</f>
        <v/>
      </c>
      <c r="G1050">
        <f>Skills!G13*IF(Skills!H13&gt;0,Skills!I13/Skills!H13,1)</f>
        <v/>
      </c>
      <c r="H1050">
        <f>1-(1-Skills!J13/100)^Skills!K13</f>
        <v/>
      </c>
      <c r="I1050" t="inlineStr">
        <is>
          <t>1</t>
        </is>
      </c>
      <c r="J1050" t="inlineStr"/>
      <c r="K1050" t="inlineStr"/>
      <c r="L1050" t="inlineStr"/>
      <c r="M1050" t="inlineStr"/>
      <c r="N1050" t="inlineStr"/>
      <c r="O1050">
        <f>(1-Summary!$B$11)*T1050+Summary!$B$11*V1050</f>
        <v/>
      </c>
      <c r="P1050">
        <f>IF(B1076=0,0,O1050/B1076)</f>
        <v/>
      </c>
      <c r="Q1050" t="n">
        <v>0</v>
      </c>
      <c r="R1050" t="n">
        <v>0</v>
      </c>
      <c r="S1050">
        <f>IFERROR(O1050/N1050,0)</f>
        <v/>
      </c>
      <c r="T1050" t="n">
        <v>0</v>
      </c>
      <c r="V1050" t="n">
        <v>0</v>
      </c>
    </row>
    <row r="1051">
      <c r="A1051">
        <f>Skills!A14</f>
        <v/>
      </c>
      <c r="B1051">
        <f>Skills!B14</f>
        <v/>
      </c>
      <c r="C1051">
        <f>Inputs!$B$3&gt;=75</f>
        <v/>
      </c>
      <c r="D1051">
        <f>IF(Skills!C14=1,60+Inputs!$B$25+Inputs!$B$29,IF(Skills!C14=2,90+Inputs!$B$26+Inputs!$B$29,IF(Skills!C14=3,120+Inputs!$B$27+Inputs!$B$29,MAX(0,(Inputs!$B$3-100)*3)+Inputs!$B$28+Inputs!$B$29)))</f>
        <v/>
      </c>
      <c r="E1051">
        <f>INDEX(FactorTable!$B$2:$Y$301, MATCH(ROUND(MIN(300,MAX(1,D1051)),0), FactorTable!$A$2:$A$301,0), Skills!M14+1)</f>
        <v/>
      </c>
      <c r="F1051">
        <f>IF(Skills!N14=TRUE,(Skills!L14/10)*(E1051/1000),Skills!L14/10)+Skills!O14</f>
        <v/>
      </c>
      <c r="G1051">
        <f>Skills!G14*IF(Skills!H14&gt;0,Skills!I14/Skills!H14,1)</f>
        <v/>
      </c>
      <c r="H1051">
        <f>1-(1-Skills!J14/100)^Skills!K14</f>
        <v/>
      </c>
      <c r="I1051" t="inlineStr">
        <is>
          <t>1</t>
        </is>
      </c>
      <c r="J1051" t="inlineStr"/>
      <c r="K1051" t="inlineStr"/>
      <c r="L1051" t="inlineStr"/>
      <c r="M1051" t="inlineStr"/>
      <c r="N1051" t="inlineStr"/>
      <c r="O1051">
        <f>(1-Summary!$B$11)*T1051+Summary!$B$11*V1051</f>
        <v/>
      </c>
      <c r="P1051">
        <f>IF(B1076=0,0,O1051/B1076)</f>
        <v/>
      </c>
      <c r="Q1051" t="n">
        <v>0</v>
      </c>
      <c r="R1051" t="n">
        <v>0</v>
      </c>
      <c r="S1051">
        <f>IFERROR(O1051/N1051,0)</f>
        <v/>
      </c>
      <c r="T1051" t="n">
        <v>0</v>
      </c>
      <c r="V1051" t="n">
        <v>0</v>
      </c>
    </row>
    <row r="1052">
      <c r="A1052">
        <f>Skills!A15</f>
        <v/>
      </c>
      <c r="B1052">
        <f>Skills!B15</f>
        <v/>
      </c>
      <c r="C1052">
        <f>Inputs!$B$3&gt;=40</f>
        <v/>
      </c>
      <c r="D1052">
        <f>IF(Skills!C15=1,60+Inputs!$B$25+Inputs!$B$29,IF(Skills!C15=2,90+Inputs!$B$26+Inputs!$B$29,IF(Skills!C15=3,120+Inputs!$B$27+Inputs!$B$29,MAX(0,(Inputs!$B$3-100)*3)+Inputs!$B$28+Inputs!$B$29)))</f>
        <v/>
      </c>
      <c r="E1052">
        <f>INDEX(FactorTable!$B$2:$Y$301, MATCH(ROUND(MIN(300,MAX(1,D1052)),0), FactorTable!$A$2:$A$301,0), Skills!M15+1)</f>
        <v/>
      </c>
      <c r="F1052">
        <f>IF(Skills!N15=TRUE,(Skills!L15/10)*(E1052/1000),Skills!L15/10)+Skills!O15</f>
        <v/>
      </c>
      <c r="G1052">
        <f>Skills!G15*IF(Skills!H15&gt;0,Skills!I15/Skills!H15,1)</f>
        <v/>
      </c>
      <c r="H1052">
        <f>1-(1-Skills!J15/100)^Skills!K15</f>
        <v/>
      </c>
      <c r="I1052" t="inlineStr">
        <is>
          <t>1</t>
        </is>
      </c>
      <c r="J1052" t="inlineStr"/>
      <c r="K1052" t="inlineStr"/>
      <c r="L1052" t="inlineStr"/>
      <c r="M1052" t="inlineStr"/>
      <c r="N1052" t="inlineStr"/>
      <c r="O1052">
        <f>(1-Summary!$B$11)*T1052+Summary!$B$11*V1052</f>
        <v/>
      </c>
      <c r="P1052">
        <f>IF(B1076=0,0,O1052/B1076)</f>
        <v/>
      </c>
      <c r="Q1052">
        <f>IFERROR(1/(IF(Inputs!$B$38="pvp",15,MAX(0.1,Skills!D15-IF(Skills!E15=TRUE,(Inputs!$B$32+1),0)))*(1-IF(AND(ArtifactsInput!$M$27,Inputs!$B$4="Chapter Hunt"),CHOOSE(ArtifactsInput!$N$27+1,20,24,28,32,36,40),0)/100)),0)</f>
        <v/>
      </c>
      <c r="R1052">
        <f>IF(AND(Inputs!$B$38&lt;&gt;"pvp",Inputs!$B$43&gt;0),IF(Inputs!$B$43&lt;=0,0,(INT(Inputs!$B$43/(IF(Inputs!$B$38="pvp",15,MAX(0.1,Skills!D15-IF(Skills!E15=TRUE,(Inputs!$B$32+1),0)))*(1-IF(AND(ArtifactsInput!$M$27,Inputs!$B$4="Chapter Hunt"),CHOOSE(ArtifactsInput!$N$27+1,20,24,28,32,36,40),0)/100)))+1)),0)</f>
        <v/>
      </c>
      <c r="S1052">
        <f>IFERROR(O1052/N1052,0)</f>
        <v/>
      </c>
      <c r="T1052" t="n">
        <v>0</v>
      </c>
      <c r="V1052" t="n">
        <v>0</v>
      </c>
    </row>
    <row r="1053">
      <c r="A1053">
        <f>Skills!A16</f>
        <v/>
      </c>
      <c r="B1053">
        <f>Skills!B16</f>
        <v/>
      </c>
      <c r="C1053">
        <f>Inputs!$B$3&gt;=66</f>
        <v/>
      </c>
      <c r="D1053">
        <f>IF(Skills!C16=1,60+Inputs!$B$25+Inputs!$B$29,IF(Skills!C16=2,90+Inputs!$B$26+Inputs!$B$29,IF(Skills!C16=3,120+Inputs!$B$27+Inputs!$B$29,MAX(0,(Inputs!$B$3-100)*3)+Inputs!$B$28+Inputs!$B$29)))</f>
        <v/>
      </c>
      <c r="E1053">
        <f>INDEX(FactorTable!$B$2:$Y$301, MATCH(ROUND(MIN(300,MAX(1,D1053)),0), FactorTable!$A$2:$A$301,0), Skills!M16+1)</f>
        <v/>
      </c>
      <c r="F1053">
        <f>IF(Skills!N16=TRUE,(Skills!L16/10)*(E1053/1000),Skills!L16/10)+Skills!O16</f>
        <v/>
      </c>
      <c r="G1053">
        <f>Skills!G16*IF(Skills!H16&gt;0,Skills!I16/Skills!H16,1)</f>
        <v/>
      </c>
      <c r="H1053">
        <f>1-(1-Skills!J16/100)^Skills!K16</f>
        <v/>
      </c>
      <c r="I1053" t="inlineStr">
        <is>
          <t>1</t>
        </is>
      </c>
      <c r="J1053" t="inlineStr"/>
      <c r="K1053" t="inlineStr"/>
      <c r="L1053" t="inlineStr"/>
      <c r="M1053" t="inlineStr"/>
      <c r="N1053" t="inlineStr"/>
      <c r="O1053">
        <f>(1-Summary!$B$11)*T1053+Summary!$B$11*V1053</f>
        <v/>
      </c>
      <c r="P1053">
        <f>IF(B1076=0,0,O1053/B1076)</f>
        <v/>
      </c>
      <c r="Q1053">
        <f>IFERROR(1/(IF(Inputs!$B$38="pvp",15,MAX(0.1,Skills!D16-IF(Skills!E16=TRUE,(Inputs!$B$32+1),0)))*(1-IF(AND(ArtifactsInput!$M$27,Inputs!$B$4="Chapter Hunt"),CHOOSE(ArtifactsInput!$N$27+1,20,24,28,32,36,40),0)/100)),0)</f>
        <v/>
      </c>
      <c r="R1053">
        <f>IF(AND(Inputs!$B$38&lt;&gt;"pvp",Inputs!$B$43&gt;0),IF(Inputs!$B$43&lt;=0,0,(INT(Inputs!$B$43/(IF(Inputs!$B$38="pvp",15,MAX(0.1,Skills!D16-IF(Skills!E16=TRUE,(Inputs!$B$32+1),0)))*(1-IF(AND(ArtifactsInput!$M$27,Inputs!$B$4="Chapter Hunt"),CHOOSE(ArtifactsInput!$N$27+1,20,24,28,32,36,40),0)/100)))+1)),0)</f>
        <v/>
      </c>
      <c r="S1053">
        <f>IFERROR(O1053/N1053,0)</f>
        <v/>
      </c>
      <c r="T1053" t="n">
        <v>0</v>
      </c>
      <c r="V1053" t="n">
        <v>0</v>
      </c>
    </row>
    <row r="1054">
      <c r="A1054">
        <f>Skills!A17</f>
        <v/>
      </c>
      <c r="B1054">
        <f>Skills!B17</f>
        <v/>
      </c>
      <c r="C1054">
        <f>Inputs!$B$3&gt;=115</f>
        <v/>
      </c>
      <c r="D1054">
        <f>IF(Skills!C17=1,60+Inputs!$B$25+Inputs!$B$29,IF(Skills!C17=2,90+Inputs!$B$26+Inputs!$B$29,IF(Skills!C17=3,120+Inputs!$B$27+Inputs!$B$29,MAX(0,(Inputs!$B$3-100)*3)+Inputs!$B$28+Inputs!$B$29)))</f>
        <v/>
      </c>
      <c r="E1054">
        <f>INDEX(FactorTable!$B$2:$Y$301, MATCH(ROUND(MIN(300,MAX(1,D1054)),0), FactorTable!$A$2:$A$301,0), Skills!M17+1)</f>
        <v/>
      </c>
      <c r="F1054">
        <f>IF(Skills!N17=TRUE,(Skills!L17/10)*(E1054/1000),Skills!L17/10)+Skills!O17</f>
        <v/>
      </c>
      <c r="G1054">
        <f>Skills!G17*IF(Skills!H17&gt;0,Skills!I17/Skills!H17,1)</f>
        <v/>
      </c>
      <c r="H1054">
        <f>1-(1-Skills!J17/100)^Skills!K17</f>
        <v/>
      </c>
      <c r="I1054" t="inlineStr">
        <is>
          <t>1</t>
        </is>
      </c>
      <c r="J1054" t="inlineStr"/>
      <c r="K1054" t="inlineStr"/>
      <c r="L1054" t="inlineStr"/>
      <c r="M1054" t="inlineStr"/>
      <c r="N1054" t="inlineStr"/>
      <c r="O1054">
        <f>(1-Summary!$B$11)*T1054+Summary!$B$11*V1054</f>
        <v/>
      </c>
      <c r="P1054">
        <f>IF(B1076=0,0,O1054/B1076)</f>
        <v/>
      </c>
      <c r="Q1054">
        <f>IFERROR(1/(IF(Inputs!$B$38="pvp",15,MAX(0.1,Skills!D17-IF(Skills!E17=TRUE,(Inputs!$B$32+1),0)))*(1-IF(AND(ArtifactsInput!$M$27,Inputs!$B$4="Chapter Hunt"),CHOOSE(ArtifactsInput!$N$27+1,20,24,28,32,36,40),0)/100)),0)</f>
        <v/>
      </c>
      <c r="R1054">
        <f>IF(AND(Inputs!$B$38&lt;&gt;"pvp",Inputs!$B$43&gt;0),IF(Inputs!$B$43&lt;=0,0,(INT(Inputs!$B$43/(IF(Inputs!$B$38="pvp",15,MAX(0.1,Skills!D17-IF(Skills!E17=TRUE,(Inputs!$B$32+1),0)))*(1-IF(AND(ArtifactsInput!$M$27,Inputs!$B$4="Chapter Hunt"),CHOOSE(ArtifactsInput!$N$27+1,20,24,28,32,36,40),0)/100)))+1)),0)</f>
        <v/>
      </c>
      <c r="S1054">
        <f>IFERROR(O1054/N1054,0)</f>
        <v/>
      </c>
      <c r="T1054" t="n">
        <v>0</v>
      </c>
      <c r="V1054" t="n">
        <v>0</v>
      </c>
    </row>
    <row r="1055">
      <c r="A1055">
        <f>Skills!A18</f>
        <v/>
      </c>
      <c r="B1055">
        <f>Skills!B18</f>
        <v/>
      </c>
      <c r="C1055">
        <f>Inputs!$B$3&gt;=115</f>
        <v/>
      </c>
      <c r="D1055">
        <f>IF(Skills!C18=1,60+Inputs!$B$25+Inputs!$B$29,IF(Skills!C18=2,90+Inputs!$B$26+Inputs!$B$29,IF(Skills!C18=3,120+Inputs!$B$27+Inputs!$B$29,MAX(0,(Inputs!$B$3-100)*3)+Inputs!$B$28+Inputs!$B$29)))</f>
        <v/>
      </c>
      <c r="E1055">
        <f>INDEX(FactorTable!$B$2:$Y$301, MATCH(ROUND(MIN(300,MAX(1,D1055)),0), FactorTable!$A$2:$A$301,0), Skills!M18+1)</f>
        <v/>
      </c>
      <c r="F1055">
        <f>IF(Skills!N18=TRUE,(Skills!L18/10)*(E1055/1000),Skills!L18/10)+Skills!O18</f>
        <v/>
      </c>
      <c r="G1055">
        <f>Skills!G18*IF(Skills!H18&gt;0,Skills!I18/Skills!H18,1)</f>
        <v/>
      </c>
      <c r="H1055">
        <f>1-(1-Skills!J18/100)^Skills!K18</f>
        <v/>
      </c>
      <c r="I1055" t="inlineStr">
        <is>
          <t>1</t>
        </is>
      </c>
      <c r="J1055" t="inlineStr"/>
      <c r="K1055" t="inlineStr"/>
      <c r="L1055" t="inlineStr"/>
      <c r="M1055" t="inlineStr"/>
      <c r="N1055" t="inlineStr"/>
      <c r="O1055">
        <f>(1-Summary!$B$11)*T1055+Summary!$B$11*V1055</f>
        <v/>
      </c>
      <c r="P1055">
        <f>IF(B1076=0,0,O1055/B1076)</f>
        <v/>
      </c>
      <c r="Q1055">
        <f>IFERROR(1/(IF(Inputs!$B$38="pvp",15,MAX(0.1,Skills!D18-IF(Skills!E18=TRUE,(Inputs!$B$32+1),0)))*(1-IF(AND(ArtifactsInput!$M$27,Inputs!$B$4="Chapter Hunt"),CHOOSE(ArtifactsInput!$N$27+1,20,24,28,32,36,40),0)/100)),0)</f>
        <v/>
      </c>
      <c r="R1055">
        <f>IF(AND(Inputs!$B$38&lt;&gt;"pvp",Inputs!$B$43&gt;0),IF(Inputs!$B$43&lt;=0,0,(INT(Inputs!$B$43/(IF(Inputs!$B$38="pvp",15,MAX(0.1,Skills!D18-IF(Skills!E18=TRUE,(Inputs!$B$32+1),0)))*(1-IF(AND(ArtifactsInput!$M$27,Inputs!$B$4="Chapter Hunt"),CHOOSE(ArtifactsInput!$N$27+1,20,24,28,32,36,40),0)/100)))+1)),0)</f>
        <v/>
      </c>
      <c r="S1055">
        <f>IFERROR(O1055/N1055,0)</f>
        <v/>
      </c>
      <c r="T1055" t="n">
        <v>0</v>
      </c>
      <c r="V1055" t="n">
        <v>0</v>
      </c>
    </row>
    <row r="1056">
      <c r="A1056">
        <f>Skills!A19</f>
        <v/>
      </c>
      <c r="B1056">
        <f>Skills!B19</f>
        <v/>
      </c>
      <c r="C1056">
        <f>TRUE</f>
        <v/>
      </c>
      <c r="D1056">
        <f>IF(Skills!C19=1,60+Inputs!$B$25+Inputs!$B$29,IF(Skills!C19=2,90+Inputs!$B$26+Inputs!$B$29,IF(Skills!C19=3,120+Inputs!$B$27+Inputs!$B$29,MAX(0,(Inputs!$B$3-100)*3)+Inputs!$B$28+Inputs!$B$29)))</f>
        <v/>
      </c>
      <c r="E1056">
        <f>INDEX(FactorTable!$B$2:$Y$301, MATCH(ROUND(MIN(300,MAX(1,D1056)),0), FactorTable!$A$2:$A$301,0), Skills!M19+1)</f>
        <v/>
      </c>
      <c r="F1056">
        <f>IF(Skills!N19=TRUE,(Skills!L19/10)*(E1056/1000),Skills!L19/10)+Skills!O19</f>
        <v/>
      </c>
      <c r="G1056">
        <f>Skills!G19*IF(Skills!H19&gt;0,Skills!I19/Skills!H19,1)</f>
        <v/>
      </c>
      <c r="H1056">
        <f>1-(1-Skills!J19/100)^Skills!K19</f>
        <v/>
      </c>
      <c r="I1056" t="inlineStr">
        <is>
          <t>1</t>
        </is>
      </c>
      <c r="J1056" t="inlineStr"/>
      <c r="K1056" t="inlineStr"/>
      <c r="L1056" t="inlineStr"/>
      <c r="M1056" t="inlineStr"/>
      <c r="N1056" t="inlineStr"/>
      <c r="O1056">
        <f>(1-Summary!$B$11)*T1056+Summary!$B$11*V1056</f>
        <v/>
      </c>
      <c r="P1056">
        <f>IF(B1076=0,0,O1056/B1076)</f>
        <v/>
      </c>
      <c r="Q1056">
        <f>IFERROR(1/(IF(Inputs!$B$38="pvp",15,MAX(0.1,Skills!D19-IF(Skills!E19=TRUE,(Inputs!$B$32+1),0)))*(1-IF(AND(ArtifactsInput!$M$27,Inputs!$B$4="Chapter Hunt"),CHOOSE(ArtifactsInput!$N$27+1,20,24,28,32,36,40),0)/100)),0)</f>
        <v/>
      </c>
      <c r="R1056">
        <f>IF(AND(Inputs!$B$38&lt;&gt;"pvp",Inputs!$B$43&gt;0),IF(Inputs!$B$43&lt;=0,0,(INT(Inputs!$B$43/(IF(Inputs!$B$38="pvp",15,MAX(0.1,Skills!D19-IF(Skills!E19=TRUE,(Inputs!$B$32+1),0)))*(1-IF(AND(ArtifactsInput!$M$27,Inputs!$B$4="Chapter Hunt"),CHOOSE(ArtifactsInput!$N$27+1,20,24,28,32,36,40),0)/100)))+1)),0)</f>
        <v/>
      </c>
      <c r="S1056">
        <f>IFERROR(O1056/N1056,0)</f>
        <v/>
      </c>
      <c r="T1056" t="n">
        <v>0</v>
      </c>
      <c r="V1056" t="n">
        <v>0</v>
      </c>
    </row>
    <row r="1057">
      <c r="A1057">
        <f>Skills!A20</f>
        <v/>
      </c>
      <c r="B1057">
        <f>Skills!B20</f>
        <v/>
      </c>
      <c r="C1057">
        <f>Inputs!$B$3&gt;=33</f>
        <v/>
      </c>
      <c r="D1057">
        <f>IF(Skills!C20=1,60+Inputs!$B$25+Inputs!$B$29,IF(Skills!C20=2,90+Inputs!$B$26+Inputs!$B$29,IF(Skills!C20=3,120+Inputs!$B$27+Inputs!$B$29,MAX(0,(Inputs!$B$3-100)*3)+Inputs!$B$28+Inputs!$B$29)))</f>
        <v/>
      </c>
      <c r="E1057">
        <f>INDEX(FactorTable!$B$2:$Y$301, MATCH(ROUND(MIN(300,MAX(1,D1057)),0), FactorTable!$A$2:$A$301,0), Skills!M20+1)</f>
        <v/>
      </c>
      <c r="F1057">
        <f>IF(Skills!N20=TRUE,(Skills!L20/10)*(E1057/1000),Skills!L20/10)+Skills!O20</f>
        <v/>
      </c>
      <c r="G1057">
        <f>Skills!G20*IF(Skills!H20&gt;0,Skills!I20/Skills!H20,1)</f>
        <v/>
      </c>
      <c r="H1057">
        <f>1-(1-Skills!J20/100)^Skills!K20</f>
        <v/>
      </c>
      <c r="I1057" t="inlineStr">
        <is>
          <t>1</t>
        </is>
      </c>
      <c r="J1057" t="inlineStr"/>
      <c r="K1057" t="inlineStr"/>
      <c r="L1057" t="inlineStr"/>
      <c r="M1057" t="inlineStr"/>
      <c r="N1057" t="inlineStr"/>
      <c r="O1057">
        <f>(1-Summary!$B$11)*T1057+Summary!$B$11*V1057</f>
        <v/>
      </c>
      <c r="P1057">
        <f>IF(B1076=0,0,O1057/B1076)</f>
        <v/>
      </c>
      <c r="Q1057" t="n">
        <v>0</v>
      </c>
      <c r="R1057" t="n">
        <v>0</v>
      </c>
      <c r="S1057">
        <f>IFERROR(O1057/N1057,0)</f>
        <v/>
      </c>
      <c r="T1057" t="n">
        <v>0</v>
      </c>
      <c r="V1057" t="n">
        <v>0</v>
      </c>
    </row>
    <row r="1058">
      <c r="A1058">
        <f>Skills!A21</f>
        <v/>
      </c>
      <c r="B1058">
        <f>Skills!B21</f>
        <v/>
      </c>
      <c r="C1058">
        <f>Inputs!$B$3&gt;=38</f>
        <v/>
      </c>
      <c r="D1058">
        <f>IF(Skills!C21=1,60+Inputs!$B$25+Inputs!$B$29,IF(Skills!C21=2,90+Inputs!$B$26+Inputs!$B$29,IF(Skills!C21=3,120+Inputs!$B$27+Inputs!$B$29,MAX(0,(Inputs!$B$3-100)*3)+Inputs!$B$28+Inputs!$B$29)))</f>
        <v/>
      </c>
      <c r="E1058">
        <f>INDEX(FactorTable!$B$2:$Y$301, MATCH(ROUND(MIN(300,MAX(1,D1058)),0), FactorTable!$A$2:$A$301,0), Skills!M21+1)</f>
        <v/>
      </c>
      <c r="F1058">
        <f>IF(Skills!N21=TRUE,(Skills!L21/10)*(E1058/1000),Skills!L21/10)+Skills!O21</f>
        <v/>
      </c>
      <c r="G1058">
        <f>Skills!G21*IF(Skills!H21&gt;0,Skills!I21/Skills!H21,1)</f>
        <v/>
      </c>
      <c r="H1058">
        <f>1-(1-Skills!J21/100)^Skills!K21</f>
        <v/>
      </c>
      <c r="I1058" t="inlineStr">
        <is>
          <t>1</t>
        </is>
      </c>
      <c r="J1058" t="inlineStr"/>
      <c r="K1058" t="inlineStr"/>
      <c r="L1058" t="inlineStr"/>
      <c r="M1058" t="inlineStr"/>
      <c r="N1058" t="inlineStr"/>
      <c r="O1058">
        <f>(1-Summary!$B$11)*T1058+Summary!$B$11*V1058</f>
        <v/>
      </c>
      <c r="P1058">
        <f>IF(B1076=0,0,O1058/B1076)</f>
        <v/>
      </c>
      <c r="Q1058" t="n">
        <v>0</v>
      </c>
      <c r="R1058" t="n">
        <v>0</v>
      </c>
      <c r="S1058">
        <f>IFERROR(O1058/N1058,0)</f>
        <v/>
      </c>
      <c r="T1058" t="n">
        <v>0</v>
      </c>
      <c r="V1058" t="n">
        <v>0</v>
      </c>
    </row>
    <row r="1059">
      <c r="A1059">
        <f>Skills!A22</f>
        <v/>
      </c>
      <c r="B1059">
        <f>Skills!B22</f>
        <v/>
      </c>
      <c r="C1059">
        <f>Inputs!$B$3&gt;=43</f>
        <v/>
      </c>
      <c r="D1059">
        <f>IF(Skills!C22=1,60+Inputs!$B$25+Inputs!$B$29,IF(Skills!C22=2,90+Inputs!$B$26+Inputs!$B$29,IF(Skills!C22=3,120+Inputs!$B$27+Inputs!$B$29,MAX(0,(Inputs!$B$3-100)*3)+Inputs!$B$28+Inputs!$B$29)))</f>
        <v/>
      </c>
      <c r="E1059">
        <f>INDEX(FactorTable!$B$2:$Y$301, MATCH(ROUND(MIN(300,MAX(1,D1059)),0), FactorTable!$A$2:$A$301,0), Skills!M22+1)</f>
        <v/>
      </c>
      <c r="F1059">
        <f>IF(Skills!N22=TRUE,(Skills!L22/10)*(E1059/1000),Skills!L22/10)+Skills!O22</f>
        <v/>
      </c>
      <c r="G1059">
        <f>Skills!G22*IF(Skills!H22&gt;0,Skills!I22/Skills!H22,1)</f>
        <v/>
      </c>
      <c r="H1059">
        <f>1-(1-Skills!J22/100)^Skills!K22</f>
        <v/>
      </c>
      <c r="I1059" t="inlineStr">
        <is>
          <t>1</t>
        </is>
      </c>
      <c r="J1059" t="inlineStr"/>
      <c r="K1059" t="inlineStr"/>
      <c r="L1059" t="inlineStr"/>
      <c r="M1059" t="inlineStr"/>
      <c r="N1059" t="inlineStr"/>
      <c r="O1059">
        <f>(1-Summary!$B$11)*T1059+Summary!$B$11*V1059</f>
        <v/>
      </c>
      <c r="P1059">
        <f>IF(B1076=0,0,O1059/B1076)</f>
        <v/>
      </c>
      <c r="Q1059" t="n">
        <v>0</v>
      </c>
      <c r="R1059" t="n">
        <v>0</v>
      </c>
      <c r="S1059">
        <f>IFERROR(O1059/N1059,0)</f>
        <v/>
      </c>
      <c r="T1059" t="n">
        <v>0</v>
      </c>
      <c r="V1059" t="n">
        <v>0</v>
      </c>
    </row>
    <row r="1060">
      <c r="A1060">
        <f>Skills!A23</f>
        <v/>
      </c>
      <c r="B1060">
        <f>Skills!B23</f>
        <v/>
      </c>
      <c r="C1060">
        <f>Inputs!$B$3&gt;=120</f>
        <v/>
      </c>
      <c r="D1060">
        <f>IF(Skills!C23=1,60+Inputs!$B$25+Inputs!$B$29,IF(Skills!C23=2,90+Inputs!$B$26+Inputs!$B$29,IF(Skills!C23=3,120+Inputs!$B$27+Inputs!$B$29,MAX(0,(Inputs!$B$3-100)*3)+Inputs!$B$28+Inputs!$B$29)))</f>
        <v/>
      </c>
      <c r="E1060">
        <f>INDEX(FactorTable!$B$2:$Y$301, MATCH(ROUND(MIN(300,MAX(1,D1060)),0), FactorTable!$A$2:$A$301,0), Skills!M23+1)</f>
        <v/>
      </c>
      <c r="F1060">
        <f>IF(Skills!N23=TRUE,(Skills!L23/10)*(E1060/1000),Skills!L23/10)+Skills!O23</f>
        <v/>
      </c>
      <c r="G1060">
        <f>Skills!G23*IF(Skills!H23&gt;0,Skills!I23/Skills!H23,1)</f>
        <v/>
      </c>
      <c r="H1060">
        <f>1-(1-Skills!J23/100)^Skills!K23</f>
        <v/>
      </c>
      <c r="I1060" t="inlineStr">
        <is>
          <t>1</t>
        </is>
      </c>
      <c r="J1060" t="inlineStr"/>
      <c r="K1060" t="inlineStr"/>
      <c r="L1060" t="inlineStr"/>
      <c r="M1060" t="inlineStr"/>
      <c r="N1060" t="inlineStr"/>
      <c r="O1060">
        <f>(1-Summary!$B$11)*T1060+Summary!$B$11*V1060</f>
        <v/>
      </c>
      <c r="P1060">
        <f>IF(B1076=0,0,O1060/B1076)</f>
        <v/>
      </c>
      <c r="Q1060" t="n">
        <v>0</v>
      </c>
      <c r="R1060" t="n">
        <v>0</v>
      </c>
      <c r="S1060">
        <f>IFERROR(O1060/N1060,0)</f>
        <v/>
      </c>
      <c r="T1060" t="n">
        <v>0</v>
      </c>
      <c r="V1060" t="n">
        <v>0</v>
      </c>
    </row>
    <row r="1061">
      <c r="A1061">
        <f>Skills!A24</f>
        <v/>
      </c>
      <c r="B1061">
        <f>Skills!B24</f>
        <v/>
      </c>
      <c r="C1061">
        <f>Inputs!$B$3&gt;=120</f>
        <v/>
      </c>
      <c r="D1061">
        <f>IF(Skills!C24=1,60+Inputs!$B$25+Inputs!$B$29,IF(Skills!C24=2,90+Inputs!$B$26+Inputs!$B$29,IF(Skills!C24=3,120+Inputs!$B$27+Inputs!$B$29,MAX(0,(Inputs!$B$3-100)*3)+Inputs!$B$28+Inputs!$B$29)))</f>
        <v/>
      </c>
      <c r="E1061">
        <f>INDEX(FactorTable!$B$2:$Y$301, MATCH(ROUND(MIN(300,MAX(1,D1061)),0), FactorTable!$A$2:$A$301,0), Skills!M24+1)</f>
        <v/>
      </c>
      <c r="F1061">
        <f>IF(Skills!N24=TRUE,(Skills!L24/10)*(E1061/1000),Skills!L24/10)+Skills!O24</f>
        <v/>
      </c>
      <c r="G1061">
        <f>Skills!G24*IF(Skills!H24&gt;0,Skills!I24/Skills!H24,1)</f>
        <v/>
      </c>
      <c r="H1061">
        <f>1-(1-Skills!J24/100)^Skills!K24</f>
        <v/>
      </c>
      <c r="I1061" t="inlineStr">
        <is>
          <t>1</t>
        </is>
      </c>
      <c r="J1061" t="inlineStr"/>
      <c r="K1061" t="inlineStr"/>
      <c r="L1061" t="inlineStr"/>
      <c r="M1061" t="inlineStr"/>
      <c r="N1061" t="inlineStr"/>
      <c r="O1061">
        <f>(1-Summary!$B$11)*T1061+Summary!$B$11*V1061</f>
        <v/>
      </c>
      <c r="P1061">
        <f>IF(B1076=0,0,O1061/B1076)</f>
        <v/>
      </c>
      <c r="Q1061" t="n">
        <v>0</v>
      </c>
      <c r="R1061" t="n">
        <v>0</v>
      </c>
      <c r="S1061">
        <f>IFERROR(O1061/N1061,0)</f>
        <v/>
      </c>
      <c r="T1061" t="n">
        <v>0</v>
      </c>
      <c r="V1061" t="n">
        <v>0</v>
      </c>
    </row>
    <row r="1062">
      <c r="A1062">
        <f>Skills!A25</f>
        <v/>
      </c>
      <c r="B1062">
        <f>Skills!B25</f>
        <v/>
      </c>
      <c r="C1062">
        <f>Inputs!$B$3&gt;=125</f>
        <v/>
      </c>
      <c r="D1062">
        <f>IF(Skills!C25=1,60+Inputs!$B$25+Inputs!$B$29,IF(Skills!C25=2,90+Inputs!$B$26+Inputs!$B$29,IF(Skills!C25=3,120+Inputs!$B$27+Inputs!$B$29,MAX(0,(Inputs!$B$3-100)*3)+Inputs!$B$28+Inputs!$B$29)))</f>
        <v/>
      </c>
      <c r="E1062">
        <f>INDEX(FactorTable!$B$2:$Y$301, MATCH(ROUND(MIN(300,MAX(1,D1062)),0), FactorTable!$A$2:$A$301,0), Skills!M25+1)</f>
        <v/>
      </c>
      <c r="F1062">
        <f>IF(Skills!N25=TRUE,(Skills!L25/10)*(E1062/1000),Skills!L25/10)+Skills!O25</f>
        <v/>
      </c>
      <c r="G1062">
        <f>Skills!G25*IF(Skills!H25&gt;0,Skills!I25/Skills!H25,1)</f>
        <v/>
      </c>
      <c r="H1062">
        <f>1-(1-Skills!J25/100)^Skills!K25</f>
        <v/>
      </c>
      <c r="I1062" t="inlineStr">
        <is>
          <t>1</t>
        </is>
      </c>
      <c r="J1062" t="inlineStr"/>
      <c r="K1062" t="inlineStr"/>
      <c r="L1062" t="inlineStr"/>
      <c r="M1062" t="inlineStr"/>
      <c r="N1062" t="inlineStr"/>
      <c r="O1062">
        <f>(1-Summary!$B$11)*T1062+Summary!$B$11*V1062</f>
        <v/>
      </c>
      <c r="P1062">
        <f>IF(B1076=0,0,O1062/B1076)</f>
        <v/>
      </c>
      <c r="Q1062" t="n">
        <v>0</v>
      </c>
      <c r="R1062" t="n">
        <v>0</v>
      </c>
      <c r="S1062">
        <f>IFERROR(O1062/N1062,0)</f>
        <v/>
      </c>
      <c r="T1062" t="n">
        <v>0</v>
      </c>
      <c r="V1062" t="n">
        <v>0</v>
      </c>
    </row>
    <row r="1063">
      <c r="A1063">
        <f>Skills!A26</f>
        <v/>
      </c>
      <c r="B1063">
        <f>Skills!B26</f>
        <v/>
      </c>
      <c r="C1063">
        <f>Inputs!$B$3&gt;=72</f>
        <v/>
      </c>
      <c r="D1063">
        <f>IF(Skills!C26=1,60+Inputs!$B$25+Inputs!$B$29,IF(Skills!C26=2,90+Inputs!$B$26+Inputs!$B$29,IF(Skills!C26=3,120+Inputs!$B$27+Inputs!$B$29,MAX(0,(Inputs!$B$3-100)*3)+Inputs!$B$28+Inputs!$B$29)))</f>
        <v/>
      </c>
      <c r="E1063">
        <f>INDEX(FactorTable!$B$2:$Y$301, MATCH(ROUND(MIN(300,MAX(1,D1063)),0), FactorTable!$A$2:$A$301,0), Skills!M26+1)</f>
        <v/>
      </c>
      <c r="F1063">
        <f>IF(Skills!N26=TRUE,(Skills!L26/10)*(E1063/1000),Skills!L26/10)+Skills!O26</f>
        <v/>
      </c>
      <c r="G1063">
        <f>Skills!G26*IF(Skills!H26&gt;0,Skills!I26/Skills!H26,1)</f>
        <v/>
      </c>
      <c r="H1063">
        <f>1-(1-Skills!J26/100)^Skills!K26</f>
        <v/>
      </c>
      <c r="I1063" t="inlineStr">
        <is>
          <t>1</t>
        </is>
      </c>
      <c r="J1063" t="inlineStr"/>
      <c r="K1063" t="inlineStr"/>
      <c r="L1063" t="inlineStr"/>
      <c r="M1063" t="inlineStr"/>
      <c r="N1063" t="inlineStr"/>
      <c r="O1063">
        <f>(1-Summary!$B$11)*T1063+Summary!$B$11*V1063</f>
        <v/>
      </c>
      <c r="P1063">
        <f>IF(B1076=0,0,O1063/B1076)</f>
        <v/>
      </c>
      <c r="Q1063" t="n">
        <v>0</v>
      </c>
      <c r="R1063" t="n">
        <v>0</v>
      </c>
      <c r="S1063">
        <f>IFERROR(O1063/N1063,0)</f>
        <v/>
      </c>
      <c r="T1063" t="n">
        <v>0</v>
      </c>
      <c r="V1063" t="n">
        <v>0</v>
      </c>
    </row>
    <row r="1065">
      <c r="A1065" t="inlineStr">
        <is>
          <t>Attack% Bucket Multiplier</t>
        </is>
      </c>
      <c r="B1065">
        <f>(1+(((C1050=TRUE)*F1050*IF(Inputs!$B$3&gt;=110,7,5))+((C1052=TRUE)*F1052*IF(AND(Inputs!$B$38&lt;&gt;"pvp",Inputs!$B$43&gt;0),(((R1052-1)*(Skills!T15*(1+(Inputs!$B$34+(ArtifactsInput!$M$7-ArtifactsInput!$M$7)*CHOOSE(ArtifactsInput!$N$7+1,6,7.2,8.4,9.6,10.8,12))/100))+MIN((Skills!T15*(1+(Inputs!$B$34+(ArtifactsInput!$M$7-ArtifactsInput!$M$7)*CHOOSE(ArtifactsInput!$N$7+1,6,7.2,8.4,9.6,10.8,12))/100)),MAX(0,Inputs!$B$43-((R1052-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66">
      <c r="A1066" t="inlineStr">
        <is>
          <t>Global Crit Rate Bonus %</t>
        </is>
      </c>
      <c r="B1066" t="n">
        <v>0</v>
      </c>
    </row>
    <row r="1067">
      <c r="A1067" t="inlineStr">
        <is>
          <t>Attack Speed Buff Bonus %</t>
        </is>
      </c>
      <c r="B1067">
        <f>((C1056=TRUE)*F1056*IF(AND(Inputs!$B$38&lt;&gt;"pvp",Inputs!$B$43&gt;0),(((R1056-1)*(Skills!T19*(1+(Inputs!$B$34+(ArtifactsInput!$M$7-ArtifactsInput!$M$7)*CHOOSE(ArtifactsInput!$N$7+1,6,7.2,8.4,9.6,10.8,12))/100))+MIN((Skills!T19*(1+(Inputs!$B$34+(ArtifactsInput!$M$7-ArtifactsInput!$M$7)*CHOOSE(ArtifactsInput!$N$7+1,6,7.2,8.4,9.6,10.8,12))/100)),MAX(0,Inputs!$B$43-((R1056-1)*Skills!D19))))/Inputs!$B$43),IF(Inputs!$B$38="pvp",MIN((Skills!T19*(1+(Inputs!$B$34+(ArtifactsInput!$M$7-ArtifactsInput!$M$7)*CHOOSE(ArtifactsInput!$N$7+1,6,7.2,8.4,9.6,10.8,12))/100)),15)/15,(Skills!T19*(1+(Inputs!$B$34+(ArtifactsInput!$M$7-ArtifactsInput!$M$7)*CHOOSE(ArtifactsInput!$N$7+1,6,7.2,8.4,9.6,10.8,12))/100))/Skills!D19)))</f>
        <v/>
      </c>
    </row>
    <row r="1068">
      <c r="A1068" t="inlineStr">
        <is>
          <t>Actions Per Second</t>
        </is>
      </c>
      <c r="B1068">
        <f>1+MIN(150,150*(1-(1-(Inputs!$B$11+((C1057=TRUE)*(F1057-Calc!F20)))/150)*(1-B1067/150)))/100</f>
        <v/>
      </c>
    </row>
    <row r="1069">
      <c r="A1069" t="inlineStr">
        <is>
          <t>Skill + Buff Cast Rate</t>
        </is>
      </c>
      <c r="B1069">
        <f>IF(AND(Inputs!$B$38&lt;&gt;"pvp",Inputs!$B$43&gt;0),SUMPRODUCT((Skills!E2:E26=TRUE)*(C1039:C1063=TRUE)*R1039:R1063*Skills!F2:F26)/Inputs!$B$43,SUMPRODUCT((Skills!E2:E26=TRUE)*(C1039:C1063=TRUE)*Q1039:Q1063*Skills!F2:F26))</f>
        <v/>
      </c>
    </row>
    <row r="1070">
      <c r="A1070" t="inlineStr">
        <is>
          <t>Raging Blow Casts Per Second</t>
        </is>
      </c>
      <c r="B1070">
        <f>MAX(0,B1068-B1069)</f>
        <v/>
      </c>
    </row>
    <row r="1071">
      <c r="A1071" t="inlineStr">
        <is>
          <t>Global Critical Damage Bonus % (Enrage)</t>
        </is>
      </c>
      <c r="B1071">
        <f>((C1055=TRUE)*F1055*IF(AND(Inputs!$B$38&lt;&gt;"pvp",Inputs!$B$43&gt;0),(((R1055-1)*(Skills!T18*(1+(Inputs!$B$34+(ArtifactsInput!$M$7-ArtifactsInput!$M$7)*CHOOSE(ArtifactsInput!$N$7+1,6,7.2,8.4,9.6,10.8,12))/100))+MIN((Skills!T18*(1+(Inputs!$B$34+(ArtifactsInput!$M$7-ArtifactsInput!$M$7)*CHOOSE(ArtifactsInput!$N$7+1,6,7.2,8.4,9.6,10.8,12))/100)),MAX(0,Inputs!$B$43-((R1055-1)*Skills!D18))))/Inputs!$B$43),IF(Inputs!$B$38="pvp",MIN((Skills!T18*(1+(Inputs!$B$34+(ArtifactsInput!$M$7-ArtifactsInput!$M$7)*CHOOSE(ArtifactsInput!$N$7+1,6,7.2,8.4,9.6,10.8,12))/100)),15)/15,(Skills!T18*(1+(Inputs!$B$34+(ArtifactsInput!$M$7-ArtifactsInput!$M$7)*CHOOSE(ArtifactsInput!$N$7+1,6,7.2,8.4,9.6,10.8,12))/100))/Skills!D18)))</f>
        <v/>
      </c>
    </row>
    <row r="1072">
      <c r="A1072" t="inlineStr">
        <is>
          <t>Global Final Damage Bonus % (Enrage + Combo Synergy)</t>
        </is>
      </c>
      <c r="B1072">
        <f>((C1054=TRUE)*F1054*IF(AND(Inputs!$B$38&lt;&gt;"pvp",Inputs!$B$43&gt;0),(((R1054-1)*(Skills!T17*(1+(Inputs!$B$34+(ArtifactsInput!$M$7-ArtifactsInput!$M$7)*CHOOSE(ArtifactsInput!$N$7+1,6,7.2,8.4,9.6,10.8,12))/100))+MIN((Skills!T17*(1+(Inputs!$B$34+(ArtifactsInput!$M$7-ArtifactsInput!$M$7)*CHOOSE(ArtifactsInput!$N$7+1,6,7.2,8.4,9.6,10.8,12))/100)),MAX(0,Inputs!$B$43-((R1054-1)*Skills!D17))))/Inputs!$B$43),IF(Inputs!$B$38="pvp",MIN((Skills!T17*(1+(Inputs!$B$34+(ArtifactsInput!$M$7-ArtifactsInput!$M$7)*CHOOSE(ArtifactsInput!$N$7+1,6,7.2,8.4,9.6,10.8,12))/100)),15)/15,(Skills!T17*(1+(Inputs!$B$34+(ArtifactsInput!$M$7-ArtifactsInput!$M$7)*CHOOSE(ArtifactsInput!$N$7+1,6,7.2,8.4,9.6,10.8,12))/100))/Skills!D17)))+((C1051=TRUE)*F1051*IF(Inputs!$B$3&gt;=110,7,5))</f>
        <v/>
      </c>
    </row>
    <row r="1073">
      <c r="A1073" t="inlineStr">
        <is>
          <t>Buff-Casting Startup Delay (s, fixed-duration only)</t>
        </is>
      </c>
      <c r="B1073">
        <f>IF(AND(Inputs!$B$38&lt;&gt;"pvp",Inputs!$B$43&gt;0),SUMPRODUCT((Skills!T2:T26&gt;0)*(Skills!E2:E26=TRUE)*(C1039:C1063=TRUE))/B1068,0)</f>
        <v/>
      </c>
    </row>
    <row r="1074">
      <c r="A1074" t="inlineStr">
        <is>
          <t>Boss-Only Total DPS (this block's swept value)</t>
        </is>
      </c>
      <c r="B1074">
        <f>SUM(T1039:T1063)</f>
        <v/>
      </c>
    </row>
    <row r="1075">
      <c r="A1075" t="inlineStr">
        <is>
          <t>Normal-Only Total DPS (this block's swept value)</t>
        </is>
      </c>
      <c r="B1075">
        <f>SUM(V1039:V1063)</f>
        <v/>
      </c>
    </row>
    <row r="1076">
      <c r="A1076" s="6" t="inlineStr">
        <is>
          <t>TOTAL DPS</t>
        </is>
      </c>
      <c r="B1076" s="6">
        <f>SUM(O1039:O1063)</f>
        <v/>
      </c>
    </row>
    <row r="1079">
      <c r="A1079" s="6" t="inlineStr">
        <is>
          <t>Stat: Basic Attack Target Increase (flat)</t>
        </is>
      </c>
    </row>
    <row r="1080">
      <c r="A1080" s="5" t="inlineStr">
        <is>
          <t>Key</t>
        </is>
      </c>
      <c r="B1080" s="5" t="inlineStr">
        <is>
          <t>Name</t>
        </is>
      </c>
      <c r="C1080" s="5" t="inlineStr">
        <is>
          <t>Unlocked</t>
        </is>
      </c>
      <c r="D1080" s="5" t="inlineStr">
        <is>
          <t>InputLevel</t>
        </is>
      </c>
      <c r="E1080" s="5" t="inlineStr">
        <is>
          <t>Factor</t>
        </is>
      </c>
      <c r="F1080" s="5" t="inlineStr">
        <is>
          <t>CoefficientPercent</t>
        </is>
      </c>
      <c r="G1080" s="5" t="inlineStr">
        <is>
          <t>EffectiveHits</t>
        </is>
      </c>
      <c r="H1080" s="5" t="inlineStr">
        <is>
          <t>ProcProbability</t>
        </is>
      </c>
      <c r="I1080" s="5" t="inlineStr">
        <is>
          <t>MapleHeroMultiplier</t>
        </is>
      </c>
      <c r="J1080" s="5" t="inlineStr">
        <is>
          <t>BaseDamage</t>
        </is>
      </c>
      <c r="K1080" s="5" t="inlineStr">
        <is>
          <t>BaseHitDamage</t>
        </is>
      </c>
      <c r="L1080" s="5" t="inlineStr">
        <is>
          <t>NonCritAvg</t>
        </is>
      </c>
      <c r="M1080" s="5" t="inlineStr">
        <is>
          <t>CritAvg</t>
        </is>
      </c>
      <c r="N1080" s="5" t="inlineStr">
        <is>
          <t>ExpectedDamage(perHit)</t>
        </is>
      </c>
      <c r="O1080" s="5" t="inlineStr">
        <is>
          <t>DPS</t>
        </is>
      </c>
      <c r="P1080" s="5" t="inlineStr">
        <is>
          <t>% of Total</t>
        </is>
      </c>
      <c r="Q1080" s="5" t="inlineStr">
        <is>
          <t>InvCooldown</t>
        </is>
      </c>
      <c r="R1080" s="5" t="inlineStr">
        <is>
          <t>CastsInFight</t>
        </is>
      </c>
      <c r="S1080" s="5" t="inlineStr">
        <is>
          <t>HitRate(perSec)</t>
        </is>
      </c>
      <c r="U1080" t="inlineStr">
        <is>
          <t>helpers</t>
        </is>
      </c>
    </row>
    <row r="1081">
      <c r="A1081">
        <f>Skills!A2</f>
        <v/>
      </c>
      <c r="B1081">
        <f>Skills!B2</f>
        <v/>
      </c>
      <c r="C1081">
        <f>Inputs!$B$3&gt;=100</f>
        <v/>
      </c>
      <c r="D1081" t="inlineStr"/>
      <c r="E1081" t="inlineStr"/>
      <c r="F1081">
        <f>U1083+Skills!O2</f>
        <v/>
      </c>
      <c r="G1081">
        <f>Skills!G2*IF(Skills!H2&gt;0,Skills!I2/Skills!H2,1)</f>
        <v/>
      </c>
      <c r="H1081">
        <f>1-(1-Skills!J2/100)^Skills!K2</f>
        <v/>
      </c>
      <c r="I1081" t="inlineStr">
        <is>
          <t>1</t>
        </is>
      </c>
      <c r="J1081">
        <f>((Inputs!$B$6*(1+Inputs!$B$7/100))+(((Inputs!$B$12*(1+Inputs!$B$13/100))-(Inputs!$B$12*(1+Inputs!$B$13/100)))+0.25*(Inputs!$B$14-Inputs!$B$14))*(1+Inputs!$B$7/100))*(F1081/100)</f>
        <v/>
      </c>
      <c r="K1081">
        <f>J1081*(1+((Inputs!$B$12*(1+Inputs!$B$13/100))*0.01+Inputs!$B$14*0.0025)/100)*(1+Inputs!$B$15/100)*(1+Inputs!$B$16/100)*(5000/(6000+Inputs!$B$42*(1-(100*(1-(1-(Inputs!$B$19+0)/100)*(1-CHOOSE(ArtifactsInput!$N$40+1,5,6,7,8,9,10)/100)^(ArtifactsInput!$M$40-ArtifactsInput!$M$40)))/100)))*(1+(Inputs!$B$24+((C1104=TRUE)*(F1104-Calc!F25))+B1114)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1100=TRUE)*(F1100-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1102=TRUE)*(F1102-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1092=TRUE)*F1092*IF(Inputs!$B$3&gt;=110,7,5))+((C1094=TRUE)*F1094*IF(AND(Inputs!$B$38&lt;&gt;"pvp",Inputs!$B$43&gt;0),(((R1094-1)*(Skills!T15*(1+(Inputs!$B$34+(ArtifactsInput!$M$7-ArtifactsInput!$M$7)*CHOOSE(ArtifactsInput!$N$7+1,6,7.2,8.4,9.6,10.8,12))/100))+MIN((Skills!T15*(1+(Inputs!$B$34+(ArtifactsInput!$M$7-ArtifactsInput!$M$7)*CHOOSE(ArtifactsInput!$N$7+1,6,7.2,8.4,9.6,10.8,12))/100)),MAX(0,Inputs!$B$43-((R1094-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Hunt"),CHOOSE(ArtifactsInput!$N$35+1,15,18,21,24,27,30)*(1-EXP(-(0.2*B1110)*5)),0)+IF(AND(ArtifactsInput!$M$22,Inputs!$B$4&lt;&gt;"Chapter Hunt"),CHOOSE(ArtifactsInput!$N$22+1,10,12,14,16,18,20)*((0*(((0.15*B1110*5))^0/1)+1*(((0.15*B1110*5))^1/1)+2*(((0.15*B1110*5))^2/2)+3*(((0.15*B1110*5))^3/6)+4*(((0.15*B1110*5))^4/24)+5*(((0.15*B1110*5))^5/120))/((((0.15*B1110*5))^0/1)+(((0.15*B1110*5))^1/1)+(((0.15*B1110*5))^2/2)+(((0.15*B1110*5))^3/6)+(((0.15*B1110*5))^4/24)+(((0.15*B1110*5))^5/120))),0)))/100)*I1081)</f>
        <v/>
      </c>
      <c r="L1081">
        <f>K1081*(MIN(Inputs!$B$22+((C1101=TRUE)*(F1101-Calc!F22)),(Inputs!$B$23+((C1103=TRUE)*(F1103-Calc!F24))+(IF(ArtifactsInput!$M$15,CHOOSE(ArtifactsInput!$N$15+1,25,30,35,40,45,50)/100*(Inputs!$B$11-Inputs!$B$11),0))))/100+(Inputs!$B$23+((C1103=TRUE)*(F1103-Calc!F24))+(IF(ArtifactsInput!$M$15,CHOOSE(ArtifactsInput!$N$15+1,25,30,35,40,45,50)/100*(Inputs!$B$11-Inputs!$B$11),0)))/100)/2</f>
        <v/>
      </c>
      <c r="M1081">
        <f>L1081*(1+(Inputs!$B$10+0+B1113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1">
        <f>L1081*(1-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1081*(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1">
        <f>(1-Summary!$B$11)*T1081+Summary!$B$11*V1081</f>
        <v/>
      </c>
      <c r="P1081">
        <f>IF(B1118=0,0,O1081/B1118)</f>
        <v/>
      </c>
      <c r="Q1081" t="n">
        <v>0</v>
      </c>
      <c r="R1081" t="n">
        <v>0</v>
      </c>
      <c r="S1081">
        <f>IFERROR(O1081/N1081,0)</f>
        <v/>
      </c>
      <c r="T1081">
        <f>IF(C1081,(Skills!G2*N1081*B1112)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1081*(1-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1081*(1-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81">
        <f>MAX(0,(Inputs!$B$3-100)*3)+Inputs!$B$28+Inputs!$B$29</f>
        <v/>
      </c>
      <c r="V1081">
        <f>IF(C1081,(Skills!G2*N1081*B1112)*IF(Inputs!$B$38="pvp",1,(1+(Inputs!$B$21+Skills!Q2+Summary!$B$15+(IF(ArtifactsInput!$M$33,CHOOSE(ArtifactsInput!$N$33+1,30,36,42,48,54,60),0)))/100)*(MIN((6+(Inputs!$B$33+1)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2">
      <c r="A1082">
        <f>Skills!A3</f>
        <v/>
      </c>
      <c r="B1082">
        <f>Skills!B3</f>
        <v/>
      </c>
      <c r="C1082">
        <f>Inputs!$B$3&gt;=50</f>
        <v/>
      </c>
      <c r="D1082">
        <f>IF(Skills!C3=1,60+Inputs!$B$25+Inputs!$B$29,IF(Skills!C3=2,90+Inputs!$B$26+Inputs!$B$29,IF(Skills!C3=3,120+Inputs!$B$27+Inputs!$B$29,MAX(0,(Inputs!$B$3-100)*3)+Inputs!$B$28+Inputs!$B$29)))</f>
        <v/>
      </c>
      <c r="E1082">
        <f>INDEX(FactorTable!$B$2:$Y$301, MATCH(ROUND(MIN(300,MAX(1,D1082)),0), FactorTable!$A$2:$A$301,0), Skills!M3+1)</f>
        <v/>
      </c>
      <c r="F1082">
        <f>IF(Skills!N3=TRUE,(Skills!L3/10)*(E1082/1000),Skills!L3/10)+Skills!O3</f>
        <v/>
      </c>
      <c r="G1082" t="inlineStr"/>
      <c r="H1082" t="inlineStr"/>
      <c r="I1082" t="inlineStr">
        <is>
          <t>1</t>
        </is>
      </c>
      <c r="J1082" t="inlineStr"/>
      <c r="K1082" t="inlineStr"/>
      <c r="L1082" t="inlineStr"/>
      <c r="M1082" t="inlineStr"/>
      <c r="N1082" t="inlineStr"/>
      <c r="O1082" t="inlineStr"/>
      <c r="P1082" t="inlineStr"/>
      <c r="Q1082" t="inlineStr"/>
      <c r="R1082" t="inlineStr"/>
      <c r="S1082" t="inlineStr"/>
      <c r="U1082">
        <f>INDEX(FactorTable!$B$2:$Y$301, MATCH(ROUND(MIN(300,MAX(1,U1081)),0), FactorTable!$A$2:$A$301,0), 22)</f>
        <v/>
      </c>
    </row>
    <row r="1083">
      <c r="A1083">
        <f>Skills!A4</f>
        <v/>
      </c>
      <c r="B1083">
        <f>Skills!B4</f>
        <v/>
      </c>
      <c r="C1083">
        <f>Inputs!$B$3&gt;=105</f>
        <v/>
      </c>
      <c r="D1083">
        <f>IF(Skills!C4=1,60+Inputs!$B$25+Inputs!$B$29,IF(Skills!C4=2,90+Inputs!$B$26+Inputs!$B$29,IF(Skills!C4=3,120+Inputs!$B$27+Inputs!$B$29,MAX(0,(Inputs!$B$3-100)*3)+Inputs!$B$28+Inputs!$B$29)))</f>
        <v/>
      </c>
      <c r="E1083">
        <f>INDEX(FactorTable!$B$2:$Y$301, MATCH(ROUND(MIN(300,MAX(1,D1083)),0), FactorTable!$A$2:$A$301,0), Skills!M4+1)</f>
        <v/>
      </c>
      <c r="F1083">
        <f>IF(Skills!N4=TRUE,(Skills!L4/10)*(E1083/1000),Skills!L4/10)+Skills!O4</f>
        <v/>
      </c>
      <c r="G1083" t="inlineStr"/>
      <c r="H1083" t="inlineStr"/>
      <c r="I1083" t="inlineStr">
        <is>
          <t>1</t>
        </is>
      </c>
      <c r="J1083" t="inlineStr"/>
      <c r="K1083" t="inlineStr"/>
      <c r="L1083" t="inlineStr"/>
      <c r="M1083" t="inlineStr"/>
      <c r="N1083" t="inlineStr"/>
      <c r="O1083" t="inlineStr"/>
      <c r="P1083" t="inlineStr"/>
      <c r="Q1083" t="inlineStr"/>
      <c r="R1083" t="inlineStr"/>
      <c r="S1083" t="inlineStr"/>
      <c r="U1083">
        <f>290*U1082/1000</f>
        <v/>
      </c>
    </row>
    <row r="1084">
      <c r="A1084">
        <f>Skills!A5</f>
        <v/>
      </c>
      <c r="B1084">
        <f>Skills!B5</f>
        <v/>
      </c>
      <c r="C1084">
        <f>Inputs!$B$3&gt;=103</f>
        <v/>
      </c>
      <c r="D1084">
        <f>IF(Skills!C5=1,60+Inputs!$B$25+Inputs!$B$29,IF(Skills!C5=2,90+Inputs!$B$26+Inputs!$B$29,IF(Skills!C5=3,120+Inputs!$B$27+Inputs!$B$29,MAX(0,(Inputs!$B$3-100)*3)+Inputs!$B$28+Inputs!$B$29)))</f>
        <v/>
      </c>
      <c r="E1084">
        <f>INDEX(FactorTable!$B$2:$Y$301, MATCH(ROUND(MIN(300,MAX(1,D1084)),0), FactorTable!$A$2:$A$301,0), Skills!M5+1)</f>
        <v/>
      </c>
      <c r="F1084">
        <f>IF(Skills!N5=TRUE,(Skills!L5/10)*(E1084/1000),Skills!L5/10)+Skills!O5</f>
        <v/>
      </c>
      <c r="G1084">
        <f>Skills!G5*IF(Skills!H5&gt;0,Skills!I5/Skills!H5,1)</f>
        <v/>
      </c>
      <c r="H1084">
        <f>1-(1-Skills!J5/100)^Skills!K5</f>
        <v/>
      </c>
      <c r="I1084" t="inlineStr">
        <is>
          <t>1</t>
        </is>
      </c>
      <c r="J1084">
        <f>((Inputs!$B$6*(1+Inputs!$B$7/100))+(((Inputs!$B$12*(1+Inputs!$B$13/100))-(Inputs!$B$12*(1+Inputs!$B$13/100)))+0.25*(Inputs!$B$14-Inputs!$B$14))*(1+Inputs!$B$7/100))*(F1084/100)</f>
        <v/>
      </c>
      <c r="K1084">
        <f>J1084*(1+((Inputs!$B$12*(1+Inputs!$B$13/100))*0.01+Inputs!$B$14*0.0025)/100)*(1+Inputs!$B$15/100)*(1+Inputs!$B$16/100)*(5000/(6000+Inputs!$B$42*(1-(100*(1-(1-(Inputs!$B$19+0)/100)*(1-CHOOSE(ArtifactsInput!$N$40+1,5,6,7,8,9,10)/100)^(ArtifactsInput!$M$40-ArtifactsInput!$M$40)))/100)))*(1+(Inputs!$B$24+((C1104=TRUE)*(F1104-Calc!F25))+B1114)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1100=TRUE)*(F1100-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1102=TRUE)*(F1102-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1092=TRUE)*F1092*IF(Inputs!$B$3&gt;=110,7,5))+((C1094=TRUE)*F1094*IF(AND(Inputs!$B$38&lt;&gt;"pvp",Inputs!$B$43&gt;0),(((R1094-1)*(Skills!T15*(1+(Inputs!$B$34+(ArtifactsInput!$M$7-ArtifactsInput!$M$7)*CHOOSE(ArtifactsInput!$N$7+1,6,7.2,8.4,9.6,10.8,12))/100))+MIN((Skills!T15*(1+(Inputs!$B$34+(ArtifactsInput!$M$7-ArtifactsInput!$M$7)*CHOOSE(ArtifactsInput!$N$7+1,6,7.2,8.4,9.6,10.8,12))/100)),MAX(0,Inputs!$B$43-((R1094-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Hunt"),CHOOSE(ArtifactsInput!$N$35+1,15,18,21,24,27,30)*(1-EXP(-(0.2*B1110)*5)),0)+IF(AND(ArtifactsInput!$M$22,Inputs!$B$4&lt;&gt;"Chapter Hunt"),CHOOSE(ArtifactsInput!$N$22+1,10,12,14,16,18,20)*((0*(((0.15*B1110*5))^0/1)+1*(((0.15*B1110*5))^1/1)+2*(((0.15*B1110*5))^2/2)+3*(((0.15*B1110*5))^3/6)+4*(((0.15*B1110*5))^4/24)+5*(((0.15*B1110*5))^5/120))/((((0.15*B1110*5))^0/1)+(((0.15*B1110*5))^1/1)+(((0.15*B1110*5))^2/2)+(((0.15*B1110*5))^3/6)+(((0.15*B1110*5))^4/24)+(((0.15*B1110*5))^5/120))),0)))/100)*I1084)</f>
        <v/>
      </c>
      <c r="L1084">
        <f>K1084*(MIN(Inputs!$B$22+((C1101=TRUE)*(F1101-Calc!F22)),(Inputs!$B$23+((C1103=TRUE)*(F1103-Calc!F24))+(IF(ArtifactsInput!$M$15,CHOOSE(ArtifactsInput!$N$15+1,25,30,35,40,45,50)/100*(Inputs!$B$11-Inputs!$B$11),0))))/100+(Inputs!$B$23+((C1103=TRUE)*(F1103-Calc!F24))+(IF(ArtifactsInput!$M$15,CHOOSE(ArtifactsInput!$N$15+1,25,30,35,40,45,50)/100*(Inputs!$B$11-Inputs!$B$11),0)))/100)/2</f>
        <v/>
      </c>
      <c r="M1084">
        <f>L1084*(1+(Inputs!$B$10+0+B1113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4">
        <f>L1084*(1-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1084*(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4">
        <f>(1-Summary!$B$11)*T1084+Summary!$B$11*V1084</f>
        <v/>
      </c>
      <c r="P1084">
        <f>IF(B1118=0,0,O1084/B1118)</f>
        <v/>
      </c>
      <c r="Q1084">
        <f>IFERROR(1/(IF(Inputs!$B$38="pvp",15,MAX(0.1,Skills!D5-IF(Skills!E5=TRUE,Inputs!$B$32,0)))*(1-IF(AND(ArtifactsInput!$M$27,Inputs!$B$4="Chapter Hunt"),CHOOSE(ArtifactsInput!$N$27+1,20,24,28,32,36,40),0)/100)),0)</f>
        <v/>
      </c>
      <c r="R1084">
        <f>IF(AND(Inputs!$B$38&lt;&gt;"pvp",Inputs!$B$43&gt;0),IF(MAX(0,Inputs!$B$43-B1115)&lt;=0,0,(INT(MAX(0,Inputs!$B$43-B1115)/(IF(Inputs!$B$38="pvp",15,MAX(0.1,Skills!D5-IF(Skills!E5=TRUE,Inputs!$B$32,0)))*(1-IF(AND(ArtifactsInput!$M$27,Inputs!$B$4="Chapter Hunt"),CHOOSE(ArtifactsInput!$N$27+1,20,24,28,32,36,40),0)/100)))+1)),0)</f>
        <v/>
      </c>
      <c r="S1084">
        <f>IFERROR(O1084/N1084,0)</f>
        <v/>
      </c>
      <c r="T1084">
        <f>IF(C1084,(H1084*N1084*IF(AND(Inputs!$B$38&lt;&gt;"pvp",Inputs!$B$43&gt;0),((Skills!G5*((R1084-1)*IF(Skills!H5&gt;0,Skills!I5/Skills!H5,1)+IF(Skills!H5&gt;0,MIN(Skills!I5,MAX(0,MAX(0,Inputs!$B$43-B1115)-((R1084-1)*(IF(Inputs!$B$38="pvp",15,MAX(0.1,Skills!D5-IF(Skills!E5=TRUE,Inputs!$B$32,0)))*(1-IF(AND(ArtifactsInput!$M$27,Inputs!$B$4="Chapter Hunt"),CHOOSE(ArtifactsInput!$N$27+1,20,24,28,32,36,40),0)/100)))))/Skills!H5,1)))/Inputs!$B$43),G1084*Q1084)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1084*(1-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1084*(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1084*(1-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1084*(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84">
        <f>IF(C1084,(H1084*N1084*IF(AND(Inputs!$B$38&lt;&gt;"pvp",Inputs!$B$43&gt;0),((Skills!G5*((R1084-1)*IF(Skills!H5&gt;0,Skills!I5/Skills!H5,1)+IF(Skills!H5&gt;0,MIN(Skills!I5,MAX(0,MAX(0,Inputs!$B$43-B1115)-((R1084-1)*(IF(Inputs!$B$38="pvp",15,MAX(0.1,Skills!D5-IF(Skills!E5=TRUE,Inputs!$B$32,0)))*(1-IF(AND(ArtifactsInput!$M$27,Inputs!$B$4="Chapter Hunt"),CHOOSE(ArtifactsInput!$N$27+1,20,24,28,32,36,40),0)/100)))))/Skills!H5,1)))/Inputs!$B$43),G1084*Q1084)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5">
      <c r="A1085">
        <f>Skills!A6</f>
        <v/>
      </c>
      <c r="B1085">
        <f>Skills!B6</f>
        <v/>
      </c>
      <c r="C1085">
        <f>Inputs!$B$3&gt;=103</f>
        <v/>
      </c>
      <c r="D1085">
        <f>IF(Skills!C6=1,60+Inputs!$B$25+Inputs!$B$29,IF(Skills!C6=2,90+Inputs!$B$26+Inputs!$B$29,IF(Skills!C6=3,120+Inputs!$B$27+Inputs!$B$29,MAX(0,(Inputs!$B$3-100)*3)+Inputs!$B$28+Inputs!$B$29)))</f>
        <v/>
      </c>
      <c r="E1085">
        <f>INDEX(FactorTable!$B$2:$Y$301, MATCH(ROUND(MIN(300,MAX(1,D1085)),0), FactorTable!$A$2:$A$301,0), Skills!M6+1)</f>
        <v/>
      </c>
      <c r="F1085">
        <f>IF(Skills!N6=TRUE,(Skills!L6/10)*(E1085/1000),Skills!L6/10)+Skills!O6</f>
        <v/>
      </c>
      <c r="G1085">
        <f>Skills!G6*IF(Skills!H6&gt;0,Skills!I6/Skills!H6,1)</f>
        <v/>
      </c>
      <c r="H1085">
        <f>1-(1-Skills!J6/100)^Skills!K6</f>
        <v/>
      </c>
      <c r="I1085" t="inlineStr">
        <is>
          <t>1</t>
        </is>
      </c>
      <c r="J1085">
        <f>((Inputs!$B$6*(1+Inputs!$B$7/100))+(((Inputs!$B$12*(1+Inputs!$B$13/100))-(Inputs!$B$12*(1+Inputs!$B$13/100)))+0.25*(Inputs!$B$14-Inputs!$B$14))*(1+Inputs!$B$7/100))*(F1085/100)</f>
        <v/>
      </c>
      <c r="K1085">
        <f>J1085*(1+((Inputs!$B$12*(1+Inputs!$B$13/100))*0.01+Inputs!$B$14*0.0025)/100)*(1+Inputs!$B$15/100)*(1+Inputs!$B$16/100)*(5000/(6000+Inputs!$B$42*(1-(100*(1-(1-(Inputs!$B$19+0)/100)*(1-CHOOSE(ArtifactsInput!$N$40+1,5,6,7,8,9,10)/100)^(ArtifactsInput!$M$40-ArtifactsInput!$M$40)))/100)))*(1+(Inputs!$B$24+((C1104=TRUE)*(F1104-Calc!F25))+B1114)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1100=TRUE)*(F1100-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1102=TRUE)*(F1102-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1092=TRUE)*F1092*IF(Inputs!$B$3&gt;=110,7,5))+((C1094=TRUE)*F1094*IF(AND(Inputs!$B$38&lt;&gt;"pvp",Inputs!$B$43&gt;0),(((R1094-1)*(Skills!T15*(1+(Inputs!$B$34+(ArtifactsInput!$M$7-ArtifactsInput!$M$7)*CHOOSE(ArtifactsInput!$N$7+1,6,7.2,8.4,9.6,10.8,12))/100))+MIN((Skills!T15*(1+(Inputs!$B$34+(ArtifactsInput!$M$7-ArtifactsInput!$M$7)*CHOOSE(ArtifactsInput!$N$7+1,6,7.2,8.4,9.6,10.8,12))/100)),MAX(0,Inputs!$B$43-((R1094-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Hunt"),CHOOSE(ArtifactsInput!$N$35+1,15,18,21,24,27,30)*(1-EXP(-(0.2*B1110)*5)),0)+IF(AND(ArtifactsInput!$M$22,Inputs!$B$4&lt;&gt;"Chapter Hunt"),CHOOSE(ArtifactsInput!$N$22+1,10,12,14,16,18,20)*((0*(((0.15*B1110*5))^0/1)+1*(((0.15*B1110*5))^1/1)+2*(((0.15*B1110*5))^2/2)+3*(((0.15*B1110*5))^3/6)+4*(((0.15*B1110*5))^4/24)+5*(((0.15*B1110*5))^5/120))/((((0.15*B1110*5))^0/1)+(((0.15*B1110*5))^1/1)+(((0.15*B1110*5))^2/2)+(((0.15*B1110*5))^3/6)+(((0.15*B1110*5))^4/24)+(((0.15*B1110*5))^5/120))),0)))/100)*I1085)</f>
        <v/>
      </c>
      <c r="L1085">
        <f>K1085*(MIN(Inputs!$B$22+((C1101=TRUE)*(F1101-Calc!F22)),(Inputs!$B$23+((C1103=TRUE)*(F1103-Calc!F24))+(IF(ArtifactsInput!$M$15,CHOOSE(ArtifactsInput!$N$15+1,25,30,35,40,45,50)/100*(Inputs!$B$11-Inputs!$B$11),0))))/100+(Inputs!$B$23+((C1103=TRUE)*(F1103-Calc!F24))+(IF(ArtifactsInput!$M$15,CHOOSE(ArtifactsInput!$N$15+1,25,30,35,40,45,50)/100*(Inputs!$B$11-Inputs!$B$11),0)))/100)/2</f>
        <v/>
      </c>
      <c r="M1085">
        <f>L1085*(1+(Inputs!$B$10+0+B1113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5">
        <f>L1085*(1-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1085*(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5">
        <f>(1-Summary!$B$11)*T1085+Summary!$B$11*V1085</f>
        <v/>
      </c>
      <c r="P1085">
        <f>IF(B1118=0,0,O1085/B1118)</f>
        <v/>
      </c>
      <c r="Q1085">
        <f>IFERROR(1/(IF(Inputs!$B$38="pvp",15,MAX(0.1,Skills!D6-IF(Skills!E6=TRUE,Inputs!$B$32,0)))*(1-IF(AND(ArtifactsInput!$M$27,Inputs!$B$4="Chapter Hunt"),CHOOSE(ArtifactsInput!$N$27+1,20,24,28,32,36,40),0)/100)),0)</f>
        <v/>
      </c>
      <c r="R1085">
        <f>IF(AND(Inputs!$B$38&lt;&gt;"pvp",Inputs!$B$43&gt;0),IF(MAX(0,Inputs!$B$43-B1115)&lt;=0,0,(INT(MAX(0,Inputs!$B$43-B1115)/(IF(Inputs!$B$38="pvp",15,MAX(0.1,Skills!D6-IF(Skills!E6=TRUE,Inputs!$B$32,0)))*(1-IF(AND(ArtifactsInput!$M$27,Inputs!$B$4="Chapter Hunt"),CHOOSE(ArtifactsInput!$N$27+1,20,24,28,32,36,40),0)/100)))+1)),0)</f>
        <v/>
      </c>
      <c r="S1085">
        <f>IFERROR(O1085/N1085,0)</f>
        <v/>
      </c>
      <c r="T1085">
        <f>IF(C1085,(H1085*N1085*IF(AND(Inputs!$B$38&lt;&gt;"pvp",Inputs!$B$43&gt;0),((Skills!G6*((R1085-1)*IF(Skills!H6&gt;0,Skills!I6/Skills!H6,1)+IF(Skills!H6&gt;0,MIN(Skills!I6,MAX(0,MAX(0,Inputs!$B$43-B1115)-((R1085-1)*(IF(Inputs!$B$38="pvp",15,MAX(0.1,Skills!D6-IF(Skills!E6=TRUE,Inputs!$B$32,0)))*(1-IF(AND(ArtifactsInput!$M$27,Inputs!$B$4="Chapter Hunt"),CHOOSE(ArtifactsInput!$N$27+1,20,24,28,32,36,40),0)/100)))))/Skills!H6,1)))/Inputs!$B$43),G1085*Q1085)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1085*(1-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1085*(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1085*(1-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1085*(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85">
        <f>IF(C1085,(H1085*N1085*IF(AND(Inputs!$B$38&lt;&gt;"pvp",Inputs!$B$43&gt;0),((Skills!G6*((R1085-1)*IF(Skills!H6&gt;0,Skills!I6/Skills!H6,1)+IF(Skills!H6&gt;0,MIN(Skills!I6,MAX(0,MAX(0,Inputs!$B$43-B1115)-((R1085-1)*(IF(Inputs!$B$38="pvp",15,MAX(0.1,Skills!D6-IF(Skills!E6=TRUE,Inputs!$B$32,0)))*(1-IF(AND(ArtifactsInput!$M$27,Inputs!$B$4="Chapter Hunt"),CHOOSE(ArtifactsInput!$N$27+1,20,24,28,32,36,40),0)/100)))))/Skills!H6,1)))/Inputs!$B$43),G1085*Q1085)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6">
      <c r="A1086">
        <f>Skills!A7</f>
        <v/>
      </c>
      <c r="B1086">
        <f>Skills!B7</f>
        <v/>
      </c>
      <c r="C1086">
        <f>Inputs!$B$3&gt;=107</f>
        <v/>
      </c>
      <c r="D1086">
        <f>IF(Skills!C7=1,60+Inputs!$B$25+Inputs!$B$29,IF(Skills!C7=2,90+Inputs!$B$26+Inputs!$B$29,IF(Skills!C7=3,120+Inputs!$B$27+Inputs!$B$29,MAX(0,(Inputs!$B$3-100)*3)+Inputs!$B$28+Inputs!$B$29)))</f>
        <v/>
      </c>
      <c r="E1086">
        <f>INDEX(FactorTable!$B$2:$Y$301, MATCH(ROUND(MIN(300,MAX(1,D1086)),0), FactorTable!$A$2:$A$301,0), Skills!M7+1)</f>
        <v/>
      </c>
      <c r="F1086">
        <f>IF(Skills!N7=TRUE,(Skills!L7/10)*(E1086/1000),Skills!L7/10)+Skills!O7</f>
        <v/>
      </c>
      <c r="G1086">
        <f>Skills!G7*IF(Skills!H7&gt;0,Skills!I7/Skills!H7,1)</f>
        <v/>
      </c>
      <c r="H1086">
        <f>1-(1-Skills!J7/100)^Skills!K7</f>
        <v/>
      </c>
      <c r="I1086" t="inlineStr">
        <is>
          <t>1</t>
        </is>
      </c>
      <c r="J1086">
        <f>((Inputs!$B$6*(1+Inputs!$B$7/100))+(((Inputs!$B$12*(1+Inputs!$B$13/100))-(Inputs!$B$12*(1+Inputs!$B$13/100)))+0.25*(Inputs!$B$14-Inputs!$B$14))*(1+Inputs!$B$7/100))*(F1086/100)</f>
        <v/>
      </c>
      <c r="K1086">
        <f>J1086*(1+((Inputs!$B$12*(1+Inputs!$B$13/100))*0.01+Inputs!$B$14*0.0025)/100)*(1+Inputs!$B$15/100)*(1+Inputs!$B$16/100)*(5000/(6000+Inputs!$B$42*(1-(100*(1-(1-(Inputs!$B$19+0)/100)*(1-CHOOSE(ArtifactsInput!$N$40+1,5,6,7,8,9,10)/100)^(ArtifactsInput!$M$40-ArtifactsInput!$M$40)))/100)))*(1+(Inputs!$B$24+((C1104=TRUE)*(F1104-Calc!F25))+B1114)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1100=TRUE)*(F1100-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1102=TRUE)*(F1102-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1092=TRUE)*F1092*IF(Inputs!$B$3&gt;=110,7,5))+((C1094=TRUE)*F1094*IF(AND(Inputs!$B$38&lt;&gt;"pvp",Inputs!$B$43&gt;0),(((R1094-1)*(Skills!T15*(1+(Inputs!$B$34+(ArtifactsInput!$M$7-ArtifactsInput!$M$7)*CHOOSE(ArtifactsInput!$N$7+1,6,7.2,8.4,9.6,10.8,12))/100))+MIN((Skills!T15*(1+(Inputs!$B$34+(ArtifactsInput!$M$7-ArtifactsInput!$M$7)*CHOOSE(ArtifactsInput!$N$7+1,6,7.2,8.4,9.6,10.8,12))/100)),MAX(0,Inputs!$B$43-((R1094-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Hunt"),CHOOSE(ArtifactsInput!$N$35+1,15,18,21,24,27,30)*(1-EXP(-(0.2*B1110)*5)),0)+IF(AND(ArtifactsInput!$M$22,Inputs!$B$4&lt;&gt;"Chapter Hunt"),CHOOSE(ArtifactsInput!$N$22+1,10,12,14,16,18,20)*((0*(((0.15*B1110*5))^0/1)+1*(((0.15*B1110*5))^1/1)+2*(((0.15*B1110*5))^2/2)+3*(((0.15*B1110*5))^3/6)+4*(((0.15*B1110*5))^4/24)+5*(((0.15*B1110*5))^5/120))/((((0.15*B1110*5))^0/1)+(((0.15*B1110*5))^1/1)+(((0.15*B1110*5))^2/2)+(((0.15*B1110*5))^3/6)+(((0.15*B1110*5))^4/24)+(((0.15*B1110*5))^5/120))),0)))/100)*I1086)</f>
        <v/>
      </c>
      <c r="L1086">
        <f>K1086*(MIN(Inputs!$B$22+((C1101=TRUE)*(F1101-Calc!F22)),(Inputs!$B$23+((C1103=TRUE)*(F1103-Calc!F24))+(IF(ArtifactsInput!$M$15,CHOOSE(ArtifactsInput!$N$15+1,25,30,35,40,45,50)/100*(Inputs!$B$11-Inputs!$B$11),0))))/100+(Inputs!$B$23+((C1103=TRUE)*(F1103-Calc!F24))+(IF(ArtifactsInput!$M$15,CHOOSE(ArtifactsInput!$N$15+1,25,30,35,40,45,50)/100*(Inputs!$B$11-Inputs!$B$11),0)))/100)/2</f>
        <v/>
      </c>
      <c r="M1086">
        <f>L1086*(1+(Inputs!$B$10+0+B1113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6">
        <f>L1086*(1-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1086*(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6">
        <f>(1-Summary!$B$11)*T1086+Summary!$B$11*V1086</f>
        <v/>
      </c>
      <c r="P1086">
        <f>IF(B1118=0,0,O1086/B1118)</f>
        <v/>
      </c>
      <c r="Q1086">
        <f>IFERROR(1/(IF(Inputs!$B$38="pvp",15,MAX(0.1,Skills!D7-IF(Skills!E7=TRUE,Inputs!$B$32,0)))*(1-IF(AND(ArtifactsInput!$M$27,Inputs!$B$4="Chapter Hunt"),CHOOSE(ArtifactsInput!$N$27+1,20,24,28,32,36,40),0)/100)),0)</f>
        <v/>
      </c>
      <c r="R1086">
        <f>IF(AND(Inputs!$B$38&lt;&gt;"pvp",Inputs!$B$43&gt;0),IF(MAX(0,Inputs!$B$43-B1115)&lt;=0,0,(INT(MAX(0,Inputs!$B$43-B1115)/(IF(Inputs!$B$38="pvp",15,MAX(0.1,Skills!D7-IF(Skills!E7=TRUE,Inputs!$B$32,0)))*(1-IF(AND(ArtifactsInput!$M$27,Inputs!$B$4="Chapter Hunt"),CHOOSE(ArtifactsInput!$N$27+1,20,24,28,32,36,40),0)/100)))+1)),0)</f>
        <v/>
      </c>
      <c r="S1086">
        <f>IFERROR(O1086/N1086,0)</f>
        <v/>
      </c>
      <c r="T1086">
        <f>IF(C1086,(H1086*N1086*IF(AND(Inputs!$B$38&lt;&gt;"pvp",Inputs!$B$43&gt;0),((Skills!G7*((R1086-1)*IF(Skills!H7&gt;0,Skills!I7/Skills!H7,1)+IF(Skills!H7&gt;0,MIN(Skills!I7,MAX(0,MAX(0,Inputs!$B$43-B1115)-((R1086-1)*(IF(Inputs!$B$38="pvp",15,MAX(0.1,Skills!D7-IF(Skills!E7=TRUE,Inputs!$B$32,0)))*(1-IF(AND(ArtifactsInput!$M$27,Inputs!$B$4="Chapter Hunt"),CHOOSE(ArtifactsInput!$N$27+1,20,24,28,32,36,40),0)/100)))))/Skills!H7,1)))/Inputs!$B$43),G1086*Q1086)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1086*(1-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1086*(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1086*(1-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1086*(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86">
        <f>IF(C1086,(H1086*N1086*IF(AND(Inputs!$B$38&lt;&gt;"pvp",Inputs!$B$43&gt;0),((Skills!G7*((R1086-1)*IF(Skills!H7&gt;0,Skills!I7/Skills!H7,1)+IF(Skills!H7&gt;0,MIN(Skills!I7,MAX(0,MAX(0,Inputs!$B$43-B1115)-((R1086-1)*(IF(Inputs!$B$38="pvp",15,MAX(0.1,Skills!D7-IF(Skills!E7=TRUE,Inputs!$B$32,0)))*(1-IF(AND(ArtifactsInput!$M$27,Inputs!$B$4="Chapter Hunt"),CHOOSE(ArtifactsInput!$N$27+1,20,24,28,32,36,40),0)/100)))))/Skills!H7,1)))/Inputs!$B$43),G1086*Q1086)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7">
      <c r="A1087">
        <f>Skills!A8</f>
        <v/>
      </c>
      <c r="B1087">
        <f>Skills!B8</f>
        <v/>
      </c>
      <c r="C1087">
        <f>Inputs!$B$3&gt;=117</f>
        <v/>
      </c>
      <c r="D1087">
        <f>IF(Skills!C8=1,60+Inputs!$B$25+Inputs!$B$29,IF(Skills!C8=2,90+Inputs!$B$26+Inputs!$B$29,IF(Skills!C8=3,120+Inputs!$B$27+Inputs!$B$29,MAX(0,(Inputs!$B$3-100)*3)+Inputs!$B$28+Inputs!$B$29)))</f>
        <v/>
      </c>
      <c r="E1087">
        <f>INDEX(FactorTable!$B$2:$Y$301, MATCH(ROUND(MIN(300,MAX(1,D1087)),0), FactorTable!$A$2:$A$301,0), Skills!M8+1)</f>
        <v/>
      </c>
      <c r="F1087">
        <f>IF(Skills!N8=TRUE,(Skills!L8/10)*(E1087/1000),Skills!L8/10)+Skills!O8</f>
        <v/>
      </c>
      <c r="G1087">
        <f>Skills!G8*IF(Skills!H8&gt;0,Skills!I8/Skills!H8,1)</f>
        <v/>
      </c>
      <c r="H1087">
        <f>1-(1-Skills!J8/100)^Skills!K8</f>
        <v/>
      </c>
      <c r="I1087" t="inlineStr">
        <is>
          <t>1</t>
        </is>
      </c>
      <c r="J1087">
        <f>((Inputs!$B$6*(1+Inputs!$B$7/100))+(((Inputs!$B$12*(1+Inputs!$B$13/100))-(Inputs!$B$12*(1+Inputs!$B$13/100)))+0.25*(Inputs!$B$14-Inputs!$B$14))*(1+Inputs!$B$7/100))*(F1087/100)</f>
        <v/>
      </c>
      <c r="K1087">
        <f>J1087*(1+((Inputs!$B$12*(1+Inputs!$B$13/100))*0.01+Inputs!$B$14*0.0025)/100)*(1+Inputs!$B$15/100)*(1+Inputs!$B$16/100)*(5000/(6000+Inputs!$B$42*(1-(100*(1-(1-(Inputs!$B$19+0)/100)*(1-CHOOSE(ArtifactsInput!$N$40+1,5,6,7,8,9,10)/100)^(ArtifactsInput!$M$40-ArtifactsInput!$M$40)))/100)))*(1+(Inputs!$B$24+((C1104=TRUE)*(F1104-Calc!F25))+B1114)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1100=TRUE)*(F1100-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1102=TRUE)*(F1102-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1092=TRUE)*F1092*IF(Inputs!$B$3&gt;=110,7,5))+((C1094=TRUE)*F1094*IF(AND(Inputs!$B$38&lt;&gt;"pvp",Inputs!$B$43&gt;0),(((R1094-1)*(Skills!T15*(1+(Inputs!$B$34+(ArtifactsInput!$M$7-ArtifactsInput!$M$7)*CHOOSE(ArtifactsInput!$N$7+1,6,7.2,8.4,9.6,10.8,12))/100))+MIN((Skills!T15*(1+(Inputs!$B$34+(ArtifactsInput!$M$7-ArtifactsInput!$M$7)*CHOOSE(ArtifactsInput!$N$7+1,6,7.2,8.4,9.6,10.8,12))/100)),MAX(0,Inputs!$B$43-((R1094-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Hunt"),CHOOSE(ArtifactsInput!$N$35+1,15,18,21,24,27,30)*(1-EXP(-(0.2*B1110)*5)),0)+IF(AND(ArtifactsInput!$M$22,Inputs!$B$4&lt;&gt;"Chapter Hunt"),CHOOSE(ArtifactsInput!$N$22+1,10,12,14,16,18,20)*((0*(((0.15*B1110*5))^0/1)+1*(((0.15*B1110*5))^1/1)+2*(((0.15*B1110*5))^2/2)+3*(((0.15*B1110*5))^3/6)+4*(((0.15*B1110*5))^4/24)+5*(((0.15*B1110*5))^5/120))/((((0.15*B1110*5))^0/1)+(((0.15*B1110*5))^1/1)+(((0.15*B1110*5))^2/2)+(((0.15*B1110*5))^3/6)+(((0.15*B1110*5))^4/24)+(((0.15*B1110*5))^5/120))),0)))/100)*I1087)</f>
        <v/>
      </c>
      <c r="L1087">
        <f>K1087*(MIN(Inputs!$B$22+((C1101=TRUE)*(F1101-Calc!F22)),(Inputs!$B$23+((C1103=TRUE)*(F1103-Calc!F24))+(IF(ArtifactsInput!$M$15,CHOOSE(ArtifactsInput!$N$15+1,25,30,35,40,45,50)/100*(Inputs!$B$11-Inputs!$B$11),0))))/100+(Inputs!$B$23+((C1103=TRUE)*(F1103-Calc!F24))+(IF(ArtifactsInput!$M$15,CHOOSE(ArtifactsInput!$N$15+1,25,30,35,40,45,50)/100*(Inputs!$B$11-Inputs!$B$11),0)))/100)/2</f>
        <v/>
      </c>
      <c r="M1087">
        <f>L1087*(1+(Inputs!$B$10+0+B1113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7">
        <f>L1087*(1-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1087*(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7">
        <f>(1-Summary!$B$11)*T1087+Summary!$B$11*V1087</f>
        <v/>
      </c>
      <c r="P1087">
        <f>IF(B1118=0,0,O1087/B1118)</f>
        <v/>
      </c>
      <c r="Q1087">
        <f>IFERROR(1/(IF(Inputs!$B$38="pvp",15,MAX(0.1,Skills!D8-IF(Skills!E8=TRUE,Inputs!$B$32,0)))*(1-IF(AND(ArtifactsInput!$M$27,Inputs!$B$4="Chapter Hunt"),CHOOSE(ArtifactsInput!$N$27+1,20,24,28,32,36,40),0)/100)),0)</f>
        <v/>
      </c>
      <c r="R1087">
        <f>IF(AND(Inputs!$B$38&lt;&gt;"pvp",Inputs!$B$43&gt;0),IF(MAX(0,Inputs!$B$43-B1115)&lt;=0,0,(INT(MAX(0,Inputs!$B$43-B1115)/(IF(Inputs!$B$38="pvp",15,MAX(0.1,Skills!D8-IF(Skills!E8=TRUE,Inputs!$B$32,0)))*(1-IF(AND(ArtifactsInput!$M$27,Inputs!$B$4="Chapter Hunt"),CHOOSE(ArtifactsInput!$N$27+1,20,24,28,32,36,40),0)/100)))+1)),0)</f>
        <v/>
      </c>
      <c r="S1087">
        <f>IFERROR(O1087/N1087,0)</f>
        <v/>
      </c>
      <c r="T1087">
        <f>IF(C1087,(H1087*N1087*IF(AND(Inputs!$B$38&lt;&gt;"pvp",Inputs!$B$43&gt;0),((Skills!G8*((R1087-1)*IF(Skills!H8&gt;0,Skills!I8/Skills!H8,1)+IF(Skills!H8&gt;0,MIN(Skills!I8,MAX(0,MAX(0,Inputs!$B$43-B1115)-((R1087-1)*(IF(Inputs!$B$38="pvp",15,MAX(0.1,Skills!D8-IF(Skills!E8=TRUE,Inputs!$B$32,0)))*(1-IF(AND(ArtifactsInput!$M$27,Inputs!$B$4="Chapter Hunt"),CHOOSE(ArtifactsInput!$N$27+1,20,24,28,32,36,40),0)/100)))))/Skills!H8,1)))/Inputs!$B$43),G1087*Q1087)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1087*(1-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1087*(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1087*(1-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1087*(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87">
        <f>IF(C1087,(H1087*N1087*IF(AND(Inputs!$B$38&lt;&gt;"pvp",Inputs!$B$43&gt;0),((Skills!G8*((R1087-1)*IF(Skills!H8&gt;0,Skills!I8/Skills!H8,1)+IF(Skills!H8&gt;0,MIN(Skills!I8,MAX(0,MAX(0,Inputs!$B$43-B1115)-((R1087-1)*(IF(Inputs!$B$38="pvp",15,MAX(0.1,Skills!D8-IF(Skills!E8=TRUE,Inputs!$B$32,0)))*(1-IF(AND(ArtifactsInput!$M$27,Inputs!$B$4="Chapter Hunt"),CHOOSE(ArtifactsInput!$N$27+1,20,24,28,32,36,40),0)/100)))))/Skills!H8,1)))/Inputs!$B$43),G1087*Q1087)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8">
      <c r="A1088">
        <f>Skills!A9</f>
        <v/>
      </c>
      <c r="B1088">
        <f>Skills!B9</f>
        <v/>
      </c>
      <c r="C1088">
        <f>Inputs!$B$3&gt;=69</f>
        <v/>
      </c>
      <c r="D1088">
        <f>IF(Skills!C9=1,60+Inputs!$B$25+Inputs!$B$29,IF(Skills!C9=2,90+Inputs!$B$26+Inputs!$B$29,IF(Skills!C9=3,120+Inputs!$B$27+Inputs!$B$29,MAX(0,(Inputs!$B$3-100)*3)+Inputs!$B$28+Inputs!$B$29)))</f>
        <v/>
      </c>
      <c r="E1088">
        <f>INDEX(FactorTable!$B$2:$Y$301, MATCH(ROUND(MIN(300,MAX(1,D1088)),0), FactorTable!$A$2:$A$301,0), Skills!M9+1)</f>
        <v/>
      </c>
      <c r="F1088">
        <f>IF(Skills!N9=TRUE,(Skills!L9/10)*(E1088/1000),Skills!L9/10)+Skills!O9</f>
        <v/>
      </c>
      <c r="G1088">
        <f>Skills!G9*IF(Skills!H9&gt;0,Skills!I9/Skills!H9,1)</f>
        <v/>
      </c>
      <c r="H1088">
        <f>1-(1-Skills!J9/100)^Skills!K9</f>
        <v/>
      </c>
      <c r="I1088" t="inlineStr">
        <is>
          <t>1</t>
        </is>
      </c>
      <c r="J1088">
        <f>((Inputs!$B$6*(1+Inputs!$B$7/100))+(((Inputs!$B$12*(1+Inputs!$B$13/100))-(Inputs!$B$12*(1+Inputs!$B$13/100)))+0.25*(Inputs!$B$14-Inputs!$B$14))*(1+Inputs!$B$7/100))*(F1088/100)</f>
        <v/>
      </c>
      <c r="K1088">
        <f>J1088*(1+((Inputs!$B$12*(1+Inputs!$B$13/100))*0.01+Inputs!$B$14*0.0025)/100)*(1+Inputs!$B$15/100)*(1+Inputs!$B$16/100)*(5000/(6000+Inputs!$B$42*(1-(100*(1-(1-(Inputs!$B$19+0)/100)*(1-CHOOSE(ArtifactsInput!$N$40+1,5,6,7,8,9,10)/100)^(ArtifactsInput!$M$40-ArtifactsInput!$M$40)))/100)))*(1+(Inputs!$B$24+((C1104=TRUE)*(F1104-Calc!F25))+B1114)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1091=TRUE,F1091,0)/100)*(1+IF(Skills!A9="ENHANCED_RAGING_BLOW",IF(Inputs!$B$3&gt;=134,MAX(0,IF(Inputs!$B$3&gt;=110,7,5)-5)*50,0),0)/100)*(1+(IF(Skills!A9="RAGING_BLOW",Inputs!$B$17+((C1100=TRUE)*(F1100-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1102=TRUE)*(F1102-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1092=TRUE)*F1092*IF(Inputs!$B$3&gt;=110,7,5))+((C1094=TRUE)*F1094*IF(AND(Inputs!$B$38&lt;&gt;"pvp",Inputs!$B$43&gt;0),(((R1094-1)*(Skills!T15*(1+(Inputs!$B$34+(ArtifactsInput!$M$7-ArtifactsInput!$M$7)*CHOOSE(ArtifactsInput!$N$7+1,6,7.2,8.4,9.6,10.8,12))/100))+MIN((Skills!T15*(1+(Inputs!$B$34+(ArtifactsInput!$M$7-ArtifactsInput!$M$7)*CHOOSE(ArtifactsInput!$N$7+1,6,7.2,8.4,9.6,10.8,12))/100)),MAX(0,Inputs!$B$43-((R1094-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Hunt"),CHOOSE(ArtifactsInput!$N$35+1,15,18,21,24,27,30)*(1-EXP(-(0.2*B1110)*5)),0)+IF(AND(ArtifactsInput!$M$22,Inputs!$B$4&lt;&gt;"Chapter Hunt"),CHOOSE(ArtifactsInput!$N$22+1,10,12,14,16,18,20)*((0*(((0.15*B1110*5))^0/1)+1*(((0.15*B1110*5))^1/1)+2*(((0.15*B1110*5))^2/2)+3*(((0.15*B1110*5))^3/6)+4*(((0.15*B1110*5))^4/24)+5*(((0.15*B1110*5))^5/120))/((((0.15*B1110*5))^0/1)+(((0.15*B1110*5))^1/1)+(((0.15*B1110*5))^2/2)+(((0.15*B1110*5))^3/6)+(((0.15*B1110*5))^4/24)+(((0.15*B1110*5))^5/120))),0)))/100)*I1088)</f>
        <v/>
      </c>
      <c r="L1088">
        <f>K1088*(MIN(Inputs!$B$22+((C1101=TRUE)*(F1101-Calc!F22)),(Inputs!$B$23+((C1103=TRUE)*(F1103-Calc!F24))+(IF(ArtifactsInput!$M$15,CHOOSE(ArtifactsInput!$N$15+1,25,30,35,40,45,50)/100*(Inputs!$B$11-Inputs!$B$11),0))))/100+(Inputs!$B$23+((C1103=TRUE)*(F1103-Calc!F24))+(IF(ArtifactsInput!$M$15,CHOOSE(ArtifactsInput!$N$15+1,25,30,35,40,45,50)/100*(Inputs!$B$11-Inputs!$B$11),0)))/100)/2</f>
        <v/>
      </c>
      <c r="M1088">
        <f>L1088*(1+(Inputs!$B$10+0+B1113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8">
        <f>L1088*(1-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1088*(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8">
        <f>(1-Summary!$B$11)*T1088+Summary!$B$11*V1088</f>
        <v/>
      </c>
      <c r="P1088">
        <f>IF(B1118=0,0,O1088/B1118)</f>
        <v/>
      </c>
      <c r="Q1088">
        <f>IFERROR(1/(IF(Inputs!$B$38="pvp",15,MAX(0.1,Skills!D9-IF(Skills!E9=TRUE,Inputs!$B$32,0)))*(1-IF(AND(ArtifactsInput!$M$27,Inputs!$B$4="Chapter Hunt"),CHOOSE(ArtifactsInput!$N$27+1,20,24,28,32,36,40),0)/100)),0)</f>
        <v/>
      </c>
      <c r="R1088">
        <f>IF(AND(Inputs!$B$38&lt;&gt;"pvp",Inputs!$B$43&gt;0),IF(MAX(0,Inputs!$B$43-B1115)&lt;=0,0,(INT(MAX(0,Inputs!$B$43-B1115)/(IF(Inputs!$B$38="pvp",15,MAX(0.1,Skills!D9-IF(Skills!E9=TRUE,Inputs!$B$32,0)))*(1-IF(AND(ArtifactsInput!$M$27,Inputs!$B$4="Chapter Hunt"),CHOOSE(ArtifactsInput!$N$27+1,20,24,28,32,36,40),0)/100)))+1)),0)</f>
        <v/>
      </c>
      <c r="S1088">
        <f>IFERROR(O1088/N1088,0)</f>
        <v/>
      </c>
      <c r="T1088">
        <f>IF(C1088,(H1088*N1088*IF(AND(Inputs!$B$38&lt;&gt;"pvp",Inputs!$B$43&gt;0),((Skills!G9*((R1088-1)*IF(Skills!H9&gt;0,Skills!I9/Skills!H9,1)+IF(Skills!H9&gt;0,MIN(Skills!I9,MAX(0,MAX(0,Inputs!$B$43-B1115)-((R1088-1)*(IF(Inputs!$B$38="pvp",15,MAX(0.1,Skills!D9-IF(Skills!E9=TRUE,Inputs!$B$32,0)))*(1-IF(AND(ArtifactsInput!$M$27,Inputs!$B$4="Chapter Hunt"),CHOOSE(ArtifactsInput!$N$27+1,20,24,28,32,36,40),0)/100)))))/Skills!H9,1)))/Inputs!$B$43),G1088*Q1088)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1088*(1-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1088*(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1088*(1-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1088*(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88">
        <f>IF(C1088,(H1088*N1088*IF(AND(Inputs!$B$38&lt;&gt;"pvp",Inputs!$B$43&gt;0),((Skills!G9*((R1088-1)*IF(Skills!H9&gt;0,Skills!I9/Skills!H9,1)+IF(Skills!H9&gt;0,MIN(Skills!I9,MAX(0,MAX(0,Inputs!$B$43-B1115)-((R1088-1)*(IF(Inputs!$B$38="pvp",15,MAX(0.1,Skills!D9-IF(Skills!E9=TRUE,Inputs!$B$32,0)))*(1-IF(AND(ArtifactsInput!$M$27,Inputs!$B$4="Chapter Hunt"),CHOOSE(ArtifactsInput!$N$27+1,20,24,28,32,36,40),0)/100)))))/Skills!H9,1)))/Inputs!$B$43),G1088*Q1088)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9">
      <c r="A1089">
        <f>Skills!A10</f>
        <v/>
      </c>
      <c r="B1089">
        <f>Skills!B10</f>
        <v/>
      </c>
      <c r="C1089">
        <f>Inputs!$B$3&gt;=63</f>
        <v/>
      </c>
      <c r="D1089">
        <f>IF(Skills!C10=1,60+Inputs!$B$25+Inputs!$B$29,IF(Skills!C10=2,90+Inputs!$B$26+Inputs!$B$29,IF(Skills!C10=3,120+Inputs!$B$27+Inputs!$B$29,MAX(0,(Inputs!$B$3-100)*3)+Inputs!$B$28+Inputs!$B$29)))</f>
        <v/>
      </c>
      <c r="E1089">
        <f>INDEX(FactorTable!$B$2:$Y$301, MATCH(ROUND(MIN(300,MAX(1,D1089)),0), FactorTable!$A$2:$A$301,0), Skills!M10+1)</f>
        <v/>
      </c>
      <c r="F1089">
        <f>IF(Skills!N10=TRUE,(Skills!L10/10)*(E1089/1000),Skills!L10/10)+Skills!O10</f>
        <v/>
      </c>
      <c r="G1089">
        <f>Skills!G10*IF(Skills!H10&gt;0,Skills!I10/Skills!H10,1)</f>
        <v/>
      </c>
      <c r="H1089">
        <f>1-(1-Skills!J10/100)^Skills!K10</f>
        <v/>
      </c>
      <c r="I1089" t="inlineStr">
        <is>
          <t>1</t>
        </is>
      </c>
      <c r="J1089">
        <f>((Inputs!$B$6*(1+Inputs!$B$7/100))+(((Inputs!$B$12*(1+Inputs!$B$13/100))-(Inputs!$B$12*(1+Inputs!$B$13/100)))+0.25*(Inputs!$B$14-Inputs!$B$14))*(1+Inputs!$B$7/100))*(F1089/100)</f>
        <v/>
      </c>
      <c r="K1089">
        <f>J1089*(1+((Inputs!$B$12*(1+Inputs!$B$13/100))*0.01+Inputs!$B$14*0.0025)/100)*(1+Inputs!$B$15/100)*(1+Inputs!$B$16/100)*(5000/(6000+Inputs!$B$42*(1-(100*(1-(1-(Inputs!$B$19+0)/100)*(1-CHOOSE(ArtifactsInput!$N$40+1,5,6,7,8,9,10)/100)^(ArtifactsInput!$M$40-ArtifactsInput!$M$40)))/100)))*(1+(Inputs!$B$24+((C1104=TRUE)*(F1104-Calc!F25))+B1114)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1091=TRUE,F1091,0)/100)*(1+IF(Skills!A10="ENHANCED_RAGING_BLOW",IF(Inputs!$B$3&gt;=134,MAX(0,IF(Inputs!$B$3&gt;=110,7,5)-5)*50,0),0)/100)*(1+(IF(Skills!A10="RAGING_BLOW",Inputs!$B$17+((C1100=TRUE)*(F1100-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1102=TRUE)*(F1102-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1092=TRUE)*F1092*IF(Inputs!$B$3&gt;=110,7,5))+((C1094=TRUE)*F1094*IF(AND(Inputs!$B$38&lt;&gt;"pvp",Inputs!$B$43&gt;0),(((R1094-1)*(Skills!T15*(1+(Inputs!$B$34+(ArtifactsInput!$M$7-ArtifactsInput!$M$7)*CHOOSE(ArtifactsInput!$N$7+1,6,7.2,8.4,9.6,10.8,12))/100))+MIN((Skills!T15*(1+(Inputs!$B$34+(ArtifactsInput!$M$7-ArtifactsInput!$M$7)*CHOOSE(ArtifactsInput!$N$7+1,6,7.2,8.4,9.6,10.8,12))/100)),MAX(0,Inputs!$B$43-((R1094-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Hunt"),CHOOSE(ArtifactsInput!$N$35+1,15,18,21,24,27,30)*(1-EXP(-(0.2*B1110)*5)),0)+IF(AND(ArtifactsInput!$M$22,Inputs!$B$4&lt;&gt;"Chapter Hunt"),CHOOSE(ArtifactsInput!$N$22+1,10,12,14,16,18,20)*((0*(((0.15*B1110*5))^0/1)+1*(((0.15*B1110*5))^1/1)+2*(((0.15*B1110*5))^2/2)+3*(((0.15*B1110*5))^3/6)+4*(((0.15*B1110*5))^4/24)+5*(((0.15*B1110*5))^5/120))/((((0.15*B1110*5))^0/1)+(((0.15*B1110*5))^1/1)+(((0.15*B1110*5))^2/2)+(((0.15*B1110*5))^3/6)+(((0.15*B1110*5))^4/24)+(((0.15*B1110*5))^5/120))),0)))/100)*I1089)</f>
        <v/>
      </c>
      <c r="L1089">
        <f>K1089*(MIN(Inputs!$B$22+((C1101=TRUE)*(F1101-Calc!F22)),(Inputs!$B$23+((C1103=TRUE)*(F1103-Calc!F24))+(IF(ArtifactsInput!$M$15,CHOOSE(ArtifactsInput!$N$15+1,25,30,35,40,45,50)/100*(Inputs!$B$11-Inputs!$B$11),0))))/100+(Inputs!$B$23+((C1103=TRUE)*(F1103-Calc!F24))+(IF(ArtifactsInput!$M$15,CHOOSE(ArtifactsInput!$N$15+1,25,30,35,40,45,50)/100*(Inputs!$B$11-Inputs!$B$11),0)))/100)/2</f>
        <v/>
      </c>
      <c r="M1089">
        <f>L1089*(1+(Inputs!$B$10+0+B1113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9">
        <f>L1089*(1-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1089*(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9">
        <f>(1-Summary!$B$11)*T1089+Summary!$B$11*V1089</f>
        <v/>
      </c>
      <c r="P1089">
        <f>IF(B1118=0,0,O1089/B1118)</f>
        <v/>
      </c>
      <c r="Q1089">
        <f>IFERROR(1/(IF(Inputs!$B$38="pvp",15,MAX(0.1,Skills!D10-IF(Skills!E10=TRUE,Inputs!$B$32,0)))*(1-IF(AND(ArtifactsInput!$M$27,Inputs!$B$4="Chapter Hunt"),CHOOSE(ArtifactsInput!$N$27+1,20,24,28,32,36,40),0)/100)),0)</f>
        <v/>
      </c>
      <c r="R1089">
        <f>IF(AND(Inputs!$B$38&lt;&gt;"pvp",Inputs!$B$43&gt;0),IF(MAX(0,Inputs!$B$43-B1115)&lt;=0,0,(INT(MAX(0,Inputs!$B$43-B1115)/(IF(Inputs!$B$38="pvp",15,MAX(0.1,Skills!D10-IF(Skills!E10=TRUE,Inputs!$B$32,0)))*(1-IF(AND(ArtifactsInput!$M$27,Inputs!$B$4="Chapter Hunt"),CHOOSE(ArtifactsInput!$N$27+1,20,24,28,32,36,40),0)/100)))+1)),0)</f>
        <v/>
      </c>
      <c r="S1089">
        <f>IFERROR(O1089/N1089,0)</f>
        <v/>
      </c>
      <c r="T1089">
        <f>IF(C1089,(H1089*N1089*IF(AND(Inputs!$B$38&lt;&gt;"pvp",Inputs!$B$43&gt;0),((Skills!G10*((R1089-1)*IF(Skills!H10&gt;0,Skills!I10/Skills!H10,1)+IF(Skills!H10&gt;0,MIN(Skills!I10,MAX(0,MAX(0,Inputs!$B$43-B1115)-((R1089-1)*(IF(Inputs!$B$38="pvp",15,MAX(0.1,Skills!D10-IF(Skills!E10=TRUE,Inputs!$B$32,0)))*(1-IF(AND(ArtifactsInput!$M$27,Inputs!$B$4="Chapter Hunt"),CHOOSE(ArtifactsInput!$N$27+1,20,24,28,32,36,40),0)/100)))))/Skills!H10,1)))/Inputs!$B$43),G1089*Q1089)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1089*(1-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1089*(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1089*(1-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1089*(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89">
        <f>IF(C1089,(H1089*N1089*IF(AND(Inputs!$B$38&lt;&gt;"pvp",Inputs!$B$43&gt;0),((Skills!G10*((R1089-1)*IF(Skills!H10&gt;0,Skills!I10/Skills!H10,1)+IF(Skills!H10&gt;0,MIN(Skills!I10,MAX(0,MAX(0,Inputs!$B$43-B1115)-((R1089-1)*(IF(Inputs!$B$38="pvp",15,MAX(0.1,Skills!D10-IF(Skills!E10=TRUE,Inputs!$B$32,0)))*(1-IF(AND(ArtifactsInput!$M$27,Inputs!$B$4="Chapter Hunt"),CHOOSE(ArtifactsInput!$N$27+1,20,24,28,32,36,40),0)/100)))))/Skills!H10,1)))/Inputs!$B$43),G1089*Q1089)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0">
      <c r="A1090">
        <f>Skills!A11</f>
        <v/>
      </c>
      <c r="B1090">
        <f>Skills!B11</f>
        <v/>
      </c>
      <c r="C1090">
        <f>Inputs!$B$3&gt;=35</f>
        <v/>
      </c>
      <c r="D1090">
        <f>IF(Skills!C11=1,60+Inputs!$B$25+Inputs!$B$29,IF(Skills!C11=2,90+Inputs!$B$26+Inputs!$B$29,IF(Skills!C11=3,120+Inputs!$B$27+Inputs!$B$29,MAX(0,(Inputs!$B$3-100)*3)+Inputs!$B$28+Inputs!$B$29)))</f>
        <v/>
      </c>
      <c r="E1090">
        <f>INDEX(FactorTable!$B$2:$Y$301, MATCH(ROUND(MIN(300,MAX(1,D1090)),0), FactorTable!$A$2:$A$301,0), Skills!M11+1)</f>
        <v/>
      </c>
      <c r="F1090">
        <f>IF(Skills!N11=TRUE,(Skills!L11/10)*(E1090/1000),Skills!L11/10)+Skills!O11</f>
        <v/>
      </c>
      <c r="G1090">
        <f>Skills!G11*IF(Skills!H11&gt;0,Skills!I11/Skills!H11,1)</f>
        <v/>
      </c>
      <c r="H1090">
        <f>1-(1-Skills!J11/100)^Skills!K11</f>
        <v/>
      </c>
      <c r="I1090" t="inlineStr">
        <is>
          <t>1</t>
        </is>
      </c>
      <c r="J1090">
        <f>((Inputs!$B$6*(1+Inputs!$B$7/100))+(((Inputs!$B$12*(1+Inputs!$B$13/100))-(Inputs!$B$12*(1+Inputs!$B$13/100)))+0.25*(Inputs!$B$14-Inputs!$B$14))*(1+Inputs!$B$7/100))*(F1090/100)</f>
        <v/>
      </c>
      <c r="K1090">
        <f>J1090*(1+((Inputs!$B$12*(1+Inputs!$B$13/100))*0.01+Inputs!$B$14*0.0025)/100)*(1+Inputs!$B$15/100)*(1+Inputs!$B$16/100)*(5000/(6000+Inputs!$B$42*(1-(100*(1-(1-(Inputs!$B$19+0)/100)*(1-CHOOSE(ArtifactsInput!$N$40+1,5,6,7,8,9,10)/100)^(ArtifactsInput!$M$40-ArtifactsInput!$M$40)))/100)))*(1+(Inputs!$B$24+((C1104=TRUE)*(F1104-Calc!F25))+B1114)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1091=TRUE,F1091,0)/100)*(1+IF(Skills!A11="ENHANCED_RAGING_BLOW",IF(Inputs!$B$3&gt;=134,MAX(0,IF(Inputs!$B$3&gt;=110,7,5)-5)*50,0),0)/100)*(1+(IF(Skills!A11="RAGING_BLOW",Inputs!$B$17+((C1100=TRUE)*(F1100-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1102=TRUE)*(F1102-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1092=TRUE)*F1092*IF(Inputs!$B$3&gt;=110,7,5))+((C1094=TRUE)*F1094*IF(AND(Inputs!$B$38&lt;&gt;"pvp",Inputs!$B$43&gt;0),(((R1094-1)*(Skills!T15*(1+(Inputs!$B$34+(ArtifactsInput!$M$7-ArtifactsInput!$M$7)*CHOOSE(ArtifactsInput!$N$7+1,6,7.2,8.4,9.6,10.8,12))/100))+MIN((Skills!T15*(1+(Inputs!$B$34+(ArtifactsInput!$M$7-ArtifactsInput!$M$7)*CHOOSE(ArtifactsInput!$N$7+1,6,7.2,8.4,9.6,10.8,12))/100)),MAX(0,Inputs!$B$43-((R1094-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Hunt"),CHOOSE(ArtifactsInput!$N$35+1,15,18,21,24,27,30)*(1-EXP(-(0.2*B1110)*5)),0)+IF(AND(ArtifactsInput!$M$22,Inputs!$B$4&lt;&gt;"Chapter Hunt"),CHOOSE(ArtifactsInput!$N$22+1,10,12,14,16,18,20)*((0*(((0.15*B1110*5))^0/1)+1*(((0.15*B1110*5))^1/1)+2*(((0.15*B1110*5))^2/2)+3*(((0.15*B1110*5))^3/6)+4*(((0.15*B1110*5))^4/24)+5*(((0.15*B1110*5))^5/120))/((((0.15*B1110*5))^0/1)+(((0.15*B1110*5))^1/1)+(((0.15*B1110*5))^2/2)+(((0.15*B1110*5))^3/6)+(((0.15*B1110*5))^4/24)+(((0.15*B1110*5))^5/120))),0)))/100)*I1090)</f>
        <v/>
      </c>
      <c r="L1090">
        <f>K1090*(MIN(Inputs!$B$22+((C1101=TRUE)*(F1101-Calc!F22)),(Inputs!$B$23+((C1103=TRUE)*(F1103-Calc!F24))+(IF(ArtifactsInput!$M$15,CHOOSE(ArtifactsInput!$N$15+1,25,30,35,40,45,50)/100*(Inputs!$B$11-Inputs!$B$11),0))))/100+(Inputs!$B$23+((C1103=TRUE)*(F1103-Calc!F24))+(IF(ArtifactsInput!$M$15,CHOOSE(ArtifactsInput!$N$15+1,25,30,35,40,45,50)/100*(Inputs!$B$11-Inputs!$B$11),0)))/100)/2</f>
        <v/>
      </c>
      <c r="M1090">
        <f>L1090*(1+(Inputs!$B$10+0+B1113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0">
        <f>L1090*(1-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1090*(MIN((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0">
        <f>(1-Summary!$B$11)*T1090+Summary!$B$11*V1090</f>
        <v/>
      </c>
      <c r="P1090">
        <f>IF(B1118=0,0,O1090/B1118)</f>
        <v/>
      </c>
      <c r="Q1090">
        <f>IFERROR(1/(IF(Inputs!$B$38="pvp",15,MAX(0.1,Skills!D11-IF(Skills!E11=TRUE,Inputs!$B$32,0)))*(1-IF(AND(ArtifactsInput!$M$27,Inputs!$B$4="Chapter Hunt"),CHOOSE(ArtifactsInput!$N$27+1,20,24,28,32,36,40),0)/100)),0)</f>
        <v/>
      </c>
      <c r="R1090">
        <f>IF(AND(Inputs!$B$38&lt;&gt;"pvp",Inputs!$B$43&gt;0),IF(MAX(0,Inputs!$B$43-B1115)&lt;=0,0,(INT(MAX(0,Inputs!$B$43-B1115)/(IF(Inputs!$B$38="pvp",15,MAX(0.1,Skills!D11-IF(Skills!E11=TRUE,Inputs!$B$32,0)))*(1-IF(AND(ArtifactsInput!$M$27,Inputs!$B$4="Chapter Hunt"),CHOOSE(ArtifactsInput!$N$27+1,20,24,28,32,36,40),0)/100)))+1)),0)</f>
        <v/>
      </c>
      <c r="S1090">
        <f>IFERROR(O1090/N1090,0)</f>
        <v/>
      </c>
      <c r="T1090">
        <f>IF(C1090,(H1090*N1090*IF(AND(Inputs!$B$38&lt;&gt;"pvp",Inputs!$B$43&gt;0),((Skills!G11*((R1090-1)*IF(Skills!H11&gt;0,Skills!I11/Skills!H11,1)+IF(Skills!H11&gt;0,MIN(Skills!I11,MAX(0,MAX(0,Inputs!$B$43-B1115)-((R1090-1)*(IF(Inputs!$B$38="pvp",15,MAX(0.1,Skills!D11-IF(Skills!E11=TRUE,Inputs!$B$32,0)))*(1-IF(AND(ArtifactsInput!$M$27,Inputs!$B$4="Chapter Hunt"),CHOOSE(ArtifactsInput!$N$27+1,20,24,28,32,36,40),0)/100)))))/Skills!H11,1)))/Inputs!$B$43),G1090*Q1090)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1090*(1-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1090*(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1090*(1-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1090*(MIN(100,(Inputs!$B$9+((C1105=TRUE)*(F1105-Calc!F26))+B1108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90">
        <f>IF(C1090,(H1090*N1090*IF(AND(Inputs!$B$38&lt;&gt;"pvp",Inputs!$B$43&gt;0),((Skills!G11*((R1090-1)*IF(Skills!H11&gt;0,Skills!I11/Skills!H11,1)+IF(Skills!H11&gt;0,MIN(Skills!I11,MAX(0,MAX(0,Inputs!$B$43-B1115)-((R1090-1)*(IF(Inputs!$B$38="pvp",15,MAX(0.1,Skills!D11-IF(Skills!E11=TRUE,Inputs!$B$32,0)))*(1-IF(AND(ArtifactsInput!$M$27,Inputs!$B$4="Chapter Hunt"),CHOOSE(ArtifactsInput!$N$27+1,20,24,28,32,36,40),0)/100)))))/Skills!H11,1)))/Inputs!$B$43),G1090*Q1090)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1">
      <c r="A1091">
        <f>Skills!A12</f>
        <v/>
      </c>
      <c r="B1091">
        <f>Skills!B12</f>
        <v/>
      </c>
      <c r="C1091">
        <f>Inputs!$B$3&gt;=100</f>
        <v/>
      </c>
      <c r="D1091">
        <f>IF(Skills!C12=1,60+Inputs!$B$25+Inputs!$B$29,IF(Skills!C12=2,90+Inputs!$B$26+Inputs!$B$29,IF(Skills!C12=3,120+Inputs!$B$27+Inputs!$B$29,MAX(0,(Inputs!$B$3-100)*3)+Inputs!$B$28+Inputs!$B$29)))</f>
        <v/>
      </c>
      <c r="E1091">
        <f>INDEX(FactorTable!$B$2:$Y$301, MATCH(ROUND(MIN(300,MAX(1,D1091)),0), FactorTable!$A$2:$A$301,0), Skills!M12+1)</f>
        <v/>
      </c>
      <c r="F1091">
        <f>IF(Skills!N12=TRUE,(Skills!L12/10)*(E1091/1000),Skills!L12/10)+Skills!O12</f>
        <v/>
      </c>
      <c r="G1091" t="inlineStr"/>
      <c r="H1091" t="inlineStr"/>
      <c r="I1091" t="inlineStr">
        <is>
          <t>1</t>
        </is>
      </c>
      <c r="J1091" t="inlineStr"/>
      <c r="K1091" t="inlineStr"/>
      <c r="L1091" t="inlineStr"/>
      <c r="M1091" t="inlineStr"/>
      <c r="N1091" t="inlineStr"/>
      <c r="O1091" t="inlineStr"/>
      <c r="P1091" t="inlineStr"/>
      <c r="Q1091" t="inlineStr"/>
      <c r="R1091" t="inlineStr"/>
      <c r="S1091" t="inlineStr"/>
    </row>
    <row r="1092">
      <c r="A1092">
        <f>Skills!A13</f>
        <v/>
      </c>
      <c r="B1092">
        <f>Skills!B13</f>
        <v/>
      </c>
      <c r="C1092">
        <f>Inputs!$B$3&gt;=45</f>
        <v/>
      </c>
      <c r="D1092">
        <f>IF(Skills!C13=1,60+Inputs!$B$25+Inputs!$B$29,IF(Skills!C13=2,90+Inputs!$B$26+Inputs!$B$29,IF(Skills!C13=3,120+Inputs!$B$27+Inputs!$B$29,MAX(0,(Inputs!$B$3-100)*3)+Inputs!$B$28+Inputs!$B$29)))</f>
        <v/>
      </c>
      <c r="E1092">
        <f>INDEX(FactorTable!$B$2:$Y$301, MATCH(ROUND(MIN(300,MAX(1,D1092)),0), FactorTable!$A$2:$A$301,0), Skills!M13+1)</f>
        <v/>
      </c>
      <c r="F1092">
        <f>IF(Skills!N13=TRUE,(Skills!L13/10)*(E1092/1000),Skills!L13/10)+Skills!O13</f>
        <v/>
      </c>
      <c r="G1092">
        <f>Skills!G13*IF(Skills!H13&gt;0,Skills!I13/Skills!H13,1)</f>
        <v/>
      </c>
      <c r="H1092">
        <f>1-(1-Skills!J13/100)^Skills!K13</f>
        <v/>
      </c>
      <c r="I1092" t="inlineStr">
        <is>
          <t>1</t>
        </is>
      </c>
      <c r="J1092" t="inlineStr"/>
      <c r="K1092" t="inlineStr"/>
      <c r="L1092" t="inlineStr"/>
      <c r="M1092" t="inlineStr"/>
      <c r="N1092" t="inlineStr"/>
      <c r="O1092">
        <f>(1-Summary!$B$11)*T1092+Summary!$B$11*V1092</f>
        <v/>
      </c>
      <c r="P1092">
        <f>IF(B1118=0,0,O1092/B1118)</f>
        <v/>
      </c>
      <c r="Q1092" t="n">
        <v>0</v>
      </c>
      <c r="R1092" t="n">
        <v>0</v>
      </c>
      <c r="S1092">
        <f>IFERROR(O1092/N1092,0)</f>
        <v/>
      </c>
      <c r="T1092" t="n">
        <v>0</v>
      </c>
      <c r="V1092" t="n">
        <v>0</v>
      </c>
    </row>
    <row r="1093">
      <c r="A1093">
        <f>Skills!A14</f>
        <v/>
      </c>
      <c r="B1093">
        <f>Skills!B14</f>
        <v/>
      </c>
      <c r="C1093">
        <f>Inputs!$B$3&gt;=75</f>
        <v/>
      </c>
      <c r="D1093">
        <f>IF(Skills!C14=1,60+Inputs!$B$25+Inputs!$B$29,IF(Skills!C14=2,90+Inputs!$B$26+Inputs!$B$29,IF(Skills!C14=3,120+Inputs!$B$27+Inputs!$B$29,MAX(0,(Inputs!$B$3-100)*3)+Inputs!$B$28+Inputs!$B$29)))</f>
        <v/>
      </c>
      <c r="E1093">
        <f>INDEX(FactorTable!$B$2:$Y$301, MATCH(ROUND(MIN(300,MAX(1,D1093)),0), FactorTable!$A$2:$A$301,0), Skills!M14+1)</f>
        <v/>
      </c>
      <c r="F1093">
        <f>IF(Skills!N14=TRUE,(Skills!L14/10)*(E1093/1000),Skills!L14/10)+Skills!O14</f>
        <v/>
      </c>
      <c r="G1093">
        <f>Skills!G14*IF(Skills!H14&gt;0,Skills!I14/Skills!H14,1)</f>
        <v/>
      </c>
      <c r="H1093">
        <f>1-(1-Skills!J14/100)^Skills!K14</f>
        <v/>
      </c>
      <c r="I1093" t="inlineStr">
        <is>
          <t>1</t>
        </is>
      </c>
      <c r="J1093" t="inlineStr"/>
      <c r="K1093" t="inlineStr"/>
      <c r="L1093" t="inlineStr"/>
      <c r="M1093" t="inlineStr"/>
      <c r="N1093" t="inlineStr"/>
      <c r="O1093">
        <f>(1-Summary!$B$11)*T1093+Summary!$B$11*V1093</f>
        <v/>
      </c>
      <c r="P1093">
        <f>IF(B1118=0,0,O1093/B1118)</f>
        <v/>
      </c>
      <c r="Q1093" t="n">
        <v>0</v>
      </c>
      <c r="R1093" t="n">
        <v>0</v>
      </c>
      <c r="S1093">
        <f>IFERROR(O1093/N1093,0)</f>
        <v/>
      </c>
      <c r="T1093" t="n">
        <v>0</v>
      </c>
      <c r="V1093" t="n">
        <v>0</v>
      </c>
    </row>
    <row r="1094">
      <c r="A1094">
        <f>Skills!A15</f>
        <v/>
      </c>
      <c r="B1094">
        <f>Skills!B15</f>
        <v/>
      </c>
      <c r="C1094">
        <f>Inputs!$B$3&gt;=40</f>
        <v/>
      </c>
      <c r="D1094">
        <f>IF(Skills!C15=1,60+Inputs!$B$25+Inputs!$B$29,IF(Skills!C15=2,90+Inputs!$B$26+Inputs!$B$29,IF(Skills!C15=3,120+Inputs!$B$27+Inputs!$B$29,MAX(0,(Inputs!$B$3-100)*3)+Inputs!$B$28+Inputs!$B$29)))</f>
        <v/>
      </c>
      <c r="E1094">
        <f>INDEX(FactorTable!$B$2:$Y$301, MATCH(ROUND(MIN(300,MAX(1,D1094)),0), FactorTable!$A$2:$A$301,0), Skills!M15+1)</f>
        <v/>
      </c>
      <c r="F1094">
        <f>IF(Skills!N15=TRUE,(Skills!L15/10)*(E1094/1000),Skills!L15/10)+Skills!O15</f>
        <v/>
      </c>
      <c r="G1094">
        <f>Skills!G15*IF(Skills!H15&gt;0,Skills!I15/Skills!H15,1)</f>
        <v/>
      </c>
      <c r="H1094">
        <f>1-(1-Skills!J15/100)^Skills!K15</f>
        <v/>
      </c>
      <c r="I1094" t="inlineStr">
        <is>
          <t>1</t>
        </is>
      </c>
      <c r="J1094" t="inlineStr"/>
      <c r="K1094" t="inlineStr"/>
      <c r="L1094" t="inlineStr"/>
      <c r="M1094" t="inlineStr"/>
      <c r="N1094" t="inlineStr"/>
      <c r="O1094">
        <f>(1-Summary!$B$11)*T1094+Summary!$B$11*V1094</f>
        <v/>
      </c>
      <c r="P1094">
        <f>IF(B1118=0,0,O1094/B1118)</f>
        <v/>
      </c>
      <c r="Q1094">
        <f>IFERROR(1/(IF(Inputs!$B$38="pvp",15,MAX(0.1,Skills!D15-IF(Skills!E15=TRUE,Inputs!$B$32,0)))*(1-IF(AND(ArtifactsInput!$M$27,Inputs!$B$4="Chapter Hunt"),CHOOSE(ArtifactsInput!$N$27+1,20,24,28,32,36,40),0)/100)),0)</f>
        <v/>
      </c>
      <c r="R1094">
        <f>IF(AND(Inputs!$B$38&lt;&gt;"pvp",Inputs!$B$43&gt;0),IF(Inputs!$B$43&lt;=0,0,(INT(Inputs!$B$43/(IF(Inputs!$B$38="pvp",15,MAX(0.1,Skills!D15-IF(Skills!E15=TRUE,Inputs!$B$32,0)))*(1-IF(AND(ArtifactsInput!$M$27,Inputs!$B$4="Chapter Hunt"),CHOOSE(ArtifactsInput!$N$27+1,20,24,28,32,36,40),0)/100)))+1)),0)</f>
        <v/>
      </c>
      <c r="S1094">
        <f>IFERROR(O1094/N1094,0)</f>
        <v/>
      </c>
      <c r="T1094" t="n">
        <v>0</v>
      </c>
      <c r="V1094" t="n">
        <v>0</v>
      </c>
    </row>
    <row r="1095">
      <c r="A1095">
        <f>Skills!A16</f>
        <v/>
      </c>
      <c r="B1095">
        <f>Skills!B16</f>
        <v/>
      </c>
      <c r="C1095">
        <f>Inputs!$B$3&gt;=66</f>
        <v/>
      </c>
      <c r="D1095">
        <f>IF(Skills!C16=1,60+Inputs!$B$25+Inputs!$B$29,IF(Skills!C16=2,90+Inputs!$B$26+Inputs!$B$29,IF(Skills!C16=3,120+Inputs!$B$27+Inputs!$B$29,MAX(0,(Inputs!$B$3-100)*3)+Inputs!$B$28+Inputs!$B$29)))</f>
        <v/>
      </c>
      <c r="E1095">
        <f>INDEX(FactorTable!$B$2:$Y$301, MATCH(ROUND(MIN(300,MAX(1,D1095)),0), FactorTable!$A$2:$A$301,0), Skills!M16+1)</f>
        <v/>
      </c>
      <c r="F1095">
        <f>IF(Skills!N16=TRUE,(Skills!L16/10)*(E1095/1000),Skills!L16/10)+Skills!O16</f>
        <v/>
      </c>
      <c r="G1095">
        <f>Skills!G16*IF(Skills!H16&gt;0,Skills!I16/Skills!H16,1)</f>
        <v/>
      </c>
      <c r="H1095">
        <f>1-(1-Skills!J16/100)^Skills!K16</f>
        <v/>
      </c>
      <c r="I1095" t="inlineStr">
        <is>
          <t>1</t>
        </is>
      </c>
      <c r="J1095" t="inlineStr"/>
      <c r="K1095" t="inlineStr"/>
      <c r="L1095" t="inlineStr"/>
      <c r="M1095" t="inlineStr"/>
      <c r="N1095" t="inlineStr"/>
      <c r="O1095">
        <f>(1-Summary!$B$11)*T1095+Summary!$B$11*V1095</f>
        <v/>
      </c>
      <c r="P1095">
        <f>IF(B1118=0,0,O1095/B1118)</f>
        <v/>
      </c>
      <c r="Q1095">
        <f>IFERROR(1/(IF(Inputs!$B$38="pvp",15,MAX(0.1,Skills!D16-IF(Skills!E16=TRUE,Inputs!$B$32,0)))*(1-IF(AND(ArtifactsInput!$M$27,Inputs!$B$4="Chapter Hunt"),CHOOSE(ArtifactsInput!$N$27+1,20,24,28,32,36,40),0)/100)),0)</f>
        <v/>
      </c>
      <c r="R1095">
        <f>IF(AND(Inputs!$B$38&lt;&gt;"pvp",Inputs!$B$43&gt;0),IF(Inputs!$B$43&lt;=0,0,(INT(Inputs!$B$43/(IF(Inputs!$B$38="pvp",15,MAX(0.1,Skills!D16-IF(Skills!E16=TRUE,Inputs!$B$32,0)))*(1-IF(AND(ArtifactsInput!$M$27,Inputs!$B$4="Chapter Hunt"),CHOOSE(ArtifactsInput!$N$27+1,20,24,28,32,36,40),0)/100)))+1)),0)</f>
        <v/>
      </c>
      <c r="S1095">
        <f>IFERROR(O1095/N1095,0)</f>
        <v/>
      </c>
      <c r="T1095" t="n">
        <v>0</v>
      </c>
      <c r="V1095" t="n">
        <v>0</v>
      </c>
    </row>
    <row r="1096">
      <c r="A1096">
        <f>Skills!A17</f>
        <v/>
      </c>
      <c r="B1096">
        <f>Skills!B17</f>
        <v/>
      </c>
      <c r="C1096">
        <f>Inputs!$B$3&gt;=115</f>
        <v/>
      </c>
      <c r="D1096">
        <f>IF(Skills!C17=1,60+Inputs!$B$25+Inputs!$B$29,IF(Skills!C17=2,90+Inputs!$B$26+Inputs!$B$29,IF(Skills!C17=3,120+Inputs!$B$27+Inputs!$B$29,MAX(0,(Inputs!$B$3-100)*3)+Inputs!$B$28+Inputs!$B$29)))</f>
        <v/>
      </c>
      <c r="E1096">
        <f>INDEX(FactorTable!$B$2:$Y$301, MATCH(ROUND(MIN(300,MAX(1,D1096)),0), FactorTable!$A$2:$A$301,0), Skills!M17+1)</f>
        <v/>
      </c>
      <c r="F1096">
        <f>IF(Skills!N17=TRUE,(Skills!L17/10)*(E1096/1000),Skills!L17/10)+Skills!O17</f>
        <v/>
      </c>
      <c r="G1096">
        <f>Skills!G17*IF(Skills!H17&gt;0,Skills!I17/Skills!H17,1)</f>
        <v/>
      </c>
      <c r="H1096">
        <f>1-(1-Skills!J17/100)^Skills!K17</f>
        <v/>
      </c>
      <c r="I1096" t="inlineStr">
        <is>
          <t>1</t>
        </is>
      </c>
      <c r="J1096" t="inlineStr"/>
      <c r="K1096" t="inlineStr"/>
      <c r="L1096" t="inlineStr"/>
      <c r="M1096" t="inlineStr"/>
      <c r="N1096" t="inlineStr"/>
      <c r="O1096">
        <f>(1-Summary!$B$11)*T1096+Summary!$B$11*V1096</f>
        <v/>
      </c>
      <c r="P1096">
        <f>IF(B1118=0,0,O1096/B1118)</f>
        <v/>
      </c>
      <c r="Q1096">
        <f>IFERROR(1/(IF(Inputs!$B$38="pvp",15,MAX(0.1,Skills!D17-IF(Skills!E17=TRUE,Inputs!$B$32,0)))*(1-IF(AND(ArtifactsInput!$M$27,Inputs!$B$4="Chapter Hunt"),CHOOSE(ArtifactsInput!$N$27+1,20,24,28,32,36,40),0)/100)),0)</f>
        <v/>
      </c>
      <c r="R1096">
        <f>IF(AND(Inputs!$B$38&lt;&gt;"pvp",Inputs!$B$43&gt;0),IF(Inputs!$B$43&lt;=0,0,(INT(Inputs!$B$43/(IF(Inputs!$B$38="pvp",15,MAX(0.1,Skills!D17-IF(Skills!E17=TRUE,Inputs!$B$32,0)))*(1-IF(AND(ArtifactsInput!$M$27,Inputs!$B$4="Chapter Hunt"),CHOOSE(ArtifactsInput!$N$27+1,20,24,28,32,36,40),0)/100)))+1)),0)</f>
        <v/>
      </c>
      <c r="S1096">
        <f>IFERROR(O1096/N1096,0)</f>
        <v/>
      </c>
      <c r="T1096" t="n">
        <v>0</v>
      </c>
      <c r="V1096" t="n">
        <v>0</v>
      </c>
    </row>
    <row r="1097">
      <c r="A1097">
        <f>Skills!A18</f>
        <v/>
      </c>
      <c r="B1097">
        <f>Skills!B18</f>
        <v/>
      </c>
      <c r="C1097">
        <f>Inputs!$B$3&gt;=115</f>
        <v/>
      </c>
      <c r="D1097">
        <f>IF(Skills!C18=1,60+Inputs!$B$25+Inputs!$B$29,IF(Skills!C18=2,90+Inputs!$B$26+Inputs!$B$29,IF(Skills!C18=3,120+Inputs!$B$27+Inputs!$B$29,MAX(0,(Inputs!$B$3-100)*3)+Inputs!$B$28+Inputs!$B$29)))</f>
        <v/>
      </c>
      <c r="E1097">
        <f>INDEX(FactorTable!$B$2:$Y$301, MATCH(ROUND(MIN(300,MAX(1,D1097)),0), FactorTable!$A$2:$A$301,0), Skills!M18+1)</f>
        <v/>
      </c>
      <c r="F1097">
        <f>IF(Skills!N18=TRUE,(Skills!L18/10)*(E1097/1000),Skills!L18/10)+Skills!O18</f>
        <v/>
      </c>
      <c r="G1097">
        <f>Skills!G18*IF(Skills!H18&gt;0,Skills!I18/Skills!H18,1)</f>
        <v/>
      </c>
      <c r="H1097">
        <f>1-(1-Skills!J18/100)^Skills!K18</f>
        <v/>
      </c>
      <c r="I1097" t="inlineStr">
        <is>
          <t>1</t>
        </is>
      </c>
      <c r="J1097" t="inlineStr"/>
      <c r="K1097" t="inlineStr"/>
      <c r="L1097" t="inlineStr"/>
      <c r="M1097" t="inlineStr"/>
      <c r="N1097" t="inlineStr"/>
      <c r="O1097">
        <f>(1-Summary!$B$11)*T1097+Summary!$B$11*V1097</f>
        <v/>
      </c>
      <c r="P1097">
        <f>IF(B1118=0,0,O1097/B1118)</f>
        <v/>
      </c>
      <c r="Q1097">
        <f>IFERROR(1/(IF(Inputs!$B$38="pvp",15,MAX(0.1,Skills!D18-IF(Skills!E18=TRUE,Inputs!$B$32,0)))*(1-IF(AND(ArtifactsInput!$M$27,Inputs!$B$4="Chapter Hunt"),CHOOSE(ArtifactsInput!$N$27+1,20,24,28,32,36,40),0)/100)),0)</f>
        <v/>
      </c>
      <c r="R1097">
        <f>IF(AND(Inputs!$B$38&lt;&gt;"pvp",Inputs!$B$43&gt;0),IF(Inputs!$B$43&lt;=0,0,(INT(Inputs!$B$43/(IF(Inputs!$B$38="pvp",15,MAX(0.1,Skills!D18-IF(Skills!E18=TRUE,Inputs!$B$32,0)))*(1-IF(AND(ArtifactsInput!$M$27,Inputs!$B$4="Chapter Hunt"),CHOOSE(ArtifactsInput!$N$27+1,20,24,28,32,36,40),0)/100)))+1)),0)</f>
        <v/>
      </c>
      <c r="S1097">
        <f>IFERROR(O1097/N1097,0)</f>
        <v/>
      </c>
      <c r="T1097" t="n">
        <v>0</v>
      </c>
      <c r="V1097" t="n">
        <v>0</v>
      </c>
    </row>
    <row r="1098">
      <c r="A1098">
        <f>Skills!A19</f>
        <v/>
      </c>
      <c r="B1098">
        <f>Skills!B19</f>
        <v/>
      </c>
      <c r="C1098">
        <f>TRUE</f>
        <v/>
      </c>
      <c r="D1098">
        <f>IF(Skills!C19=1,60+Inputs!$B$25+Inputs!$B$29,IF(Skills!C19=2,90+Inputs!$B$26+Inputs!$B$29,IF(Skills!C19=3,120+Inputs!$B$27+Inputs!$B$29,MAX(0,(Inputs!$B$3-100)*3)+Inputs!$B$28+Inputs!$B$29)))</f>
        <v/>
      </c>
      <c r="E1098">
        <f>INDEX(FactorTable!$B$2:$Y$301, MATCH(ROUND(MIN(300,MAX(1,D1098)),0), FactorTable!$A$2:$A$301,0), Skills!M19+1)</f>
        <v/>
      </c>
      <c r="F1098">
        <f>IF(Skills!N19=TRUE,(Skills!L19/10)*(E1098/1000),Skills!L19/10)+Skills!O19</f>
        <v/>
      </c>
      <c r="G1098">
        <f>Skills!G19*IF(Skills!H19&gt;0,Skills!I19/Skills!H19,1)</f>
        <v/>
      </c>
      <c r="H1098">
        <f>1-(1-Skills!J19/100)^Skills!K19</f>
        <v/>
      </c>
      <c r="I1098" t="inlineStr">
        <is>
          <t>1</t>
        </is>
      </c>
      <c r="J1098" t="inlineStr"/>
      <c r="K1098" t="inlineStr"/>
      <c r="L1098" t="inlineStr"/>
      <c r="M1098" t="inlineStr"/>
      <c r="N1098" t="inlineStr"/>
      <c r="O1098">
        <f>(1-Summary!$B$11)*T1098+Summary!$B$11*V1098</f>
        <v/>
      </c>
      <c r="P1098">
        <f>IF(B1118=0,0,O1098/B1118)</f>
        <v/>
      </c>
      <c r="Q1098">
        <f>IFERROR(1/(IF(Inputs!$B$38="pvp",15,MAX(0.1,Skills!D19-IF(Skills!E19=TRUE,Inputs!$B$32,0)))*(1-IF(AND(ArtifactsInput!$M$27,Inputs!$B$4="Chapter Hunt"),CHOOSE(ArtifactsInput!$N$27+1,20,24,28,32,36,40),0)/100)),0)</f>
        <v/>
      </c>
      <c r="R1098">
        <f>IF(AND(Inputs!$B$38&lt;&gt;"pvp",Inputs!$B$43&gt;0),IF(Inputs!$B$43&lt;=0,0,(INT(Inputs!$B$43/(IF(Inputs!$B$38="pvp",15,MAX(0.1,Skills!D19-IF(Skills!E19=TRUE,Inputs!$B$32,0)))*(1-IF(AND(ArtifactsInput!$M$27,Inputs!$B$4="Chapter Hunt"),CHOOSE(ArtifactsInput!$N$27+1,20,24,28,32,36,40),0)/100)))+1)),0)</f>
        <v/>
      </c>
      <c r="S1098">
        <f>IFERROR(O1098/N1098,0)</f>
        <v/>
      </c>
      <c r="T1098" t="n">
        <v>0</v>
      </c>
      <c r="V1098" t="n">
        <v>0</v>
      </c>
    </row>
    <row r="1099">
      <c r="A1099">
        <f>Skills!A20</f>
        <v/>
      </c>
      <c r="B1099">
        <f>Skills!B20</f>
        <v/>
      </c>
      <c r="C1099">
        <f>Inputs!$B$3&gt;=33</f>
        <v/>
      </c>
      <c r="D1099">
        <f>IF(Skills!C20=1,60+Inputs!$B$25+Inputs!$B$29,IF(Skills!C20=2,90+Inputs!$B$26+Inputs!$B$29,IF(Skills!C20=3,120+Inputs!$B$27+Inputs!$B$29,MAX(0,(Inputs!$B$3-100)*3)+Inputs!$B$28+Inputs!$B$29)))</f>
        <v/>
      </c>
      <c r="E1099">
        <f>INDEX(FactorTable!$B$2:$Y$301, MATCH(ROUND(MIN(300,MAX(1,D1099)),0), FactorTable!$A$2:$A$301,0), Skills!M20+1)</f>
        <v/>
      </c>
      <c r="F1099">
        <f>IF(Skills!N20=TRUE,(Skills!L20/10)*(E1099/1000),Skills!L20/10)+Skills!O20</f>
        <v/>
      </c>
      <c r="G1099">
        <f>Skills!G20*IF(Skills!H20&gt;0,Skills!I20/Skills!H20,1)</f>
        <v/>
      </c>
      <c r="H1099">
        <f>1-(1-Skills!J20/100)^Skills!K20</f>
        <v/>
      </c>
      <c r="I1099" t="inlineStr">
        <is>
          <t>1</t>
        </is>
      </c>
      <c r="J1099" t="inlineStr"/>
      <c r="K1099" t="inlineStr"/>
      <c r="L1099" t="inlineStr"/>
      <c r="M1099" t="inlineStr"/>
      <c r="N1099" t="inlineStr"/>
      <c r="O1099">
        <f>(1-Summary!$B$11)*T1099+Summary!$B$11*V1099</f>
        <v/>
      </c>
      <c r="P1099">
        <f>IF(B1118=0,0,O1099/B1118)</f>
        <v/>
      </c>
      <c r="Q1099" t="n">
        <v>0</v>
      </c>
      <c r="R1099" t="n">
        <v>0</v>
      </c>
      <c r="S1099">
        <f>IFERROR(O1099/N1099,0)</f>
        <v/>
      </c>
      <c r="T1099" t="n">
        <v>0</v>
      </c>
      <c r="V1099" t="n">
        <v>0</v>
      </c>
    </row>
    <row r="1100">
      <c r="A1100">
        <f>Skills!A21</f>
        <v/>
      </c>
      <c r="B1100">
        <f>Skills!B21</f>
        <v/>
      </c>
      <c r="C1100">
        <f>Inputs!$B$3&gt;=38</f>
        <v/>
      </c>
      <c r="D1100">
        <f>IF(Skills!C21=1,60+Inputs!$B$25+Inputs!$B$29,IF(Skills!C21=2,90+Inputs!$B$26+Inputs!$B$29,IF(Skills!C21=3,120+Inputs!$B$27+Inputs!$B$29,MAX(0,(Inputs!$B$3-100)*3)+Inputs!$B$28+Inputs!$B$29)))</f>
        <v/>
      </c>
      <c r="E1100">
        <f>INDEX(FactorTable!$B$2:$Y$301, MATCH(ROUND(MIN(300,MAX(1,D1100)),0), FactorTable!$A$2:$A$301,0), Skills!M21+1)</f>
        <v/>
      </c>
      <c r="F1100">
        <f>IF(Skills!N21=TRUE,(Skills!L21/10)*(E1100/1000),Skills!L21/10)+Skills!O21</f>
        <v/>
      </c>
      <c r="G1100">
        <f>Skills!G21*IF(Skills!H21&gt;0,Skills!I21/Skills!H21,1)</f>
        <v/>
      </c>
      <c r="H1100">
        <f>1-(1-Skills!J21/100)^Skills!K21</f>
        <v/>
      </c>
      <c r="I1100" t="inlineStr">
        <is>
          <t>1</t>
        </is>
      </c>
      <c r="J1100" t="inlineStr"/>
      <c r="K1100" t="inlineStr"/>
      <c r="L1100" t="inlineStr"/>
      <c r="M1100" t="inlineStr"/>
      <c r="N1100" t="inlineStr"/>
      <c r="O1100">
        <f>(1-Summary!$B$11)*T1100+Summary!$B$11*V1100</f>
        <v/>
      </c>
      <c r="P1100">
        <f>IF(B1118=0,0,O1100/B1118)</f>
        <v/>
      </c>
      <c r="Q1100" t="n">
        <v>0</v>
      </c>
      <c r="R1100" t="n">
        <v>0</v>
      </c>
      <c r="S1100">
        <f>IFERROR(O1100/N1100,0)</f>
        <v/>
      </c>
      <c r="T1100" t="n">
        <v>0</v>
      </c>
      <c r="V1100" t="n">
        <v>0</v>
      </c>
    </row>
    <row r="1101">
      <c r="A1101">
        <f>Skills!A22</f>
        <v/>
      </c>
      <c r="B1101">
        <f>Skills!B22</f>
        <v/>
      </c>
      <c r="C1101">
        <f>Inputs!$B$3&gt;=43</f>
        <v/>
      </c>
      <c r="D1101">
        <f>IF(Skills!C22=1,60+Inputs!$B$25+Inputs!$B$29,IF(Skills!C22=2,90+Inputs!$B$26+Inputs!$B$29,IF(Skills!C22=3,120+Inputs!$B$27+Inputs!$B$29,MAX(0,(Inputs!$B$3-100)*3)+Inputs!$B$28+Inputs!$B$29)))</f>
        <v/>
      </c>
      <c r="E1101">
        <f>INDEX(FactorTable!$B$2:$Y$301, MATCH(ROUND(MIN(300,MAX(1,D1101)),0), FactorTable!$A$2:$A$301,0), Skills!M22+1)</f>
        <v/>
      </c>
      <c r="F1101">
        <f>IF(Skills!N22=TRUE,(Skills!L22/10)*(E1101/1000),Skills!L22/10)+Skills!O22</f>
        <v/>
      </c>
      <c r="G1101">
        <f>Skills!G22*IF(Skills!H22&gt;0,Skills!I22/Skills!H22,1)</f>
        <v/>
      </c>
      <c r="H1101">
        <f>1-(1-Skills!J22/100)^Skills!K22</f>
        <v/>
      </c>
      <c r="I1101" t="inlineStr">
        <is>
          <t>1</t>
        </is>
      </c>
      <c r="J1101" t="inlineStr"/>
      <c r="K1101" t="inlineStr"/>
      <c r="L1101" t="inlineStr"/>
      <c r="M1101" t="inlineStr"/>
      <c r="N1101" t="inlineStr"/>
      <c r="O1101">
        <f>(1-Summary!$B$11)*T1101+Summary!$B$11*V1101</f>
        <v/>
      </c>
      <c r="P1101">
        <f>IF(B1118=0,0,O1101/B1118)</f>
        <v/>
      </c>
      <c r="Q1101" t="n">
        <v>0</v>
      </c>
      <c r="R1101" t="n">
        <v>0</v>
      </c>
      <c r="S1101">
        <f>IFERROR(O1101/N1101,0)</f>
        <v/>
      </c>
      <c r="T1101" t="n">
        <v>0</v>
      </c>
      <c r="V1101" t="n">
        <v>0</v>
      </c>
    </row>
    <row r="1102">
      <c r="A1102">
        <f>Skills!A23</f>
        <v/>
      </c>
      <c r="B1102">
        <f>Skills!B23</f>
        <v/>
      </c>
      <c r="C1102">
        <f>Inputs!$B$3&gt;=120</f>
        <v/>
      </c>
      <c r="D1102">
        <f>IF(Skills!C23=1,60+Inputs!$B$25+Inputs!$B$29,IF(Skills!C23=2,90+Inputs!$B$26+Inputs!$B$29,IF(Skills!C23=3,120+Inputs!$B$27+Inputs!$B$29,MAX(0,(Inputs!$B$3-100)*3)+Inputs!$B$28+Inputs!$B$29)))</f>
        <v/>
      </c>
      <c r="E1102">
        <f>INDEX(FactorTable!$B$2:$Y$301, MATCH(ROUND(MIN(300,MAX(1,D1102)),0), FactorTable!$A$2:$A$301,0), Skills!M23+1)</f>
        <v/>
      </c>
      <c r="F1102">
        <f>IF(Skills!N23=TRUE,(Skills!L23/10)*(E1102/1000),Skills!L23/10)+Skills!O23</f>
        <v/>
      </c>
      <c r="G1102">
        <f>Skills!G23*IF(Skills!H23&gt;0,Skills!I23/Skills!H23,1)</f>
        <v/>
      </c>
      <c r="H1102">
        <f>1-(1-Skills!J23/100)^Skills!K23</f>
        <v/>
      </c>
      <c r="I1102" t="inlineStr">
        <is>
          <t>1</t>
        </is>
      </c>
      <c r="J1102" t="inlineStr"/>
      <c r="K1102" t="inlineStr"/>
      <c r="L1102" t="inlineStr"/>
      <c r="M1102" t="inlineStr"/>
      <c r="N1102" t="inlineStr"/>
      <c r="O1102">
        <f>(1-Summary!$B$11)*T1102+Summary!$B$11*V1102</f>
        <v/>
      </c>
      <c r="P1102">
        <f>IF(B1118=0,0,O1102/B1118)</f>
        <v/>
      </c>
      <c r="Q1102" t="n">
        <v>0</v>
      </c>
      <c r="R1102" t="n">
        <v>0</v>
      </c>
      <c r="S1102">
        <f>IFERROR(O1102/N1102,0)</f>
        <v/>
      </c>
      <c r="T1102" t="n">
        <v>0</v>
      </c>
      <c r="V1102" t="n">
        <v>0</v>
      </c>
    </row>
    <row r="1103">
      <c r="A1103">
        <f>Skills!A24</f>
        <v/>
      </c>
      <c r="B1103">
        <f>Skills!B24</f>
        <v/>
      </c>
      <c r="C1103">
        <f>Inputs!$B$3&gt;=120</f>
        <v/>
      </c>
      <c r="D1103">
        <f>IF(Skills!C24=1,60+Inputs!$B$25+Inputs!$B$29,IF(Skills!C24=2,90+Inputs!$B$26+Inputs!$B$29,IF(Skills!C24=3,120+Inputs!$B$27+Inputs!$B$29,MAX(0,(Inputs!$B$3-100)*3)+Inputs!$B$28+Inputs!$B$29)))</f>
        <v/>
      </c>
      <c r="E1103">
        <f>INDEX(FactorTable!$B$2:$Y$301, MATCH(ROUND(MIN(300,MAX(1,D1103)),0), FactorTable!$A$2:$A$301,0), Skills!M24+1)</f>
        <v/>
      </c>
      <c r="F1103">
        <f>IF(Skills!N24=TRUE,(Skills!L24/10)*(E1103/1000),Skills!L24/10)+Skills!O24</f>
        <v/>
      </c>
      <c r="G1103">
        <f>Skills!G24*IF(Skills!H24&gt;0,Skills!I24/Skills!H24,1)</f>
        <v/>
      </c>
      <c r="H1103">
        <f>1-(1-Skills!J24/100)^Skills!K24</f>
        <v/>
      </c>
      <c r="I1103" t="inlineStr">
        <is>
          <t>1</t>
        </is>
      </c>
      <c r="J1103" t="inlineStr"/>
      <c r="K1103" t="inlineStr"/>
      <c r="L1103" t="inlineStr"/>
      <c r="M1103" t="inlineStr"/>
      <c r="N1103" t="inlineStr"/>
      <c r="O1103">
        <f>(1-Summary!$B$11)*T1103+Summary!$B$11*V1103</f>
        <v/>
      </c>
      <c r="P1103">
        <f>IF(B1118=0,0,O1103/B1118)</f>
        <v/>
      </c>
      <c r="Q1103" t="n">
        <v>0</v>
      </c>
      <c r="R1103" t="n">
        <v>0</v>
      </c>
      <c r="S1103">
        <f>IFERROR(O1103/N1103,0)</f>
        <v/>
      </c>
      <c r="T1103" t="n">
        <v>0</v>
      </c>
      <c r="V1103" t="n">
        <v>0</v>
      </c>
    </row>
    <row r="1104">
      <c r="A1104">
        <f>Skills!A25</f>
        <v/>
      </c>
      <c r="B1104">
        <f>Skills!B25</f>
        <v/>
      </c>
      <c r="C1104">
        <f>Inputs!$B$3&gt;=125</f>
        <v/>
      </c>
      <c r="D1104">
        <f>IF(Skills!C25=1,60+Inputs!$B$25+Inputs!$B$29,IF(Skills!C25=2,90+Inputs!$B$26+Inputs!$B$29,IF(Skills!C25=3,120+Inputs!$B$27+Inputs!$B$29,MAX(0,(Inputs!$B$3-100)*3)+Inputs!$B$28+Inputs!$B$29)))</f>
        <v/>
      </c>
      <c r="E1104">
        <f>INDEX(FactorTable!$B$2:$Y$301, MATCH(ROUND(MIN(300,MAX(1,D1104)),0), FactorTable!$A$2:$A$301,0), Skills!M25+1)</f>
        <v/>
      </c>
      <c r="F1104">
        <f>IF(Skills!N25=TRUE,(Skills!L25/10)*(E1104/1000),Skills!L25/10)+Skills!O25</f>
        <v/>
      </c>
      <c r="G1104">
        <f>Skills!G25*IF(Skills!H25&gt;0,Skills!I25/Skills!H25,1)</f>
        <v/>
      </c>
      <c r="H1104">
        <f>1-(1-Skills!J25/100)^Skills!K25</f>
        <v/>
      </c>
      <c r="I1104" t="inlineStr">
        <is>
          <t>1</t>
        </is>
      </c>
      <c r="J1104" t="inlineStr"/>
      <c r="K1104" t="inlineStr"/>
      <c r="L1104" t="inlineStr"/>
      <c r="M1104" t="inlineStr"/>
      <c r="N1104" t="inlineStr"/>
      <c r="O1104">
        <f>(1-Summary!$B$11)*T1104+Summary!$B$11*V1104</f>
        <v/>
      </c>
      <c r="P1104">
        <f>IF(B1118=0,0,O1104/B1118)</f>
        <v/>
      </c>
      <c r="Q1104" t="n">
        <v>0</v>
      </c>
      <c r="R1104" t="n">
        <v>0</v>
      </c>
      <c r="S1104">
        <f>IFERROR(O1104/N1104,0)</f>
        <v/>
      </c>
      <c r="T1104" t="n">
        <v>0</v>
      </c>
      <c r="V1104" t="n">
        <v>0</v>
      </c>
    </row>
    <row r="1105">
      <c r="A1105">
        <f>Skills!A26</f>
        <v/>
      </c>
      <c r="B1105">
        <f>Skills!B26</f>
        <v/>
      </c>
      <c r="C1105">
        <f>Inputs!$B$3&gt;=72</f>
        <v/>
      </c>
      <c r="D1105">
        <f>IF(Skills!C26=1,60+Inputs!$B$25+Inputs!$B$29,IF(Skills!C26=2,90+Inputs!$B$26+Inputs!$B$29,IF(Skills!C26=3,120+Inputs!$B$27+Inputs!$B$29,MAX(0,(Inputs!$B$3-100)*3)+Inputs!$B$28+Inputs!$B$29)))</f>
        <v/>
      </c>
      <c r="E1105">
        <f>INDEX(FactorTable!$B$2:$Y$301, MATCH(ROUND(MIN(300,MAX(1,D1105)),0), FactorTable!$A$2:$A$301,0), Skills!M26+1)</f>
        <v/>
      </c>
      <c r="F1105">
        <f>IF(Skills!N26=TRUE,(Skills!L26/10)*(E1105/1000),Skills!L26/10)+Skills!O26</f>
        <v/>
      </c>
      <c r="G1105">
        <f>Skills!G26*IF(Skills!H26&gt;0,Skills!I26/Skills!H26,1)</f>
        <v/>
      </c>
      <c r="H1105">
        <f>1-(1-Skills!J26/100)^Skills!K26</f>
        <v/>
      </c>
      <c r="I1105" t="inlineStr">
        <is>
          <t>1</t>
        </is>
      </c>
      <c r="J1105" t="inlineStr"/>
      <c r="K1105" t="inlineStr"/>
      <c r="L1105" t="inlineStr"/>
      <c r="M1105" t="inlineStr"/>
      <c r="N1105" t="inlineStr"/>
      <c r="O1105">
        <f>(1-Summary!$B$11)*T1105+Summary!$B$11*V1105</f>
        <v/>
      </c>
      <c r="P1105">
        <f>IF(B1118=0,0,O1105/B1118)</f>
        <v/>
      </c>
      <c r="Q1105" t="n">
        <v>0</v>
      </c>
      <c r="R1105" t="n">
        <v>0</v>
      </c>
      <c r="S1105">
        <f>IFERROR(O1105/N1105,0)</f>
        <v/>
      </c>
      <c r="T1105" t="n">
        <v>0</v>
      </c>
      <c r="V1105" t="n">
        <v>0</v>
      </c>
    </row>
    <row r="1107">
      <c r="A1107" t="inlineStr">
        <is>
          <t>Attack% Bucket Multiplier</t>
        </is>
      </c>
      <c r="B1107">
        <f>(1+(((C1092=TRUE)*F1092*IF(Inputs!$B$3&gt;=110,7,5))+((C1094=TRUE)*F1094*IF(AND(Inputs!$B$38&lt;&gt;"pvp",Inputs!$B$43&gt;0),(((R1094-1)*(Skills!T15*(1+(Inputs!$B$34+(ArtifactsInput!$M$7-ArtifactsInput!$M$7)*CHOOSE(ArtifactsInput!$N$7+1,6,7.2,8.4,9.6,10.8,12))/100))+MIN((Skills!T15*(1+(Inputs!$B$34+(ArtifactsInput!$M$7-ArtifactsInput!$M$7)*CHOOSE(ArtifactsInput!$N$7+1,6,7.2,8.4,9.6,10.8,12))/100)),MAX(0,Inputs!$B$43-((R1094-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108">
      <c r="A1108" t="inlineStr">
        <is>
          <t>Global Crit Rate Bonus %</t>
        </is>
      </c>
      <c r="B1108" t="n">
        <v>0</v>
      </c>
    </row>
    <row r="1109">
      <c r="A1109" t="inlineStr">
        <is>
          <t>Attack Speed Buff Bonus %</t>
        </is>
      </c>
      <c r="B1109">
        <f>((C1098=TRUE)*F1098*IF(AND(Inputs!$B$38&lt;&gt;"pvp",Inputs!$B$43&gt;0),(((R1098-1)*(Skills!T19*(1+(Inputs!$B$34+(ArtifactsInput!$M$7-ArtifactsInput!$M$7)*CHOOSE(ArtifactsInput!$N$7+1,6,7.2,8.4,9.6,10.8,12))/100))+MIN((Skills!T19*(1+(Inputs!$B$34+(ArtifactsInput!$M$7-ArtifactsInput!$M$7)*CHOOSE(ArtifactsInput!$N$7+1,6,7.2,8.4,9.6,10.8,12))/100)),MAX(0,Inputs!$B$43-((R1098-1)*Skills!D19))))/Inputs!$B$43),IF(Inputs!$B$38="pvp",MIN((Skills!T19*(1+(Inputs!$B$34+(ArtifactsInput!$M$7-ArtifactsInput!$M$7)*CHOOSE(ArtifactsInput!$N$7+1,6,7.2,8.4,9.6,10.8,12))/100)),15)/15,(Skills!T19*(1+(Inputs!$B$34+(ArtifactsInput!$M$7-ArtifactsInput!$M$7)*CHOOSE(ArtifactsInput!$N$7+1,6,7.2,8.4,9.6,10.8,12))/100))/Skills!D19)))</f>
        <v/>
      </c>
    </row>
    <row r="1110">
      <c r="A1110" t="inlineStr">
        <is>
          <t>Actions Per Second</t>
        </is>
      </c>
      <c r="B1110">
        <f>1+MIN(150,150*(1-(1-(Inputs!$B$11+((C1099=TRUE)*(F1099-Calc!F20)))/150)*(1-B1109/150)))/100</f>
        <v/>
      </c>
    </row>
    <row r="1111">
      <c r="A1111" t="inlineStr">
        <is>
          <t>Skill + Buff Cast Rate</t>
        </is>
      </c>
      <c r="B1111">
        <f>IF(AND(Inputs!$B$38&lt;&gt;"pvp",Inputs!$B$43&gt;0),SUMPRODUCT((Skills!E2:E26=TRUE)*(C1081:C1105=TRUE)*R1081:R1105*Skills!F2:F26)/Inputs!$B$43,SUMPRODUCT((Skills!E2:E26=TRUE)*(C1081:C1105=TRUE)*Q1081:Q1105*Skills!F2:F26))</f>
        <v/>
      </c>
    </row>
    <row r="1112">
      <c r="A1112" t="inlineStr">
        <is>
          <t>Raging Blow Casts Per Second</t>
        </is>
      </c>
      <c r="B1112">
        <f>MAX(0,B1110-B1111)</f>
        <v/>
      </c>
    </row>
    <row r="1113">
      <c r="A1113" t="inlineStr">
        <is>
          <t>Global Critical Damage Bonus % (Enrage)</t>
        </is>
      </c>
      <c r="B1113">
        <f>((C1097=TRUE)*F1097*IF(AND(Inputs!$B$38&lt;&gt;"pvp",Inputs!$B$43&gt;0),(((R1097-1)*(Skills!T18*(1+(Inputs!$B$34+(ArtifactsInput!$M$7-ArtifactsInput!$M$7)*CHOOSE(ArtifactsInput!$N$7+1,6,7.2,8.4,9.6,10.8,12))/100))+MIN((Skills!T18*(1+(Inputs!$B$34+(ArtifactsInput!$M$7-ArtifactsInput!$M$7)*CHOOSE(ArtifactsInput!$N$7+1,6,7.2,8.4,9.6,10.8,12))/100)),MAX(0,Inputs!$B$43-((R1097-1)*Skills!D18))))/Inputs!$B$43),IF(Inputs!$B$38="pvp",MIN((Skills!T18*(1+(Inputs!$B$34+(ArtifactsInput!$M$7-ArtifactsInput!$M$7)*CHOOSE(ArtifactsInput!$N$7+1,6,7.2,8.4,9.6,10.8,12))/100)),15)/15,(Skills!T18*(1+(Inputs!$B$34+(ArtifactsInput!$M$7-ArtifactsInput!$M$7)*CHOOSE(ArtifactsInput!$N$7+1,6,7.2,8.4,9.6,10.8,12))/100))/Skills!D18)))</f>
        <v/>
      </c>
    </row>
    <row r="1114">
      <c r="A1114" t="inlineStr">
        <is>
          <t>Global Final Damage Bonus % (Enrage + Combo Synergy)</t>
        </is>
      </c>
      <c r="B1114">
        <f>((C1096=TRUE)*F1096*IF(AND(Inputs!$B$38&lt;&gt;"pvp",Inputs!$B$43&gt;0),(((R1096-1)*(Skills!T17*(1+(Inputs!$B$34+(ArtifactsInput!$M$7-ArtifactsInput!$M$7)*CHOOSE(ArtifactsInput!$N$7+1,6,7.2,8.4,9.6,10.8,12))/100))+MIN((Skills!T17*(1+(Inputs!$B$34+(ArtifactsInput!$M$7-ArtifactsInput!$M$7)*CHOOSE(ArtifactsInput!$N$7+1,6,7.2,8.4,9.6,10.8,12))/100)),MAX(0,Inputs!$B$43-((R1096-1)*Skills!D17))))/Inputs!$B$43),IF(Inputs!$B$38="pvp",MIN((Skills!T17*(1+(Inputs!$B$34+(ArtifactsInput!$M$7-ArtifactsInput!$M$7)*CHOOSE(ArtifactsInput!$N$7+1,6,7.2,8.4,9.6,10.8,12))/100)),15)/15,(Skills!T17*(1+(Inputs!$B$34+(ArtifactsInput!$M$7-ArtifactsInput!$M$7)*CHOOSE(ArtifactsInput!$N$7+1,6,7.2,8.4,9.6,10.8,12))/100))/Skills!D17)))+((C1093=TRUE)*F1093*IF(Inputs!$B$3&gt;=110,7,5))</f>
        <v/>
      </c>
    </row>
    <row r="1115">
      <c r="A1115" t="inlineStr">
        <is>
          <t>Buff-Casting Startup Delay (s, fixed-duration only)</t>
        </is>
      </c>
      <c r="B1115">
        <f>IF(AND(Inputs!$B$38&lt;&gt;"pvp",Inputs!$B$43&gt;0),SUMPRODUCT((Skills!T2:T26&gt;0)*(Skills!E2:E26=TRUE)*(C1081:C1105=TRUE))/B1110,0)</f>
        <v/>
      </c>
    </row>
    <row r="1116">
      <c r="A1116" t="inlineStr">
        <is>
          <t>Boss-Only Total DPS (this block's swept value)</t>
        </is>
      </c>
      <c r="B1116">
        <f>SUM(T1081:T1105)</f>
        <v/>
      </c>
    </row>
    <row r="1117">
      <c r="A1117" t="inlineStr">
        <is>
          <t>Normal-Only Total DPS (this block's swept value)</t>
        </is>
      </c>
      <c r="B1117">
        <f>SUM(V1081:V1105)</f>
        <v/>
      </c>
    </row>
    <row r="1118">
      <c r="A1118" s="6" t="inlineStr">
        <is>
          <t>TOTAL DPS</t>
        </is>
      </c>
      <c r="B1118" s="6">
        <f>SUM(O1081:O1105)</f>
        <v/>
      </c>
    </row>
    <row r="1121">
      <c r="A1121" s="6" t="inlineStr">
        <is>
          <t>Stat: Buff Duration Increase %</t>
        </is>
      </c>
    </row>
    <row r="1122">
      <c r="A1122" s="5" t="inlineStr">
        <is>
          <t>Key</t>
        </is>
      </c>
      <c r="B1122" s="5" t="inlineStr">
        <is>
          <t>Name</t>
        </is>
      </c>
      <c r="C1122" s="5" t="inlineStr">
        <is>
          <t>Unlocked</t>
        </is>
      </c>
      <c r="D1122" s="5" t="inlineStr">
        <is>
          <t>InputLevel</t>
        </is>
      </c>
      <c r="E1122" s="5" t="inlineStr">
        <is>
          <t>Factor</t>
        </is>
      </c>
      <c r="F1122" s="5" t="inlineStr">
        <is>
          <t>CoefficientPercent</t>
        </is>
      </c>
      <c r="G1122" s="5" t="inlineStr">
        <is>
          <t>EffectiveHits</t>
        </is>
      </c>
      <c r="H1122" s="5" t="inlineStr">
        <is>
          <t>ProcProbability</t>
        </is>
      </c>
      <c r="I1122" s="5" t="inlineStr">
        <is>
          <t>MapleHeroMultiplier</t>
        </is>
      </c>
      <c r="J1122" s="5" t="inlineStr">
        <is>
          <t>BaseDamage</t>
        </is>
      </c>
      <c r="K1122" s="5" t="inlineStr">
        <is>
          <t>BaseHitDamage</t>
        </is>
      </c>
      <c r="L1122" s="5" t="inlineStr">
        <is>
          <t>NonCritAvg</t>
        </is>
      </c>
      <c r="M1122" s="5" t="inlineStr">
        <is>
          <t>CritAvg</t>
        </is>
      </c>
      <c r="N1122" s="5" t="inlineStr">
        <is>
          <t>ExpectedDamage(perHit)</t>
        </is>
      </c>
      <c r="O1122" s="5" t="inlineStr">
        <is>
          <t>DPS</t>
        </is>
      </c>
      <c r="P1122" s="5" t="inlineStr">
        <is>
          <t>% of Total</t>
        </is>
      </c>
      <c r="Q1122" s="5" t="inlineStr">
        <is>
          <t>InvCooldown</t>
        </is>
      </c>
      <c r="R1122" s="5" t="inlineStr">
        <is>
          <t>CastsInFight</t>
        </is>
      </c>
      <c r="S1122" s="5" t="inlineStr">
        <is>
          <t>HitRate(perSec)</t>
        </is>
      </c>
      <c r="U1122" t="inlineStr">
        <is>
          <t>helpers</t>
        </is>
      </c>
    </row>
    <row r="1123">
      <c r="A1123">
        <f>Skills!A2</f>
        <v/>
      </c>
      <c r="B1123">
        <f>Skills!B2</f>
        <v/>
      </c>
      <c r="C1123">
        <f>Inputs!$B$3&gt;=100</f>
        <v/>
      </c>
      <c r="D1123" t="inlineStr"/>
      <c r="E1123" t="inlineStr"/>
      <c r="F1123">
        <f>U1125+Skills!O2</f>
        <v/>
      </c>
      <c r="G1123">
        <f>Skills!G2*IF(Skills!H2&gt;0,Skills!I2/Skills!H2,1)</f>
        <v/>
      </c>
      <c r="H1123">
        <f>1-(1-Skills!J2/100)^Skills!K2</f>
        <v/>
      </c>
      <c r="I1123" t="inlineStr">
        <is>
          <t>1</t>
        </is>
      </c>
      <c r="J1123">
        <f>((Inputs!$B$6*(1+Inputs!$B$7/100))+(((Inputs!$B$12*(1+Inputs!$B$13/100))-(Inputs!$B$12*(1+Inputs!$B$13/100)))+0.25*(Inputs!$B$14-Inputs!$B$14))*(1+Inputs!$B$7/100))*(F1123/100)</f>
        <v/>
      </c>
      <c r="K1123">
        <f>J1123*(1+((Inputs!$B$12*(1+Inputs!$B$13/100))*0.01+Inputs!$B$14*0.0025)/100)*(1+Inputs!$B$15/100)*(1+Inputs!$B$16/100)*(5000/(6000+Inputs!$B$42*(1-(100*(1-(1-(Inputs!$B$19+0)/100)*(1-CHOOSE(ArtifactsInput!$N$40+1,5,6,7,8,9,10)/100)^(ArtifactsInput!$M$40-ArtifactsInput!$M$40)))/100)))*(1+(Inputs!$B$24+((C1146=TRUE)*(F1146-Calc!F25))+B1156)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1142=TRUE)*(F1142-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1144=TRUE)*(F1144-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1134=TRUE)*F1134*IF(Inputs!$B$3&gt;=110,7,5))+((C1136=TRUE)*F1136*IF(AND(Inputs!$B$38&lt;&gt;"pvp",Inputs!$B$43&gt;0),(((R1136-1)*(Skills!T15*(1+((Inputs!$B$34+1)+(ArtifactsInput!$M$7-ArtifactsInput!$M$7)*CHOOSE(ArtifactsInput!$N$7+1,6,7.2,8.4,9.6,10.8,12))/100))+MIN((Skills!T15*(1+((Inputs!$B$34+1)+(ArtifactsInput!$M$7-ArtifactsInput!$M$7)*CHOOSE(ArtifactsInput!$N$7+1,6,7.2,8.4,9.6,10.8,12))/100)),MAX(0,Inputs!$B$43-((R1136-1)*Skills!D15))))/Inputs!$B$43),IF(Inputs!$B$38="pvp",MIN((Skills!T15*(1+((Inputs!$B$34+1)+(ArtifactsInput!$M$7-ArtifactsInput!$M$7)*CHOOSE(ArtifactsInput!$N$7+1,6,7.2,8.4,9.6,10.8,12))/100)),15)/15,(Skills!T15*(1+((Inputs!$B$34+1)+(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Hunt"),CHOOSE(ArtifactsInput!$N$35+1,15,18,21,24,27,30)*(1-EXP(-(0.2*B1152)*5)),0)+IF(AND(ArtifactsInput!$M$22,Inputs!$B$4&lt;&gt;"Chapter Hunt"),CHOOSE(ArtifactsInput!$N$22+1,10,12,14,16,18,20)*((0*(((0.15*B1152*5))^0/1)+1*(((0.15*B1152*5))^1/1)+2*(((0.15*B1152*5))^2/2)+3*(((0.15*B1152*5))^3/6)+4*(((0.15*B1152*5))^4/24)+5*(((0.15*B1152*5))^5/120))/((((0.15*B1152*5))^0/1)+(((0.15*B1152*5))^1/1)+(((0.15*B1152*5))^2/2)+(((0.15*B1152*5))^3/6)+(((0.15*B1152*5))^4/24)+(((0.15*B1152*5))^5/120))),0)))/100)*I1123)</f>
        <v/>
      </c>
      <c r="L1123">
        <f>K1123*(MIN(Inputs!$B$22+((C1143=TRUE)*(F1143-Calc!F22)),(Inputs!$B$23+((C1145=TRUE)*(F1145-Calc!F24))+(IF(ArtifactsInput!$M$15,CHOOSE(ArtifactsInput!$N$15+1,25,30,35,40,45,50)/100*(Inputs!$B$11-Inputs!$B$11),0))))/100+(Inputs!$B$23+((C1145=TRUE)*(F1145-Calc!F24))+(IF(ArtifactsInput!$M$15,CHOOSE(ArtifactsInput!$N$15+1,25,30,35,40,45,50)/100*(Inputs!$B$11-Inputs!$B$11),0)))/100)/2</f>
        <v/>
      </c>
      <c r="M1123">
        <f>L1123*(1+(Inputs!$B$10+0+B1155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23">
        <f>L1123*(1-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1123*(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23">
        <f>(1-Summary!$B$11)*T1123+Summary!$B$11*V1123</f>
        <v/>
      </c>
      <c r="P1123">
        <f>IF(B1160=0,0,O1123/B1160)</f>
        <v/>
      </c>
      <c r="Q1123" t="n">
        <v>0</v>
      </c>
      <c r="R1123" t="n">
        <v>0</v>
      </c>
      <c r="S1123">
        <f>IFERROR(O1123/N1123,0)</f>
        <v/>
      </c>
      <c r="T1123">
        <f>IF(C1123,(Skills!G2*N1123*B1154)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1123*(1-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1123*(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1123*(1-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1123*(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23">
        <f>MAX(0,(Inputs!$B$3-100)*3)+Inputs!$B$28+Inputs!$B$29</f>
        <v/>
      </c>
      <c r="V1123">
        <f>IF(C1123,(Skills!G2*N1123*B1154)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24">
      <c r="A1124">
        <f>Skills!A3</f>
        <v/>
      </c>
      <c r="B1124">
        <f>Skills!B3</f>
        <v/>
      </c>
      <c r="C1124">
        <f>Inputs!$B$3&gt;=50</f>
        <v/>
      </c>
      <c r="D1124">
        <f>IF(Skills!C3=1,60+Inputs!$B$25+Inputs!$B$29,IF(Skills!C3=2,90+Inputs!$B$26+Inputs!$B$29,IF(Skills!C3=3,120+Inputs!$B$27+Inputs!$B$29,MAX(0,(Inputs!$B$3-100)*3)+Inputs!$B$28+Inputs!$B$29)))</f>
        <v/>
      </c>
      <c r="E1124">
        <f>INDEX(FactorTable!$B$2:$Y$301, MATCH(ROUND(MIN(300,MAX(1,D1124)),0), FactorTable!$A$2:$A$301,0), Skills!M3+1)</f>
        <v/>
      </c>
      <c r="F1124">
        <f>IF(Skills!N3=TRUE,(Skills!L3/10)*(E1124/1000),Skills!L3/10)+Skills!O3</f>
        <v/>
      </c>
      <c r="G1124" t="inlineStr"/>
      <c r="H1124" t="inlineStr"/>
      <c r="I1124" t="inlineStr">
        <is>
          <t>1</t>
        </is>
      </c>
      <c r="J1124" t="inlineStr"/>
      <c r="K1124" t="inlineStr"/>
      <c r="L1124" t="inlineStr"/>
      <c r="M1124" t="inlineStr"/>
      <c r="N1124" t="inlineStr"/>
      <c r="O1124" t="inlineStr"/>
      <c r="P1124" t="inlineStr"/>
      <c r="Q1124" t="inlineStr"/>
      <c r="R1124" t="inlineStr"/>
      <c r="S1124" t="inlineStr"/>
      <c r="U1124">
        <f>INDEX(FactorTable!$B$2:$Y$301, MATCH(ROUND(MIN(300,MAX(1,U1123)),0), FactorTable!$A$2:$A$301,0), 22)</f>
        <v/>
      </c>
    </row>
    <row r="1125">
      <c r="A1125">
        <f>Skills!A4</f>
        <v/>
      </c>
      <c r="B1125">
        <f>Skills!B4</f>
        <v/>
      </c>
      <c r="C1125">
        <f>Inputs!$B$3&gt;=105</f>
        <v/>
      </c>
      <c r="D1125">
        <f>IF(Skills!C4=1,60+Inputs!$B$25+Inputs!$B$29,IF(Skills!C4=2,90+Inputs!$B$26+Inputs!$B$29,IF(Skills!C4=3,120+Inputs!$B$27+Inputs!$B$29,MAX(0,(Inputs!$B$3-100)*3)+Inputs!$B$28+Inputs!$B$29)))</f>
        <v/>
      </c>
      <c r="E1125">
        <f>INDEX(FactorTable!$B$2:$Y$301, MATCH(ROUND(MIN(300,MAX(1,D1125)),0), FactorTable!$A$2:$A$301,0), Skills!M4+1)</f>
        <v/>
      </c>
      <c r="F1125">
        <f>IF(Skills!N4=TRUE,(Skills!L4/10)*(E1125/1000),Skills!L4/10)+Skills!O4</f>
        <v/>
      </c>
      <c r="G1125" t="inlineStr"/>
      <c r="H1125" t="inlineStr"/>
      <c r="I1125" t="inlineStr">
        <is>
          <t>1</t>
        </is>
      </c>
      <c r="J1125" t="inlineStr"/>
      <c r="K1125" t="inlineStr"/>
      <c r="L1125" t="inlineStr"/>
      <c r="M1125" t="inlineStr"/>
      <c r="N1125" t="inlineStr"/>
      <c r="O1125" t="inlineStr"/>
      <c r="P1125" t="inlineStr"/>
      <c r="Q1125" t="inlineStr"/>
      <c r="R1125" t="inlineStr"/>
      <c r="S1125" t="inlineStr"/>
      <c r="U1125">
        <f>290*U1124/1000</f>
        <v/>
      </c>
    </row>
    <row r="1126">
      <c r="A1126">
        <f>Skills!A5</f>
        <v/>
      </c>
      <c r="B1126">
        <f>Skills!B5</f>
        <v/>
      </c>
      <c r="C1126">
        <f>Inputs!$B$3&gt;=103</f>
        <v/>
      </c>
      <c r="D1126">
        <f>IF(Skills!C5=1,60+Inputs!$B$25+Inputs!$B$29,IF(Skills!C5=2,90+Inputs!$B$26+Inputs!$B$29,IF(Skills!C5=3,120+Inputs!$B$27+Inputs!$B$29,MAX(0,(Inputs!$B$3-100)*3)+Inputs!$B$28+Inputs!$B$29)))</f>
        <v/>
      </c>
      <c r="E1126">
        <f>INDEX(FactorTable!$B$2:$Y$301, MATCH(ROUND(MIN(300,MAX(1,D1126)),0), FactorTable!$A$2:$A$301,0), Skills!M5+1)</f>
        <v/>
      </c>
      <c r="F1126">
        <f>IF(Skills!N5=TRUE,(Skills!L5/10)*(E1126/1000),Skills!L5/10)+Skills!O5</f>
        <v/>
      </c>
      <c r="G1126">
        <f>Skills!G5*IF(Skills!H5&gt;0,Skills!I5/Skills!H5,1)</f>
        <v/>
      </c>
      <c r="H1126">
        <f>1-(1-Skills!J5/100)^Skills!K5</f>
        <v/>
      </c>
      <c r="I1126" t="inlineStr">
        <is>
          <t>1</t>
        </is>
      </c>
      <c r="J1126">
        <f>((Inputs!$B$6*(1+Inputs!$B$7/100))+(((Inputs!$B$12*(1+Inputs!$B$13/100))-(Inputs!$B$12*(1+Inputs!$B$13/100)))+0.25*(Inputs!$B$14-Inputs!$B$14))*(1+Inputs!$B$7/100))*(F1126/100)</f>
        <v/>
      </c>
      <c r="K1126">
        <f>J1126*(1+((Inputs!$B$12*(1+Inputs!$B$13/100))*0.01+Inputs!$B$14*0.0025)/100)*(1+Inputs!$B$15/100)*(1+Inputs!$B$16/100)*(5000/(6000+Inputs!$B$42*(1-(100*(1-(1-(Inputs!$B$19+0)/100)*(1-CHOOSE(ArtifactsInput!$N$40+1,5,6,7,8,9,10)/100)^(ArtifactsInput!$M$40-ArtifactsInput!$M$40)))/100)))*(1+(Inputs!$B$24+((C1146=TRUE)*(F1146-Calc!F25))+B1156)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1142=TRUE)*(F1142-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1144=TRUE)*(F1144-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1134=TRUE)*F1134*IF(Inputs!$B$3&gt;=110,7,5))+((C1136=TRUE)*F1136*IF(AND(Inputs!$B$38&lt;&gt;"pvp",Inputs!$B$43&gt;0),(((R1136-1)*(Skills!T15*(1+((Inputs!$B$34+1)+(ArtifactsInput!$M$7-ArtifactsInput!$M$7)*CHOOSE(ArtifactsInput!$N$7+1,6,7.2,8.4,9.6,10.8,12))/100))+MIN((Skills!T15*(1+((Inputs!$B$34+1)+(ArtifactsInput!$M$7-ArtifactsInput!$M$7)*CHOOSE(ArtifactsInput!$N$7+1,6,7.2,8.4,9.6,10.8,12))/100)),MAX(0,Inputs!$B$43-((R1136-1)*Skills!D15))))/Inputs!$B$43),IF(Inputs!$B$38="pvp",MIN((Skills!T15*(1+((Inputs!$B$34+1)+(ArtifactsInput!$M$7-ArtifactsInput!$M$7)*CHOOSE(ArtifactsInput!$N$7+1,6,7.2,8.4,9.6,10.8,12))/100)),15)/15,(Skills!T15*(1+((Inputs!$B$34+1)+(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Hunt"),CHOOSE(ArtifactsInput!$N$35+1,15,18,21,24,27,30)*(1-EXP(-(0.2*B1152)*5)),0)+IF(AND(ArtifactsInput!$M$22,Inputs!$B$4&lt;&gt;"Chapter Hunt"),CHOOSE(ArtifactsInput!$N$22+1,10,12,14,16,18,20)*((0*(((0.15*B1152*5))^0/1)+1*(((0.15*B1152*5))^1/1)+2*(((0.15*B1152*5))^2/2)+3*(((0.15*B1152*5))^3/6)+4*(((0.15*B1152*5))^4/24)+5*(((0.15*B1152*5))^5/120))/((((0.15*B1152*5))^0/1)+(((0.15*B1152*5))^1/1)+(((0.15*B1152*5))^2/2)+(((0.15*B1152*5))^3/6)+(((0.15*B1152*5))^4/24)+(((0.15*B1152*5))^5/120))),0)))/100)*I1126)</f>
        <v/>
      </c>
      <c r="L1126">
        <f>K1126*(MIN(Inputs!$B$22+((C1143=TRUE)*(F1143-Calc!F22)),(Inputs!$B$23+((C1145=TRUE)*(F1145-Calc!F24))+(IF(ArtifactsInput!$M$15,CHOOSE(ArtifactsInput!$N$15+1,25,30,35,40,45,50)/100*(Inputs!$B$11-Inputs!$B$11),0))))/100+(Inputs!$B$23+((C1145=TRUE)*(F1145-Calc!F24))+(IF(ArtifactsInput!$M$15,CHOOSE(ArtifactsInput!$N$15+1,25,30,35,40,45,50)/100*(Inputs!$B$11-Inputs!$B$11),0)))/100)/2</f>
        <v/>
      </c>
      <c r="M1126">
        <f>L1126*(1+(Inputs!$B$10+0+B1155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26">
        <f>L1126*(1-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1126*(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26">
        <f>(1-Summary!$B$11)*T1126+Summary!$B$11*V1126</f>
        <v/>
      </c>
      <c r="P1126">
        <f>IF(B1160=0,0,O1126/B1160)</f>
        <v/>
      </c>
      <c r="Q1126">
        <f>IFERROR(1/(IF(Inputs!$B$38="pvp",15,MAX(0.1,Skills!D5-IF(Skills!E5=TRUE,Inputs!$B$32,0)))*(1-IF(AND(ArtifactsInput!$M$27,Inputs!$B$4="Chapter Hunt"),CHOOSE(ArtifactsInput!$N$27+1,20,24,28,32,36,40),0)/100)),0)</f>
        <v/>
      </c>
      <c r="R1126">
        <f>IF(AND(Inputs!$B$38&lt;&gt;"pvp",Inputs!$B$43&gt;0),IF(MAX(0,Inputs!$B$43-B1157)&lt;=0,0,(INT(MAX(0,Inputs!$B$43-B1157)/(IF(Inputs!$B$38="pvp",15,MAX(0.1,Skills!D5-IF(Skills!E5=TRUE,Inputs!$B$32,0)))*(1-IF(AND(ArtifactsInput!$M$27,Inputs!$B$4="Chapter Hunt"),CHOOSE(ArtifactsInput!$N$27+1,20,24,28,32,36,40),0)/100)))+1)),0)</f>
        <v/>
      </c>
      <c r="S1126">
        <f>IFERROR(O1126/N1126,0)</f>
        <v/>
      </c>
      <c r="T1126">
        <f>IF(C1126,(H1126*N1126*IF(AND(Inputs!$B$38&lt;&gt;"pvp",Inputs!$B$43&gt;0),((Skills!G5*((R1126-1)*IF(Skills!H5&gt;0,Skills!I5/Skills!H5,1)+IF(Skills!H5&gt;0,MIN(Skills!I5,MAX(0,MAX(0,Inputs!$B$43-B1157)-((R1126-1)*(IF(Inputs!$B$38="pvp",15,MAX(0.1,Skills!D5-IF(Skills!E5=TRUE,Inputs!$B$32,0)))*(1-IF(AND(ArtifactsInput!$M$27,Inputs!$B$4="Chapter Hunt"),CHOOSE(ArtifactsInput!$N$27+1,20,24,28,32,36,40),0)/100)))))/Skills!H5,1)))/Inputs!$B$43),G1126*Q1126)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1126*(1-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1126*(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1126*(1-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1126*(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26">
        <f>IF(C1126,(H1126*N1126*IF(AND(Inputs!$B$38&lt;&gt;"pvp",Inputs!$B$43&gt;0),((Skills!G5*((R1126-1)*IF(Skills!H5&gt;0,Skills!I5/Skills!H5,1)+IF(Skills!H5&gt;0,MIN(Skills!I5,MAX(0,MAX(0,Inputs!$B$43-B1157)-((R1126-1)*(IF(Inputs!$B$38="pvp",15,MAX(0.1,Skills!D5-IF(Skills!E5=TRUE,Inputs!$B$32,0)))*(1-IF(AND(ArtifactsInput!$M$27,Inputs!$B$4="Chapter Hunt"),CHOOSE(ArtifactsInput!$N$27+1,20,24,28,32,36,40),0)/100)))))/Skills!H5,1)))/Inputs!$B$43),G1126*Q1126)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27">
      <c r="A1127">
        <f>Skills!A6</f>
        <v/>
      </c>
      <c r="B1127">
        <f>Skills!B6</f>
        <v/>
      </c>
      <c r="C1127">
        <f>Inputs!$B$3&gt;=103</f>
        <v/>
      </c>
      <c r="D1127">
        <f>IF(Skills!C6=1,60+Inputs!$B$25+Inputs!$B$29,IF(Skills!C6=2,90+Inputs!$B$26+Inputs!$B$29,IF(Skills!C6=3,120+Inputs!$B$27+Inputs!$B$29,MAX(0,(Inputs!$B$3-100)*3)+Inputs!$B$28+Inputs!$B$29)))</f>
        <v/>
      </c>
      <c r="E1127">
        <f>INDEX(FactorTable!$B$2:$Y$301, MATCH(ROUND(MIN(300,MAX(1,D1127)),0), FactorTable!$A$2:$A$301,0), Skills!M6+1)</f>
        <v/>
      </c>
      <c r="F1127">
        <f>IF(Skills!N6=TRUE,(Skills!L6/10)*(E1127/1000),Skills!L6/10)+Skills!O6</f>
        <v/>
      </c>
      <c r="G1127">
        <f>Skills!G6*IF(Skills!H6&gt;0,Skills!I6/Skills!H6,1)</f>
        <v/>
      </c>
      <c r="H1127">
        <f>1-(1-Skills!J6/100)^Skills!K6</f>
        <v/>
      </c>
      <c r="I1127" t="inlineStr">
        <is>
          <t>1</t>
        </is>
      </c>
      <c r="J1127">
        <f>((Inputs!$B$6*(1+Inputs!$B$7/100))+(((Inputs!$B$12*(1+Inputs!$B$13/100))-(Inputs!$B$12*(1+Inputs!$B$13/100)))+0.25*(Inputs!$B$14-Inputs!$B$14))*(1+Inputs!$B$7/100))*(F1127/100)</f>
        <v/>
      </c>
      <c r="K1127">
        <f>J1127*(1+((Inputs!$B$12*(1+Inputs!$B$13/100))*0.01+Inputs!$B$14*0.0025)/100)*(1+Inputs!$B$15/100)*(1+Inputs!$B$16/100)*(5000/(6000+Inputs!$B$42*(1-(100*(1-(1-(Inputs!$B$19+0)/100)*(1-CHOOSE(ArtifactsInput!$N$40+1,5,6,7,8,9,10)/100)^(ArtifactsInput!$M$40-ArtifactsInput!$M$40)))/100)))*(1+(Inputs!$B$24+((C1146=TRUE)*(F1146-Calc!F25))+B1156)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1142=TRUE)*(F1142-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1144=TRUE)*(F1144-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1134=TRUE)*F1134*IF(Inputs!$B$3&gt;=110,7,5))+((C1136=TRUE)*F1136*IF(AND(Inputs!$B$38&lt;&gt;"pvp",Inputs!$B$43&gt;0),(((R1136-1)*(Skills!T15*(1+((Inputs!$B$34+1)+(ArtifactsInput!$M$7-ArtifactsInput!$M$7)*CHOOSE(ArtifactsInput!$N$7+1,6,7.2,8.4,9.6,10.8,12))/100))+MIN((Skills!T15*(1+((Inputs!$B$34+1)+(ArtifactsInput!$M$7-ArtifactsInput!$M$7)*CHOOSE(ArtifactsInput!$N$7+1,6,7.2,8.4,9.6,10.8,12))/100)),MAX(0,Inputs!$B$43-((R1136-1)*Skills!D15))))/Inputs!$B$43),IF(Inputs!$B$38="pvp",MIN((Skills!T15*(1+((Inputs!$B$34+1)+(ArtifactsInput!$M$7-ArtifactsInput!$M$7)*CHOOSE(ArtifactsInput!$N$7+1,6,7.2,8.4,9.6,10.8,12))/100)),15)/15,(Skills!T15*(1+((Inputs!$B$34+1)+(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Hunt"),CHOOSE(ArtifactsInput!$N$35+1,15,18,21,24,27,30)*(1-EXP(-(0.2*B1152)*5)),0)+IF(AND(ArtifactsInput!$M$22,Inputs!$B$4&lt;&gt;"Chapter Hunt"),CHOOSE(ArtifactsInput!$N$22+1,10,12,14,16,18,20)*((0*(((0.15*B1152*5))^0/1)+1*(((0.15*B1152*5))^1/1)+2*(((0.15*B1152*5))^2/2)+3*(((0.15*B1152*5))^3/6)+4*(((0.15*B1152*5))^4/24)+5*(((0.15*B1152*5))^5/120))/((((0.15*B1152*5))^0/1)+(((0.15*B1152*5))^1/1)+(((0.15*B1152*5))^2/2)+(((0.15*B1152*5))^3/6)+(((0.15*B1152*5))^4/24)+(((0.15*B1152*5))^5/120))),0)))/100)*I1127)</f>
        <v/>
      </c>
      <c r="L1127">
        <f>K1127*(MIN(Inputs!$B$22+((C1143=TRUE)*(F1143-Calc!F22)),(Inputs!$B$23+((C1145=TRUE)*(F1145-Calc!F24))+(IF(ArtifactsInput!$M$15,CHOOSE(ArtifactsInput!$N$15+1,25,30,35,40,45,50)/100*(Inputs!$B$11-Inputs!$B$11),0))))/100+(Inputs!$B$23+((C1145=TRUE)*(F1145-Calc!F24))+(IF(ArtifactsInput!$M$15,CHOOSE(ArtifactsInput!$N$15+1,25,30,35,40,45,50)/100*(Inputs!$B$11-Inputs!$B$11),0)))/100)/2</f>
        <v/>
      </c>
      <c r="M1127">
        <f>L1127*(1+(Inputs!$B$10+0+B1155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27">
        <f>L1127*(1-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1127*(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27">
        <f>(1-Summary!$B$11)*T1127+Summary!$B$11*V1127</f>
        <v/>
      </c>
      <c r="P1127">
        <f>IF(B1160=0,0,O1127/B1160)</f>
        <v/>
      </c>
      <c r="Q1127">
        <f>IFERROR(1/(IF(Inputs!$B$38="pvp",15,MAX(0.1,Skills!D6-IF(Skills!E6=TRUE,Inputs!$B$32,0)))*(1-IF(AND(ArtifactsInput!$M$27,Inputs!$B$4="Chapter Hunt"),CHOOSE(ArtifactsInput!$N$27+1,20,24,28,32,36,40),0)/100)),0)</f>
        <v/>
      </c>
      <c r="R1127">
        <f>IF(AND(Inputs!$B$38&lt;&gt;"pvp",Inputs!$B$43&gt;0),IF(MAX(0,Inputs!$B$43-B1157)&lt;=0,0,(INT(MAX(0,Inputs!$B$43-B1157)/(IF(Inputs!$B$38="pvp",15,MAX(0.1,Skills!D6-IF(Skills!E6=TRUE,Inputs!$B$32,0)))*(1-IF(AND(ArtifactsInput!$M$27,Inputs!$B$4="Chapter Hunt"),CHOOSE(ArtifactsInput!$N$27+1,20,24,28,32,36,40),0)/100)))+1)),0)</f>
        <v/>
      </c>
      <c r="S1127">
        <f>IFERROR(O1127/N1127,0)</f>
        <v/>
      </c>
      <c r="T1127">
        <f>IF(C1127,(H1127*N1127*IF(AND(Inputs!$B$38&lt;&gt;"pvp",Inputs!$B$43&gt;0),((Skills!G6*((R1127-1)*IF(Skills!H6&gt;0,Skills!I6/Skills!H6,1)+IF(Skills!H6&gt;0,MIN(Skills!I6,MAX(0,MAX(0,Inputs!$B$43-B1157)-((R1127-1)*(IF(Inputs!$B$38="pvp",15,MAX(0.1,Skills!D6-IF(Skills!E6=TRUE,Inputs!$B$32,0)))*(1-IF(AND(ArtifactsInput!$M$27,Inputs!$B$4="Chapter Hunt"),CHOOSE(ArtifactsInput!$N$27+1,20,24,28,32,36,40),0)/100)))))/Skills!H6,1)))/Inputs!$B$43),G1127*Q1127)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1127*(1-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1127*(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1127*(1-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1127*(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27">
        <f>IF(C1127,(H1127*N1127*IF(AND(Inputs!$B$38&lt;&gt;"pvp",Inputs!$B$43&gt;0),((Skills!G6*((R1127-1)*IF(Skills!H6&gt;0,Skills!I6/Skills!H6,1)+IF(Skills!H6&gt;0,MIN(Skills!I6,MAX(0,MAX(0,Inputs!$B$43-B1157)-((R1127-1)*(IF(Inputs!$B$38="pvp",15,MAX(0.1,Skills!D6-IF(Skills!E6=TRUE,Inputs!$B$32,0)))*(1-IF(AND(ArtifactsInput!$M$27,Inputs!$B$4="Chapter Hunt"),CHOOSE(ArtifactsInput!$N$27+1,20,24,28,32,36,40),0)/100)))))/Skills!H6,1)))/Inputs!$B$43),G1127*Q1127)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28">
      <c r="A1128">
        <f>Skills!A7</f>
        <v/>
      </c>
      <c r="B1128">
        <f>Skills!B7</f>
        <v/>
      </c>
      <c r="C1128">
        <f>Inputs!$B$3&gt;=107</f>
        <v/>
      </c>
      <c r="D1128">
        <f>IF(Skills!C7=1,60+Inputs!$B$25+Inputs!$B$29,IF(Skills!C7=2,90+Inputs!$B$26+Inputs!$B$29,IF(Skills!C7=3,120+Inputs!$B$27+Inputs!$B$29,MAX(0,(Inputs!$B$3-100)*3)+Inputs!$B$28+Inputs!$B$29)))</f>
        <v/>
      </c>
      <c r="E1128">
        <f>INDEX(FactorTable!$B$2:$Y$301, MATCH(ROUND(MIN(300,MAX(1,D1128)),0), FactorTable!$A$2:$A$301,0), Skills!M7+1)</f>
        <v/>
      </c>
      <c r="F1128">
        <f>IF(Skills!N7=TRUE,(Skills!L7/10)*(E1128/1000),Skills!L7/10)+Skills!O7</f>
        <v/>
      </c>
      <c r="G1128">
        <f>Skills!G7*IF(Skills!H7&gt;0,Skills!I7/Skills!H7,1)</f>
        <v/>
      </c>
      <c r="H1128">
        <f>1-(1-Skills!J7/100)^Skills!K7</f>
        <v/>
      </c>
      <c r="I1128" t="inlineStr">
        <is>
          <t>1</t>
        </is>
      </c>
      <c r="J1128">
        <f>((Inputs!$B$6*(1+Inputs!$B$7/100))+(((Inputs!$B$12*(1+Inputs!$B$13/100))-(Inputs!$B$12*(1+Inputs!$B$13/100)))+0.25*(Inputs!$B$14-Inputs!$B$14))*(1+Inputs!$B$7/100))*(F1128/100)</f>
        <v/>
      </c>
      <c r="K1128">
        <f>J1128*(1+((Inputs!$B$12*(1+Inputs!$B$13/100))*0.01+Inputs!$B$14*0.0025)/100)*(1+Inputs!$B$15/100)*(1+Inputs!$B$16/100)*(5000/(6000+Inputs!$B$42*(1-(100*(1-(1-(Inputs!$B$19+0)/100)*(1-CHOOSE(ArtifactsInput!$N$40+1,5,6,7,8,9,10)/100)^(ArtifactsInput!$M$40-ArtifactsInput!$M$40)))/100)))*(1+(Inputs!$B$24+((C1146=TRUE)*(F1146-Calc!F25))+B1156)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1142=TRUE)*(F1142-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1144=TRUE)*(F1144-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1134=TRUE)*F1134*IF(Inputs!$B$3&gt;=110,7,5))+((C1136=TRUE)*F1136*IF(AND(Inputs!$B$38&lt;&gt;"pvp",Inputs!$B$43&gt;0),(((R1136-1)*(Skills!T15*(1+((Inputs!$B$34+1)+(ArtifactsInput!$M$7-ArtifactsInput!$M$7)*CHOOSE(ArtifactsInput!$N$7+1,6,7.2,8.4,9.6,10.8,12))/100))+MIN((Skills!T15*(1+((Inputs!$B$34+1)+(ArtifactsInput!$M$7-ArtifactsInput!$M$7)*CHOOSE(ArtifactsInput!$N$7+1,6,7.2,8.4,9.6,10.8,12))/100)),MAX(0,Inputs!$B$43-((R1136-1)*Skills!D15))))/Inputs!$B$43),IF(Inputs!$B$38="pvp",MIN((Skills!T15*(1+((Inputs!$B$34+1)+(ArtifactsInput!$M$7-ArtifactsInput!$M$7)*CHOOSE(ArtifactsInput!$N$7+1,6,7.2,8.4,9.6,10.8,12))/100)),15)/15,(Skills!T15*(1+((Inputs!$B$34+1)+(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Hunt"),CHOOSE(ArtifactsInput!$N$35+1,15,18,21,24,27,30)*(1-EXP(-(0.2*B1152)*5)),0)+IF(AND(ArtifactsInput!$M$22,Inputs!$B$4&lt;&gt;"Chapter Hunt"),CHOOSE(ArtifactsInput!$N$22+1,10,12,14,16,18,20)*((0*(((0.15*B1152*5))^0/1)+1*(((0.15*B1152*5))^1/1)+2*(((0.15*B1152*5))^2/2)+3*(((0.15*B1152*5))^3/6)+4*(((0.15*B1152*5))^4/24)+5*(((0.15*B1152*5))^5/120))/((((0.15*B1152*5))^0/1)+(((0.15*B1152*5))^1/1)+(((0.15*B1152*5))^2/2)+(((0.15*B1152*5))^3/6)+(((0.15*B1152*5))^4/24)+(((0.15*B1152*5))^5/120))),0)))/100)*I1128)</f>
        <v/>
      </c>
      <c r="L1128">
        <f>K1128*(MIN(Inputs!$B$22+((C1143=TRUE)*(F1143-Calc!F22)),(Inputs!$B$23+((C1145=TRUE)*(F1145-Calc!F24))+(IF(ArtifactsInput!$M$15,CHOOSE(ArtifactsInput!$N$15+1,25,30,35,40,45,50)/100*(Inputs!$B$11-Inputs!$B$11),0))))/100+(Inputs!$B$23+((C1145=TRUE)*(F1145-Calc!F24))+(IF(ArtifactsInput!$M$15,CHOOSE(ArtifactsInput!$N$15+1,25,30,35,40,45,50)/100*(Inputs!$B$11-Inputs!$B$11),0)))/100)/2</f>
        <v/>
      </c>
      <c r="M1128">
        <f>L1128*(1+(Inputs!$B$10+0+B1155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28">
        <f>L1128*(1-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1128*(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28">
        <f>(1-Summary!$B$11)*T1128+Summary!$B$11*V1128</f>
        <v/>
      </c>
      <c r="P1128">
        <f>IF(B1160=0,0,O1128/B1160)</f>
        <v/>
      </c>
      <c r="Q1128">
        <f>IFERROR(1/(IF(Inputs!$B$38="pvp",15,MAX(0.1,Skills!D7-IF(Skills!E7=TRUE,Inputs!$B$32,0)))*(1-IF(AND(ArtifactsInput!$M$27,Inputs!$B$4="Chapter Hunt"),CHOOSE(ArtifactsInput!$N$27+1,20,24,28,32,36,40),0)/100)),0)</f>
        <v/>
      </c>
      <c r="R1128">
        <f>IF(AND(Inputs!$B$38&lt;&gt;"pvp",Inputs!$B$43&gt;0),IF(MAX(0,Inputs!$B$43-B1157)&lt;=0,0,(INT(MAX(0,Inputs!$B$43-B1157)/(IF(Inputs!$B$38="pvp",15,MAX(0.1,Skills!D7-IF(Skills!E7=TRUE,Inputs!$B$32,0)))*(1-IF(AND(ArtifactsInput!$M$27,Inputs!$B$4="Chapter Hunt"),CHOOSE(ArtifactsInput!$N$27+1,20,24,28,32,36,40),0)/100)))+1)),0)</f>
        <v/>
      </c>
      <c r="S1128">
        <f>IFERROR(O1128/N1128,0)</f>
        <v/>
      </c>
      <c r="T1128">
        <f>IF(C1128,(H1128*N1128*IF(AND(Inputs!$B$38&lt;&gt;"pvp",Inputs!$B$43&gt;0),((Skills!G7*((R1128-1)*IF(Skills!H7&gt;0,Skills!I7/Skills!H7,1)+IF(Skills!H7&gt;0,MIN(Skills!I7,MAX(0,MAX(0,Inputs!$B$43-B1157)-((R1128-1)*(IF(Inputs!$B$38="pvp",15,MAX(0.1,Skills!D7-IF(Skills!E7=TRUE,Inputs!$B$32,0)))*(1-IF(AND(ArtifactsInput!$M$27,Inputs!$B$4="Chapter Hunt"),CHOOSE(ArtifactsInput!$N$27+1,20,24,28,32,36,40),0)/100)))))/Skills!H7,1)))/Inputs!$B$43),G1128*Q1128)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1128*(1-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1128*(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1128*(1-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1128*(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28">
        <f>IF(C1128,(H1128*N1128*IF(AND(Inputs!$B$38&lt;&gt;"pvp",Inputs!$B$43&gt;0),((Skills!G7*((R1128-1)*IF(Skills!H7&gt;0,Skills!I7/Skills!H7,1)+IF(Skills!H7&gt;0,MIN(Skills!I7,MAX(0,MAX(0,Inputs!$B$43-B1157)-((R1128-1)*(IF(Inputs!$B$38="pvp",15,MAX(0.1,Skills!D7-IF(Skills!E7=TRUE,Inputs!$B$32,0)))*(1-IF(AND(ArtifactsInput!$M$27,Inputs!$B$4="Chapter Hunt"),CHOOSE(ArtifactsInput!$N$27+1,20,24,28,32,36,40),0)/100)))))/Skills!H7,1)))/Inputs!$B$43),G1128*Q1128)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29">
      <c r="A1129">
        <f>Skills!A8</f>
        <v/>
      </c>
      <c r="B1129">
        <f>Skills!B8</f>
        <v/>
      </c>
      <c r="C1129">
        <f>Inputs!$B$3&gt;=117</f>
        <v/>
      </c>
      <c r="D1129">
        <f>IF(Skills!C8=1,60+Inputs!$B$25+Inputs!$B$29,IF(Skills!C8=2,90+Inputs!$B$26+Inputs!$B$29,IF(Skills!C8=3,120+Inputs!$B$27+Inputs!$B$29,MAX(0,(Inputs!$B$3-100)*3)+Inputs!$B$28+Inputs!$B$29)))</f>
        <v/>
      </c>
      <c r="E1129">
        <f>INDEX(FactorTable!$B$2:$Y$301, MATCH(ROUND(MIN(300,MAX(1,D1129)),0), FactorTable!$A$2:$A$301,0), Skills!M8+1)</f>
        <v/>
      </c>
      <c r="F1129">
        <f>IF(Skills!N8=TRUE,(Skills!L8/10)*(E1129/1000),Skills!L8/10)+Skills!O8</f>
        <v/>
      </c>
      <c r="G1129">
        <f>Skills!G8*IF(Skills!H8&gt;0,Skills!I8/Skills!H8,1)</f>
        <v/>
      </c>
      <c r="H1129">
        <f>1-(1-Skills!J8/100)^Skills!K8</f>
        <v/>
      </c>
      <c r="I1129" t="inlineStr">
        <is>
          <t>1</t>
        </is>
      </c>
      <c r="J1129">
        <f>((Inputs!$B$6*(1+Inputs!$B$7/100))+(((Inputs!$B$12*(1+Inputs!$B$13/100))-(Inputs!$B$12*(1+Inputs!$B$13/100)))+0.25*(Inputs!$B$14-Inputs!$B$14))*(1+Inputs!$B$7/100))*(F1129/100)</f>
        <v/>
      </c>
      <c r="K1129">
        <f>J1129*(1+((Inputs!$B$12*(1+Inputs!$B$13/100))*0.01+Inputs!$B$14*0.0025)/100)*(1+Inputs!$B$15/100)*(1+Inputs!$B$16/100)*(5000/(6000+Inputs!$B$42*(1-(100*(1-(1-(Inputs!$B$19+0)/100)*(1-CHOOSE(ArtifactsInput!$N$40+1,5,6,7,8,9,10)/100)^(ArtifactsInput!$M$40-ArtifactsInput!$M$40)))/100)))*(1+(Inputs!$B$24+((C1146=TRUE)*(F1146-Calc!F25))+B1156)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1142=TRUE)*(F1142-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1144=TRUE)*(F1144-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1134=TRUE)*F1134*IF(Inputs!$B$3&gt;=110,7,5))+((C1136=TRUE)*F1136*IF(AND(Inputs!$B$38&lt;&gt;"pvp",Inputs!$B$43&gt;0),(((R1136-1)*(Skills!T15*(1+((Inputs!$B$34+1)+(ArtifactsInput!$M$7-ArtifactsInput!$M$7)*CHOOSE(ArtifactsInput!$N$7+1,6,7.2,8.4,9.6,10.8,12))/100))+MIN((Skills!T15*(1+((Inputs!$B$34+1)+(ArtifactsInput!$M$7-ArtifactsInput!$M$7)*CHOOSE(ArtifactsInput!$N$7+1,6,7.2,8.4,9.6,10.8,12))/100)),MAX(0,Inputs!$B$43-((R1136-1)*Skills!D15))))/Inputs!$B$43),IF(Inputs!$B$38="pvp",MIN((Skills!T15*(1+((Inputs!$B$34+1)+(ArtifactsInput!$M$7-ArtifactsInput!$M$7)*CHOOSE(ArtifactsInput!$N$7+1,6,7.2,8.4,9.6,10.8,12))/100)),15)/15,(Skills!T15*(1+((Inputs!$B$34+1)+(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Hunt"),CHOOSE(ArtifactsInput!$N$35+1,15,18,21,24,27,30)*(1-EXP(-(0.2*B1152)*5)),0)+IF(AND(ArtifactsInput!$M$22,Inputs!$B$4&lt;&gt;"Chapter Hunt"),CHOOSE(ArtifactsInput!$N$22+1,10,12,14,16,18,20)*((0*(((0.15*B1152*5))^0/1)+1*(((0.15*B1152*5))^1/1)+2*(((0.15*B1152*5))^2/2)+3*(((0.15*B1152*5))^3/6)+4*(((0.15*B1152*5))^4/24)+5*(((0.15*B1152*5))^5/120))/((((0.15*B1152*5))^0/1)+(((0.15*B1152*5))^1/1)+(((0.15*B1152*5))^2/2)+(((0.15*B1152*5))^3/6)+(((0.15*B1152*5))^4/24)+(((0.15*B1152*5))^5/120))),0)))/100)*I1129)</f>
        <v/>
      </c>
      <c r="L1129">
        <f>K1129*(MIN(Inputs!$B$22+((C1143=TRUE)*(F1143-Calc!F22)),(Inputs!$B$23+((C1145=TRUE)*(F1145-Calc!F24))+(IF(ArtifactsInput!$M$15,CHOOSE(ArtifactsInput!$N$15+1,25,30,35,40,45,50)/100*(Inputs!$B$11-Inputs!$B$11),0))))/100+(Inputs!$B$23+((C1145=TRUE)*(F1145-Calc!F24))+(IF(ArtifactsInput!$M$15,CHOOSE(ArtifactsInput!$N$15+1,25,30,35,40,45,50)/100*(Inputs!$B$11-Inputs!$B$11),0)))/100)/2</f>
        <v/>
      </c>
      <c r="M1129">
        <f>L1129*(1+(Inputs!$B$10+0+B1155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29">
        <f>L1129*(1-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1129*(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29">
        <f>(1-Summary!$B$11)*T1129+Summary!$B$11*V1129</f>
        <v/>
      </c>
      <c r="P1129">
        <f>IF(B1160=0,0,O1129/B1160)</f>
        <v/>
      </c>
      <c r="Q1129">
        <f>IFERROR(1/(IF(Inputs!$B$38="pvp",15,MAX(0.1,Skills!D8-IF(Skills!E8=TRUE,Inputs!$B$32,0)))*(1-IF(AND(ArtifactsInput!$M$27,Inputs!$B$4="Chapter Hunt"),CHOOSE(ArtifactsInput!$N$27+1,20,24,28,32,36,40),0)/100)),0)</f>
        <v/>
      </c>
      <c r="R1129">
        <f>IF(AND(Inputs!$B$38&lt;&gt;"pvp",Inputs!$B$43&gt;0),IF(MAX(0,Inputs!$B$43-B1157)&lt;=0,0,(INT(MAX(0,Inputs!$B$43-B1157)/(IF(Inputs!$B$38="pvp",15,MAX(0.1,Skills!D8-IF(Skills!E8=TRUE,Inputs!$B$32,0)))*(1-IF(AND(ArtifactsInput!$M$27,Inputs!$B$4="Chapter Hunt"),CHOOSE(ArtifactsInput!$N$27+1,20,24,28,32,36,40),0)/100)))+1)),0)</f>
        <v/>
      </c>
      <c r="S1129">
        <f>IFERROR(O1129/N1129,0)</f>
        <v/>
      </c>
      <c r="T1129">
        <f>IF(C1129,(H1129*N1129*IF(AND(Inputs!$B$38&lt;&gt;"pvp",Inputs!$B$43&gt;0),((Skills!G8*((R1129-1)*IF(Skills!H8&gt;0,Skills!I8/Skills!H8,1)+IF(Skills!H8&gt;0,MIN(Skills!I8,MAX(0,MAX(0,Inputs!$B$43-B1157)-((R1129-1)*(IF(Inputs!$B$38="pvp",15,MAX(0.1,Skills!D8-IF(Skills!E8=TRUE,Inputs!$B$32,0)))*(1-IF(AND(ArtifactsInput!$M$27,Inputs!$B$4="Chapter Hunt"),CHOOSE(ArtifactsInput!$N$27+1,20,24,28,32,36,40),0)/100)))))/Skills!H8,1)))/Inputs!$B$43),G1129*Q1129)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1129*(1-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1129*(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1129*(1-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1129*(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29">
        <f>IF(C1129,(H1129*N1129*IF(AND(Inputs!$B$38&lt;&gt;"pvp",Inputs!$B$43&gt;0),((Skills!G8*((R1129-1)*IF(Skills!H8&gt;0,Skills!I8/Skills!H8,1)+IF(Skills!H8&gt;0,MIN(Skills!I8,MAX(0,MAX(0,Inputs!$B$43-B1157)-((R1129-1)*(IF(Inputs!$B$38="pvp",15,MAX(0.1,Skills!D8-IF(Skills!E8=TRUE,Inputs!$B$32,0)))*(1-IF(AND(ArtifactsInput!$M$27,Inputs!$B$4="Chapter Hunt"),CHOOSE(ArtifactsInput!$N$27+1,20,24,28,32,36,40),0)/100)))))/Skills!H8,1)))/Inputs!$B$43),G1129*Q1129)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0">
      <c r="A1130">
        <f>Skills!A9</f>
        <v/>
      </c>
      <c r="B1130">
        <f>Skills!B9</f>
        <v/>
      </c>
      <c r="C1130">
        <f>Inputs!$B$3&gt;=69</f>
        <v/>
      </c>
      <c r="D1130">
        <f>IF(Skills!C9=1,60+Inputs!$B$25+Inputs!$B$29,IF(Skills!C9=2,90+Inputs!$B$26+Inputs!$B$29,IF(Skills!C9=3,120+Inputs!$B$27+Inputs!$B$29,MAX(0,(Inputs!$B$3-100)*3)+Inputs!$B$28+Inputs!$B$29)))</f>
        <v/>
      </c>
      <c r="E1130">
        <f>INDEX(FactorTable!$B$2:$Y$301, MATCH(ROUND(MIN(300,MAX(1,D1130)),0), FactorTable!$A$2:$A$301,0), Skills!M9+1)</f>
        <v/>
      </c>
      <c r="F1130">
        <f>IF(Skills!N9=TRUE,(Skills!L9/10)*(E1130/1000),Skills!L9/10)+Skills!O9</f>
        <v/>
      </c>
      <c r="G1130">
        <f>Skills!G9*IF(Skills!H9&gt;0,Skills!I9/Skills!H9,1)</f>
        <v/>
      </c>
      <c r="H1130">
        <f>1-(1-Skills!J9/100)^Skills!K9</f>
        <v/>
      </c>
      <c r="I1130" t="inlineStr">
        <is>
          <t>1</t>
        </is>
      </c>
      <c r="J1130">
        <f>((Inputs!$B$6*(1+Inputs!$B$7/100))+(((Inputs!$B$12*(1+Inputs!$B$13/100))-(Inputs!$B$12*(1+Inputs!$B$13/100)))+0.25*(Inputs!$B$14-Inputs!$B$14))*(1+Inputs!$B$7/100))*(F1130/100)</f>
        <v/>
      </c>
      <c r="K1130">
        <f>J1130*(1+((Inputs!$B$12*(1+Inputs!$B$13/100))*0.01+Inputs!$B$14*0.0025)/100)*(1+Inputs!$B$15/100)*(1+Inputs!$B$16/100)*(5000/(6000+Inputs!$B$42*(1-(100*(1-(1-(Inputs!$B$19+0)/100)*(1-CHOOSE(ArtifactsInput!$N$40+1,5,6,7,8,9,10)/100)^(ArtifactsInput!$M$40-ArtifactsInput!$M$40)))/100)))*(1+(Inputs!$B$24+((C1146=TRUE)*(F1146-Calc!F25))+B1156)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1133=TRUE,F1133,0)/100)*(1+IF(Skills!A9="ENHANCED_RAGING_BLOW",IF(Inputs!$B$3&gt;=134,MAX(0,IF(Inputs!$B$3&gt;=110,7,5)-5)*50,0),0)/100)*(1+(IF(Skills!A9="RAGING_BLOW",Inputs!$B$17+((C1142=TRUE)*(F1142-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1144=TRUE)*(F1144-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1134=TRUE)*F1134*IF(Inputs!$B$3&gt;=110,7,5))+((C1136=TRUE)*F1136*IF(AND(Inputs!$B$38&lt;&gt;"pvp",Inputs!$B$43&gt;0),(((R1136-1)*(Skills!T15*(1+((Inputs!$B$34+1)+(ArtifactsInput!$M$7-ArtifactsInput!$M$7)*CHOOSE(ArtifactsInput!$N$7+1,6,7.2,8.4,9.6,10.8,12))/100))+MIN((Skills!T15*(1+((Inputs!$B$34+1)+(ArtifactsInput!$M$7-ArtifactsInput!$M$7)*CHOOSE(ArtifactsInput!$N$7+1,6,7.2,8.4,9.6,10.8,12))/100)),MAX(0,Inputs!$B$43-((R1136-1)*Skills!D15))))/Inputs!$B$43),IF(Inputs!$B$38="pvp",MIN((Skills!T15*(1+((Inputs!$B$34+1)+(ArtifactsInput!$M$7-ArtifactsInput!$M$7)*CHOOSE(ArtifactsInput!$N$7+1,6,7.2,8.4,9.6,10.8,12))/100)),15)/15,(Skills!T15*(1+((Inputs!$B$34+1)+(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Hunt"),CHOOSE(ArtifactsInput!$N$35+1,15,18,21,24,27,30)*(1-EXP(-(0.2*B1152)*5)),0)+IF(AND(ArtifactsInput!$M$22,Inputs!$B$4&lt;&gt;"Chapter Hunt"),CHOOSE(ArtifactsInput!$N$22+1,10,12,14,16,18,20)*((0*(((0.15*B1152*5))^0/1)+1*(((0.15*B1152*5))^1/1)+2*(((0.15*B1152*5))^2/2)+3*(((0.15*B1152*5))^3/6)+4*(((0.15*B1152*5))^4/24)+5*(((0.15*B1152*5))^5/120))/((((0.15*B1152*5))^0/1)+(((0.15*B1152*5))^1/1)+(((0.15*B1152*5))^2/2)+(((0.15*B1152*5))^3/6)+(((0.15*B1152*5))^4/24)+(((0.15*B1152*5))^5/120))),0)))/100)*I1130)</f>
        <v/>
      </c>
      <c r="L1130">
        <f>K1130*(MIN(Inputs!$B$22+((C1143=TRUE)*(F1143-Calc!F22)),(Inputs!$B$23+((C1145=TRUE)*(F1145-Calc!F24))+(IF(ArtifactsInput!$M$15,CHOOSE(ArtifactsInput!$N$15+1,25,30,35,40,45,50)/100*(Inputs!$B$11-Inputs!$B$11),0))))/100+(Inputs!$B$23+((C1145=TRUE)*(F1145-Calc!F24))+(IF(ArtifactsInput!$M$15,CHOOSE(ArtifactsInput!$N$15+1,25,30,35,40,45,50)/100*(Inputs!$B$11-Inputs!$B$11),0)))/100)/2</f>
        <v/>
      </c>
      <c r="M1130">
        <f>L1130*(1+(Inputs!$B$10+0+B1155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0">
        <f>L1130*(1-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1130*(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0">
        <f>(1-Summary!$B$11)*T1130+Summary!$B$11*V1130</f>
        <v/>
      </c>
      <c r="P1130">
        <f>IF(B1160=0,0,O1130/B1160)</f>
        <v/>
      </c>
      <c r="Q1130">
        <f>IFERROR(1/(IF(Inputs!$B$38="pvp",15,MAX(0.1,Skills!D9-IF(Skills!E9=TRUE,Inputs!$B$32,0)))*(1-IF(AND(ArtifactsInput!$M$27,Inputs!$B$4="Chapter Hunt"),CHOOSE(ArtifactsInput!$N$27+1,20,24,28,32,36,40),0)/100)),0)</f>
        <v/>
      </c>
      <c r="R1130">
        <f>IF(AND(Inputs!$B$38&lt;&gt;"pvp",Inputs!$B$43&gt;0),IF(MAX(0,Inputs!$B$43-B1157)&lt;=0,0,(INT(MAX(0,Inputs!$B$43-B1157)/(IF(Inputs!$B$38="pvp",15,MAX(0.1,Skills!D9-IF(Skills!E9=TRUE,Inputs!$B$32,0)))*(1-IF(AND(ArtifactsInput!$M$27,Inputs!$B$4="Chapter Hunt"),CHOOSE(ArtifactsInput!$N$27+1,20,24,28,32,36,40),0)/100)))+1)),0)</f>
        <v/>
      </c>
      <c r="S1130">
        <f>IFERROR(O1130/N1130,0)</f>
        <v/>
      </c>
      <c r="T1130">
        <f>IF(C1130,(H1130*N1130*IF(AND(Inputs!$B$38&lt;&gt;"pvp",Inputs!$B$43&gt;0),((Skills!G9*((R1130-1)*IF(Skills!H9&gt;0,Skills!I9/Skills!H9,1)+IF(Skills!H9&gt;0,MIN(Skills!I9,MAX(0,MAX(0,Inputs!$B$43-B1157)-((R1130-1)*(IF(Inputs!$B$38="pvp",15,MAX(0.1,Skills!D9-IF(Skills!E9=TRUE,Inputs!$B$32,0)))*(1-IF(AND(ArtifactsInput!$M$27,Inputs!$B$4="Chapter Hunt"),CHOOSE(ArtifactsInput!$N$27+1,20,24,28,32,36,40),0)/100)))))/Skills!H9,1)))/Inputs!$B$43),G1130*Q1130)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1130*(1-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1130*(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1130*(1-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1130*(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30">
        <f>IF(C1130,(H1130*N1130*IF(AND(Inputs!$B$38&lt;&gt;"pvp",Inputs!$B$43&gt;0),((Skills!G9*((R1130-1)*IF(Skills!H9&gt;0,Skills!I9/Skills!H9,1)+IF(Skills!H9&gt;0,MIN(Skills!I9,MAX(0,MAX(0,Inputs!$B$43-B1157)-((R1130-1)*(IF(Inputs!$B$38="pvp",15,MAX(0.1,Skills!D9-IF(Skills!E9=TRUE,Inputs!$B$32,0)))*(1-IF(AND(ArtifactsInput!$M$27,Inputs!$B$4="Chapter Hunt"),CHOOSE(ArtifactsInput!$N$27+1,20,24,28,32,36,40),0)/100)))))/Skills!H9,1)))/Inputs!$B$43),G1130*Q1130)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1">
      <c r="A1131">
        <f>Skills!A10</f>
        <v/>
      </c>
      <c r="B1131">
        <f>Skills!B10</f>
        <v/>
      </c>
      <c r="C1131">
        <f>Inputs!$B$3&gt;=63</f>
        <v/>
      </c>
      <c r="D1131">
        <f>IF(Skills!C10=1,60+Inputs!$B$25+Inputs!$B$29,IF(Skills!C10=2,90+Inputs!$B$26+Inputs!$B$29,IF(Skills!C10=3,120+Inputs!$B$27+Inputs!$B$29,MAX(0,(Inputs!$B$3-100)*3)+Inputs!$B$28+Inputs!$B$29)))</f>
        <v/>
      </c>
      <c r="E1131">
        <f>INDEX(FactorTable!$B$2:$Y$301, MATCH(ROUND(MIN(300,MAX(1,D1131)),0), FactorTable!$A$2:$A$301,0), Skills!M10+1)</f>
        <v/>
      </c>
      <c r="F1131">
        <f>IF(Skills!N10=TRUE,(Skills!L10/10)*(E1131/1000),Skills!L10/10)+Skills!O10</f>
        <v/>
      </c>
      <c r="G1131">
        <f>Skills!G10*IF(Skills!H10&gt;0,Skills!I10/Skills!H10,1)</f>
        <v/>
      </c>
      <c r="H1131">
        <f>1-(1-Skills!J10/100)^Skills!K10</f>
        <v/>
      </c>
      <c r="I1131" t="inlineStr">
        <is>
          <t>1</t>
        </is>
      </c>
      <c r="J1131">
        <f>((Inputs!$B$6*(1+Inputs!$B$7/100))+(((Inputs!$B$12*(1+Inputs!$B$13/100))-(Inputs!$B$12*(1+Inputs!$B$13/100)))+0.25*(Inputs!$B$14-Inputs!$B$14))*(1+Inputs!$B$7/100))*(F1131/100)</f>
        <v/>
      </c>
      <c r="K1131">
        <f>J1131*(1+((Inputs!$B$12*(1+Inputs!$B$13/100))*0.01+Inputs!$B$14*0.0025)/100)*(1+Inputs!$B$15/100)*(1+Inputs!$B$16/100)*(5000/(6000+Inputs!$B$42*(1-(100*(1-(1-(Inputs!$B$19+0)/100)*(1-CHOOSE(ArtifactsInput!$N$40+1,5,6,7,8,9,10)/100)^(ArtifactsInput!$M$40-ArtifactsInput!$M$40)))/100)))*(1+(Inputs!$B$24+((C1146=TRUE)*(F1146-Calc!F25))+B1156)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1133=TRUE,F1133,0)/100)*(1+IF(Skills!A10="ENHANCED_RAGING_BLOW",IF(Inputs!$B$3&gt;=134,MAX(0,IF(Inputs!$B$3&gt;=110,7,5)-5)*50,0),0)/100)*(1+(IF(Skills!A10="RAGING_BLOW",Inputs!$B$17+((C1142=TRUE)*(F1142-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1144=TRUE)*(F1144-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1134=TRUE)*F1134*IF(Inputs!$B$3&gt;=110,7,5))+((C1136=TRUE)*F1136*IF(AND(Inputs!$B$38&lt;&gt;"pvp",Inputs!$B$43&gt;0),(((R1136-1)*(Skills!T15*(1+((Inputs!$B$34+1)+(ArtifactsInput!$M$7-ArtifactsInput!$M$7)*CHOOSE(ArtifactsInput!$N$7+1,6,7.2,8.4,9.6,10.8,12))/100))+MIN((Skills!T15*(1+((Inputs!$B$34+1)+(ArtifactsInput!$M$7-ArtifactsInput!$M$7)*CHOOSE(ArtifactsInput!$N$7+1,6,7.2,8.4,9.6,10.8,12))/100)),MAX(0,Inputs!$B$43-((R1136-1)*Skills!D15))))/Inputs!$B$43),IF(Inputs!$B$38="pvp",MIN((Skills!T15*(1+((Inputs!$B$34+1)+(ArtifactsInput!$M$7-ArtifactsInput!$M$7)*CHOOSE(ArtifactsInput!$N$7+1,6,7.2,8.4,9.6,10.8,12))/100)),15)/15,(Skills!T15*(1+((Inputs!$B$34+1)+(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Hunt"),CHOOSE(ArtifactsInput!$N$35+1,15,18,21,24,27,30)*(1-EXP(-(0.2*B1152)*5)),0)+IF(AND(ArtifactsInput!$M$22,Inputs!$B$4&lt;&gt;"Chapter Hunt"),CHOOSE(ArtifactsInput!$N$22+1,10,12,14,16,18,20)*((0*(((0.15*B1152*5))^0/1)+1*(((0.15*B1152*5))^1/1)+2*(((0.15*B1152*5))^2/2)+3*(((0.15*B1152*5))^3/6)+4*(((0.15*B1152*5))^4/24)+5*(((0.15*B1152*5))^5/120))/((((0.15*B1152*5))^0/1)+(((0.15*B1152*5))^1/1)+(((0.15*B1152*5))^2/2)+(((0.15*B1152*5))^3/6)+(((0.15*B1152*5))^4/24)+(((0.15*B1152*5))^5/120))),0)))/100)*I1131)</f>
        <v/>
      </c>
      <c r="L1131">
        <f>K1131*(MIN(Inputs!$B$22+((C1143=TRUE)*(F1143-Calc!F22)),(Inputs!$B$23+((C1145=TRUE)*(F1145-Calc!F24))+(IF(ArtifactsInput!$M$15,CHOOSE(ArtifactsInput!$N$15+1,25,30,35,40,45,50)/100*(Inputs!$B$11-Inputs!$B$11),0))))/100+(Inputs!$B$23+((C1145=TRUE)*(F1145-Calc!F24))+(IF(ArtifactsInput!$M$15,CHOOSE(ArtifactsInput!$N$15+1,25,30,35,40,45,50)/100*(Inputs!$B$11-Inputs!$B$11),0)))/100)/2</f>
        <v/>
      </c>
      <c r="M1131">
        <f>L1131*(1+(Inputs!$B$10+0+B1155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1">
        <f>L1131*(1-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1131*(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1">
        <f>(1-Summary!$B$11)*T1131+Summary!$B$11*V1131</f>
        <v/>
      </c>
      <c r="P1131">
        <f>IF(B1160=0,0,O1131/B1160)</f>
        <v/>
      </c>
      <c r="Q1131">
        <f>IFERROR(1/(IF(Inputs!$B$38="pvp",15,MAX(0.1,Skills!D10-IF(Skills!E10=TRUE,Inputs!$B$32,0)))*(1-IF(AND(ArtifactsInput!$M$27,Inputs!$B$4="Chapter Hunt"),CHOOSE(ArtifactsInput!$N$27+1,20,24,28,32,36,40),0)/100)),0)</f>
        <v/>
      </c>
      <c r="R1131">
        <f>IF(AND(Inputs!$B$38&lt;&gt;"pvp",Inputs!$B$43&gt;0),IF(MAX(0,Inputs!$B$43-B1157)&lt;=0,0,(INT(MAX(0,Inputs!$B$43-B1157)/(IF(Inputs!$B$38="pvp",15,MAX(0.1,Skills!D10-IF(Skills!E10=TRUE,Inputs!$B$32,0)))*(1-IF(AND(ArtifactsInput!$M$27,Inputs!$B$4="Chapter Hunt"),CHOOSE(ArtifactsInput!$N$27+1,20,24,28,32,36,40),0)/100)))+1)),0)</f>
        <v/>
      </c>
      <c r="S1131">
        <f>IFERROR(O1131/N1131,0)</f>
        <v/>
      </c>
      <c r="T1131">
        <f>IF(C1131,(H1131*N1131*IF(AND(Inputs!$B$38&lt;&gt;"pvp",Inputs!$B$43&gt;0),((Skills!G10*((R1131-1)*IF(Skills!H10&gt;0,Skills!I10/Skills!H10,1)+IF(Skills!H10&gt;0,MIN(Skills!I10,MAX(0,MAX(0,Inputs!$B$43-B1157)-((R1131-1)*(IF(Inputs!$B$38="pvp",15,MAX(0.1,Skills!D10-IF(Skills!E10=TRUE,Inputs!$B$32,0)))*(1-IF(AND(ArtifactsInput!$M$27,Inputs!$B$4="Chapter Hunt"),CHOOSE(ArtifactsInput!$N$27+1,20,24,28,32,36,40),0)/100)))))/Skills!H10,1)))/Inputs!$B$43),G1131*Q1131)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1131*(1-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1131*(1-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31">
        <f>IF(C1131,(H1131*N1131*IF(AND(Inputs!$B$38&lt;&gt;"pvp",Inputs!$B$43&gt;0),((Skills!G10*((R1131-1)*IF(Skills!H10&gt;0,Skills!I10/Skills!H10,1)+IF(Skills!H10&gt;0,MIN(Skills!I10,MAX(0,MAX(0,Inputs!$B$43-B1157)-((R1131-1)*(IF(Inputs!$B$38="pvp",15,MAX(0.1,Skills!D10-IF(Skills!E10=TRUE,Inputs!$B$32,0)))*(1-IF(AND(ArtifactsInput!$M$27,Inputs!$B$4="Chapter Hunt"),CHOOSE(ArtifactsInput!$N$27+1,20,24,28,32,36,40),0)/100)))))/Skills!H10,1)))/Inputs!$B$43),G1131*Q1131)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2">
      <c r="A1132">
        <f>Skills!A11</f>
        <v/>
      </c>
      <c r="B1132">
        <f>Skills!B11</f>
        <v/>
      </c>
      <c r="C1132">
        <f>Inputs!$B$3&gt;=35</f>
        <v/>
      </c>
      <c r="D1132">
        <f>IF(Skills!C11=1,60+Inputs!$B$25+Inputs!$B$29,IF(Skills!C11=2,90+Inputs!$B$26+Inputs!$B$29,IF(Skills!C11=3,120+Inputs!$B$27+Inputs!$B$29,MAX(0,(Inputs!$B$3-100)*3)+Inputs!$B$28+Inputs!$B$29)))</f>
        <v/>
      </c>
      <c r="E1132">
        <f>INDEX(FactorTable!$B$2:$Y$301, MATCH(ROUND(MIN(300,MAX(1,D1132)),0), FactorTable!$A$2:$A$301,0), Skills!M11+1)</f>
        <v/>
      </c>
      <c r="F1132">
        <f>IF(Skills!N11=TRUE,(Skills!L11/10)*(E1132/1000),Skills!L11/10)+Skills!O11</f>
        <v/>
      </c>
      <c r="G1132">
        <f>Skills!G11*IF(Skills!H11&gt;0,Skills!I11/Skills!H11,1)</f>
        <v/>
      </c>
      <c r="H1132">
        <f>1-(1-Skills!J11/100)^Skills!K11</f>
        <v/>
      </c>
      <c r="I1132" t="inlineStr">
        <is>
          <t>1</t>
        </is>
      </c>
      <c r="J1132">
        <f>((Inputs!$B$6*(1+Inputs!$B$7/100))+(((Inputs!$B$12*(1+Inputs!$B$13/100))-(Inputs!$B$12*(1+Inputs!$B$13/100)))+0.25*(Inputs!$B$14-Inputs!$B$14))*(1+Inputs!$B$7/100))*(F1132/100)</f>
        <v/>
      </c>
      <c r="K1132">
        <f>J1132*(1+((Inputs!$B$12*(1+Inputs!$B$13/100))*0.01+Inputs!$B$14*0.0025)/100)*(1+Inputs!$B$15/100)*(1+Inputs!$B$16/100)*(5000/(6000+Inputs!$B$42*(1-(100*(1-(1-(Inputs!$B$19+0)/100)*(1-CHOOSE(ArtifactsInput!$N$40+1,5,6,7,8,9,10)/100)^(ArtifactsInput!$M$40-ArtifactsInput!$M$40)))/100)))*(1+(Inputs!$B$24+((C1146=TRUE)*(F1146-Calc!F25))+B1156)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1133=TRUE,F1133,0)/100)*(1+IF(Skills!A11="ENHANCED_RAGING_BLOW",IF(Inputs!$B$3&gt;=134,MAX(0,IF(Inputs!$B$3&gt;=110,7,5)-5)*50,0),0)/100)*(1+(IF(Skills!A11="RAGING_BLOW",Inputs!$B$17+((C1142=TRUE)*(F1142-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1144=TRUE)*(F1144-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1134=TRUE)*F1134*IF(Inputs!$B$3&gt;=110,7,5))+((C1136=TRUE)*F1136*IF(AND(Inputs!$B$38&lt;&gt;"pvp",Inputs!$B$43&gt;0),(((R1136-1)*(Skills!T15*(1+((Inputs!$B$34+1)+(ArtifactsInput!$M$7-ArtifactsInput!$M$7)*CHOOSE(ArtifactsInput!$N$7+1,6,7.2,8.4,9.6,10.8,12))/100))+MIN((Skills!T15*(1+((Inputs!$B$34+1)+(ArtifactsInput!$M$7-ArtifactsInput!$M$7)*CHOOSE(ArtifactsInput!$N$7+1,6,7.2,8.4,9.6,10.8,12))/100)),MAX(0,Inputs!$B$43-((R1136-1)*Skills!D15))))/Inputs!$B$43),IF(Inputs!$B$38="pvp",MIN((Skills!T15*(1+((Inputs!$B$34+1)+(ArtifactsInput!$M$7-ArtifactsInput!$M$7)*CHOOSE(ArtifactsInput!$N$7+1,6,7.2,8.4,9.6,10.8,12))/100)),15)/15,(Skills!T15*(1+((Inputs!$B$34+1)+(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Hunt"),CHOOSE(ArtifactsInput!$N$35+1,15,18,21,24,27,30)*(1-EXP(-(0.2*B1152)*5)),0)+IF(AND(ArtifactsInput!$M$22,Inputs!$B$4&lt;&gt;"Chapter Hunt"),CHOOSE(ArtifactsInput!$N$22+1,10,12,14,16,18,20)*((0*(((0.15*B1152*5))^0/1)+1*(((0.15*B1152*5))^1/1)+2*(((0.15*B1152*5))^2/2)+3*(((0.15*B1152*5))^3/6)+4*(((0.15*B1152*5))^4/24)+5*(((0.15*B1152*5))^5/120))/((((0.15*B1152*5))^0/1)+(((0.15*B1152*5))^1/1)+(((0.15*B1152*5))^2/2)+(((0.15*B1152*5))^3/6)+(((0.15*B1152*5))^4/24)+(((0.15*B1152*5))^5/120))),0)))/100)*I1132)</f>
        <v/>
      </c>
      <c r="L1132">
        <f>K1132*(MIN(Inputs!$B$22+((C1143=TRUE)*(F1143-Calc!F22)),(Inputs!$B$23+((C1145=TRUE)*(F1145-Calc!F24))+(IF(ArtifactsInput!$M$15,CHOOSE(ArtifactsInput!$N$15+1,25,30,35,40,45,50)/100*(Inputs!$B$11-Inputs!$B$11),0))))/100+(Inputs!$B$23+((C1145=TRUE)*(F1145-Calc!F24))+(IF(ArtifactsInput!$M$15,CHOOSE(ArtifactsInput!$N$15+1,25,30,35,40,45,50)/100*(Inputs!$B$11-Inputs!$B$11),0)))/100)/2</f>
        <v/>
      </c>
      <c r="M1132">
        <f>L1132*(1+(Inputs!$B$10+0+B1155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2">
        <f>L1132*(1-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1132*(MIN((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2">
        <f>(1-Summary!$B$11)*T1132+Summary!$B$11*V1132</f>
        <v/>
      </c>
      <c r="P1132">
        <f>IF(B1160=0,0,O1132/B1160)</f>
        <v/>
      </c>
      <c r="Q1132">
        <f>IFERROR(1/(IF(Inputs!$B$38="pvp",15,MAX(0.1,Skills!D11-IF(Skills!E11=TRUE,Inputs!$B$32,0)))*(1-IF(AND(ArtifactsInput!$M$27,Inputs!$B$4="Chapter Hunt"),CHOOSE(ArtifactsInput!$N$27+1,20,24,28,32,36,40),0)/100)),0)</f>
        <v/>
      </c>
      <c r="R1132">
        <f>IF(AND(Inputs!$B$38&lt;&gt;"pvp",Inputs!$B$43&gt;0),IF(MAX(0,Inputs!$B$43-B1157)&lt;=0,0,(INT(MAX(0,Inputs!$B$43-B1157)/(IF(Inputs!$B$38="pvp",15,MAX(0.1,Skills!D11-IF(Skills!E11=TRUE,Inputs!$B$32,0)))*(1-IF(AND(ArtifactsInput!$M$27,Inputs!$B$4="Chapter Hunt"),CHOOSE(ArtifactsInput!$N$27+1,20,24,28,32,36,40),0)/100)))+1)),0)</f>
        <v/>
      </c>
      <c r="S1132">
        <f>IFERROR(O1132/N1132,0)</f>
        <v/>
      </c>
      <c r="T1132">
        <f>IF(C1132,(H1132*N1132*IF(AND(Inputs!$B$38&lt;&gt;"pvp",Inputs!$B$43&gt;0),((Skills!G11*((R1132-1)*IF(Skills!H11&gt;0,Skills!I11/Skills!H11,1)+IF(Skills!H11&gt;0,MIN(Skills!I11,MAX(0,MAX(0,Inputs!$B$43-B1157)-((R1132-1)*(IF(Inputs!$B$38="pvp",15,MAX(0.1,Skills!D11-IF(Skills!E11=TRUE,Inputs!$B$32,0)))*(1-IF(AND(ArtifactsInput!$M$27,Inputs!$B$4="Chapter Hunt"),CHOOSE(ArtifactsInput!$N$27+1,20,24,28,32,36,40),0)/100)))))/Skills!H11,1)))/Inputs!$B$43),G1132*Q1132)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1132*(1-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1132*(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1132*(1-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1132*(MIN(100,(Inputs!$B$9+((C1147=TRUE)*(F1147-Calc!F26))+B1150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32">
        <f>IF(C1132,(H1132*N1132*IF(AND(Inputs!$B$38&lt;&gt;"pvp",Inputs!$B$43&gt;0),((Skills!G11*((R1132-1)*IF(Skills!H11&gt;0,Skills!I11/Skills!H11,1)+IF(Skills!H11&gt;0,MIN(Skills!I11,MAX(0,MAX(0,Inputs!$B$43-B1157)-((R1132-1)*(IF(Inputs!$B$38="pvp",15,MAX(0.1,Skills!D11-IF(Skills!E11=TRUE,Inputs!$B$32,0)))*(1-IF(AND(ArtifactsInput!$M$27,Inputs!$B$4="Chapter Hunt"),CHOOSE(ArtifactsInput!$N$27+1,20,24,28,32,36,40),0)/100)))))/Skills!H11,1)))/Inputs!$B$43),G1132*Q1132)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3">
      <c r="A1133">
        <f>Skills!A12</f>
        <v/>
      </c>
      <c r="B1133">
        <f>Skills!B12</f>
        <v/>
      </c>
      <c r="C1133">
        <f>Inputs!$B$3&gt;=100</f>
        <v/>
      </c>
      <c r="D1133">
        <f>IF(Skills!C12=1,60+Inputs!$B$25+Inputs!$B$29,IF(Skills!C12=2,90+Inputs!$B$26+Inputs!$B$29,IF(Skills!C12=3,120+Inputs!$B$27+Inputs!$B$29,MAX(0,(Inputs!$B$3-100)*3)+Inputs!$B$28+Inputs!$B$29)))</f>
        <v/>
      </c>
      <c r="E1133">
        <f>INDEX(FactorTable!$B$2:$Y$301, MATCH(ROUND(MIN(300,MAX(1,D1133)),0), FactorTable!$A$2:$A$301,0), Skills!M12+1)</f>
        <v/>
      </c>
      <c r="F1133">
        <f>IF(Skills!N12=TRUE,(Skills!L12/10)*(E1133/1000),Skills!L12/10)+Skills!O12</f>
        <v/>
      </c>
      <c r="G1133" t="inlineStr"/>
      <c r="H1133" t="inlineStr"/>
      <c r="I1133" t="inlineStr">
        <is>
          <t>1</t>
        </is>
      </c>
      <c r="J1133" t="inlineStr"/>
      <c r="K1133" t="inlineStr"/>
      <c r="L1133" t="inlineStr"/>
      <c r="M1133" t="inlineStr"/>
      <c r="N1133" t="inlineStr"/>
      <c r="O1133" t="inlineStr"/>
      <c r="P1133" t="inlineStr"/>
      <c r="Q1133" t="inlineStr"/>
      <c r="R1133" t="inlineStr"/>
      <c r="S1133" t="inlineStr"/>
    </row>
    <row r="1134">
      <c r="A1134">
        <f>Skills!A13</f>
        <v/>
      </c>
      <c r="B1134">
        <f>Skills!B13</f>
        <v/>
      </c>
      <c r="C1134">
        <f>Inputs!$B$3&gt;=45</f>
        <v/>
      </c>
      <c r="D1134">
        <f>IF(Skills!C13=1,60+Inputs!$B$25+Inputs!$B$29,IF(Skills!C13=2,90+Inputs!$B$26+Inputs!$B$29,IF(Skills!C13=3,120+Inputs!$B$27+Inputs!$B$29,MAX(0,(Inputs!$B$3-100)*3)+Inputs!$B$28+Inputs!$B$29)))</f>
        <v/>
      </c>
      <c r="E1134">
        <f>INDEX(FactorTable!$B$2:$Y$301, MATCH(ROUND(MIN(300,MAX(1,D1134)),0), FactorTable!$A$2:$A$301,0), Skills!M13+1)</f>
        <v/>
      </c>
      <c r="F1134">
        <f>IF(Skills!N13=TRUE,(Skills!L13/10)*(E1134/1000),Skills!L13/10)+Skills!O13</f>
        <v/>
      </c>
      <c r="G1134">
        <f>Skills!G13*IF(Skills!H13&gt;0,Skills!I13/Skills!H13,1)</f>
        <v/>
      </c>
      <c r="H1134">
        <f>1-(1-Skills!J13/100)^Skills!K13</f>
        <v/>
      </c>
      <c r="I1134" t="inlineStr">
        <is>
          <t>1</t>
        </is>
      </c>
      <c r="J1134" t="inlineStr"/>
      <c r="K1134" t="inlineStr"/>
      <c r="L1134" t="inlineStr"/>
      <c r="M1134" t="inlineStr"/>
      <c r="N1134" t="inlineStr"/>
      <c r="O1134">
        <f>(1-Summary!$B$11)*T1134+Summary!$B$11*V1134</f>
        <v/>
      </c>
      <c r="P1134">
        <f>IF(B1160=0,0,O1134/B1160)</f>
        <v/>
      </c>
      <c r="Q1134" t="n">
        <v>0</v>
      </c>
      <c r="R1134" t="n">
        <v>0</v>
      </c>
      <c r="S1134">
        <f>IFERROR(O1134/N1134,0)</f>
        <v/>
      </c>
      <c r="T1134" t="n">
        <v>0</v>
      </c>
      <c r="V1134" t="n">
        <v>0</v>
      </c>
    </row>
    <row r="1135">
      <c r="A1135">
        <f>Skills!A14</f>
        <v/>
      </c>
      <c r="B1135">
        <f>Skills!B14</f>
        <v/>
      </c>
      <c r="C1135">
        <f>Inputs!$B$3&gt;=75</f>
        <v/>
      </c>
      <c r="D1135">
        <f>IF(Skills!C14=1,60+Inputs!$B$25+Inputs!$B$29,IF(Skills!C14=2,90+Inputs!$B$26+Inputs!$B$29,IF(Skills!C14=3,120+Inputs!$B$27+Inputs!$B$29,MAX(0,(Inputs!$B$3-100)*3)+Inputs!$B$28+Inputs!$B$29)))</f>
        <v/>
      </c>
      <c r="E1135">
        <f>INDEX(FactorTable!$B$2:$Y$301, MATCH(ROUND(MIN(300,MAX(1,D1135)),0), FactorTable!$A$2:$A$301,0), Skills!M14+1)</f>
        <v/>
      </c>
      <c r="F1135">
        <f>IF(Skills!N14=TRUE,(Skills!L14/10)*(E1135/1000),Skills!L14/10)+Skills!O14</f>
        <v/>
      </c>
      <c r="G1135">
        <f>Skills!G14*IF(Skills!H14&gt;0,Skills!I14/Skills!H14,1)</f>
        <v/>
      </c>
      <c r="H1135">
        <f>1-(1-Skills!J14/100)^Skills!K14</f>
        <v/>
      </c>
      <c r="I1135" t="inlineStr">
        <is>
          <t>1</t>
        </is>
      </c>
      <c r="J1135" t="inlineStr"/>
      <c r="K1135" t="inlineStr"/>
      <c r="L1135" t="inlineStr"/>
      <c r="M1135" t="inlineStr"/>
      <c r="N1135" t="inlineStr"/>
      <c r="O1135">
        <f>(1-Summary!$B$11)*T1135+Summary!$B$11*V1135</f>
        <v/>
      </c>
      <c r="P1135">
        <f>IF(B1160=0,0,O1135/B1160)</f>
        <v/>
      </c>
      <c r="Q1135" t="n">
        <v>0</v>
      </c>
      <c r="R1135" t="n">
        <v>0</v>
      </c>
      <c r="S1135">
        <f>IFERROR(O1135/N1135,0)</f>
        <v/>
      </c>
      <c r="T1135" t="n">
        <v>0</v>
      </c>
      <c r="V1135" t="n">
        <v>0</v>
      </c>
    </row>
    <row r="1136">
      <c r="A1136">
        <f>Skills!A15</f>
        <v/>
      </c>
      <c r="B1136">
        <f>Skills!B15</f>
        <v/>
      </c>
      <c r="C1136">
        <f>Inputs!$B$3&gt;=40</f>
        <v/>
      </c>
      <c r="D1136">
        <f>IF(Skills!C15=1,60+Inputs!$B$25+Inputs!$B$29,IF(Skills!C15=2,90+Inputs!$B$26+Inputs!$B$29,IF(Skills!C15=3,120+Inputs!$B$27+Inputs!$B$29,MAX(0,(Inputs!$B$3-100)*3)+Inputs!$B$28+Inputs!$B$29)))</f>
        <v/>
      </c>
      <c r="E1136">
        <f>INDEX(FactorTable!$B$2:$Y$301, MATCH(ROUND(MIN(300,MAX(1,D1136)),0), FactorTable!$A$2:$A$301,0), Skills!M15+1)</f>
        <v/>
      </c>
      <c r="F1136">
        <f>IF(Skills!N15=TRUE,(Skills!L15/10)*(E1136/1000),Skills!L15/10)+Skills!O15</f>
        <v/>
      </c>
      <c r="G1136">
        <f>Skills!G15*IF(Skills!H15&gt;0,Skills!I15/Skills!H15,1)</f>
        <v/>
      </c>
      <c r="H1136">
        <f>1-(1-Skills!J15/100)^Skills!K15</f>
        <v/>
      </c>
      <c r="I1136" t="inlineStr">
        <is>
          <t>1</t>
        </is>
      </c>
      <c r="J1136" t="inlineStr"/>
      <c r="K1136" t="inlineStr"/>
      <c r="L1136" t="inlineStr"/>
      <c r="M1136" t="inlineStr"/>
      <c r="N1136" t="inlineStr"/>
      <c r="O1136">
        <f>(1-Summary!$B$11)*T1136+Summary!$B$11*V1136</f>
        <v/>
      </c>
      <c r="P1136">
        <f>IF(B1160=0,0,O1136/B1160)</f>
        <v/>
      </c>
      <c r="Q1136">
        <f>IFERROR(1/(IF(Inputs!$B$38="pvp",15,MAX(0.1,Skills!D15-IF(Skills!E15=TRUE,Inputs!$B$32,0)))*(1-IF(AND(ArtifactsInput!$M$27,Inputs!$B$4="Chapter Hunt"),CHOOSE(ArtifactsInput!$N$27+1,20,24,28,32,36,40),0)/100)),0)</f>
        <v/>
      </c>
      <c r="R1136">
        <f>IF(AND(Inputs!$B$38&lt;&gt;"pvp",Inputs!$B$43&gt;0),IF(Inputs!$B$43&lt;=0,0,(INT(Inputs!$B$43/(IF(Inputs!$B$38="pvp",15,MAX(0.1,Skills!D15-IF(Skills!E15=TRUE,Inputs!$B$32,0)))*(1-IF(AND(ArtifactsInput!$M$27,Inputs!$B$4="Chapter Hunt"),CHOOSE(ArtifactsInput!$N$27+1,20,24,28,32,36,40),0)/100)))+1)),0)</f>
        <v/>
      </c>
      <c r="S1136">
        <f>IFERROR(O1136/N1136,0)</f>
        <v/>
      </c>
      <c r="T1136" t="n">
        <v>0</v>
      </c>
      <c r="V1136" t="n">
        <v>0</v>
      </c>
    </row>
    <row r="1137">
      <c r="A1137">
        <f>Skills!A16</f>
        <v/>
      </c>
      <c r="B1137">
        <f>Skills!B16</f>
        <v/>
      </c>
      <c r="C1137">
        <f>Inputs!$B$3&gt;=66</f>
        <v/>
      </c>
      <c r="D1137">
        <f>IF(Skills!C16=1,60+Inputs!$B$25+Inputs!$B$29,IF(Skills!C16=2,90+Inputs!$B$26+Inputs!$B$29,IF(Skills!C16=3,120+Inputs!$B$27+Inputs!$B$29,MAX(0,(Inputs!$B$3-100)*3)+Inputs!$B$28+Inputs!$B$29)))</f>
        <v/>
      </c>
      <c r="E1137">
        <f>INDEX(FactorTable!$B$2:$Y$301, MATCH(ROUND(MIN(300,MAX(1,D1137)),0), FactorTable!$A$2:$A$301,0), Skills!M16+1)</f>
        <v/>
      </c>
      <c r="F1137">
        <f>IF(Skills!N16=TRUE,(Skills!L16/10)*(E1137/1000),Skills!L16/10)+Skills!O16</f>
        <v/>
      </c>
      <c r="G1137">
        <f>Skills!G16*IF(Skills!H16&gt;0,Skills!I16/Skills!H16,1)</f>
        <v/>
      </c>
      <c r="H1137">
        <f>1-(1-Skills!J16/100)^Skills!K16</f>
        <v/>
      </c>
      <c r="I1137" t="inlineStr">
        <is>
          <t>1</t>
        </is>
      </c>
      <c r="J1137" t="inlineStr"/>
      <c r="K1137" t="inlineStr"/>
      <c r="L1137" t="inlineStr"/>
      <c r="M1137" t="inlineStr"/>
      <c r="N1137" t="inlineStr"/>
      <c r="O1137">
        <f>(1-Summary!$B$11)*T1137+Summary!$B$11*V1137</f>
        <v/>
      </c>
      <c r="P1137">
        <f>IF(B1160=0,0,O1137/B1160)</f>
        <v/>
      </c>
      <c r="Q1137">
        <f>IFERROR(1/(IF(Inputs!$B$38="pvp",15,MAX(0.1,Skills!D16-IF(Skills!E16=TRUE,Inputs!$B$32,0)))*(1-IF(AND(ArtifactsInput!$M$27,Inputs!$B$4="Chapter Hunt"),CHOOSE(ArtifactsInput!$N$27+1,20,24,28,32,36,40),0)/100)),0)</f>
        <v/>
      </c>
      <c r="R1137">
        <f>IF(AND(Inputs!$B$38&lt;&gt;"pvp",Inputs!$B$43&gt;0),IF(Inputs!$B$43&lt;=0,0,(INT(Inputs!$B$43/(IF(Inputs!$B$38="pvp",15,MAX(0.1,Skills!D16-IF(Skills!E16=TRUE,Inputs!$B$32,0)))*(1-IF(AND(ArtifactsInput!$M$27,Inputs!$B$4="Chapter Hunt"),CHOOSE(ArtifactsInput!$N$27+1,20,24,28,32,36,40),0)/100)))+1)),0)</f>
        <v/>
      </c>
      <c r="S1137">
        <f>IFERROR(O1137/N1137,0)</f>
        <v/>
      </c>
      <c r="T1137" t="n">
        <v>0</v>
      </c>
      <c r="V1137" t="n">
        <v>0</v>
      </c>
    </row>
    <row r="1138">
      <c r="A1138">
        <f>Skills!A17</f>
        <v/>
      </c>
      <c r="B1138">
        <f>Skills!B17</f>
        <v/>
      </c>
      <c r="C1138">
        <f>Inputs!$B$3&gt;=115</f>
        <v/>
      </c>
      <c r="D1138">
        <f>IF(Skills!C17=1,60+Inputs!$B$25+Inputs!$B$29,IF(Skills!C17=2,90+Inputs!$B$26+Inputs!$B$29,IF(Skills!C17=3,120+Inputs!$B$27+Inputs!$B$29,MAX(0,(Inputs!$B$3-100)*3)+Inputs!$B$28+Inputs!$B$29)))</f>
        <v/>
      </c>
      <c r="E1138">
        <f>INDEX(FactorTable!$B$2:$Y$301, MATCH(ROUND(MIN(300,MAX(1,D1138)),0), FactorTable!$A$2:$A$301,0), Skills!M17+1)</f>
        <v/>
      </c>
      <c r="F1138">
        <f>IF(Skills!N17=TRUE,(Skills!L17/10)*(E1138/1000),Skills!L17/10)+Skills!O17</f>
        <v/>
      </c>
      <c r="G1138">
        <f>Skills!G17*IF(Skills!H17&gt;0,Skills!I17/Skills!H17,1)</f>
        <v/>
      </c>
      <c r="H1138">
        <f>1-(1-Skills!J17/100)^Skills!K17</f>
        <v/>
      </c>
      <c r="I1138" t="inlineStr">
        <is>
          <t>1</t>
        </is>
      </c>
      <c r="J1138" t="inlineStr"/>
      <c r="K1138" t="inlineStr"/>
      <c r="L1138" t="inlineStr"/>
      <c r="M1138" t="inlineStr"/>
      <c r="N1138" t="inlineStr"/>
      <c r="O1138">
        <f>(1-Summary!$B$11)*T1138+Summary!$B$11*V1138</f>
        <v/>
      </c>
      <c r="P1138">
        <f>IF(B1160=0,0,O1138/B1160)</f>
        <v/>
      </c>
      <c r="Q1138">
        <f>IFERROR(1/(IF(Inputs!$B$38="pvp",15,MAX(0.1,Skills!D17-IF(Skills!E17=TRUE,Inputs!$B$32,0)))*(1-IF(AND(ArtifactsInput!$M$27,Inputs!$B$4="Chapter Hunt"),CHOOSE(ArtifactsInput!$N$27+1,20,24,28,32,36,40),0)/100)),0)</f>
        <v/>
      </c>
      <c r="R1138">
        <f>IF(AND(Inputs!$B$38&lt;&gt;"pvp",Inputs!$B$43&gt;0),IF(Inputs!$B$43&lt;=0,0,(INT(Inputs!$B$43/(IF(Inputs!$B$38="pvp",15,MAX(0.1,Skills!D17-IF(Skills!E17=TRUE,Inputs!$B$32,0)))*(1-IF(AND(ArtifactsInput!$M$27,Inputs!$B$4="Chapter Hunt"),CHOOSE(ArtifactsInput!$N$27+1,20,24,28,32,36,40),0)/100)))+1)),0)</f>
        <v/>
      </c>
      <c r="S1138">
        <f>IFERROR(O1138/N1138,0)</f>
        <v/>
      </c>
      <c r="T1138" t="n">
        <v>0</v>
      </c>
      <c r="V1138" t="n">
        <v>0</v>
      </c>
    </row>
    <row r="1139">
      <c r="A1139">
        <f>Skills!A18</f>
        <v/>
      </c>
      <c r="B1139">
        <f>Skills!B18</f>
        <v/>
      </c>
      <c r="C1139">
        <f>Inputs!$B$3&gt;=115</f>
        <v/>
      </c>
      <c r="D1139">
        <f>IF(Skills!C18=1,60+Inputs!$B$25+Inputs!$B$29,IF(Skills!C18=2,90+Inputs!$B$26+Inputs!$B$29,IF(Skills!C18=3,120+Inputs!$B$27+Inputs!$B$29,MAX(0,(Inputs!$B$3-100)*3)+Inputs!$B$28+Inputs!$B$29)))</f>
        <v/>
      </c>
      <c r="E1139">
        <f>INDEX(FactorTable!$B$2:$Y$301, MATCH(ROUND(MIN(300,MAX(1,D1139)),0), FactorTable!$A$2:$A$301,0), Skills!M18+1)</f>
        <v/>
      </c>
      <c r="F1139">
        <f>IF(Skills!N18=TRUE,(Skills!L18/10)*(E1139/1000),Skills!L18/10)+Skills!O18</f>
        <v/>
      </c>
      <c r="G1139">
        <f>Skills!G18*IF(Skills!H18&gt;0,Skills!I18/Skills!H18,1)</f>
        <v/>
      </c>
      <c r="H1139">
        <f>1-(1-Skills!J18/100)^Skills!K18</f>
        <v/>
      </c>
      <c r="I1139" t="inlineStr">
        <is>
          <t>1</t>
        </is>
      </c>
      <c r="J1139" t="inlineStr"/>
      <c r="K1139" t="inlineStr"/>
      <c r="L1139" t="inlineStr"/>
      <c r="M1139" t="inlineStr"/>
      <c r="N1139" t="inlineStr"/>
      <c r="O1139">
        <f>(1-Summary!$B$11)*T1139+Summary!$B$11*V1139</f>
        <v/>
      </c>
      <c r="P1139">
        <f>IF(B1160=0,0,O1139/B1160)</f>
        <v/>
      </c>
      <c r="Q1139">
        <f>IFERROR(1/(IF(Inputs!$B$38="pvp",15,MAX(0.1,Skills!D18-IF(Skills!E18=TRUE,Inputs!$B$32,0)))*(1-IF(AND(ArtifactsInput!$M$27,Inputs!$B$4="Chapter Hunt"),CHOOSE(ArtifactsInput!$N$27+1,20,24,28,32,36,40),0)/100)),0)</f>
        <v/>
      </c>
      <c r="R1139">
        <f>IF(AND(Inputs!$B$38&lt;&gt;"pvp",Inputs!$B$43&gt;0),IF(Inputs!$B$43&lt;=0,0,(INT(Inputs!$B$43/(IF(Inputs!$B$38="pvp",15,MAX(0.1,Skills!D18-IF(Skills!E18=TRUE,Inputs!$B$32,0)))*(1-IF(AND(ArtifactsInput!$M$27,Inputs!$B$4="Chapter Hunt"),CHOOSE(ArtifactsInput!$N$27+1,20,24,28,32,36,40),0)/100)))+1)),0)</f>
        <v/>
      </c>
      <c r="S1139">
        <f>IFERROR(O1139/N1139,0)</f>
        <v/>
      </c>
      <c r="T1139" t="n">
        <v>0</v>
      </c>
      <c r="V1139" t="n">
        <v>0</v>
      </c>
    </row>
    <row r="1140">
      <c r="A1140">
        <f>Skills!A19</f>
        <v/>
      </c>
      <c r="B1140">
        <f>Skills!B19</f>
        <v/>
      </c>
      <c r="C1140">
        <f>TRUE</f>
        <v/>
      </c>
      <c r="D1140">
        <f>IF(Skills!C19=1,60+Inputs!$B$25+Inputs!$B$29,IF(Skills!C19=2,90+Inputs!$B$26+Inputs!$B$29,IF(Skills!C19=3,120+Inputs!$B$27+Inputs!$B$29,MAX(0,(Inputs!$B$3-100)*3)+Inputs!$B$28+Inputs!$B$29)))</f>
        <v/>
      </c>
      <c r="E1140">
        <f>INDEX(FactorTable!$B$2:$Y$301, MATCH(ROUND(MIN(300,MAX(1,D1140)),0), FactorTable!$A$2:$A$301,0), Skills!M19+1)</f>
        <v/>
      </c>
      <c r="F1140">
        <f>IF(Skills!N19=TRUE,(Skills!L19/10)*(E1140/1000),Skills!L19/10)+Skills!O19</f>
        <v/>
      </c>
      <c r="G1140">
        <f>Skills!G19*IF(Skills!H19&gt;0,Skills!I19/Skills!H19,1)</f>
        <v/>
      </c>
      <c r="H1140">
        <f>1-(1-Skills!J19/100)^Skills!K19</f>
        <v/>
      </c>
      <c r="I1140" t="inlineStr">
        <is>
          <t>1</t>
        </is>
      </c>
      <c r="J1140" t="inlineStr"/>
      <c r="K1140" t="inlineStr"/>
      <c r="L1140" t="inlineStr"/>
      <c r="M1140" t="inlineStr"/>
      <c r="N1140" t="inlineStr"/>
      <c r="O1140">
        <f>(1-Summary!$B$11)*T1140+Summary!$B$11*V1140</f>
        <v/>
      </c>
      <c r="P1140">
        <f>IF(B1160=0,0,O1140/B1160)</f>
        <v/>
      </c>
      <c r="Q1140">
        <f>IFERROR(1/(IF(Inputs!$B$38="pvp",15,MAX(0.1,Skills!D19-IF(Skills!E19=TRUE,Inputs!$B$32,0)))*(1-IF(AND(ArtifactsInput!$M$27,Inputs!$B$4="Chapter Hunt"),CHOOSE(ArtifactsInput!$N$27+1,20,24,28,32,36,40),0)/100)),0)</f>
        <v/>
      </c>
      <c r="R1140">
        <f>IF(AND(Inputs!$B$38&lt;&gt;"pvp",Inputs!$B$43&gt;0),IF(Inputs!$B$43&lt;=0,0,(INT(Inputs!$B$43/(IF(Inputs!$B$38="pvp",15,MAX(0.1,Skills!D19-IF(Skills!E19=TRUE,Inputs!$B$32,0)))*(1-IF(AND(ArtifactsInput!$M$27,Inputs!$B$4="Chapter Hunt"),CHOOSE(ArtifactsInput!$N$27+1,20,24,28,32,36,40),0)/100)))+1)),0)</f>
        <v/>
      </c>
      <c r="S1140">
        <f>IFERROR(O1140/N1140,0)</f>
        <v/>
      </c>
      <c r="T1140" t="n">
        <v>0</v>
      </c>
      <c r="V1140" t="n">
        <v>0</v>
      </c>
    </row>
    <row r="1141">
      <c r="A1141">
        <f>Skills!A20</f>
        <v/>
      </c>
      <c r="B1141">
        <f>Skills!B20</f>
        <v/>
      </c>
      <c r="C1141">
        <f>Inputs!$B$3&gt;=33</f>
        <v/>
      </c>
      <c r="D1141">
        <f>IF(Skills!C20=1,60+Inputs!$B$25+Inputs!$B$29,IF(Skills!C20=2,90+Inputs!$B$26+Inputs!$B$29,IF(Skills!C20=3,120+Inputs!$B$27+Inputs!$B$29,MAX(0,(Inputs!$B$3-100)*3)+Inputs!$B$28+Inputs!$B$29)))</f>
        <v/>
      </c>
      <c r="E1141">
        <f>INDEX(FactorTable!$B$2:$Y$301, MATCH(ROUND(MIN(300,MAX(1,D1141)),0), FactorTable!$A$2:$A$301,0), Skills!M20+1)</f>
        <v/>
      </c>
      <c r="F1141">
        <f>IF(Skills!N20=TRUE,(Skills!L20/10)*(E1141/1000),Skills!L20/10)+Skills!O20</f>
        <v/>
      </c>
      <c r="G1141">
        <f>Skills!G20*IF(Skills!H20&gt;0,Skills!I20/Skills!H20,1)</f>
        <v/>
      </c>
      <c r="H1141">
        <f>1-(1-Skills!J20/100)^Skills!K20</f>
        <v/>
      </c>
      <c r="I1141" t="inlineStr">
        <is>
          <t>1</t>
        </is>
      </c>
      <c r="J1141" t="inlineStr"/>
      <c r="K1141" t="inlineStr"/>
      <c r="L1141" t="inlineStr"/>
      <c r="M1141" t="inlineStr"/>
      <c r="N1141" t="inlineStr"/>
      <c r="O1141">
        <f>(1-Summary!$B$11)*T1141+Summary!$B$11*V1141</f>
        <v/>
      </c>
      <c r="P1141">
        <f>IF(B1160=0,0,O1141/B1160)</f>
        <v/>
      </c>
      <c r="Q1141" t="n">
        <v>0</v>
      </c>
      <c r="R1141" t="n">
        <v>0</v>
      </c>
      <c r="S1141">
        <f>IFERROR(O1141/N1141,0)</f>
        <v/>
      </c>
      <c r="T1141" t="n">
        <v>0</v>
      </c>
      <c r="V1141" t="n">
        <v>0</v>
      </c>
    </row>
    <row r="1142">
      <c r="A1142">
        <f>Skills!A21</f>
        <v/>
      </c>
      <c r="B1142">
        <f>Skills!B21</f>
        <v/>
      </c>
      <c r="C1142">
        <f>Inputs!$B$3&gt;=38</f>
        <v/>
      </c>
      <c r="D1142">
        <f>IF(Skills!C21=1,60+Inputs!$B$25+Inputs!$B$29,IF(Skills!C21=2,90+Inputs!$B$26+Inputs!$B$29,IF(Skills!C21=3,120+Inputs!$B$27+Inputs!$B$29,MAX(0,(Inputs!$B$3-100)*3)+Inputs!$B$28+Inputs!$B$29)))</f>
        <v/>
      </c>
      <c r="E1142">
        <f>INDEX(FactorTable!$B$2:$Y$301, MATCH(ROUND(MIN(300,MAX(1,D1142)),0), FactorTable!$A$2:$A$301,0), Skills!M21+1)</f>
        <v/>
      </c>
      <c r="F1142">
        <f>IF(Skills!N21=TRUE,(Skills!L21/10)*(E1142/1000),Skills!L21/10)+Skills!O21</f>
        <v/>
      </c>
      <c r="G1142">
        <f>Skills!G21*IF(Skills!H21&gt;0,Skills!I21/Skills!H21,1)</f>
        <v/>
      </c>
      <c r="H1142">
        <f>1-(1-Skills!J21/100)^Skills!K21</f>
        <v/>
      </c>
      <c r="I1142" t="inlineStr">
        <is>
          <t>1</t>
        </is>
      </c>
      <c r="J1142" t="inlineStr"/>
      <c r="K1142" t="inlineStr"/>
      <c r="L1142" t="inlineStr"/>
      <c r="M1142" t="inlineStr"/>
      <c r="N1142" t="inlineStr"/>
      <c r="O1142">
        <f>(1-Summary!$B$11)*T1142+Summary!$B$11*V1142</f>
        <v/>
      </c>
      <c r="P1142">
        <f>IF(B1160=0,0,O1142/B1160)</f>
        <v/>
      </c>
      <c r="Q1142" t="n">
        <v>0</v>
      </c>
      <c r="R1142" t="n">
        <v>0</v>
      </c>
      <c r="S1142">
        <f>IFERROR(O1142/N1142,0)</f>
        <v/>
      </c>
      <c r="T1142" t="n">
        <v>0</v>
      </c>
      <c r="V1142" t="n">
        <v>0</v>
      </c>
    </row>
    <row r="1143">
      <c r="A1143">
        <f>Skills!A22</f>
        <v/>
      </c>
      <c r="B1143">
        <f>Skills!B22</f>
        <v/>
      </c>
      <c r="C1143">
        <f>Inputs!$B$3&gt;=43</f>
        <v/>
      </c>
      <c r="D1143">
        <f>IF(Skills!C22=1,60+Inputs!$B$25+Inputs!$B$29,IF(Skills!C22=2,90+Inputs!$B$26+Inputs!$B$29,IF(Skills!C22=3,120+Inputs!$B$27+Inputs!$B$29,MAX(0,(Inputs!$B$3-100)*3)+Inputs!$B$28+Inputs!$B$29)))</f>
        <v/>
      </c>
      <c r="E1143">
        <f>INDEX(FactorTable!$B$2:$Y$301, MATCH(ROUND(MIN(300,MAX(1,D1143)),0), FactorTable!$A$2:$A$301,0), Skills!M22+1)</f>
        <v/>
      </c>
      <c r="F1143">
        <f>IF(Skills!N22=TRUE,(Skills!L22/10)*(E1143/1000),Skills!L22/10)+Skills!O22</f>
        <v/>
      </c>
      <c r="G1143">
        <f>Skills!G22*IF(Skills!H22&gt;0,Skills!I22/Skills!H22,1)</f>
        <v/>
      </c>
      <c r="H1143">
        <f>1-(1-Skills!J22/100)^Skills!K22</f>
        <v/>
      </c>
      <c r="I1143" t="inlineStr">
        <is>
          <t>1</t>
        </is>
      </c>
      <c r="J1143" t="inlineStr"/>
      <c r="K1143" t="inlineStr"/>
      <c r="L1143" t="inlineStr"/>
      <c r="M1143" t="inlineStr"/>
      <c r="N1143" t="inlineStr"/>
      <c r="O1143">
        <f>(1-Summary!$B$11)*T1143+Summary!$B$11*V1143</f>
        <v/>
      </c>
      <c r="P1143">
        <f>IF(B1160=0,0,O1143/B1160)</f>
        <v/>
      </c>
      <c r="Q1143" t="n">
        <v>0</v>
      </c>
      <c r="R1143" t="n">
        <v>0</v>
      </c>
      <c r="S1143">
        <f>IFERROR(O1143/N1143,0)</f>
        <v/>
      </c>
      <c r="T1143" t="n">
        <v>0</v>
      </c>
      <c r="V1143" t="n">
        <v>0</v>
      </c>
    </row>
    <row r="1144">
      <c r="A1144">
        <f>Skills!A23</f>
        <v/>
      </c>
      <c r="B1144">
        <f>Skills!B23</f>
        <v/>
      </c>
      <c r="C1144">
        <f>Inputs!$B$3&gt;=120</f>
        <v/>
      </c>
      <c r="D1144">
        <f>IF(Skills!C23=1,60+Inputs!$B$25+Inputs!$B$29,IF(Skills!C23=2,90+Inputs!$B$26+Inputs!$B$29,IF(Skills!C23=3,120+Inputs!$B$27+Inputs!$B$29,MAX(0,(Inputs!$B$3-100)*3)+Inputs!$B$28+Inputs!$B$29)))</f>
        <v/>
      </c>
      <c r="E1144">
        <f>INDEX(FactorTable!$B$2:$Y$301, MATCH(ROUND(MIN(300,MAX(1,D1144)),0), FactorTable!$A$2:$A$301,0), Skills!M23+1)</f>
        <v/>
      </c>
      <c r="F1144">
        <f>IF(Skills!N23=TRUE,(Skills!L23/10)*(E1144/1000),Skills!L23/10)+Skills!O23</f>
        <v/>
      </c>
      <c r="G1144">
        <f>Skills!G23*IF(Skills!H23&gt;0,Skills!I23/Skills!H23,1)</f>
        <v/>
      </c>
      <c r="H1144">
        <f>1-(1-Skills!J23/100)^Skills!K23</f>
        <v/>
      </c>
      <c r="I1144" t="inlineStr">
        <is>
          <t>1</t>
        </is>
      </c>
      <c r="J1144" t="inlineStr"/>
      <c r="K1144" t="inlineStr"/>
      <c r="L1144" t="inlineStr"/>
      <c r="M1144" t="inlineStr"/>
      <c r="N1144" t="inlineStr"/>
      <c r="O1144">
        <f>(1-Summary!$B$11)*T1144+Summary!$B$11*V1144</f>
        <v/>
      </c>
      <c r="P1144">
        <f>IF(B1160=0,0,O1144/B1160)</f>
        <v/>
      </c>
      <c r="Q1144" t="n">
        <v>0</v>
      </c>
      <c r="R1144" t="n">
        <v>0</v>
      </c>
      <c r="S1144">
        <f>IFERROR(O1144/N1144,0)</f>
        <v/>
      </c>
      <c r="T1144" t="n">
        <v>0</v>
      </c>
      <c r="V1144" t="n">
        <v>0</v>
      </c>
    </row>
    <row r="1145">
      <c r="A1145">
        <f>Skills!A24</f>
        <v/>
      </c>
      <c r="B1145">
        <f>Skills!B24</f>
        <v/>
      </c>
      <c r="C1145">
        <f>Inputs!$B$3&gt;=120</f>
        <v/>
      </c>
      <c r="D1145">
        <f>IF(Skills!C24=1,60+Inputs!$B$25+Inputs!$B$29,IF(Skills!C24=2,90+Inputs!$B$26+Inputs!$B$29,IF(Skills!C24=3,120+Inputs!$B$27+Inputs!$B$29,MAX(0,(Inputs!$B$3-100)*3)+Inputs!$B$28+Inputs!$B$29)))</f>
        <v/>
      </c>
      <c r="E1145">
        <f>INDEX(FactorTable!$B$2:$Y$301, MATCH(ROUND(MIN(300,MAX(1,D1145)),0), FactorTable!$A$2:$A$301,0), Skills!M24+1)</f>
        <v/>
      </c>
      <c r="F1145">
        <f>IF(Skills!N24=TRUE,(Skills!L24/10)*(E1145/1000),Skills!L24/10)+Skills!O24</f>
        <v/>
      </c>
      <c r="G1145">
        <f>Skills!G24*IF(Skills!H24&gt;0,Skills!I24/Skills!H24,1)</f>
        <v/>
      </c>
      <c r="H1145">
        <f>1-(1-Skills!J24/100)^Skills!K24</f>
        <v/>
      </c>
      <c r="I1145" t="inlineStr">
        <is>
          <t>1</t>
        </is>
      </c>
      <c r="J1145" t="inlineStr"/>
      <c r="K1145" t="inlineStr"/>
      <c r="L1145" t="inlineStr"/>
      <c r="M1145" t="inlineStr"/>
      <c r="N1145" t="inlineStr"/>
      <c r="O1145">
        <f>(1-Summary!$B$11)*T1145+Summary!$B$11*V1145</f>
        <v/>
      </c>
      <c r="P1145">
        <f>IF(B1160=0,0,O1145/B1160)</f>
        <v/>
      </c>
      <c r="Q1145" t="n">
        <v>0</v>
      </c>
      <c r="R1145" t="n">
        <v>0</v>
      </c>
      <c r="S1145">
        <f>IFERROR(O1145/N1145,0)</f>
        <v/>
      </c>
      <c r="T1145" t="n">
        <v>0</v>
      </c>
      <c r="V1145" t="n">
        <v>0</v>
      </c>
    </row>
    <row r="1146">
      <c r="A1146">
        <f>Skills!A25</f>
        <v/>
      </c>
      <c r="B1146">
        <f>Skills!B25</f>
        <v/>
      </c>
      <c r="C1146">
        <f>Inputs!$B$3&gt;=125</f>
        <v/>
      </c>
      <c r="D1146">
        <f>IF(Skills!C25=1,60+Inputs!$B$25+Inputs!$B$29,IF(Skills!C25=2,90+Inputs!$B$26+Inputs!$B$29,IF(Skills!C25=3,120+Inputs!$B$27+Inputs!$B$29,MAX(0,(Inputs!$B$3-100)*3)+Inputs!$B$28+Inputs!$B$29)))</f>
        <v/>
      </c>
      <c r="E1146">
        <f>INDEX(FactorTable!$B$2:$Y$301, MATCH(ROUND(MIN(300,MAX(1,D1146)),0), FactorTable!$A$2:$A$301,0), Skills!M25+1)</f>
        <v/>
      </c>
      <c r="F1146">
        <f>IF(Skills!N25=TRUE,(Skills!L25/10)*(E1146/1000),Skills!L25/10)+Skills!O25</f>
        <v/>
      </c>
      <c r="G1146">
        <f>Skills!G25*IF(Skills!H25&gt;0,Skills!I25/Skills!H25,1)</f>
        <v/>
      </c>
      <c r="H1146">
        <f>1-(1-Skills!J25/100)^Skills!K25</f>
        <v/>
      </c>
      <c r="I1146" t="inlineStr">
        <is>
          <t>1</t>
        </is>
      </c>
      <c r="J1146" t="inlineStr"/>
      <c r="K1146" t="inlineStr"/>
      <c r="L1146" t="inlineStr"/>
      <c r="M1146" t="inlineStr"/>
      <c r="N1146" t="inlineStr"/>
      <c r="O1146">
        <f>(1-Summary!$B$11)*T1146+Summary!$B$11*V1146</f>
        <v/>
      </c>
      <c r="P1146">
        <f>IF(B1160=0,0,O1146/B1160)</f>
        <v/>
      </c>
      <c r="Q1146" t="n">
        <v>0</v>
      </c>
      <c r="R1146" t="n">
        <v>0</v>
      </c>
      <c r="S1146">
        <f>IFERROR(O1146/N1146,0)</f>
        <v/>
      </c>
      <c r="T1146" t="n">
        <v>0</v>
      </c>
      <c r="V1146" t="n">
        <v>0</v>
      </c>
    </row>
    <row r="1147">
      <c r="A1147">
        <f>Skills!A26</f>
        <v/>
      </c>
      <c r="B1147">
        <f>Skills!B26</f>
        <v/>
      </c>
      <c r="C1147">
        <f>Inputs!$B$3&gt;=72</f>
        <v/>
      </c>
      <c r="D1147">
        <f>IF(Skills!C26=1,60+Inputs!$B$25+Inputs!$B$29,IF(Skills!C26=2,90+Inputs!$B$26+Inputs!$B$29,IF(Skills!C26=3,120+Inputs!$B$27+Inputs!$B$29,MAX(0,(Inputs!$B$3-100)*3)+Inputs!$B$28+Inputs!$B$29)))</f>
        <v/>
      </c>
      <c r="E1147">
        <f>INDEX(FactorTable!$B$2:$Y$301, MATCH(ROUND(MIN(300,MAX(1,D1147)),0), FactorTable!$A$2:$A$301,0), Skills!M26+1)</f>
        <v/>
      </c>
      <c r="F1147">
        <f>IF(Skills!N26=TRUE,(Skills!L26/10)*(E1147/1000),Skills!L26/10)+Skills!O26</f>
        <v/>
      </c>
      <c r="G1147">
        <f>Skills!G26*IF(Skills!H26&gt;0,Skills!I26/Skills!H26,1)</f>
        <v/>
      </c>
      <c r="H1147">
        <f>1-(1-Skills!J26/100)^Skills!K26</f>
        <v/>
      </c>
      <c r="I1147" t="inlineStr">
        <is>
          <t>1</t>
        </is>
      </c>
      <c r="J1147" t="inlineStr"/>
      <c r="K1147" t="inlineStr"/>
      <c r="L1147" t="inlineStr"/>
      <c r="M1147" t="inlineStr"/>
      <c r="N1147" t="inlineStr"/>
      <c r="O1147">
        <f>(1-Summary!$B$11)*T1147+Summary!$B$11*V1147</f>
        <v/>
      </c>
      <c r="P1147">
        <f>IF(B1160=0,0,O1147/B1160)</f>
        <v/>
      </c>
      <c r="Q1147" t="n">
        <v>0</v>
      </c>
      <c r="R1147" t="n">
        <v>0</v>
      </c>
      <c r="S1147">
        <f>IFERROR(O1147/N1147,0)</f>
        <v/>
      </c>
      <c r="T1147" t="n">
        <v>0</v>
      </c>
      <c r="V1147" t="n">
        <v>0</v>
      </c>
    </row>
    <row r="1149">
      <c r="A1149" t="inlineStr">
        <is>
          <t>Attack% Bucket Multiplier</t>
        </is>
      </c>
      <c r="B1149">
        <f>(1+(((C1134=TRUE)*F1134*IF(Inputs!$B$3&gt;=110,7,5))+((C1136=TRUE)*F1136*IF(AND(Inputs!$B$38&lt;&gt;"pvp",Inputs!$B$43&gt;0),(((R1136-1)*(Skills!T15*(1+((Inputs!$B$34+1)+(ArtifactsInput!$M$7-ArtifactsInput!$M$7)*CHOOSE(ArtifactsInput!$N$7+1,6,7.2,8.4,9.6,10.8,12))/100))+MIN((Skills!T15*(1+((Inputs!$B$34+1)+(ArtifactsInput!$M$7-ArtifactsInput!$M$7)*CHOOSE(ArtifactsInput!$N$7+1,6,7.2,8.4,9.6,10.8,12))/100)),MAX(0,Inputs!$B$43-((R1136-1)*Skills!D15))))/Inputs!$B$43),IF(Inputs!$B$38="pvp",MIN((Skills!T15*(1+((Inputs!$B$34+1)+(ArtifactsInput!$M$7-ArtifactsInput!$M$7)*CHOOSE(ArtifactsInput!$N$7+1,6,7.2,8.4,9.6,10.8,12))/100)),15)/15,(Skills!T15*(1+((Inputs!$B$34+1)+(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150">
      <c r="A1150" t="inlineStr">
        <is>
          <t>Global Crit Rate Bonus %</t>
        </is>
      </c>
      <c r="B1150" t="n">
        <v>0</v>
      </c>
    </row>
    <row r="1151">
      <c r="A1151" t="inlineStr">
        <is>
          <t>Attack Speed Buff Bonus %</t>
        </is>
      </c>
      <c r="B1151">
        <f>((C1140=TRUE)*F1140*IF(AND(Inputs!$B$38&lt;&gt;"pvp",Inputs!$B$43&gt;0),(((R1140-1)*(Skills!T19*(1+((Inputs!$B$34+1)+(ArtifactsInput!$M$7-ArtifactsInput!$M$7)*CHOOSE(ArtifactsInput!$N$7+1,6,7.2,8.4,9.6,10.8,12))/100))+MIN((Skills!T19*(1+((Inputs!$B$34+1)+(ArtifactsInput!$M$7-ArtifactsInput!$M$7)*CHOOSE(ArtifactsInput!$N$7+1,6,7.2,8.4,9.6,10.8,12))/100)),MAX(0,Inputs!$B$43-((R1140-1)*Skills!D19))))/Inputs!$B$43),IF(Inputs!$B$38="pvp",MIN((Skills!T19*(1+((Inputs!$B$34+1)+(ArtifactsInput!$M$7-ArtifactsInput!$M$7)*CHOOSE(ArtifactsInput!$N$7+1,6,7.2,8.4,9.6,10.8,12))/100)),15)/15,(Skills!T19*(1+((Inputs!$B$34+1)+(ArtifactsInput!$M$7-ArtifactsInput!$M$7)*CHOOSE(ArtifactsInput!$N$7+1,6,7.2,8.4,9.6,10.8,12))/100))/Skills!D19)))</f>
        <v/>
      </c>
    </row>
    <row r="1152">
      <c r="A1152" t="inlineStr">
        <is>
          <t>Actions Per Second</t>
        </is>
      </c>
      <c r="B1152">
        <f>1+MIN(150,150*(1-(1-(Inputs!$B$11+((C1141=TRUE)*(F1141-Calc!F20)))/150)*(1-B1151/150)))/100</f>
        <v/>
      </c>
    </row>
    <row r="1153">
      <c r="A1153" t="inlineStr">
        <is>
          <t>Skill + Buff Cast Rate</t>
        </is>
      </c>
      <c r="B1153">
        <f>IF(AND(Inputs!$B$38&lt;&gt;"pvp",Inputs!$B$43&gt;0),SUMPRODUCT((Skills!E2:E26=TRUE)*(C1123:C1147=TRUE)*R1123:R1147*Skills!F2:F26)/Inputs!$B$43,SUMPRODUCT((Skills!E2:E26=TRUE)*(C1123:C1147=TRUE)*Q1123:Q1147*Skills!F2:F26))</f>
        <v/>
      </c>
    </row>
    <row r="1154">
      <c r="A1154" t="inlineStr">
        <is>
          <t>Raging Blow Casts Per Second</t>
        </is>
      </c>
      <c r="B1154">
        <f>MAX(0,B1152-B1153)</f>
        <v/>
      </c>
    </row>
    <row r="1155">
      <c r="A1155" t="inlineStr">
        <is>
          <t>Global Critical Damage Bonus % (Enrage)</t>
        </is>
      </c>
      <c r="B1155">
        <f>((C1139=TRUE)*F1139*IF(AND(Inputs!$B$38&lt;&gt;"pvp",Inputs!$B$43&gt;0),(((R1139-1)*(Skills!T18*(1+((Inputs!$B$34+1)+(ArtifactsInput!$M$7-ArtifactsInput!$M$7)*CHOOSE(ArtifactsInput!$N$7+1,6,7.2,8.4,9.6,10.8,12))/100))+MIN((Skills!T18*(1+((Inputs!$B$34+1)+(ArtifactsInput!$M$7-ArtifactsInput!$M$7)*CHOOSE(ArtifactsInput!$N$7+1,6,7.2,8.4,9.6,10.8,12))/100)),MAX(0,Inputs!$B$43-((R1139-1)*Skills!D18))))/Inputs!$B$43),IF(Inputs!$B$38="pvp",MIN((Skills!T18*(1+((Inputs!$B$34+1)+(ArtifactsInput!$M$7-ArtifactsInput!$M$7)*CHOOSE(ArtifactsInput!$N$7+1,6,7.2,8.4,9.6,10.8,12))/100)),15)/15,(Skills!T18*(1+((Inputs!$B$34+1)+(ArtifactsInput!$M$7-ArtifactsInput!$M$7)*CHOOSE(ArtifactsInput!$N$7+1,6,7.2,8.4,9.6,10.8,12))/100))/Skills!D18)))</f>
        <v/>
      </c>
    </row>
    <row r="1156">
      <c r="A1156" t="inlineStr">
        <is>
          <t>Global Final Damage Bonus % (Enrage + Combo Synergy)</t>
        </is>
      </c>
      <c r="B1156">
        <f>((C1138=TRUE)*F1138*IF(AND(Inputs!$B$38&lt;&gt;"pvp",Inputs!$B$43&gt;0),(((R1138-1)*(Skills!T17*(1+((Inputs!$B$34+1)+(ArtifactsInput!$M$7-ArtifactsInput!$M$7)*CHOOSE(ArtifactsInput!$N$7+1,6,7.2,8.4,9.6,10.8,12))/100))+MIN((Skills!T17*(1+((Inputs!$B$34+1)+(ArtifactsInput!$M$7-ArtifactsInput!$M$7)*CHOOSE(ArtifactsInput!$N$7+1,6,7.2,8.4,9.6,10.8,12))/100)),MAX(0,Inputs!$B$43-((R1138-1)*Skills!D17))))/Inputs!$B$43),IF(Inputs!$B$38="pvp",MIN((Skills!T17*(1+((Inputs!$B$34+1)+(ArtifactsInput!$M$7-ArtifactsInput!$M$7)*CHOOSE(ArtifactsInput!$N$7+1,6,7.2,8.4,9.6,10.8,12))/100)),15)/15,(Skills!T17*(1+((Inputs!$B$34+1)+(ArtifactsInput!$M$7-ArtifactsInput!$M$7)*CHOOSE(ArtifactsInput!$N$7+1,6,7.2,8.4,9.6,10.8,12))/100))/Skills!D17)))+((C1135=TRUE)*F1135*IF(Inputs!$B$3&gt;=110,7,5))</f>
        <v/>
      </c>
    </row>
    <row r="1157">
      <c r="A1157" t="inlineStr">
        <is>
          <t>Buff-Casting Startup Delay (s, fixed-duration only)</t>
        </is>
      </c>
      <c r="B1157">
        <f>IF(AND(Inputs!$B$38&lt;&gt;"pvp",Inputs!$B$43&gt;0),SUMPRODUCT((Skills!T2:T26&gt;0)*(Skills!E2:E26=TRUE)*(C1123:C1147=TRUE))/B1152,0)</f>
        <v/>
      </c>
    </row>
    <row r="1158">
      <c r="A1158" t="inlineStr">
        <is>
          <t>Boss-Only Total DPS (this block's swept value)</t>
        </is>
      </c>
      <c r="B1158">
        <f>SUM(T1123:T1147)</f>
        <v/>
      </c>
    </row>
    <row r="1159">
      <c r="A1159" t="inlineStr">
        <is>
          <t>Normal-Only Total DPS (this block's swept value)</t>
        </is>
      </c>
      <c r="B1159">
        <f>SUM(V1123:V1147)</f>
        <v/>
      </c>
    </row>
    <row r="1160">
      <c r="A1160" s="6" t="inlineStr">
        <is>
          <t>TOTAL DPS</t>
        </is>
      </c>
      <c r="B1160" s="6">
        <f>SUM(O1123:O1147)</f>
        <v/>
      </c>
    </row>
    <row r="1163">
      <c r="A1163" s="6" t="inlineStr">
        <is>
          <t>Stat: Charm of the Undead (Equip)</t>
        </is>
      </c>
    </row>
    <row r="1164">
      <c r="A1164" s="5" t="inlineStr">
        <is>
          <t>Key</t>
        </is>
      </c>
      <c r="B1164" s="5" t="inlineStr">
        <is>
          <t>Name</t>
        </is>
      </c>
      <c r="C1164" s="5" t="inlineStr">
        <is>
          <t>Unlocked</t>
        </is>
      </c>
      <c r="D1164" s="5" t="inlineStr">
        <is>
          <t>InputLevel</t>
        </is>
      </c>
      <c r="E1164" s="5" t="inlineStr">
        <is>
          <t>Factor</t>
        </is>
      </c>
      <c r="F1164" s="5" t="inlineStr">
        <is>
          <t>CoefficientPercent</t>
        </is>
      </c>
      <c r="G1164" s="5" t="inlineStr">
        <is>
          <t>EffectiveHits</t>
        </is>
      </c>
      <c r="H1164" s="5" t="inlineStr">
        <is>
          <t>ProcProbability</t>
        </is>
      </c>
      <c r="I1164" s="5" t="inlineStr">
        <is>
          <t>MapleHeroMultiplier</t>
        </is>
      </c>
      <c r="J1164" s="5" t="inlineStr">
        <is>
          <t>BaseDamage</t>
        </is>
      </c>
      <c r="K1164" s="5" t="inlineStr">
        <is>
          <t>BaseHitDamage</t>
        </is>
      </c>
      <c r="L1164" s="5" t="inlineStr">
        <is>
          <t>NonCritAvg</t>
        </is>
      </c>
      <c r="M1164" s="5" t="inlineStr">
        <is>
          <t>CritAvg</t>
        </is>
      </c>
      <c r="N1164" s="5" t="inlineStr">
        <is>
          <t>ExpectedDamage(perHit)</t>
        </is>
      </c>
      <c r="O1164" s="5" t="inlineStr">
        <is>
          <t>DPS</t>
        </is>
      </c>
      <c r="P1164" s="5" t="inlineStr">
        <is>
          <t>% of Total</t>
        </is>
      </c>
      <c r="Q1164" s="5" t="inlineStr">
        <is>
          <t>InvCooldown</t>
        </is>
      </c>
      <c r="R1164" s="5" t="inlineStr">
        <is>
          <t>CastsInFight</t>
        </is>
      </c>
      <c r="S1164" s="5" t="inlineStr">
        <is>
          <t>HitRate(perSec)</t>
        </is>
      </c>
      <c r="U1164" t="inlineStr">
        <is>
          <t>helpers</t>
        </is>
      </c>
    </row>
    <row r="1165">
      <c r="A1165">
        <f>Skills!A2</f>
        <v/>
      </c>
      <c r="B1165">
        <f>Skills!B2</f>
        <v/>
      </c>
      <c r="C1165">
        <f>Inputs!$B$3&gt;=100</f>
        <v/>
      </c>
      <c r="D1165" t="inlineStr"/>
      <c r="E1165" t="inlineStr"/>
      <c r="F1165">
        <f>U1167+Skills!O2</f>
        <v/>
      </c>
      <c r="G1165">
        <f>Skills!G2*IF(Skills!H2&gt;0,Skills!I2/Skills!H2,1)</f>
        <v/>
      </c>
      <c r="H1165">
        <f>1-(1-Skills!J2/100)^Skills!K2</f>
        <v/>
      </c>
      <c r="I1165" t="inlineStr">
        <is>
          <t>1</t>
        </is>
      </c>
      <c r="J1165">
        <f>((Inputs!$B$6*(1+Inputs!$B$7/100))+(((Inputs!$B$12*(1+Inputs!$B$13/100))-(Inputs!$B$12*(1+Inputs!$B$13/100)))+0.25*(Inputs!$B$14-Inputs!$B$14))*(1+Inputs!$B$7/100))*(F1165/100)</f>
        <v/>
      </c>
      <c r="K1165">
        <f>J1165*(1+((Inputs!$B$12*(1+Inputs!$B$13/100))*0.01+Inputs!$B$14*0.0025)/100)*(1+Inputs!$B$15/100)*(1+Inputs!$B$16/100)*(5000/(6000+Inputs!$B$42*(1-(100*(1-(1-(Inputs!$B$19+0)/100)*(1-CHOOSE(ArtifactsInput!$N$40+1,5,6,7,8,9,10)/100)^(ArtifactsInput!$M$40-ArtifactsInput!$M$40)))/100)))*(1+(Inputs!$B$24+((C1188=TRUE)*(F1188-Calc!F25))+B1198)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1184=TRUE)*(F1184-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1186=TRUE)*(F1186-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1176=TRUE)*F1176*IF(Inputs!$B$3&gt;=110,7,5))+((C1178=TRUE)*F1178*IF(AND(Inputs!$B$38&lt;&gt;"pvp",Inputs!$B$43&gt;0),(((R1178-1)*(Skills!T15*(1+(Inputs!$B$34+(ArtifactsInput!$M$7-ArtifactsInput!$M$7)*CHOOSE(ArtifactsInput!$N$7+1,6,7.2,8.4,9.6,10.8,12))/100))+MIN((Skills!T15*(1+(Inputs!$B$34+(ArtifactsInput!$M$7-ArtifactsInput!$M$7)*CHOOSE(ArtifactsInput!$N$7+1,6,7.2,8.4,9.6,10.8,12))/100)),MAX(0,Inputs!$B$43-((R1178-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Hunt"),CHOOSE(ArtifactsInput!$N$35+1,15,18,21,24,27,30)*(1-EXP(-(0.2*B1194)*5)),0)+IF(AND(ArtifactsInput!$M$22,Inputs!$B$4&lt;&gt;"Chapter Hunt"),CHOOSE(ArtifactsInput!$N$22+1,10,12,14,16,18,20)*((0*(((0.15*B1194*5))^0/1)+1*(((0.15*B1194*5))^1/1)+2*(((0.15*B1194*5))^2/2)+3*(((0.15*B1194*5))^3/6)+4*(((0.15*B1194*5))^4/24)+5*(((0.15*B1194*5))^5/120))/((((0.15*B1194*5))^0/1)+(((0.15*B1194*5))^1/1)+(((0.15*B1194*5))^2/2)+(((0.15*B1194*5))^3/6)+(((0.15*B1194*5))^4/24)+(((0.15*B1194*5))^5/120))),0)))/100)*I1165)</f>
        <v/>
      </c>
      <c r="L1165">
        <f>K1165*(MIN(Inputs!$B$22+((C1185=TRUE)*(F1185-Calc!F22)),(Inputs!$B$23+((C1187=TRUE)*(F1187-Calc!F24))+(IF(ArtifactsInput!$M$15,CHOOSE(ArtifactsInput!$N$15+1,25,30,35,40,45,50)/100*(Inputs!$B$11-Inputs!$B$11),0))))/100+(Inputs!$B$23+((C1187=TRUE)*(F1187-Calc!F24))+(IF(ArtifactsInput!$M$15,CHOOSE(ArtifactsInput!$N$15+1,25,30,35,40,45,50)/100*(Inputs!$B$11-Inputs!$B$11),0)))/100)/2</f>
        <v/>
      </c>
      <c r="M1165">
        <f>L1165*(1+(Inputs!$B$10+0+B1197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5">
        <f>L1165*(1-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1165*(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5">
        <f>(1-Summary!$B$11)*T1165+Summary!$B$11*V1165</f>
        <v/>
      </c>
      <c r="P1165">
        <f>IF(B1202=0,0,O1165/B1202)</f>
        <v/>
      </c>
      <c r="Q1165" t="n">
        <v>0</v>
      </c>
      <c r="R1165" t="n">
        <v>0</v>
      </c>
      <c r="S1165">
        <f>IFERROR(O1165/N1165,0)</f>
        <v/>
      </c>
      <c r="T1165">
        <f>IF(C1165,(Skills!G2*N1165*B1196)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1165*(1-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1165*(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1165*(1-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1165*(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65">
        <f>MAX(0,(Inputs!$B$3-100)*3)+Inputs!$B$28+Inputs!$B$29</f>
        <v/>
      </c>
      <c r="V1165">
        <f>IF(C1165,(Skills!G2*N1165*B1196)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6">
      <c r="A1166">
        <f>Skills!A3</f>
        <v/>
      </c>
      <c r="B1166">
        <f>Skills!B3</f>
        <v/>
      </c>
      <c r="C1166">
        <f>Inputs!$B$3&gt;=50</f>
        <v/>
      </c>
      <c r="D1166">
        <f>IF(Skills!C3=1,60+Inputs!$B$25+Inputs!$B$29,IF(Skills!C3=2,90+Inputs!$B$26+Inputs!$B$29,IF(Skills!C3=3,120+Inputs!$B$27+Inputs!$B$29,MAX(0,(Inputs!$B$3-100)*3)+Inputs!$B$28+Inputs!$B$29)))</f>
        <v/>
      </c>
      <c r="E1166">
        <f>INDEX(FactorTable!$B$2:$Y$301, MATCH(ROUND(MIN(300,MAX(1,D1166)),0), FactorTable!$A$2:$A$301,0), Skills!M3+1)</f>
        <v/>
      </c>
      <c r="F1166">
        <f>IF(Skills!N3=TRUE,(Skills!L3/10)*(E1166/1000),Skills!L3/10)+Skills!O3</f>
        <v/>
      </c>
      <c r="G1166" t="inlineStr"/>
      <c r="H1166" t="inlineStr"/>
      <c r="I1166" t="inlineStr">
        <is>
          <t>1</t>
        </is>
      </c>
      <c r="J1166" t="inlineStr"/>
      <c r="K1166" t="inlineStr"/>
      <c r="L1166" t="inlineStr"/>
      <c r="M1166" t="inlineStr"/>
      <c r="N1166" t="inlineStr"/>
      <c r="O1166" t="inlineStr"/>
      <c r="P1166" t="inlineStr"/>
      <c r="Q1166" t="inlineStr"/>
      <c r="R1166" t="inlineStr"/>
      <c r="S1166" t="inlineStr"/>
      <c r="U1166">
        <f>INDEX(FactorTable!$B$2:$Y$301, MATCH(ROUND(MIN(300,MAX(1,U1165)),0), FactorTable!$A$2:$A$301,0), 22)</f>
        <v/>
      </c>
    </row>
    <row r="1167">
      <c r="A1167">
        <f>Skills!A4</f>
        <v/>
      </c>
      <c r="B1167">
        <f>Skills!B4</f>
        <v/>
      </c>
      <c r="C1167">
        <f>Inputs!$B$3&gt;=105</f>
        <v/>
      </c>
      <c r="D1167">
        <f>IF(Skills!C4=1,60+Inputs!$B$25+Inputs!$B$29,IF(Skills!C4=2,90+Inputs!$B$26+Inputs!$B$29,IF(Skills!C4=3,120+Inputs!$B$27+Inputs!$B$29,MAX(0,(Inputs!$B$3-100)*3)+Inputs!$B$28+Inputs!$B$29)))</f>
        <v/>
      </c>
      <c r="E1167">
        <f>INDEX(FactorTable!$B$2:$Y$301, MATCH(ROUND(MIN(300,MAX(1,D1167)),0), FactorTable!$A$2:$A$301,0), Skills!M4+1)</f>
        <v/>
      </c>
      <c r="F1167">
        <f>IF(Skills!N4=TRUE,(Skills!L4/10)*(E1167/1000),Skills!L4/10)+Skills!O4</f>
        <v/>
      </c>
      <c r="G1167" t="inlineStr"/>
      <c r="H1167" t="inlineStr"/>
      <c r="I1167" t="inlineStr">
        <is>
          <t>1</t>
        </is>
      </c>
      <c r="J1167" t="inlineStr"/>
      <c r="K1167" t="inlineStr"/>
      <c r="L1167" t="inlineStr"/>
      <c r="M1167" t="inlineStr"/>
      <c r="N1167" t="inlineStr"/>
      <c r="O1167" t="inlineStr"/>
      <c r="P1167" t="inlineStr"/>
      <c r="Q1167" t="inlineStr"/>
      <c r="R1167" t="inlineStr"/>
      <c r="S1167" t="inlineStr"/>
      <c r="U1167">
        <f>290*U1166/1000</f>
        <v/>
      </c>
    </row>
    <row r="1168">
      <c r="A1168">
        <f>Skills!A5</f>
        <v/>
      </c>
      <c r="B1168">
        <f>Skills!B5</f>
        <v/>
      </c>
      <c r="C1168">
        <f>Inputs!$B$3&gt;=103</f>
        <v/>
      </c>
      <c r="D1168">
        <f>IF(Skills!C5=1,60+Inputs!$B$25+Inputs!$B$29,IF(Skills!C5=2,90+Inputs!$B$26+Inputs!$B$29,IF(Skills!C5=3,120+Inputs!$B$27+Inputs!$B$29,MAX(0,(Inputs!$B$3-100)*3)+Inputs!$B$28+Inputs!$B$29)))</f>
        <v/>
      </c>
      <c r="E1168">
        <f>INDEX(FactorTable!$B$2:$Y$301, MATCH(ROUND(MIN(300,MAX(1,D1168)),0), FactorTable!$A$2:$A$301,0), Skills!M5+1)</f>
        <v/>
      </c>
      <c r="F1168">
        <f>IF(Skills!N5=TRUE,(Skills!L5/10)*(E1168/1000),Skills!L5/10)+Skills!O5</f>
        <v/>
      </c>
      <c r="G1168">
        <f>Skills!G5*IF(Skills!H5&gt;0,Skills!I5/Skills!H5,1)</f>
        <v/>
      </c>
      <c r="H1168">
        <f>1-(1-Skills!J5/100)^Skills!K5</f>
        <v/>
      </c>
      <c r="I1168" t="inlineStr">
        <is>
          <t>1</t>
        </is>
      </c>
      <c r="J1168">
        <f>((Inputs!$B$6*(1+Inputs!$B$7/100))+(((Inputs!$B$12*(1+Inputs!$B$13/100))-(Inputs!$B$12*(1+Inputs!$B$13/100)))+0.25*(Inputs!$B$14-Inputs!$B$14))*(1+Inputs!$B$7/100))*(F1168/100)</f>
        <v/>
      </c>
      <c r="K1168">
        <f>J1168*(1+((Inputs!$B$12*(1+Inputs!$B$13/100))*0.01+Inputs!$B$14*0.0025)/100)*(1+Inputs!$B$15/100)*(1+Inputs!$B$16/100)*(5000/(6000+Inputs!$B$42*(1-(100*(1-(1-(Inputs!$B$19+0)/100)*(1-CHOOSE(ArtifactsInput!$N$40+1,5,6,7,8,9,10)/100)^(ArtifactsInput!$M$40-ArtifactsInput!$M$40)))/100)))*(1+(Inputs!$B$24+((C1188=TRUE)*(F1188-Calc!F25))+B1198)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1184=TRUE)*(F1184-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1186=TRUE)*(F1186-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1176=TRUE)*F1176*IF(Inputs!$B$3&gt;=110,7,5))+((C1178=TRUE)*F1178*IF(AND(Inputs!$B$38&lt;&gt;"pvp",Inputs!$B$43&gt;0),(((R1178-1)*(Skills!T15*(1+(Inputs!$B$34+(ArtifactsInput!$M$7-ArtifactsInput!$M$7)*CHOOSE(ArtifactsInput!$N$7+1,6,7.2,8.4,9.6,10.8,12))/100))+MIN((Skills!T15*(1+(Inputs!$B$34+(ArtifactsInput!$M$7-ArtifactsInput!$M$7)*CHOOSE(ArtifactsInput!$N$7+1,6,7.2,8.4,9.6,10.8,12))/100)),MAX(0,Inputs!$B$43-((R1178-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Hunt"),CHOOSE(ArtifactsInput!$N$35+1,15,18,21,24,27,30)*(1-EXP(-(0.2*B1194)*5)),0)+IF(AND(ArtifactsInput!$M$22,Inputs!$B$4&lt;&gt;"Chapter Hunt"),CHOOSE(ArtifactsInput!$N$22+1,10,12,14,16,18,20)*((0*(((0.15*B1194*5))^0/1)+1*(((0.15*B1194*5))^1/1)+2*(((0.15*B1194*5))^2/2)+3*(((0.15*B1194*5))^3/6)+4*(((0.15*B1194*5))^4/24)+5*(((0.15*B1194*5))^5/120))/((((0.15*B1194*5))^0/1)+(((0.15*B1194*5))^1/1)+(((0.15*B1194*5))^2/2)+(((0.15*B1194*5))^3/6)+(((0.15*B1194*5))^4/24)+(((0.15*B1194*5))^5/120))),0)))/100)*I1168)</f>
        <v/>
      </c>
      <c r="L1168">
        <f>K1168*(MIN(Inputs!$B$22+((C1185=TRUE)*(F1185-Calc!F22)),(Inputs!$B$23+((C1187=TRUE)*(F1187-Calc!F24))+(IF(ArtifactsInput!$M$15,CHOOSE(ArtifactsInput!$N$15+1,25,30,35,40,45,50)/100*(Inputs!$B$11-Inputs!$B$11),0))))/100+(Inputs!$B$23+((C1187=TRUE)*(F1187-Calc!F24))+(IF(ArtifactsInput!$M$15,CHOOSE(ArtifactsInput!$N$15+1,25,30,35,40,45,50)/100*(Inputs!$B$11-Inputs!$B$11),0)))/100)/2</f>
        <v/>
      </c>
      <c r="M1168">
        <f>L1168*(1+(Inputs!$B$10+0+B1197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8">
        <f>L1168*(1-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1168*(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8">
        <f>(1-Summary!$B$11)*T1168+Summary!$B$11*V1168</f>
        <v/>
      </c>
      <c r="P1168">
        <f>IF(B1202=0,0,O1168/B1202)</f>
        <v/>
      </c>
      <c r="Q1168">
        <f>IFERROR(1/(IF(Inputs!$B$38="pvp",15,MAX(0.1,Skills!D5-IF(Skills!E5=TRUE,Inputs!$B$32,0)))*(1-IF(AND(ArtifactsInput!$M$27,Inputs!$B$4="Chapter Hunt"),CHOOSE(ArtifactsInput!$N$27+1,20,24,28,32,36,40),0)/100)),0)</f>
        <v/>
      </c>
      <c r="R1168">
        <f>IF(AND(Inputs!$B$38&lt;&gt;"pvp",Inputs!$B$43&gt;0),IF(MAX(0,Inputs!$B$43-B1199)&lt;=0,0,(INT(MAX(0,Inputs!$B$43-B1199)/(IF(Inputs!$B$38="pvp",15,MAX(0.1,Skills!D5-IF(Skills!E5=TRUE,Inputs!$B$32,0)))*(1-IF(AND(ArtifactsInput!$M$27,Inputs!$B$4="Chapter Hunt"),CHOOSE(ArtifactsInput!$N$27+1,20,24,28,32,36,40),0)/100)))+1)),0)</f>
        <v/>
      </c>
      <c r="S1168">
        <f>IFERROR(O1168/N1168,0)</f>
        <v/>
      </c>
      <c r="T1168">
        <f>IF(C1168,(H1168*N1168*IF(AND(Inputs!$B$38&lt;&gt;"pvp",Inputs!$B$43&gt;0),((Skills!G5*((R1168-1)*IF(Skills!H5&gt;0,Skills!I5/Skills!H5,1)+IF(Skills!H5&gt;0,MIN(Skills!I5,MAX(0,MAX(0,Inputs!$B$43-B1199)-((R1168-1)*(IF(Inputs!$B$38="pvp",15,MAX(0.1,Skills!D5-IF(Skills!E5=TRUE,Inputs!$B$32,0)))*(1-IF(AND(ArtifactsInput!$M$27,Inputs!$B$4="Chapter Hunt"),CHOOSE(ArtifactsInput!$N$27+1,20,24,28,32,36,40),0)/100)))))/Skills!H5,1)))/Inputs!$B$43),G1168*Q1168)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1168*(1-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1168*(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1168*(1-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1168*(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8">
        <f>IF(C1168,(H1168*N1168*IF(AND(Inputs!$B$38&lt;&gt;"pvp",Inputs!$B$43&gt;0),((Skills!G5*((R1168-1)*IF(Skills!H5&gt;0,Skills!I5/Skills!H5,1)+IF(Skills!H5&gt;0,MIN(Skills!I5,MAX(0,MAX(0,Inputs!$B$43-B1199)-((R1168-1)*(IF(Inputs!$B$38="pvp",15,MAX(0.1,Skills!D5-IF(Skills!E5=TRUE,Inputs!$B$32,0)))*(1-IF(AND(ArtifactsInput!$M$27,Inputs!$B$4="Chapter Hunt"),CHOOSE(ArtifactsInput!$N$27+1,20,24,28,32,36,40),0)/100)))))/Skills!H5,1)))/Inputs!$B$43),G1168*Q1168)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9">
      <c r="A1169">
        <f>Skills!A6</f>
        <v/>
      </c>
      <c r="B1169">
        <f>Skills!B6</f>
        <v/>
      </c>
      <c r="C1169">
        <f>Inputs!$B$3&gt;=103</f>
        <v/>
      </c>
      <c r="D1169">
        <f>IF(Skills!C6=1,60+Inputs!$B$25+Inputs!$B$29,IF(Skills!C6=2,90+Inputs!$B$26+Inputs!$B$29,IF(Skills!C6=3,120+Inputs!$B$27+Inputs!$B$29,MAX(0,(Inputs!$B$3-100)*3)+Inputs!$B$28+Inputs!$B$29)))</f>
        <v/>
      </c>
      <c r="E1169">
        <f>INDEX(FactorTable!$B$2:$Y$301, MATCH(ROUND(MIN(300,MAX(1,D1169)),0), FactorTable!$A$2:$A$301,0), Skills!M6+1)</f>
        <v/>
      </c>
      <c r="F1169">
        <f>IF(Skills!N6=TRUE,(Skills!L6/10)*(E1169/1000),Skills!L6/10)+Skills!O6</f>
        <v/>
      </c>
      <c r="G1169">
        <f>Skills!G6*IF(Skills!H6&gt;0,Skills!I6/Skills!H6,1)</f>
        <v/>
      </c>
      <c r="H1169">
        <f>1-(1-Skills!J6/100)^Skills!K6</f>
        <v/>
      </c>
      <c r="I1169" t="inlineStr">
        <is>
          <t>1</t>
        </is>
      </c>
      <c r="J1169">
        <f>((Inputs!$B$6*(1+Inputs!$B$7/100))+(((Inputs!$B$12*(1+Inputs!$B$13/100))-(Inputs!$B$12*(1+Inputs!$B$13/100)))+0.25*(Inputs!$B$14-Inputs!$B$14))*(1+Inputs!$B$7/100))*(F1169/100)</f>
        <v/>
      </c>
      <c r="K1169">
        <f>J1169*(1+((Inputs!$B$12*(1+Inputs!$B$13/100))*0.01+Inputs!$B$14*0.0025)/100)*(1+Inputs!$B$15/100)*(1+Inputs!$B$16/100)*(5000/(6000+Inputs!$B$42*(1-(100*(1-(1-(Inputs!$B$19+0)/100)*(1-CHOOSE(ArtifactsInput!$N$40+1,5,6,7,8,9,10)/100)^(ArtifactsInput!$M$40-ArtifactsInput!$M$40)))/100)))*(1+(Inputs!$B$24+((C1188=TRUE)*(F1188-Calc!F25))+B1198)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1184=TRUE)*(F1184-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1186=TRUE)*(F1186-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1176=TRUE)*F1176*IF(Inputs!$B$3&gt;=110,7,5))+((C1178=TRUE)*F1178*IF(AND(Inputs!$B$38&lt;&gt;"pvp",Inputs!$B$43&gt;0),(((R1178-1)*(Skills!T15*(1+(Inputs!$B$34+(ArtifactsInput!$M$7-ArtifactsInput!$M$7)*CHOOSE(ArtifactsInput!$N$7+1,6,7.2,8.4,9.6,10.8,12))/100))+MIN((Skills!T15*(1+(Inputs!$B$34+(ArtifactsInput!$M$7-ArtifactsInput!$M$7)*CHOOSE(ArtifactsInput!$N$7+1,6,7.2,8.4,9.6,10.8,12))/100)),MAX(0,Inputs!$B$43-((R1178-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Hunt"),CHOOSE(ArtifactsInput!$N$35+1,15,18,21,24,27,30)*(1-EXP(-(0.2*B1194)*5)),0)+IF(AND(ArtifactsInput!$M$22,Inputs!$B$4&lt;&gt;"Chapter Hunt"),CHOOSE(ArtifactsInput!$N$22+1,10,12,14,16,18,20)*((0*(((0.15*B1194*5))^0/1)+1*(((0.15*B1194*5))^1/1)+2*(((0.15*B1194*5))^2/2)+3*(((0.15*B1194*5))^3/6)+4*(((0.15*B1194*5))^4/24)+5*(((0.15*B1194*5))^5/120))/((((0.15*B1194*5))^0/1)+(((0.15*B1194*5))^1/1)+(((0.15*B1194*5))^2/2)+(((0.15*B1194*5))^3/6)+(((0.15*B1194*5))^4/24)+(((0.15*B1194*5))^5/120))),0)))/100)*I1169)</f>
        <v/>
      </c>
      <c r="L1169">
        <f>K1169*(MIN(Inputs!$B$22+((C1185=TRUE)*(F1185-Calc!F22)),(Inputs!$B$23+((C1187=TRUE)*(F1187-Calc!F24))+(IF(ArtifactsInput!$M$15,CHOOSE(ArtifactsInput!$N$15+1,25,30,35,40,45,50)/100*(Inputs!$B$11-Inputs!$B$11),0))))/100+(Inputs!$B$23+((C1187=TRUE)*(F1187-Calc!F24))+(IF(ArtifactsInput!$M$15,CHOOSE(ArtifactsInput!$N$15+1,25,30,35,40,45,50)/100*(Inputs!$B$11-Inputs!$B$11),0)))/100)/2</f>
        <v/>
      </c>
      <c r="M1169">
        <f>L1169*(1+(Inputs!$B$10+0+B1197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9">
        <f>L1169*(1-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1169*(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9">
        <f>(1-Summary!$B$11)*T1169+Summary!$B$11*V1169</f>
        <v/>
      </c>
      <c r="P1169">
        <f>IF(B1202=0,0,O1169/B1202)</f>
        <v/>
      </c>
      <c r="Q1169">
        <f>IFERROR(1/(IF(Inputs!$B$38="pvp",15,MAX(0.1,Skills!D6-IF(Skills!E6=TRUE,Inputs!$B$32,0)))*(1-IF(AND(ArtifactsInput!$M$27,Inputs!$B$4="Chapter Hunt"),CHOOSE(ArtifactsInput!$N$27+1,20,24,28,32,36,40),0)/100)),0)</f>
        <v/>
      </c>
      <c r="R1169">
        <f>IF(AND(Inputs!$B$38&lt;&gt;"pvp",Inputs!$B$43&gt;0),IF(MAX(0,Inputs!$B$43-B1199)&lt;=0,0,(INT(MAX(0,Inputs!$B$43-B1199)/(IF(Inputs!$B$38="pvp",15,MAX(0.1,Skills!D6-IF(Skills!E6=TRUE,Inputs!$B$32,0)))*(1-IF(AND(ArtifactsInput!$M$27,Inputs!$B$4="Chapter Hunt"),CHOOSE(ArtifactsInput!$N$27+1,20,24,28,32,36,40),0)/100)))+1)),0)</f>
        <v/>
      </c>
      <c r="S1169">
        <f>IFERROR(O1169/N1169,0)</f>
        <v/>
      </c>
      <c r="T1169">
        <f>IF(C1169,(H1169*N1169*IF(AND(Inputs!$B$38&lt;&gt;"pvp",Inputs!$B$43&gt;0),((Skills!G6*((R1169-1)*IF(Skills!H6&gt;0,Skills!I6/Skills!H6,1)+IF(Skills!H6&gt;0,MIN(Skills!I6,MAX(0,MAX(0,Inputs!$B$43-B1199)-((R1169-1)*(IF(Inputs!$B$38="pvp",15,MAX(0.1,Skills!D6-IF(Skills!E6=TRUE,Inputs!$B$32,0)))*(1-IF(AND(ArtifactsInput!$M$27,Inputs!$B$4="Chapter Hunt"),CHOOSE(ArtifactsInput!$N$27+1,20,24,28,32,36,40),0)/100)))))/Skills!H6,1)))/Inputs!$B$43),G1169*Q1169)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1169*(1-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1169*(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1169*(1-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1169*(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9">
        <f>IF(C1169,(H1169*N1169*IF(AND(Inputs!$B$38&lt;&gt;"pvp",Inputs!$B$43&gt;0),((Skills!G6*((R1169-1)*IF(Skills!H6&gt;0,Skills!I6/Skills!H6,1)+IF(Skills!H6&gt;0,MIN(Skills!I6,MAX(0,MAX(0,Inputs!$B$43-B1199)-((R1169-1)*(IF(Inputs!$B$38="pvp",15,MAX(0.1,Skills!D6-IF(Skills!E6=TRUE,Inputs!$B$32,0)))*(1-IF(AND(ArtifactsInput!$M$27,Inputs!$B$4="Chapter Hunt"),CHOOSE(ArtifactsInput!$N$27+1,20,24,28,32,36,40),0)/100)))))/Skills!H6,1)))/Inputs!$B$43),G1169*Q1169)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0">
      <c r="A1170">
        <f>Skills!A7</f>
        <v/>
      </c>
      <c r="B1170">
        <f>Skills!B7</f>
        <v/>
      </c>
      <c r="C1170">
        <f>Inputs!$B$3&gt;=107</f>
        <v/>
      </c>
      <c r="D1170">
        <f>IF(Skills!C7=1,60+Inputs!$B$25+Inputs!$B$29,IF(Skills!C7=2,90+Inputs!$B$26+Inputs!$B$29,IF(Skills!C7=3,120+Inputs!$B$27+Inputs!$B$29,MAX(0,(Inputs!$B$3-100)*3)+Inputs!$B$28+Inputs!$B$29)))</f>
        <v/>
      </c>
      <c r="E1170">
        <f>INDEX(FactorTable!$B$2:$Y$301, MATCH(ROUND(MIN(300,MAX(1,D1170)),0), FactorTable!$A$2:$A$301,0), Skills!M7+1)</f>
        <v/>
      </c>
      <c r="F1170">
        <f>IF(Skills!N7=TRUE,(Skills!L7/10)*(E1170/1000),Skills!L7/10)+Skills!O7</f>
        <v/>
      </c>
      <c r="G1170">
        <f>Skills!G7*IF(Skills!H7&gt;0,Skills!I7/Skills!H7,1)</f>
        <v/>
      </c>
      <c r="H1170">
        <f>1-(1-Skills!J7/100)^Skills!K7</f>
        <v/>
      </c>
      <c r="I1170" t="inlineStr">
        <is>
          <t>1</t>
        </is>
      </c>
      <c r="J1170">
        <f>((Inputs!$B$6*(1+Inputs!$B$7/100))+(((Inputs!$B$12*(1+Inputs!$B$13/100))-(Inputs!$B$12*(1+Inputs!$B$13/100)))+0.25*(Inputs!$B$14-Inputs!$B$14))*(1+Inputs!$B$7/100))*(F1170/100)</f>
        <v/>
      </c>
      <c r="K1170">
        <f>J1170*(1+((Inputs!$B$12*(1+Inputs!$B$13/100))*0.01+Inputs!$B$14*0.0025)/100)*(1+Inputs!$B$15/100)*(1+Inputs!$B$16/100)*(5000/(6000+Inputs!$B$42*(1-(100*(1-(1-(Inputs!$B$19+0)/100)*(1-CHOOSE(ArtifactsInput!$N$40+1,5,6,7,8,9,10)/100)^(ArtifactsInput!$M$40-ArtifactsInput!$M$40)))/100)))*(1+(Inputs!$B$24+((C1188=TRUE)*(F1188-Calc!F25))+B1198)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1184=TRUE)*(F1184-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1186=TRUE)*(F1186-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1176=TRUE)*F1176*IF(Inputs!$B$3&gt;=110,7,5))+((C1178=TRUE)*F1178*IF(AND(Inputs!$B$38&lt;&gt;"pvp",Inputs!$B$43&gt;0),(((R1178-1)*(Skills!T15*(1+(Inputs!$B$34+(ArtifactsInput!$M$7-ArtifactsInput!$M$7)*CHOOSE(ArtifactsInput!$N$7+1,6,7.2,8.4,9.6,10.8,12))/100))+MIN((Skills!T15*(1+(Inputs!$B$34+(ArtifactsInput!$M$7-ArtifactsInput!$M$7)*CHOOSE(ArtifactsInput!$N$7+1,6,7.2,8.4,9.6,10.8,12))/100)),MAX(0,Inputs!$B$43-((R1178-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Hunt"),CHOOSE(ArtifactsInput!$N$35+1,15,18,21,24,27,30)*(1-EXP(-(0.2*B1194)*5)),0)+IF(AND(ArtifactsInput!$M$22,Inputs!$B$4&lt;&gt;"Chapter Hunt"),CHOOSE(ArtifactsInput!$N$22+1,10,12,14,16,18,20)*((0*(((0.15*B1194*5))^0/1)+1*(((0.15*B1194*5))^1/1)+2*(((0.15*B1194*5))^2/2)+3*(((0.15*B1194*5))^3/6)+4*(((0.15*B1194*5))^4/24)+5*(((0.15*B1194*5))^5/120))/((((0.15*B1194*5))^0/1)+(((0.15*B1194*5))^1/1)+(((0.15*B1194*5))^2/2)+(((0.15*B1194*5))^3/6)+(((0.15*B1194*5))^4/24)+(((0.15*B1194*5))^5/120))),0)))/100)*I1170)</f>
        <v/>
      </c>
      <c r="L1170">
        <f>K1170*(MIN(Inputs!$B$22+((C1185=TRUE)*(F1185-Calc!F22)),(Inputs!$B$23+((C1187=TRUE)*(F1187-Calc!F24))+(IF(ArtifactsInput!$M$15,CHOOSE(ArtifactsInput!$N$15+1,25,30,35,40,45,50)/100*(Inputs!$B$11-Inputs!$B$11),0))))/100+(Inputs!$B$23+((C1187=TRUE)*(F1187-Calc!F24))+(IF(ArtifactsInput!$M$15,CHOOSE(ArtifactsInput!$N$15+1,25,30,35,40,45,50)/100*(Inputs!$B$11-Inputs!$B$11),0)))/100)/2</f>
        <v/>
      </c>
      <c r="M1170">
        <f>L1170*(1+(Inputs!$B$10+0+B1197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0">
        <f>L1170*(1-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1170*(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0">
        <f>(1-Summary!$B$11)*T1170+Summary!$B$11*V1170</f>
        <v/>
      </c>
      <c r="P1170">
        <f>IF(B1202=0,0,O1170/B1202)</f>
        <v/>
      </c>
      <c r="Q1170">
        <f>IFERROR(1/(IF(Inputs!$B$38="pvp",15,MAX(0.1,Skills!D7-IF(Skills!E7=TRUE,Inputs!$B$32,0)))*(1-IF(AND(ArtifactsInput!$M$27,Inputs!$B$4="Chapter Hunt"),CHOOSE(ArtifactsInput!$N$27+1,20,24,28,32,36,40),0)/100)),0)</f>
        <v/>
      </c>
      <c r="R1170">
        <f>IF(AND(Inputs!$B$38&lt;&gt;"pvp",Inputs!$B$43&gt;0),IF(MAX(0,Inputs!$B$43-B1199)&lt;=0,0,(INT(MAX(0,Inputs!$B$43-B1199)/(IF(Inputs!$B$38="pvp",15,MAX(0.1,Skills!D7-IF(Skills!E7=TRUE,Inputs!$B$32,0)))*(1-IF(AND(ArtifactsInput!$M$27,Inputs!$B$4="Chapter Hunt"),CHOOSE(ArtifactsInput!$N$27+1,20,24,28,32,36,40),0)/100)))+1)),0)</f>
        <v/>
      </c>
      <c r="S1170">
        <f>IFERROR(O1170/N1170,0)</f>
        <v/>
      </c>
      <c r="T1170">
        <f>IF(C1170,(H1170*N1170*IF(AND(Inputs!$B$38&lt;&gt;"pvp",Inputs!$B$43&gt;0),((Skills!G7*((R1170-1)*IF(Skills!H7&gt;0,Skills!I7/Skills!H7,1)+IF(Skills!H7&gt;0,MIN(Skills!I7,MAX(0,MAX(0,Inputs!$B$43-B1199)-((R1170-1)*(IF(Inputs!$B$38="pvp",15,MAX(0.1,Skills!D7-IF(Skills!E7=TRUE,Inputs!$B$32,0)))*(1-IF(AND(ArtifactsInput!$M$27,Inputs!$B$4="Chapter Hunt"),CHOOSE(ArtifactsInput!$N$27+1,20,24,28,32,36,40),0)/100)))))/Skills!H7,1)))/Inputs!$B$43),G1170*Q1170)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1170*(1-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1170*(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1170*(1-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1170*(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70">
        <f>IF(C1170,(H1170*N1170*IF(AND(Inputs!$B$38&lt;&gt;"pvp",Inputs!$B$43&gt;0),((Skills!G7*((R1170-1)*IF(Skills!H7&gt;0,Skills!I7/Skills!H7,1)+IF(Skills!H7&gt;0,MIN(Skills!I7,MAX(0,MAX(0,Inputs!$B$43-B1199)-((R1170-1)*(IF(Inputs!$B$38="pvp",15,MAX(0.1,Skills!D7-IF(Skills!E7=TRUE,Inputs!$B$32,0)))*(1-IF(AND(ArtifactsInput!$M$27,Inputs!$B$4="Chapter Hunt"),CHOOSE(ArtifactsInput!$N$27+1,20,24,28,32,36,40),0)/100)))))/Skills!H7,1)))/Inputs!$B$43),G1170*Q1170)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1">
      <c r="A1171">
        <f>Skills!A8</f>
        <v/>
      </c>
      <c r="B1171">
        <f>Skills!B8</f>
        <v/>
      </c>
      <c r="C1171">
        <f>Inputs!$B$3&gt;=117</f>
        <v/>
      </c>
      <c r="D1171">
        <f>IF(Skills!C8=1,60+Inputs!$B$25+Inputs!$B$29,IF(Skills!C8=2,90+Inputs!$B$26+Inputs!$B$29,IF(Skills!C8=3,120+Inputs!$B$27+Inputs!$B$29,MAX(0,(Inputs!$B$3-100)*3)+Inputs!$B$28+Inputs!$B$29)))</f>
        <v/>
      </c>
      <c r="E1171">
        <f>INDEX(FactorTable!$B$2:$Y$301, MATCH(ROUND(MIN(300,MAX(1,D1171)),0), FactorTable!$A$2:$A$301,0), Skills!M8+1)</f>
        <v/>
      </c>
      <c r="F1171">
        <f>IF(Skills!N8=TRUE,(Skills!L8/10)*(E1171/1000),Skills!L8/10)+Skills!O8</f>
        <v/>
      </c>
      <c r="G1171">
        <f>Skills!G8*IF(Skills!H8&gt;0,Skills!I8/Skills!H8,1)</f>
        <v/>
      </c>
      <c r="H1171">
        <f>1-(1-Skills!J8/100)^Skills!K8</f>
        <v/>
      </c>
      <c r="I1171" t="inlineStr">
        <is>
          <t>1</t>
        </is>
      </c>
      <c r="J1171">
        <f>((Inputs!$B$6*(1+Inputs!$B$7/100))+(((Inputs!$B$12*(1+Inputs!$B$13/100))-(Inputs!$B$12*(1+Inputs!$B$13/100)))+0.25*(Inputs!$B$14-Inputs!$B$14))*(1+Inputs!$B$7/100))*(F1171/100)</f>
        <v/>
      </c>
      <c r="K1171">
        <f>J1171*(1+((Inputs!$B$12*(1+Inputs!$B$13/100))*0.01+Inputs!$B$14*0.0025)/100)*(1+Inputs!$B$15/100)*(1+Inputs!$B$16/100)*(5000/(6000+Inputs!$B$42*(1-(100*(1-(1-(Inputs!$B$19+0)/100)*(1-CHOOSE(ArtifactsInput!$N$40+1,5,6,7,8,9,10)/100)^(ArtifactsInput!$M$40-ArtifactsInput!$M$40)))/100)))*(1+(Inputs!$B$24+((C1188=TRUE)*(F1188-Calc!F25))+B1198)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1184=TRUE)*(F1184-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1186=TRUE)*(F1186-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1176=TRUE)*F1176*IF(Inputs!$B$3&gt;=110,7,5))+((C1178=TRUE)*F1178*IF(AND(Inputs!$B$38&lt;&gt;"pvp",Inputs!$B$43&gt;0),(((R1178-1)*(Skills!T15*(1+(Inputs!$B$34+(ArtifactsInput!$M$7-ArtifactsInput!$M$7)*CHOOSE(ArtifactsInput!$N$7+1,6,7.2,8.4,9.6,10.8,12))/100))+MIN((Skills!T15*(1+(Inputs!$B$34+(ArtifactsInput!$M$7-ArtifactsInput!$M$7)*CHOOSE(ArtifactsInput!$N$7+1,6,7.2,8.4,9.6,10.8,12))/100)),MAX(0,Inputs!$B$43-((R1178-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Hunt"),CHOOSE(ArtifactsInput!$N$35+1,15,18,21,24,27,30)*(1-EXP(-(0.2*B1194)*5)),0)+IF(AND(ArtifactsInput!$M$22,Inputs!$B$4&lt;&gt;"Chapter Hunt"),CHOOSE(ArtifactsInput!$N$22+1,10,12,14,16,18,20)*((0*(((0.15*B1194*5))^0/1)+1*(((0.15*B1194*5))^1/1)+2*(((0.15*B1194*5))^2/2)+3*(((0.15*B1194*5))^3/6)+4*(((0.15*B1194*5))^4/24)+5*(((0.15*B1194*5))^5/120))/((((0.15*B1194*5))^0/1)+(((0.15*B1194*5))^1/1)+(((0.15*B1194*5))^2/2)+(((0.15*B1194*5))^3/6)+(((0.15*B1194*5))^4/24)+(((0.15*B1194*5))^5/120))),0)))/100)*I1171)</f>
        <v/>
      </c>
      <c r="L1171">
        <f>K1171*(MIN(Inputs!$B$22+((C1185=TRUE)*(F1185-Calc!F22)),(Inputs!$B$23+((C1187=TRUE)*(F1187-Calc!F24))+(IF(ArtifactsInput!$M$15,CHOOSE(ArtifactsInput!$N$15+1,25,30,35,40,45,50)/100*(Inputs!$B$11-Inputs!$B$11),0))))/100+(Inputs!$B$23+((C1187=TRUE)*(F1187-Calc!F24))+(IF(ArtifactsInput!$M$15,CHOOSE(ArtifactsInput!$N$15+1,25,30,35,40,45,50)/100*(Inputs!$B$11-Inputs!$B$11),0)))/100)/2</f>
        <v/>
      </c>
      <c r="M1171">
        <f>L1171*(1+(Inputs!$B$10+0+B1197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1">
        <f>L1171*(1-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1171*(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1">
        <f>(1-Summary!$B$11)*T1171+Summary!$B$11*V1171</f>
        <v/>
      </c>
      <c r="P1171">
        <f>IF(B1202=0,0,O1171/B1202)</f>
        <v/>
      </c>
      <c r="Q1171">
        <f>IFERROR(1/(IF(Inputs!$B$38="pvp",15,MAX(0.1,Skills!D8-IF(Skills!E8=TRUE,Inputs!$B$32,0)))*(1-IF(AND(ArtifactsInput!$M$27,Inputs!$B$4="Chapter Hunt"),CHOOSE(ArtifactsInput!$N$27+1,20,24,28,32,36,40),0)/100)),0)</f>
        <v/>
      </c>
      <c r="R1171">
        <f>IF(AND(Inputs!$B$38&lt;&gt;"pvp",Inputs!$B$43&gt;0),IF(MAX(0,Inputs!$B$43-B1199)&lt;=0,0,(INT(MAX(0,Inputs!$B$43-B1199)/(IF(Inputs!$B$38="pvp",15,MAX(0.1,Skills!D8-IF(Skills!E8=TRUE,Inputs!$B$32,0)))*(1-IF(AND(ArtifactsInput!$M$27,Inputs!$B$4="Chapter Hunt"),CHOOSE(ArtifactsInput!$N$27+1,20,24,28,32,36,40),0)/100)))+1)),0)</f>
        <v/>
      </c>
      <c r="S1171">
        <f>IFERROR(O1171/N1171,0)</f>
        <v/>
      </c>
      <c r="T1171">
        <f>IF(C1171,(H1171*N1171*IF(AND(Inputs!$B$38&lt;&gt;"pvp",Inputs!$B$43&gt;0),((Skills!G8*((R1171-1)*IF(Skills!H8&gt;0,Skills!I8/Skills!H8,1)+IF(Skills!H8&gt;0,MIN(Skills!I8,MAX(0,MAX(0,Inputs!$B$43-B1199)-((R1171-1)*(IF(Inputs!$B$38="pvp",15,MAX(0.1,Skills!D8-IF(Skills!E8=TRUE,Inputs!$B$32,0)))*(1-IF(AND(ArtifactsInput!$M$27,Inputs!$B$4="Chapter Hunt"),CHOOSE(ArtifactsInput!$N$27+1,20,24,28,32,36,40),0)/100)))))/Skills!H8,1)))/Inputs!$B$43),G1171*Q1171)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1171*(1-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1171*(1-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71">
        <f>IF(C1171,(H1171*N1171*IF(AND(Inputs!$B$38&lt;&gt;"pvp",Inputs!$B$43&gt;0),((Skills!G8*((R1171-1)*IF(Skills!H8&gt;0,Skills!I8/Skills!H8,1)+IF(Skills!H8&gt;0,MIN(Skills!I8,MAX(0,MAX(0,Inputs!$B$43-B1199)-((R1171-1)*(IF(Inputs!$B$38="pvp",15,MAX(0.1,Skills!D8-IF(Skills!E8=TRUE,Inputs!$B$32,0)))*(1-IF(AND(ArtifactsInput!$M$27,Inputs!$B$4="Chapter Hunt"),CHOOSE(ArtifactsInput!$N$27+1,20,24,28,32,36,40),0)/100)))))/Skills!H8,1)))/Inputs!$B$43),G1171*Q1171)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2">
      <c r="A1172">
        <f>Skills!A9</f>
        <v/>
      </c>
      <c r="B1172">
        <f>Skills!B9</f>
        <v/>
      </c>
      <c r="C1172">
        <f>Inputs!$B$3&gt;=69</f>
        <v/>
      </c>
      <c r="D1172">
        <f>IF(Skills!C9=1,60+Inputs!$B$25+Inputs!$B$29,IF(Skills!C9=2,90+Inputs!$B$26+Inputs!$B$29,IF(Skills!C9=3,120+Inputs!$B$27+Inputs!$B$29,MAX(0,(Inputs!$B$3-100)*3)+Inputs!$B$28+Inputs!$B$29)))</f>
        <v/>
      </c>
      <c r="E1172">
        <f>INDEX(FactorTable!$B$2:$Y$301, MATCH(ROUND(MIN(300,MAX(1,D1172)),0), FactorTable!$A$2:$A$301,0), Skills!M9+1)</f>
        <v/>
      </c>
      <c r="F1172">
        <f>IF(Skills!N9=TRUE,(Skills!L9/10)*(E1172/1000),Skills!L9/10)+Skills!O9</f>
        <v/>
      </c>
      <c r="G1172">
        <f>Skills!G9*IF(Skills!H9&gt;0,Skills!I9/Skills!H9,1)</f>
        <v/>
      </c>
      <c r="H1172">
        <f>1-(1-Skills!J9/100)^Skills!K9</f>
        <v/>
      </c>
      <c r="I1172" t="inlineStr">
        <is>
          <t>1</t>
        </is>
      </c>
      <c r="J1172">
        <f>((Inputs!$B$6*(1+Inputs!$B$7/100))+(((Inputs!$B$12*(1+Inputs!$B$13/100))-(Inputs!$B$12*(1+Inputs!$B$13/100)))+0.25*(Inputs!$B$14-Inputs!$B$14))*(1+Inputs!$B$7/100))*(F1172/100)</f>
        <v/>
      </c>
      <c r="K1172">
        <f>J1172*(1+((Inputs!$B$12*(1+Inputs!$B$13/100))*0.01+Inputs!$B$14*0.0025)/100)*(1+Inputs!$B$15/100)*(1+Inputs!$B$16/100)*(5000/(6000+Inputs!$B$42*(1-(100*(1-(1-(Inputs!$B$19+0)/100)*(1-CHOOSE(ArtifactsInput!$N$40+1,5,6,7,8,9,10)/100)^(ArtifactsInput!$M$40-ArtifactsInput!$M$40)))/100)))*(1+(Inputs!$B$24+((C1188=TRUE)*(F1188-Calc!F25))+B1198)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1175=TRUE,F1175,0)/100)*(1+IF(Skills!A9="ENHANCED_RAGING_BLOW",IF(Inputs!$B$3&gt;=134,MAX(0,IF(Inputs!$B$3&gt;=110,7,5)-5)*50,0),0)/100)*(1+(IF(Skills!A9="RAGING_BLOW",Inputs!$B$17+((C1184=TRUE)*(F1184-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1186=TRUE)*(F1186-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1176=TRUE)*F1176*IF(Inputs!$B$3&gt;=110,7,5))+((C1178=TRUE)*F1178*IF(AND(Inputs!$B$38&lt;&gt;"pvp",Inputs!$B$43&gt;0),(((R1178-1)*(Skills!T15*(1+(Inputs!$B$34+(ArtifactsInput!$M$7-ArtifactsInput!$M$7)*CHOOSE(ArtifactsInput!$N$7+1,6,7.2,8.4,9.6,10.8,12))/100))+MIN((Skills!T15*(1+(Inputs!$B$34+(ArtifactsInput!$M$7-ArtifactsInput!$M$7)*CHOOSE(ArtifactsInput!$N$7+1,6,7.2,8.4,9.6,10.8,12))/100)),MAX(0,Inputs!$B$43-((R1178-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Hunt"),CHOOSE(ArtifactsInput!$N$35+1,15,18,21,24,27,30)*(1-EXP(-(0.2*B1194)*5)),0)+IF(AND(ArtifactsInput!$M$22,Inputs!$B$4&lt;&gt;"Chapter Hunt"),CHOOSE(ArtifactsInput!$N$22+1,10,12,14,16,18,20)*((0*(((0.15*B1194*5))^0/1)+1*(((0.15*B1194*5))^1/1)+2*(((0.15*B1194*5))^2/2)+3*(((0.15*B1194*5))^3/6)+4*(((0.15*B1194*5))^4/24)+5*(((0.15*B1194*5))^5/120))/((((0.15*B1194*5))^0/1)+(((0.15*B1194*5))^1/1)+(((0.15*B1194*5))^2/2)+(((0.15*B1194*5))^3/6)+(((0.15*B1194*5))^4/24)+(((0.15*B1194*5))^5/120))),0)))/100)*I1172)</f>
        <v/>
      </c>
      <c r="L1172">
        <f>K1172*(MIN(Inputs!$B$22+((C1185=TRUE)*(F1185-Calc!F22)),(Inputs!$B$23+((C1187=TRUE)*(F1187-Calc!F24))+(IF(ArtifactsInput!$M$15,CHOOSE(ArtifactsInput!$N$15+1,25,30,35,40,45,50)/100*(Inputs!$B$11-Inputs!$B$11),0))))/100+(Inputs!$B$23+((C1187=TRUE)*(F1187-Calc!F24))+(IF(ArtifactsInput!$M$15,CHOOSE(ArtifactsInput!$N$15+1,25,30,35,40,45,50)/100*(Inputs!$B$11-Inputs!$B$11),0)))/100)/2</f>
        <v/>
      </c>
      <c r="M1172">
        <f>L1172*(1+(Inputs!$B$10+0+B1197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2">
        <f>L1172*(1-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1172*(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2">
        <f>(1-Summary!$B$11)*T1172+Summary!$B$11*V1172</f>
        <v/>
      </c>
      <c r="P1172">
        <f>IF(B1202=0,0,O1172/B1202)</f>
        <v/>
      </c>
      <c r="Q1172">
        <f>IFERROR(1/(IF(Inputs!$B$38="pvp",15,MAX(0.1,Skills!D9-IF(Skills!E9=TRUE,Inputs!$B$32,0)))*(1-IF(AND(ArtifactsInput!$M$27,Inputs!$B$4="Chapter Hunt"),CHOOSE(ArtifactsInput!$N$27+1,20,24,28,32,36,40),0)/100)),0)</f>
        <v/>
      </c>
      <c r="R1172">
        <f>IF(AND(Inputs!$B$38&lt;&gt;"pvp",Inputs!$B$43&gt;0),IF(MAX(0,Inputs!$B$43-B1199)&lt;=0,0,(INT(MAX(0,Inputs!$B$43-B1199)/(IF(Inputs!$B$38="pvp",15,MAX(0.1,Skills!D9-IF(Skills!E9=TRUE,Inputs!$B$32,0)))*(1-IF(AND(ArtifactsInput!$M$27,Inputs!$B$4="Chapter Hunt"),CHOOSE(ArtifactsInput!$N$27+1,20,24,28,32,36,40),0)/100)))+1)),0)</f>
        <v/>
      </c>
      <c r="S1172">
        <f>IFERROR(O1172/N1172,0)</f>
        <v/>
      </c>
      <c r="T1172">
        <f>IF(C1172,(H1172*N1172*IF(AND(Inputs!$B$38&lt;&gt;"pvp",Inputs!$B$43&gt;0),((Skills!G9*((R1172-1)*IF(Skills!H9&gt;0,Skills!I9/Skills!H9,1)+IF(Skills!H9&gt;0,MIN(Skills!I9,MAX(0,MAX(0,Inputs!$B$43-B1199)-((R1172-1)*(IF(Inputs!$B$38="pvp",15,MAX(0.1,Skills!D9-IF(Skills!E9=TRUE,Inputs!$B$32,0)))*(1-IF(AND(ArtifactsInput!$M$27,Inputs!$B$4="Chapter Hunt"),CHOOSE(ArtifactsInput!$N$27+1,20,24,28,32,36,40),0)/100)))))/Skills!H9,1)))/Inputs!$B$43),G1172*Q1172)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1172*(1-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1172*(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1172*(1-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1172*(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72">
        <f>IF(C1172,(H1172*N1172*IF(AND(Inputs!$B$38&lt;&gt;"pvp",Inputs!$B$43&gt;0),((Skills!G9*((R1172-1)*IF(Skills!H9&gt;0,Skills!I9/Skills!H9,1)+IF(Skills!H9&gt;0,MIN(Skills!I9,MAX(0,MAX(0,Inputs!$B$43-B1199)-((R1172-1)*(IF(Inputs!$B$38="pvp",15,MAX(0.1,Skills!D9-IF(Skills!E9=TRUE,Inputs!$B$32,0)))*(1-IF(AND(ArtifactsInput!$M$27,Inputs!$B$4="Chapter Hunt"),CHOOSE(ArtifactsInput!$N$27+1,20,24,28,32,36,40),0)/100)))))/Skills!H9,1)))/Inputs!$B$43),G1172*Q1172)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3">
      <c r="A1173">
        <f>Skills!A10</f>
        <v/>
      </c>
      <c r="B1173">
        <f>Skills!B10</f>
        <v/>
      </c>
      <c r="C1173">
        <f>Inputs!$B$3&gt;=63</f>
        <v/>
      </c>
      <c r="D1173">
        <f>IF(Skills!C10=1,60+Inputs!$B$25+Inputs!$B$29,IF(Skills!C10=2,90+Inputs!$B$26+Inputs!$B$29,IF(Skills!C10=3,120+Inputs!$B$27+Inputs!$B$29,MAX(0,(Inputs!$B$3-100)*3)+Inputs!$B$28+Inputs!$B$29)))</f>
        <v/>
      </c>
      <c r="E1173">
        <f>INDEX(FactorTable!$B$2:$Y$301, MATCH(ROUND(MIN(300,MAX(1,D1173)),0), FactorTable!$A$2:$A$301,0), Skills!M10+1)</f>
        <v/>
      </c>
      <c r="F1173">
        <f>IF(Skills!N10=TRUE,(Skills!L10/10)*(E1173/1000),Skills!L10/10)+Skills!O10</f>
        <v/>
      </c>
      <c r="G1173">
        <f>Skills!G10*IF(Skills!H10&gt;0,Skills!I10/Skills!H10,1)</f>
        <v/>
      </c>
      <c r="H1173">
        <f>1-(1-Skills!J10/100)^Skills!K10</f>
        <v/>
      </c>
      <c r="I1173" t="inlineStr">
        <is>
          <t>1</t>
        </is>
      </c>
      <c r="J1173">
        <f>((Inputs!$B$6*(1+Inputs!$B$7/100))+(((Inputs!$B$12*(1+Inputs!$B$13/100))-(Inputs!$B$12*(1+Inputs!$B$13/100)))+0.25*(Inputs!$B$14-Inputs!$B$14))*(1+Inputs!$B$7/100))*(F1173/100)</f>
        <v/>
      </c>
      <c r="K1173">
        <f>J1173*(1+((Inputs!$B$12*(1+Inputs!$B$13/100))*0.01+Inputs!$B$14*0.0025)/100)*(1+Inputs!$B$15/100)*(1+Inputs!$B$16/100)*(5000/(6000+Inputs!$B$42*(1-(100*(1-(1-(Inputs!$B$19+0)/100)*(1-CHOOSE(ArtifactsInput!$N$40+1,5,6,7,8,9,10)/100)^(ArtifactsInput!$M$40-ArtifactsInput!$M$40)))/100)))*(1+(Inputs!$B$24+((C1188=TRUE)*(F1188-Calc!F25))+B1198)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1175=TRUE,F1175,0)/100)*(1+IF(Skills!A10="ENHANCED_RAGING_BLOW",IF(Inputs!$B$3&gt;=134,MAX(0,IF(Inputs!$B$3&gt;=110,7,5)-5)*50,0),0)/100)*(1+(IF(Skills!A10="RAGING_BLOW",Inputs!$B$17+((C1184=TRUE)*(F1184-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1186=TRUE)*(F1186-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1176=TRUE)*F1176*IF(Inputs!$B$3&gt;=110,7,5))+((C1178=TRUE)*F1178*IF(AND(Inputs!$B$38&lt;&gt;"pvp",Inputs!$B$43&gt;0),(((R1178-1)*(Skills!T15*(1+(Inputs!$B$34+(ArtifactsInput!$M$7-ArtifactsInput!$M$7)*CHOOSE(ArtifactsInput!$N$7+1,6,7.2,8.4,9.6,10.8,12))/100))+MIN((Skills!T15*(1+(Inputs!$B$34+(ArtifactsInput!$M$7-ArtifactsInput!$M$7)*CHOOSE(ArtifactsInput!$N$7+1,6,7.2,8.4,9.6,10.8,12))/100)),MAX(0,Inputs!$B$43-((R1178-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Hunt"),CHOOSE(ArtifactsInput!$N$35+1,15,18,21,24,27,30)*(1-EXP(-(0.2*B1194)*5)),0)+IF(AND(ArtifactsInput!$M$22,Inputs!$B$4&lt;&gt;"Chapter Hunt"),CHOOSE(ArtifactsInput!$N$22+1,10,12,14,16,18,20)*((0*(((0.15*B1194*5))^0/1)+1*(((0.15*B1194*5))^1/1)+2*(((0.15*B1194*5))^2/2)+3*(((0.15*B1194*5))^3/6)+4*(((0.15*B1194*5))^4/24)+5*(((0.15*B1194*5))^5/120))/((((0.15*B1194*5))^0/1)+(((0.15*B1194*5))^1/1)+(((0.15*B1194*5))^2/2)+(((0.15*B1194*5))^3/6)+(((0.15*B1194*5))^4/24)+(((0.15*B1194*5))^5/120))),0)))/100)*I1173)</f>
        <v/>
      </c>
      <c r="L1173">
        <f>K1173*(MIN(Inputs!$B$22+((C1185=TRUE)*(F1185-Calc!F22)),(Inputs!$B$23+((C1187=TRUE)*(F1187-Calc!F24))+(IF(ArtifactsInput!$M$15,CHOOSE(ArtifactsInput!$N$15+1,25,30,35,40,45,50)/100*(Inputs!$B$11-Inputs!$B$11),0))))/100+(Inputs!$B$23+((C1187=TRUE)*(F1187-Calc!F24))+(IF(ArtifactsInput!$M$15,CHOOSE(ArtifactsInput!$N$15+1,25,30,35,40,45,50)/100*(Inputs!$B$11-Inputs!$B$11),0)))/100)/2</f>
        <v/>
      </c>
      <c r="M1173">
        <f>L1173*(1+(Inputs!$B$10+0+B1197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3">
        <f>L1173*(1-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1173*(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3">
        <f>(1-Summary!$B$11)*T1173+Summary!$B$11*V1173</f>
        <v/>
      </c>
      <c r="P1173">
        <f>IF(B1202=0,0,O1173/B1202)</f>
        <v/>
      </c>
      <c r="Q1173">
        <f>IFERROR(1/(IF(Inputs!$B$38="pvp",15,MAX(0.1,Skills!D10-IF(Skills!E10=TRUE,Inputs!$B$32,0)))*(1-IF(AND(ArtifactsInput!$M$27,Inputs!$B$4="Chapter Hunt"),CHOOSE(ArtifactsInput!$N$27+1,20,24,28,32,36,40),0)/100)),0)</f>
        <v/>
      </c>
      <c r="R1173">
        <f>IF(AND(Inputs!$B$38&lt;&gt;"pvp",Inputs!$B$43&gt;0),IF(MAX(0,Inputs!$B$43-B1199)&lt;=0,0,(INT(MAX(0,Inputs!$B$43-B1199)/(IF(Inputs!$B$38="pvp",15,MAX(0.1,Skills!D10-IF(Skills!E10=TRUE,Inputs!$B$32,0)))*(1-IF(AND(ArtifactsInput!$M$27,Inputs!$B$4="Chapter Hunt"),CHOOSE(ArtifactsInput!$N$27+1,20,24,28,32,36,40),0)/100)))+1)),0)</f>
        <v/>
      </c>
      <c r="S1173">
        <f>IFERROR(O1173/N1173,0)</f>
        <v/>
      </c>
      <c r="T1173">
        <f>IF(C1173,(H1173*N1173*IF(AND(Inputs!$B$38&lt;&gt;"pvp",Inputs!$B$43&gt;0),((Skills!G10*((R1173-1)*IF(Skills!H10&gt;0,Skills!I10/Skills!H10,1)+IF(Skills!H10&gt;0,MIN(Skills!I10,MAX(0,MAX(0,Inputs!$B$43-B1199)-((R1173-1)*(IF(Inputs!$B$38="pvp",15,MAX(0.1,Skills!D10-IF(Skills!E10=TRUE,Inputs!$B$32,0)))*(1-IF(AND(ArtifactsInput!$M$27,Inputs!$B$4="Chapter Hunt"),CHOOSE(ArtifactsInput!$N$27+1,20,24,28,32,36,40),0)/100)))))/Skills!H10,1)))/Inputs!$B$43),G1173*Q1173)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1173*(1-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1173*(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1173*(1-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1173*(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73">
        <f>IF(C1173,(H1173*N1173*IF(AND(Inputs!$B$38&lt;&gt;"pvp",Inputs!$B$43&gt;0),((Skills!G10*((R1173-1)*IF(Skills!H10&gt;0,Skills!I10/Skills!H10,1)+IF(Skills!H10&gt;0,MIN(Skills!I10,MAX(0,MAX(0,Inputs!$B$43-B1199)-((R1173-1)*(IF(Inputs!$B$38="pvp",15,MAX(0.1,Skills!D10-IF(Skills!E10=TRUE,Inputs!$B$32,0)))*(1-IF(AND(ArtifactsInput!$M$27,Inputs!$B$4="Chapter Hunt"),CHOOSE(ArtifactsInput!$N$27+1,20,24,28,32,36,40),0)/100)))))/Skills!H10,1)))/Inputs!$B$43),G1173*Q1173)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4">
      <c r="A1174">
        <f>Skills!A11</f>
        <v/>
      </c>
      <c r="B1174">
        <f>Skills!B11</f>
        <v/>
      </c>
      <c r="C1174">
        <f>Inputs!$B$3&gt;=35</f>
        <v/>
      </c>
      <c r="D1174">
        <f>IF(Skills!C11=1,60+Inputs!$B$25+Inputs!$B$29,IF(Skills!C11=2,90+Inputs!$B$26+Inputs!$B$29,IF(Skills!C11=3,120+Inputs!$B$27+Inputs!$B$29,MAX(0,(Inputs!$B$3-100)*3)+Inputs!$B$28+Inputs!$B$29)))</f>
        <v/>
      </c>
      <c r="E1174">
        <f>INDEX(FactorTable!$B$2:$Y$301, MATCH(ROUND(MIN(300,MAX(1,D1174)),0), FactorTable!$A$2:$A$301,0), Skills!M11+1)</f>
        <v/>
      </c>
      <c r="F1174">
        <f>IF(Skills!N11=TRUE,(Skills!L11/10)*(E1174/1000),Skills!L11/10)+Skills!O11</f>
        <v/>
      </c>
      <c r="G1174">
        <f>Skills!G11*IF(Skills!H11&gt;0,Skills!I11/Skills!H11,1)</f>
        <v/>
      </c>
      <c r="H1174">
        <f>1-(1-Skills!J11/100)^Skills!K11</f>
        <v/>
      </c>
      <c r="I1174" t="inlineStr">
        <is>
          <t>1</t>
        </is>
      </c>
      <c r="J1174">
        <f>((Inputs!$B$6*(1+Inputs!$B$7/100))+(((Inputs!$B$12*(1+Inputs!$B$13/100))-(Inputs!$B$12*(1+Inputs!$B$13/100)))+0.25*(Inputs!$B$14-Inputs!$B$14))*(1+Inputs!$B$7/100))*(F1174/100)</f>
        <v/>
      </c>
      <c r="K1174">
        <f>J1174*(1+((Inputs!$B$12*(1+Inputs!$B$13/100))*0.01+Inputs!$B$14*0.0025)/100)*(1+Inputs!$B$15/100)*(1+Inputs!$B$16/100)*(5000/(6000+Inputs!$B$42*(1-(100*(1-(1-(Inputs!$B$19+0)/100)*(1-CHOOSE(ArtifactsInput!$N$40+1,5,6,7,8,9,10)/100)^(ArtifactsInput!$M$40-ArtifactsInput!$M$40)))/100)))*(1+(Inputs!$B$24+((C1188=TRUE)*(F1188-Calc!F25))+B1198)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1175=TRUE,F1175,0)/100)*(1+IF(Skills!A11="ENHANCED_RAGING_BLOW",IF(Inputs!$B$3&gt;=134,MAX(0,IF(Inputs!$B$3&gt;=110,7,5)-5)*50,0),0)/100)*(1+(IF(Skills!A11="RAGING_BLOW",Inputs!$B$17+((C1184=TRUE)*(F1184-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1186=TRUE)*(F1186-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1176=TRUE)*F1176*IF(Inputs!$B$3&gt;=110,7,5))+((C1178=TRUE)*F1178*IF(AND(Inputs!$B$38&lt;&gt;"pvp",Inputs!$B$43&gt;0),(((R1178-1)*(Skills!T15*(1+(Inputs!$B$34+(ArtifactsInput!$M$7-ArtifactsInput!$M$7)*CHOOSE(ArtifactsInput!$N$7+1,6,7.2,8.4,9.6,10.8,12))/100))+MIN((Skills!T15*(1+(Inputs!$B$34+(ArtifactsInput!$M$7-ArtifactsInput!$M$7)*CHOOSE(ArtifactsInput!$N$7+1,6,7.2,8.4,9.6,10.8,12))/100)),MAX(0,Inputs!$B$43-((R1178-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Hunt"),CHOOSE(ArtifactsInput!$N$35+1,15,18,21,24,27,30)*(1-EXP(-(0.2*B1194)*5)),0)+IF(AND(ArtifactsInput!$M$22,Inputs!$B$4&lt;&gt;"Chapter Hunt"),CHOOSE(ArtifactsInput!$N$22+1,10,12,14,16,18,20)*((0*(((0.15*B1194*5))^0/1)+1*(((0.15*B1194*5))^1/1)+2*(((0.15*B1194*5))^2/2)+3*(((0.15*B1194*5))^3/6)+4*(((0.15*B1194*5))^4/24)+5*(((0.15*B1194*5))^5/120))/((((0.15*B1194*5))^0/1)+(((0.15*B1194*5))^1/1)+(((0.15*B1194*5))^2/2)+(((0.15*B1194*5))^3/6)+(((0.15*B1194*5))^4/24)+(((0.15*B1194*5))^5/120))),0)))/100)*I1174)</f>
        <v/>
      </c>
      <c r="L1174">
        <f>K1174*(MIN(Inputs!$B$22+((C1185=TRUE)*(F1185-Calc!F22)),(Inputs!$B$23+((C1187=TRUE)*(F1187-Calc!F24))+(IF(ArtifactsInput!$M$15,CHOOSE(ArtifactsInput!$N$15+1,25,30,35,40,45,50)/100*(Inputs!$B$11-Inputs!$B$11),0))))/100+(Inputs!$B$23+((C1187=TRUE)*(F1187-Calc!F24))+(IF(ArtifactsInput!$M$15,CHOOSE(ArtifactsInput!$N$15+1,25,30,35,40,45,50)/100*(Inputs!$B$11-Inputs!$B$11),0)))/100)/2</f>
        <v/>
      </c>
      <c r="M1174">
        <f>L1174*(1+(Inputs!$B$10+0+B1197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4">
        <f>L1174*(1-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1174*(MIN((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4">
        <f>(1-Summary!$B$11)*T1174+Summary!$B$11*V1174</f>
        <v/>
      </c>
      <c r="P1174">
        <f>IF(B1202=0,0,O1174/B1202)</f>
        <v/>
      </c>
      <c r="Q1174">
        <f>IFERROR(1/(IF(Inputs!$B$38="pvp",15,MAX(0.1,Skills!D11-IF(Skills!E11=TRUE,Inputs!$B$32,0)))*(1-IF(AND(ArtifactsInput!$M$27,Inputs!$B$4="Chapter Hunt"),CHOOSE(ArtifactsInput!$N$27+1,20,24,28,32,36,40),0)/100)),0)</f>
        <v/>
      </c>
      <c r="R1174">
        <f>IF(AND(Inputs!$B$38&lt;&gt;"pvp",Inputs!$B$43&gt;0),IF(MAX(0,Inputs!$B$43-B1199)&lt;=0,0,(INT(MAX(0,Inputs!$B$43-B1199)/(IF(Inputs!$B$38="pvp",15,MAX(0.1,Skills!D11-IF(Skills!E11=TRUE,Inputs!$B$32,0)))*(1-IF(AND(ArtifactsInput!$M$27,Inputs!$B$4="Chapter Hunt"),CHOOSE(ArtifactsInput!$N$27+1,20,24,28,32,36,40),0)/100)))+1)),0)</f>
        <v/>
      </c>
      <c r="S1174">
        <f>IFERROR(O1174/N1174,0)</f>
        <v/>
      </c>
      <c r="T1174">
        <f>IF(C1174,(H1174*N1174*IF(AND(Inputs!$B$38&lt;&gt;"pvp",Inputs!$B$43&gt;0),((Skills!G11*((R1174-1)*IF(Skills!H11&gt;0,Skills!I11/Skills!H11,1)+IF(Skills!H11&gt;0,MIN(Skills!I11,MAX(0,MAX(0,Inputs!$B$43-B1199)-((R1174-1)*(IF(Inputs!$B$38="pvp",15,MAX(0.1,Skills!D11-IF(Skills!E11=TRUE,Inputs!$B$32,0)))*(1-IF(AND(ArtifactsInput!$M$27,Inputs!$B$4="Chapter Hunt"),CHOOSE(ArtifactsInput!$N$27+1,20,24,28,32,36,40),0)/100)))))/Skills!H11,1)))/Inputs!$B$43),G1174*Q1174)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1174*(1-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1174*(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1174*(1-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1174*(MIN(100,(Inputs!$B$9+((C1189=TRUE)*(F1189-Calc!F26))+B1192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74">
        <f>IF(C1174,(H1174*N1174*IF(AND(Inputs!$B$38&lt;&gt;"pvp",Inputs!$B$43&gt;0),((Skills!G11*((R1174-1)*IF(Skills!H11&gt;0,Skills!I11/Skills!H11,1)+IF(Skills!H11&gt;0,MIN(Skills!I11,MAX(0,MAX(0,Inputs!$B$43-B1199)-((R1174-1)*(IF(Inputs!$B$38="pvp",15,MAX(0.1,Skills!D11-IF(Skills!E11=TRUE,Inputs!$B$32,0)))*(1-IF(AND(ArtifactsInput!$M$27,Inputs!$B$4="Chapter Hunt"),CHOOSE(ArtifactsInput!$N$27+1,20,24,28,32,36,40),0)/100)))))/Skills!H11,1)))/Inputs!$B$43),G1174*Q1174)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5">
      <c r="A1175">
        <f>Skills!A12</f>
        <v/>
      </c>
      <c r="B1175">
        <f>Skills!B12</f>
        <v/>
      </c>
      <c r="C1175">
        <f>Inputs!$B$3&gt;=100</f>
        <v/>
      </c>
      <c r="D1175">
        <f>IF(Skills!C12=1,60+Inputs!$B$25+Inputs!$B$29,IF(Skills!C12=2,90+Inputs!$B$26+Inputs!$B$29,IF(Skills!C12=3,120+Inputs!$B$27+Inputs!$B$29,MAX(0,(Inputs!$B$3-100)*3)+Inputs!$B$28+Inputs!$B$29)))</f>
        <v/>
      </c>
      <c r="E1175">
        <f>INDEX(FactorTable!$B$2:$Y$301, MATCH(ROUND(MIN(300,MAX(1,D1175)),0), FactorTable!$A$2:$A$301,0), Skills!M12+1)</f>
        <v/>
      </c>
      <c r="F1175">
        <f>IF(Skills!N12=TRUE,(Skills!L12/10)*(E1175/1000),Skills!L12/10)+Skills!O12</f>
        <v/>
      </c>
      <c r="G1175" t="inlineStr"/>
      <c r="H1175" t="inlineStr"/>
      <c r="I1175" t="inlineStr">
        <is>
          <t>1</t>
        </is>
      </c>
      <c r="J1175" t="inlineStr"/>
      <c r="K1175" t="inlineStr"/>
      <c r="L1175" t="inlineStr"/>
      <c r="M1175" t="inlineStr"/>
      <c r="N1175" t="inlineStr"/>
      <c r="O1175" t="inlineStr"/>
      <c r="P1175" t="inlineStr"/>
      <c r="Q1175" t="inlineStr"/>
      <c r="R1175" t="inlineStr"/>
      <c r="S1175" t="inlineStr"/>
    </row>
    <row r="1176">
      <c r="A1176">
        <f>Skills!A13</f>
        <v/>
      </c>
      <c r="B1176">
        <f>Skills!B13</f>
        <v/>
      </c>
      <c r="C1176">
        <f>Inputs!$B$3&gt;=45</f>
        <v/>
      </c>
      <c r="D1176">
        <f>IF(Skills!C13=1,60+Inputs!$B$25+Inputs!$B$29,IF(Skills!C13=2,90+Inputs!$B$26+Inputs!$B$29,IF(Skills!C13=3,120+Inputs!$B$27+Inputs!$B$29,MAX(0,(Inputs!$B$3-100)*3)+Inputs!$B$28+Inputs!$B$29)))</f>
        <v/>
      </c>
      <c r="E1176">
        <f>INDEX(FactorTable!$B$2:$Y$301, MATCH(ROUND(MIN(300,MAX(1,D1176)),0), FactorTable!$A$2:$A$301,0), Skills!M13+1)</f>
        <v/>
      </c>
      <c r="F1176">
        <f>IF(Skills!N13=TRUE,(Skills!L13/10)*(E1176/1000),Skills!L13/10)+Skills!O13</f>
        <v/>
      </c>
      <c r="G1176">
        <f>Skills!G13*IF(Skills!H13&gt;0,Skills!I13/Skills!H13,1)</f>
        <v/>
      </c>
      <c r="H1176">
        <f>1-(1-Skills!J13/100)^Skills!K13</f>
        <v/>
      </c>
      <c r="I1176" t="inlineStr">
        <is>
          <t>1</t>
        </is>
      </c>
      <c r="J1176" t="inlineStr"/>
      <c r="K1176" t="inlineStr"/>
      <c r="L1176" t="inlineStr"/>
      <c r="M1176" t="inlineStr"/>
      <c r="N1176" t="inlineStr"/>
      <c r="O1176">
        <f>(1-Summary!$B$11)*T1176+Summary!$B$11*V1176</f>
        <v/>
      </c>
      <c r="P1176">
        <f>IF(B1202=0,0,O1176/B1202)</f>
        <v/>
      </c>
      <c r="Q1176" t="n">
        <v>0</v>
      </c>
      <c r="R1176" t="n">
        <v>0</v>
      </c>
      <c r="S1176">
        <f>IFERROR(O1176/N1176,0)</f>
        <v/>
      </c>
      <c r="T1176" t="n">
        <v>0</v>
      </c>
      <c r="V1176" t="n">
        <v>0</v>
      </c>
    </row>
    <row r="1177">
      <c r="A1177">
        <f>Skills!A14</f>
        <v/>
      </c>
      <c r="B1177">
        <f>Skills!B14</f>
        <v/>
      </c>
      <c r="C1177">
        <f>Inputs!$B$3&gt;=75</f>
        <v/>
      </c>
      <c r="D1177">
        <f>IF(Skills!C14=1,60+Inputs!$B$25+Inputs!$B$29,IF(Skills!C14=2,90+Inputs!$B$26+Inputs!$B$29,IF(Skills!C14=3,120+Inputs!$B$27+Inputs!$B$29,MAX(0,(Inputs!$B$3-100)*3)+Inputs!$B$28+Inputs!$B$29)))</f>
        <v/>
      </c>
      <c r="E1177">
        <f>INDEX(FactorTable!$B$2:$Y$301, MATCH(ROUND(MIN(300,MAX(1,D1177)),0), FactorTable!$A$2:$A$301,0), Skills!M14+1)</f>
        <v/>
      </c>
      <c r="F1177">
        <f>IF(Skills!N14=TRUE,(Skills!L14/10)*(E1177/1000),Skills!L14/10)+Skills!O14</f>
        <v/>
      </c>
      <c r="G1177">
        <f>Skills!G14*IF(Skills!H14&gt;0,Skills!I14/Skills!H14,1)</f>
        <v/>
      </c>
      <c r="H1177">
        <f>1-(1-Skills!J14/100)^Skills!K14</f>
        <v/>
      </c>
      <c r="I1177" t="inlineStr">
        <is>
          <t>1</t>
        </is>
      </c>
      <c r="J1177" t="inlineStr"/>
      <c r="K1177" t="inlineStr"/>
      <c r="L1177" t="inlineStr"/>
      <c r="M1177" t="inlineStr"/>
      <c r="N1177" t="inlineStr"/>
      <c r="O1177">
        <f>(1-Summary!$B$11)*T1177+Summary!$B$11*V1177</f>
        <v/>
      </c>
      <c r="P1177">
        <f>IF(B1202=0,0,O1177/B1202)</f>
        <v/>
      </c>
      <c r="Q1177" t="n">
        <v>0</v>
      </c>
      <c r="R1177" t="n">
        <v>0</v>
      </c>
      <c r="S1177">
        <f>IFERROR(O1177/N1177,0)</f>
        <v/>
      </c>
      <c r="T1177" t="n">
        <v>0</v>
      </c>
      <c r="V1177" t="n">
        <v>0</v>
      </c>
    </row>
    <row r="1178">
      <c r="A1178">
        <f>Skills!A15</f>
        <v/>
      </c>
      <c r="B1178">
        <f>Skills!B15</f>
        <v/>
      </c>
      <c r="C1178">
        <f>Inputs!$B$3&gt;=40</f>
        <v/>
      </c>
      <c r="D1178">
        <f>IF(Skills!C15=1,60+Inputs!$B$25+Inputs!$B$29,IF(Skills!C15=2,90+Inputs!$B$26+Inputs!$B$29,IF(Skills!C15=3,120+Inputs!$B$27+Inputs!$B$29,MAX(0,(Inputs!$B$3-100)*3)+Inputs!$B$28+Inputs!$B$29)))</f>
        <v/>
      </c>
      <c r="E1178">
        <f>INDEX(FactorTable!$B$2:$Y$301, MATCH(ROUND(MIN(300,MAX(1,D1178)),0), FactorTable!$A$2:$A$301,0), Skills!M15+1)</f>
        <v/>
      </c>
      <c r="F1178">
        <f>IF(Skills!N15=TRUE,(Skills!L15/10)*(E1178/1000),Skills!L15/10)+Skills!O15</f>
        <v/>
      </c>
      <c r="G1178">
        <f>Skills!G15*IF(Skills!H15&gt;0,Skills!I15/Skills!H15,1)</f>
        <v/>
      </c>
      <c r="H1178">
        <f>1-(1-Skills!J15/100)^Skills!K15</f>
        <v/>
      </c>
      <c r="I1178" t="inlineStr">
        <is>
          <t>1</t>
        </is>
      </c>
      <c r="J1178" t="inlineStr"/>
      <c r="K1178" t="inlineStr"/>
      <c r="L1178" t="inlineStr"/>
      <c r="M1178" t="inlineStr"/>
      <c r="N1178" t="inlineStr"/>
      <c r="O1178">
        <f>(1-Summary!$B$11)*T1178+Summary!$B$11*V1178</f>
        <v/>
      </c>
      <c r="P1178">
        <f>IF(B1202=0,0,O1178/B1202)</f>
        <v/>
      </c>
      <c r="Q1178">
        <f>IFERROR(1/(IF(Inputs!$B$38="pvp",15,MAX(0.1,Skills!D15-IF(Skills!E15=TRUE,Inputs!$B$32,0)))*(1-IF(AND(ArtifactsInput!$M$27,Inputs!$B$4="Chapter Hunt"),CHOOSE(ArtifactsInput!$N$27+1,20,24,28,32,36,40),0)/100)),0)</f>
        <v/>
      </c>
      <c r="R1178">
        <f>IF(AND(Inputs!$B$38&lt;&gt;"pvp",Inputs!$B$43&gt;0),IF(Inputs!$B$43&lt;=0,0,(INT(Inputs!$B$43/(IF(Inputs!$B$38="pvp",15,MAX(0.1,Skills!D15-IF(Skills!E15=TRUE,Inputs!$B$32,0)))*(1-IF(AND(ArtifactsInput!$M$27,Inputs!$B$4="Chapter Hunt"),CHOOSE(ArtifactsInput!$N$27+1,20,24,28,32,36,40),0)/100)))+1)),0)</f>
        <v/>
      </c>
      <c r="S1178">
        <f>IFERROR(O1178/N1178,0)</f>
        <v/>
      </c>
      <c r="T1178" t="n">
        <v>0</v>
      </c>
      <c r="V1178" t="n">
        <v>0</v>
      </c>
    </row>
    <row r="1179">
      <c r="A1179">
        <f>Skills!A16</f>
        <v/>
      </c>
      <c r="B1179">
        <f>Skills!B16</f>
        <v/>
      </c>
      <c r="C1179">
        <f>Inputs!$B$3&gt;=66</f>
        <v/>
      </c>
      <c r="D1179">
        <f>IF(Skills!C16=1,60+Inputs!$B$25+Inputs!$B$29,IF(Skills!C16=2,90+Inputs!$B$26+Inputs!$B$29,IF(Skills!C16=3,120+Inputs!$B$27+Inputs!$B$29,MAX(0,(Inputs!$B$3-100)*3)+Inputs!$B$28+Inputs!$B$29)))</f>
        <v/>
      </c>
      <c r="E1179">
        <f>INDEX(FactorTable!$B$2:$Y$301, MATCH(ROUND(MIN(300,MAX(1,D1179)),0), FactorTable!$A$2:$A$301,0), Skills!M16+1)</f>
        <v/>
      </c>
      <c r="F1179">
        <f>IF(Skills!N16=TRUE,(Skills!L16/10)*(E1179/1000),Skills!L16/10)+Skills!O16</f>
        <v/>
      </c>
      <c r="G1179">
        <f>Skills!G16*IF(Skills!H16&gt;0,Skills!I16/Skills!H16,1)</f>
        <v/>
      </c>
      <c r="H1179">
        <f>1-(1-Skills!J16/100)^Skills!K16</f>
        <v/>
      </c>
      <c r="I1179" t="inlineStr">
        <is>
          <t>1</t>
        </is>
      </c>
      <c r="J1179" t="inlineStr"/>
      <c r="K1179" t="inlineStr"/>
      <c r="L1179" t="inlineStr"/>
      <c r="M1179" t="inlineStr"/>
      <c r="N1179" t="inlineStr"/>
      <c r="O1179">
        <f>(1-Summary!$B$11)*T1179+Summary!$B$11*V1179</f>
        <v/>
      </c>
      <c r="P1179">
        <f>IF(B1202=0,0,O1179/B1202)</f>
        <v/>
      </c>
      <c r="Q1179">
        <f>IFERROR(1/(IF(Inputs!$B$38="pvp",15,MAX(0.1,Skills!D16-IF(Skills!E16=TRUE,Inputs!$B$32,0)))*(1-IF(AND(ArtifactsInput!$M$27,Inputs!$B$4="Chapter Hunt"),CHOOSE(ArtifactsInput!$N$27+1,20,24,28,32,36,40),0)/100)),0)</f>
        <v/>
      </c>
      <c r="R1179">
        <f>IF(AND(Inputs!$B$38&lt;&gt;"pvp",Inputs!$B$43&gt;0),IF(Inputs!$B$43&lt;=0,0,(INT(Inputs!$B$43/(IF(Inputs!$B$38="pvp",15,MAX(0.1,Skills!D16-IF(Skills!E16=TRUE,Inputs!$B$32,0)))*(1-IF(AND(ArtifactsInput!$M$27,Inputs!$B$4="Chapter Hunt"),CHOOSE(ArtifactsInput!$N$27+1,20,24,28,32,36,40),0)/100)))+1)),0)</f>
        <v/>
      </c>
      <c r="S1179">
        <f>IFERROR(O1179/N1179,0)</f>
        <v/>
      </c>
      <c r="T1179" t="n">
        <v>0</v>
      </c>
      <c r="V1179" t="n">
        <v>0</v>
      </c>
    </row>
    <row r="1180">
      <c r="A1180">
        <f>Skills!A17</f>
        <v/>
      </c>
      <c r="B1180">
        <f>Skills!B17</f>
        <v/>
      </c>
      <c r="C1180">
        <f>Inputs!$B$3&gt;=115</f>
        <v/>
      </c>
      <c r="D1180">
        <f>IF(Skills!C17=1,60+Inputs!$B$25+Inputs!$B$29,IF(Skills!C17=2,90+Inputs!$B$26+Inputs!$B$29,IF(Skills!C17=3,120+Inputs!$B$27+Inputs!$B$29,MAX(0,(Inputs!$B$3-100)*3)+Inputs!$B$28+Inputs!$B$29)))</f>
        <v/>
      </c>
      <c r="E1180">
        <f>INDEX(FactorTable!$B$2:$Y$301, MATCH(ROUND(MIN(300,MAX(1,D1180)),0), FactorTable!$A$2:$A$301,0), Skills!M17+1)</f>
        <v/>
      </c>
      <c r="F1180">
        <f>IF(Skills!N17=TRUE,(Skills!L17/10)*(E1180/1000),Skills!L17/10)+Skills!O17</f>
        <v/>
      </c>
      <c r="G1180">
        <f>Skills!G17*IF(Skills!H17&gt;0,Skills!I17/Skills!H17,1)</f>
        <v/>
      </c>
      <c r="H1180">
        <f>1-(1-Skills!J17/100)^Skills!K17</f>
        <v/>
      </c>
      <c r="I1180" t="inlineStr">
        <is>
          <t>1</t>
        </is>
      </c>
      <c r="J1180" t="inlineStr"/>
      <c r="K1180" t="inlineStr"/>
      <c r="L1180" t="inlineStr"/>
      <c r="M1180" t="inlineStr"/>
      <c r="N1180" t="inlineStr"/>
      <c r="O1180">
        <f>(1-Summary!$B$11)*T1180+Summary!$B$11*V1180</f>
        <v/>
      </c>
      <c r="P1180">
        <f>IF(B1202=0,0,O1180/B1202)</f>
        <v/>
      </c>
      <c r="Q1180">
        <f>IFERROR(1/(IF(Inputs!$B$38="pvp",15,MAX(0.1,Skills!D17-IF(Skills!E17=TRUE,Inputs!$B$32,0)))*(1-IF(AND(ArtifactsInput!$M$27,Inputs!$B$4="Chapter Hunt"),CHOOSE(ArtifactsInput!$N$27+1,20,24,28,32,36,40),0)/100)),0)</f>
        <v/>
      </c>
      <c r="R1180">
        <f>IF(AND(Inputs!$B$38&lt;&gt;"pvp",Inputs!$B$43&gt;0),IF(Inputs!$B$43&lt;=0,0,(INT(Inputs!$B$43/(IF(Inputs!$B$38="pvp",15,MAX(0.1,Skills!D17-IF(Skills!E17=TRUE,Inputs!$B$32,0)))*(1-IF(AND(ArtifactsInput!$M$27,Inputs!$B$4="Chapter Hunt"),CHOOSE(ArtifactsInput!$N$27+1,20,24,28,32,36,40),0)/100)))+1)),0)</f>
        <v/>
      </c>
      <c r="S1180">
        <f>IFERROR(O1180/N1180,0)</f>
        <v/>
      </c>
      <c r="T1180" t="n">
        <v>0</v>
      </c>
      <c r="V1180" t="n">
        <v>0</v>
      </c>
    </row>
    <row r="1181">
      <c r="A1181">
        <f>Skills!A18</f>
        <v/>
      </c>
      <c r="B1181">
        <f>Skills!B18</f>
        <v/>
      </c>
      <c r="C1181">
        <f>Inputs!$B$3&gt;=115</f>
        <v/>
      </c>
      <c r="D1181">
        <f>IF(Skills!C18=1,60+Inputs!$B$25+Inputs!$B$29,IF(Skills!C18=2,90+Inputs!$B$26+Inputs!$B$29,IF(Skills!C18=3,120+Inputs!$B$27+Inputs!$B$29,MAX(0,(Inputs!$B$3-100)*3)+Inputs!$B$28+Inputs!$B$29)))</f>
        <v/>
      </c>
      <c r="E1181">
        <f>INDEX(FactorTable!$B$2:$Y$301, MATCH(ROUND(MIN(300,MAX(1,D1181)),0), FactorTable!$A$2:$A$301,0), Skills!M18+1)</f>
        <v/>
      </c>
      <c r="F1181">
        <f>IF(Skills!N18=TRUE,(Skills!L18/10)*(E1181/1000),Skills!L18/10)+Skills!O18</f>
        <v/>
      </c>
      <c r="G1181">
        <f>Skills!G18*IF(Skills!H18&gt;0,Skills!I18/Skills!H18,1)</f>
        <v/>
      </c>
      <c r="H1181">
        <f>1-(1-Skills!J18/100)^Skills!K18</f>
        <v/>
      </c>
      <c r="I1181" t="inlineStr">
        <is>
          <t>1</t>
        </is>
      </c>
      <c r="J1181" t="inlineStr"/>
      <c r="K1181" t="inlineStr"/>
      <c r="L1181" t="inlineStr"/>
      <c r="M1181" t="inlineStr"/>
      <c r="N1181" t="inlineStr"/>
      <c r="O1181">
        <f>(1-Summary!$B$11)*T1181+Summary!$B$11*V1181</f>
        <v/>
      </c>
      <c r="P1181">
        <f>IF(B1202=0,0,O1181/B1202)</f>
        <v/>
      </c>
      <c r="Q1181">
        <f>IFERROR(1/(IF(Inputs!$B$38="pvp",15,MAX(0.1,Skills!D18-IF(Skills!E18=TRUE,Inputs!$B$32,0)))*(1-IF(AND(ArtifactsInput!$M$27,Inputs!$B$4="Chapter Hunt"),CHOOSE(ArtifactsInput!$N$27+1,20,24,28,32,36,40),0)/100)),0)</f>
        <v/>
      </c>
      <c r="R1181">
        <f>IF(AND(Inputs!$B$38&lt;&gt;"pvp",Inputs!$B$43&gt;0),IF(Inputs!$B$43&lt;=0,0,(INT(Inputs!$B$43/(IF(Inputs!$B$38="pvp",15,MAX(0.1,Skills!D18-IF(Skills!E18=TRUE,Inputs!$B$32,0)))*(1-IF(AND(ArtifactsInput!$M$27,Inputs!$B$4="Chapter Hunt"),CHOOSE(ArtifactsInput!$N$27+1,20,24,28,32,36,40),0)/100)))+1)),0)</f>
        <v/>
      </c>
      <c r="S1181">
        <f>IFERROR(O1181/N1181,0)</f>
        <v/>
      </c>
      <c r="T1181" t="n">
        <v>0</v>
      </c>
      <c r="V1181" t="n">
        <v>0</v>
      </c>
    </row>
    <row r="1182">
      <c r="A1182">
        <f>Skills!A19</f>
        <v/>
      </c>
      <c r="B1182">
        <f>Skills!B19</f>
        <v/>
      </c>
      <c r="C1182">
        <f>TRUE</f>
        <v/>
      </c>
      <c r="D1182">
        <f>IF(Skills!C19=1,60+Inputs!$B$25+Inputs!$B$29,IF(Skills!C19=2,90+Inputs!$B$26+Inputs!$B$29,IF(Skills!C19=3,120+Inputs!$B$27+Inputs!$B$29,MAX(0,(Inputs!$B$3-100)*3)+Inputs!$B$28+Inputs!$B$29)))</f>
        <v/>
      </c>
      <c r="E1182">
        <f>INDEX(FactorTable!$B$2:$Y$301, MATCH(ROUND(MIN(300,MAX(1,D1182)),0), FactorTable!$A$2:$A$301,0), Skills!M19+1)</f>
        <v/>
      </c>
      <c r="F1182">
        <f>IF(Skills!N19=TRUE,(Skills!L19/10)*(E1182/1000),Skills!L19/10)+Skills!O19</f>
        <v/>
      </c>
      <c r="G1182">
        <f>Skills!G19*IF(Skills!H19&gt;0,Skills!I19/Skills!H19,1)</f>
        <v/>
      </c>
      <c r="H1182">
        <f>1-(1-Skills!J19/100)^Skills!K19</f>
        <v/>
      </c>
      <c r="I1182" t="inlineStr">
        <is>
          <t>1</t>
        </is>
      </c>
      <c r="J1182" t="inlineStr"/>
      <c r="K1182" t="inlineStr"/>
      <c r="L1182" t="inlineStr"/>
      <c r="M1182" t="inlineStr"/>
      <c r="N1182" t="inlineStr"/>
      <c r="O1182">
        <f>(1-Summary!$B$11)*T1182+Summary!$B$11*V1182</f>
        <v/>
      </c>
      <c r="P1182">
        <f>IF(B1202=0,0,O1182/B1202)</f>
        <v/>
      </c>
      <c r="Q1182">
        <f>IFERROR(1/(IF(Inputs!$B$38="pvp",15,MAX(0.1,Skills!D19-IF(Skills!E19=TRUE,Inputs!$B$32,0)))*(1-IF(AND(ArtifactsInput!$M$27,Inputs!$B$4="Chapter Hunt"),CHOOSE(ArtifactsInput!$N$27+1,20,24,28,32,36,40),0)/100)),0)</f>
        <v/>
      </c>
      <c r="R1182">
        <f>IF(AND(Inputs!$B$38&lt;&gt;"pvp",Inputs!$B$43&gt;0),IF(Inputs!$B$43&lt;=0,0,(INT(Inputs!$B$43/(IF(Inputs!$B$38="pvp",15,MAX(0.1,Skills!D19-IF(Skills!E19=TRUE,Inputs!$B$32,0)))*(1-IF(AND(ArtifactsInput!$M$27,Inputs!$B$4="Chapter Hunt"),CHOOSE(ArtifactsInput!$N$27+1,20,24,28,32,36,40),0)/100)))+1)),0)</f>
        <v/>
      </c>
      <c r="S1182">
        <f>IFERROR(O1182/N1182,0)</f>
        <v/>
      </c>
      <c r="T1182" t="n">
        <v>0</v>
      </c>
      <c r="V1182" t="n">
        <v>0</v>
      </c>
    </row>
    <row r="1183">
      <c r="A1183">
        <f>Skills!A20</f>
        <v/>
      </c>
      <c r="B1183">
        <f>Skills!B20</f>
        <v/>
      </c>
      <c r="C1183">
        <f>Inputs!$B$3&gt;=33</f>
        <v/>
      </c>
      <c r="D1183">
        <f>IF(Skills!C20=1,60+Inputs!$B$25+Inputs!$B$29,IF(Skills!C20=2,90+Inputs!$B$26+Inputs!$B$29,IF(Skills!C20=3,120+Inputs!$B$27+Inputs!$B$29,MAX(0,(Inputs!$B$3-100)*3)+Inputs!$B$28+Inputs!$B$29)))</f>
        <v/>
      </c>
      <c r="E1183">
        <f>INDEX(FactorTable!$B$2:$Y$301, MATCH(ROUND(MIN(300,MAX(1,D1183)),0), FactorTable!$A$2:$A$301,0), Skills!M20+1)</f>
        <v/>
      </c>
      <c r="F1183">
        <f>IF(Skills!N20=TRUE,(Skills!L20/10)*(E1183/1000),Skills!L20/10)+Skills!O20</f>
        <v/>
      </c>
      <c r="G1183">
        <f>Skills!G20*IF(Skills!H20&gt;0,Skills!I20/Skills!H20,1)</f>
        <v/>
      </c>
      <c r="H1183">
        <f>1-(1-Skills!J20/100)^Skills!K20</f>
        <v/>
      </c>
      <c r="I1183" t="inlineStr">
        <is>
          <t>1</t>
        </is>
      </c>
      <c r="J1183" t="inlineStr"/>
      <c r="K1183" t="inlineStr"/>
      <c r="L1183" t="inlineStr"/>
      <c r="M1183" t="inlineStr"/>
      <c r="N1183" t="inlineStr"/>
      <c r="O1183">
        <f>(1-Summary!$B$11)*T1183+Summary!$B$11*V1183</f>
        <v/>
      </c>
      <c r="P1183">
        <f>IF(B1202=0,0,O1183/B1202)</f>
        <v/>
      </c>
      <c r="Q1183" t="n">
        <v>0</v>
      </c>
      <c r="R1183" t="n">
        <v>0</v>
      </c>
      <c r="S1183">
        <f>IFERROR(O1183/N1183,0)</f>
        <v/>
      </c>
      <c r="T1183" t="n">
        <v>0</v>
      </c>
      <c r="V1183" t="n">
        <v>0</v>
      </c>
    </row>
    <row r="1184">
      <c r="A1184">
        <f>Skills!A21</f>
        <v/>
      </c>
      <c r="B1184">
        <f>Skills!B21</f>
        <v/>
      </c>
      <c r="C1184">
        <f>Inputs!$B$3&gt;=38</f>
        <v/>
      </c>
      <c r="D1184">
        <f>IF(Skills!C21=1,60+Inputs!$B$25+Inputs!$B$29,IF(Skills!C21=2,90+Inputs!$B$26+Inputs!$B$29,IF(Skills!C21=3,120+Inputs!$B$27+Inputs!$B$29,MAX(0,(Inputs!$B$3-100)*3)+Inputs!$B$28+Inputs!$B$29)))</f>
        <v/>
      </c>
      <c r="E1184">
        <f>INDEX(FactorTable!$B$2:$Y$301, MATCH(ROUND(MIN(300,MAX(1,D1184)),0), FactorTable!$A$2:$A$301,0), Skills!M21+1)</f>
        <v/>
      </c>
      <c r="F1184">
        <f>IF(Skills!N21=TRUE,(Skills!L21/10)*(E1184/1000),Skills!L21/10)+Skills!O21</f>
        <v/>
      </c>
      <c r="G1184">
        <f>Skills!G21*IF(Skills!H21&gt;0,Skills!I21/Skills!H21,1)</f>
        <v/>
      </c>
      <c r="H1184">
        <f>1-(1-Skills!J21/100)^Skills!K21</f>
        <v/>
      </c>
      <c r="I1184" t="inlineStr">
        <is>
          <t>1</t>
        </is>
      </c>
      <c r="J1184" t="inlineStr"/>
      <c r="K1184" t="inlineStr"/>
      <c r="L1184" t="inlineStr"/>
      <c r="M1184" t="inlineStr"/>
      <c r="N1184" t="inlineStr"/>
      <c r="O1184">
        <f>(1-Summary!$B$11)*T1184+Summary!$B$11*V1184</f>
        <v/>
      </c>
      <c r="P1184">
        <f>IF(B1202=0,0,O1184/B1202)</f>
        <v/>
      </c>
      <c r="Q1184" t="n">
        <v>0</v>
      </c>
      <c r="R1184" t="n">
        <v>0</v>
      </c>
      <c r="S1184">
        <f>IFERROR(O1184/N1184,0)</f>
        <v/>
      </c>
      <c r="T1184" t="n">
        <v>0</v>
      </c>
      <c r="V1184" t="n">
        <v>0</v>
      </c>
    </row>
    <row r="1185">
      <c r="A1185">
        <f>Skills!A22</f>
        <v/>
      </c>
      <c r="B1185">
        <f>Skills!B22</f>
        <v/>
      </c>
      <c r="C1185">
        <f>Inputs!$B$3&gt;=43</f>
        <v/>
      </c>
      <c r="D1185">
        <f>IF(Skills!C22=1,60+Inputs!$B$25+Inputs!$B$29,IF(Skills!C22=2,90+Inputs!$B$26+Inputs!$B$29,IF(Skills!C22=3,120+Inputs!$B$27+Inputs!$B$29,MAX(0,(Inputs!$B$3-100)*3)+Inputs!$B$28+Inputs!$B$29)))</f>
        <v/>
      </c>
      <c r="E1185">
        <f>INDEX(FactorTable!$B$2:$Y$301, MATCH(ROUND(MIN(300,MAX(1,D1185)),0), FactorTable!$A$2:$A$301,0), Skills!M22+1)</f>
        <v/>
      </c>
      <c r="F1185">
        <f>IF(Skills!N22=TRUE,(Skills!L22/10)*(E1185/1000),Skills!L22/10)+Skills!O22</f>
        <v/>
      </c>
      <c r="G1185">
        <f>Skills!G22*IF(Skills!H22&gt;0,Skills!I22/Skills!H22,1)</f>
        <v/>
      </c>
      <c r="H1185">
        <f>1-(1-Skills!J22/100)^Skills!K22</f>
        <v/>
      </c>
      <c r="I1185" t="inlineStr">
        <is>
          <t>1</t>
        </is>
      </c>
      <c r="J1185" t="inlineStr"/>
      <c r="K1185" t="inlineStr"/>
      <c r="L1185" t="inlineStr"/>
      <c r="M1185" t="inlineStr"/>
      <c r="N1185" t="inlineStr"/>
      <c r="O1185">
        <f>(1-Summary!$B$11)*T1185+Summary!$B$11*V1185</f>
        <v/>
      </c>
      <c r="P1185">
        <f>IF(B1202=0,0,O1185/B1202)</f>
        <v/>
      </c>
      <c r="Q1185" t="n">
        <v>0</v>
      </c>
      <c r="R1185" t="n">
        <v>0</v>
      </c>
      <c r="S1185">
        <f>IFERROR(O1185/N1185,0)</f>
        <v/>
      </c>
      <c r="T1185" t="n">
        <v>0</v>
      </c>
      <c r="V1185" t="n">
        <v>0</v>
      </c>
    </row>
    <row r="1186">
      <c r="A1186">
        <f>Skills!A23</f>
        <v/>
      </c>
      <c r="B1186">
        <f>Skills!B23</f>
        <v/>
      </c>
      <c r="C1186">
        <f>Inputs!$B$3&gt;=120</f>
        <v/>
      </c>
      <c r="D1186">
        <f>IF(Skills!C23=1,60+Inputs!$B$25+Inputs!$B$29,IF(Skills!C23=2,90+Inputs!$B$26+Inputs!$B$29,IF(Skills!C23=3,120+Inputs!$B$27+Inputs!$B$29,MAX(0,(Inputs!$B$3-100)*3)+Inputs!$B$28+Inputs!$B$29)))</f>
        <v/>
      </c>
      <c r="E1186">
        <f>INDEX(FactorTable!$B$2:$Y$301, MATCH(ROUND(MIN(300,MAX(1,D1186)),0), FactorTable!$A$2:$A$301,0), Skills!M23+1)</f>
        <v/>
      </c>
      <c r="F1186">
        <f>IF(Skills!N23=TRUE,(Skills!L23/10)*(E1186/1000),Skills!L23/10)+Skills!O23</f>
        <v/>
      </c>
      <c r="G1186">
        <f>Skills!G23*IF(Skills!H23&gt;0,Skills!I23/Skills!H23,1)</f>
        <v/>
      </c>
      <c r="H1186">
        <f>1-(1-Skills!J23/100)^Skills!K23</f>
        <v/>
      </c>
      <c r="I1186" t="inlineStr">
        <is>
          <t>1</t>
        </is>
      </c>
      <c r="J1186" t="inlineStr"/>
      <c r="K1186" t="inlineStr"/>
      <c r="L1186" t="inlineStr"/>
      <c r="M1186" t="inlineStr"/>
      <c r="N1186" t="inlineStr"/>
      <c r="O1186">
        <f>(1-Summary!$B$11)*T1186+Summary!$B$11*V1186</f>
        <v/>
      </c>
      <c r="P1186">
        <f>IF(B1202=0,0,O1186/B1202)</f>
        <v/>
      </c>
      <c r="Q1186" t="n">
        <v>0</v>
      </c>
      <c r="R1186" t="n">
        <v>0</v>
      </c>
      <c r="S1186">
        <f>IFERROR(O1186/N1186,0)</f>
        <v/>
      </c>
      <c r="T1186" t="n">
        <v>0</v>
      </c>
      <c r="V1186" t="n">
        <v>0</v>
      </c>
    </row>
    <row r="1187">
      <c r="A1187">
        <f>Skills!A24</f>
        <v/>
      </c>
      <c r="B1187">
        <f>Skills!B24</f>
        <v/>
      </c>
      <c r="C1187">
        <f>Inputs!$B$3&gt;=120</f>
        <v/>
      </c>
      <c r="D1187">
        <f>IF(Skills!C24=1,60+Inputs!$B$25+Inputs!$B$29,IF(Skills!C24=2,90+Inputs!$B$26+Inputs!$B$29,IF(Skills!C24=3,120+Inputs!$B$27+Inputs!$B$29,MAX(0,(Inputs!$B$3-100)*3)+Inputs!$B$28+Inputs!$B$29)))</f>
        <v/>
      </c>
      <c r="E1187">
        <f>INDEX(FactorTable!$B$2:$Y$301, MATCH(ROUND(MIN(300,MAX(1,D1187)),0), FactorTable!$A$2:$A$301,0), Skills!M24+1)</f>
        <v/>
      </c>
      <c r="F1187">
        <f>IF(Skills!N24=TRUE,(Skills!L24/10)*(E1187/1000),Skills!L24/10)+Skills!O24</f>
        <v/>
      </c>
      <c r="G1187">
        <f>Skills!G24*IF(Skills!H24&gt;0,Skills!I24/Skills!H24,1)</f>
        <v/>
      </c>
      <c r="H1187">
        <f>1-(1-Skills!J24/100)^Skills!K24</f>
        <v/>
      </c>
      <c r="I1187" t="inlineStr">
        <is>
          <t>1</t>
        </is>
      </c>
      <c r="J1187" t="inlineStr"/>
      <c r="K1187" t="inlineStr"/>
      <c r="L1187" t="inlineStr"/>
      <c r="M1187" t="inlineStr"/>
      <c r="N1187" t="inlineStr"/>
      <c r="O1187">
        <f>(1-Summary!$B$11)*T1187+Summary!$B$11*V1187</f>
        <v/>
      </c>
      <c r="P1187">
        <f>IF(B1202=0,0,O1187/B1202)</f>
        <v/>
      </c>
      <c r="Q1187" t="n">
        <v>0</v>
      </c>
      <c r="R1187" t="n">
        <v>0</v>
      </c>
      <c r="S1187">
        <f>IFERROR(O1187/N1187,0)</f>
        <v/>
      </c>
      <c r="T1187" t="n">
        <v>0</v>
      </c>
      <c r="V1187" t="n">
        <v>0</v>
      </c>
    </row>
    <row r="1188">
      <c r="A1188">
        <f>Skills!A25</f>
        <v/>
      </c>
      <c r="B1188">
        <f>Skills!B25</f>
        <v/>
      </c>
      <c r="C1188">
        <f>Inputs!$B$3&gt;=125</f>
        <v/>
      </c>
      <c r="D1188">
        <f>IF(Skills!C25=1,60+Inputs!$B$25+Inputs!$B$29,IF(Skills!C25=2,90+Inputs!$B$26+Inputs!$B$29,IF(Skills!C25=3,120+Inputs!$B$27+Inputs!$B$29,MAX(0,(Inputs!$B$3-100)*3)+Inputs!$B$28+Inputs!$B$29)))</f>
        <v/>
      </c>
      <c r="E1188">
        <f>INDEX(FactorTable!$B$2:$Y$301, MATCH(ROUND(MIN(300,MAX(1,D1188)),0), FactorTable!$A$2:$A$301,0), Skills!M25+1)</f>
        <v/>
      </c>
      <c r="F1188">
        <f>IF(Skills!N25=TRUE,(Skills!L25/10)*(E1188/1000),Skills!L25/10)+Skills!O25</f>
        <v/>
      </c>
      <c r="G1188">
        <f>Skills!G25*IF(Skills!H25&gt;0,Skills!I25/Skills!H25,1)</f>
        <v/>
      </c>
      <c r="H1188">
        <f>1-(1-Skills!J25/100)^Skills!K25</f>
        <v/>
      </c>
      <c r="I1188" t="inlineStr">
        <is>
          <t>1</t>
        </is>
      </c>
      <c r="J1188" t="inlineStr"/>
      <c r="K1188" t="inlineStr"/>
      <c r="L1188" t="inlineStr"/>
      <c r="M1188" t="inlineStr"/>
      <c r="N1188" t="inlineStr"/>
      <c r="O1188">
        <f>(1-Summary!$B$11)*T1188+Summary!$B$11*V1188</f>
        <v/>
      </c>
      <c r="P1188">
        <f>IF(B1202=0,0,O1188/B1202)</f>
        <v/>
      </c>
      <c r="Q1188" t="n">
        <v>0</v>
      </c>
      <c r="R1188" t="n">
        <v>0</v>
      </c>
      <c r="S1188">
        <f>IFERROR(O1188/N1188,0)</f>
        <v/>
      </c>
      <c r="T1188" t="n">
        <v>0</v>
      </c>
      <c r="V1188" t="n">
        <v>0</v>
      </c>
    </row>
    <row r="1189">
      <c r="A1189">
        <f>Skills!A26</f>
        <v/>
      </c>
      <c r="B1189">
        <f>Skills!B26</f>
        <v/>
      </c>
      <c r="C1189">
        <f>Inputs!$B$3&gt;=72</f>
        <v/>
      </c>
      <c r="D1189">
        <f>IF(Skills!C26=1,60+Inputs!$B$25+Inputs!$B$29,IF(Skills!C26=2,90+Inputs!$B$26+Inputs!$B$29,IF(Skills!C26=3,120+Inputs!$B$27+Inputs!$B$29,MAX(0,(Inputs!$B$3-100)*3)+Inputs!$B$28+Inputs!$B$29)))</f>
        <v/>
      </c>
      <c r="E1189">
        <f>INDEX(FactorTable!$B$2:$Y$301, MATCH(ROUND(MIN(300,MAX(1,D1189)),0), FactorTable!$A$2:$A$301,0), Skills!M26+1)</f>
        <v/>
      </c>
      <c r="F1189">
        <f>IF(Skills!N26=TRUE,(Skills!L26/10)*(E1189/1000),Skills!L26/10)+Skills!O26</f>
        <v/>
      </c>
      <c r="G1189">
        <f>Skills!G26*IF(Skills!H26&gt;0,Skills!I26/Skills!H26,1)</f>
        <v/>
      </c>
      <c r="H1189">
        <f>1-(1-Skills!J26/100)^Skills!K26</f>
        <v/>
      </c>
      <c r="I1189" t="inlineStr">
        <is>
          <t>1</t>
        </is>
      </c>
      <c r="J1189" t="inlineStr"/>
      <c r="K1189" t="inlineStr"/>
      <c r="L1189" t="inlineStr"/>
      <c r="M1189" t="inlineStr"/>
      <c r="N1189" t="inlineStr"/>
      <c r="O1189">
        <f>(1-Summary!$B$11)*T1189+Summary!$B$11*V1189</f>
        <v/>
      </c>
      <c r="P1189">
        <f>IF(B1202=0,0,O1189/B1202)</f>
        <v/>
      </c>
      <c r="Q1189" t="n">
        <v>0</v>
      </c>
      <c r="R1189" t="n">
        <v>0</v>
      </c>
      <c r="S1189">
        <f>IFERROR(O1189/N1189,0)</f>
        <v/>
      </c>
      <c r="T1189" t="n">
        <v>0</v>
      </c>
      <c r="V1189" t="n">
        <v>0</v>
      </c>
    </row>
    <row r="1191">
      <c r="A1191" t="inlineStr">
        <is>
          <t>Attack% Bucket Multiplier</t>
        </is>
      </c>
      <c r="B1191">
        <f>(1+(((C1176=TRUE)*F1176*IF(Inputs!$B$3&gt;=110,7,5))+((C1178=TRUE)*F1178*IF(AND(Inputs!$B$38&lt;&gt;"pvp",Inputs!$B$43&gt;0),(((R1178-1)*(Skills!T15*(1+(Inputs!$B$34+(ArtifactsInput!$M$7-ArtifactsInput!$M$7)*CHOOSE(ArtifactsInput!$N$7+1,6,7.2,8.4,9.6,10.8,12))/100))+MIN((Skills!T15*(1+(Inputs!$B$34+(ArtifactsInput!$M$7-ArtifactsInput!$M$7)*CHOOSE(ArtifactsInput!$N$7+1,6,7.2,8.4,9.6,10.8,12))/100)),MAX(0,Inputs!$B$43-((R1178-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f>
        <v/>
      </c>
    </row>
    <row r="1192">
      <c r="A1192" t="inlineStr">
        <is>
          <t>Global Crit Rate Bonus %</t>
        </is>
      </c>
      <c r="B1192" t="n">
        <v>0</v>
      </c>
    </row>
    <row r="1193">
      <c r="A1193" t="inlineStr">
        <is>
          <t>Attack Speed Buff Bonus %</t>
        </is>
      </c>
      <c r="B1193">
        <f>((C1182=TRUE)*F1182*IF(AND(Inputs!$B$38&lt;&gt;"pvp",Inputs!$B$43&gt;0),(((R1182-1)*(Skills!T19*(1+(Inputs!$B$34+(ArtifactsInput!$M$7-ArtifactsInput!$M$7)*CHOOSE(ArtifactsInput!$N$7+1,6,7.2,8.4,9.6,10.8,12))/100))+MIN((Skills!T19*(1+(Inputs!$B$34+(ArtifactsInput!$M$7-ArtifactsInput!$M$7)*CHOOSE(ArtifactsInput!$N$7+1,6,7.2,8.4,9.6,10.8,12))/100)),MAX(0,Inputs!$B$43-((R1182-1)*Skills!D19))))/Inputs!$B$43),IF(Inputs!$B$38="pvp",MIN((Skills!T19*(1+(Inputs!$B$34+(ArtifactsInput!$M$7-ArtifactsInput!$M$7)*CHOOSE(ArtifactsInput!$N$7+1,6,7.2,8.4,9.6,10.8,12))/100)),15)/15,(Skills!T19*(1+(Inputs!$B$34+(ArtifactsInput!$M$7-ArtifactsInput!$M$7)*CHOOSE(ArtifactsInput!$N$7+1,6,7.2,8.4,9.6,10.8,12))/100))/Skills!D19)))</f>
        <v/>
      </c>
    </row>
    <row r="1194">
      <c r="A1194" t="inlineStr">
        <is>
          <t>Actions Per Second</t>
        </is>
      </c>
      <c r="B1194">
        <f>1+MIN(150,150*(1-(1-(Inputs!$B$11+((C1183=TRUE)*(F1183-Calc!F20)))/150)*(1-B1193/150)))/100</f>
        <v/>
      </c>
    </row>
    <row r="1195">
      <c r="A1195" t="inlineStr">
        <is>
          <t>Skill + Buff Cast Rate</t>
        </is>
      </c>
      <c r="B1195">
        <f>IF(AND(Inputs!$B$38&lt;&gt;"pvp",Inputs!$B$43&gt;0),SUMPRODUCT((Skills!E2:E26=TRUE)*(C1165:C1189=TRUE)*R1165:R1189*Skills!F2:F26)/Inputs!$B$43,SUMPRODUCT((Skills!E2:E26=TRUE)*(C1165:C1189=TRUE)*Q1165:Q1189*Skills!F2:F26))</f>
        <v/>
      </c>
    </row>
    <row r="1196">
      <c r="A1196" t="inlineStr">
        <is>
          <t>Raging Blow Casts Per Second</t>
        </is>
      </c>
      <c r="B1196">
        <f>MAX(0,B1194-B1195)</f>
        <v/>
      </c>
    </row>
    <row r="1197">
      <c r="A1197" t="inlineStr">
        <is>
          <t>Global Critical Damage Bonus % (Enrage)</t>
        </is>
      </c>
      <c r="B1197">
        <f>((C1181=TRUE)*F1181*IF(AND(Inputs!$B$38&lt;&gt;"pvp",Inputs!$B$43&gt;0),(((R1181-1)*(Skills!T18*(1+(Inputs!$B$34+(ArtifactsInput!$M$7-ArtifactsInput!$M$7)*CHOOSE(ArtifactsInput!$N$7+1,6,7.2,8.4,9.6,10.8,12))/100))+MIN((Skills!T18*(1+(Inputs!$B$34+(ArtifactsInput!$M$7-ArtifactsInput!$M$7)*CHOOSE(ArtifactsInput!$N$7+1,6,7.2,8.4,9.6,10.8,12))/100)),MAX(0,Inputs!$B$43-((R1181-1)*Skills!D18))))/Inputs!$B$43),IF(Inputs!$B$38="pvp",MIN((Skills!T18*(1+(Inputs!$B$34+(ArtifactsInput!$M$7-ArtifactsInput!$M$7)*CHOOSE(ArtifactsInput!$N$7+1,6,7.2,8.4,9.6,10.8,12))/100)),15)/15,(Skills!T18*(1+(Inputs!$B$34+(ArtifactsInput!$M$7-ArtifactsInput!$M$7)*CHOOSE(ArtifactsInput!$N$7+1,6,7.2,8.4,9.6,10.8,12))/100))/Skills!D18)))</f>
        <v/>
      </c>
    </row>
    <row r="1198">
      <c r="A1198" t="inlineStr">
        <is>
          <t>Global Final Damage Bonus % (Enrage + Combo Synergy)</t>
        </is>
      </c>
      <c r="B1198">
        <f>((C1180=TRUE)*F1180*IF(AND(Inputs!$B$38&lt;&gt;"pvp",Inputs!$B$43&gt;0),(((R1180-1)*(Skills!T17*(1+(Inputs!$B$34+(ArtifactsInput!$M$7-ArtifactsInput!$M$7)*CHOOSE(ArtifactsInput!$N$7+1,6,7.2,8.4,9.6,10.8,12))/100))+MIN((Skills!T17*(1+(Inputs!$B$34+(ArtifactsInput!$M$7-ArtifactsInput!$M$7)*CHOOSE(ArtifactsInput!$N$7+1,6,7.2,8.4,9.6,10.8,12))/100)),MAX(0,Inputs!$B$43-((R1180-1)*Skills!D17))))/Inputs!$B$43),IF(Inputs!$B$38="pvp",MIN((Skills!T17*(1+(Inputs!$B$34+(ArtifactsInput!$M$7-ArtifactsInput!$M$7)*CHOOSE(ArtifactsInput!$N$7+1,6,7.2,8.4,9.6,10.8,12))/100)),15)/15,(Skills!T17*(1+(Inputs!$B$34+(ArtifactsInput!$M$7-ArtifactsInput!$M$7)*CHOOSE(ArtifactsInput!$N$7+1,6,7.2,8.4,9.6,10.8,12))/100))/Skills!D17)))+((C1177=TRUE)*F1177*IF(Inputs!$B$3&gt;=110,7,5))</f>
        <v/>
      </c>
    </row>
    <row r="1199">
      <c r="A1199" t="inlineStr">
        <is>
          <t>Buff-Casting Startup Delay (s, fixed-duration only)</t>
        </is>
      </c>
      <c r="B1199">
        <f>IF(AND(Inputs!$B$38&lt;&gt;"pvp",Inputs!$B$43&gt;0),SUMPRODUCT((Skills!T2:T26&gt;0)*(Skills!E2:E26=TRUE)*(C1165:C1189=TRUE))/B1194,0)</f>
        <v/>
      </c>
    </row>
    <row r="1200">
      <c r="A1200" t="inlineStr">
        <is>
          <t>Boss-Only Total DPS (this block's swept value)</t>
        </is>
      </c>
      <c r="B1200">
        <f>SUM(T1165:T1189)</f>
        <v/>
      </c>
    </row>
    <row r="1201">
      <c r="A1201" t="inlineStr">
        <is>
          <t>Normal-Only Total DPS (this block's swept value)</t>
        </is>
      </c>
      <c r="B1201">
        <f>SUM(V1165:V1189)</f>
        <v/>
      </c>
    </row>
    <row r="1202">
      <c r="A1202" s="6" t="inlineStr">
        <is>
          <t>TOTAL DPS</t>
        </is>
      </c>
      <c r="B1202" s="6">
        <f>SUM(O1165:O1189)</f>
        <v/>
      </c>
    </row>
    <row r="1205">
      <c r="A1205" s="6" t="inlineStr">
        <is>
          <t>Stat: Pig's Ribbon (Equip)</t>
        </is>
      </c>
    </row>
    <row r="1206">
      <c r="A1206" s="5" t="inlineStr">
        <is>
          <t>Key</t>
        </is>
      </c>
      <c r="B1206" s="5" t="inlineStr">
        <is>
          <t>Name</t>
        </is>
      </c>
      <c r="C1206" s="5" t="inlineStr">
        <is>
          <t>Unlocked</t>
        </is>
      </c>
      <c r="D1206" s="5" t="inlineStr">
        <is>
          <t>InputLevel</t>
        </is>
      </c>
      <c r="E1206" s="5" t="inlineStr">
        <is>
          <t>Factor</t>
        </is>
      </c>
      <c r="F1206" s="5" t="inlineStr">
        <is>
          <t>CoefficientPercent</t>
        </is>
      </c>
      <c r="G1206" s="5" t="inlineStr">
        <is>
          <t>EffectiveHits</t>
        </is>
      </c>
      <c r="H1206" s="5" t="inlineStr">
        <is>
          <t>ProcProbability</t>
        </is>
      </c>
      <c r="I1206" s="5" t="inlineStr">
        <is>
          <t>MapleHeroMultiplier</t>
        </is>
      </c>
      <c r="J1206" s="5" t="inlineStr">
        <is>
          <t>BaseDamage</t>
        </is>
      </c>
      <c r="K1206" s="5" t="inlineStr">
        <is>
          <t>BaseHitDamage</t>
        </is>
      </c>
      <c r="L1206" s="5" t="inlineStr">
        <is>
          <t>NonCritAvg</t>
        </is>
      </c>
      <c r="M1206" s="5" t="inlineStr">
        <is>
          <t>CritAvg</t>
        </is>
      </c>
      <c r="N1206" s="5" t="inlineStr">
        <is>
          <t>ExpectedDamage(perHit)</t>
        </is>
      </c>
      <c r="O1206" s="5" t="inlineStr">
        <is>
          <t>DPS</t>
        </is>
      </c>
      <c r="P1206" s="5" t="inlineStr">
        <is>
          <t>% of Total</t>
        </is>
      </c>
      <c r="Q1206" s="5" t="inlineStr">
        <is>
          <t>InvCooldown</t>
        </is>
      </c>
      <c r="R1206" s="5" t="inlineStr">
        <is>
          <t>CastsInFight</t>
        </is>
      </c>
      <c r="S1206" s="5" t="inlineStr">
        <is>
          <t>HitRate(perSec)</t>
        </is>
      </c>
      <c r="U1206" t="inlineStr">
        <is>
          <t>helpers</t>
        </is>
      </c>
    </row>
    <row r="1207">
      <c r="A1207">
        <f>Skills!A2</f>
        <v/>
      </c>
      <c r="B1207">
        <f>Skills!B2</f>
        <v/>
      </c>
      <c r="C1207">
        <f>Inputs!$B$3&gt;=100</f>
        <v/>
      </c>
      <c r="D1207" t="inlineStr"/>
      <c r="E1207" t="inlineStr"/>
      <c r="F1207">
        <f>U1209+Skills!O2</f>
        <v/>
      </c>
      <c r="G1207">
        <f>Skills!G2*IF(Skills!H2&gt;0,Skills!I2/Skills!H2,1)</f>
        <v/>
      </c>
      <c r="H1207">
        <f>1-(1-Skills!J2/100)^Skills!K2</f>
        <v/>
      </c>
      <c r="I1207" t="inlineStr">
        <is>
          <t>1</t>
        </is>
      </c>
      <c r="J1207">
        <f>((Inputs!$B$6*(1+Inputs!$B$7/100))+(((Inputs!$B$12*(1+Inputs!$B$13/100))-(Inputs!$B$12*(1+Inputs!$B$13/100)))+0.25*(Inputs!$B$14-Inputs!$B$14))*(1+Inputs!$B$7/100))*(F1207/100)</f>
        <v/>
      </c>
      <c r="K1207">
        <f>J1207*(1+((Inputs!$B$12*(1+Inputs!$B$13/100))*0.01+Inputs!$B$14*0.0025)/100)*(1+Inputs!$B$15/100)*(1+Inputs!$B$16/100)*(5000/(6000+Inputs!$B$42*(1-(100*(1-(1-(Inputs!$B$19+0)/100)*(1-CHOOSE(ArtifactsInput!$N$40+1,5,6,7,8,9,10)/100)^(ArtifactsInput!$M$40-ArtifactsInput!$M$40)))/100)))*(1+(Inputs!$B$24+((C1230=TRUE)*(F1230-Calc!F25))+B1240)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1226=TRUE)*(F1226-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1228=TRUE)*(F1228-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1218=TRUE)*F1218*IF(Inputs!$B$3&gt;=110,7,5))+((C1220=TRUE)*F1220*IF(AND(Inputs!$B$38&lt;&gt;"pvp",Inputs!$B$43&gt;0),(((R1220-1)*(Skills!T15*(1+(Inputs!$B$34+(ArtifactsInput!$M$7-ArtifactsInput!$M$7)*CHOOSE(ArtifactsInput!$N$7+1,6,7.2,8.4,9.6,10.8,12))/100))+MIN((Skills!T15*(1+(Inputs!$B$34+(ArtifactsInput!$M$7-ArtifactsInput!$M$7)*CHOOSE(ArtifactsInput!$N$7+1,6,7.2,8.4,9.6,10.8,12))/100)),MAX(0,Inputs!$B$43-((R1220-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Hunt"),CHOOSE(ArtifactsInput!$N$35+1,15,18,21,24,27,30)*(1-EXP(-(0.2*B1236)*5)),0)+IF(AND(ArtifactsInput!$M$22,Inputs!$B$4&lt;&gt;"Chapter Hunt"),CHOOSE(ArtifactsInput!$N$22+1,10,12,14,16,18,20)*((0*(((0.15*B1236*5))^0/1)+1*(((0.15*B1236*5))^1/1)+2*(((0.15*B1236*5))^2/2)+3*(((0.15*B1236*5))^3/6)+4*(((0.15*B1236*5))^4/24)+5*(((0.15*B1236*5))^5/120))/((((0.15*B1236*5))^0/1)+(((0.15*B1236*5))^1/1)+(((0.15*B1236*5))^2/2)+(((0.15*B1236*5))^3/6)+(((0.15*B1236*5))^4/24)+(((0.15*B1236*5))^5/120))),0)))/100)*I1207)</f>
        <v/>
      </c>
      <c r="L1207">
        <f>K1207*(MIN(Inputs!$B$22+((C1227=TRUE)*(F1227-Calc!F22)),(Inputs!$B$23+((C1229=TRUE)*(F1229-Calc!F24))+(IF(ArtifactsInput!$M$15,CHOOSE(ArtifactsInput!$N$15+1,25,30,35,40,45,50)/100*(Inputs!$B$11-Inputs!$B$11),0))))/100+(Inputs!$B$23+((C1229=TRUE)*(F1229-Calc!F24))+(IF(ArtifactsInput!$M$15,CHOOSE(ArtifactsInput!$N$15+1,25,30,35,40,45,50)/100*(Inputs!$B$11-Inputs!$B$11),0)))/100)/2</f>
        <v/>
      </c>
      <c r="M1207">
        <f>L1207*(1+(Inputs!$B$10+0+B1239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7">
        <f>L1207*(1-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1207*(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7">
        <f>(1-Summary!$B$11)*T1207+Summary!$B$11*V1207</f>
        <v/>
      </c>
      <c r="P1207">
        <f>IF(B1244=0,0,O1207/B1244)</f>
        <v/>
      </c>
      <c r="Q1207" t="n">
        <v>0</v>
      </c>
      <c r="R1207" t="n">
        <v>0</v>
      </c>
      <c r="S1207">
        <f>IFERROR(O1207/N1207,0)</f>
        <v/>
      </c>
      <c r="T1207">
        <f>IF(C1207,(Skills!G2*N1207*B1238)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1207*(1-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1207*(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1207*(1-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1207*(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07">
        <f>MAX(0,(Inputs!$B$3-100)*3)+Inputs!$B$28+Inputs!$B$29</f>
        <v/>
      </c>
      <c r="V1207">
        <f>IF(C1207,(Skills!G2*N1207*B1238)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8">
      <c r="A1208">
        <f>Skills!A3</f>
        <v/>
      </c>
      <c r="B1208">
        <f>Skills!B3</f>
        <v/>
      </c>
      <c r="C1208">
        <f>Inputs!$B$3&gt;=50</f>
        <v/>
      </c>
      <c r="D1208">
        <f>IF(Skills!C3=1,60+Inputs!$B$25+Inputs!$B$29,IF(Skills!C3=2,90+Inputs!$B$26+Inputs!$B$29,IF(Skills!C3=3,120+Inputs!$B$27+Inputs!$B$29,MAX(0,(Inputs!$B$3-100)*3)+Inputs!$B$28+Inputs!$B$29)))</f>
        <v/>
      </c>
      <c r="E1208">
        <f>INDEX(FactorTable!$B$2:$Y$301, MATCH(ROUND(MIN(300,MAX(1,D1208)),0), FactorTable!$A$2:$A$301,0), Skills!M3+1)</f>
        <v/>
      </c>
      <c r="F1208">
        <f>IF(Skills!N3=TRUE,(Skills!L3/10)*(E1208/1000),Skills!L3/10)+Skills!O3</f>
        <v/>
      </c>
      <c r="G1208" t="inlineStr"/>
      <c r="H1208" t="inlineStr"/>
      <c r="I1208" t="inlineStr">
        <is>
          <t>1</t>
        </is>
      </c>
      <c r="J1208" t="inlineStr"/>
      <c r="K1208" t="inlineStr"/>
      <c r="L1208" t="inlineStr"/>
      <c r="M1208" t="inlineStr"/>
      <c r="N1208" t="inlineStr"/>
      <c r="O1208" t="inlineStr"/>
      <c r="P1208" t="inlineStr"/>
      <c r="Q1208" t="inlineStr"/>
      <c r="R1208" t="inlineStr"/>
      <c r="S1208" t="inlineStr"/>
      <c r="U1208">
        <f>INDEX(FactorTable!$B$2:$Y$301, MATCH(ROUND(MIN(300,MAX(1,U1207)),0), FactorTable!$A$2:$A$301,0), 22)</f>
        <v/>
      </c>
    </row>
    <row r="1209">
      <c r="A1209">
        <f>Skills!A4</f>
        <v/>
      </c>
      <c r="B1209">
        <f>Skills!B4</f>
        <v/>
      </c>
      <c r="C1209">
        <f>Inputs!$B$3&gt;=105</f>
        <v/>
      </c>
      <c r="D1209">
        <f>IF(Skills!C4=1,60+Inputs!$B$25+Inputs!$B$29,IF(Skills!C4=2,90+Inputs!$B$26+Inputs!$B$29,IF(Skills!C4=3,120+Inputs!$B$27+Inputs!$B$29,MAX(0,(Inputs!$B$3-100)*3)+Inputs!$B$28+Inputs!$B$29)))</f>
        <v/>
      </c>
      <c r="E1209">
        <f>INDEX(FactorTable!$B$2:$Y$301, MATCH(ROUND(MIN(300,MAX(1,D1209)),0), FactorTable!$A$2:$A$301,0), Skills!M4+1)</f>
        <v/>
      </c>
      <c r="F1209">
        <f>IF(Skills!N4=TRUE,(Skills!L4/10)*(E1209/1000),Skills!L4/10)+Skills!O4</f>
        <v/>
      </c>
      <c r="G1209" t="inlineStr"/>
      <c r="H1209" t="inlineStr"/>
      <c r="I1209" t="inlineStr">
        <is>
          <t>1</t>
        </is>
      </c>
      <c r="J1209" t="inlineStr"/>
      <c r="K1209" t="inlineStr"/>
      <c r="L1209" t="inlineStr"/>
      <c r="M1209" t="inlineStr"/>
      <c r="N1209" t="inlineStr"/>
      <c r="O1209" t="inlineStr"/>
      <c r="P1209" t="inlineStr"/>
      <c r="Q1209" t="inlineStr"/>
      <c r="R1209" t="inlineStr"/>
      <c r="S1209" t="inlineStr"/>
      <c r="U1209">
        <f>290*U1208/1000</f>
        <v/>
      </c>
    </row>
    <row r="1210">
      <c r="A1210">
        <f>Skills!A5</f>
        <v/>
      </c>
      <c r="B1210">
        <f>Skills!B5</f>
        <v/>
      </c>
      <c r="C1210">
        <f>Inputs!$B$3&gt;=103</f>
        <v/>
      </c>
      <c r="D1210">
        <f>IF(Skills!C5=1,60+Inputs!$B$25+Inputs!$B$29,IF(Skills!C5=2,90+Inputs!$B$26+Inputs!$B$29,IF(Skills!C5=3,120+Inputs!$B$27+Inputs!$B$29,MAX(0,(Inputs!$B$3-100)*3)+Inputs!$B$28+Inputs!$B$29)))</f>
        <v/>
      </c>
      <c r="E1210">
        <f>INDEX(FactorTable!$B$2:$Y$301, MATCH(ROUND(MIN(300,MAX(1,D1210)),0), FactorTable!$A$2:$A$301,0), Skills!M5+1)</f>
        <v/>
      </c>
      <c r="F1210">
        <f>IF(Skills!N5=TRUE,(Skills!L5/10)*(E1210/1000),Skills!L5/10)+Skills!O5</f>
        <v/>
      </c>
      <c r="G1210">
        <f>Skills!G5*IF(Skills!H5&gt;0,Skills!I5/Skills!H5,1)</f>
        <v/>
      </c>
      <c r="H1210">
        <f>1-(1-Skills!J5/100)^Skills!K5</f>
        <v/>
      </c>
      <c r="I1210" t="inlineStr">
        <is>
          <t>1</t>
        </is>
      </c>
      <c r="J1210">
        <f>((Inputs!$B$6*(1+Inputs!$B$7/100))+(((Inputs!$B$12*(1+Inputs!$B$13/100))-(Inputs!$B$12*(1+Inputs!$B$13/100)))+0.25*(Inputs!$B$14-Inputs!$B$14))*(1+Inputs!$B$7/100))*(F1210/100)</f>
        <v/>
      </c>
      <c r="K1210">
        <f>J1210*(1+((Inputs!$B$12*(1+Inputs!$B$13/100))*0.01+Inputs!$B$14*0.0025)/100)*(1+Inputs!$B$15/100)*(1+Inputs!$B$16/100)*(5000/(6000+Inputs!$B$42*(1-(100*(1-(1-(Inputs!$B$19+0)/100)*(1-CHOOSE(ArtifactsInput!$N$40+1,5,6,7,8,9,10)/100)^(ArtifactsInput!$M$40-ArtifactsInput!$M$40)))/100)))*(1+(Inputs!$B$24+((C1230=TRUE)*(F1230-Calc!F25))+B1240)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1226=TRUE)*(F1226-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1228=TRUE)*(F1228-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1218=TRUE)*F1218*IF(Inputs!$B$3&gt;=110,7,5))+((C1220=TRUE)*F1220*IF(AND(Inputs!$B$38&lt;&gt;"pvp",Inputs!$B$43&gt;0),(((R1220-1)*(Skills!T15*(1+(Inputs!$B$34+(ArtifactsInput!$M$7-ArtifactsInput!$M$7)*CHOOSE(ArtifactsInput!$N$7+1,6,7.2,8.4,9.6,10.8,12))/100))+MIN((Skills!T15*(1+(Inputs!$B$34+(ArtifactsInput!$M$7-ArtifactsInput!$M$7)*CHOOSE(ArtifactsInput!$N$7+1,6,7.2,8.4,9.6,10.8,12))/100)),MAX(0,Inputs!$B$43-((R1220-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Hunt"),CHOOSE(ArtifactsInput!$N$35+1,15,18,21,24,27,30)*(1-EXP(-(0.2*B1236)*5)),0)+IF(AND(ArtifactsInput!$M$22,Inputs!$B$4&lt;&gt;"Chapter Hunt"),CHOOSE(ArtifactsInput!$N$22+1,10,12,14,16,18,20)*((0*(((0.15*B1236*5))^0/1)+1*(((0.15*B1236*5))^1/1)+2*(((0.15*B1236*5))^2/2)+3*(((0.15*B1236*5))^3/6)+4*(((0.15*B1236*5))^4/24)+5*(((0.15*B1236*5))^5/120))/((((0.15*B1236*5))^0/1)+(((0.15*B1236*5))^1/1)+(((0.15*B1236*5))^2/2)+(((0.15*B1236*5))^3/6)+(((0.15*B1236*5))^4/24)+(((0.15*B1236*5))^5/120))),0)))/100)*I1210)</f>
        <v/>
      </c>
      <c r="L1210">
        <f>K1210*(MIN(Inputs!$B$22+((C1227=TRUE)*(F1227-Calc!F22)),(Inputs!$B$23+((C1229=TRUE)*(F1229-Calc!F24))+(IF(ArtifactsInput!$M$15,CHOOSE(ArtifactsInput!$N$15+1,25,30,35,40,45,50)/100*(Inputs!$B$11-Inputs!$B$11),0))))/100+(Inputs!$B$23+((C1229=TRUE)*(F1229-Calc!F24))+(IF(ArtifactsInput!$M$15,CHOOSE(ArtifactsInput!$N$15+1,25,30,35,40,45,50)/100*(Inputs!$B$11-Inputs!$B$11),0)))/100)/2</f>
        <v/>
      </c>
      <c r="M1210">
        <f>L1210*(1+(Inputs!$B$10+0+B1239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0">
        <f>L1210*(1-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1210*(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0">
        <f>(1-Summary!$B$11)*T1210+Summary!$B$11*V1210</f>
        <v/>
      </c>
      <c r="P1210">
        <f>IF(B1244=0,0,O1210/B1244)</f>
        <v/>
      </c>
      <c r="Q1210">
        <f>IFERROR(1/(IF(Inputs!$B$38="pvp",15,MAX(0.1,Skills!D5-IF(Skills!E5=TRUE,Inputs!$B$32,0)))*(1-IF(AND(ArtifactsInput!$M$27,Inputs!$B$4="Chapter Hunt"),CHOOSE(ArtifactsInput!$N$27+1,20,24,28,32,36,40),0)/100)),0)</f>
        <v/>
      </c>
      <c r="R1210">
        <f>IF(AND(Inputs!$B$38&lt;&gt;"pvp",Inputs!$B$43&gt;0),IF(MAX(0,Inputs!$B$43-B1241)&lt;=0,0,(INT(MAX(0,Inputs!$B$43-B1241)/(IF(Inputs!$B$38="pvp",15,MAX(0.1,Skills!D5-IF(Skills!E5=TRUE,Inputs!$B$32,0)))*(1-IF(AND(ArtifactsInput!$M$27,Inputs!$B$4="Chapter Hunt"),CHOOSE(ArtifactsInput!$N$27+1,20,24,28,32,36,40),0)/100)))+1)),0)</f>
        <v/>
      </c>
      <c r="S1210">
        <f>IFERROR(O1210/N1210,0)</f>
        <v/>
      </c>
      <c r="T1210">
        <f>IF(C1210,(H1210*N1210*IF(AND(Inputs!$B$38&lt;&gt;"pvp",Inputs!$B$43&gt;0),((Skills!G5*((R1210-1)*IF(Skills!H5&gt;0,Skills!I5/Skills!H5,1)+IF(Skills!H5&gt;0,MIN(Skills!I5,MAX(0,MAX(0,Inputs!$B$43-B1241)-((R1210-1)*(IF(Inputs!$B$38="pvp",15,MAX(0.1,Skills!D5-IF(Skills!E5=TRUE,Inputs!$B$32,0)))*(1-IF(AND(ArtifactsInput!$M$27,Inputs!$B$4="Chapter Hunt"),CHOOSE(ArtifactsInput!$N$27+1,20,24,28,32,36,40),0)/100)))))/Skills!H5,1)))/Inputs!$B$43),G1210*Q1210)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1210*(1-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1210*(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1210*(1-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1210*(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10">
        <f>IF(C1210,(H1210*N1210*IF(AND(Inputs!$B$38&lt;&gt;"pvp",Inputs!$B$43&gt;0),((Skills!G5*((R1210-1)*IF(Skills!H5&gt;0,Skills!I5/Skills!H5,1)+IF(Skills!H5&gt;0,MIN(Skills!I5,MAX(0,MAX(0,Inputs!$B$43-B1241)-((R1210-1)*(IF(Inputs!$B$38="pvp",15,MAX(0.1,Skills!D5-IF(Skills!E5=TRUE,Inputs!$B$32,0)))*(1-IF(AND(ArtifactsInput!$M$27,Inputs!$B$4="Chapter Hunt"),CHOOSE(ArtifactsInput!$N$27+1,20,24,28,32,36,40),0)/100)))))/Skills!H5,1)))/Inputs!$B$43),G1210*Q1210)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1">
      <c r="A1211">
        <f>Skills!A6</f>
        <v/>
      </c>
      <c r="B1211">
        <f>Skills!B6</f>
        <v/>
      </c>
      <c r="C1211">
        <f>Inputs!$B$3&gt;=103</f>
        <v/>
      </c>
      <c r="D1211">
        <f>IF(Skills!C6=1,60+Inputs!$B$25+Inputs!$B$29,IF(Skills!C6=2,90+Inputs!$B$26+Inputs!$B$29,IF(Skills!C6=3,120+Inputs!$B$27+Inputs!$B$29,MAX(0,(Inputs!$B$3-100)*3)+Inputs!$B$28+Inputs!$B$29)))</f>
        <v/>
      </c>
      <c r="E1211">
        <f>INDEX(FactorTable!$B$2:$Y$301, MATCH(ROUND(MIN(300,MAX(1,D1211)),0), FactorTable!$A$2:$A$301,0), Skills!M6+1)</f>
        <v/>
      </c>
      <c r="F1211">
        <f>IF(Skills!N6=TRUE,(Skills!L6/10)*(E1211/1000),Skills!L6/10)+Skills!O6</f>
        <v/>
      </c>
      <c r="G1211">
        <f>Skills!G6*IF(Skills!H6&gt;0,Skills!I6/Skills!H6,1)</f>
        <v/>
      </c>
      <c r="H1211">
        <f>1-(1-Skills!J6/100)^Skills!K6</f>
        <v/>
      </c>
      <c r="I1211" t="inlineStr">
        <is>
          <t>1</t>
        </is>
      </c>
      <c r="J1211">
        <f>((Inputs!$B$6*(1+Inputs!$B$7/100))+(((Inputs!$B$12*(1+Inputs!$B$13/100))-(Inputs!$B$12*(1+Inputs!$B$13/100)))+0.25*(Inputs!$B$14-Inputs!$B$14))*(1+Inputs!$B$7/100))*(F1211/100)</f>
        <v/>
      </c>
      <c r="K1211">
        <f>J1211*(1+((Inputs!$B$12*(1+Inputs!$B$13/100))*0.01+Inputs!$B$14*0.0025)/100)*(1+Inputs!$B$15/100)*(1+Inputs!$B$16/100)*(5000/(6000+Inputs!$B$42*(1-(100*(1-(1-(Inputs!$B$19+0)/100)*(1-CHOOSE(ArtifactsInput!$N$40+1,5,6,7,8,9,10)/100)^(ArtifactsInput!$M$40-ArtifactsInput!$M$40)))/100)))*(1+(Inputs!$B$24+((C1230=TRUE)*(F1230-Calc!F25))+B1240)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1226=TRUE)*(F1226-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1228=TRUE)*(F1228-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1218=TRUE)*F1218*IF(Inputs!$B$3&gt;=110,7,5))+((C1220=TRUE)*F1220*IF(AND(Inputs!$B$38&lt;&gt;"pvp",Inputs!$B$43&gt;0),(((R1220-1)*(Skills!T15*(1+(Inputs!$B$34+(ArtifactsInput!$M$7-ArtifactsInput!$M$7)*CHOOSE(ArtifactsInput!$N$7+1,6,7.2,8.4,9.6,10.8,12))/100))+MIN((Skills!T15*(1+(Inputs!$B$34+(ArtifactsInput!$M$7-ArtifactsInput!$M$7)*CHOOSE(ArtifactsInput!$N$7+1,6,7.2,8.4,9.6,10.8,12))/100)),MAX(0,Inputs!$B$43-((R1220-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Hunt"),CHOOSE(ArtifactsInput!$N$35+1,15,18,21,24,27,30)*(1-EXP(-(0.2*B1236)*5)),0)+IF(AND(ArtifactsInput!$M$22,Inputs!$B$4&lt;&gt;"Chapter Hunt"),CHOOSE(ArtifactsInput!$N$22+1,10,12,14,16,18,20)*((0*(((0.15*B1236*5))^0/1)+1*(((0.15*B1236*5))^1/1)+2*(((0.15*B1236*5))^2/2)+3*(((0.15*B1236*5))^3/6)+4*(((0.15*B1236*5))^4/24)+5*(((0.15*B1236*5))^5/120))/((((0.15*B1236*5))^0/1)+(((0.15*B1236*5))^1/1)+(((0.15*B1236*5))^2/2)+(((0.15*B1236*5))^3/6)+(((0.15*B1236*5))^4/24)+(((0.15*B1236*5))^5/120))),0)))/100)*I1211)</f>
        <v/>
      </c>
      <c r="L1211">
        <f>K1211*(MIN(Inputs!$B$22+((C1227=TRUE)*(F1227-Calc!F22)),(Inputs!$B$23+((C1229=TRUE)*(F1229-Calc!F24))+(IF(ArtifactsInput!$M$15,CHOOSE(ArtifactsInput!$N$15+1,25,30,35,40,45,50)/100*(Inputs!$B$11-Inputs!$B$11),0))))/100+(Inputs!$B$23+((C1229=TRUE)*(F1229-Calc!F24))+(IF(ArtifactsInput!$M$15,CHOOSE(ArtifactsInput!$N$15+1,25,30,35,40,45,50)/100*(Inputs!$B$11-Inputs!$B$11),0)))/100)/2</f>
        <v/>
      </c>
      <c r="M1211">
        <f>L1211*(1+(Inputs!$B$10+0+B1239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1">
        <f>L1211*(1-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1211*(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1">
        <f>(1-Summary!$B$11)*T1211+Summary!$B$11*V1211</f>
        <v/>
      </c>
      <c r="P1211">
        <f>IF(B1244=0,0,O1211/B1244)</f>
        <v/>
      </c>
      <c r="Q1211">
        <f>IFERROR(1/(IF(Inputs!$B$38="pvp",15,MAX(0.1,Skills!D6-IF(Skills!E6=TRUE,Inputs!$B$32,0)))*(1-IF(AND(ArtifactsInput!$M$27,Inputs!$B$4="Chapter Hunt"),CHOOSE(ArtifactsInput!$N$27+1,20,24,28,32,36,40),0)/100)),0)</f>
        <v/>
      </c>
      <c r="R1211">
        <f>IF(AND(Inputs!$B$38&lt;&gt;"pvp",Inputs!$B$43&gt;0),IF(MAX(0,Inputs!$B$43-B1241)&lt;=0,0,(INT(MAX(0,Inputs!$B$43-B1241)/(IF(Inputs!$B$38="pvp",15,MAX(0.1,Skills!D6-IF(Skills!E6=TRUE,Inputs!$B$32,0)))*(1-IF(AND(ArtifactsInput!$M$27,Inputs!$B$4="Chapter Hunt"),CHOOSE(ArtifactsInput!$N$27+1,20,24,28,32,36,40),0)/100)))+1)),0)</f>
        <v/>
      </c>
      <c r="S1211">
        <f>IFERROR(O1211/N1211,0)</f>
        <v/>
      </c>
      <c r="T1211">
        <f>IF(C1211,(H1211*N1211*IF(AND(Inputs!$B$38&lt;&gt;"pvp",Inputs!$B$43&gt;0),((Skills!G6*((R1211-1)*IF(Skills!H6&gt;0,Skills!I6/Skills!H6,1)+IF(Skills!H6&gt;0,MIN(Skills!I6,MAX(0,MAX(0,Inputs!$B$43-B1241)-((R1211-1)*(IF(Inputs!$B$38="pvp",15,MAX(0.1,Skills!D6-IF(Skills!E6=TRUE,Inputs!$B$32,0)))*(1-IF(AND(ArtifactsInput!$M$27,Inputs!$B$4="Chapter Hunt"),CHOOSE(ArtifactsInput!$N$27+1,20,24,28,32,36,40),0)/100)))))/Skills!H6,1)))/Inputs!$B$43),G1211*Q1211)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1211*(1-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1211*(1-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11">
        <f>IF(C1211,(H1211*N1211*IF(AND(Inputs!$B$38&lt;&gt;"pvp",Inputs!$B$43&gt;0),((Skills!G6*((R1211-1)*IF(Skills!H6&gt;0,Skills!I6/Skills!H6,1)+IF(Skills!H6&gt;0,MIN(Skills!I6,MAX(0,MAX(0,Inputs!$B$43-B1241)-((R1211-1)*(IF(Inputs!$B$38="pvp",15,MAX(0.1,Skills!D6-IF(Skills!E6=TRUE,Inputs!$B$32,0)))*(1-IF(AND(ArtifactsInput!$M$27,Inputs!$B$4="Chapter Hunt"),CHOOSE(ArtifactsInput!$N$27+1,20,24,28,32,36,40),0)/100)))))/Skills!H6,1)))/Inputs!$B$43),G1211*Q1211)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2">
      <c r="A1212">
        <f>Skills!A7</f>
        <v/>
      </c>
      <c r="B1212">
        <f>Skills!B7</f>
        <v/>
      </c>
      <c r="C1212">
        <f>Inputs!$B$3&gt;=107</f>
        <v/>
      </c>
      <c r="D1212">
        <f>IF(Skills!C7=1,60+Inputs!$B$25+Inputs!$B$29,IF(Skills!C7=2,90+Inputs!$B$26+Inputs!$B$29,IF(Skills!C7=3,120+Inputs!$B$27+Inputs!$B$29,MAX(0,(Inputs!$B$3-100)*3)+Inputs!$B$28+Inputs!$B$29)))</f>
        <v/>
      </c>
      <c r="E1212">
        <f>INDEX(FactorTable!$B$2:$Y$301, MATCH(ROUND(MIN(300,MAX(1,D1212)),0), FactorTable!$A$2:$A$301,0), Skills!M7+1)</f>
        <v/>
      </c>
      <c r="F1212">
        <f>IF(Skills!N7=TRUE,(Skills!L7/10)*(E1212/1000),Skills!L7/10)+Skills!O7</f>
        <v/>
      </c>
      <c r="G1212">
        <f>Skills!G7*IF(Skills!H7&gt;0,Skills!I7/Skills!H7,1)</f>
        <v/>
      </c>
      <c r="H1212">
        <f>1-(1-Skills!J7/100)^Skills!K7</f>
        <v/>
      </c>
      <c r="I1212" t="inlineStr">
        <is>
          <t>1</t>
        </is>
      </c>
      <c r="J1212">
        <f>((Inputs!$B$6*(1+Inputs!$B$7/100))+(((Inputs!$B$12*(1+Inputs!$B$13/100))-(Inputs!$B$12*(1+Inputs!$B$13/100)))+0.25*(Inputs!$B$14-Inputs!$B$14))*(1+Inputs!$B$7/100))*(F1212/100)</f>
        <v/>
      </c>
      <c r="K1212">
        <f>J1212*(1+((Inputs!$B$12*(1+Inputs!$B$13/100))*0.01+Inputs!$B$14*0.0025)/100)*(1+Inputs!$B$15/100)*(1+Inputs!$B$16/100)*(5000/(6000+Inputs!$B$42*(1-(100*(1-(1-(Inputs!$B$19+0)/100)*(1-CHOOSE(ArtifactsInput!$N$40+1,5,6,7,8,9,10)/100)^(ArtifactsInput!$M$40-ArtifactsInput!$M$40)))/100)))*(1+(Inputs!$B$24+((C1230=TRUE)*(F1230-Calc!F25))+B1240)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1226=TRUE)*(F1226-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1228=TRUE)*(F1228-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1218=TRUE)*F1218*IF(Inputs!$B$3&gt;=110,7,5))+((C1220=TRUE)*F1220*IF(AND(Inputs!$B$38&lt;&gt;"pvp",Inputs!$B$43&gt;0),(((R1220-1)*(Skills!T15*(1+(Inputs!$B$34+(ArtifactsInput!$M$7-ArtifactsInput!$M$7)*CHOOSE(ArtifactsInput!$N$7+1,6,7.2,8.4,9.6,10.8,12))/100))+MIN((Skills!T15*(1+(Inputs!$B$34+(ArtifactsInput!$M$7-ArtifactsInput!$M$7)*CHOOSE(ArtifactsInput!$N$7+1,6,7.2,8.4,9.6,10.8,12))/100)),MAX(0,Inputs!$B$43-((R1220-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Hunt"),CHOOSE(ArtifactsInput!$N$35+1,15,18,21,24,27,30)*(1-EXP(-(0.2*B1236)*5)),0)+IF(AND(ArtifactsInput!$M$22,Inputs!$B$4&lt;&gt;"Chapter Hunt"),CHOOSE(ArtifactsInput!$N$22+1,10,12,14,16,18,20)*((0*(((0.15*B1236*5))^0/1)+1*(((0.15*B1236*5))^1/1)+2*(((0.15*B1236*5))^2/2)+3*(((0.15*B1236*5))^3/6)+4*(((0.15*B1236*5))^4/24)+5*(((0.15*B1236*5))^5/120))/((((0.15*B1236*5))^0/1)+(((0.15*B1236*5))^1/1)+(((0.15*B1236*5))^2/2)+(((0.15*B1236*5))^3/6)+(((0.15*B1236*5))^4/24)+(((0.15*B1236*5))^5/120))),0)))/100)*I1212)</f>
        <v/>
      </c>
      <c r="L1212">
        <f>K1212*(MIN(Inputs!$B$22+((C1227=TRUE)*(F1227-Calc!F22)),(Inputs!$B$23+((C1229=TRUE)*(F1229-Calc!F24))+(IF(ArtifactsInput!$M$15,CHOOSE(ArtifactsInput!$N$15+1,25,30,35,40,45,50)/100*(Inputs!$B$11-Inputs!$B$11),0))))/100+(Inputs!$B$23+((C1229=TRUE)*(F1229-Calc!F24))+(IF(ArtifactsInput!$M$15,CHOOSE(ArtifactsInput!$N$15+1,25,30,35,40,45,50)/100*(Inputs!$B$11-Inputs!$B$11),0)))/100)/2</f>
        <v/>
      </c>
      <c r="M1212">
        <f>L1212*(1+(Inputs!$B$10+0+B1239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2">
        <f>L1212*(1-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1212*(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2">
        <f>(1-Summary!$B$11)*T1212+Summary!$B$11*V1212</f>
        <v/>
      </c>
      <c r="P1212">
        <f>IF(B1244=0,0,O1212/B1244)</f>
        <v/>
      </c>
      <c r="Q1212">
        <f>IFERROR(1/(IF(Inputs!$B$38="pvp",15,MAX(0.1,Skills!D7-IF(Skills!E7=TRUE,Inputs!$B$32,0)))*(1-IF(AND(ArtifactsInput!$M$27,Inputs!$B$4="Chapter Hunt"),CHOOSE(ArtifactsInput!$N$27+1,20,24,28,32,36,40),0)/100)),0)</f>
        <v/>
      </c>
      <c r="R1212">
        <f>IF(AND(Inputs!$B$38&lt;&gt;"pvp",Inputs!$B$43&gt;0),IF(MAX(0,Inputs!$B$43-B1241)&lt;=0,0,(INT(MAX(0,Inputs!$B$43-B1241)/(IF(Inputs!$B$38="pvp",15,MAX(0.1,Skills!D7-IF(Skills!E7=TRUE,Inputs!$B$32,0)))*(1-IF(AND(ArtifactsInput!$M$27,Inputs!$B$4="Chapter Hunt"),CHOOSE(ArtifactsInput!$N$27+1,20,24,28,32,36,40),0)/100)))+1)),0)</f>
        <v/>
      </c>
      <c r="S1212">
        <f>IFERROR(O1212/N1212,0)</f>
        <v/>
      </c>
      <c r="T1212">
        <f>IF(C1212,(H1212*N1212*IF(AND(Inputs!$B$38&lt;&gt;"pvp",Inputs!$B$43&gt;0),((Skills!G7*((R1212-1)*IF(Skills!H7&gt;0,Skills!I7/Skills!H7,1)+IF(Skills!H7&gt;0,MIN(Skills!I7,MAX(0,MAX(0,Inputs!$B$43-B1241)-((R1212-1)*(IF(Inputs!$B$38="pvp",15,MAX(0.1,Skills!D7-IF(Skills!E7=TRUE,Inputs!$B$32,0)))*(1-IF(AND(ArtifactsInput!$M$27,Inputs!$B$4="Chapter Hunt"),CHOOSE(ArtifactsInput!$N$27+1,20,24,28,32,36,40),0)/100)))))/Skills!H7,1)))/Inputs!$B$43),G1212*Q1212)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1212*(1-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1212*(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1212*(1-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1212*(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12">
        <f>IF(C1212,(H1212*N1212*IF(AND(Inputs!$B$38&lt;&gt;"pvp",Inputs!$B$43&gt;0),((Skills!G7*((R1212-1)*IF(Skills!H7&gt;0,Skills!I7/Skills!H7,1)+IF(Skills!H7&gt;0,MIN(Skills!I7,MAX(0,MAX(0,Inputs!$B$43-B1241)-((R1212-1)*(IF(Inputs!$B$38="pvp",15,MAX(0.1,Skills!D7-IF(Skills!E7=TRUE,Inputs!$B$32,0)))*(1-IF(AND(ArtifactsInput!$M$27,Inputs!$B$4="Chapter Hunt"),CHOOSE(ArtifactsInput!$N$27+1,20,24,28,32,36,40),0)/100)))))/Skills!H7,1)))/Inputs!$B$43),G1212*Q1212)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3">
      <c r="A1213">
        <f>Skills!A8</f>
        <v/>
      </c>
      <c r="B1213">
        <f>Skills!B8</f>
        <v/>
      </c>
      <c r="C1213">
        <f>Inputs!$B$3&gt;=117</f>
        <v/>
      </c>
      <c r="D1213">
        <f>IF(Skills!C8=1,60+Inputs!$B$25+Inputs!$B$29,IF(Skills!C8=2,90+Inputs!$B$26+Inputs!$B$29,IF(Skills!C8=3,120+Inputs!$B$27+Inputs!$B$29,MAX(0,(Inputs!$B$3-100)*3)+Inputs!$B$28+Inputs!$B$29)))</f>
        <v/>
      </c>
      <c r="E1213">
        <f>INDEX(FactorTable!$B$2:$Y$301, MATCH(ROUND(MIN(300,MAX(1,D1213)),0), FactorTable!$A$2:$A$301,0), Skills!M8+1)</f>
        <v/>
      </c>
      <c r="F1213">
        <f>IF(Skills!N8=TRUE,(Skills!L8/10)*(E1213/1000),Skills!L8/10)+Skills!O8</f>
        <v/>
      </c>
      <c r="G1213">
        <f>Skills!G8*IF(Skills!H8&gt;0,Skills!I8/Skills!H8,1)</f>
        <v/>
      </c>
      <c r="H1213">
        <f>1-(1-Skills!J8/100)^Skills!K8</f>
        <v/>
      </c>
      <c r="I1213" t="inlineStr">
        <is>
          <t>1</t>
        </is>
      </c>
      <c r="J1213">
        <f>((Inputs!$B$6*(1+Inputs!$B$7/100))+(((Inputs!$B$12*(1+Inputs!$B$13/100))-(Inputs!$B$12*(1+Inputs!$B$13/100)))+0.25*(Inputs!$B$14-Inputs!$B$14))*(1+Inputs!$B$7/100))*(F1213/100)</f>
        <v/>
      </c>
      <c r="K1213">
        <f>J1213*(1+((Inputs!$B$12*(1+Inputs!$B$13/100))*0.01+Inputs!$B$14*0.0025)/100)*(1+Inputs!$B$15/100)*(1+Inputs!$B$16/100)*(5000/(6000+Inputs!$B$42*(1-(100*(1-(1-(Inputs!$B$19+0)/100)*(1-CHOOSE(ArtifactsInput!$N$40+1,5,6,7,8,9,10)/100)^(ArtifactsInput!$M$40-ArtifactsInput!$M$40)))/100)))*(1+(Inputs!$B$24+((C1230=TRUE)*(F1230-Calc!F25))+B1240)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1226=TRUE)*(F1226-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1228=TRUE)*(F1228-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1218=TRUE)*F1218*IF(Inputs!$B$3&gt;=110,7,5))+((C1220=TRUE)*F1220*IF(AND(Inputs!$B$38&lt;&gt;"pvp",Inputs!$B$43&gt;0),(((R1220-1)*(Skills!T15*(1+(Inputs!$B$34+(ArtifactsInput!$M$7-ArtifactsInput!$M$7)*CHOOSE(ArtifactsInput!$N$7+1,6,7.2,8.4,9.6,10.8,12))/100))+MIN((Skills!T15*(1+(Inputs!$B$34+(ArtifactsInput!$M$7-ArtifactsInput!$M$7)*CHOOSE(ArtifactsInput!$N$7+1,6,7.2,8.4,9.6,10.8,12))/100)),MAX(0,Inputs!$B$43-((R1220-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Hunt"),CHOOSE(ArtifactsInput!$N$35+1,15,18,21,24,27,30)*(1-EXP(-(0.2*B1236)*5)),0)+IF(AND(ArtifactsInput!$M$22,Inputs!$B$4&lt;&gt;"Chapter Hunt"),CHOOSE(ArtifactsInput!$N$22+1,10,12,14,16,18,20)*((0*(((0.15*B1236*5))^0/1)+1*(((0.15*B1236*5))^1/1)+2*(((0.15*B1236*5))^2/2)+3*(((0.15*B1236*5))^3/6)+4*(((0.15*B1236*5))^4/24)+5*(((0.15*B1236*5))^5/120))/((((0.15*B1236*5))^0/1)+(((0.15*B1236*5))^1/1)+(((0.15*B1236*5))^2/2)+(((0.15*B1236*5))^3/6)+(((0.15*B1236*5))^4/24)+(((0.15*B1236*5))^5/120))),0)))/100)*I1213)</f>
        <v/>
      </c>
      <c r="L1213">
        <f>K1213*(MIN(Inputs!$B$22+((C1227=TRUE)*(F1227-Calc!F22)),(Inputs!$B$23+((C1229=TRUE)*(F1229-Calc!F24))+(IF(ArtifactsInput!$M$15,CHOOSE(ArtifactsInput!$N$15+1,25,30,35,40,45,50)/100*(Inputs!$B$11-Inputs!$B$11),0))))/100+(Inputs!$B$23+((C1229=TRUE)*(F1229-Calc!F24))+(IF(ArtifactsInput!$M$15,CHOOSE(ArtifactsInput!$N$15+1,25,30,35,40,45,50)/100*(Inputs!$B$11-Inputs!$B$11),0)))/100)/2</f>
        <v/>
      </c>
      <c r="M1213">
        <f>L1213*(1+(Inputs!$B$10+0+B1239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3">
        <f>L1213*(1-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1213*(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3">
        <f>(1-Summary!$B$11)*T1213+Summary!$B$11*V1213</f>
        <v/>
      </c>
      <c r="P1213">
        <f>IF(B1244=0,0,O1213/B1244)</f>
        <v/>
      </c>
      <c r="Q1213">
        <f>IFERROR(1/(IF(Inputs!$B$38="pvp",15,MAX(0.1,Skills!D8-IF(Skills!E8=TRUE,Inputs!$B$32,0)))*(1-IF(AND(ArtifactsInput!$M$27,Inputs!$B$4="Chapter Hunt"),CHOOSE(ArtifactsInput!$N$27+1,20,24,28,32,36,40),0)/100)),0)</f>
        <v/>
      </c>
      <c r="R1213">
        <f>IF(AND(Inputs!$B$38&lt;&gt;"pvp",Inputs!$B$43&gt;0),IF(MAX(0,Inputs!$B$43-B1241)&lt;=0,0,(INT(MAX(0,Inputs!$B$43-B1241)/(IF(Inputs!$B$38="pvp",15,MAX(0.1,Skills!D8-IF(Skills!E8=TRUE,Inputs!$B$32,0)))*(1-IF(AND(ArtifactsInput!$M$27,Inputs!$B$4="Chapter Hunt"),CHOOSE(ArtifactsInput!$N$27+1,20,24,28,32,36,40),0)/100)))+1)),0)</f>
        <v/>
      </c>
      <c r="S1213">
        <f>IFERROR(O1213/N1213,0)</f>
        <v/>
      </c>
      <c r="T1213">
        <f>IF(C1213,(H1213*N1213*IF(AND(Inputs!$B$38&lt;&gt;"pvp",Inputs!$B$43&gt;0),((Skills!G8*((R1213-1)*IF(Skills!H8&gt;0,Skills!I8/Skills!H8,1)+IF(Skills!H8&gt;0,MIN(Skills!I8,MAX(0,MAX(0,Inputs!$B$43-B1241)-((R1213-1)*(IF(Inputs!$B$38="pvp",15,MAX(0.1,Skills!D8-IF(Skills!E8=TRUE,Inputs!$B$32,0)))*(1-IF(AND(ArtifactsInput!$M$27,Inputs!$B$4="Chapter Hunt"),CHOOSE(ArtifactsInput!$N$27+1,20,24,28,32,36,40),0)/100)))))/Skills!H8,1)))/Inputs!$B$43),G1213*Q1213)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1213*(1-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1213*(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1213*(1-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1213*(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13">
        <f>IF(C1213,(H1213*N1213*IF(AND(Inputs!$B$38&lt;&gt;"pvp",Inputs!$B$43&gt;0),((Skills!G8*((R1213-1)*IF(Skills!H8&gt;0,Skills!I8/Skills!H8,1)+IF(Skills!H8&gt;0,MIN(Skills!I8,MAX(0,MAX(0,Inputs!$B$43-B1241)-((R1213-1)*(IF(Inputs!$B$38="pvp",15,MAX(0.1,Skills!D8-IF(Skills!E8=TRUE,Inputs!$B$32,0)))*(1-IF(AND(ArtifactsInput!$M$27,Inputs!$B$4="Chapter Hunt"),CHOOSE(ArtifactsInput!$N$27+1,20,24,28,32,36,40),0)/100)))))/Skills!H8,1)))/Inputs!$B$43),G1213*Q1213)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4">
      <c r="A1214">
        <f>Skills!A9</f>
        <v/>
      </c>
      <c r="B1214">
        <f>Skills!B9</f>
        <v/>
      </c>
      <c r="C1214">
        <f>Inputs!$B$3&gt;=69</f>
        <v/>
      </c>
      <c r="D1214">
        <f>IF(Skills!C9=1,60+Inputs!$B$25+Inputs!$B$29,IF(Skills!C9=2,90+Inputs!$B$26+Inputs!$B$29,IF(Skills!C9=3,120+Inputs!$B$27+Inputs!$B$29,MAX(0,(Inputs!$B$3-100)*3)+Inputs!$B$28+Inputs!$B$29)))</f>
        <v/>
      </c>
      <c r="E1214">
        <f>INDEX(FactorTable!$B$2:$Y$301, MATCH(ROUND(MIN(300,MAX(1,D1214)),0), FactorTable!$A$2:$A$301,0), Skills!M9+1)</f>
        <v/>
      </c>
      <c r="F1214">
        <f>IF(Skills!N9=TRUE,(Skills!L9/10)*(E1214/1000),Skills!L9/10)+Skills!O9</f>
        <v/>
      </c>
      <c r="G1214">
        <f>Skills!G9*IF(Skills!H9&gt;0,Skills!I9/Skills!H9,1)</f>
        <v/>
      </c>
      <c r="H1214">
        <f>1-(1-Skills!J9/100)^Skills!K9</f>
        <v/>
      </c>
      <c r="I1214" t="inlineStr">
        <is>
          <t>1</t>
        </is>
      </c>
      <c r="J1214">
        <f>((Inputs!$B$6*(1+Inputs!$B$7/100))+(((Inputs!$B$12*(1+Inputs!$B$13/100))-(Inputs!$B$12*(1+Inputs!$B$13/100)))+0.25*(Inputs!$B$14-Inputs!$B$14))*(1+Inputs!$B$7/100))*(F1214/100)</f>
        <v/>
      </c>
      <c r="K1214">
        <f>J1214*(1+((Inputs!$B$12*(1+Inputs!$B$13/100))*0.01+Inputs!$B$14*0.0025)/100)*(1+Inputs!$B$15/100)*(1+Inputs!$B$16/100)*(5000/(6000+Inputs!$B$42*(1-(100*(1-(1-(Inputs!$B$19+0)/100)*(1-CHOOSE(ArtifactsInput!$N$40+1,5,6,7,8,9,10)/100)^(ArtifactsInput!$M$40-ArtifactsInput!$M$40)))/100)))*(1+(Inputs!$B$24+((C1230=TRUE)*(F1230-Calc!F25))+B1240)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1217=TRUE,F1217,0)/100)*(1+IF(Skills!A9="ENHANCED_RAGING_BLOW",IF(Inputs!$B$3&gt;=134,MAX(0,IF(Inputs!$B$3&gt;=110,7,5)-5)*50,0),0)/100)*(1+(IF(Skills!A9="RAGING_BLOW",Inputs!$B$17+((C1226=TRUE)*(F1226-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1228=TRUE)*(F1228-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1218=TRUE)*F1218*IF(Inputs!$B$3&gt;=110,7,5))+((C1220=TRUE)*F1220*IF(AND(Inputs!$B$38&lt;&gt;"pvp",Inputs!$B$43&gt;0),(((R1220-1)*(Skills!T15*(1+(Inputs!$B$34+(ArtifactsInput!$M$7-ArtifactsInput!$M$7)*CHOOSE(ArtifactsInput!$N$7+1,6,7.2,8.4,9.6,10.8,12))/100))+MIN((Skills!T15*(1+(Inputs!$B$34+(ArtifactsInput!$M$7-ArtifactsInput!$M$7)*CHOOSE(ArtifactsInput!$N$7+1,6,7.2,8.4,9.6,10.8,12))/100)),MAX(0,Inputs!$B$43-((R1220-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Hunt"),CHOOSE(ArtifactsInput!$N$35+1,15,18,21,24,27,30)*(1-EXP(-(0.2*B1236)*5)),0)+IF(AND(ArtifactsInput!$M$22,Inputs!$B$4&lt;&gt;"Chapter Hunt"),CHOOSE(ArtifactsInput!$N$22+1,10,12,14,16,18,20)*((0*(((0.15*B1236*5))^0/1)+1*(((0.15*B1236*5))^1/1)+2*(((0.15*B1236*5))^2/2)+3*(((0.15*B1236*5))^3/6)+4*(((0.15*B1236*5))^4/24)+5*(((0.15*B1236*5))^5/120))/((((0.15*B1236*5))^0/1)+(((0.15*B1236*5))^1/1)+(((0.15*B1236*5))^2/2)+(((0.15*B1236*5))^3/6)+(((0.15*B1236*5))^4/24)+(((0.15*B1236*5))^5/120))),0)))/100)*I1214)</f>
        <v/>
      </c>
      <c r="L1214">
        <f>K1214*(MIN(Inputs!$B$22+((C1227=TRUE)*(F1227-Calc!F22)),(Inputs!$B$23+((C1229=TRUE)*(F1229-Calc!F24))+(IF(ArtifactsInput!$M$15,CHOOSE(ArtifactsInput!$N$15+1,25,30,35,40,45,50)/100*(Inputs!$B$11-Inputs!$B$11),0))))/100+(Inputs!$B$23+((C1229=TRUE)*(F1229-Calc!F24))+(IF(ArtifactsInput!$M$15,CHOOSE(ArtifactsInput!$N$15+1,25,30,35,40,45,50)/100*(Inputs!$B$11-Inputs!$B$11),0)))/100)/2</f>
        <v/>
      </c>
      <c r="M1214">
        <f>L1214*(1+(Inputs!$B$10+0+B1239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4">
        <f>L1214*(1-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1214*(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4">
        <f>(1-Summary!$B$11)*T1214+Summary!$B$11*V1214</f>
        <v/>
      </c>
      <c r="P1214">
        <f>IF(B1244=0,0,O1214/B1244)</f>
        <v/>
      </c>
      <c r="Q1214">
        <f>IFERROR(1/(IF(Inputs!$B$38="pvp",15,MAX(0.1,Skills!D9-IF(Skills!E9=TRUE,Inputs!$B$32,0)))*(1-IF(AND(ArtifactsInput!$M$27,Inputs!$B$4="Chapter Hunt"),CHOOSE(ArtifactsInput!$N$27+1,20,24,28,32,36,40),0)/100)),0)</f>
        <v/>
      </c>
      <c r="R1214">
        <f>IF(AND(Inputs!$B$38&lt;&gt;"pvp",Inputs!$B$43&gt;0),IF(MAX(0,Inputs!$B$43-B1241)&lt;=0,0,(INT(MAX(0,Inputs!$B$43-B1241)/(IF(Inputs!$B$38="pvp",15,MAX(0.1,Skills!D9-IF(Skills!E9=TRUE,Inputs!$B$32,0)))*(1-IF(AND(ArtifactsInput!$M$27,Inputs!$B$4="Chapter Hunt"),CHOOSE(ArtifactsInput!$N$27+1,20,24,28,32,36,40),0)/100)))+1)),0)</f>
        <v/>
      </c>
      <c r="S1214">
        <f>IFERROR(O1214/N1214,0)</f>
        <v/>
      </c>
      <c r="T1214">
        <f>IF(C1214,(H1214*N1214*IF(AND(Inputs!$B$38&lt;&gt;"pvp",Inputs!$B$43&gt;0),((Skills!G9*((R1214-1)*IF(Skills!H9&gt;0,Skills!I9/Skills!H9,1)+IF(Skills!H9&gt;0,MIN(Skills!I9,MAX(0,MAX(0,Inputs!$B$43-B1241)-((R1214-1)*(IF(Inputs!$B$38="pvp",15,MAX(0.1,Skills!D9-IF(Skills!E9=TRUE,Inputs!$B$32,0)))*(1-IF(AND(ArtifactsInput!$M$27,Inputs!$B$4="Chapter Hunt"),CHOOSE(ArtifactsInput!$N$27+1,20,24,28,32,36,40),0)/100)))))/Skills!H9,1)))/Inputs!$B$43),G1214*Q1214)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1214*(1-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1214*(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1214*(1-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1214*(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14">
        <f>IF(C1214,(H1214*N1214*IF(AND(Inputs!$B$38&lt;&gt;"pvp",Inputs!$B$43&gt;0),((Skills!G9*((R1214-1)*IF(Skills!H9&gt;0,Skills!I9/Skills!H9,1)+IF(Skills!H9&gt;0,MIN(Skills!I9,MAX(0,MAX(0,Inputs!$B$43-B1241)-((R1214-1)*(IF(Inputs!$B$38="pvp",15,MAX(0.1,Skills!D9-IF(Skills!E9=TRUE,Inputs!$B$32,0)))*(1-IF(AND(ArtifactsInput!$M$27,Inputs!$B$4="Chapter Hunt"),CHOOSE(ArtifactsInput!$N$27+1,20,24,28,32,36,40),0)/100)))))/Skills!H9,1)))/Inputs!$B$43),G1214*Q1214)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5">
      <c r="A1215">
        <f>Skills!A10</f>
        <v/>
      </c>
      <c r="B1215">
        <f>Skills!B10</f>
        <v/>
      </c>
      <c r="C1215">
        <f>Inputs!$B$3&gt;=63</f>
        <v/>
      </c>
      <c r="D1215">
        <f>IF(Skills!C10=1,60+Inputs!$B$25+Inputs!$B$29,IF(Skills!C10=2,90+Inputs!$B$26+Inputs!$B$29,IF(Skills!C10=3,120+Inputs!$B$27+Inputs!$B$29,MAX(0,(Inputs!$B$3-100)*3)+Inputs!$B$28+Inputs!$B$29)))</f>
        <v/>
      </c>
      <c r="E1215">
        <f>INDEX(FactorTable!$B$2:$Y$301, MATCH(ROUND(MIN(300,MAX(1,D1215)),0), FactorTable!$A$2:$A$301,0), Skills!M10+1)</f>
        <v/>
      </c>
      <c r="F1215">
        <f>IF(Skills!N10=TRUE,(Skills!L10/10)*(E1215/1000),Skills!L10/10)+Skills!O10</f>
        <v/>
      </c>
      <c r="G1215">
        <f>Skills!G10*IF(Skills!H10&gt;0,Skills!I10/Skills!H10,1)</f>
        <v/>
      </c>
      <c r="H1215">
        <f>1-(1-Skills!J10/100)^Skills!K10</f>
        <v/>
      </c>
      <c r="I1215" t="inlineStr">
        <is>
          <t>1</t>
        </is>
      </c>
      <c r="J1215">
        <f>((Inputs!$B$6*(1+Inputs!$B$7/100))+(((Inputs!$B$12*(1+Inputs!$B$13/100))-(Inputs!$B$12*(1+Inputs!$B$13/100)))+0.25*(Inputs!$B$14-Inputs!$B$14))*(1+Inputs!$B$7/100))*(F1215/100)</f>
        <v/>
      </c>
      <c r="K1215">
        <f>J1215*(1+((Inputs!$B$12*(1+Inputs!$B$13/100))*0.01+Inputs!$B$14*0.0025)/100)*(1+Inputs!$B$15/100)*(1+Inputs!$B$16/100)*(5000/(6000+Inputs!$B$42*(1-(100*(1-(1-(Inputs!$B$19+0)/100)*(1-CHOOSE(ArtifactsInput!$N$40+1,5,6,7,8,9,10)/100)^(ArtifactsInput!$M$40-ArtifactsInput!$M$40)))/100)))*(1+(Inputs!$B$24+((C1230=TRUE)*(F1230-Calc!F25))+B1240)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1217=TRUE,F1217,0)/100)*(1+IF(Skills!A10="ENHANCED_RAGING_BLOW",IF(Inputs!$B$3&gt;=134,MAX(0,IF(Inputs!$B$3&gt;=110,7,5)-5)*50,0),0)/100)*(1+(IF(Skills!A10="RAGING_BLOW",Inputs!$B$17+((C1226=TRUE)*(F1226-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1228=TRUE)*(F1228-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1218=TRUE)*F1218*IF(Inputs!$B$3&gt;=110,7,5))+((C1220=TRUE)*F1220*IF(AND(Inputs!$B$38&lt;&gt;"pvp",Inputs!$B$43&gt;0),(((R1220-1)*(Skills!T15*(1+(Inputs!$B$34+(ArtifactsInput!$M$7-ArtifactsInput!$M$7)*CHOOSE(ArtifactsInput!$N$7+1,6,7.2,8.4,9.6,10.8,12))/100))+MIN((Skills!T15*(1+(Inputs!$B$34+(ArtifactsInput!$M$7-ArtifactsInput!$M$7)*CHOOSE(ArtifactsInput!$N$7+1,6,7.2,8.4,9.6,10.8,12))/100)),MAX(0,Inputs!$B$43-((R1220-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Hunt"),CHOOSE(ArtifactsInput!$N$35+1,15,18,21,24,27,30)*(1-EXP(-(0.2*B1236)*5)),0)+IF(AND(ArtifactsInput!$M$22,Inputs!$B$4&lt;&gt;"Chapter Hunt"),CHOOSE(ArtifactsInput!$N$22+1,10,12,14,16,18,20)*((0*(((0.15*B1236*5))^0/1)+1*(((0.15*B1236*5))^1/1)+2*(((0.15*B1236*5))^2/2)+3*(((0.15*B1236*5))^3/6)+4*(((0.15*B1236*5))^4/24)+5*(((0.15*B1236*5))^5/120))/((((0.15*B1236*5))^0/1)+(((0.15*B1236*5))^1/1)+(((0.15*B1236*5))^2/2)+(((0.15*B1236*5))^3/6)+(((0.15*B1236*5))^4/24)+(((0.15*B1236*5))^5/120))),0)))/100)*I1215)</f>
        <v/>
      </c>
      <c r="L1215">
        <f>K1215*(MIN(Inputs!$B$22+((C1227=TRUE)*(F1227-Calc!F22)),(Inputs!$B$23+((C1229=TRUE)*(F1229-Calc!F24))+(IF(ArtifactsInput!$M$15,CHOOSE(ArtifactsInput!$N$15+1,25,30,35,40,45,50)/100*(Inputs!$B$11-Inputs!$B$11),0))))/100+(Inputs!$B$23+((C1229=TRUE)*(F1229-Calc!F24))+(IF(ArtifactsInput!$M$15,CHOOSE(ArtifactsInput!$N$15+1,25,30,35,40,45,50)/100*(Inputs!$B$11-Inputs!$B$11),0)))/100)/2</f>
        <v/>
      </c>
      <c r="M1215">
        <f>L1215*(1+(Inputs!$B$10+0+B1239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5">
        <f>L1215*(1-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1215*(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5">
        <f>(1-Summary!$B$11)*T1215+Summary!$B$11*V1215</f>
        <v/>
      </c>
      <c r="P1215">
        <f>IF(B1244=0,0,O1215/B1244)</f>
        <v/>
      </c>
      <c r="Q1215">
        <f>IFERROR(1/(IF(Inputs!$B$38="pvp",15,MAX(0.1,Skills!D10-IF(Skills!E10=TRUE,Inputs!$B$32,0)))*(1-IF(AND(ArtifactsInput!$M$27,Inputs!$B$4="Chapter Hunt"),CHOOSE(ArtifactsInput!$N$27+1,20,24,28,32,36,40),0)/100)),0)</f>
        <v/>
      </c>
      <c r="R1215">
        <f>IF(AND(Inputs!$B$38&lt;&gt;"pvp",Inputs!$B$43&gt;0),IF(MAX(0,Inputs!$B$43-B1241)&lt;=0,0,(INT(MAX(0,Inputs!$B$43-B1241)/(IF(Inputs!$B$38="pvp",15,MAX(0.1,Skills!D10-IF(Skills!E10=TRUE,Inputs!$B$32,0)))*(1-IF(AND(ArtifactsInput!$M$27,Inputs!$B$4="Chapter Hunt"),CHOOSE(ArtifactsInput!$N$27+1,20,24,28,32,36,40),0)/100)))+1)),0)</f>
        <v/>
      </c>
      <c r="S1215">
        <f>IFERROR(O1215/N1215,0)</f>
        <v/>
      </c>
      <c r="T1215">
        <f>IF(C1215,(H1215*N1215*IF(AND(Inputs!$B$38&lt;&gt;"pvp",Inputs!$B$43&gt;0),((Skills!G10*((R1215-1)*IF(Skills!H10&gt;0,Skills!I10/Skills!H10,1)+IF(Skills!H10&gt;0,MIN(Skills!I10,MAX(0,MAX(0,Inputs!$B$43-B1241)-((R1215-1)*(IF(Inputs!$B$38="pvp",15,MAX(0.1,Skills!D10-IF(Skills!E10=TRUE,Inputs!$B$32,0)))*(1-IF(AND(ArtifactsInput!$M$27,Inputs!$B$4="Chapter Hunt"),CHOOSE(ArtifactsInput!$N$27+1,20,24,28,32,36,40),0)/100)))))/Skills!H10,1)))/Inputs!$B$43),G1215*Q1215)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1215*(1-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1215*(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1215*(1-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1215*(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15">
        <f>IF(C1215,(H1215*N1215*IF(AND(Inputs!$B$38&lt;&gt;"pvp",Inputs!$B$43&gt;0),((Skills!G10*((R1215-1)*IF(Skills!H10&gt;0,Skills!I10/Skills!H10,1)+IF(Skills!H10&gt;0,MIN(Skills!I10,MAX(0,MAX(0,Inputs!$B$43-B1241)-((R1215-1)*(IF(Inputs!$B$38="pvp",15,MAX(0.1,Skills!D10-IF(Skills!E10=TRUE,Inputs!$B$32,0)))*(1-IF(AND(ArtifactsInput!$M$27,Inputs!$B$4="Chapter Hunt"),CHOOSE(ArtifactsInput!$N$27+1,20,24,28,32,36,40),0)/100)))))/Skills!H10,1)))/Inputs!$B$43),G1215*Q1215)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6">
      <c r="A1216">
        <f>Skills!A11</f>
        <v/>
      </c>
      <c r="B1216">
        <f>Skills!B11</f>
        <v/>
      </c>
      <c r="C1216">
        <f>Inputs!$B$3&gt;=35</f>
        <v/>
      </c>
      <c r="D1216">
        <f>IF(Skills!C11=1,60+Inputs!$B$25+Inputs!$B$29,IF(Skills!C11=2,90+Inputs!$B$26+Inputs!$B$29,IF(Skills!C11=3,120+Inputs!$B$27+Inputs!$B$29,MAX(0,(Inputs!$B$3-100)*3)+Inputs!$B$28+Inputs!$B$29)))</f>
        <v/>
      </c>
      <c r="E1216">
        <f>INDEX(FactorTable!$B$2:$Y$301, MATCH(ROUND(MIN(300,MAX(1,D1216)),0), FactorTable!$A$2:$A$301,0), Skills!M11+1)</f>
        <v/>
      </c>
      <c r="F1216">
        <f>IF(Skills!N11=TRUE,(Skills!L11/10)*(E1216/1000),Skills!L11/10)+Skills!O11</f>
        <v/>
      </c>
      <c r="G1216">
        <f>Skills!G11*IF(Skills!H11&gt;0,Skills!I11/Skills!H11,1)</f>
        <v/>
      </c>
      <c r="H1216">
        <f>1-(1-Skills!J11/100)^Skills!K11</f>
        <v/>
      </c>
      <c r="I1216" t="inlineStr">
        <is>
          <t>1</t>
        </is>
      </c>
      <c r="J1216">
        <f>((Inputs!$B$6*(1+Inputs!$B$7/100))+(((Inputs!$B$12*(1+Inputs!$B$13/100))-(Inputs!$B$12*(1+Inputs!$B$13/100)))+0.25*(Inputs!$B$14-Inputs!$B$14))*(1+Inputs!$B$7/100))*(F1216/100)</f>
        <v/>
      </c>
      <c r="K1216">
        <f>J1216*(1+((Inputs!$B$12*(1+Inputs!$B$13/100))*0.01+Inputs!$B$14*0.0025)/100)*(1+Inputs!$B$15/100)*(1+Inputs!$B$16/100)*(5000/(6000+Inputs!$B$42*(1-(100*(1-(1-(Inputs!$B$19+0)/100)*(1-CHOOSE(ArtifactsInput!$N$40+1,5,6,7,8,9,10)/100)^(ArtifactsInput!$M$40-ArtifactsInput!$M$40)))/100)))*(1+(Inputs!$B$24+((C1230=TRUE)*(F1230-Calc!F25))+B1240)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1217=TRUE,F1217,0)/100)*(1+IF(Skills!A11="ENHANCED_RAGING_BLOW",IF(Inputs!$B$3&gt;=134,MAX(0,IF(Inputs!$B$3&gt;=110,7,5)-5)*50,0),0)/100)*(1+(IF(Skills!A11="RAGING_BLOW",Inputs!$B$17+((C1226=TRUE)*(F1226-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1228=TRUE)*(F1228-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1218=TRUE)*F1218*IF(Inputs!$B$3&gt;=110,7,5))+((C1220=TRUE)*F1220*IF(AND(Inputs!$B$38&lt;&gt;"pvp",Inputs!$B$43&gt;0),(((R1220-1)*(Skills!T15*(1+(Inputs!$B$34+(ArtifactsInput!$M$7-ArtifactsInput!$M$7)*CHOOSE(ArtifactsInput!$N$7+1,6,7.2,8.4,9.6,10.8,12))/100))+MIN((Skills!T15*(1+(Inputs!$B$34+(ArtifactsInput!$M$7-ArtifactsInput!$M$7)*CHOOSE(ArtifactsInput!$N$7+1,6,7.2,8.4,9.6,10.8,12))/100)),MAX(0,Inputs!$B$43-((R1220-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Hunt"),CHOOSE(ArtifactsInput!$N$35+1,15,18,21,24,27,30)*(1-EXP(-(0.2*B1236)*5)),0)+IF(AND(ArtifactsInput!$M$22,Inputs!$B$4&lt;&gt;"Chapter Hunt"),CHOOSE(ArtifactsInput!$N$22+1,10,12,14,16,18,20)*((0*(((0.15*B1236*5))^0/1)+1*(((0.15*B1236*5))^1/1)+2*(((0.15*B1236*5))^2/2)+3*(((0.15*B1236*5))^3/6)+4*(((0.15*B1236*5))^4/24)+5*(((0.15*B1236*5))^5/120))/((((0.15*B1236*5))^0/1)+(((0.15*B1236*5))^1/1)+(((0.15*B1236*5))^2/2)+(((0.15*B1236*5))^3/6)+(((0.15*B1236*5))^4/24)+(((0.15*B1236*5))^5/120))),0)))/100)*I1216)</f>
        <v/>
      </c>
      <c r="L1216">
        <f>K1216*(MIN(Inputs!$B$22+((C1227=TRUE)*(F1227-Calc!F22)),(Inputs!$B$23+((C1229=TRUE)*(F1229-Calc!F24))+(IF(ArtifactsInput!$M$15,CHOOSE(ArtifactsInput!$N$15+1,25,30,35,40,45,50)/100*(Inputs!$B$11-Inputs!$B$11),0))))/100+(Inputs!$B$23+((C1229=TRUE)*(F1229-Calc!F24))+(IF(ArtifactsInput!$M$15,CHOOSE(ArtifactsInput!$N$15+1,25,30,35,40,45,50)/100*(Inputs!$B$11-Inputs!$B$11),0)))/100)/2</f>
        <v/>
      </c>
      <c r="M1216">
        <f>L1216*(1+(Inputs!$B$10+0+B1239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6">
        <f>L1216*(1-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1216*(MIN((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6">
        <f>(1-Summary!$B$11)*T1216+Summary!$B$11*V1216</f>
        <v/>
      </c>
      <c r="P1216">
        <f>IF(B1244=0,0,O1216/B1244)</f>
        <v/>
      </c>
      <c r="Q1216">
        <f>IFERROR(1/(IF(Inputs!$B$38="pvp",15,MAX(0.1,Skills!D11-IF(Skills!E11=TRUE,Inputs!$B$32,0)))*(1-IF(AND(ArtifactsInput!$M$27,Inputs!$B$4="Chapter Hunt"),CHOOSE(ArtifactsInput!$N$27+1,20,24,28,32,36,40),0)/100)),0)</f>
        <v/>
      </c>
      <c r="R1216">
        <f>IF(AND(Inputs!$B$38&lt;&gt;"pvp",Inputs!$B$43&gt;0),IF(MAX(0,Inputs!$B$43-B1241)&lt;=0,0,(INT(MAX(0,Inputs!$B$43-B1241)/(IF(Inputs!$B$38="pvp",15,MAX(0.1,Skills!D11-IF(Skills!E11=TRUE,Inputs!$B$32,0)))*(1-IF(AND(ArtifactsInput!$M$27,Inputs!$B$4="Chapter Hunt"),CHOOSE(ArtifactsInput!$N$27+1,20,24,28,32,36,40),0)/100)))+1)),0)</f>
        <v/>
      </c>
      <c r="S1216">
        <f>IFERROR(O1216/N1216,0)</f>
        <v/>
      </c>
      <c r="T1216">
        <f>IF(C1216,(H1216*N1216*IF(AND(Inputs!$B$38&lt;&gt;"pvp",Inputs!$B$43&gt;0),((Skills!G11*((R1216-1)*IF(Skills!H11&gt;0,Skills!I11/Skills!H11,1)+IF(Skills!H11&gt;0,MIN(Skills!I11,MAX(0,MAX(0,Inputs!$B$43-B1241)-((R1216-1)*(IF(Inputs!$B$38="pvp",15,MAX(0.1,Skills!D11-IF(Skills!E11=TRUE,Inputs!$B$32,0)))*(1-IF(AND(ArtifactsInput!$M$27,Inputs!$B$4="Chapter Hunt"),CHOOSE(ArtifactsInput!$N$27+1,20,24,28,32,36,40),0)/100)))))/Skills!H11,1)))/Inputs!$B$43),G1216*Q1216)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1216*(1-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1216*(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1216*(1-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1216*(MIN(100,(Inputs!$B$9+((C1231=TRUE)*(F1231-Calc!F26))+B1234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16">
        <f>IF(C1216,(H1216*N1216*IF(AND(Inputs!$B$38&lt;&gt;"pvp",Inputs!$B$43&gt;0),((Skills!G11*((R1216-1)*IF(Skills!H11&gt;0,Skills!I11/Skills!H11,1)+IF(Skills!H11&gt;0,MIN(Skills!I11,MAX(0,MAX(0,Inputs!$B$43-B1241)-((R1216-1)*(IF(Inputs!$B$38="pvp",15,MAX(0.1,Skills!D11-IF(Skills!E11=TRUE,Inputs!$B$32,0)))*(1-IF(AND(ArtifactsInput!$M$27,Inputs!$B$4="Chapter Hunt"),CHOOSE(ArtifactsInput!$N$27+1,20,24,28,32,36,40),0)/100)))))/Skills!H11,1)))/Inputs!$B$43),G1216*Q1216)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7">
      <c r="A1217">
        <f>Skills!A12</f>
        <v/>
      </c>
      <c r="B1217">
        <f>Skills!B12</f>
        <v/>
      </c>
      <c r="C1217">
        <f>Inputs!$B$3&gt;=100</f>
        <v/>
      </c>
      <c r="D1217">
        <f>IF(Skills!C12=1,60+Inputs!$B$25+Inputs!$B$29,IF(Skills!C12=2,90+Inputs!$B$26+Inputs!$B$29,IF(Skills!C12=3,120+Inputs!$B$27+Inputs!$B$29,MAX(0,(Inputs!$B$3-100)*3)+Inputs!$B$28+Inputs!$B$29)))</f>
        <v/>
      </c>
      <c r="E1217">
        <f>INDEX(FactorTable!$B$2:$Y$301, MATCH(ROUND(MIN(300,MAX(1,D1217)),0), FactorTable!$A$2:$A$301,0), Skills!M12+1)</f>
        <v/>
      </c>
      <c r="F1217">
        <f>IF(Skills!N12=TRUE,(Skills!L12/10)*(E1217/1000),Skills!L12/10)+Skills!O12</f>
        <v/>
      </c>
      <c r="G1217" t="inlineStr"/>
      <c r="H1217" t="inlineStr"/>
      <c r="I1217" t="inlineStr">
        <is>
          <t>1</t>
        </is>
      </c>
      <c r="J1217" t="inlineStr"/>
      <c r="K1217" t="inlineStr"/>
      <c r="L1217" t="inlineStr"/>
      <c r="M1217" t="inlineStr"/>
      <c r="N1217" t="inlineStr"/>
      <c r="O1217" t="inlineStr"/>
      <c r="P1217" t="inlineStr"/>
      <c r="Q1217" t="inlineStr"/>
      <c r="R1217" t="inlineStr"/>
      <c r="S1217" t="inlineStr"/>
    </row>
    <row r="1218">
      <c r="A1218">
        <f>Skills!A13</f>
        <v/>
      </c>
      <c r="B1218">
        <f>Skills!B13</f>
        <v/>
      </c>
      <c r="C1218">
        <f>Inputs!$B$3&gt;=45</f>
        <v/>
      </c>
      <c r="D1218">
        <f>IF(Skills!C13=1,60+Inputs!$B$25+Inputs!$B$29,IF(Skills!C13=2,90+Inputs!$B$26+Inputs!$B$29,IF(Skills!C13=3,120+Inputs!$B$27+Inputs!$B$29,MAX(0,(Inputs!$B$3-100)*3)+Inputs!$B$28+Inputs!$B$29)))</f>
        <v/>
      </c>
      <c r="E1218">
        <f>INDEX(FactorTable!$B$2:$Y$301, MATCH(ROUND(MIN(300,MAX(1,D1218)),0), FactorTable!$A$2:$A$301,0), Skills!M13+1)</f>
        <v/>
      </c>
      <c r="F1218">
        <f>IF(Skills!N13=TRUE,(Skills!L13/10)*(E1218/1000),Skills!L13/10)+Skills!O13</f>
        <v/>
      </c>
      <c r="G1218">
        <f>Skills!G13*IF(Skills!H13&gt;0,Skills!I13/Skills!H13,1)</f>
        <v/>
      </c>
      <c r="H1218">
        <f>1-(1-Skills!J13/100)^Skills!K13</f>
        <v/>
      </c>
      <c r="I1218" t="inlineStr">
        <is>
          <t>1</t>
        </is>
      </c>
      <c r="J1218" t="inlineStr"/>
      <c r="K1218" t="inlineStr"/>
      <c r="L1218" t="inlineStr"/>
      <c r="M1218" t="inlineStr"/>
      <c r="N1218" t="inlineStr"/>
      <c r="O1218">
        <f>(1-Summary!$B$11)*T1218+Summary!$B$11*V1218</f>
        <v/>
      </c>
      <c r="P1218">
        <f>IF(B1244=0,0,O1218/B1244)</f>
        <v/>
      </c>
      <c r="Q1218" t="n">
        <v>0</v>
      </c>
      <c r="R1218" t="n">
        <v>0</v>
      </c>
      <c r="S1218">
        <f>IFERROR(O1218/N1218,0)</f>
        <v/>
      </c>
      <c r="T1218" t="n">
        <v>0</v>
      </c>
      <c r="V1218" t="n">
        <v>0</v>
      </c>
    </row>
    <row r="1219">
      <c r="A1219">
        <f>Skills!A14</f>
        <v/>
      </c>
      <c r="B1219">
        <f>Skills!B14</f>
        <v/>
      </c>
      <c r="C1219">
        <f>Inputs!$B$3&gt;=75</f>
        <v/>
      </c>
      <c r="D1219">
        <f>IF(Skills!C14=1,60+Inputs!$B$25+Inputs!$B$29,IF(Skills!C14=2,90+Inputs!$B$26+Inputs!$B$29,IF(Skills!C14=3,120+Inputs!$B$27+Inputs!$B$29,MAX(0,(Inputs!$B$3-100)*3)+Inputs!$B$28+Inputs!$B$29)))</f>
        <v/>
      </c>
      <c r="E1219">
        <f>INDEX(FactorTable!$B$2:$Y$301, MATCH(ROUND(MIN(300,MAX(1,D1219)),0), FactorTable!$A$2:$A$301,0), Skills!M14+1)</f>
        <v/>
      </c>
      <c r="F1219">
        <f>IF(Skills!N14=TRUE,(Skills!L14/10)*(E1219/1000),Skills!L14/10)+Skills!O14</f>
        <v/>
      </c>
      <c r="G1219">
        <f>Skills!G14*IF(Skills!H14&gt;0,Skills!I14/Skills!H14,1)</f>
        <v/>
      </c>
      <c r="H1219">
        <f>1-(1-Skills!J14/100)^Skills!K14</f>
        <v/>
      </c>
      <c r="I1219" t="inlineStr">
        <is>
          <t>1</t>
        </is>
      </c>
      <c r="J1219" t="inlineStr"/>
      <c r="K1219" t="inlineStr"/>
      <c r="L1219" t="inlineStr"/>
      <c r="M1219" t="inlineStr"/>
      <c r="N1219" t="inlineStr"/>
      <c r="O1219">
        <f>(1-Summary!$B$11)*T1219+Summary!$B$11*V1219</f>
        <v/>
      </c>
      <c r="P1219">
        <f>IF(B1244=0,0,O1219/B1244)</f>
        <v/>
      </c>
      <c r="Q1219" t="n">
        <v>0</v>
      </c>
      <c r="R1219" t="n">
        <v>0</v>
      </c>
      <c r="S1219">
        <f>IFERROR(O1219/N1219,0)</f>
        <v/>
      </c>
      <c r="T1219" t="n">
        <v>0</v>
      </c>
      <c r="V1219" t="n">
        <v>0</v>
      </c>
    </row>
    <row r="1220">
      <c r="A1220">
        <f>Skills!A15</f>
        <v/>
      </c>
      <c r="B1220">
        <f>Skills!B15</f>
        <v/>
      </c>
      <c r="C1220">
        <f>Inputs!$B$3&gt;=40</f>
        <v/>
      </c>
      <c r="D1220">
        <f>IF(Skills!C15=1,60+Inputs!$B$25+Inputs!$B$29,IF(Skills!C15=2,90+Inputs!$B$26+Inputs!$B$29,IF(Skills!C15=3,120+Inputs!$B$27+Inputs!$B$29,MAX(0,(Inputs!$B$3-100)*3)+Inputs!$B$28+Inputs!$B$29)))</f>
        <v/>
      </c>
      <c r="E1220">
        <f>INDEX(FactorTable!$B$2:$Y$301, MATCH(ROUND(MIN(300,MAX(1,D1220)),0), FactorTable!$A$2:$A$301,0), Skills!M15+1)</f>
        <v/>
      </c>
      <c r="F1220">
        <f>IF(Skills!N15=TRUE,(Skills!L15/10)*(E1220/1000),Skills!L15/10)+Skills!O15</f>
        <v/>
      </c>
      <c r="G1220">
        <f>Skills!G15*IF(Skills!H15&gt;0,Skills!I15/Skills!H15,1)</f>
        <v/>
      </c>
      <c r="H1220">
        <f>1-(1-Skills!J15/100)^Skills!K15</f>
        <v/>
      </c>
      <c r="I1220" t="inlineStr">
        <is>
          <t>1</t>
        </is>
      </c>
      <c r="J1220" t="inlineStr"/>
      <c r="K1220" t="inlineStr"/>
      <c r="L1220" t="inlineStr"/>
      <c r="M1220" t="inlineStr"/>
      <c r="N1220" t="inlineStr"/>
      <c r="O1220">
        <f>(1-Summary!$B$11)*T1220+Summary!$B$11*V1220</f>
        <v/>
      </c>
      <c r="P1220">
        <f>IF(B1244=0,0,O1220/B1244)</f>
        <v/>
      </c>
      <c r="Q1220">
        <f>IFERROR(1/(IF(Inputs!$B$38="pvp",15,MAX(0.1,Skills!D15-IF(Skills!E15=TRUE,Inputs!$B$32,0)))*(1-IF(AND(ArtifactsInput!$M$27,Inputs!$B$4="Chapter Hunt"),CHOOSE(ArtifactsInput!$N$27+1,20,24,28,32,36,40),0)/100)),0)</f>
        <v/>
      </c>
      <c r="R1220">
        <f>IF(AND(Inputs!$B$38&lt;&gt;"pvp",Inputs!$B$43&gt;0),IF(Inputs!$B$43&lt;=0,0,(INT(Inputs!$B$43/(IF(Inputs!$B$38="pvp",15,MAX(0.1,Skills!D15-IF(Skills!E15=TRUE,Inputs!$B$32,0)))*(1-IF(AND(ArtifactsInput!$M$27,Inputs!$B$4="Chapter Hunt"),CHOOSE(ArtifactsInput!$N$27+1,20,24,28,32,36,40),0)/100)))+1)),0)</f>
        <v/>
      </c>
      <c r="S1220">
        <f>IFERROR(O1220/N1220,0)</f>
        <v/>
      </c>
      <c r="T1220" t="n">
        <v>0</v>
      </c>
      <c r="V1220" t="n">
        <v>0</v>
      </c>
    </row>
    <row r="1221">
      <c r="A1221">
        <f>Skills!A16</f>
        <v/>
      </c>
      <c r="B1221">
        <f>Skills!B16</f>
        <v/>
      </c>
      <c r="C1221">
        <f>Inputs!$B$3&gt;=66</f>
        <v/>
      </c>
      <c r="D1221">
        <f>IF(Skills!C16=1,60+Inputs!$B$25+Inputs!$B$29,IF(Skills!C16=2,90+Inputs!$B$26+Inputs!$B$29,IF(Skills!C16=3,120+Inputs!$B$27+Inputs!$B$29,MAX(0,(Inputs!$B$3-100)*3)+Inputs!$B$28+Inputs!$B$29)))</f>
        <v/>
      </c>
      <c r="E1221">
        <f>INDEX(FactorTable!$B$2:$Y$301, MATCH(ROUND(MIN(300,MAX(1,D1221)),0), FactorTable!$A$2:$A$301,0), Skills!M16+1)</f>
        <v/>
      </c>
      <c r="F1221">
        <f>IF(Skills!N16=TRUE,(Skills!L16/10)*(E1221/1000),Skills!L16/10)+Skills!O16</f>
        <v/>
      </c>
      <c r="G1221">
        <f>Skills!G16*IF(Skills!H16&gt;0,Skills!I16/Skills!H16,1)</f>
        <v/>
      </c>
      <c r="H1221">
        <f>1-(1-Skills!J16/100)^Skills!K16</f>
        <v/>
      </c>
      <c r="I1221" t="inlineStr">
        <is>
          <t>1</t>
        </is>
      </c>
      <c r="J1221" t="inlineStr"/>
      <c r="K1221" t="inlineStr"/>
      <c r="L1221" t="inlineStr"/>
      <c r="M1221" t="inlineStr"/>
      <c r="N1221" t="inlineStr"/>
      <c r="O1221">
        <f>(1-Summary!$B$11)*T1221+Summary!$B$11*V1221</f>
        <v/>
      </c>
      <c r="P1221">
        <f>IF(B1244=0,0,O1221/B1244)</f>
        <v/>
      </c>
      <c r="Q1221">
        <f>IFERROR(1/(IF(Inputs!$B$38="pvp",15,MAX(0.1,Skills!D16-IF(Skills!E16=TRUE,Inputs!$B$32,0)))*(1-IF(AND(ArtifactsInput!$M$27,Inputs!$B$4="Chapter Hunt"),CHOOSE(ArtifactsInput!$N$27+1,20,24,28,32,36,40),0)/100)),0)</f>
        <v/>
      </c>
      <c r="R1221">
        <f>IF(AND(Inputs!$B$38&lt;&gt;"pvp",Inputs!$B$43&gt;0),IF(Inputs!$B$43&lt;=0,0,(INT(Inputs!$B$43/(IF(Inputs!$B$38="pvp",15,MAX(0.1,Skills!D16-IF(Skills!E16=TRUE,Inputs!$B$32,0)))*(1-IF(AND(ArtifactsInput!$M$27,Inputs!$B$4="Chapter Hunt"),CHOOSE(ArtifactsInput!$N$27+1,20,24,28,32,36,40),0)/100)))+1)),0)</f>
        <v/>
      </c>
      <c r="S1221">
        <f>IFERROR(O1221/N1221,0)</f>
        <v/>
      </c>
      <c r="T1221" t="n">
        <v>0</v>
      </c>
      <c r="V1221" t="n">
        <v>0</v>
      </c>
    </row>
    <row r="1222">
      <c r="A1222">
        <f>Skills!A17</f>
        <v/>
      </c>
      <c r="B1222">
        <f>Skills!B17</f>
        <v/>
      </c>
      <c r="C1222">
        <f>Inputs!$B$3&gt;=115</f>
        <v/>
      </c>
      <c r="D1222">
        <f>IF(Skills!C17=1,60+Inputs!$B$25+Inputs!$B$29,IF(Skills!C17=2,90+Inputs!$B$26+Inputs!$B$29,IF(Skills!C17=3,120+Inputs!$B$27+Inputs!$B$29,MAX(0,(Inputs!$B$3-100)*3)+Inputs!$B$28+Inputs!$B$29)))</f>
        <v/>
      </c>
      <c r="E1222">
        <f>INDEX(FactorTable!$B$2:$Y$301, MATCH(ROUND(MIN(300,MAX(1,D1222)),0), FactorTable!$A$2:$A$301,0), Skills!M17+1)</f>
        <v/>
      </c>
      <c r="F1222">
        <f>IF(Skills!N17=TRUE,(Skills!L17/10)*(E1222/1000),Skills!L17/10)+Skills!O17</f>
        <v/>
      </c>
      <c r="G1222">
        <f>Skills!G17*IF(Skills!H17&gt;0,Skills!I17/Skills!H17,1)</f>
        <v/>
      </c>
      <c r="H1222">
        <f>1-(1-Skills!J17/100)^Skills!K17</f>
        <v/>
      </c>
      <c r="I1222" t="inlineStr">
        <is>
          <t>1</t>
        </is>
      </c>
      <c r="J1222" t="inlineStr"/>
      <c r="K1222" t="inlineStr"/>
      <c r="L1222" t="inlineStr"/>
      <c r="M1222" t="inlineStr"/>
      <c r="N1222" t="inlineStr"/>
      <c r="O1222">
        <f>(1-Summary!$B$11)*T1222+Summary!$B$11*V1222</f>
        <v/>
      </c>
      <c r="P1222">
        <f>IF(B1244=0,0,O1222/B1244)</f>
        <v/>
      </c>
      <c r="Q1222">
        <f>IFERROR(1/(IF(Inputs!$B$38="pvp",15,MAX(0.1,Skills!D17-IF(Skills!E17=TRUE,Inputs!$B$32,0)))*(1-IF(AND(ArtifactsInput!$M$27,Inputs!$B$4="Chapter Hunt"),CHOOSE(ArtifactsInput!$N$27+1,20,24,28,32,36,40),0)/100)),0)</f>
        <v/>
      </c>
      <c r="R1222">
        <f>IF(AND(Inputs!$B$38&lt;&gt;"pvp",Inputs!$B$43&gt;0),IF(Inputs!$B$43&lt;=0,0,(INT(Inputs!$B$43/(IF(Inputs!$B$38="pvp",15,MAX(0.1,Skills!D17-IF(Skills!E17=TRUE,Inputs!$B$32,0)))*(1-IF(AND(ArtifactsInput!$M$27,Inputs!$B$4="Chapter Hunt"),CHOOSE(ArtifactsInput!$N$27+1,20,24,28,32,36,40),0)/100)))+1)),0)</f>
        <v/>
      </c>
      <c r="S1222">
        <f>IFERROR(O1222/N1222,0)</f>
        <v/>
      </c>
      <c r="T1222" t="n">
        <v>0</v>
      </c>
      <c r="V1222" t="n">
        <v>0</v>
      </c>
    </row>
    <row r="1223">
      <c r="A1223">
        <f>Skills!A18</f>
        <v/>
      </c>
      <c r="B1223">
        <f>Skills!B18</f>
        <v/>
      </c>
      <c r="C1223">
        <f>Inputs!$B$3&gt;=115</f>
        <v/>
      </c>
      <c r="D1223">
        <f>IF(Skills!C18=1,60+Inputs!$B$25+Inputs!$B$29,IF(Skills!C18=2,90+Inputs!$B$26+Inputs!$B$29,IF(Skills!C18=3,120+Inputs!$B$27+Inputs!$B$29,MAX(0,(Inputs!$B$3-100)*3)+Inputs!$B$28+Inputs!$B$29)))</f>
        <v/>
      </c>
      <c r="E1223">
        <f>INDEX(FactorTable!$B$2:$Y$301, MATCH(ROUND(MIN(300,MAX(1,D1223)),0), FactorTable!$A$2:$A$301,0), Skills!M18+1)</f>
        <v/>
      </c>
      <c r="F1223">
        <f>IF(Skills!N18=TRUE,(Skills!L18/10)*(E1223/1000),Skills!L18/10)+Skills!O18</f>
        <v/>
      </c>
      <c r="G1223">
        <f>Skills!G18*IF(Skills!H18&gt;0,Skills!I18/Skills!H18,1)</f>
        <v/>
      </c>
      <c r="H1223">
        <f>1-(1-Skills!J18/100)^Skills!K18</f>
        <v/>
      </c>
      <c r="I1223" t="inlineStr">
        <is>
          <t>1</t>
        </is>
      </c>
      <c r="J1223" t="inlineStr"/>
      <c r="K1223" t="inlineStr"/>
      <c r="L1223" t="inlineStr"/>
      <c r="M1223" t="inlineStr"/>
      <c r="N1223" t="inlineStr"/>
      <c r="O1223">
        <f>(1-Summary!$B$11)*T1223+Summary!$B$11*V1223</f>
        <v/>
      </c>
      <c r="P1223">
        <f>IF(B1244=0,0,O1223/B1244)</f>
        <v/>
      </c>
      <c r="Q1223">
        <f>IFERROR(1/(IF(Inputs!$B$38="pvp",15,MAX(0.1,Skills!D18-IF(Skills!E18=TRUE,Inputs!$B$32,0)))*(1-IF(AND(ArtifactsInput!$M$27,Inputs!$B$4="Chapter Hunt"),CHOOSE(ArtifactsInput!$N$27+1,20,24,28,32,36,40),0)/100)),0)</f>
        <v/>
      </c>
      <c r="R1223">
        <f>IF(AND(Inputs!$B$38&lt;&gt;"pvp",Inputs!$B$43&gt;0),IF(Inputs!$B$43&lt;=0,0,(INT(Inputs!$B$43/(IF(Inputs!$B$38="pvp",15,MAX(0.1,Skills!D18-IF(Skills!E18=TRUE,Inputs!$B$32,0)))*(1-IF(AND(ArtifactsInput!$M$27,Inputs!$B$4="Chapter Hunt"),CHOOSE(ArtifactsInput!$N$27+1,20,24,28,32,36,40),0)/100)))+1)),0)</f>
        <v/>
      </c>
      <c r="S1223">
        <f>IFERROR(O1223/N1223,0)</f>
        <v/>
      </c>
      <c r="T1223" t="n">
        <v>0</v>
      </c>
      <c r="V1223" t="n">
        <v>0</v>
      </c>
    </row>
    <row r="1224">
      <c r="A1224">
        <f>Skills!A19</f>
        <v/>
      </c>
      <c r="B1224">
        <f>Skills!B19</f>
        <v/>
      </c>
      <c r="C1224">
        <f>TRUE</f>
        <v/>
      </c>
      <c r="D1224">
        <f>IF(Skills!C19=1,60+Inputs!$B$25+Inputs!$B$29,IF(Skills!C19=2,90+Inputs!$B$26+Inputs!$B$29,IF(Skills!C19=3,120+Inputs!$B$27+Inputs!$B$29,MAX(0,(Inputs!$B$3-100)*3)+Inputs!$B$28+Inputs!$B$29)))</f>
        <v/>
      </c>
      <c r="E1224">
        <f>INDEX(FactorTable!$B$2:$Y$301, MATCH(ROUND(MIN(300,MAX(1,D1224)),0), FactorTable!$A$2:$A$301,0), Skills!M19+1)</f>
        <v/>
      </c>
      <c r="F1224">
        <f>IF(Skills!N19=TRUE,(Skills!L19/10)*(E1224/1000),Skills!L19/10)+Skills!O19</f>
        <v/>
      </c>
      <c r="G1224">
        <f>Skills!G19*IF(Skills!H19&gt;0,Skills!I19/Skills!H19,1)</f>
        <v/>
      </c>
      <c r="H1224">
        <f>1-(1-Skills!J19/100)^Skills!K19</f>
        <v/>
      </c>
      <c r="I1224" t="inlineStr">
        <is>
          <t>1</t>
        </is>
      </c>
      <c r="J1224" t="inlineStr"/>
      <c r="K1224" t="inlineStr"/>
      <c r="L1224" t="inlineStr"/>
      <c r="M1224" t="inlineStr"/>
      <c r="N1224" t="inlineStr"/>
      <c r="O1224">
        <f>(1-Summary!$B$11)*T1224+Summary!$B$11*V1224</f>
        <v/>
      </c>
      <c r="P1224">
        <f>IF(B1244=0,0,O1224/B1244)</f>
        <v/>
      </c>
      <c r="Q1224">
        <f>IFERROR(1/(IF(Inputs!$B$38="pvp",15,MAX(0.1,Skills!D19-IF(Skills!E19=TRUE,Inputs!$B$32,0)))*(1-IF(AND(ArtifactsInput!$M$27,Inputs!$B$4="Chapter Hunt"),CHOOSE(ArtifactsInput!$N$27+1,20,24,28,32,36,40),0)/100)),0)</f>
        <v/>
      </c>
      <c r="R1224">
        <f>IF(AND(Inputs!$B$38&lt;&gt;"pvp",Inputs!$B$43&gt;0),IF(Inputs!$B$43&lt;=0,0,(INT(Inputs!$B$43/(IF(Inputs!$B$38="pvp",15,MAX(0.1,Skills!D19-IF(Skills!E19=TRUE,Inputs!$B$32,0)))*(1-IF(AND(ArtifactsInput!$M$27,Inputs!$B$4="Chapter Hunt"),CHOOSE(ArtifactsInput!$N$27+1,20,24,28,32,36,40),0)/100)))+1)),0)</f>
        <v/>
      </c>
      <c r="S1224">
        <f>IFERROR(O1224/N1224,0)</f>
        <v/>
      </c>
      <c r="T1224" t="n">
        <v>0</v>
      </c>
      <c r="V1224" t="n">
        <v>0</v>
      </c>
    </row>
    <row r="1225">
      <c r="A1225">
        <f>Skills!A20</f>
        <v/>
      </c>
      <c r="B1225">
        <f>Skills!B20</f>
        <v/>
      </c>
      <c r="C1225">
        <f>Inputs!$B$3&gt;=33</f>
        <v/>
      </c>
      <c r="D1225">
        <f>IF(Skills!C20=1,60+Inputs!$B$25+Inputs!$B$29,IF(Skills!C20=2,90+Inputs!$B$26+Inputs!$B$29,IF(Skills!C20=3,120+Inputs!$B$27+Inputs!$B$29,MAX(0,(Inputs!$B$3-100)*3)+Inputs!$B$28+Inputs!$B$29)))</f>
        <v/>
      </c>
      <c r="E1225">
        <f>INDEX(FactorTable!$B$2:$Y$301, MATCH(ROUND(MIN(300,MAX(1,D1225)),0), FactorTable!$A$2:$A$301,0), Skills!M20+1)</f>
        <v/>
      </c>
      <c r="F1225">
        <f>IF(Skills!N20=TRUE,(Skills!L20/10)*(E1225/1000),Skills!L20/10)+Skills!O20</f>
        <v/>
      </c>
      <c r="G1225">
        <f>Skills!G20*IF(Skills!H20&gt;0,Skills!I20/Skills!H20,1)</f>
        <v/>
      </c>
      <c r="H1225">
        <f>1-(1-Skills!J20/100)^Skills!K20</f>
        <v/>
      </c>
      <c r="I1225" t="inlineStr">
        <is>
          <t>1</t>
        </is>
      </c>
      <c r="J1225" t="inlineStr"/>
      <c r="K1225" t="inlineStr"/>
      <c r="L1225" t="inlineStr"/>
      <c r="M1225" t="inlineStr"/>
      <c r="N1225" t="inlineStr"/>
      <c r="O1225">
        <f>(1-Summary!$B$11)*T1225+Summary!$B$11*V1225</f>
        <v/>
      </c>
      <c r="P1225">
        <f>IF(B1244=0,0,O1225/B1244)</f>
        <v/>
      </c>
      <c r="Q1225" t="n">
        <v>0</v>
      </c>
      <c r="R1225" t="n">
        <v>0</v>
      </c>
      <c r="S1225">
        <f>IFERROR(O1225/N1225,0)</f>
        <v/>
      </c>
      <c r="T1225" t="n">
        <v>0</v>
      </c>
      <c r="V1225" t="n">
        <v>0</v>
      </c>
    </row>
    <row r="1226">
      <c r="A1226">
        <f>Skills!A21</f>
        <v/>
      </c>
      <c r="B1226">
        <f>Skills!B21</f>
        <v/>
      </c>
      <c r="C1226">
        <f>Inputs!$B$3&gt;=38</f>
        <v/>
      </c>
      <c r="D1226">
        <f>IF(Skills!C21=1,60+Inputs!$B$25+Inputs!$B$29,IF(Skills!C21=2,90+Inputs!$B$26+Inputs!$B$29,IF(Skills!C21=3,120+Inputs!$B$27+Inputs!$B$29,MAX(0,(Inputs!$B$3-100)*3)+Inputs!$B$28+Inputs!$B$29)))</f>
        <v/>
      </c>
      <c r="E1226">
        <f>INDEX(FactorTable!$B$2:$Y$301, MATCH(ROUND(MIN(300,MAX(1,D1226)),0), FactorTable!$A$2:$A$301,0), Skills!M21+1)</f>
        <v/>
      </c>
      <c r="F1226">
        <f>IF(Skills!N21=TRUE,(Skills!L21/10)*(E1226/1000),Skills!L21/10)+Skills!O21</f>
        <v/>
      </c>
      <c r="G1226">
        <f>Skills!G21*IF(Skills!H21&gt;0,Skills!I21/Skills!H21,1)</f>
        <v/>
      </c>
      <c r="H1226">
        <f>1-(1-Skills!J21/100)^Skills!K21</f>
        <v/>
      </c>
      <c r="I1226" t="inlineStr">
        <is>
          <t>1</t>
        </is>
      </c>
      <c r="J1226" t="inlineStr"/>
      <c r="K1226" t="inlineStr"/>
      <c r="L1226" t="inlineStr"/>
      <c r="M1226" t="inlineStr"/>
      <c r="N1226" t="inlineStr"/>
      <c r="O1226">
        <f>(1-Summary!$B$11)*T1226+Summary!$B$11*V1226</f>
        <v/>
      </c>
      <c r="P1226">
        <f>IF(B1244=0,0,O1226/B1244)</f>
        <v/>
      </c>
      <c r="Q1226" t="n">
        <v>0</v>
      </c>
      <c r="R1226" t="n">
        <v>0</v>
      </c>
      <c r="S1226">
        <f>IFERROR(O1226/N1226,0)</f>
        <v/>
      </c>
      <c r="T1226" t="n">
        <v>0</v>
      </c>
      <c r="V1226" t="n">
        <v>0</v>
      </c>
    </row>
    <row r="1227">
      <c r="A1227">
        <f>Skills!A22</f>
        <v/>
      </c>
      <c r="B1227">
        <f>Skills!B22</f>
        <v/>
      </c>
      <c r="C1227">
        <f>Inputs!$B$3&gt;=43</f>
        <v/>
      </c>
      <c r="D1227">
        <f>IF(Skills!C22=1,60+Inputs!$B$25+Inputs!$B$29,IF(Skills!C22=2,90+Inputs!$B$26+Inputs!$B$29,IF(Skills!C22=3,120+Inputs!$B$27+Inputs!$B$29,MAX(0,(Inputs!$B$3-100)*3)+Inputs!$B$28+Inputs!$B$29)))</f>
        <v/>
      </c>
      <c r="E1227">
        <f>INDEX(FactorTable!$B$2:$Y$301, MATCH(ROUND(MIN(300,MAX(1,D1227)),0), FactorTable!$A$2:$A$301,0), Skills!M22+1)</f>
        <v/>
      </c>
      <c r="F1227">
        <f>IF(Skills!N22=TRUE,(Skills!L22/10)*(E1227/1000),Skills!L22/10)+Skills!O22</f>
        <v/>
      </c>
      <c r="G1227">
        <f>Skills!G22*IF(Skills!H22&gt;0,Skills!I22/Skills!H22,1)</f>
        <v/>
      </c>
      <c r="H1227">
        <f>1-(1-Skills!J22/100)^Skills!K22</f>
        <v/>
      </c>
      <c r="I1227" t="inlineStr">
        <is>
          <t>1</t>
        </is>
      </c>
      <c r="J1227" t="inlineStr"/>
      <c r="K1227" t="inlineStr"/>
      <c r="L1227" t="inlineStr"/>
      <c r="M1227" t="inlineStr"/>
      <c r="N1227" t="inlineStr"/>
      <c r="O1227">
        <f>(1-Summary!$B$11)*T1227+Summary!$B$11*V1227</f>
        <v/>
      </c>
      <c r="P1227">
        <f>IF(B1244=0,0,O1227/B1244)</f>
        <v/>
      </c>
      <c r="Q1227" t="n">
        <v>0</v>
      </c>
      <c r="R1227" t="n">
        <v>0</v>
      </c>
      <c r="S1227">
        <f>IFERROR(O1227/N1227,0)</f>
        <v/>
      </c>
      <c r="T1227" t="n">
        <v>0</v>
      </c>
      <c r="V1227" t="n">
        <v>0</v>
      </c>
    </row>
    <row r="1228">
      <c r="A1228">
        <f>Skills!A23</f>
        <v/>
      </c>
      <c r="B1228">
        <f>Skills!B23</f>
        <v/>
      </c>
      <c r="C1228">
        <f>Inputs!$B$3&gt;=120</f>
        <v/>
      </c>
      <c r="D1228">
        <f>IF(Skills!C23=1,60+Inputs!$B$25+Inputs!$B$29,IF(Skills!C23=2,90+Inputs!$B$26+Inputs!$B$29,IF(Skills!C23=3,120+Inputs!$B$27+Inputs!$B$29,MAX(0,(Inputs!$B$3-100)*3)+Inputs!$B$28+Inputs!$B$29)))</f>
        <v/>
      </c>
      <c r="E1228">
        <f>INDEX(FactorTable!$B$2:$Y$301, MATCH(ROUND(MIN(300,MAX(1,D1228)),0), FactorTable!$A$2:$A$301,0), Skills!M23+1)</f>
        <v/>
      </c>
      <c r="F1228">
        <f>IF(Skills!N23=TRUE,(Skills!L23/10)*(E1228/1000),Skills!L23/10)+Skills!O23</f>
        <v/>
      </c>
      <c r="G1228">
        <f>Skills!G23*IF(Skills!H23&gt;0,Skills!I23/Skills!H23,1)</f>
        <v/>
      </c>
      <c r="H1228">
        <f>1-(1-Skills!J23/100)^Skills!K23</f>
        <v/>
      </c>
      <c r="I1228" t="inlineStr">
        <is>
          <t>1</t>
        </is>
      </c>
      <c r="J1228" t="inlineStr"/>
      <c r="K1228" t="inlineStr"/>
      <c r="L1228" t="inlineStr"/>
      <c r="M1228" t="inlineStr"/>
      <c r="N1228" t="inlineStr"/>
      <c r="O1228">
        <f>(1-Summary!$B$11)*T1228+Summary!$B$11*V1228</f>
        <v/>
      </c>
      <c r="P1228">
        <f>IF(B1244=0,0,O1228/B1244)</f>
        <v/>
      </c>
      <c r="Q1228" t="n">
        <v>0</v>
      </c>
      <c r="R1228" t="n">
        <v>0</v>
      </c>
      <c r="S1228">
        <f>IFERROR(O1228/N1228,0)</f>
        <v/>
      </c>
      <c r="T1228" t="n">
        <v>0</v>
      </c>
      <c r="V1228" t="n">
        <v>0</v>
      </c>
    </row>
    <row r="1229">
      <c r="A1229">
        <f>Skills!A24</f>
        <v/>
      </c>
      <c r="B1229">
        <f>Skills!B24</f>
        <v/>
      </c>
      <c r="C1229">
        <f>Inputs!$B$3&gt;=120</f>
        <v/>
      </c>
      <c r="D1229">
        <f>IF(Skills!C24=1,60+Inputs!$B$25+Inputs!$B$29,IF(Skills!C24=2,90+Inputs!$B$26+Inputs!$B$29,IF(Skills!C24=3,120+Inputs!$B$27+Inputs!$B$29,MAX(0,(Inputs!$B$3-100)*3)+Inputs!$B$28+Inputs!$B$29)))</f>
        <v/>
      </c>
      <c r="E1229">
        <f>INDEX(FactorTable!$B$2:$Y$301, MATCH(ROUND(MIN(300,MAX(1,D1229)),0), FactorTable!$A$2:$A$301,0), Skills!M24+1)</f>
        <v/>
      </c>
      <c r="F1229">
        <f>IF(Skills!N24=TRUE,(Skills!L24/10)*(E1229/1000),Skills!L24/10)+Skills!O24</f>
        <v/>
      </c>
      <c r="G1229">
        <f>Skills!G24*IF(Skills!H24&gt;0,Skills!I24/Skills!H24,1)</f>
        <v/>
      </c>
      <c r="H1229">
        <f>1-(1-Skills!J24/100)^Skills!K24</f>
        <v/>
      </c>
      <c r="I1229" t="inlineStr">
        <is>
          <t>1</t>
        </is>
      </c>
      <c r="J1229" t="inlineStr"/>
      <c r="K1229" t="inlineStr"/>
      <c r="L1229" t="inlineStr"/>
      <c r="M1229" t="inlineStr"/>
      <c r="N1229" t="inlineStr"/>
      <c r="O1229">
        <f>(1-Summary!$B$11)*T1229+Summary!$B$11*V1229</f>
        <v/>
      </c>
      <c r="P1229">
        <f>IF(B1244=0,0,O1229/B1244)</f>
        <v/>
      </c>
      <c r="Q1229" t="n">
        <v>0</v>
      </c>
      <c r="R1229" t="n">
        <v>0</v>
      </c>
      <c r="S1229">
        <f>IFERROR(O1229/N1229,0)</f>
        <v/>
      </c>
      <c r="T1229" t="n">
        <v>0</v>
      </c>
      <c r="V1229" t="n">
        <v>0</v>
      </c>
    </row>
    <row r="1230">
      <c r="A1230">
        <f>Skills!A25</f>
        <v/>
      </c>
      <c r="B1230">
        <f>Skills!B25</f>
        <v/>
      </c>
      <c r="C1230">
        <f>Inputs!$B$3&gt;=125</f>
        <v/>
      </c>
      <c r="D1230">
        <f>IF(Skills!C25=1,60+Inputs!$B$25+Inputs!$B$29,IF(Skills!C25=2,90+Inputs!$B$26+Inputs!$B$29,IF(Skills!C25=3,120+Inputs!$B$27+Inputs!$B$29,MAX(0,(Inputs!$B$3-100)*3)+Inputs!$B$28+Inputs!$B$29)))</f>
        <v/>
      </c>
      <c r="E1230">
        <f>INDEX(FactorTable!$B$2:$Y$301, MATCH(ROUND(MIN(300,MAX(1,D1230)),0), FactorTable!$A$2:$A$301,0), Skills!M25+1)</f>
        <v/>
      </c>
      <c r="F1230">
        <f>IF(Skills!N25=TRUE,(Skills!L25/10)*(E1230/1000),Skills!L25/10)+Skills!O25</f>
        <v/>
      </c>
      <c r="G1230">
        <f>Skills!G25*IF(Skills!H25&gt;0,Skills!I25/Skills!H25,1)</f>
        <v/>
      </c>
      <c r="H1230">
        <f>1-(1-Skills!J25/100)^Skills!K25</f>
        <v/>
      </c>
      <c r="I1230" t="inlineStr">
        <is>
          <t>1</t>
        </is>
      </c>
      <c r="J1230" t="inlineStr"/>
      <c r="K1230" t="inlineStr"/>
      <c r="L1230" t="inlineStr"/>
      <c r="M1230" t="inlineStr"/>
      <c r="N1230" t="inlineStr"/>
      <c r="O1230">
        <f>(1-Summary!$B$11)*T1230+Summary!$B$11*V1230</f>
        <v/>
      </c>
      <c r="P1230">
        <f>IF(B1244=0,0,O1230/B1244)</f>
        <v/>
      </c>
      <c r="Q1230" t="n">
        <v>0</v>
      </c>
      <c r="R1230" t="n">
        <v>0</v>
      </c>
      <c r="S1230">
        <f>IFERROR(O1230/N1230,0)</f>
        <v/>
      </c>
      <c r="T1230" t="n">
        <v>0</v>
      </c>
      <c r="V1230" t="n">
        <v>0</v>
      </c>
    </row>
    <row r="1231">
      <c r="A1231">
        <f>Skills!A26</f>
        <v/>
      </c>
      <c r="B1231">
        <f>Skills!B26</f>
        <v/>
      </c>
      <c r="C1231">
        <f>Inputs!$B$3&gt;=72</f>
        <v/>
      </c>
      <c r="D1231">
        <f>IF(Skills!C26=1,60+Inputs!$B$25+Inputs!$B$29,IF(Skills!C26=2,90+Inputs!$B$26+Inputs!$B$29,IF(Skills!C26=3,120+Inputs!$B$27+Inputs!$B$29,MAX(0,(Inputs!$B$3-100)*3)+Inputs!$B$28+Inputs!$B$29)))</f>
        <v/>
      </c>
      <c r="E1231">
        <f>INDEX(FactorTable!$B$2:$Y$301, MATCH(ROUND(MIN(300,MAX(1,D1231)),0), FactorTable!$A$2:$A$301,0), Skills!M26+1)</f>
        <v/>
      </c>
      <c r="F1231">
        <f>IF(Skills!N26=TRUE,(Skills!L26/10)*(E1231/1000),Skills!L26/10)+Skills!O26</f>
        <v/>
      </c>
      <c r="G1231">
        <f>Skills!G26*IF(Skills!H26&gt;0,Skills!I26/Skills!H26,1)</f>
        <v/>
      </c>
      <c r="H1231">
        <f>1-(1-Skills!J26/100)^Skills!K26</f>
        <v/>
      </c>
      <c r="I1231" t="inlineStr">
        <is>
          <t>1</t>
        </is>
      </c>
      <c r="J1231" t="inlineStr"/>
      <c r="K1231" t="inlineStr"/>
      <c r="L1231" t="inlineStr"/>
      <c r="M1231" t="inlineStr"/>
      <c r="N1231" t="inlineStr"/>
      <c r="O1231">
        <f>(1-Summary!$B$11)*T1231+Summary!$B$11*V1231</f>
        <v/>
      </c>
      <c r="P1231">
        <f>IF(B1244=0,0,O1231/B1244)</f>
        <v/>
      </c>
      <c r="Q1231" t="n">
        <v>0</v>
      </c>
      <c r="R1231" t="n">
        <v>0</v>
      </c>
      <c r="S1231">
        <f>IFERROR(O1231/N1231,0)</f>
        <v/>
      </c>
      <c r="T1231" t="n">
        <v>0</v>
      </c>
      <c r="V1231" t="n">
        <v>0</v>
      </c>
    </row>
    <row r="1233">
      <c r="A1233" t="inlineStr">
        <is>
          <t>Attack% Bucket Multiplier</t>
        </is>
      </c>
      <c r="B1233">
        <f>(1+(((C1218=TRUE)*F1218*IF(Inputs!$B$3&gt;=110,7,5))+((C1220=TRUE)*F1220*IF(AND(Inputs!$B$38&lt;&gt;"pvp",Inputs!$B$43&gt;0),(((R1220-1)*(Skills!T15*(1+(Inputs!$B$34+(ArtifactsInput!$M$7-ArtifactsInput!$M$7)*CHOOSE(ArtifactsInput!$N$7+1,6,7.2,8.4,9.6,10.8,12))/100))+MIN((Skills!T15*(1+(Inputs!$B$34+(ArtifactsInput!$M$7-ArtifactsInput!$M$7)*CHOOSE(ArtifactsInput!$N$7+1,6,7.2,8.4,9.6,10.8,12))/100)),MAX(0,Inputs!$B$43-((R1220-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234">
      <c r="A1234" t="inlineStr">
        <is>
          <t>Global Crit Rate Bonus %</t>
        </is>
      </c>
      <c r="B1234" t="n">
        <v>0</v>
      </c>
    </row>
    <row r="1235">
      <c r="A1235" t="inlineStr">
        <is>
          <t>Attack Speed Buff Bonus %</t>
        </is>
      </c>
      <c r="B1235">
        <f>((C1224=TRUE)*F1224*IF(AND(Inputs!$B$38&lt;&gt;"pvp",Inputs!$B$43&gt;0),(((R1224-1)*(Skills!T19*(1+(Inputs!$B$34+(ArtifactsInput!$M$7-ArtifactsInput!$M$7)*CHOOSE(ArtifactsInput!$N$7+1,6,7.2,8.4,9.6,10.8,12))/100))+MIN((Skills!T19*(1+(Inputs!$B$34+(ArtifactsInput!$M$7-ArtifactsInput!$M$7)*CHOOSE(ArtifactsInput!$N$7+1,6,7.2,8.4,9.6,10.8,12))/100)),MAX(0,Inputs!$B$43-((R1224-1)*Skills!D19))))/Inputs!$B$43),IF(Inputs!$B$38="pvp",MIN((Skills!T19*(1+(Inputs!$B$34+(ArtifactsInput!$M$7-ArtifactsInput!$M$7)*CHOOSE(ArtifactsInput!$N$7+1,6,7.2,8.4,9.6,10.8,12))/100)),15)/15,(Skills!T19*(1+(Inputs!$B$34+(ArtifactsInput!$M$7-ArtifactsInput!$M$7)*CHOOSE(ArtifactsInput!$N$7+1,6,7.2,8.4,9.6,10.8,12))/100))/Skills!D19)))</f>
        <v/>
      </c>
    </row>
    <row r="1236">
      <c r="A1236" t="inlineStr">
        <is>
          <t>Actions Per Second</t>
        </is>
      </c>
      <c r="B1236">
        <f>1+MIN(150,150*(1-(1-(Inputs!$B$11+((C1225=TRUE)*(F1225-Calc!F20)))/150)*(1-B1235/150)))/100</f>
        <v/>
      </c>
    </row>
    <row r="1237">
      <c r="A1237" t="inlineStr">
        <is>
          <t>Skill + Buff Cast Rate</t>
        </is>
      </c>
      <c r="B1237">
        <f>IF(AND(Inputs!$B$38&lt;&gt;"pvp",Inputs!$B$43&gt;0),SUMPRODUCT((Skills!E2:E26=TRUE)*(C1207:C1231=TRUE)*R1207:R1231*Skills!F2:F26)/Inputs!$B$43,SUMPRODUCT((Skills!E2:E26=TRUE)*(C1207:C1231=TRUE)*Q1207:Q1231*Skills!F2:F26))</f>
        <v/>
      </c>
    </row>
    <row r="1238">
      <c r="A1238" t="inlineStr">
        <is>
          <t>Raging Blow Casts Per Second</t>
        </is>
      </c>
      <c r="B1238">
        <f>MAX(0,B1236-B1237)</f>
        <v/>
      </c>
    </row>
    <row r="1239">
      <c r="A1239" t="inlineStr">
        <is>
          <t>Global Critical Damage Bonus % (Enrage)</t>
        </is>
      </c>
      <c r="B1239">
        <f>((C1223=TRUE)*F1223*IF(AND(Inputs!$B$38&lt;&gt;"pvp",Inputs!$B$43&gt;0),(((R1223-1)*(Skills!T18*(1+(Inputs!$B$34+(ArtifactsInput!$M$7-ArtifactsInput!$M$7)*CHOOSE(ArtifactsInput!$N$7+1,6,7.2,8.4,9.6,10.8,12))/100))+MIN((Skills!T18*(1+(Inputs!$B$34+(ArtifactsInput!$M$7-ArtifactsInput!$M$7)*CHOOSE(ArtifactsInput!$N$7+1,6,7.2,8.4,9.6,10.8,12))/100)),MAX(0,Inputs!$B$43-((R1223-1)*Skills!D18))))/Inputs!$B$43),IF(Inputs!$B$38="pvp",MIN((Skills!T18*(1+(Inputs!$B$34+(ArtifactsInput!$M$7-ArtifactsInput!$M$7)*CHOOSE(ArtifactsInput!$N$7+1,6,7.2,8.4,9.6,10.8,12))/100)),15)/15,(Skills!T18*(1+(Inputs!$B$34+(ArtifactsInput!$M$7-ArtifactsInput!$M$7)*CHOOSE(ArtifactsInput!$N$7+1,6,7.2,8.4,9.6,10.8,12))/100))/Skills!D18)))</f>
        <v/>
      </c>
    </row>
    <row r="1240">
      <c r="A1240" t="inlineStr">
        <is>
          <t>Global Final Damage Bonus % (Enrage + Combo Synergy)</t>
        </is>
      </c>
      <c r="B1240">
        <f>((C1222=TRUE)*F1222*IF(AND(Inputs!$B$38&lt;&gt;"pvp",Inputs!$B$43&gt;0),(((R1222-1)*(Skills!T17*(1+(Inputs!$B$34+(ArtifactsInput!$M$7-ArtifactsInput!$M$7)*CHOOSE(ArtifactsInput!$N$7+1,6,7.2,8.4,9.6,10.8,12))/100))+MIN((Skills!T17*(1+(Inputs!$B$34+(ArtifactsInput!$M$7-ArtifactsInput!$M$7)*CHOOSE(ArtifactsInput!$N$7+1,6,7.2,8.4,9.6,10.8,12))/100)),MAX(0,Inputs!$B$43-((R1222-1)*Skills!D17))))/Inputs!$B$43),IF(Inputs!$B$38="pvp",MIN((Skills!T17*(1+(Inputs!$B$34+(ArtifactsInput!$M$7-ArtifactsInput!$M$7)*CHOOSE(ArtifactsInput!$N$7+1,6,7.2,8.4,9.6,10.8,12))/100)),15)/15,(Skills!T17*(1+(Inputs!$B$34+(ArtifactsInput!$M$7-ArtifactsInput!$M$7)*CHOOSE(ArtifactsInput!$N$7+1,6,7.2,8.4,9.6,10.8,12))/100))/Skills!D17)))+((C1219=TRUE)*F1219*IF(Inputs!$B$3&gt;=110,7,5))</f>
        <v/>
      </c>
    </row>
    <row r="1241">
      <c r="A1241" t="inlineStr">
        <is>
          <t>Buff-Casting Startup Delay (s, fixed-duration only)</t>
        </is>
      </c>
      <c r="B1241">
        <f>IF(AND(Inputs!$B$38&lt;&gt;"pvp",Inputs!$B$43&gt;0),SUMPRODUCT((Skills!T2:T26&gt;0)*(Skills!E2:E26=TRUE)*(C1207:C1231=TRUE))/B1236,0)</f>
        <v/>
      </c>
    </row>
    <row r="1242">
      <c r="A1242" t="inlineStr">
        <is>
          <t>Boss-Only Total DPS (this block's swept value)</t>
        </is>
      </c>
      <c r="B1242">
        <f>SUM(T1207:T1231)</f>
        <v/>
      </c>
    </row>
    <row r="1243">
      <c r="A1243" t="inlineStr">
        <is>
          <t>Normal-Only Total DPS (this block's swept value)</t>
        </is>
      </c>
      <c r="B1243">
        <f>SUM(V1207:V1231)</f>
        <v/>
      </c>
    </row>
    <row r="1244">
      <c r="A1244" s="6" t="inlineStr">
        <is>
          <t>TOTAL DPS</t>
        </is>
      </c>
      <c r="B1244" s="6">
        <f>SUM(O1207:O1231)</f>
        <v/>
      </c>
    </row>
    <row r="1247">
      <c r="A1247" s="6" t="inlineStr">
        <is>
          <t>Stat: Shamaness Marble (Equip)</t>
        </is>
      </c>
    </row>
    <row r="1248">
      <c r="A1248" s="5" t="inlineStr">
        <is>
          <t>Key</t>
        </is>
      </c>
      <c r="B1248" s="5" t="inlineStr">
        <is>
          <t>Name</t>
        </is>
      </c>
      <c r="C1248" s="5" t="inlineStr">
        <is>
          <t>Unlocked</t>
        </is>
      </c>
      <c r="D1248" s="5" t="inlineStr">
        <is>
          <t>InputLevel</t>
        </is>
      </c>
      <c r="E1248" s="5" t="inlineStr">
        <is>
          <t>Factor</t>
        </is>
      </c>
      <c r="F1248" s="5" t="inlineStr">
        <is>
          <t>CoefficientPercent</t>
        </is>
      </c>
      <c r="G1248" s="5" t="inlineStr">
        <is>
          <t>EffectiveHits</t>
        </is>
      </c>
      <c r="H1248" s="5" t="inlineStr">
        <is>
          <t>ProcProbability</t>
        </is>
      </c>
      <c r="I1248" s="5" t="inlineStr">
        <is>
          <t>MapleHeroMultiplier</t>
        </is>
      </c>
      <c r="J1248" s="5" t="inlineStr">
        <is>
          <t>BaseDamage</t>
        </is>
      </c>
      <c r="K1248" s="5" t="inlineStr">
        <is>
          <t>BaseHitDamage</t>
        </is>
      </c>
      <c r="L1248" s="5" t="inlineStr">
        <is>
          <t>NonCritAvg</t>
        </is>
      </c>
      <c r="M1248" s="5" t="inlineStr">
        <is>
          <t>CritAvg</t>
        </is>
      </c>
      <c r="N1248" s="5" t="inlineStr">
        <is>
          <t>ExpectedDamage(perHit)</t>
        </is>
      </c>
      <c r="O1248" s="5" t="inlineStr">
        <is>
          <t>DPS</t>
        </is>
      </c>
      <c r="P1248" s="5" t="inlineStr">
        <is>
          <t>% of Total</t>
        </is>
      </c>
      <c r="Q1248" s="5" t="inlineStr">
        <is>
          <t>InvCooldown</t>
        </is>
      </c>
      <c r="R1248" s="5" t="inlineStr">
        <is>
          <t>CastsInFight</t>
        </is>
      </c>
      <c r="S1248" s="5" t="inlineStr">
        <is>
          <t>HitRate(perSec)</t>
        </is>
      </c>
      <c r="U1248" t="inlineStr">
        <is>
          <t>helpers</t>
        </is>
      </c>
    </row>
    <row r="1249">
      <c r="A1249">
        <f>Skills!A2</f>
        <v/>
      </c>
      <c r="B1249">
        <f>Skills!B2</f>
        <v/>
      </c>
      <c r="C1249">
        <f>Inputs!$B$3&gt;=100</f>
        <v/>
      </c>
      <c r="D1249" t="inlineStr"/>
      <c r="E1249" t="inlineStr"/>
      <c r="F1249">
        <f>U1251+Skills!O2</f>
        <v/>
      </c>
      <c r="G1249">
        <f>Skills!G2*IF(Skills!H2&gt;0,Skills!I2/Skills!H2,1)</f>
        <v/>
      </c>
      <c r="H1249">
        <f>1-(1-Skills!J2/100)^Skills!K2</f>
        <v/>
      </c>
      <c r="I1249" t="inlineStr">
        <is>
          <t>1</t>
        </is>
      </c>
      <c r="J1249">
        <f>((Inputs!$B$6*(1+Inputs!$B$7/100))+(((Inputs!$B$12*(1+Inputs!$B$13/100))-(Inputs!$B$12*(1+Inputs!$B$13/100)))+0.25*(Inputs!$B$14-Inputs!$B$14))*(1+Inputs!$B$7/100))*(F1249/100)</f>
        <v/>
      </c>
      <c r="K1249">
        <f>J1249*(1+((Inputs!$B$12*(1+Inputs!$B$13/100))*0.01+Inputs!$B$14*0.0025)/100)*(1+Inputs!$B$15/100)*(1+Inputs!$B$16/100)*(5000/(6000+Inputs!$B$42*(1-(100*(1-(1-(Inputs!$B$19+0)/100)*(1-CHOOSE(ArtifactsInput!$N$40+1,5,6,7,8,9,10)/100)^(ArtifactsInput!$M$40-ArtifactsInput!$M$40)))/100)))*(1+(Inputs!$B$24+((C1272=TRUE)*(F1272-Calc!F25))+B1282)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1268=TRUE)*(F1268-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1270=TRUE)*(F1270-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1260=TRUE)*F1260*IF(Inputs!$B$3&gt;=110,7,5))+((C1262=TRUE)*F1262*IF(AND(Inputs!$B$38&lt;&gt;"pvp",Inputs!$B$43&gt;0),(((R1262-1)*(Skills!T15*(1+(Inputs!$B$34+(IF(ArtifactsInput!$M$7,FALSE,TRUE)-ArtifactsInput!$M$7)*CHOOSE(ArtifactsInput!$N$7+1,6,7.2,8.4,9.6,10.8,12))/100))+MIN((Skills!T15*(1+(Inputs!$B$34+(IF(ArtifactsInput!$M$7,FALSE,TRUE)-ArtifactsInput!$M$7)*CHOOSE(ArtifactsInput!$N$7+1,6,7.2,8.4,9.6,10.8,12))/100)),MAX(0,Inputs!$B$43-((R1262-1)*Skills!D15))))/Inputs!$B$43),IF(Inputs!$B$38="pvp",MIN((Skills!T15*(1+(Inputs!$B$34+(IF(ArtifactsInput!$M$7,FALSE,TRUE)-ArtifactsInput!$M$7)*CHOOSE(ArtifactsInput!$N$7+1,6,7.2,8.4,9.6,10.8,12))/100)),15)/15,(Skills!T15*(1+(Inputs!$B$34+(IF(ArtifactsInput!$M$7,FALSE,TRUE)-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I1249)</f>
        <v/>
      </c>
      <c r="L1249">
        <f>K1249*(MIN(Inputs!$B$22+((C1269=TRUE)*(F1269-Calc!F22)),(Inputs!$B$23+((C1271=TRUE)*(F1271-Calc!F24))+(IF(ArtifactsInput!$M$15,CHOOSE(ArtifactsInput!$N$15+1,25,30,35,40,45,50)/100*(Inputs!$B$11-Inputs!$B$11),0))))/100+(Inputs!$B$23+((C1271=TRUE)*(F1271-Calc!F24))+(IF(ArtifactsInput!$M$15,CHOOSE(ArtifactsInput!$N$15+1,25,30,35,40,45,50)/100*(Inputs!$B$11-Inputs!$B$11),0)))/100)/2</f>
        <v/>
      </c>
      <c r="M1249">
        <f>L1249*(1+(Inputs!$B$10+0+B1281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9">
        <f>L1249*(1-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1249*(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9">
        <f>(1-Summary!$B$11)*T1249+Summary!$B$11*V1249</f>
        <v/>
      </c>
      <c r="P1249">
        <f>IF(B1286=0,0,O1249/B1286)</f>
        <v/>
      </c>
      <c r="Q1249" t="n">
        <v>0</v>
      </c>
      <c r="R1249" t="n">
        <v>0</v>
      </c>
      <c r="S1249">
        <f>IFERROR(O1249/N1249,0)</f>
        <v/>
      </c>
      <c r="T1249">
        <f>IF(C1249,(Skills!G2*N1249*B1280)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1249*(1-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1249*(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1249*(1-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1249*(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49">
        <f>MAX(0,(Inputs!$B$3-100)*3)+Inputs!$B$28+Inputs!$B$29</f>
        <v/>
      </c>
      <c r="V1249">
        <f>IF(C1249,(Skills!G2*N1249*B1280)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0">
      <c r="A1250">
        <f>Skills!A3</f>
        <v/>
      </c>
      <c r="B1250">
        <f>Skills!B3</f>
        <v/>
      </c>
      <c r="C1250">
        <f>Inputs!$B$3&gt;=50</f>
        <v/>
      </c>
      <c r="D1250">
        <f>IF(Skills!C3=1,60+Inputs!$B$25+Inputs!$B$29,IF(Skills!C3=2,90+Inputs!$B$26+Inputs!$B$29,IF(Skills!C3=3,120+Inputs!$B$27+Inputs!$B$29,MAX(0,(Inputs!$B$3-100)*3)+Inputs!$B$28+Inputs!$B$29)))</f>
        <v/>
      </c>
      <c r="E1250">
        <f>INDEX(FactorTable!$B$2:$Y$301, MATCH(ROUND(MIN(300,MAX(1,D1250)),0), FactorTable!$A$2:$A$301,0), Skills!M3+1)</f>
        <v/>
      </c>
      <c r="F1250">
        <f>IF(Skills!N3=TRUE,(Skills!L3/10)*(E1250/1000),Skills!L3/10)+Skills!O3</f>
        <v/>
      </c>
      <c r="G1250" t="inlineStr"/>
      <c r="H1250" t="inlineStr"/>
      <c r="I1250" t="inlineStr">
        <is>
          <t>1</t>
        </is>
      </c>
      <c r="J1250" t="inlineStr"/>
      <c r="K1250" t="inlineStr"/>
      <c r="L1250" t="inlineStr"/>
      <c r="M1250" t="inlineStr"/>
      <c r="N1250" t="inlineStr"/>
      <c r="O1250" t="inlineStr"/>
      <c r="P1250" t="inlineStr"/>
      <c r="Q1250" t="inlineStr"/>
      <c r="R1250" t="inlineStr"/>
      <c r="S1250" t="inlineStr"/>
      <c r="U1250">
        <f>INDEX(FactorTable!$B$2:$Y$301, MATCH(ROUND(MIN(300,MAX(1,U1249)),0), FactorTable!$A$2:$A$301,0), 22)</f>
        <v/>
      </c>
    </row>
    <row r="1251">
      <c r="A1251">
        <f>Skills!A4</f>
        <v/>
      </c>
      <c r="B1251">
        <f>Skills!B4</f>
        <v/>
      </c>
      <c r="C1251">
        <f>Inputs!$B$3&gt;=105</f>
        <v/>
      </c>
      <c r="D1251">
        <f>IF(Skills!C4=1,60+Inputs!$B$25+Inputs!$B$29,IF(Skills!C4=2,90+Inputs!$B$26+Inputs!$B$29,IF(Skills!C4=3,120+Inputs!$B$27+Inputs!$B$29,MAX(0,(Inputs!$B$3-100)*3)+Inputs!$B$28+Inputs!$B$29)))</f>
        <v/>
      </c>
      <c r="E1251">
        <f>INDEX(FactorTable!$B$2:$Y$301, MATCH(ROUND(MIN(300,MAX(1,D1251)),0), FactorTable!$A$2:$A$301,0), Skills!M4+1)</f>
        <v/>
      </c>
      <c r="F1251">
        <f>IF(Skills!N4=TRUE,(Skills!L4/10)*(E1251/1000),Skills!L4/10)+Skills!O4</f>
        <v/>
      </c>
      <c r="G1251" t="inlineStr"/>
      <c r="H1251" t="inlineStr"/>
      <c r="I1251" t="inlineStr">
        <is>
          <t>1</t>
        </is>
      </c>
      <c r="J1251" t="inlineStr"/>
      <c r="K1251" t="inlineStr"/>
      <c r="L1251" t="inlineStr"/>
      <c r="M1251" t="inlineStr"/>
      <c r="N1251" t="inlineStr"/>
      <c r="O1251" t="inlineStr"/>
      <c r="P1251" t="inlineStr"/>
      <c r="Q1251" t="inlineStr"/>
      <c r="R1251" t="inlineStr"/>
      <c r="S1251" t="inlineStr"/>
      <c r="U1251">
        <f>290*U1250/1000</f>
        <v/>
      </c>
    </row>
    <row r="1252">
      <c r="A1252">
        <f>Skills!A5</f>
        <v/>
      </c>
      <c r="B1252">
        <f>Skills!B5</f>
        <v/>
      </c>
      <c r="C1252">
        <f>Inputs!$B$3&gt;=103</f>
        <v/>
      </c>
      <c r="D1252">
        <f>IF(Skills!C5=1,60+Inputs!$B$25+Inputs!$B$29,IF(Skills!C5=2,90+Inputs!$B$26+Inputs!$B$29,IF(Skills!C5=3,120+Inputs!$B$27+Inputs!$B$29,MAX(0,(Inputs!$B$3-100)*3)+Inputs!$B$28+Inputs!$B$29)))</f>
        <v/>
      </c>
      <c r="E1252">
        <f>INDEX(FactorTable!$B$2:$Y$301, MATCH(ROUND(MIN(300,MAX(1,D1252)),0), FactorTable!$A$2:$A$301,0), Skills!M5+1)</f>
        <v/>
      </c>
      <c r="F1252">
        <f>IF(Skills!N5=TRUE,(Skills!L5/10)*(E1252/1000),Skills!L5/10)+Skills!O5</f>
        <v/>
      </c>
      <c r="G1252">
        <f>Skills!G5*IF(Skills!H5&gt;0,Skills!I5/Skills!H5,1)</f>
        <v/>
      </c>
      <c r="H1252">
        <f>1-(1-Skills!J5/100)^Skills!K5</f>
        <v/>
      </c>
      <c r="I1252" t="inlineStr">
        <is>
          <t>1</t>
        </is>
      </c>
      <c r="J1252">
        <f>((Inputs!$B$6*(1+Inputs!$B$7/100))+(((Inputs!$B$12*(1+Inputs!$B$13/100))-(Inputs!$B$12*(1+Inputs!$B$13/100)))+0.25*(Inputs!$B$14-Inputs!$B$14))*(1+Inputs!$B$7/100))*(F1252/100)</f>
        <v/>
      </c>
      <c r="K1252">
        <f>J1252*(1+((Inputs!$B$12*(1+Inputs!$B$13/100))*0.01+Inputs!$B$14*0.0025)/100)*(1+Inputs!$B$15/100)*(1+Inputs!$B$16/100)*(5000/(6000+Inputs!$B$42*(1-(100*(1-(1-(Inputs!$B$19+0)/100)*(1-CHOOSE(ArtifactsInput!$N$40+1,5,6,7,8,9,10)/100)^(ArtifactsInput!$M$40-ArtifactsInput!$M$40)))/100)))*(1+(Inputs!$B$24+((C1272=TRUE)*(F1272-Calc!F25))+B1282)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1268=TRUE)*(F1268-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1270=TRUE)*(F1270-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1260=TRUE)*F1260*IF(Inputs!$B$3&gt;=110,7,5))+((C1262=TRUE)*F1262*IF(AND(Inputs!$B$38&lt;&gt;"pvp",Inputs!$B$43&gt;0),(((R1262-1)*(Skills!T15*(1+(Inputs!$B$34+(IF(ArtifactsInput!$M$7,FALSE,TRUE)-ArtifactsInput!$M$7)*CHOOSE(ArtifactsInput!$N$7+1,6,7.2,8.4,9.6,10.8,12))/100))+MIN((Skills!T15*(1+(Inputs!$B$34+(IF(ArtifactsInput!$M$7,FALSE,TRUE)-ArtifactsInput!$M$7)*CHOOSE(ArtifactsInput!$N$7+1,6,7.2,8.4,9.6,10.8,12))/100)),MAX(0,Inputs!$B$43-((R1262-1)*Skills!D15))))/Inputs!$B$43),IF(Inputs!$B$38="pvp",MIN((Skills!T15*(1+(Inputs!$B$34+(IF(ArtifactsInput!$M$7,FALSE,TRUE)-ArtifactsInput!$M$7)*CHOOSE(ArtifactsInput!$N$7+1,6,7.2,8.4,9.6,10.8,12))/100)),15)/15,(Skills!T15*(1+(Inputs!$B$34+(IF(ArtifactsInput!$M$7,FALSE,TRUE)-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I1252)</f>
        <v/>
      </c>
      <c r="L1252">
        <f>K1252*(MIN(Inputs!$B$22+((C1269=TRUE)*(F1269-Calc!F22)),(Inputs!$B$23+((C1271=TRUE)*(F1271-Calc!F24))+(IF(ArtifactsInput!$M$15,CHOOSE(ArtifactsInput!$N$15+1,25,30,35,40,45,50)/100*(Inputs!$B$11-Inputs!$B$11),0))))/100+(Inputs!$B$23+((C1271=TRUE)*(F1271-Calc!F24))+(IF(ArtifactsInput!$M$15,CHOOSE(ArtifactsInput!$N$15+1,25,30,35,40,45,50)/100*(Inputs!$B$11-Inputs!$B$11),0)))/100)/2</f>
        <v/>
      </c>
      <c r="M1252">
        <f>L1252*(1+(Inputs!$B$10+0+B1281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2">
        <f>L1252*(1-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1252*(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2">
        <f>(1-Summary!$B$11)*T1252+Summary!$B$11*V1252</f>
        <v/>
      </c>
      <c r="P1252">
        <f>IF(B1286=0,0,O1252/B1286)</f>
        <v/>
      </c>
      <c r="Q1252">
        <f>IFERROR(1/(IF(Inputs!$B$38="pvp",15,MAX(0.1,Skills!D5-IF(Skills!E5=TRUE,Inputs!$B$32,0)))*(1-IF(AND(ArtifactsInput!$M$27,Inputs!$B$4="Chapter Hunt"),CHOOSE(ArtifactsInput!$N$27+1,20,24,28,32,36,40),0)/100)),0)</f>
        <v/>
      </c>
      <c r="R1252">
        <f>IF(AND(Inputs!$B$38&lt;&gt;"pvp",Inputs!$B$43&gt;0),IF(MAX(0,Inputs!$B$43-B1283)&lt;=0,0,(INT(MAX(0,Inputs!$B$43-B1283)/(IF(Inputs!$B$38="pvp",15,MAX(0.1,Skills!D5-IF(Skills!E5=TRUE,Inputs!$B$32,0)))*(1-IF(AND(ArtifactsInput!$M$27,Inputs!$B$4="Chapter Hunt"),CHOOSE(ArtifactsInput!$N$27+1,20,24,28,32,36,40),0)/100)))+1)),0)</f>
        <v/>
      </c>
      <c r="S1252">
        <f>IFERROR(O1252/N1252,0)</f>
        <v/>
      </c>
      <c r="T1252">
        <f>IF(C1252,(H1252*N1252*IF(AND(Inputs!$B$38&lt;&gt;"pvp",Inputs!$B$43&gt;0),((Skills!G5*((R1252-1)*IF(Skills!H5&gt;0,Skills!I5/Skills!H5,1)+IF(Skills!H5&gt;0,MIN(Skills!I5,MAX(0,MAX(0,Inputs!$B$43-B1283)-((R1252-1)*(IF(Inputs!$B$38="pvp",15,MAX(0.1,Skills!D5-IF(Skills!E5=TRUE,Inputs!$B$32,0)))*(1-IF(AND(ArtifactsInput!$M$27,Inputs!$B$4="Chapter Hunt"),CHOOSE(ArtifactsInput!$N$27+1,20,24,28,32,36,40),0)/100)))))/Skills!H5,1)))/Inputs!$B$43),G1252*Q1252)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1252*(1-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1252*(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1252*(1-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1252*(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2">
        <f>IF(C1252,(H1252*N1252*IF(AND(Inputs!$B$38&lt;&gt;"pvp",Inputs!$B$43&gt;0),((Skills!G5*((R1252-1)*IF(Skills!H5&gt;0,Skills!I5/Skills!H5,1)+IF(Skills!H5&gt;0,MIN(Skills!I5,MAX(0,MAX(0,Inputs!$B$43-B1283)-((R1252-1)*(IF(Inputs!$B$38="pvp",15,MAX(0.1,Skills!D5-IF(Skills!E5=TRUE,Inputs!$B$32,0)))*(1-IF(AND(ArtifactsInput!$M$27,Inputs!$B$4="Chapter Hunt"),CHOOSE(ArtifactsInput!$N$27+1,20,24,28,32,36,40),0)/100)))))/Skills!H5,1)))/Inputs!$B$43),G1252*Q1252)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3">
      <c r="A1253">
        <f>Skills!A6</f>
        <v/>
      </c>
      <c r="B1253">
        <f>Skills!B6</f>
        <v/>
      </c>
      <c r="C1253">
        <f>Inputs!$B$3&gt;=103</f>
        <v/>
      </c>
      <c r="D1253">
        <f>IF(Skills!C6=1,60+Inputs!$B$25+Inputs!$B$29,IF(Skills!C6=2,90+Inputs!$B$26+Inputs!$B$29,IF(Skills!C6=3,120+Inputs!$B$27+Inputs!$B$29,MAX(0,(Inputs!$B$3-100)*3)+Inputs!$B$28+Inputs!$B$29)))</f>
        <v/>
      </c>
      <c r="E1253">
        <f>INDEX(FactorTable!$B$2:$Y$301, MATCH(ROUND(MIN(300,MAX(1,D1253)),0), FactorTable!$A$2:$A$301,0), Skills!M6+1)</f>
        <v/>
      </c>
      <c r="F1253">
        <f>IF(Skills!N6=TRUE,(Skills!L6/10)*(E1253/1000),Skills!L6/10)+Skills!O6</f>
        <v/>
      </c>
      <c r="G1253">
        <f>Skills!G6*IF(Skills!H6&gt;0,Skills!I6/Skills!H6,1)</f>
        <v/>
      </c>
      <c r="H1253">
        <f>1-(1-Skills!J6/100)^Skills!K6</f>
        <v/>
      </c>
      <c r="I1253" t="inlineStr">
        <is>
          <t>1</t>
        </is>
      </c>
      <c r="J1253">
        <f>((Inputs!$B$6*(1+Inputs!$B$7/100))+(((Inputs!$B$12*(1+Inputs!$B$13/100))-(Inputs!$B$12*(1+Inputs!$B$13/100)))+0.25*(Inputs!$B$14-Inputs!$B$14))*(1+Inputs!$B$7/100))*(F1253/100)</f>
        <v/>
      </c>
      <c r="K1253">
        <f>J1253*(1+((Inputs!$B$12*(1+Inputs!$B$13/100))*0.01+Inputs!$B$14*0.0025)/100)*(1+Inputs!$B$15/100)*(1+Inputs!$B$16/100)*(5000/(6000+Inputs!$B$42*(1-(100*(1-(1-(Inputs!$B$19+0)/100)*(1-CHOOSE(ArtifactsInput!$N$40+1,5,6,7,8,9,10)/100)^(ArtifactsInput!$M$40-ArtifactsInput!$M$40)))/100)))*(1+(Inputs!$B$24+((C1272=TRUE)*(F1272-Calc!F25))+B1282)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1268=TRUE)*(F1268-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1270=TRUE)*(F1270-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1260=TRUE)*F1260*IF(Inputs!$B$3&gt;=110,7,5))+((C1262=TRUE)*F1262*IF(AND(Inputs!$B$38&lt;&gt;"pvp",Inputs!$B$43&gt;0),(((R1262-1)*(Skills!T15*(1+(Inputs!$B$34+(IF(ArtifactsInput!$M$7,FALSE,TRUE)-ArtifactsInput!$M$7)*CHOOSE(ArtifactsInput!$N$7+1,6,7.2,8.4,9.6,10.8,12))/100))+MIN((Skills!T15*(1+(Inputs!$B$34+(IF(ArtifactsInput!$M$7,FALSE,TRUE)-ArtifactsInput!$M$7)*CHOOSE(ArtifactsInput!$N$7+1,6,7.2,8.4,9.6,10.8,12))/100)),MAX(0,Inputs!$B$43-((R1262-1)*Skills!D15))))/Inputs!$B$43),IF(Inputs!$B$38="pvp",MIN((Skills!T15*(1+(Inputs!$B$34+(IF(ArtifactsInput!$M$7,FALSE,TRUE)-ArtifactsInput!$M$7)*CHOOSE(ArtifactsInput!$N$7+1,6,7.2,8.4,9.6,10.8,12))/100)),15)/15,(Skills!T15*(1+(Inputs!$B$34+(IF(ArtifactsInput!$M$7,FALSE,TRUE)-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I1253)</f>
        <v/>
      </c>
      <c r="L1253">
        <f>K1253*(MIN(Inputs!$B$22+((C1269=TRUE)*(F1269-Calc!F22)),(Inputs!$B$23+((C1271=TRUE)*(F1271-Calc!F24))+(IF(ArtifactsInput!$M$15,CHOOSE(ArtifactsInput!$N$15+1,25,30,35,40,45,50)/100*(Inputs!$B$11-Inputs!$B$11),0))))/100+(Inputs!$B$23+((C1271=TRUE)*(F1271-Calc!F24))+(IF(ArtifactsInput!$M$15,CHOOSE(ArtifactsInput!$N$15+1,25,30,35,40,45,50)/100*(Inputs!$B$11-Inputs!$B$11),0)))/100)/2</f>
        <v/>
      </c>
      <c r="M1253">
        <f>L1253*(1+(Inputs!$B$10+0+B1281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3">
        <f>L1253*(1-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1253*(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3">
        <f>(1-Summary!$B$11)*T1253+Summary!$B$11*V1253</f>
        <v/>
      </c>
      <c r="P1253">
        <f>IF(B1286=0,0,O1253/B1286)</f>
        <v/>
      </c>
      <c r="Q1253">
        <f>IFERROR(1/(IF(Inputs!$B$38="pvp",15,MAX(0.1,Skills!D6-IF(Skills!E6=TRUE,Inputs!$B$32,0)))*(1-IF(AND(ArtifactsInput!$M$27,Inputs!$B$4="Chapter Hunt"),CHOOSE(ArtifactsInput!$N$27+1,20,24,28,32,36,40),0)/100)),0)</f>
        <v/>
      </c>
      <c r="R1253">
        <f>IF(AND(Inputs!$B$38&lt;&gt;"pvp",Inputs!$B$43&gt;0),IF(MAX(0,Inputs!$B$43-B1283)&lt;=0,0,(INT(MAX(0,Inputs!$B$43-B1283)/(IF(Inputs!$B$38="pvp",15,MAX(0.1,Skills!D6-IF(Skills!E6=TRUE,Inputs!$B$32,0)))*(1-IF(AND(ArtifactsInput!$M$27,Inputs!$B$4="Chapter Hunt"),CHOOSE(ArtifactsInput!$N$27+1,20,24,28,32,36,40),0)/100)))+1)),0)</f>
        <v/>
      </c>
      <c r="S1253">
        <f>IFERROR(O1253/N1253,0)</f>
        <v/>
      </c>
      <c r="T1253">
        <f>IF(C1253,(H1253*N1253*IF(AND(Inputs!$B$38&lt;&gt;"pvp",Inputs!$B$43&gt;0),((Skills!G6*((R1253-1)*IF(Skills!H6&gt;0,Skills!I6/Skills!H6,1)+IF(Skills!H6&gt;0,MIN(Skills!I6,MAX(0,MAX(0,Inputs!$B$43-B1283)-((R1253-1)*(IF(Inputs!$B$38="pvp",15,MAX(0.1,Skills!D6-IF(Skills!E6=TRUE,Inputs!$B$32,0)))*(1-IF(AND(ArtifactsInput!$M$27,Inputs!$B$4="Chapter Hunt"),CHOOSE(ArtifactsInput!$N$27+1,20,24,28,32,36,40),0)/100)))))/Skills!H6,1)))/Inputs!$B$43),G1253*Q1253)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1253*(1-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1253*(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1253*(1-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1253*(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3">
        <f>IF(C1253,(H1253*N1253*IF(AND(Inputs!$B$38&lt;&gt;"pvp",Inputs!$B$43&gt;0),((Skills!G6*((R1253-1)*IF(Skills!H6&gt;0,Skills!I6/Skills!H6,1)+IF(Skills!H6&gt;0,MIN(Skills!I6,MAX(0,MAX(0,Inputs!$B$43-B1283)-((R1253-1)*(IF(Inputs!$B$38="pvp",15,MAX(0.1,Skills!D6-IF(Skills!E6=TRUE,Inputs!$B$32,0)))*(1-IF(AND(ArtifactsInput!$M$27,Inputs!$B$4="Chapter Hunt"),CHOOSE(ArtifactsInput!$N$27+1,20,24,28,32,36,40),0)/100)))))/Skills!H6,1)))/Inputs!$B$43),G1253*Q1253)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4">
      <c r="A1254">
        <f>Skills!A7</f>
        <v/>
      </c>
      <c r="B1254">
        <f>Skills!B7</f>
        <v/>
      </c>
      <c r="C1254">
        <f>Inputs!$B$3&gt;=107</f>
        <v/>
      </c>
      <c r="D1254">
        <f>IF(Skills!C7=1,60+Inputs!$B$25+Inputs!$B$29,IF(Skills!C7=2,90+Inputs!$B$26+Inputs!$B$29,IF(Skills!C7=3,120+Inputs!$B$27+Inputs!$B$29,MAX(0,(Inputs!$B$3-100)*3)+Inputs!$B$28+Inputs!$B$29)))</f>
        <v/>
      </c>
      <c r="E1254">
        <f>INDEX(FactorTable!$B$2:$Y$301, MATCH(ROUND(MIN(300,MAX(1,D1254)),0), FactorTable!$A$2:$A$301,0), Skills!M7+1)</f>
        <v/>
      </c>
      <c r="F1254">
        <f>IF(Skills!N7=TRUE,(Skills!L7/10)*(E1254/1000),Skills!L7/10)+Skills!O7</f>
        <v/>
      </c>
      <c r="G1254">
        <f>Skills!G7*IF(Skills!H7&gt;0,Skills!I7/Skills!H7,1)</f>
        <v/>
      </c>
      <c r="H1254">
        <f>1-(1-Skills!J7/100)^Skills!K7</f>
        <v/>
      </c>
      <c r="I1254" t="inlineStr">
        <is>
          <t>1</t>
        </is>
      </c>
      <c r="J1254">
        <f>((Inputs!$B$6*(1+Inputs!$B$7/100))+(((Inputs!$B$12*(1+Inputs!$B$13/100))-(Inputs!$B$12*(1+Inputs!$B$13/100)))+0.25*(Inputs!$B$14-Inputs!$B$14))*(1+Inputs!$B$7/100))*(F1254/100)</f>
        <v/>
      </c>
      <c r="K1254">
        <f>J1254*(1+((Inputs!$B$12*(1+Inputs!$B$13/100))*0.01+Inputs!$B$14*0.0025)/100)*(1+Inputs!$B$15/100)*(1+Inputs!$B$16/100)*(5000/(6000+Inputs!$B$42*(1-(100*(1-(1-(Inputs!$B$19+0)/100)*(1-CHOOSE(ArtifactsInput!$N$40+1,5,6,7,8,9,10)/100)^(ArtifactsInput!$M$40-ArtifactsInput!$M$40)))/100)))*(1+(Inputs!$B$24+((C1272=TRUE)*(F1272-Calc!F25))+B1282)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1268=TRUE)*(F1268-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1270=TRUE)*(F1270-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1260=TRUE)*F1260*IF(Inputs!$B$3&gt;=110,7,5))+((C1262=TRUE)*F1262*IF(AND(Inputs!$B$38&lt;&gt;"pvp",Inputs!$B$43&gt;0),(((R1262-1)*(Skills!T15*(1+(Inputs!$B$34+(IF(ArtifactsInput!$M$7,FALSE,TRUE)-ArtifactsInput!$M$7)*CHOOSE(ArtifactsInput!$N$7+1,6,7.2,8.4,9.6,10.8,12))/100))+MIN((Skills!T15*(1+(Inputs!$B$34+(IF(ArtifactsInput!$M$7,FALSE,TRUE)-ArtifactsInput!$M$7)*CHOOSE(ArtifactsInput!$N$7+1,6,7.2,8.4,9.6,10.8,12))/100)),MAX(0,Inputs!$B$43-((R1262-1)*Skills!D15))))/Inputs!$B$43),IF(Inputs!$B$38="pvp",MIN((Skills!T15*(1+(Inputs!$B$34+(IF(ArtifactsInput!$M$7,FALSE,TRUE)-ArtifactsInput!$M$7)*CHOOSE(ArtifactsInput!$N$7+1,6,7.2,8.4,9.6,10.8,12))/100)),15)/15,(Skills!T15*(1+(Inputs!$B$34+(IF(ArtifactsInput!$M$7,FALSE,TRUE)-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I1254)</f>
        <v/>
      </c>
      <c r="L1254">
        <f>K1254*(MIN(Inputs!$B$22+((C1269=TRUE)*(F1269-Calc!F22)),(Inputs!$B$23+((C1271=TRUE)*(F1271-Calc!F24))+(IF(ArtifactsInput!$M$15,CHOOSE(ArtifactsInput!$N$15+1,25,30,35,40,45,50)/100*(Inputs!$B$11-Inputs!$B$11),0))))/100+(Inputs!$B$23+((C1271=TRUE)*(F1271-Calc!F24))+(IF(ArtifactsInput!$M$15,CHOOSE(ArtifactsInput!$N$15+1,25,30,35,40,45,50)/100*(Inputs!$B$11-Inputs!$B$11),0)))/100)/2</f>
        <v/>
      </c>
      <c r="M1254">
        <f>L1254*(1+(Inputs!$B$10+0+B1281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4">
        <f>L1254*(1-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1254*(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4">
        <f>(1-Summary!$B$11)*T1254+Summary!$B$11*V1254</f>
        <v/>
      </c>
      <c r="P1254">
        <f>IF(B1286=0,0,O1254/B1286)</f>
        <v/>
      </c>
      <c r="Q1254">
        <f>IFERROR(1/(IF(Inputs!$B$38="pvp",15,MAX(0.1,Skills!D7-IF(Skills!E7=TRUE,Inputs!$B$32,0)))*(1-IF(AND(ArtifactsInput!$M$27,Inputs!$B$4="Chapter Hunt"),CHOOSE(ArtifactsInput!$N$27+1,20,24,28,32,36,40),0)/100)),0)</f>
        <v/>
      </c>
      <c r="R1254">
        <f>IF(AND(Inputs!$B$38&lt;&gt;"pvp",Inputs!$B$43&gt;0),IF(MAX(0,Inputs!$B$43-B1283)&lt;=0,0,(INT(MAX(0,Inputs!$B$43-B1283)/(IF(Inputs!$B$38="pvp",15,MAX(0.1,Skills!D7-IF(Skills!E7=TRUE,Inputs!$B$32,0)))*(1-IF(AND(ArtifactsInput!$M$27,Inputs!$B$4="Chapter Hunt"),CHOOSE(ArtifactsInput!$N$27+1,20,24,28,32,36,40),0)/100)))+1)),0)</f>
        <v/>
      </c>
      <c r="S1254">
        <f>IFERROR(O1254/N1254,0)</f>
        <v/>
      </c>
      <c r="T1254">
        <f>IF(C1254,(H1254*N1254*IF(AND(Inputs!$B$38&lt;&gt;"pvp",Inputs!$B$43&gt;0),((Skills!G7*((R1254-1)*IF(Skills!H7&gt;0,Skills!I7/Skills!H7,1)+IF(Skills!H7&gt;0,MIN(Skills!I7,MAX(0,MAX(0,Inputs!$B$43-B1283)-((R1254-1)*(IF(Inputs!$B$38="pvp",15,MAX(0.1,Skills!D7-IF(Skills!E7=TRUE,Inputs!$B$32,0)))*(1-IF(AND(ArtifactsInput!$M$27,Inputs!$B$4="Chapter Hunt"),CHOOSE(ArtifactsInput!$N$27+1,20,24,28,32,36,40),0)/100)))))/Skills!H7,1)))/Inputs!$B$43),G1254*Q1254)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1254*(1-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1254*(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1254*(1-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1254*(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4">
        <f>IF(C1254,(H1254*N1254*IF(AND(Inputs!$B$38&lt;&gt;"pvp",Inputs!$B$43&gt;0),((Skills!G7*((R1254-1)*IF(Skills!H7&gt;0,Skills!I7/Skills!H7,1)+IF(Skills!H7&gt;0,MIN(Skills!I7,MAX(0,MAX(0,Inputs!$B$43-B1283)-((R1254-1)*(IF(Inputs!$B$38="pvp",15,MAX(0.1,Skills!D7-IF(Skills!E7=TRUE,Inputs!$B$32,0)))*(1-IF(AND(ArtifactsInput!$M$27,Inputs!$B$4="Chapter Hunt"),CHOOSE(ArtifactsInput!$N$27+1,20,24,28,32,36,40),0)/100)))))/Skills!H7,1)))/Inputs!$B$43),G1254*Q1254)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5">
      <c r="A1255">
        <f>Skills!A8</f>
        <v/>
      </c>
      <c r="B1255">
        <f>Skills!B8</f>
        <v/>
      </c>
      <c r="C1255">
        <f>Inputs!$B$3&gt;=117</f>
        <v/>
      </c>
      <c r="D1255">
        <f>IF(Skills!C8=1,60+Inputs!$B$25+Inputs!$B$29,IF(Skills!C8=2,90+Inputs!$B$26+Inputs!$B$29,IF(Skills!C8=3,120+Inputs!$B$27+Inputs!$B$29,MAX(0,(Inputs!$B$3-100)*3)+Inputs!$B$28+Inputs!$B$29)))</f>
        <v/>
      </c>
      <c r="E1255">
        <f>INDEX(FactorTable!$B$2:$Y$301, MATCH(ROUND(MIN(300,MAX(1,D1255)),0), FactorTable!$A$2:$A$301,0), Skills!M8+1)</f>
        <v/>
      </c>
      <c r="F1255">
        <f>IF(Skills!N8=TRUE,(Skills!L8/10)*(E1255/1000),Skills!L8/10)+Skills!O8</f>
        <v/>
      </c>
      <c r="G1255">
        <f>Skills!G8*IF(Skills!H8&gt;0,Skills!I8/Skills!H8,1)</f>
        <v/>
      </c>
      <c r="H1255">
        <f>1-(1-Skills!J8/100)^Skills!K8</f>
        <v/>
      </c>
      <c r="I1255" t="inlineStr">
        <is>
          <t>1</t>
        </is>
      </c>
      <c r="J1255">
        <f>((Inputs!$B$6*(1+Inputs!$B$7/100))+(((Inputs!$B$12*(1+Inputs!$B$13/100))-(Inputs!$B$12*(1+Inputs!$B$13/100)))+0.25*(Inputs!$B$14-Inputs!$B$14))*(1+Inputs!$B$7/100))*(F1255/100)</f>
        <v/>
      </c>
      <c r="K1255">
        <f>J1255*(1+((Inputs!$B$12*(1+Inputs!$B$13/100))*0.01+Inputs!$B$14*0.0025)/100)*(1+Inputs!$B$15/100)*(1+Inputs!$B$16/100)*(5000/(6000+Inputs!$B$42*(1-(100*(1-(1-(Inputs!$B$19+0)/100)*(1-CHOOSE(ArtifactsInput!$N$40+1,5,6,7,8,9,10)/100)^(ArtifactsInput!$M$40-ArtifactsInput!$M$40)))/100)))*(1+(Inputs!$B$24+((C1272=TRUE)*(F1272-Calc!F25))+B1282)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1268=TRUE)*(F1268-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1270=TRUE)*(F1270-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1260=TRUE)*F1260*IF(Inputs!$B$3&gt;=110,7,5))+((C1262=TRUE)*F1262*IF(AND(Inputs!$B$38&lt;&gt;"pvp",Inputs!$B$43&gt;0),(((R1262-1)*(Skills!T15*(1+(Inputs!$B$34+(IF(ArtifactsInput!$M$7,FALSE,TRUE)-ArtifactsInput!$M$7)*CHOOSE(ArtifactsInput!$N$7+1,6,7.2,8.4,9.6,10.8,12))/100))+MIN((Skills!T15*(1+(Inputs!$B$34+(IF(ArtifactsInput!$M$7,FALSE,TRUE)-ArtifactsInput!$M$7)*CHOOSE(ArtifactsInput!$N$7+1,6,7.2,8.4,9.6,10.8,12))/100)),MAX(0,Inputs!$B$43-((R1262-1)*Skills!D15))))/Inputs!$B$43),IF(Inputs!$B$38="pvp",MIN((Skills!T15*(1+(Inputs!$B$34+(IF(ArtifactsInput!$M$7,FALSE,TRUE)-ArtifactsInput!$M$7)*CHOOSE(ArtifactsInput!$N$7+1,6,7.2,8.4,9.6,10.8,12))/100)),15)/15,(Skills!T15*(1+(Inputs!$B$34+(IF(ArtifactsInput!$M$7,FALSE,TRUE)-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I1255)</f>
        <v/>
      </c>
      <c r="L1255">
        <f>K1255*(MIN(Inputs!$B$22+((C1269=TRUE)*(F1269-Calc!F22)),(Inputs!$B$23+((C1271=TRUE)*(F1271-Calc!F24))+(IF(ArtifactsInput!$M$15,CHOOSE(ArtifactsInput!$N$15+1,25,30,35,40,45,50)/100*(Inputs!$B$11-Inputs!$B$11),0))))/100+(Inputs!$B$23+((C1271=TRUE)*(F1271-Calc!F24))+(IF(ArtifactsInput!$M$15,CHOOSE(ArtifactsInput!$N$15+1,25,30,35,40,45,50)/100*(Inputs!$B$11-Inputs!$B$11),0)))/100)/2</f>
        <v/>
      </c>
      <c r="M1255">
        <f>L1255*(1+(Inputs!$B$10+0+B1281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5">
        <f>L1255*(1-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1255*(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5">
        <f>(1-Summary!$B$11)*T1255+Summary!$B$11*V1255</f>
        <v/>
      </c>
      <c r="P1255">
        <f>IF(B1286=0,0,O1255/B1286)</f>
        <v/>
      </c>
      <c r="Q1255">
        <f>IFERROR(1/(IF(Inputs!$B$38="pvp",15,MAX(0.1,Skills!D8-IF(Skills!E8=TRUE,Inputs!$B$32,0)))*(1-IF(AND(ArtifactsInput!$M$27,Inputs!$B$4="Chapter Hunt"),CHOOSE(ArtifactsInput!$N$27+1,20,24,28,32,36,40),0)/100)),0)</f>
        <v/>
      </c>
      <c r="R1255">
        <f>IF(AND(Inputs!$B$38&lt;&gt;"pvp",Inputs!$B$43&gt;0),IF(MAX(0,Inputs!$B$43-B1283)&lt;=0,0,(INT(MAX(0,Inputs!$B$43-B1283)/(IF(Inputs!$B$38="pvp",15,MAX(0.1,Skills!D8-IF(Skills!E8=TRUE,Inputs!$B$32,0)))*(1-IF(AND(ArtifactsInput!$M$27,Inputs!$B$4="Chapter Hunt"),CHOOSE(ArtifactsInput!$N$27+1,20,24,28,32,36,40),0)/100)))+1)),0)</f>
        <v/>
      </c>
      <c r="S1255">
        <f>IFERROR(O1255/N1255,0)</f>
        <v/>
      </c>
      <c r="T1255">
        <f>IF(C1255,(H1255*N1255*IF(AND(Inputs!$B$38&lt;&gt;"pvp",Inputs!$B$43&gt;0),((Skills!G8*((R1255-1)*IF(Skills!H8&gt;0,Skills!I8/Skills!H8,1)+IF(Skills!H8&gt;0,MIN(Skills!I8,MAX(0,MAX(0,Inputs!$B$43-B1283)-((R1255-1)*(IF(Inputs!$B$38="pvp",15,MAX(0.1,Skills!D8-IF(Skills!E8=TRUE,Inputs!$B$32,0)))*(1-IF(AND(ArtifactsInput!$M$27,Inputs!$B$4="Chapter Hunt"),CHOOSE(ArtifactsInput!$N$27+1,20,24,28,32,36,40),0)/100)))))/Skills!H8,1)))/Inputs!$B$43),G1255*Q1255)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1255*(1-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1255*(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1255*(1-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1255*(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5">
        <f>IF(C1255,(H1255*N1255*IF(AND(Inputs!$B$38&lt;&gt;"pvp",Inputs!$B$43&gt;0),((Skills!G8*((R1255-1)*IF(Skills!H8&gt;0,Skills!I8/Skills!H8,1)+IF(Skills!H8&gt;0,MIN(Skills!I8,MAX(0,MAX(0,Inputs!$B$43-B1283)-((R1255-1)*(IF(Inputs!$B$38="pvp",15,MAX(0.1,Skills!D8-IF(Skills!E8=TRUE,Inputs!$B$32,0)))*(1-IF(AND(ArtifactsInput!$M$27,Inputs!$B$4="Chapter Hunt"),CHOOSE(ArtifactsInput!$N$27+1,20,24,28,32,36,40),0)/100)))))/Skills!H8,1)))/Inputs!$B$43),G1255*Q1255)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6">
      <c r="A1256">
        <f>Skills!A9</f>
        <v/>
      </c>
      <c r="B1256">
        <f>Skills!B9</f>
        <v/>
      </c>
      <c r="C1256">
        <f>Inputs!$B$3&gt;=69</f>
        <v/>
      </c>
      <c r="D1256">
        <f>IF(Skills!C9=1,60+Inputs!$B$25+Inputs!$B$29,IF(Skills!C9=2,90+Inputs!$B$26+Inputs!$B$29,IF(Skills!C9=3,120+Inputs!$B$27+Inputs!$B$29,MAX(0,(Inputs!$B$3-100)*3)+Inputs!$B$28+Inputs!$B$29)))</f>
        <v/>
      </c>
      <c r="E1256">
        <f>INDEX(FactorTable!$B$2:$Y$301, MATCH(ROUND(MIN(300,MAX(1,D1256)),0), FactorTable!$A$2:$A$301,0), Skills!M9+1)</f>
        <v/>
      </c>
      <c r="F1256">
        <f>IF(Skills!N9=TRUE,(Skills!L9/10)*(E1256/1000),Skills!L9/10)+Skills!O9</f>
        <v/>
      </c>
      <c r="G1256">
        <f>Skills!G9*IF(Skills!H9&gt;0,Skills!I9/Skills!H9,1)</f>
        <v/>
      </c>
      <c r="H1256">
        <f>1-(1-Skills!J9/100)^Skills!K9</f>
        <v/>
      </c>
      <c r="I1256" t="inlineStr">
        <is>
          <t>1</t>
        </is>
      </c>
      <c r="J1256">
        <f>((Inputs!$B$6*(1+Inputs!$B$7/100))+(((Inputs!$B$12*(1+Inputs!$B$13/100))-(Inputs!$B$12*(1+Inputs!$B$13/100)))+0.25*(Inputs!$B$14-Inputs!$B$14))*(1+Inputs!$B$7/100))*(F1256/100)</f>
        <v/>
      </c>
      <c r="K1256">
        <f>J1256*(1+((Inputs!$B$12*(1+Inputs!$B$13/100))*0.01+Inputs!$B$14*0.0025)/100)*(1+Inputs!$B$15/100)*(1+Inputs!$B$16/100)*(5000/(6000+Inputs!$B$42*(1-(100*(1-(1-(Inputs!$B$19+0)/100)*(1-CHOOSE(ArtifactsInput!$N$40+1,5,6,7,8,9,10)/100)^(ArtifactsInput!$M$40-ArtifactsInput!$M$40)))/100)))*(1+(Inputs!$B$24+((C1272=TRUE)*(F1272-Calc!F25))+B1282)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1259=TRUE,F1259,0)/100)*(1+IF(Skills!A9="ENHANCED_RAGING_BLOW",IF(Inputs!$B$3&gt;=134,MAX(0,IF(Inputs!$B$3&gt;=110,7,5)-5)*50,0),0)/100)*(1+(IF(Skills!A9="RAGING_BLOW",Inputs!$B$17+((C1268=TRUE)*(F1268-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1270=TRUE)*(F1270-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1260=TRUE)*F1260*IF(Inputs!$B$3&gt;=110,7,5))+((C1262=TRUE)*F1262*IF(AND(Inputs!$B$38&lt;&gt;"pvp",Inputs!$B$43&gt;0),(((R1262-1)*(Skills!T15*(1+(Inputs!$B$34+(IF(ArtifactsInput!$M$7,FALSE,TRUE)-ArtifactsInput!$M$7)*CHOOSE(ArtifactsInput!$N$7+1,6,7.2,8.4,9.6,10.8,12))/100))+MIN((Skills!T15*(1+(Inputs!$B$34+(IF(ArtifactsInput!$M$7,FALSE,TRUE)-ArtifactsInput!$M$7)*CHOOSE(ArtifactsInput!$N$7+1,6,7.2,8.4,9.6,10.8,12))/100)),MAX(0,Inputs!$B$43-((R1262-1)*Skills!D15))))/Inputs!$B$43),IF(Inputs!$B$38="pvp",MIN((Skills!T15*(1+(Inputs!$B$34+(IF(ArtifactsInput!$M$7,FALSE,TRUE)-ArtifactsInput!$M$7)*CHOOSE(ArtifactsInput!$N$7+1,6,7.2,8.4,9.6,10.8,12))/100)),15)/15,(Skills!T15*(1+(Inputs!$B$34+(IF(ArtifactsInput!$M$7,FALSE,TRUE)-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I1256)</f>
        <v/>
      </c>
      <c r="L1256">
        <f>K1256*(MIN(Inputs!$B$22+((C1269=TRUE)*(F1269-Calc!F22)),(Inputs!$B$23+((C1271=TRUE)*(F1271-Calc!F24))+(IF(ArtifactsInput!$M$15,CHOOSE(ArtifactsInput!$N$15+1,25,30,35,40,45,50)/100*(Inputs!$B$11-Inputs!$B$11),0))))/100+(Inputs!$B$23+((C1271=TRUE)*(F1271-Calc!F24))+(IF(ArtifactsInput!$M$15,CHOOSE(ArtifactsInput!$N$15+1,25,30,35,40,45,50)/100*(Inputs!$B$11-Inputs!$B$11),0)))/100)/2</f>
        <v/>
      </c>
      <c r="M1256">
        <f>L1256*(1+(Inputs!$B$10+0+B1281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6">
        <f>L1256*(1-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1256*(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6">
        <f>(1-Summary!$B$11)*T1256+Summary!$B$11*V1256</f>
        <v/>
      </c>
      <c r="P1256">
        <f>IF(B1286=0,0,O1256/B1286)</f>
        <v/>
      </c>
      <c r="Q1256">
        <f>IFERROR(1/(IF(Inputs!$B$38="pvp",15,MAX(0.1,Skills!D9-IF(Skills!E9=TRUE,Inputs!$B$32,0)))*(1-IF(AND(ArtifactsInput!$M$27,Inputs!$B$4="Chapter Hunt"),CHOOSE(ArtifactsInput!$N$27+1,20,24,28,32,36,40),0)/100)),0)</f>
        <v/>
      </c>
      <c r="R1256">
        <f>IF(AND(Inputs!$B$38&lt;&gt;"pvp",Inputs!$B$43&gt;0),IF(MAX(0,Inputs!$B$43-B1283)&lt;=0,0,(INT(MAX(0,Inputs!$B$43-B1283)/(IF(Inputs!$B$38="pvp",15,MAX(0.1,Skills!D9-IF(Skills!E9=TRUE,Inputs!$B$32,0)))*(1-IF(AND(ArtifactsInput!$M$27,Inputs!$B$4="Chapter Hunt"),CHOOSE(ArtifactsInput!$N$27+1,20,24,28,32,36,40),0)/100)))+1)),0)</f>
        <v/>
      </c>
      <c r="S1256">
        <f>IFERROR(O1256/N1256,0)</f>
        <v/>
      </c>
      <c r="T1256">
        <f>IF(C1256,(H1256*N1256*IF(AND(Inputs!$B$38&lt;&gt;"pvp",Inputs!$B$43&gt;0),((Skills!G9*((R1256-1)*IF(Skills!H9&gt;0,Skills!I9/Skills!H9,1)+IF(Skills!H9&gt;0,MIN(Skills!I9,MAX(0,MAX(0,Inputs!$B$43-B1283)-((R1256-1)*(IF(Inputs!$B$38="pvp",15,MAX(0.1,Skills!D9-IF(Skills!E9=TRUE,Inputs!$B$32,0)))*(1-IF(AND(ArtifactsInput!$M$27,Inputs!$B$4="Chapter Hunt"),CHOOSE(ArtifactsInput!$N$27+1,20,24,28,32,36,40),0)/100)))))/Skills!H9,1)))/Inputs!$B$43),G1256*Q1256)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1256*(1-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1256*(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1256*(1-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1256*(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6">
        <f>IF(C1256,(H1256*N1256*IF(AND(Inputs!$B$38&lt;&gt;"pvp",Inputs!$B$43&gt;0),((Skills!G9*((R1256-1)*IF(Skills!H9&gt;0,Skills!I9/Skills!H9,1)+IF(Skills!H9&gt;0,MIN(Skills!I9,MAX(0,MAX(0,Inputs!$B$43-B1283)-((R1256-1)*(IF(Inputs!$B$38="pvp",15,MAX(0.1,Skills!D9-IF(Skills!E9=TRUE,Inputs!$B$32,0)))*(1-IF(AND(ArtifactsInput!$M$27,Inputs!$B$4="Chapter Hunt"),CHOOSE(ArtifactsInput!$N$27+1,20,24,28,32,36,40),0)/100)))))/Skills!H9,1)))/Inputs!$B$43),G1256*Q1256)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7">
      <c r="A1257">
        <f>Skills!A10</f>
        <v/>
      </c>
      <c r="B1257">
        <f>Skills!B10</f>
        <v/>
      </c>
      <c r="C1257">
        <f>Inputs!$B$3&gt;=63</f>
        <v/>
      </c>
      <c r="D1257">
        <f>IF(Skills!C10=1,60+Inputs!$B$25+Inputs!$B$29,IF(Skills!C10=2,90+Inputs!$B$26+Inputs!$B$29,IF(Skills!C10=3,120+Inputs!$B$27+Inputs!$B$29,MAX(0,(Inputs!$B$3-100)*3)+Inputs!$B$28+Inputs!$B$29)))</f>
        <v/>
      </c>
      <c r="E1257">
        <f>INDEX(FactorTable!$B$2:$Y$301, MATCH(ROUND(MIN(300,MAX(1,D1257)),0), FactorTable!$A$2:$A$301,0), Skills!M10+1)</f>
        <v/>
      </c>
      <c r="F1257">
        <f>IF(Skills!N10=TRUE,(Skills!L10/10)*(E1257/1000),Skills!L10/10)+Skills!O10</f>
        <v/>
      </c>
      <c r="G1257">
        <f>Skills!G10*IF(Skills!H10&gt;0,Skills!I10/Skills!H10,1)</f>
        <v/>
      </c>
      <c r="H1257">
        <f>1-(1-Skills!J10/100)^Skills!K10</f>
        <v/>
      </c>
      <c r="I1257" t="inlineStr">
        <is>
          <t>1</t>
        </is>
      </c>
      <c r="J1257">
        <f>((Inputs!$B$6*(1+Inputs!$B$7/100))+(((Inputs!$B$12*(1+Inputs!$B$13/100))-(Inputs!$B$12*(1+Inputs!$B$13/100)))+0.25*(Inputs!$B$14-Inputs!$B$14))*(1+Inputs!$B$7/100))*(F1257/100)</f>
        <v/>
      </c>
      <c r="K1257">
        <f>J1257*(1+((Inputs!$B$12*(1+Inputs!$B$13/100))*0.01+Inputs!$B$14*0.0025)/100)*(1+Inputs!$B$15/100)*(1+Inputs!$B$16/100)*(5000/(6000+Inputs!$B$42*(1-(100*(1-(1-(Inputs!$B$19+0)/100)*(1-CHOOSE(ArtifactsInput!$N$40+1,5,6,7,8,9,10)/100)^(ArtifactsInput!$M$40-ArtifactsInput!$M$40)))/100)))*(1+(Inputs!$B$24+((C1272=TRUE)*(F1272-Calc!F25))+B1282)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1259=TRUE,F1259,0)/100)*(1+IF(Skills!A10="ENHANCED_RAGING_BLOW",IF(Inputs!$B$3&gt;=134,MAX(0,IF(Inputs!$B$3&gt;=110,7,5)-5)*50,0),0)/100)*(1+(IF(Skills!A10="RAGING_BLOW",Inputs!$B$17+((C1268=TRUE)*(F1268-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1270=TRUE)*(F1270-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1260=TRUE)*F1260*IF(Inputs!$B$3&gt;=110,7,5))+((C1262=TRUE)*F1262*IF(AND(Inputs!$B$38&lt;&gt;"pvp",Inputs!$B$43&gt;0),(((R1262-1)*(Skills!T15*(1+(Inputs!$B$34+(IF(ArtifactsInput!$M$7,FALSE,TRUE)-ArtifactsInput!$M$7)*CHOOSE(ArtifactsInput!$N$7+1,6,7.2,8.4,9.6,10.8,12))/100))+MIN((Skills!T15*(1+(Inputs!$B$34+(IF(ArtifactsInput!$M$7,FALSE,TRUE)-ArtifactsInput!$M$7)*CHOOSE(ArtifactsInput!$N$7+1,6,7.2,8.4,9.6,10.8,12))/100)),MAX(0,Inputs!$B$43-((R1262-1)*Skills!D15))))/Inputs!$B$43),IF(Inputs!$B$38="pvp",MIN((Skills!T15*(1+(Inputs!$B$34+(IF(ArtifactsInput!$M$7,FALSE,TRUE)-ArtifactsInput!$M$7)*CHOOSE(ArtifactsInput!$N$7+1,6,7.2,8.4,9.6,10.8,12))/100)),15)/15,(Skills!T15*(1+(Inputs!$B$34+(IF(ArtifactsInput!$M$7,FALSE,TRUE)-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I1257)</f>
        <v/>
      </c>
      <c r="L1257">
        <f>K1257*(MIN(Inputs!$B$22+((C1269=TRUE)*(F1269-Calc!F22)),(Inputs!$B$23+((C1271=TRUE)*(F1271-Calc!F24))+(IF(ArtifactsInput!$M$15,CHOOSE(ArtifactsInput!$N$15+1,25,30,35,40,45,50)/100*(Inputs!$B$11-Inputs!$B$11),0))))/100+(Inputs!$B$23+((C1271=TRUE)*(F1271-Calc!F24))+(IF(ArtifactsInput!$M$15,CHOOSE(ArtifactsInput!$N$15+1,25,30,35,40,45,50)/100*(Inputs!$B$11-Inputs!$B$11),0)))/100)/2</f>
        <v/>
      </c>
      <c r="M1257">
        <f>L1257*(1+(Inputs!$B$10+0+B1281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7">
        <f>L1257*(1-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1257*(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7">
        <f>(1-Summary!$B$11)*T1257+Summary!$B$11*V1257</f>
        <v/>
      </c>
      <c r="P1257">
        <f>IF(B1286=0,0,O1257/B1286)</f>
        <v/>
      </c>
      <c r="Q1257">
        <f>IFERROR(1/(IF(Inputs!$B$38="pvp",15,MAX(0.1,Skills!D10-IF(Skills!E10=TRUE,Inputs!$B$32,0)))*(1-IF(AND(ArtifactsInput!$M$27,Inputs!$B$4="Chapter Hunt"),CHOOSE(ArtifactsInput!$N$27+1,20,24,28,32,36,40),0)/100)),0)</f>
        <v/>
      </c>
      <c r="R1257">
        <f>IF(AND(Inputs!$B$38&lt;&gt;"pvp",Inputs!$B$43&gt;0),IF(MAX(0,Inputs!$B$43-B1283)&lt;=0,0,(INT(MAX(0,Inputs!$B$43-B1283)/(IF(Inputs!$B$38="pvp",15,MAX(0.1,Skills!D10-IF(Skills!E10=TRUE,Inputs!$B$32,0)))*(1-IF(AND(ArtifactsInput!$M$27,Inputs!$B$4="Chapter Hunt"),CHOOSE(ArtifactsInput!$N$27+1,20,24,28,32,36,40),0)/100)))+1)),0)</f>
        <v/>
      </c>
      <c r="S1257">
        <f>IFERROR(O1257/N1257,0)</f>
        <v/>
      </c>
      <c r="T1257">
        <f>IF(C1257,(H1257*N1257*IF(AND(Inputs!$B$38&lt;&gt;"pvp",Inputs!$B$43&gt;0),((Skills!G10*((R1257-1)*IF(Skills!H10&gt;0,Skills!I10/Skills!H10,1)+IF(Skills!H10&gt;0,MIN(Skills!I10,MAX(0,MAX(0,Inputs!$B$43-B1283)-((R1257-1)*(IF(Inputs!$B$38="pvp",15,MAX(0.1,Skills!D10-IF(Skills!E10=TRUE,Inputs!$B$32,0)))*(1-IF(AND(ArtifactsInput!$M$27,Inputs!$B$4="Chapter Hunt"),CHOOSE(ArtifactsInput!$N$27+1,20,24,28,32,36,40),0)/100)))))/Skills!H10,1)))/Inputs!$B$43),G1257*Q1257)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1257*(1-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1257*(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1257*(1-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1257*(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7">
        <f>IF(C1257,(H1257*N1257*IF(AND(Inputs!$B$38&lt;&gt;"pvp",Inputs!$B$43&gt;0),((Skills!G10*((R1257-1)*IF(Skills!H10&gt;0,Skills!I10/Skills!H10,1)+IF(Skills!H10&gt;0,MIN(Skills!I10,MAX(0,MAX(0,Inputs!$B$43-B1283)-((R1257-1)*(IF(Inputs!$B$38="pvp",15,MAX(0.1,Skills!D10-IF(Skills!E10=TRUE,Inputs!$B$32,0)))*(1-IF(AND(ArtifactsInput!$M$27,Inputs!$B$4="Chapter Hunt"),CHOOSE(ArtifactsInput!$N$27+1,20,24,28,32,36,40),0)/100)))))/Skills!H10,1)))/Inputs!$B$43),G1257*Q1257)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8">
      <c r="A1258">
        <f>Skills!A11</f>
        <v/>
      </c>
      <c r="B1258">
        <f>Skills!B11</f>
        <v/>
      </c>
      <c r="C1258">
        <f>Inputs!$B$3&gt;=35</f>
        <v/>
      </c>
      <c r="D1258">
        <f>IF(Skills!C11=1,60+Inputs!$B$25+Inputs!$B$29,IF(Skills!C11=2,90+Inputs!$B$26+Inputs!$B$29,IF(Skills!C11=3,120+Inputs!$B$27+Inputs!$B$29,MAX(0,(Inputs!$B$3-100)*3)+Inputs!$B$28+Inputs!$B$29)))</f>
        <v/>
      </c>
      <c r="E1258">
        <f>INDEX(FactorTable!$B$2:$Y$301, MATCH(ROUND(MIN(300,MAX(1,D1258)),0), FactorTable!$A$2:$A$301,0), Skills!M11+1)</f>
        <v/>
      </c>
      <c r="F1258">
        <f>IF(Skills!N11=TRUE,(Skills!L11/10)*(E1258/1000),Skills!L11/10)+Skills!O11</f>
        <v/>
      </c>
      <c r="G1258">
        <f>Skills!G11*IF(Skills!H11&gt;0,Skills!I11/Skills!H11,1)</f>
        <v/>
      </c>
      <c r="H1258">
        <f>1-(1-Skills!J11/100)^Skills!K11</f>
        <v/>
      </c>
      <c r="I1258" t="inlineStr">
        <is>
          <t>1</t>
        </is>
      </c>
      <c r="J1258">
        <f>((Inputs!$B$6*(1+Inputs!$B$7/100))+(((Inputs!$B$12*(1+Inputs!$B$13/100))-(Inputs!$B$12*(1+Inputs!$B$13/100)))+0.25*(Inputs!$B$14-Inputs!$B$14))*(1+Inputs!$B$7/100))*(F1258/100)</f>
        <v/>
      </c>
      <c r="K1258">
        <f>J1258*(1+((Inputs!$B$12*(1+Inputs!$B$13/100))*0.01+Inputs!$B$14*0.0025)/100)*(1+Inputs!$B$15/100)*(1+Inputs!$B$16/100)*(5000/(6000+Inputs!$B$42*(1-(100*(1-(1-(Inputs!$B$19+0)/100)*(1-CHOOSE(ArtifactsInput!$N$40+1,5,6,7,8,9,10)/100)^(ArtifactsInput!$M$40-ArtifactsInput!$M$40)))/100)))*(1+(Inputs!$B$24+((C1272=TRUE)*(F1272-Calc!F25))+B1282)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1259=TRUE,F1259,0)/100)*(1+IF(Skills!A11="ENHANCED_RAGING_BLOW",IF(Inputs!$B$3&gt;=134,MAX(0,IF(Inputs!$B$3&gt;=110,7,5)-5)*50,0),0)/100)*(1+(IF(Skills!A11="RAGING_BLOW",Inputs!$B$17+((C1268=TRUE)*(F1268-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1270=TRUE)*(F1270-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1260=TRUE)*F1260*IF(Inputs!$B$3&gt;=110,7,5))+((C1262=TRUE)*F1262*IF(AND(Inputs!$B$38&lt;&gt;"pvp",Inputs!$B$43&gt;0),(((R1262-1)*(Skills!T15*(1+(Inputs!$B$34+(IF(ArtifactsInput!$M$7,FALSE,TRUE)-ArtifactsInput!$M$7)*CHOOSE(ArtifactsInput!$N$7+1,6,7.2,8.4,9.6,10.8,12))/100))+MIN((Skills!T15*(1+(Inputs!$B$34+(IF(ArtifactsInput!$M$7,FALSE,TRUE)-ArtifactsInput!$M$7)*CHOOSE(ArtifactsInput!$N$7+1,6,7.2,8.4,9.6,10.8,12))/100)),MAX(0,Inputs!$B$43-((R1262-1)*Skills!D15))))/Inputs!$B$43),IF(Inputs!$B$38="pvp",MIN((Skills!T15*(1+(Inputs!$B$34+(IF(ArtifactsInput!$M$7,FALSE,TRUE)-ArtifactsInput!$M$7)*CHOOSE(ArtifactsInput!$N$7+1,6,7.2,8.4,9.6,10.8,12))/100)),15)/15,(Skills!T15*(1+(Inputs!$B$34+(IF(ArtifactsInput!$M$7,FALSE,TRUE)-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I1258)</f>
        <v/>
      </c>
      <c r="L1258">
        <f>K1258*(MIN(Inputs!$B$22+((C1269=TRUE)*(F1269-Calc!F22)),(Inputs!$B$23+((C1271=TRUE)*(F1271-Calc!F24))+(IF(ArtifactsInput!$M$15,CHOOSE(ArtifactsInput!$N$15+1,25,30,35,40,45,50)/100*(Inputs!$B$11-Inputs!$B$11),0))))/100+(Inputs!$B$23+((C1271=TRUE)*(F1271-Calc!F24))+(IF(ArtifactsInput!$M$15,CHOOSE(ArtifactsInput!$N$15+1,25,30,35,40,45,50)/100*(Inputs!$B$11-Inputs!$B$11),0)))/100)/2</f>
        <v/>
      </c>
      <c r="M1258">
        <f>L1258*(1+(Inputs!$B$10+0+B1281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8">
        <f>L1258*(1-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1258*(MIN((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8">
        <f>(1-Summary!$B$11)*T1258+Summary!$B$11*V1258</f>
        <v/>
      </c>
      <c r="P1258">
        <f>IF(B1286=0,0,O1258/B1286)</f>
        <v/>
      </c>
      <c r="Q1258">
        <f>IFERROR(1/(IF(Inputs!$B$38="pvp",15,MAX(0.1,Skills!D11-IF(Skills!E11=TRUE,Inputs!$B$32,0)))*(1-IF(AND(ArtifactsInput!$M$27,Inputs!$B$4="Chapter Hunt"),CHOOSE(ArtifactsInput!$N$27+1,20,24,28,32,36,40),0)/100)),0)</f>
        <v/>
      </c>
      <c r="R1258">
        <f>IF(AND(Inputs!$B$38&lt;&gt;"pvp",Inputs!$B$43&gt;0),IF(MAX(0,Inputs!$B$43-B1283)&lt;=0,0,(INT(MAX(0,Inputs!$B$43-B1283)/(IF(Inputs!$B$38="pvp",15,MAX(0.1,Skills!D11-IF(Skills!E11=TRUE,Inputs!$B$32,0)))*(1-IF(AND(ArtifactsInput!$M$27,Inputs!$B$4="Chapter Hunt"),CHOOSE(ArtifactsInput!$N$27+1,20,24,28,32,36,40),0)/100)))+1)),0)</f>
        <v/>
      </c>
      <c r="S1258">
        <f>IFERROR(O1258/N1258,0)</f>
        <v/>
      </c>
      <c r="T1258">
        <f>IF(C1258,(H1258*N1258*IF(AND(Inputs!$B$38&lt;&gt;"pvp",Inputs!$B$43&gt;0),((Skills!G11*((R1258-1)*IF(Skills!H11&gt;0,Skills!I11/Skills!H11,1)+IF(Skills!H11&gt;0,MIN(Skills!I11,MAX(0,MAX(0,Inputs!$B$43-B1283)-((R1258-1)*(IF(Inputs!$B$38="pvp",15,MAX(0.1,Skills!D11-IF(Skills!E11=TRUE,Inputs!$B$32,0)))*(1-IF(AND(ArtifactsInput!$M$27,Inputs!$B$4="Chapter Hunt"),CHOOSE(ArtifactsInput!$N$27+1,20,24,28,32,36,40),0)/100)))))/Skills!H11,1)))/Inputs!$B$43),G1258*Q1258)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1258*(1-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1258*(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1258*(1-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1258*(MIN(100,(Inputs!$B$9+((C1273=TRUE)*(F1273-Calc!F26))+B1276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8">
        <f>IF(C1258,(H1258*N1258*IF(AND(Inputs!$B$38&lt;&gt;"pvp",Inputs!$B$43&gt;0),((Skills!G11*((R1258-1)*IF(Skills!H11&gt;0,Skills!I11/Skills!H11,1)+IF(Skills!H11&gt;0,MIN(Skills!I11,MAX(0,MAX(0,Inputs!$B$43-B1283)-((R1258-1)*(IF(Inputs!$B$38="pvp",15,MAX(0.1,Skills!D11-IF(Skills!E11=TRUE,Inputs!$B$32,0)))*(1-IF(AND(ArtifactsInput!$M$27,Inputs!$B$4="Chapter Hunt"),CHOOSE(ArtifactsInput!$N$27+1,20,24,28,32,36,40),0)/100)))))/Skills!H11,1)))/Inputs!$B$43),G1258*Q1258)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9">
      <c r="A1259">
        <f>Skills!A12</f>
        <v/>
      </c>
      <c r="B1259">
        <f>Skills!B12</f>
        <v/>
      </c>
      <c r="C1259">
        <f>Inputs!$B$3&gt;=100</f>
        <v/>
      </c>
      <c r="D1259">
        <f>IF(Skills!C12=1,60+Inputs!$B$25+Inputs!$B$29,IF(Skills!C12=2,90+Inputs!$B$26+Inputs!$B$29,IF(Skills!C12=3,120+Inputs!$B$27+Inputs!$B$29,MAX(0,(Inputs!$B$3-100)*3)+Inputs!$B$28+Inputs!$B$29)))</f>
        <v/>
      </c>
      <c r="E1259">
        <f>INDEX(FactorTable!$B$2:$Y$301, MATCH(ROUND(MIN(300,MAX(1,D1259)),0), FactorTable!$A$2:$A$301,0), Skills!M12+1)</f>
        <v/>
      </c>
      <c r="F1259">
        <f>IF(Skills!N12=TRUE,(Skills!L12/10)*(E1259/1000),Skills!L12/10)+Skills!O12</f>
        <v/>
      </c>
      <c r="G1259" t="inlineStr"/>
      <c r="H1259" t="inlineStr"/>
      <c r="I1259" t="inlineStr">
        <is>
          <t>1</t>
        </is>
      </c>
      <c r="J1259" t="inlineStr"/>
      <c r="K1259" t="inlineStr"/>
      <c r="L1259" t="inlineStr"/>
      <c r="M1259" t="inlineStr"/>
      <c r="N1259" t="inlineStr"/>
      <c r="O1259" t="inlineStr"/>
      <c r="P1259" t="inlineStr"/>
      <c r="Q1259" t="inlineStr"/>
      <c r="R1259" t="inlineStr"/>
      <c r="S1259" t="inlineStr"/>
    </row>
    <row r="1260">
      <c r="A1260">
        <f>Skills!A13</f>
        <v/>
      </c>
      <c r="B1260">
        <f>Skills!B13</f>
        <v/>
      </c>
      <c r="C1260">
        <f>Inputs!$B$3&gt;=45</f>
        <v/>
      </c>
      <c r="D1260">
        <f>IF(Skills!C13=1,60+Inputs!$B$25+Inputs!$B$29,IF(Skills!C13=2,90+Inputs!$B$26+Inputs!$B$29,IF(Skills!C13=3,120+Inputs!$B$27+Inputs!$B$29,MAX(0,(Inputs!$B$3-100)*3)+Inputs!$B$28+Inputs!$B$29)))</f>
        <v/>
      </c>
      <c r="E1260">
        <f>INDEX(FactorTable!$B$2:$Y$301, MATCH(ROUND(MIN(300,MAX(1,D1260)),0), FactorTable!$A$2:$A$301,0), Skills!M13+1)</f>
        <v/>
      </c>
      <c r="F1260">
        <f>IF(Skills!N13=TRUE,(Skills!L13/10)*(E1260/1000),Skills!L13/10)+Skills!O13</f>
        <v/>
      </c>
      <c r="G1260">
        <f>Skills!G13*IF(Skills!H13&gt;0,Skills!I13/Skills!H13,1)</f>
        <v/>
      </c>
      <c r="H1260">
        <f>1-(1-Skills!J13/100)^Skills!K13</f>
        <v/>
      </c>
      <c r="I1260" t="inlineStr">
        <is>
          <t>1</t>
        </is>
      </c>
      <c r="J1260" t="inlineStr"/>
      <c r="K1260" t="inlineStr"/>
      <c r="L1260" t="inlineStr"/>
      <c r="M1260" t="inlineStr"/>
      <c r="N1260" t="inlineStr"/>
      <c r="O1260">
        <f>(1-Summary!$B$11)*T1260+Summary!$B$11*V1260</f>
        <v/>
      </c>
      <c r="P1260">
        <f>IF(B1286=0,0,O1260/B1286)</f>
        <v/>
      </c>
      <c r="Q1260" t="n">
        <v>0</v>
      </c>
      <c r="R1260" t="n">
        <v>0</v>
      </c>
      <c r="S1260">
        <f>IFERROR(O1260/N1260,0)</f>
        <v/>
      </c>
      <c r="T1260" t="n">
        <v>0</v>
      </c>
      <c r="V1260" t="n">
        <v>0</v>
      </c>
    </row>
    <row r="1261">
      <c r="A1261">
        <f>Skills!A14</f>
        <v/>
      </c>
      <c r="B1261">
        <f>Skills!B14</f>
        <v/>
      </c>
      <c r="C1261">
        <f>Inputs!$B$3&gt;=75</f>
        <v/>
      </c>
      <c r="D1261">
        <f>IF(Skills!C14=1,60+Inputs!$B$25+Inputs!$B$29,IF(Skills!C14=2,90+Inputs!$B$26+Inputs!$B$29,IF(Skills!C14=3,120+Inputs!$B$27+Inputs!$B$29,MAX(0,(Inputs!$B$3-100)*3)+Inputs!$B$28+Inputs!$B$29)))</f>
        <v/>
      </c>
      <c r="E1261">
        <f>INDEX(FactorTable!$B$2:$Y$301, MATCH(ROUND(MIN(300,MAX(1,D1261)),0), FactorTable!$A$2:$A$301,0), Skills!M14+1)</f>
        <v/>
      </c>
      <c r="F1261">
        <f>IF(Skills!N14=TRUE,(Skills!L14/10)*(E1261/1000),Skills!L14/10)+Skills!O14</f>
        <v/>
      </c>
      <c r="G1261">
        <f>Skills!G14*IF(Skills!H14&gt;0,Skills!I14/Skills!H14,1)</f>
        <v/>
      </c>
      <c r="H1261">
        <f>1-(1-Skills!J14/100)^Skills!K14</f>
        <v/>
      </c>
      <c r="I1261" t="inlineStr">
        <is>
          <t>1</t>
        </is>
      </c>
      <c r="J1261" t="inlineStr"/>
      <c r="K1261" t="inlineStr"/>
      <c r="L1261" t="inlineStr"/>
      <c r="M1261" t="inlineStr"/>
      <c r="N1261" t="inlineStr"/>
      <c r="O1261">
        <f>(1-Summary!$B$11)*T1261+Summary!$B$11*V1261</f>
        <v/>
      </c>
      <c r="P1261">
        <f>IF(B1286=0,0,O1261/B1286)</f>
        <v/>
      </c>
      <c r="Q1261" t="n">
        <v>0</v>
      </c>
      <c r="R1261" t="n">
        <v>0</v>
      </c>
      <c r="S1261">
        <f>IFERROR(O1261/N1261,0)</f>
        <v/>
      </c>
      <c r="T1261" t="n">
        <v>0</v>
      </c>
      <c r="V1261" t="n">
        <v>0</v>
      </c>
    </row>
    <row r="1262">
      <c r="A1262">
        <f>Skills!A15</f>
        <v/>
      </c>
      <c r="B1262">
        <f>Skills!B15</f>
        <v/>
      </c>
      <c r="C1262">
        <f>Inputs!$B$3&gt;=40</f>
        <v/>
      </c>
      <c r="D1262">
        <f>IF(Skills!C15=1,60+Inputs!$B$25+Inputs!$B$29,IF(Skills!C15=2,90+Inputs!$B$26+Inputs!$B$29,IF(Skills!C15=3,120+Inputs!$B$27+Inputs!$B$29,MAX(0,(Inputs!$B$3-100)*3)+Inputs!$B$28+Inputs!$B$29)))</f>
        <v/>
      </c>
      <c r="E1262">
        <f>INDEX(FactorTable!$B$2:$Y$301, MATCH(ROUND(MIN(300,MAX(1,D1262)),0), FactorTable!$A$2:$A$301,0), Skills!M15+1)</f>
        <v/>
      </c>
      <c r="F1262">
        <f>IF(Skills!N15=TRUE,(Skills!L15/10)*(E1262/1000),Skills!L15/10)+Skills!O15</f>
        <v/>
      </c>
      <c r="G1262">
        <f>Skills!G15*IF(Skills!H15&gt;0,Skills!I15/Skills!H15,1)</f>
        <v/>
      </c>
      <c r="H1262">
        <f>1-(1-Skills!J15/100)^Skills!K15</f>
        <v/>
      </c>
      <c r="I1262" t="inlineStr">
        <is>
          <t>1</t>
        </is>
      </c>
      <c r="J1262" t="inlineStr"/>
      <c r="K1262" t="inlineStr"/>
      <c r="L1262" t="inlineStr"/>
      <c r="M1262" t="inlineStr"/>
      <c r="N1262" t="inlineStr"/>
      <c r="O1262">
        <f>(1-Summary!$B$11)*T1262+Summary!$B$11*V1262</f>
        <v/>
      </c>
      <c r="P1262">
        <f>IF(B1286=0,0,O1262/B1286)</f>
        <v/>
      </c>
      <c r="Q1262">
        <f>IFERROR(1/(IF(Inputs!$B$38="pvp",15,MAX(0.1,Skills!D15-IF(Skills!E15=TRUE,Inputs!$B$32,0)))*(1-IF(AND(ArtifactsInput!$M$27,Inputs!$B$4="Chapter Hunt"),CHOOSE(ArtifactsInput!$N$27+1,20,24,28,32,36,40),0)/100)),0)</f>
        <v/>
      </c>
      <c r="R1262">
        <f>IF(AND(Inputs!$B$38&lt;&gt;"pvp",Inputs!$B$43&gt;0),IF(Inputs!$B$43&lt;=0,0,(INT(Inputs!$B$43/(IF(Inputs!$B$38="pvp",15,MAX(0.1,Skills!D15-IF(Skills!E15=TRUE,Inputs!$B$32,0)))*(1-IF(AND(ArtifactsInput!$M$27,Inputs!$B$4="Chapter Hunt"),CHOOSE(ArtifactsInput!$N$27+1,20,24,28,32,36,40),0)/100)))+1)),0)</f>
        <v/>
      </c>
      <c r="S1262">
        <f>IFERROR(O1262/N1262,0)</f>
        <v/>
      </c>
      <c r="T1262" t="n">
        <v>0</v>
      </c>
      <c r="V1262" t="n">
        <v>0</v>
      </c>
    </row>
    <row r="1263">
      <c r="A1263">
        <f>Skills!A16</f>
        <v/>
      </c>
      <c r="B1263">
        <f>Skills!B16</f>
        <v/>
      </c>
      <c r="C1263">
        <f>Inputs!$B$3&gt;=66</f>
        <v/>
      </c>
      <c r="D1263">
        <f>IF(Skills!C16=1,60+Inputs!$B$25+Inputs!$B$29,IF(Skills!C16=2,90+Inputs!$B$26+Inputs!$B$29,IF(Skills!C16=3,120+Inputs!$B$27+Inputs!$B$29,MAX(0,(Inputs!$B$3-100)*3)+Inputs!$B$28+Inputs!$B$29)))</f>
        <v/>
      </c>
      <c r="E1263">
        <f>INDEX(FactorTable!$B$2:$Y$301, MATCH(ROUND(MIN(300,MAX(1,D1263)),0), FactorTable!$A$2:$A$301,0), Skills!M16+1)</f>
        <v/>
      </c>
      <c r="F1263">
        <f>IF(Skills!N16=TRUE,(Skills!L16/10)*(E1263/1000),Skills!L16/10)+Skills!O16</f>
        <v/>
      </c>
      <c r="G1263">
        <f>Skills!G16*IF(Skills!H16&gt;0,Skills!I16/Skills!H16,1)</f>
        <v/>
      </c>
      <c r="H1263">
        <f>1-(1-Skills!J16/100)^Skills!K16</f>
        <v/>
      </c>
      <c r="I1263" t="inlineStr">
        <is>
          <t>1</t>
        </is>
      </c>
      <c r="J1263" t="inlineStr"/>
      <c r="K1263" t="inlineStr"/>
      <c r="L1263" t="inlineStr"/>
      <c r="M1263" t="inlineStr"/>
      <c r="N1263" t="inlineStr"/>
      <c r="O1263">
        <f>(1-Summary!$B$11)*T1263+Summary!$B$11*V1263</f>
        <v/>
      </c>
      <c r="P1263">
        <f>IF(B1286=0,0,O1263/B1286)</f>
        <v/>
      </c>
      <c r="Q1263">
        <f>IFERROR(1/(IF(Inputs!$B$38="pvp",15,MAX(0.1,Skills!D16-IF(Skills!E16=TRUE,Inputs!$B$32,0)))*(1-IF(AND(ArtifactsInput!$M$27,Inputs!$B$4="Chapter Hunt"),CHOOSE(ArtifactsInput!$N$27+1,20,24,28,32,36,40),0)/100)),0)</f>
        <v/>
      </c>
      <c r="R1263">
        <f>IF(AND(Inputs!$B$38&lt;&gt;"pvp",Inputs!$B$43&gt;0),IF(Inputs!$B$43&lt;=0,0,(INT(Inputs!$B$43/(IF(Inputs!$B$38="pvp",15,MAX(0.1,Skills!D16-IF(Skills!E16=TRUE,Inputs!$B$32,0)))*(1-IF(AND(ArtifactsInput!$M$27,Inputs!$B$4="Chapter Hunt"),CHOOSE(ArtifactsInput!$N$27+1,20,24,28,32,36,40),0)/100)))+1)),0)</f>
        <v/>
      </c>
      <c r="S1263">
        <f>IFERROR(O1263/N1263,0)</f>
        <v/>
      </c>
      <c r="T1263" t="n">
        <v>0</v>
      </c>
      <c r="V1263" t="n">
        <v>0</v>
      </c>
    </row>
    <row r="1264">
      <c r="A1264">
        <f>Skills!A17</f>
        <v/>
      </c>
      <c r="B1264">
        <f>Skills!B17</f>
        <v/>
      </c>
      <c r="C1264">
        <f>Inputs!$B$3&gt;=115</f>
        <v/>
      </c>
      <c r="D1264">
        <f>IF(Skills!C17=1,60+Inputs!$B$25+Inputs!$B$29,IF(Skills!C17=2,90+Inputs!$B$26+Inputs!$B$29,IF(Skills!C17=3,120+Inputs!$B$27+Inputs!$B$29,MAX(0,(Inputs!$B$3-100)*3)+Inputs!$B$28+Inputs!$B$29)))</f>
        <v/>
      </c>
      <c r="E1264">
        <f>INDEX(FactorTable!$B$2:$Y$301, MATCH(ROUND(MIN(300,MAX(1,D1264)),0), FactorTable!$A$2:$A$301,0), Skills!M17+1)</f>
        <v/>
      </c>
      <c r="F1264">
        <f>IF(Skills!N17=TRUE,(Skills!L17/10)*(E1264/1000),Skills!L17/10)+Skills!O17</f>
        <v/>
      </c>
      <c r="G1264">
        <f>Skills!G17*IF(Skills!H17&gt;0,Skills!I17/Skills!H17,1)</f>
        <v/>
      </c>
      <c r="H1264">
        <f>1-(1-Skills!J17/100)^Skills!K17</f>
        <v/>
      </c>
      <c r="I1264" t="inlineStr">
        <is>
          <t>1</t>
        </is>
      </c>
      <c r="J1264" t="inlineStr"/>
      <c r="K1264" t="inlineStr"/>
      <c r="L1264" t="inlineStr"/>
      <c r="M1264" t="inlineStr"/>
      <c r="N1264" t="inlineStr"/>
      <c r="O1264">
        <f>(1-Summary!$B$11)*T1264+Summary!$B$11*V1264</f>
        <v/>
      </c>
      <c r="P1264">
        <f>IF(B1286=0,0,O1264/B1286)</f>
        <v/>
      </c>
      <c r="Q1264">
        <f>IFERROR(1/(IF(Inputs!$B$38="pvp",15,MAX(0.1,Skills!D17-IF(Skills!E17=TRUE,Inputs!$B$32,0)))*(1-IF(AND(ArtifactsInput!$M$27,Inputs!$B$4="Chapter Hunt"),CHOOSE(ArtifactsInput!$N$27+1,20,24,28,32,36,40),0)/100)),0)</f>
        <v/>
      </c>
      <c r="R1264">
        <f>IF(AND(Inputs!$B$38&lt;&gt;"pvp",Inputs!$B$43&gt;0),IF(Inputs!$B$43&lt;=0,0,(INT(Inputs!$B$43/(IF(Inputs!$B$38="pvp",15,MAX(0.1,Skills!D17-IF(Skills!E17=TRUE,Inputs!$B$32,0)))*(1-IF(AND(ArtifactsInput!$M$27,Inputs!$B$4="Chapter Hunt"),CHOOSE(ArtifactsInput!$N$27+1,20,24,28,32,36,40),0)/100)))+1)),0)</f>
        <v/>
      </c>
      <c r="S1264">
        <f>IFERROR(O1264/N1264,0)</f>
        <v/>
      </c>
      <c r="T1264" t="n">
        <v>0</v>
      </c>
      <c r="V1264" t="n">
        <v>0</v>
      </c>
    </row>
    <row r="1265">
      <c r="A1265">
        <f>Skills!A18</f>
        <v/>
      </c>
      <c r="B1265">
        <f>Skills!B18</f>
        <v/>
      </c>
      <c r="C1265">
        <f>Inputs!$B$3&gt;=115</f>
        <v/>
      </c>
      <c r="D1265">
        <f>IF(Skills!C18=1,60+Inputs!$B$25+Inputs!$B$29,IF(Skills!C18=2,90+Inputs!$B$26+Inputs!$B$29,IF(Skills!C18=3,120+Inputs!$B$27+Inputs!$B$29,MAX(0,(Inputs!$B$3-100)*3)+Inputs!$B$28+Inputs!$B$29)))</f>
        <v/>
      </c>
      <c r="E1265">
        <f>INDEX(FactorTable!$B$2:$Y$301, MATCH(ROUND(MIN(300,MAX(1,D1265)),0), FactorTable!$A$2:$A$301,0), Skills!M18+1)</f>
        <v/>
      </c>
      <c r="F1265">
        <f>IF(Skills!N18=TRUE,(Skills!L18/10)*(E1265/1000),Skills!L18/10)+Skills!O18</f>
        <v/>
      </c>
      <c r="G1265">
        <f>Skills!G18*IF(Skills!H18&gt;0,Skills!I18/Skills!H18,1)</f>
        <v/>
      </c>
      <c r="H1265">
        <f>1-(1-Skills!J18/100)^Skills!K18</f>
        <v/>
      </c>
      <c r="I1265" t="inlineStr">
        <is>
          <t>1</t>
        </is>
      </c>
      <c r="J1265" t="inlineStr"/>
      <c r="K1265" t="inlineStr"/>
      <c r="L1265" t="inlineStr"/>
      <c r="M1265" t="inlineStr"/>
      <c r="N1265" t="inlineStr"/>
      <c r="O1265">
        <f>(1-Summary!$B$11)*T1265+Summary!$B$11*V1265</f>
        <v/>
      </c>
      <c r="P1265">
        <f>IF(B1286=0,0,O1265/B1286)</f>
        <v/>
      </c>
      <c r="Q1265">
        <f>IFERROR(1/(IF(Inputs!$B$38="pvp",15,MAX(0.1,Skills!D18-IF(Skills!E18=TRUE,Inputs!$B$32,0)))*(1-IF(AND(ArtifactsInput!$M$27,Inputs!$B$4="Chapter Hunt"),CHOOSE(ArtifactsInput!$N$27+1,20,24,28,32,36,40),0)/100)),0)</f>
        <v/>
      </c>
      <c r="R1265">
        <f>IF(AND(Inputs!$B$38&lt;&gt;"pvp",Inputs!$B$43&gt;0),IF(Inputs!$B$43&lt;=0,0,(INT(Inputs!$B$43/(IF(Inputs!$B$38="pvp",15,MAX(0.1,Skills!D18-IF(Skills!E18=TRUE,Inputs!$B$32,0)))*(1-IF(AND(ArtifactsInput!$M$27,Inputs!$B$4="Chapter Hunt"),CHOOSE(ArtifactsInput!$N$27+1,20,24,28,32,36,40),0)/100)))+1)),0)</f>
        <v/>
      </c>
      <c r="S1265">
        <f>IFERROR(O1265/N1265,0)</f>
        <v/>
      </c>
      <c r="T1265" t="n">
        <v>0</v>
      </c>
      <c r="V1265" t="n">
        <v>0</v>
      </c>
    </row>
    <row r="1266">
      <c r="A1266">
        <f>Skills!A19</f>
        <v/>
      </c>
      <c r="B1266">
        <f>Skills!B19</f>
        <v/>
      </c>
      <c r="C1266">
        <f>TRUE</f>
        <v/>
      </c>
      <c r="D1266">
        <f>IF(Skills!C19=1,60+Inputs!$B$25+Inputs!$B$29,IF(Skills!C19=2,90+Inputs!$B$26+Inputs!$B$29,IF(Skills!C19=3,120+Inputs!$B$27+Inputs!$B$29,MAX(0,(Inputs!$B$3-100)*3)+Inputs!$B$28+Inputs!$B$29)))</f>
        <v/>
      </c>
      <c r="E1266">
        <f>INDEX(FactorTable!$B$2:$Y$301, MATCH(ROUND(MIN(300,MAX(1,D1266)),0), FactorTable!$A$2:$A$301,0), Skills!M19+1)</f>
        <v/>
      </c>
      <c r="F1266">
        <f>IF(Skills!N19=TRUE,(Skills!L19/10)*(E1266/1000),Skills!L19/10)+Skills!O19</f>
        <v/>
      </c>
      <c r="G1266">
        <f>Skills!G19*IF(Skills!H19&gt;0,Skills!I19/Skills!H19,1)</f>
        <v/>
      </c>
      <c r="H1266">
        <f>1-(1-Skills!J19/100)^Skills!K19</f>
        <v/>
      </c>
      <c r="I1266" t="inlineStr">
        <is>
          <t>1</t>
        </is>
      </c>
      <c r="J1266" t="inlineStr"/>
      <c r="K1266" t="inlineStr"/>
      <c r="L1266" t="inlineStr"/>
      <c r="M1266" t="inlineStr"/>
      <c r="N1266" t="inlineStr"/>
      <c r="O1266">
        <f>(1-Summary!$B$11)*T1266+Summary!$B$11*V1266</f>
        <v/>
      </c>
      <c r="P1266">
        <f>IF(B1286=0,0,O1266/B1286)</f>
        <v/>
      </c>
      <c r="Q1266">
        <f>IFERROR(1/(IF(Inputs!$B$38="pvp",15,MAX(0.1,Skills!D19-IF(Skills!E19=TRUE,Inputs!$B$32,0)))*(1-IF(AND(ArtifactsInput!$M$27,Inputs!$B$4="Chapter Hunt"),CHOOSE(ArtifactsInput!$N$27+1,20,24,28,32,36,40),0)/100)),0)</f>
        <v/>
      </c>
      <c r="R1266">
        <f>IF(AND(Inputs!$B$38&lt;&gt;"pvp",Inputs!$B$43&gt;0),IF(Inputs!$B$43&lt;=0,0,(INT(Inputs!$B$43/(IF(Inputs!$B$38="pvp",15,MAX(0.1,Skills!D19-IF(Skills!E19=TRUE,Inputs!$B$32,0)))*(1-IF(AND(ArtifactsInput!$M$27,Inputs!$B$4="Chapter Hunt"),CHOOSE(ArtifactsInput!$N$27+1,20,24,28,32,36,40),0)/100)))+1)),0)</f>
        <v/>
      </c>
      <c r="S1266">
        <f>IFERROR(O1266/N1266,0)</f>
        <v/>
      </c>
      <c r="T1266" t="n">
        <v>0</v>
      </c>
      <c r="V1266" t="n">
        <v>0</v>
      </c>
    </row>
    <row r="1267">
      <c r="A1267">
        <f>Skills!A20</f>
        <v/>
      </c>
      <c r="B1267">
        <f>Skills!B20</f>
        <v/>
      </c>
      <c r="C1267">
        <f>Inputs!$B$3&gt;=33</f>
        <v/>
      </c>
      <c r="D1267">
        <f>IF(Skills!C20=1,60+Inputs!$B$25+Inputs!$B$29,IF(Skills!C20=2,90+Inputs!$B$26+Inputs!$B$29,IF(Skills!C20=3,120+Inputs!$B$27+Inputs!$B$29,MAX(0,(Inputs!$B$3-100)*3)+Inputs!$B$28+Inputs!$B$29)))</f>
        <v/>
      </c>
      <c r="E1267">
        <f>INDEX(FactorTable!$B$2:$Y$301, MATCH(ROUND(MIN(300,MAX(1,D1267)),0), FactorTable!$A$2:$A$301,0), Skills!M20+1)</f>
        <v/>
      </c>
      <c r="F1267">
        <f>IF(Skills!N20=TRUE,(Skills!L20/10)*(E1267/1000),Skills!L20/10)+Skills!O20</f>
        <v/>
      </c>
      <c r="G1267">
        <f>Skills!G20*IF(Skills!H20&gt;0,Skills!I20/Skills!H20,1)</f>
        <v/>
      </c>
      <c r="H1267">
        <f>1-(1-Skills!J20/100)^Skills!K20</f>
        <v/>
      </c>
      <c r="I1267" t="inlineStr">
        <is>
          <t>1</t>
        </is>
      </c>
      <c r="J1267" t="inlineStr"/>
      <c r="K1267" t="inlineStr"/>
      <c r="L1267" t="inlineStr"/>
      <c r="M1267" t="inlineStr"/>
      <c r="N1267" t="inlineStr"/>
      <c r="O1267">
        <f>(1-Summary!$B$11)*T1267+Summary!$B$11*V1267</f>
        <v/>
      </c>
      <c r="P1267">
        <f>IF(B1286=0,0,O1267/B1286)</f>
        <v/>
      </c>
      <c r="Q1267" t="n">
        <v>0</v>
      </c>
      <c r="R1267" t="n">
        <v>0</v>
      </c>
      <c r="S1267">
        <f>IFERROR(O1267/N1267,0)</f>
        <v/>
      </c>
      <c r="T1267" t="n">
        <v>0</v>
      </c>
      <c r="V1267" t="n">
        <v>0</v>
      </c>
    </row>
    <row r="1268">
      <c r="A1268">
        <f>Skills!A21</f>
        <v/>
      </c>
      <c r="B1268">
        <f>Skills!B21</f>
        <v/>
      </c>
      <c r="C1268">
        <f>Inputs!$B$3&gt;=38</f>
        <v/>
      </c>
      <c r="D1268">
        <f>IF(Skills!C21=1,60+Inputs!$B$25+Inputs!$B$29,IF(Skills!C21=2,90+Inputs!$B$26+Inputs!$B$29,IF(Skills!C21=3,120+Inputs!$B$27+Inputs!$B$29,MAX(0,(Inputs!$B$3-100)*3)+Inputs!$B$28+Inputs!$B$29)))</f>
        <v/>
      </c>
      <c r="E1268">
        <f>INDEX(FactorTable!$B$2:$Y$301, MATCH(ROUND(MIN(300,MAX(1,D1268)),0), FactorTable!$A$2:$A$301,0), Skills!M21+1)</f>
        <v/>
      </c>
      <c r="F1268">
        <f>IF(Skills!N21=TRUE,(Skills!L21/10)*(E1268/1000),Skills!L21/10)+Skills!O21</f>
        <v/>
      </c>
      <c r="G1268">
        <f>Skills!G21*IF(Skills!H21&gt;0,Skills!I21/Skills!H21,1)</f>
        <v/>
      </c>
      <c r="H1268">
        <f>1-(1-Skills!J21/100)^Skills!K21</f>
        <v/>
      </c>
      <c r="I1268" t="inlineStr">
        <is>
          <t>1</t>
        </is>
      </c>
      <c r="J1268" t="inlineStr"/>
      <c r="K1268" t="inlineStr"/>
      <c r="L1268" t="inlineStr"/>
      <c r="M1268" t="inlineStr"/>
      <c r="N1268" t="inlineStr"/>
      <c r="O1268">
        <f>(1-Summary!$B$11)*T1268+Summary!$B$11*V1268</f>
        <v/>
      </c>
      <c r="P1268">
        <f>IF(B1286=0,0,O1268/B1286)</f>
        <v/>
      </c>
      <c r="Q1268" t="n">
        <v>0</v>
      </c>
      <c r="R1268" t="n">
        <v>0</v>
      </c>
      <c r="S1268">
        <f>IFERROR(O1268/N1268,0)</f>
        <v/>
      </c>
      <c r="T1268" t="n">
        <v>0</v>
      </c>
      <c r="V1268" t="n">
        <v>0</v>
      </c>
    </row>
    <row r="1269">
      <c r="A1269">
        <f>Skills!A22</f>
        <v/>
      </c>
      <c r="B1269">
        <f>Skills!B22</f>
        <v/>
      </c>
      <c r="C1269">
        <f>Inputs!$B$3&gt;=43</f>
        <v/>
      </c>
      <c r="D1269">
        <f>IF(Skills!C22=1,60+Inputs!$B$25+Inputs!$B$29,IF(Skills!C22=2,90+Inputs!$B$26+Inputs!$B$29,IF(Skills!C22=3,120+Inputs!$B$27+Inputs!$B$29,MAX(0,(Inputs!$B$3-100)*3)+Inputs!$B$28+Inputs!$B$29)))</f>
        <v/>
      </c>
      <c r="E1269">
        <f>INDEX(FactorTable!$B$2:$Y$301, MATCH(ROUND(MIN(300,MAX(1,D1269)),0), FactorTable!$A$2:$A$301,0), Skills!M22+1)</f>
        <v/>
      </c>
      <c r="F1269">
        <f>IF(Skills!N22=TRUE,(Skills!L22/10)*(E1269/1000),Skills!L22/10)+Skills!O22</f>
        <v/>
      </c>
      <c r="G1269">
        <f>Skills!G22*IF(Skills!H22&gt;0,Skills!I22/Skills!H22,1)</f>
        <v/>
      </c>
      <c r="H1269">
        <f>1-(1-Skills!J22/100)^Skills!K22</f>
        <v/>
      </c>
      <c r="I1269" t="inlineStr">
        <is>
          <t>1</t>
        </is>
      </c>
      <c r="J1269" t="inlineStr"/>
      <c r="K1269" t="inlineStr"/>
      <c r="L1269" t="inlineStr"/>
      <c r="M1269" t="inlineStr"/>
      <c r="N1269" t="inlineStr"/>
      <c r="O1269">
        <f>(1-Summary!$B$11)*T1269+Summary!$B$11*V1269</f>
        <v/>
      </c>
      <c r="P1269">
        <f>IF(B1286=0,0,O1269/B1286)</f>
        <v/>
      </c>
      <c r="Q1269" t="n">
        <v>0</v>
      </c>
      <c r="R1269" t="n">
        <v>0</v>
      </c>
      <c r="S1269">
        <f>IFERROR(O1269/N1269,0)</f>
        <v/>
      </c>
      <c r="T1269" t="n">
        <v>0</v>
      </c>
      <c r="V1269" t="n">
        <v>0</v>
      </c>
    </row>
    <row r="1270">
      <c r="A1270">
        <f>Skills!A23</f>
        <v/>
      </c>
      <c r="B1270">
        <f>Skills!B23</f>
        <v/>
      </c>
      <c r="C1270">
        <f>Inputs!$B$3&gt;=120</f>
        <v/>
      </c>
      <c r="D1270">
        <f>IF(Skills!C23=1,60+Inputs!$B$25+Inputs!$B$29,IF(Skills!C23=2,90+Inputs!$B$26+Inputs!$B$29,IF(Skills!C23=3,120+Inputs!$B$27+Inputs!$B$29,MAX(0,(Inputs!$B$3-100)*3)+Inputs!$B$28+Inputs!$B$29)))</f>
        <v/>
      </c>
      <c r="E1270">
        <f>INDEX(FactorTable!$B$2:$Y$301, MATCH(ROUND(MIN(300,MAX(1,D1270)),0), FactorTable!$A$2:$A$301,0), Skills!M23+1)</f>
        <v/>
      </c>
      <c r="F1270">
        <f>IF(Skills!N23=TRUE,(Skills!L23/10)*(E1270/1000),Skills!L23/10)+Skills!O23</f>
        <v/>
      </c>
      <c r="G1270">
        <f>Skills!G23*IF(Skills!H23&gt;0,Skills!I23/Skills!H23,1)</f>
        <v/>
      </c>
      <c r="H1270">
        <f>1-(1-Skills!J23/100)^Skills!K23</f>
        <v/>
      </c>
      <c r="I1270" t="inlineStr">
        <is>
          <t>1</t>
        </is>
      </c>
      <c r="J1270" t="inlineStr"/>
      <c r="K1270" t="inlineStr"/>
      <c r="L1270" t="inlineStr"/>
      <c r="M1270" t="inlineStr"/>
      <c r="N1270" t="inlineStr"/>
      <c r="O1270">
        <f>(1-Summary!$B$11)*T1270+Summary!$B$11*V1270</f>
        <v/>
      </c>
      <c r="P1270">
        <f>IF(B1286=0,0,O1270/B1286)</f>
        <v/>
      </c>
      <c r="Q1270" t="n">
        <v>0</v>
      </c>
      <c r="R1270" t="n">
        <v>0</v>
      </c>
      <c r="S1270">
        <f>IFERROR(O1270/N1270,0)</f>
        <v/>
      </c>
      <c r="T1270" t="n">
        <v>0</v>
      </c>
      <c r="V1270" t="n">
        <v>0</v>
      </c>
    </row>
    <row r="1271">
      <c r="A1271">
        <f>Skills!A24</f>
        <v/>
      </c>
      <c r="B1271">
        <f>Skills!B24</f>
        <v/>
      </c>
      <c r="C1271">
        <f>Inputs!$B$3&gt;=120</f>
        <v/>
      </c>
      <c r="D1271">
        <f>IF(Skills!C24=1,60+Inputs!$B$25+Inputs!$B$29,IF(Skills!C24=2,90+Inputs!$B$26+Inputs!$B$29,IF(Skills!C24=3,120+Inputs!$B$27+Inputs!$B$29,MAX(0,(Inputs!$B$3-100)*3)+Inputs!$B$28+Inputs!$B$29)))</f>
        <v/>
      </c>
      <c r="E1271">
        <f>INDEX(FactorTable!$B$2:$Y$301, MATCH(ROUND(MIN(300,MAX(1,D1271)),0), FactorTable!$A$2:$A$301,0), Skills!M24+1)</f>
        <v/>
      </c>
      <c r="F1271">
        <f>IF(Skills!N24=TRUE,(Skills!L24/10)*(E1271/1000),Skills!L24/10)+Skills!O24</f>
        <v/>
      </c>
      <c r="G1271">
        <f>Skills!G24*IF(Skills!H24&gt;0,Skills!I24/Skills!H24,1)</f>
        <v/>
      </c>
      <c r="H1271">
        <f>1-(1-Skills!J24/100)^Skills!K24</f>
        <v/>
      </c>
      <c r="I1271" t="inlineStr">
        <is>
          <t>1</t>
        </is>
      </c>
      <c r="J1271" t="inlineStr"/>
      <c r="K1271" t="inlineStr"/>
      <c r="L1271" t="inlineStr"/>
      <c r="M1271" t="inlineStr"/>
      <c r="N1271" t="inlineStr"/>
      <c r="O1271">
        <f>(1-Summary!$B$11)*T1271+Summary!$B$11*V1271</f>
        <v/>
      </c>
      <c r="P1271">
        <f>IF(B1286=0,0,O1271/B1286)</f>
        <v/>
      </c>
      <c r="Q1271" t="n">
        <v>0</v>
      </c>
      <c r="R1271" t="n">
        <v>0</v>
      </c>
      <c r="S1271">
        <f>IFERROR(O1271/N1271,0)</f>
        <v/>
      </c>
      <c r="T1271" t="n">
        <v>0</v>
      </c>
      <c r="V1271" t="n">
        <v>0</v>
      </c>
    </row>
    <row r="1272">
      <c r="A1272">
        <f>Skills!A25</f>
        <v/>
      </c>
      <c r="B1272">
        <f>Skills!B25</f>
        <v/>
      </c>
      <c r="C1272">
        <f>Inputs!$B$3&gt;=125</f>
        <v/>
      </c>
      <c r="D1272">
        <f>IF(Skills!C25=1,60+Inputs!$B$25+Inputs!$B$29,IF(Skills!C25=2,90+Inputs!$B$26+Inputs!$B$29,IF(Skills!C25=3,120+Inputs!$B$27+Inputs!$B$29,MAX(0,(Inputs!$B$3-100)*3)+Inputs!$B$28+Inputs!$B$29)))</f>
        <v/>
      </c>
      <c r="E1272">
        <f>INDEX(FactorTable!$B$2:$Y$301, MATCH(ROUND(MIN(300,MAX(1,D1272)),0), FactorTable!$A$2:$A$301,0), Skills!M25+1)</f>
        <v/>
      </c>
      <c r="F1272">
        <f>IF(Skills!N25=TRUE,(Skills!L25/10)*(E1272/1000),Skills!L25/10)+Skills!O25</f>
        <v/>
      </c>
      <c r="G1272">
        <f>Skills!G25*IF(Skills!H25&gt;0,Skills!I25/Skills!H25,1)</f>
        <v/>
      </c>
      <c r="H1272">
        <f>1-(1-Skills!J25/100)^Skills!K25</f>
        <v/>
      </c>
      <c r="I1272" t="inlineStr">
        <is>
          <t>1</t>
        </is>
      </c>
      <c r="J1272" t="inlineStr"/>
      <c r="K1272" t="inlineStr"/>
      <c r="L1272" t="inlineStr"/>
      <c r="M1272" t="inlineStr"/>
      <c r="N1272" t="inlineStr"/>
      <c r="O1272">
        <f>(1-Summary!$B$11)*T1272+Summary!$B$11*V1272</f>
        <v/>
      </c>
      <c r="P1272">
        <f>IF(B1286=0,0,O1272/B1286)</f>
        <v/>
      </c>
      <c r="Q1272" t="n">
        <v>0</v>
      </c>
      <c r="R1272" t="n">
        <v>0</v>
      </c>
      <c r="S1272">
        <f>IFERROR(O1272/N1272,0)</f>
        <v/>
      </c>
      <c r="T1272" t="n">
        <v>0</v>
      </c>
      <c r="V1272" t="n">
        <v>0</v>
      </c>
    </row>
    <row r="1273">
      <c r="A1273">
        <f>Skills!A26</f>
        <v/>
      </c>
      <c r="B1273">
        <f>Skills!B26</f>
        <v/>
      </c>
      <c r="C1273">
        <f>Inputs!$B$3&gt;=72</f>
        <v/>
      </c>
      <c r="D1273">
        <f>IF(Skills!C26=1,60+Inputs!$B$25+Inputs!$B$29,IF(Skills!C26=2,90+Inputs!$B$26+Inputs!$B$29,IF(Skills!C26=3,120+Inputs!$B$27+Inputs!$B$29,MAX(0,(Inputs!$B$3-100)*3)+Inputs!$B$28+Inputs!$B$29)))</f>
        <v/>
      </c>
      <c r="E1273">
        <f>INDEX(FactorTable!$B$2:$Y$301, MATCH(ROUND(MIN(300,MAX(1,D1273)),0), FactorTable!$A$2:$A$301,0), Skills!M26+1)</f>
        <v/>
      </c>
      <c r="F1273">
        <f>IF(Skills!N26=TRUE,(Skills!L26/10)*(E1273/1000),Skills!L26/10)+Skills!O26</f>
        <v/>
      </c>
      <c r="G1273">
        <f>Skills!G26*IF(Skills!H26&gt;0,Skills!I26/Skills!H26,1)</f>
        <v/>
      </c>
      <c r="H1273">
        <f>1-(1-Skills!J26/100)^Skills!K26</f>
        <v/>
      </c>
      <c r="I1273" t="inlineStr">
        <is>
          <t>1</t>
        </is>
      </c>
      <c r="J1273" t="inlineStr"/>
      <c r="K1273" t="inlineStr"/>
      <c r="L1273" t="inlineStr"/>
      <c r="M1273" t="inlineStr"/>
      <c r="N1273" t="inlineStr"/>
      <c r="O1273">
        <f>(1-Summary!$B$11)*T1273+Summary!$B$11*V1273</f>
        <v/>
      </c>
      <c r="P1273">
        <f>IF(B1286=0,0,O1273/B1286)</f>
        <v/>
      </c>
      <c r="Q1273" t="n">
        <v>0</v>
      </c>
      <c r="R1273" t="n">
        <v>0</v>
      </c>
      <c r="S1273">
        <f>IFERROR(O1273/N1273,0)</f>
        <v/>
      </c>
      <c r="T1273" t="n">
        <v>0</v>
      </c>
      <c r="V1273" t="n">
        <v>0</v>
      </c>
    </row>
    <row r="1275">
      <c r="A1275" t="inlineStr">
        <is>
          <t>Attack% Bucket Multiplier</t>
        </is>
      </c>
      <c r="B1275">
        <f>(1+(((C1260=TRUE)*F1260*IF(Inputs!$B$3&gt;=110,7,5))+((C1262=TRUE)*F1262*IF(AND(Inputs!$B$38&lt;&gt;"pvp",Inputs!$B$43&gt;0),(((R1262-1)*(Skills!T15*(1+(Inputs!$B$34+(IF(ArtifactsInput!$M$7,FALSE,TRUE)-ArtifactsInput!$M$7)*CHOOSE(ArtifactsInput!$N$7+1,6,7.2,8.4,9.6,10.8,12))/100))+MIN((Skills!T15*(1+(Inputs!$B$34+(IF(ArtifactsInput!$M$7,FALSE,TRUE)-ArtifactsInput!$M$7)*CHOOSE(ArtifactsInput!$N$7+1,6,7.2,8.4,9.6,10.8,12))/100)),MAX(0,Inputs!$B$43-((R1262-1)*Skills!D15))))/Inputs!$B$43),IF(Inputs!$B$38="pvp",MIN((Skills!T15*(1+(Inputs!$B$34+(IF(ArtifactsInput!$M$7,FALSE,TRUE)-ArtifactsInput!$M$7)*CHOOSE(ArtifactsInput!$N$7+1,6,7.2,8.4,9.6,10.8,12))/100)),15)/15,(Skills!T15*(1+(Inputs!$B$34+(IF(ArtifactsInput!$M$7,FALSE,TRUE)-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276">
      <c r="A1276" t="inlineStr">
        <is>
          <t>Global Crit Rate Bonus %</t>
        </is>
      </c>
      <c r="B1276" t="n">
        <v>0</v>
      </c>
    </row>
    <row r="1277">
      <c r="A1277" t="inlineStr">
        <is>
          <t>Attack Speed Buff Bonus %</t>
        </is>
      </c>
      <c r="B1277">
        <f>((C1266=TRUE)*F1266*IF(AND(Inputs!$B$38&lt;&gt;"pvp",Inputs!$B$43&gt;0),(((R1266-1)*(Skills!T19*(1+(Inputs!$B$34+(IF(ArtifactsInput!$M$7,FALSE,TRUE)-ArtifactsInput!$M$7)*CHOOSE(ArtifactsInput!$N$7+1,6,7.2,8.4,9.6,10.8,12))/100))+MIN((Skills!T19*(1+(Inputs!$B$34+(IF(ArtifactsInput!$M$7,FALSE,TRUE)-ArtifactsInput!$M$7)*CHOOSE(ArtifactsInput!$N$7+1,6,7.2,8.4,9.6,10.8,12))/100)),MAX(0,Inputs!$B$43-((R1266-1)*Skills!D19))))/Inputs!$B$43),IF(Inputs!$B$38="pvp",MIN((Skills!T19*(1+(Inputs!$B$34+(IF(ArtifactsInput!$M$7,FALSE,TRUE)-ArtifactsInput!$M$7)*CHOOSE(ArtifactsInput!$N$7+1,6,7.2,8.4,9.6,10.8,12))/100)),15)/15,(Skills!T19*(1+(Inputs!$B$34+(IF(ArtifactsInput!$M$7,FALSE,TRUE)-ArtifactsInput!$M$7)*CHOOSE(ArtifactsInput!$N$7+1,6,7.2,8.4,9.6,10.8,12))/100))/Skills!D19)))</f>
        <v/>
      </c>
    </row>
    <row r="1278">
      <c r="A1278" t="inlineStr">
        <is>
          <t>Actions Per Second</t>
        </is>
      </c>
      <c r="B1278">
        <f>1+MIN(150,150*(1-(1-(Inputs!$B$11+((C1267=TRUE)*(F1267-Calc!F20)))/150)*(1-B1277/150)))/100</f>
        <v/>
      </c>
    </row>
    <row r="1279">
      <c r="A1279" t="inlineStr">
        <is>
          <t>Skill + Buff Cast Rate</t>
        </is>
      </c>
      <c r="B1279">
        <f>IF(AND(Inputs!$B$38&lt;&gt;"pvp",Inputs!$B$43&gt;0),SUMPRODUCT((Skills!E2:E26=TRUE)*(C1249:C1273=TRUE)*R1249:R1273*Skills!F2:F26)/Inputs!$B$43,SUMPRODUCT((Skills!E2:E26=TRUE)*(C1249:C1273=TRUE)*Q1249:Q1273*Skills!F2:F26))</f>
        <v/>
      </c>
    </row>
    <row r="1280">
      <c r="A1280" t="inlineStr">
        <is>
          <t>Raging Blow Casts Per Second</t>
        </is>
      </c>
      <c r="B1280">
        <f>MAX(0,B1278-B1279)</f>
        <v/>
      </c>
    </row>
    <row r="1281">
      <c r="A1281" t="inlineStr">
        <is>
          <t>Global Critical Damage Bonus % (Enrage)</t>
        </is>
      </c>
      <c r="B1281">
        <f>((C1265=TRUE)*F1265*IF(AND(Inputs!$B$38&lt;&gt;"pvp",Inputs!$B$43&gt;0),(((R1265-1)*(Skills!T18*(1+(Inputs!$B$34+(IF(ArtifactsInput!$M$7,FALSE,TRUE)-ArtifactsInput!$M$7)*CHOOSE(ArtifactsInput!$N$7+1,6,7.2,8.4,9.6,10.8,12))/100))+MIN((Skills!T18*(1+(Inputs!$B$34+(IF(ArtifactsInput!$M$7,FALSE,TRUE)-ArtifactsInput!$M$7)*CHOOSE(ArtifactsInput!$N$7+1,6,7.2,8.4,9.6,10.8,12))/100)),MAX(0,Inputs!$B$43-((R1265-1)*Skills!D18))))/Inputs!$B$43),IF(Inputs!$B$38="pvp",MIN((Skills!T18*(1+(Inputs!$B$34+(IF(ArtifactsInput!$M$7,FALSE,TRUE)-ArtifactsInput!$M$7)*CHOOSE(ArtifactsInput!$N$7+1,6,7.2,8.4,9.6,10.8,12))/100)),15)/15,(Skills!T18*(1+(Inputs!$B$34+(IF(ArtifactsInput!$M$7,FALSE,TRUE)-ArtifactsInput!$M$7)*CHOOSE(ArtifactsInput!$N$7+1,6,7.2,8.4,9.6,10.8,12))/100))/Skills!D18)))</f>
        <v/>
      </c>
    </row>
    <row r="1282">
      <c r="A1282" t="inlineStr">
        <is>
          <t>Global Final Damage Bonus % (Enrage + Combo Synergy)</t>
        </is>
      </c>
      <c r="B1282">
        <f>((C1264=TRUE)*F1264*IF(AND(Inputs!$B$38&lt;&gt;"pvp",Inputs!$B$43&gt;0),(((R1264-1)*(Skills!T17*(1+(Inputs!$B$34+(IF(ArtifactsInput!$M$7,FALSE,TRUE)-ArtifactsInput!$M$7)*CHOOSE(ArtifactsInput!$N$7+1,6,7.2,8.4,9.6,10.8,12))/100))+MIN((Skills!T17*(1+(Inputs!$B$34+(IF(ArtifactsInput!$M$7,FALSE,TRUE)-ArtifactsInput!$M$7)*CHOOSE(ArtifactsInput!$N$7+1,6,7.2,8.4,9.6,10.8,12))/100)),MAX(0,Inputs!$B$43-((R1264-1)*Skills!D17))))/Inputs!$B$43),IF(Inputs!$B$38="pvp",MIN((Skills!T17*(1+(Inputs!$B$34+(IF(ArtifactsInput!$M$7,FALSE,TRUE)-ArtifactsInput!$M$7)*CHOOSE(ArtifactsInput!$N$7+1,6,7.2,8.4,9.6,10.8,12))/100)),15)/15,(Skills!T17*(1+(Inputs!$B$34+(IF(ArtifactsInput!$M$7,FALSE,TRUE)-ArtifactsInput!$M$7)*CHOOSE(ArtifactsInput!$N$7+1,6,7.2,8.4,9.6,10.8,12))/100))/Skills!D17)))+((C1261=TRUE)*F1261*IF(Inputs!$B$3&gt;=110,7,5))</f>
        <v/>
      </c>
    </row>
    <row r="1283">
      <c r="A1283" t="inlineStr">
        <is>
          <t>Buff-Casting Startup Delay (s, fixed-duration only)</t>
        </is>
      </c>
      <c r="B1283">
        <f>IF(AND(Inputs!$B$38&lt;&gt;"pvp",Inputs!$B$43&gt;0),SUMPRODUCT((Skills!T2:T26&gt;0)*(Skills!E2:E26=TRUE)*(C1249:C1273=TRUE))/B1278,0)</f>
        <v/>
      </c>
    </row>
    <row r="1284">
      <c r="A1284" t="inlineStr">
        <is>
          <t>Boss-Only Total DPS (this block's swept value)</t>
        </is>
      </c>
      <c r="B1284">
        <f>SUM(T1249:T1273)</f>
        <v/>
      </c>
    </row>
    <row r="1285">
      <c r="A1285" t="inlineStr">
        <is>
          <t>Normal-Only Total DPS (this block's swept value)</t>
        </is>
      </c>
      <c r="B1285">
        <f>SUM(V1249:V1273)</f>
        <v/>
      </c>
    </row>
    <row r="1286">
      <c r="A1286" s="6" t="inlineStr">
        <is>
          <t>TOTAL DPS</t>
        </is>
      </c>
      <c r="B1286" s="6">
        <f>SUM(O1249:O1273)</f>
        <v/>
      </c>
    </row>
    <row r="1289">
      <c r="A1289" s="6" t="inlineStr">
        <is>
          <t>Stat: The Contract of Darkness (Equip)</t>
        </is>
      </c>
    </row>
    <row r="1290">
      <c r="A1290" s="5" t="inlineStr">
        <is>
          <t>Key</t>
        </is>
      </c>
      <c r="B1290" s="5" t="inlineStr">
        <is>
          <t>Name</t>
        </is>
      </c>
      <c r="C1290" s="5" t="inlineStr">
        <is>
          <t>Unlocked</t>
        </is>
      </c>
      <c r="D1290" s="5" t="inlineStr">
        <is>
          <t>InputLevel</t>
        </is>
      </c>
      <c r="E1290" s="5" t="inlineStr">
        <is>
          <t>Factor</t>
        </is>
      </c>
      <c r="F1290" s="5" t="inlineStr">
        <is>
          <t>CoefficientPercent</t>
        </is>
      </c>
      <c r="G1290" s="5" t="inlineStr">
        <is>
          <t>EffectiveHits</t>
        </is>
      </c>
      <c r="H1290" s="5" t="inlineStr">
        <is>
          <t>ProcProbability</t>
        </is>
      </c>
      <c r="I1290" s="5" t="inlineStr">
        <is>
          <t>MapleHeroMultiplier</t>
        </is>
      </c>
      <c r="J1290" s="5" t="inlineStr">
        <is>
          <t>BaseDamage</t>
        </is>
      </c>
      <c r="K1290" s="5" t="inlineStr">
        <is>
          <t>BaseHitDamage</t>
        </is>
      </c>
      <c r="L1290" s="5" t="inlineStr">
        <is>
          <t>NonCritAvg</t>
        </is>
      </c>
      <c r="M1290" s="5" t="inlineStr">
        <is>
          <t>CritAvg</t>
        </is>
      </c>
      <c r="N1290" s="5" t="inlineStr">
        <is>
          <t>ExpectedDamage(perHit)</t>
        </is>
      </c>
      <c r="O1290" s="5" t="inlineStr">
        <is>
          <t>DPS</t>
        </is>
      </c>
      <c r="P1290" s="5" t="inlineStr">
        <is>
          <t>% of Total</t>
        </is>
      </c>
      <c r="Q1290" s="5" t="inlineStr">
        <is>
          <t>InvCooldown</t>
        </is>
      </c>
      <c r="R1290" s="5" t="inlineStr">
        <is>
          <t>CastsInFight</t>
        </is>
      </c>
      <c r="S1290" s="5" t="inlineStr">
        <is>
          <t>HitRate(perSec)</t>
        </is>
      </c>
      <c r="U1290" t="inlineStr">
        <is>
          <t>helpers</t>
        </is>
      </c>
    </row>
    <row r="1291">
      <c r="A1291">
        <f>Skills!A2</f>
        <v/>
      </c>
      <c r="B1291">
        <f>Skills!B2</f>
        <v/>
      </c>
      <c r="C1291">
        <f>Inputs!$B$3&gt;=100</f>
        <v/>
      </c>
      <c r="D1291" t="inlineStr"/>
      <c r="E1291" t="inlineStr"/>
      <c r="F1291">
        <f>U1293+Skills!O2</f>
        <v/>
      </c>
      <c r="G1291">
        <f>Skills!G2*IF(Skills!H2&gt;0,Skills!I2/Skills!H2,1)</f>
        <v/>
      </c>
      <c r="H1291">
        <f>1-(1-Skills!J2/100)^Skills!K2</f>
        <v/>
      </c>
      <c r="I1291" t="inlineStr">
        <is>
          <t>1</t>
        </is>
      </c>
      <c r="J1291">
        <f>((Inputs!$B$6*(1+Inputs!$B$7/100))+(((Inputs!$B$12*(1+Inputs!$B$13/100))-(Inputs!$B$12*(1+Inputs!$B$13/100)))+0.25*(Inputs!$B$14-Inputs!$B$14))*(1+Inputs!$B$7/100))*(F1291/100)</f>
        <v/>
      </c>
      <c r="K1291">
        <f>J1291*(1+((Inputs!$B$12*(1+Inputs!$B$13/100))*0.01+Inputs!$B$14*0.0025)/100)*(1+Inputs!$B$15/100)*(1+Inputs!$B$16/100)*(5000/(6000+Inputs!$B$42*(1-(100*(1-(1-(Inputs!$B$19+0)/100)*(1-CHOOSE(ArtifactsInput!$N$40+1,5,6,7,8,9,10)/100)^(ArtifactsInput!$M$40-ArtifactsInput!$M$40)))/100)))*(1+(Inputs!$B$24+((C1314=TRUE)*(F1314-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1310=TRUE)*(F1310-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1312=TRUE)*(F1312-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1302=TRUE)*F1302*IF(Inputs!$B$3&gt;=110,7,5))+((C1304=TRUE)*F1304*IF(AND(Inputs!$B$38&lt;&gt;"pvp",Inputs!$B$43&gt;0),(((R1304-1)*(Skills!T15*(1+(Inputs!$B$34+(ArtifactsInput!$M$7-ArtifactsInput!$M$7)*CHOOSE(ArtifactsInput!$N$7+1,6,7.2,8.4,9.6,10.8,12))/100))+MIN((Skills!T15*(1+(Inputs!$B$34+(ArtifactsInput!$M$7-ArtifactsInput!$M$7)*CHOOSE(ArtifactsInput!$N$7+1,6,7.2,8.4,9.6,10.8,12))/100)),MAX(0,Inputs!$B$43-((R1304-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I1291)</f>
        <v/>
      </c>
      <c r="L1291">
        <f>K1291*(MIN(Inputs!$B$22+((C1311=TRUE)*(F1311-Calc!F22)),(Inputs!$B$23+((C1313=TRUE)*(F1313-Calc!F24))+(IF(ArtifactsInput!$M$15,CHOOSE(ArtifactsInput!$N$15+1,25,30,35,40,45,50)/100*(Inputs!$B$11-Inputs!$B$11),0))))/100+(Inputs!$B$23+((C1313=TRUE)*(F1313-Calc!F24))+(IF(ArtifactsInput!$M$15,CHOOSE(ArtifactsInput!$N$15+1,25,30,35,40,45,50)/100*(Inputs!$B$11-Inputs!$B$11),0)))/100)/2</f>
        <v/>
      </c>
      <c r="M1291">
        <f>L1291*(1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1">
        <f>L1291*(1-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1291*(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1">
        <f>(1-Summary!$B$11)*T1291+Summary!$B$11*V1291</f>
        <v/>
      </c>
      <c r="P1291">
        <f>IF(B1328=0,0,O1291/B1328)</f>
        <v/>
      </c>
      <c r="Q1291" t="n">
        <v>0</v>
      </c>
      <c r="R1291" t="n">
        <v>0</v>
      </c>
      <c r="S1291">
        <f>IFERROR(O1291/N1291,0)</f>
        <v/>
      </c>
      <c r="T1291">
        <f>IF(C1291,(Skills!G2*N1291*B1322)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1291*(1-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1291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1291*(1-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91">
        <f>MAX(0,(Inputs!$B$3-100)*3)+Inputs!$B$28+Inputs!$B$29</f>
        <v/>
      </c>
      <c r="V1291">
        <f>IF(C1291,(Skills!G2*N1291*B1322)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2">
      <c r="A1292">
        <f>Skills!A3</f>
        <v/>
      </c>
      <c r="B1292">
        <f>Skills!B3</f>
        <v/>
      </c>
      <c r="C1292">
        <f>Inputs!$B$3&gt;=50</f>
        <v/>
      </c>
      <c r="D1292">
        <f>IF(Skills!C3=1,60+Inputs!$B$25+Inputs!$B$29,IF(Skills!C3=2,90+Inputs!$B$26+Inputs!$B$29,IF(Skills!C3=3,120+Inputs!$B$27+Inputs!$B$29,MAX(0,(Inputs!$B$3-100)*3)+Inputs!$B$28+Inputs!$B$29)))</f>
        <v/>
      </c>
      <c r="E1292">
        <f>INDEX(FactorTable!$B$2:$Y$301, MATCH(ROUND(MIN(300,MAX(1,D1292)),0), FactorTable!$A$2:$A$301,0), Skills!M3+1)</f>
        <v/>
      </c>
      <c r="F1292">
        <f>IF(Skills!N3=TRUE,(Skills!L3/10)*(E1292/1000),Skills!L3/10)+Skills!O3</f>
        <v/>
      </c>
      <c r="G1292" t="inlineStr"/>
      <c r="H1292" t="inlineStr"/>
      <c r="I1292" t="inlineStr">
        <is>
          <t>1</t>
        </is>
      </c>
      <c r="J1292" t="inlineStr"/>
      <c r="K1292" t="inlineStr"/>
      <c r="L1292" t="inlineStr"/>
      <c r="M1292" t="inlineStr"/>
      <c r="N1292" t="inlineStr"/>
      <c r="O1292" t="inlineStr"/>
      <c r="P1292" t="inlineStr"/>
      <c r="Q1292" t="inlineStr"/>
      <c r="R1292" t="inlineStr"/>
      <c r="S1292" t="inlineStr"/>
      <c r="U1292">
        <f>INDEX(FactorTable!$B$2:$Y$301, MATCH(ROUND(MIN(300,MAX(1,U1291)),0), FactorTable!$A$2:$A$301,0), 22)</f>
        <v/>
      </c>
    </row>
    <row r="1293">
      <c r="A1293">
        <f>Skills!A4</f>
        <v/>
      </c>
      <c r="B1293">
        <f>Skills!B4</f>
        <v/>
      </c>
      <c r="C1293">
        <f>Inputs!$B$3&gt;=105</f>
        <v/>
      </c>
      <c r="D1293">
        <f>IF(Skills!C4=1,60+Inputs!$B$25+Inputs!$B$29,IF(Skills!C4=2,90+Inputs!$B$26+Inputs!$B$29,IF(Skills!C4=3,120+Inputs!$B$27+Inputs!$B$29,MAX(0,(Inputs!$B$3-100)*3)+Inputs!$B$28+Inputs!$B$29)))</f>
        <v/>
      </c>
      <c r="E1293">
        <f>INDEX(FactorTable!$B$2:$Y$301, MATCH(ROUND(MIN(300,MAX(1,D1293)),0), FactorTable!$A$2:$A$301,0), Skills!M4+1)</f>
        <v/>
      </c>
      <c r="F1293">
        <f>IF(Skills!N4=TRUE,(Skills!L4/10)*(E1293/1000),Skills!L4/10)+Skills!O4</f>
        <v/>
      </c>
      <c r="G1293" t="inlineStr"/>
      <c r="H1293" t="inlineStr"/>
      <c r="I1293" t="inlineStr">
        <is>
          <t>1</t>
        </is>
      </c>
      <c r="J1293" t="inlineStr"/>
      <c r="K1293" t="inlineStr"/>
      <c r="L1293" t="inlineStr"/>
      <c r="M1293" t="inlineStr"/>
      <c r="N1293" t="inlineStr"/>
      <c r="O1293" t="inlineStr"/>
      <c r="P1293" t="inlineStr"/>
      <c r="Q1293" t="inlineStr"/>
      <c r="R1293" t="inlineStr"/>
      <c r="S1293" t="inlineStr"/>
      <c r="U1293">
        <f>290*U1292/1000</f>
        <v/>
      </c>
    </row>
    <row r="1294">
      <c r="A1294">
        <f>Skills!A5</f>
        <v/>
      </c>
      <c r="B1294">
        <f>Skills!B5</f>
        <v/>
      </c>
      <c r="C1294">
        <f>Inputs!$B$3&gt;=103</f>
        <v/>
      </c>
      <c r="D1294">
        <f>IF(Skills!C5=1,60+Inputs!$B$25+Inputs!$B$29,IF(Skills!C5=2,90+Inputs!$B$26+Inputs!$B$29,IF(Skills!C5=3,120+Inputs!$B$27+Inputs!$B$29,MAX(0,(Inputs!$B$3-100)*3)+Inputs!$B$28+Inputs!$B$29)))</f>
        <v/>
      </c>
      <c r="E1294">
        <f>INDEX(FactorTable!$B$2:$Y$301, MATCH(ROUND(MIN(300,MAX(1,D1294)),0), FactorTable!$A$2:$A$301,0), Skills!M5+1)</f>
        <v/>
      </c>
      <c r="F1294">
        <f>IF(Skills!N5=TRUE,(Skills!L5/10)*(E1294/1000),Skills!L5/10)+Skills!O5</f>
        <v/>
      </c>
      <c r="G1294">
        <f>Skills!G5*IF(Skills!H5&gt;0,Skills!I5/Skills!H5,1)</f>
        <v/>
      </c>
      <c r="H1294">
        <f>1-(1-Skills!J5/100)^Skills!K5</f>
        <v/>
      </c>
      <c r="I1294" t="inlineStr">
        <is>
          <t>1</t>
        </is>
      </c>
      <c r="J1294">
        <f>((Inputs!$B$6*(1+Inputs!$B$7/100))+(((Inputs!$B$12*(1+Inputs!$B$13/100))-(Inputs!$B$12*(1+Inputs!$B$13/100)))+0.25*(Inputs!$B$14-Inputs!$B$14))*(1+Inputs!$B$7/100))*(F1294/100)</f>
        <v/>
      </c>
      <c r="K1294">
        <f>J1294*(1+((Inputs!$B$12*(1+Inputs!$B$13/100))*0.01+Inputs!$B$14*0.0025)/100)*(1+Inputs!$B$15/100)*(1+Inputs!$B$16/100)*(5000/(6000+Inputs!$B$42*(1-(100*(1-(1-(Inputs!$B$19+0)/100)*(1-CHOOSE(ArtifactsInput!$N$40+1,5,6,7,8,9,10)/100)^(ArtifactsInput!$M$40-ArtifactsInput!$M$40)))/100)))*(1+(Inputs!$B$24+((C1314=TRUE)*(F1314-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1310=TRUE)*(F1310-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1312=TRUE)*(F1312-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1302=TRUE)*F1302*IF(Inputs!$B$3&gt;=110,7,5))+((C1304=TRUE)*F1304*IF(AND(Inputs!$B$38&lt;&gt;"pvp",Inputs!$B$43&gt;0),(((R1304-1)*(Skills!T15*(1+(Inputs!$B$34+(ArtifactsInput!$M$7-ArtifactsInput!$M$7)*CHOOSE(ArtifactsInput!$N$7+1,6,7.2,8.4,9.6,10.8,12))/100))+MIN((Skills!T15*(1+(Inputs!$B$34+(ArtifactsInput!$M$7-ArtifactsInput!$M$7)*CHOOSE(ArtifactsInput!$N$7+1,6,7.2,8.4,9.6,10.8,12))/100)),MAX(0,Inputs!$B$43-((R1304-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I1294)</f>
        <v/>
      </c>
      <c r="L1294">
        <f>K1294*(MIN(Inputs!$B$22+((C1311=TRUE)*(F1311-Calc!F22)),(Inputs!$B$23+((C1313=TRUE)*(F1313-Calc!F24))+(IF(ArtifactsInput!$M$15,CHOOSE(ArtifactsInput!$N$15+1,25,30,35,40,45,50)/100*(Inputs!$B$11-Inputs!$B$11),0))))/100+(Inputs!$B$23+((C1313=TRUE)*(F1313-Calc!F24))+(IF(ArtifactsInput!$M$15,CHOOSE(ArtifactsInput!$N$15+1,25,30,35,40,45,50)/100*(Inputs!$B$11-Inputs!$B$11),0)))/100)/2</f>
        <v/>
      </c>
      <c r="M1294">
        <f>L1294*(1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4">
        <f>L1294*(1-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1294*(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4">
        <f>(1-Summary!$B$11)*T1294+Summary!$B$11*V1294</f>
        <v/>
      </c>
      <c r="P1294">
        <f>IF(B1328=0,0,O1294/B1328)</f>
        <v/>
      </c>
      <c r="Q1294">
        <f>IFERROR(1/(IF(Inputs!$B$38="pvp",15,MAX(0.1,Skills!D5-IF(Skills!E5=TRUE,Inputs!$B$32,0)))*(1-IF(AND(ArtifactsInput!$M$27,Inputs!$B$4="Chapter Hunt"),CHOOSE(ArtifactsInput!$N$27+1,20,24,28,32,36,40),0)/100)),0)</f>
        <v/>
      </c>
      <c r="R1294">
        <f>IF(AND(Inputs!$B$38&lt;&gt;"pvp",Inputs!$B$43&gt;0),IF(MAX(0,Inputs!$B$43-B1325)&lt;=0,0,(INT(MAX(0,Inputs!$B$43-B1325)/(IF(Inputs!$B$38="pvp",15,MAX(0.1,Skills!D5-IF(Skills!E5=TRUE,Inputs!$B$32,0)))*(1-IF(AND(ArtifactsInput!$M$27,Inputs!$B$4="Chapter Hunt"),CHOOSE(ArtifactsInput!$N$27+1,20,24,28,32,36,40),0)/100)))+1)),0)</f>
        <v/>
      </c>
      <c r="S1294">
        <f>IFERROR(O1294/N1294,0)</f>
        <v/>
      </c>
      <c r="T1294">
        <f>IF(C1294,(H1294*N1294*IF(AND(Inputs!$B$38&lt;&gt;"pvp",Inputs!$B$43&gt;0),((Skills!G5*((R1294-1)*IF(Skills!H5&gt;0,Skills!I5/Skills!H5,1)+IF(Skills!H5&gt;0,MIN(Skills!I5,MAX(0,MAX(0,Inputs!$B$43-B1325)-((R1294-1)*(IF(Inputs!$B$38="pvp",15,MAX(0.1,Skills!D5-IF(Skills!E5=TRUE,Inputs!$B$32,0)))*(1-IF(AND(ArtifactsInput!$M$27,Inputs!$B$4="Chapter Hunt"),CHOOSE(ArtifactsInput!$N$27+1,20,24,28,32,36,40),0)/100)))))/Skills!H5,1)))/Inputs!$B$43),G1294*Q1294)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1294*(1-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1294*(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1294*(1-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1294*(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4">
        <f>IF(C1294,(H1294*N1294*IF(AND(Inputs!$B$38&lt;&gt;"pvp",Inputs!$B$43&gt;0),((Skills!G5*((R1294-1)*IF(Skills!H5&gt;0,Skills!I5/Skills!H5,1)+IF(Skills!H5&gt;0,MIN(Skills!I5,MAX(0,MAX(0,Inputs!$B$43-B1325)-((R1294-1)*(IF(Inputs!$B$38="pvp",15,MAX(0.1,Skills!D5-IF(Skills!E5=TRUE,Inputs!$B$32,0)))*(1-IF(AND(ArtifactsInput!$M$27,Inputs!$B$4="Chapter Hunt"),CHOOSE(ArtifactsInput!$N$27+1,20,24,28,32,36,40),0)/100)))))/Skills!H5,1)))/Inputs!$B$43),G1294*Q1294)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5">
      <c r="A1295">
        <f>Skills!A6</f>
        <v/>
      </c>
      <c r="B1295">
        <f>Skills!B6</f>
        <v/>
      </c>
      <c r="C1295">
        <f>Inputs!$B$3&gt;=103</f>
        <v/>
      </c>
      <c r="D1295">
        <f>IF(Skills!C6=1,60+Inputs!$B$25+Inputs!$B$29,IF(Skills!C6=2,90+Inputs!$B$26+Inputs!$B$29,IF(Skills!C6=3,120+Inputs!$B$27+Inputs!$B$29,MAX(0,(Inputs!$B$3-100)*3)+Inputs!$B$28+Inputs!$B$29)))</f>
        <v/>
      </c>
      <c r="E1295">
        <f>INDEX(FactorTable!$B$2:$Y$301, MATCH(ROUND(MIN(300,MAX(1,D1295)),0), FactorTable!$A$2:$A$301,0), Skills!M6+1)</f>
        <v/>
      </c>
      <c r="F1295">
        <f>IF(Skills!N6=TRUE,(Skills!L6/10)*(E1295/1000),Skills!L6/10)+Skills!O6</f>
        <v/>
      </c>
      <c r="G1295">
        <f>Skills!G6*IF(Skills!H6&gt;0,Skills!I6/Skills!H6,1)</f>
        <v/>
      </c>
      <c r="H1295">
        <f>1-(1-Skills!J6/100)^Skills!K6</f>
        <v/>
      </c>
      <c r="I1295" t="inlineStr">
        <is>
          <t>1</t>
        </is>
      </c>
      <c r="J1295">
        <f>((Inputs!$B$6*(1+Inputs!$B$7/100))+(((Inputs!$B$12*(1+Inputs!$B$13/100))-(Inputs!$B$12*(1+Inputs!$B$13/100)))+0.25*(Inputs!$B$14-Inputs!$B$14))*(1+Inputs!$B$7/100))*(F1295/100)</f>
        <v/>
      </c>
      <c r="K1295">
        <f>J1295*(1+((Inputs!$B$12*(1+Inputs!$B$13/100))*0.01+Inputs!$B$14*0.0025)/100)*(1+Inputs!$B$15/100)*(1+Inputs!$B$16/100)*(5000/(6000+Inputs!$B$42*(1-(100*(1-(1-(Inputs!$B$19+0)/100)*(1-CHOOSE(ArtifactsInput!$N$40+1,5,6,7,8,9,10)/100)^(ArtifactsInput!$M$40-ArtifactsInput!$M$40)))/100)))*(1+(Inputs!$B$24+((C1314=TRUE)*(F1314-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1310=TRUE)*(F1310-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1312=TRUE)*(F1312-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1302=TRUE)*F1302*IF(Inputs!$B$3&gt;=110,7,5))+((C1304=TRUE)*F1304*IF(AND(Inputs!$B$38&lt;&gt;"pvp",Inputs!$B$43&gt;0),(((R1304-1)*(Skills!T15*(1+(Inputs!$B$34+(ArtifactsInput!$M$7-ArtifactsInput!$M$7)*CHOOSE(ArtifactsInput!$N$7+1,6,7.2,8.4,9.6,10.8,12))/100))+MIN((Skills!T15*(1+(Inputs!$B$34+(ArtifactsInput!$M$7-ArtifactsInput!$M$7)*CHOOSE(ArtifactsInput!$N$7+1,6,7.2,8.4,9.6,10.8,12))/100)),MAX(0,Inputs!$B$43-((R1304-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I1295)</f>
        <v/>
      </c>
      <c r="L1295">
        <f>K1295*(MIN(Inputs!$B$22+((C1311=TRUE)*(F1311-Calc!F22)),(Inputs!$B$23+((C1313=TRUE)*(F1313-Calc!F24))+(IF(ArtifactsInput!$M$15,CHOOSE(ArtifactsInput!$N$15+1,25,30,35,40,45,50)/100*(Inputs!$B$11-Inputs!$B$11),0))))/100+(Inputs!$B$23+((C1313=TRUE)*(F1313-Calc!F24))+(IF(ArtifactsInput!$M$15,CHOOSE(ArtifactsInput!$N$15+1,25,30,35,40,45,50)/100*(Inputs!$B$11-Inputs!$B$11),0)))/100)/2</f>
        <v/>
      </c>
      <c r="M1295">
        <f>L1295*(1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5">
        <f>L1295*(1-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1295*(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5">
        <f>(1-Summary!$B$11)*T1295+Summary!$B$11*V1295</f>
        <v/>
      </c>
      <c r="P1295">
        <f>IF(B1328=0,0,O1295/B1328)</f>
        <v/>
      </c>
      <c r="Q1295">
        <f>IFERROR(1/(IF(Inputs!$B$38="pvp",15,MAX(0.1,Skills!D6-IF(Skills!E6=TRUE,Inputs!$B$32,0)))*(1-IF(AND(ArtifactsInput!$M$27,Inputs!$B$4="Chapter Hunt"),CHOOSE(ArtifactsInput!$N$27+1,20,24,28,32,36,40),0)/100)),0)</f>
        <v/>
      </c>
      <c r="R1295">
        <f>IF(AND(Inputs!$B$38&lt;&gt;"pvp",Inputs!$B$43&gt;0),IF(MAX(0,Inputs!$B$43-B1325)&lt;=0,0,(INT(MAX(0,Inputs!$B$43-B1325)/(IF(Inputs!$B$38="pvp",15,MAX(0.1,Skills!D6-IF(Skills!E6=TRUE,Inputs!$B$32,0)))*(1-IF(AND(ArtifactsInput!$M$27,Inputs!$B$4="Chapter Hunt"),CHOOSE(ArtifactsInput!$N$27+1,20,24,28,32,36,40),0)/100)))+1)),0)</f>
        <v/>
      </c>
      <c r="S1295">
        <f>IFERROR(O1295/N1295,0)</f>
        <v/>
      </c>
      <c r="T1295">
        <f>IF(C1295,(H1295*N1295*IF(AND(Inputs!$B$38&lt;&gt;"pvp",Inputs!$B$43&gt;0),((Skills!G6*((R1295-1)*IF(Skills!H6&gt;0,Skills!I6/Skills!H6,1)+IF(Skills!H6&gt;0,MIN(Skills!I6,MAX(0,MAX(0,Inputs!$B$43-B1325)-((R1295-1)*(IF(Inputs!$B$38="pvp",15,MAX(0.1,Skills!D6-IF(Skills!E6=TRUE,Inputs!$B$32,0)))*(1-IF(AND(ArtifactsInput!$M$27,Inputs!$B$4="Chapter Hunt"),CHOOSE(ArtifactsInput!$N$27+1,20,24,28,32,36,40),0)/100)))))/Skills!H6,1)))/Inputs!$B$43),G1295*Q1295)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1295*(1-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1295*(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1295*(1-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1295*(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5">
        <f>IF(C1295,(H1295*N1295*IF(AND(Inputs!$B$38&lt;&gt;"pvp",Inputs!$B$43&gt;0),((Skills!G6*((R1295-1)*IF(Skills!H6&gt;0,Skills!I6/Skills!H6,1)+IF(Skills!H6&gt;0,MIN(Skills!I6,MAX(0,MAX(0,Inputs!$B$43-B1325)-((R1295-1)*(IF(Inputs!$B$38="pvp",15,MAX(0.1,Skills!D6-IF(Skills!E6=TRUE,Inputs!$B$32,0)))*(1-IF(AND(ArtifactsInput!$M$27,Inputs!$B$4="Chapter Hunt"),CHOOSE(ArtifactsInput!$N$27+1,20,24,28,32,36,40),0)/100)))))/Skills!H6,1)))/Inputs!$B$43),G1295*Q1295)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6">
      <c r="A1296">
        <f>Skills!A7</f>
        <v/>
      </c>
      <c r="B1296">
        <f>Skills!B7</f>
        <v/>
      </c>
      <c r="C1296">
        <f>Inputs!$B$3&gt;=107</f>
        <v/>
      </c>
      <c r="D1296">
        <f>IF(Skills!C7=1,60+Inputs!$B$25+Inputs!$B$29,IF(Skills!C7=2,90+Inputs!$B$26+Inputs!$B$29,IF(Skills!C7=3,120+Inputs!$B$27+Inputs!$B$29,MAX(0,(Inputs!$B$3-100)*3)+Inputs!$B$28+Inputs!$B$29)))</f>
        <v/>
      </c>
      <c r="E1296">
        <f>INDEX(FactorTable!$B$2:$Y$301, MATCH(ROUND(MIN(300,MAX(1,D1296)),0), FactorTable!$A$2:$A$301,0), Skills!M7+1)</f>
        <v/>
      </c>
      <c r="F1296">
        <f>IF(Skills!N7=TRUE,(Skills!L7/10)*(E1296/1000),Skills!L7/10)+Skills!O7</f>
        <v/>
      </c>
      <c r="G1296">
        <f>Skills!G7*IF(Skills!H7&gt;0,Skills!I7/Skills!H7,1)</f>
        <v/>
      </c>
      <c r="H1296">
        <f>1-(1-Skills!J7/100)^Skills!K7</f>
        <v/>
      </c>
      <c r="I1296" t="inlineStr">
        <is>
          <t>1</t>
        </is>
      </c>
      <c r="J1296">
        <f>((Inputs!$B$6*(1+Inputs!$B$7/100))+(((Inputs!$B$12*(1+Inputs!$B$13/100))-(Inputs!$B$12*(1+Inputs!$B$13/100)))+0.25*(Inputs!$B$14-Inputs!$B$14))*(1+Inputs!$B$7/100))*(F1296/100)</f>
        <v/>
      </c>
      <c r="K1296">
        <f>J1296*(1+((Inputs!$B$12*(1+Inputs!$B$13/100))*0.01+Inputs!$B$14*0.0025)/100)*(1+Inputs!$B$15/100)*(1+Inputs!$B$16/100)*(5000/(6000+Inputs!$B$42*(1-(100*(1-(1-(Inputs!$B$19+0)/100)*(1-CHOOSE(ArtifactsInput!$N$40+1,5,6,7,8,9,10)/100)^(ArtifactsInput!$M$40-ArtifactsInput!$M$40)))/100)))*(1+(Inputs!$B$24+((C1314=TRUE)*(F1314-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1310=TRUE)*(F1310-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1312=TRUE)*(F1312-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1302=TRUE)*F1302*IF(Inputs!$B$3&gt;=110,7,5))+((C1304=TRUE)*F1304*IF(AND(Inputs!$B$38&lt;&gt;"pvp",Inputs!$B$43&gt;0),(((R1304-1)*(Skills!T15*(1+(Inputs!$B$34+(ArtifactsInput!$M$7-ArtifactsInput!$M$7)*CHOOSE(ArtifactsInput!$N$7+1,6,7.2,8.4,9.6,10.8,12))/100))+MIN((Skills!T15*(1+(Inputs!$B$34+(ArtifactsInput!$M$7-ArtifactsInput!$M$7)*CHOOSE(ArtifactsInput!$N$7+1,6,7.2,8.4,9.6,10.8,12))/100)),MAX(0,Inputs!$B$43-((R1304-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I1296)</f>
        <v/>
      </c>
      <c r="L1296">
        <f>K1296*(MIN(Inputs!$B$22+((C1311=TRUE)*(F1311-Calc!F22)),(Inputs!$B$23+((C1313=TRUE)*(F1313-Calc!F24))+(IF(ArtifactsInput!$M$15,CHOOSE(ArtifactsInput!$N$15+1,25,30,35,40,45,50)/100*(Inputs!$B$11-Inputs!$B$11),0))))/100+(Inputs!$B$23+((C1313=TRUE)*(F1313-Calc!F24))+(IF(ArtifactsInput!$M$15,CHOOSE(ArtifactsInput!$N$15+1,25,30,35,40,45,50)/100*(Inputs!$B$11-Inputs!$B$11),0)))/100)/2</f>
        <v/>
      </c>
      <c r="M1296">
        <f>L1296*(1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6">
        <f>L1296*(1-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1296*(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6">
        <f>(1-Summary!$B$11)*T1296+Summary!$B$11*V1296</f>
        <v/>
      </c>
      <c r="P1296">
        <f>IF(B1328=0,0,O1296/B1328)</f>
        <v/>
      </c>
      <c r="Q1296">
        <f>IFERROR(1/(IF(Inputs!$B$38="pvp",15,MAX(0.1,Skills!D7-IF(Skills!E7=TRUE,Inputs!$B$32,0)))*(1-IF(AND(ArtifactsInput!$M$27,Inputs!$B$4="Chapter Hunt"),CHOOSE(ArtifactsInput!$N$27+1,20,24,28,32,36,40),0)/100)),0)</f>
        <v/>
      </c>
      <c r="R1296">
        <f>IF(AND(Inputs!$B$38&lt;&gt;"pvp",Inputs!$B$43&gt;0),IF(MAX(0,Inputs!$B$43-B1325)&lt;=0,0,(INT(MAX(0,Inputs!$B$43-B1325)/(IF(Inputs!$B$38="pvp",15,MAX(0.1,Skills!D7-IF(Skills!E7=TRUE,Inputs!$B$32,0)))*(1-IF(AND(ArtifactsInput!$M$27,Inputs!$B$4="Chapter Hunt"),CHOOSE(ArtifactsInput!$N$27+1,20,24,28,32,36,40),0)/100)))+1)),0)</f>
        <v/>
      </c>
      <c r="S1296">
        <f>IFERROR(O1296/N1296,0)</f>
        <v/>
      </c>
      <c r="T1296">
        <f>IF(C1296,(H1296*N1296*IF(AND(Inputs!$B$38&lt;&gt;"pvp",Inputs!$B$43&gt;0),((Skills!G7*((R1296-1)*IF(Skills!H7&gt;0,Skills!I7/Skills!H7,1)+IF(Skills!H7&gt;0,MIN(Skills!I7,MAX(0,MAX(0,Inputs!$B$43-B1325)-((R1296-1)*(IF(Inputs!$B$38="pvp",15,MAX(0.1,Skills!D7-IF(Skills!E7=TRUE,Inputs!$B$32,0)))*(1-IF(AND(ArtifactsInput!$M$27,Inputs!$B$4="Chapter Hunt"),CHOOSE(ArtifactsInput!$N$27+1,20,24,28,32,36,40),0)/100)))))/Skills!H7,1)))/Inputs!$B$43),G1296*Q1296)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1296*(1-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1296*(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1296*(1-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1296*(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6">
        <f>IF(C1296,(H1296*N1296*IF(AND(Inputs!$B$38&lt;&gt;"pvp",Inputs!$B$43&gt;0),((Skills!G7*((R1296-1)*IF(Skills!H7&gt;0,Skills!I7/Skills!H7,1)+IF(Skills!H7&gt;0,MIN(Skills!I7,MAX(0,MAX(0,Inputs!$B$43-B1325)-((R1296-1)*(IF(Inputs!$B$38="pvp",15,MAX(0.1,Skills!D7-IF(Skills!E7=TRUE,Inputs!$B$32,0)))*(1-IF(AND(ArtifactsInput!$M$27,Inputs!$B$4="Chapter Hunt"),CHOOSE(ArtifactsInput!$N$27+1,20,24,28,32,36,40),0)/100)))))/Skills!H7,1)))/Inputs!$B$43),G1296*Q1296)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7">
      <c r="A1297">
        <f>Skills!A8</f>
        <v/>
      </c>
      <c r="B1297">
        <f>Skills!B8</f>
        <v/>
      </c>
      <c r="C1297">
        <f>Inputs!$B$3&gt;=117</f>
        <v/>
      </c>
      <c r="D1297">
        <f>IF(Skills!C8=1,60+Inputs!$B$25+Inputs!$B$29,IF(Skills!C8=2,90+Inputs!$B$26+Inputs!$B$29,IF(Skills!C8=3,120+Inputs!$B$27+Inputs!$B$29,MAX(0,(Inputs!$B$3-100)*3)+Inputs!$B$28+Inputs!$B$29)))</f>
        <v/>
      </c>
      <c r="E1297">
        <f>INDEX(FactorTable!$B$2:$Y$301, MATCH(ROUND(MIN(300,MAX(1,D1297)),0), FactorTable!$A$2:$A$301,0), Skills!M8+1)</f>
        <v/>
      </c>
      <c r="F1297">
        <f>IF(Skills!N8=TRUE,(Skills!L8/10)*(E1297/1000),Skills!L8/10)+Skills!O8</f>
        <v/>
      </c>
      <c r="G1297">
        <f>Skills!G8*IF(Skills!H8&gt;0,Skills!I8/Skills!H8,1)</f>
        <v/>
      </c>
      <c r="H1297">
        <f>1-(1-Skills!J8/100)^Skills!K8</f>
        <v/>
      </c>
      <c r="I1297" t="inlineStr">
        <is>
          <t>1</t>
        </is>
      </c>
      <c r="J1297">
        <f>((Inputs!$B$6*(1+Inputs!$B$7/100))+(((Inputs!$B$12*(1+Inputs!$B$13/100))-(Inputs!$B$12*(1+Inputs!$B$13/100)))+0.25*(Inputs!$B$14-Inputs!$B$14))*(1+Inputs!$B$7/100))*(F1297/100)</f>
        <v/>
      </c>
      <c r="K1297">
        <f>J1297*(1+((Inputs!$B$12*(1+Inputs!$B$13/100))*0.01+Inputs!$B$14*0.0025)/100)*(1+Inputs!$B$15/100)*(1+Inputs!$B$16/100)*(5000/(6000+Inputs!$B$42*(1-(100*(1-(1-(Inputs!$B$19+0)/100)*(1-CHOOSE(ArtifactsInput!$N$40+1,5,6,7,8,9,10)/100)^(ArtifactsInput!$M$40-ArtifactsInput!$M$40)))/100)))*(1+(Inputs!$B$24+((C1314=TRUE)*(F1314-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1310=TRUE)*(F1310-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1312=TRUE)*(F1312-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1302=TRUE)*F1302*IF(Inputs!$B$3&gt;=110,7,5))+((C1304=TRUE)*F1304*IF(AND(Inputs!$B$38&lt;&gt;"pvp",Inputs!$B$43&gt;0),(((R1304-1)*(Skills!T15*(1+(Inputs!$B$34+(ArtifactsInput!$M$7-ArtifactsInput!$M$7)*CHOOSE(ArtifactsInput!$N$7+1,6,7.2,8.4,9.6,10.8,12))/100))+MIN((Skills!T15*(1+(Inputs!$B$34+(ArtifactsInput!$M$7-ArtifactsInput!$M$7)*CHOOSE(ArtifactsInput!$N$7+1,6,7.2,8.4,9.6,10.8,12))/100)),MAX(0,Inputs!$B$43-((R1304-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I1297)</f>
        <v/>
      </c>
      <c r="L1297">
        <f>K1297*(MIN(Inputs!$B$22+((C1311=TRUE)*(F1311-Calc!F22)),(Inputs!$B$23+((C1313=TRUE)*(F1313-Calc!F24))+(IF(ArtifactsInput!$M$15,CHOOSE(ArtifactsInput!$N$15+1,25,30,35,40,45,50)/100*(Inputs!$B$11-Inputs!$B$11),0))))/100+(Inputs!$B$23+((C1313=TRUE)*(F1313-Calc!F24))+(IF(ArtifactsInput!$M$15,CHOOSE(ArtifactsInput!$N$15+1,25,30,35,40,45,50)/100*(Inputs!$B$11-Inputs!$B$11),0)))/100)/2</f>
        <v/>
      </c>
      <c r="M1297">
        <f>L1297*(1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7">
        <f>L1297*(1-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1297*(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7">
        <f>(1-Summary!$B$11)*T1297+Summary!$B$11*V1297</f>
        <v/>
      </c>
      <c r="P1297">
        <f>IF(B1328=0,0,O1297/B1328)</f>
        <v/>
      </c>
      <c r="Q1297">
        <f>IFERROR(1/(IF(Inputs!$B$38="pvp",15,MAX(0.1,Skills!D8-IF(Skills!E8=TRUE,Inputs!$B$32,0)))*(1-IF(AND(ArtifactsInput!$M$27,Inputs!$B$4="Chapter Hunt"),CHOOSE(ArtifactsInput!$N$27+1,20,24,28,32,36,40),0)/100)),0)</f>
        <v/>
      </c>
      <c r="R1297">
        <f>IF(AND(Inputs!$B$38&lt;&gt;"pvp",Inputs!$B$43&gt;0),IF(MAX(0,Inputs!$B$43-B1325)&lt;=0,0,(INT(MAX(0,Inputs!$B$43-B1325)/(IF(Inputs!$B$38="pvp",15,MAX(0.1,Skills!D8-IF(Skills!E8=TRUE,Inputs!$B$32,0)))*(1-IF(AND(ArtifactsInput!$M$27,Inputs!$B$4="Chapter Hunt"),CHOOSE(ArtifactsInput!$N$27+1,20,24,28,32,36,40),0)/100)))+1)),0)</f>
        <v/>
      </c>
      <c r="S1297">
        <f>IFERROR(O1297/N1297,0)</f>
        <v/>
      </c>
      <c r="T1297">
        <f>IF(C1297,(H1297*N1297*IF(AND(Inputs!$B$38&lt;&gt;"pvp",Inputs!$B$43&gt;0),((Skills!G8*((R1297-1)*IF(Skills!H8&gt;0,Skills!I8/Skills!H8,1)+IF(Skills!H8&gt;0,MIN(Skills!I8,MAX(0,MAX(0,Inputs!$B$43-B1325)-((R1297-1)*(IF(Inputs!$B$38="pvp",15,MAX(0.1,Skills!D8-IF(Skills!E8=TRUE,Inputs!$B$32,0)))*(1-IF(AND(ArtifactsInput!$M$27,Inputs!$B$4="Chapter Hunt"),CHOOSE(ArtifactsInput!$N$27+1,20,24,28,32,36,40),0)/100)))))/Skills!H8,1)))/Inputs!$B$43),G1297*Q1297)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1297*(1-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1297*(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1297*(1-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1297*(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7">
        <f>IF(C1297,(H1297*N1297*IF(AND(Inputs!$B$38&lt;&gt;"pvp",Inputs!$B$43&gt;0),((Skills!G8*((R1297-1)*IF(Skills!H8&gt;0,Skills!I8/Skills!H8,1)+IF(Skills!H8&gt;0,MIN(Skills!I8,MAX(0,MAX(0,Inputs!$B$43-B1325)-((R1297-1)*(IF(Inputs!$B$38="pvp",15,MAX(0.1,Skills!D8-IF(Skills!E8=TRUE,Inputs!$B$32,0)))*(1-IF(AND(ArtifactsInput!$M$27,Inputs!$B$4="Chapter Hunt"),CHOOSE(ArtifactsInput!$N$27+1,20,24,28,32,36,40),0)/100)))))/Skills!H8,1)))/Inputs!$B$43),G1297*Q1297)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8">
      <c r="A1298">
        <f>Skills!A9</f>
        <v/>
      </c>
      <c r="B1298">
        <f>Skills!B9</f>
        <v/>
      </c>
      <c r="C1298">
        <f>Inputs!$B$3&gt;=69</f>
        <v/>
      </c>
      <c r="D1298">
        <f>IF(Skills!C9=1,60+Inputs!$B$25+Inputs!$B$29,IF(Skills!C9=2,90+Inputs!$B$26+Inputs!$B$29,IF(Skills!C9=3,120+Inputs!$B$27+Inputs!$B$29,MAX(0,(Inputs!$B$3-100)*3)+Inputs!$B$28+Inputs!$B$29)))</f>
        <v/>
      </c>
      <c r="E1298">
        <f>INDEX(FactorTable!$B$2:$Y$301, MATCH(ROUND(MIN(300,MAX(1,D1298)),0), FactorTable!$A$2:$A$301,0), Skills!M9+1)</f>
        <v/>
      </c>
      <c r="F1298">
        <f>IF(Skills!N9=TRUE,(Skills!L9/10)*(E1298/1000),Skills!L9/10)+Skills!O9</f>
        <v/>
      </c>
      <c r="G1298">
        <f>Skills!G9*IF(Skills!H9&gt;0,Skills!I9/Skills!H9,1)</f>
        <v/>
      </c>
      <c r="H1298">
        <f>1-(1-Skills!J9/100)^Skills!K9</f>
        <v/>
      </c>
      <c r="I1298" t="inlineStr">
        <is>
          <t>1</t>
        </is>
      </c>
      <c r="J1298">
        <f>((Inputs!$B$6*(1+Inputs!$B$7/100))+(((Inputs!$B$12*(1+Inputs!$B$13/100))-(Inputs!$B$12*(1+Inputs!$B$13/100)))+0.25*(Inputs!$B$14-Inputs!$B$14))*(1+Inputs!$B$7/100))*(F1298/100)</f>
        <v/>
      </c>
      <c r="K1298">
        <f>J1298*(1+((Inputs!$B$12*(1+Inputs!$B$13/100))*0.01+Inputs!$B$14*0.0025)/100)*(1+Inputs!$B$15/100)*(1+Inputs!$B$16/100)*(5000/(6000+Inputs!$B$42*(1-(100*(1-(1-(Inputs!$B$19+0)/100)*(1-CHOOSE(ArtifactsInput!$N$40+1,5,6,7,8,9,10)/100)^(ArtifactsInput!$M$40-ArtifactsInput!$M$40)))/100)))*(1+(Inputs!$B$24+((C1314=TRUE)*(F1314-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1301=TRUE,F1301,0)/100)*(1+IF(Skills!A9="ENHANCED_RAGING_BLOW",IF(Inputs!$B$3&gt;=134,MAX(0,IF(Inputs!$B$3&gt;=110,7,5)-5)*50,0),0)/100)*(1+(IF(Skills!A9="RAGING_BLOW",Inputs!$B$17+((C1310=TRUE)*(F1310-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1312=TRUE)*(F1312-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1302=TRUE)*F1302*IF(Inputs!$B$3&gt;=110,7,5))+((C1304=TRUE)*F1304*IF(AND(Inputs!$B$38&lt;&gt;"pvp",Inputs!$B$43&gt;0),(((R1304-1)*(Skills!T15*(1+(Inputs!$B$34+(ArtifactsInput!$M$7-ArtifactsInput!$M$7)*CHOOSE(ArtifactsInput!$N$7+1,6,7.2,8.4,9.6,10.8,12))/100))+MIN((Skills!T15*(1+(Inputs!$B$34+(ArtifactsInput!$M$7-ArtifactsInput!$M$7)*CHOOSE(ArtifactsInput!$N$7+1,6,7.2,8.4,9.6,10.8,12))/100)),MAX(0,Inputs!$B$43-((R1304-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I1298)</f>
        <v/>
      </c>
      <c r="L1298">
        <f>K1298*(MIN(Inputs!$B$22+((C1311=TRUE)*(F1311-Calc!F22)),(Inputs!$B$23+((C1313=TRUE)*(F1313-Calc!F24))+(IF(ArtifactsInput!$M$15,CHOOSE(ArtifactsInput!$N$15+1,25,30,35,40,45,50)/100*(Inputs!$B$11-Inputs!$B$11),0))))/100+(Inputs!$B$23+((C1313=TRUE)*(F1313-Calc!F24))+(IF(ArtifactsInput!$M$15,CHOOSE(ArtifactsInput!$N$15+1,25,30,35,40,45,50)/100*(Inputs!$B$11-Inputs!$B$11),0)))/100)/2</f>
        <v/>
      </c>
      <c r="M1298">
        <f>L1298*(1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8">
        <f>L1298*(1-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1298*(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8">
        <f>(1-Summary!$B$11)*T1298+Summary!$B$11*V1298</f>
        <v/>
      </c>
      <c r="P1298">
        <f>IF(B1328=0,0,O1298/B1328)</f>
        <v/>
      </c>
      <c r="Q1298">
        <f>IFERROR(1/(IF(Inputs!$B$38="pvp",15,MAX(0.1,Skills!D9-IF(Skills!E9=TRUE,Inputs!$B$32,0)))*(1-IF(AND(ArtifactsInput!$M$27,Inputs!$B$4="Chapter Hunt"),CHOOSE(ArtifactsInput!$N$27+1,20,24,28,32,36,40),0)/100)),0)</f>
        <v/>
      </c>
      <c r="R1298">
        <f>IF(AND(Inputs!$B$38&lt;&gt;"pvp",Inputs!$B$43&gt;0),IF(MAX(0,Inputs!$B$43-B1325)&lt;=0,0,(INT(MAX(0,Inputs!$B$43-B1325)/(IF(Inputs!$B$38="pvp",15,MAX(0.1,Skills!D9-IF(Skills!E9=TRUE,Inputs!$B$32,0)))*(1-IF(AND(ArtifactsInput!$M$27,Inputs!$B$4="Chapter Hunt"),CHOOSE(ArtifactsInput!$N$27+1,20,24,28,32,36,40),0)/100)))+1)),0)</f>
        <v/>
      </c>
      <c r="S1298">
        <f>IFERROR(O1298/N1298,0)</f>
        <v/>
      </c>
      <c r="T1298">
        <f>IF(C1298,(H1298*N1298*IF(AND(Inputs!$B$38&lt;&gt;"pvp",Inputs!$B$43&gt;0),((Skills!G9*((R1298-1)*IF(Skills!H9&gt;0,Skills!I9/Skills!H9,1)+IF(Skills!H9&gt;0,MIN(Skills!I9,MAX(0,MAX(0,Inputs!$B$43-B1325)-((R1298-1)*(IF(Inputs!$B$38="pvp",15,MAX(0.1,Skills!D9-IF(Skills!E9=TRUE,Inputs!$B$32,0)))*(1-IF(AND(ArtifactsInput!$M$27,Inputs!$B$4="Chapter Hunt"),CHOOSE(ArtifactsInput!$N$27+1,20,24,28,32,36,40),0)/100)))))/Skills!H9,1)))/Inputs!$B$43),G1298*Q1298)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1298*(1-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1298*(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1298*(1-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1298*(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8">
        <f>IF(C1298,(H1298*N1298*IF(AND(Inputs!$B$38&lt;&gt;"pvp",Inputs!$B$43&gt;0),((Skills!G9*((R1298-1)*IF(Skills!H9&gt;0,Skills!I9/Skills!H9,1)+IF(Skills!H9&gt;0,MIN(Skills!I9,MAX(0,MAX(0,Inputs!$B$43-B1325)-((R1298-1)*(IF(Inputs!$B$38="pvp",15,MAX(0.1,Skills!D9-IF(Skills!E9=TRUE,Inputs!$B$32,0)))*(1-IF(AND(ArtifactsInput!$M$27,Inputs!$B$4="Chapter Hunt"),CHOOSE(ArtifactsInput!$N$27+1,20,24,28,32,36,40),0)/100)))))/Skills!H9,1)))/Inputs!$B$43),G1298*Q1298)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9">
      <c r="A1299">
        <f>Skills!A10</f>
        <v/>
      </c>
      <c r="B1299">
        <f>Skills!B10</f>
        <v/>
      </c>
      <c r="C1299">
        <f>Inputs!$B$3&gt;=63</f>
        <v/>
      </c>
      <c r="D1299">
        <f>IF(Skills!C10=1,60+Inputs!$B$25+Inputs!$B$29,IF(Skills!C10=2,90+Inputs!$B$26+Inputs!$B$29,IF(Skills!C10=3,120+Inputs!$B$27+Inputs!$B$29,MAX(0,(Inputs!$B$3-100)*3)+Inputs!$B$28+Inputs!$B$29)))</f>
        <v/>
      </c>
      <c r="E1299">
        <f>INDEX(FactorTable!$B$2:$Y$301, MATCH(ROUND(MIN(300,MAX(1,D1299)),0), FactorTable!$A$2:$A$301,0), Skills!M10+1)</f>
        <v/>
      </c>
      <c r="F1299">
        <f>IF(Skills!N10=TRUE,(Skills!L10/10)*(E1299/1000),Skills!L10/10)+Skills!O10</f>
        <v/>
      </c>
      <c r="G1299">
        <f>Skills!G10*IF(Skills!H10&gt;0,Skills!I10/Skills!H10,1)</f>
        <v/>
      </c>
      <c r="H1299">
        <f>1-(1-Skills!J10/100)^Skills!K10</f>
        <v/>
      </c>
      <c r="I1299" t="inlineStr">
        <is>
          <t>1</t>
        </is>
      </c>
      <c r="J1299">
        <f>((Inputs!$B$6*(1+Inputs!$B$7/100))+(((Inputs!$B$12*(1+Inputs!$B$13/100))-(Inputs!$B$12*(1+Inputs!$B$13/100)))+0.25*(Inputs!$B$14-Inputs!$B$14))*(1+Inputs!$B$7/100))*(F1299/100)</f>
        <v/>
      </c>
      <c r="K1299">
        <f>J1299*(1+((Inputs!$B$12*(1+Inputs!$B$13/100))*0.01+Inputs!$B$14*0.0025)/100)*(1+Inputs!$B$15/100)*(1+Inputs!$B$16/100)*(5000/(6000+Inputs!$B$42*(1-(100*(1-(1-(Inputs!$B$19+0)/100)*(1-CHOOSE(ArtifactsInput!$N$40+1,5,6,7,8,9,10)/100)^(ArtifactsInput!$M$40-ArtifactsInput!$M$40)))/100)))*(1+(Inputs!$B$24+((C1314=TRUE)*(F1314-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1301=TRUE,F1301,0)/100)*(1+IF(Skills!A10="ENHANCED_RAGING_BLOW",IF(Inputs!$B$3&gt;=134,MAX(0,IF(Inputs!$B$3&gt;=110,7,5)-5)*50,0),0)/100)*(1+(IF(Skills!A10="RAGING_BLOW",Inputs!$B$17+((C1310=TRUE)*(F1310-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1312=TRUE)*(F1312-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1302=TRUE)*F1302*IF(Inputs!$B$3&gt;=110,7,5))+((C1304=TRUE)*F1304*IF(AND(Inputs!$B$38&lt;&gt;"pvp",Inputs!$B$43&gt;0),(((R1304-1)*(Skills!T15*(1+(Inputs!$B$34+(ArtifactsInput!$M$7-ArtifactsInput!$M$7)*CHOOSE(ArtifactsInput!$N$7+1,6,7.2,8.4,9.6,10.8,12))/100))+MIN((Skills!T15*(1+(Inputs!$B$34+(ArtifactsInput!$M$7-ArtifactsInput!$M$7)*CHOOSE(ArtifactsInput!$N$7+1,6,7.2,8.4,9.6,10.8,12))/100)),MAX(0,Inputs!$B$43-((R1304-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I1299)</f>
        <v/>
      </c>
      <c r="L1299">
        <f>K1299*(MIN(Inputs!$B$22+((C1311=TRUE)*(F1311-Calc!F22)),(Inputs!$B$23+((C1313=TRUE)*(F1313-Calc!F24))+(IF(ArtifactsInput!$M$15,CHOOSE(ArtifactsInput!$N$15+1,25,30,35,40,45,50)/100*(Inputs!$B$11-Inputs!$B$11),0))))/100+(Inputs!$B$23+((C1313=TRUE)*(F1313-Calc!F24))+(IF(ArtifactsInput!$M$15,CHOOSE(ArtifactsInput!$N$15+1,25,30,35,40,45,50)/100*(Inputs!$B$11-Inputs!$B$11),0)))/100)/2</f>
        <v/>
      </c>
      <c r="M1299">
        <f>L1299*(1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9">
        <f>L1299*(1-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1299*(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9">
        <f>(1-Summary!$B$11)*T1299+Summary!$B$11*V1299</f>
        <v/>
      </c>
      <c r="P1299">
        <f>IF(B1328=0,0,O1299/B1328)</f>
        <v/>
      </c>
      <c r="Q1299">
        <f>IFERROR(1/(IF(Inputs!$B$38="pvp",15,MAX(0.1,Skills!D10-IF(Skills!E10=TRUE,Inputs!$B$32,0)))*(1-IF(AND(ArtifactsInput!$M$27,Inputs!$B$4="Chapter Hunt"),CHOOSE(ArtifactsInput!$N$27+1,20,24,28,32,36,40),0)/100)),0)</f>
        <v/>
      </c>
      <c r="R1299">
        <f>IF(AND(Inputs!$B$38&lt;&gt;"pvp",Inputs!$B$43&gt;0),IF(MAX(0,Inputs!$B$43-B1325)&lt;=0,0,(INT(MAX(0,Inputs!$B$43-B1325)/(IF(Inputs!$B$38="pvp",15,MAX(0.1,Skills!D10-IF(Skills!E10=TRUE,Inputs!$B$32,0)))*(1-IF(AND(ArtifactsInput!$M$27,Inputs!$B$4="Chapter Hunt"),CHOOSE(ArtifactsInput!$N$27+1,20,24,28,32,36,40),0)/100)))+1)),0)</f>
        <v/>
      </c>
      <c r="S1299">
        <f>IFERROR(O1299/N1299,0)</f>
        <v/>
      </c>
      <c r="T1299">
        <f>IF(C1299,(H1299*N1299*IF(AND(Inputs!$B$38&lt;&gt;"pvp",Inputs!$B$43&gt;0),((Skills!G10*((R1299-1)*IF(Skills!H10&gt;0,Skills!I10/Skills!H10,1)+IF(Skills!H10&gt;0,MIN(Skills!I10,MAX(0,MAX(0,Inputs!$B$43-B1325)-((R1299-1)*(IF(Inputs!$B$38="pvp",15,MAX(0.1,Skills!D10-IF(Skills!E10=TRUE,Inputs!$B$32,0)))*(1-IF(AND(ArtifactsInput!$M$27,Inputs!$B$4="Chapter Hunt"),CHOOSE(ArtifactsInput!$N$27+1,20,24,28,32,36,40),0)/100)))))/Skills!H10,1)))/Inputs!$B$43),G1299*Q1299)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1299*(1-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1299*(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1299*(1-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1299*(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9">
        <f>IF(C1299,(H1299*N1299*IF(AND(Inputs!$B$38&lt;&gt;"pvp",Inputs!$B$43&gt;0),((Skills!G10*((R1299-1)*IF(Skills!H10&gt;0,Skills!I10/Skills!H10,1)+IF(Skills!H10&gt;0,MIN(Skills!I10,MAX(0,MAX(0,Inputs!$B$43-B1325)-((R1299-1)*(IF(Inputs!$B$38="pvp",15,MAX(0.1,Skills!D10-IF(Skills!E10=TRUE,Inputs!$B$32,0)))*(1-IF(AND(ArtifactsInput!$M$27,Inputs!$B$4="Chapter Hunt"),CHOOSE(ArtifactsInput!$N$27+1,20,24,28,32,36,40),0)/100)))))/Skills!H10,1)))/Inputs!$B$43),G1299*Q1299)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0">
      <c r="A1300">
        <f>Skills!A11</f>
        <v/>
      </c>
      <c r="B1300">
        <f>Skills!B11</f>
        <v/>
      </c>
      <c r="C1300">
        <f>Inputs!$B$3&gt;=35</f>
        <v/>
      </c>
      <c r="D1300">
        <f>IF(Skills!C11=1,60+Inputs!$B$25+Inputs!$B$29,IF(Skills!C11=2,90+Inputs!$B$26+Inputs!$B$29,IF(Skills!C11=3,120+Inputs!$B$27+Inputs!$B$29,MAX(0,(Inputs!$B$3-100)*3)+Inputs!$B$28+Inputs!$B$29)))</f>
        <v/>
      </c>
      <c r="E1300">
        <f>INDEX(FactorTable!$B$2:$Y$301, MATCH(ROUND(MIN(300,MAX(1,D1300)),0), FactorTable!$A$2:$A$301,0), Skills!M11+1)</f>
        <v/>
      </c>
      <c r="F1300">
        <f>IF(Skills!N11=TRUE,(Skills!L11/10)*(E1300/1000),Skills!L11/10)+Skills!O11</f>
        <v/>
      </c>
      <c r="G1300">
        <f>Skills!G11*IF(Skills!H11&gt;0,Skills!I11/Skills!H11,1)</f>
        <v/>
      </c>
      <c r="H1300">
        <f>1-(1-Skills!J11/100)^Skills!K11</f>
        <v/>
      </c>
      <c r="I1300" t="inlineStr">
        <is>
          <t>1</t>
        </is>
      </c>
      <c r="J1300">
        <f>((Inputs!$B$6*(1+Inputs!$B$7/100))+(((Inputs!$B$12*(1+Inputs!$B$13/100))-(Inputs!$B$12*(1+Inputs!$B$13/100)))+0.25*(Inputs!$B$14-Inputs!$B$14))*(1+Inputs!$B$7/100))*(F1300/100)</f>
        <v/>
      </c>
      <c r="K1300">
        <f>J1300*(1+((Inputs!$B$12*(1+Inputs!$B$13/100))*0.01+Inputs!$B$14*0.0025)/100)*(1+Inputs!$B$15/100)*(1+Inputs!$B$16/100)*(5000/(6000+Inputs!$B$42*(1-(100*(1-(1-(Inputs!$B$19+0)/100)*(1-CHOOSE(ArtifactsInput!$N$40+1,5,6,7,8,9,10)/100)^(ArtifactsInput!$M$40-ArtifactsInput!$M$40)))/100)))*(1+(Inputs!$B$24+((C1314=TRUE)*(F1314-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1301=TRUE,F1301,0)/100)*(1+IF(Skills!A11="ENHANCED_RAGING_BLOW",IF(Inputs!$B$3&gt;=134,MAX(0,IF(Inputs!$B$3&gt;=110,7,5)-5)*50,0),0)/100)*(1+(IF(Skills!A11="RAGING_BLOW",Inputs!$B$17+((C1310=TRUE)*(F1310-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1312=TRUE)*(F1312-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1302=TRUE)*F1302*IF(Inputs!$B$3&gt;=110,7,5))+((C1304=TRUE)*F1304*IF(AND(Inputs!$B$38&lt;&gt;"pvp",Inputs!$B$43&gt;0),(((R1304-1)*(Skills!T15*(1+(Inputs!$B$34+(ArtifactsInput!$M$7-ArtifactsInput!$M$7)*CHOOSE(ArtifactsInput!$N$7+1,6,7.2,8.4,9.6,10.8,12))/100))+MIN((Skills!T15*(1+(Inputs!$B$34+(ArtifactsInput!$M$7-ArtifactsInput!$M$7)*CHOOSE(ArtifactsInput!$N$7+1,6,7.2,8.4,9.6,10.8,12))/100)),MAX(0,Inputs!$B$43-((R1304-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I1300)</f>
        <v/>
      </c>
      <c r="L1300">
        <f>K1300*(MIN(Inputs!$B$22+((C1311=TRUE)*(F1311-Calc!F22)),(Inputs!$B$23+((C1313=TRUE)*(F1313-Calc!F24))+(IF(ArtifactsInput!$M$15,CHOOSE(ArtifactsInput!$N$15+1,25,30,35,40,45,50)/100*(Inputs!$B$11-Inputs!$B$11),0))))/100+(Inputs!$B$23+((C1313=TRUE)*(F1313-Calc!F24))+(IF(ArtifactsInput!$M$15,CHOOSE(ArtifactsInput!$N$15+1,25,30,35,40,45,50)/100*(Inputs!$B$11-Inputs!$B$11),0)))/100)/2</f>
        <v/>
      </c>
      <c r="M1300">
        <f>L1300*(1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0">
        <f>L1300*(1-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1300*(MIN((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0">
        <f>(1-Summary!$B$11)*T1300+Summary!$B$11*V1300</f>
        <v/>
      </c>
      <c r="P1300">
        <f>IF(B1328=0,0,O1300/B1328)</f>
        <v/>
      </c>
      <c r="Q1300">
        <f>IFERROR(1/(IF(Inputs!$B$38="pvp",15,MAX(0.1,Skills!D11-IF(Skills!E11=TRUE,Inputs!$B$32,0)))*(1-IF(AND(ArtifactsInput!$M$27,Inputs!$B$4="Chapter Hunt"),CHOOSE(ArtifactsInput!$N$27+1,20,24,28,32,36,40),0)/100)),0)</f>
        <v/>
      </c>
      <c r="R1300">
        <f>IF(AND(Inputs!$B$38&lt;&gt;"pvp",Inputs!$B$43&gt;0),IF(MAX(0,Inputs!$B$43-B1325)&lt;=0,0,(INT(MAX(0,Inputs!$B$43-B1325)/(IF(Inputs!$B$38="pvp",15,MAX(0.1,Skills!D11-IF(Skills!E11=TRUE,Inputs!$B$32,0)))*(1-IF(AND(ArtifactsInput!$M$27,Inputs!$B$4="Chapter Hunt"),CHOOSE(ArtifactsInput!$N$27+1,20,24,28,32,36,40),0)/100)))+1)),0)</f>
        <v/>
      </c>
      <c r="S1300">
        <f>IFERROR(O1300/N1300,0)</f>
        <v/>
      </c>
      <c r="T1300">
        <f>IF(C1300,(H1300*N1300*IF(AND(Inputs!$B$38&lt;&gt;"pvp",Inputs!$B$43&gt;0),((Skills!G11*((R1300-1)*IF(Skills!H11&gt;0,Skills!I11/Skills!H11,1)+IF(Skills!H11&gt;0,MIN(Skills!I11,MAX(0,MAX(0,Inputs!$B$43-B1325)-((R1300-1)*(IF(Inputs!$B$38="pvp",15,MAX(0.1,Skills!D11-IF(Skills!E11=TRUE,Inputs!$B$32,0)))*(1-IF(AND(ArtifactsInput!$M$27,Inputs!$B$4="Chapter Hunt"),CHOOSE(ArtifactsInput!$N$27+1,20,24,28,32,36,40),0)/100)))))/Skills!H11,1)))/Inputs!$B$43),G1300*Q1300)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1300*(1-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1300*(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1300*(1-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1300*(MIN(100,(Inputs!$B$9+((C1315=TRUE)*(F1315-Calc!F26))+B1318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00">
        <f>IF(C1300,(H1300*N1300*IF(AND(Inputs!$B$38&lt;&gt;"pvp",Inputs!$B$43&gt;0),((Skills!G11*((R1300-1)*IF(Skills!H11&gt;0,Skills!I11/Skills!H11,1)+IF(Skills!H11&gt;0,MIN(Skills!I11,MAX(0,MAX(0,Inputs!$B$43-B1325)-((R1300-1)*(IF(Inputs!$B$38="pvp",15,MAX(0.1,Skills!D11-IF(Skills!E11=TRUE,Inputs!$B$32,0)))*(1-IF(AND(ArtifactsInput!$M$27,Inputs!$B$4="Chapter Hunt"),CHOOSE(ArtifactsInput!$N$27+1,20,24,28,32,36,40),0)/100)))))/Skills!H11,1)))/Inputs!$B$43),G1300*Q1300)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1">
      <c r="A1301">
        <f>Skills!A12</f>
        <v/>
      </c>
      <c r="B1301">
        <f>Skills!B12</f>
        <v/>
      </c>
      <c r="C1301">
        <f>Inputs!$B$3&gt;=100</f>
        <v/>
      </c>
      <c r="D1301">
        <f>IF(Skills!C12=1,60+Inputs!$B$25+Inputs!$B$29,IF(Skills!C12=2,90+Inputs!$B$26+Inputs!$B$29,IF(Skills!C12=3,120+Inputs!$B$27+Inputs!$B$29,MAX(0,(Inputs!$B$3-100)*3)+Inputs!$B$28+Inputs!$B$29)))</f>
        <v/>
      </c>
      <c r="E1301">
        <f>INDEX(FactorTable!$B$2:$Y$301, MATCH(ROUND(MIN(300,MAX(1,D1301)),0), FactorTable!$A$2:$A$301,0), Skills!M12+1)</f>
        <v/>
      </c>
      <c r="F1301">
        <f>IF(Skills!N12=TRUE,(Skills!L12/10)*(E1301/1000),Skills!L12/10)+Skills!O12</f>
        <v/>
      </c>
      <c r="G1301" t="inlineStr"/>
      <c r="H1301" t="inlineStr"/>
      <c r="I1301" t="inlineStr">
        <is>
          <t>1</t>
        </is>
      </c>
      <c r="J1301" t="inlineStr"/>
      <c r="K1301" t="inlineStr"/>
      <c r="L1301" t="inlineStr"/>
      <c r="M1301" t="inlineStr"/>
      <c r="N1301" t="inlineStr"/>
      <c r="O1301" t="inlineStr"/>
      <c r="P1301" t="inlineStr"/>
      <c r="Q1301" t="inlineStr"/>
      <c r="R1301" t="inlineStr"/>
      <c r="S1301" t="inlineStr"/>
    </row>
    <row r="1302">
      <c r="A1302">
        <f>Skills!A13</f>
        <v/>
      </c>
      <c r="B1302">
        <f>Skills!B13</f>
        <v/>
      </c>
      <c r="C1302">
        <f>Inputs!$B$3&gt;=45</f>
        <v/>
      </c>
      <c r="D1302">
        <f>IF(Skills!C13=1,60+Inputs!$B$25+Inputs!$B$29,IF(Skills!C13=2,90+Inputs!$B$26+Inputs!$B$29,IF(Skills!C13=3,120+Inputs!$B$27+Inputs!$B$29,MAX(0,(Inputs!$B$3-100)*3)+Inputs!$B$28+Inputs!$B$29)))</f>
        <v/>
      </c>
      <c r="E1302">
        <f>INDEX(FactorTable!$B$2:$Y$301, MATCH(ROUND(MIN(300,MAX(1,D1302)),0), FactorTable!$A$2:$A$301,0), Skills!M13+1)</f>
        <v/>
      </c>
      <c r="F1302">
        <f>IF(Skills!N13=TRUE,(Skills!L13/10)*(E1302/1000),Skills!L13/10)+Skills!O13</f>
        <v/>
      </c>
      <c r="G1302">
        <f>Skills!G13*IF(Skills!H13&gt;0,Skills!I13/Skills!H13,1)</f>
        <v/>
      </c>
      <c r="H1302">
        <f>1-(1-Skills!J13/100)^Skills!K13</f>
        <v/>
      </c>
      <c r="I1302" t="inlineStr">
        <is>
          <t>1</t>
        </is>
      </c>
      <c r="J1302" t="inlineStr"/>
      <c r="K1302" t="inlineStr"/>
      <c r="L1302" t="inlineStr"/>
      <c r="M1302" t="inlineStr"/>
      <c r="N1302" t="inlineStr"/>
      <c r="O1302">
        <f>(1-Summary!$B$11)*T1302+Summary!$B$11*V1302</f>
        <v/>
      </c>
      <c r="P1302">
        <f>IF(B1328=0,0,O1302/B1328)</f>
        <v/>
      </c>
      <c r="Q1302" t="n">
        <v>0</v>
      </c>
      <c r="R1302" t="n">
        <v>0</v>
      </c>
      <c r="S1302">
        <f>IFERROR(O1302/N1302,0)</f>
        <v/>
      </c>
      <c r="T1302" t="n">
        <v>0</v>
      </c>
      <c r="V1302" t="n">
        <v>0</v>
      </c>
    </row>
    <row r="1303">
      <c r="A1303">
        <f>Skills!A14</f>
        <v/>
      </c>
      <c r="B1303">
        <f>Skills!B14</f>
        <v/>
      </c>
      <c r="C1303">
        <f>Inputs!$B$3&gt;=75</f>
        <v/>
      </c>
      <c r="D1303">
        <f>IF(Skills!C14=1,60+Inputs!$B$25+Inputs!$B$29,IF(Skills!C14=2,90+Inputs!$B$26+Inputs!$B$29,IF(Skills!C14=3,120+Inputs!$B$27+Inputs!$B$29,MAX(0,(Inputs!$B$3-100)*3)+Inputs!$B$28+Inputs!$B$29)))</f>
        <v/>
      </c>
      <c r="E1303">
        <f>INDEX(FactorTable!$B$2:$Y$301, MATCH(ROUND(MIN(300,MAX(1,D1303)),0), FactorTable!$A$2:$A$301,0), Skills!M14+1)</f>
        <v/>
      </c>
      <c r="F1303">
        <f>IF(Skills!N14=TRUE,(Skills!L14/10)*(E1303/1000),Skills!L14/10)+Skills!O14</f>
        <v/>
      </c>
      <c r="G1303">
        <f>Skills!G14*IF(Skills!H14&gt;0,Skills!I14/Skills!H14,1)</f>
        <v/>
      </c>
      <c r="H1303">
        <f>1-(1-Skills!J14/100)^Skills!K14</f>
        <v/>
      </c>
      <c r="I1303" t="inlineStr">
        <is>
          <t>1</t>
        </is>
      </c>
      <c r="J1303" t="inlineStr"/>
      <c r="K1303" t="inlineStr"/>
      <c r="L1303" t="inlineStr"/>
      <c r="M1303" t="inlineStr"/>
      <c r="N1303" t="inlineStr"/>
      <c r="O1303">
        <f>(1-Summary!$B$11)*T1303+Summary!$B$11*V1303</f>
        <v/>
      </c>
      <c r="P1303">
        <f>IF(B1328=0,0,O1303/B1328)</f>
        <v/>
      </c>
      <c r="Q1303" t="n">
        <v>0</v>
      </c>
      <c r="R1303" t="n">
        <v>0</v>
      </c>
      <c r="S1303">
        <f>IFERROR(O1303/N1303,0)</f>
        <v/>
      </c>
      <c r="T1303" t="n">
        <v>0</v>
      </c>
      <c r="V1303" t="n">
        <v>0</v>
      </c>
    </row>
    <row r="1304">
      <c r="A1304">
        <f>Skills!A15</f>
        <v/>
      </c>
      <c r="B1304">
        <f>Skills!B15</f>
        <v/>
      </c>
      <c r="C1304">
        <f>Inputs!$B$3&gt;=40</f>
        <v/>
      </c>
      <c r="D1304">
        <f>IF(Skills!C15=1,60+Inputs!$B$25+Inputs!$B$29,IF(Skills!C15=2,90+Inputs!$B$26+Inputs!$B$29,IF(Skills!C15=3,120+Inputs!$B$27+Inputs!$B$29,MAX(0,(Inputs!$B$3-100)*3)+Inputs!$B$28+Inputs!$B$29)))</f>
        <v/>
      </c>
      <c r="E1304">
        <f>INDEX(FactorTable!$B$2:$Y$301, MATCH(ROUND(MIN(300,MAX(1,D1304)),0), FactorTable!$A$2:$A$301,0), Skills!M15+1)</f>
        <v/>
      </c>
      <c r="F1304">
        <f>IF(Skills!N15=TRUE,(Skills!L15/10)*(E1304/1000),Skills!L15/10)+Skills!O15</f>
        <v/>
      </c>
      <c r="G1304">
        <f>Skills!G15*IF(Skills!H15&gt;0,Skills!I15/Skills!H15,1)</f>
        <v/>
      </c>
      <c r="H1304">
        <f>1-(1-Skills!J15/100)^Skills!K15</f>
        <v/>
      </c>
      <c r="I1304" t="inlineStr">
        <is>
          <t>1</t>
        </is>
      </c>
      <c r="J1304" t="inlineStr"/>
      <c r="K1304" t="inlineStr"/>
      <c r="L1304" t="inlineStr"/>
      <c r="M1304" t="inlineStr"/>
      <c r="N1304" t="inlineStr"/>
      <c r="O1304">
        <f>(1-Summary!$B$11)*T1304+Summary!$B$11*V1304</f>
        <v/>
      </c>
      <c r="P1304">
        <f>IF(B1328=0,0,O1304/B1328)</f>
        <v/>
      </c>
      <c r="Q1304">
        <f>IFERROR(1/(IF(Inputs!$B$38="pvp",15,MAX(0.1,Skills!D15-IF(Skills!E15=TRUE,Inputs!$B$32,0)))*(1-IF(AND(ArtifactsInput!$M$27,Inputs!$B$4="Chapter Hunt"),CHOOSE(ArtifactsInput!$N$27+1,20,24,28,32,36,40),0)/100)),0)</f>
        <v/>
      </c>
      <c r="R1304">
        <f>IF(AND(Inputs!$B$38&lt;&gt;"pvp",Inputs!$B$43&gt;0),IF(Inputs!$B$43&lt;=0,0,(INT(Inputs!$B$43/(IF(Inputs!$B$38="pvp",15,MAX(0.1,Skills!D15-IF(Skills!E15=TRUE,Inputs!$B$32,0)))*(1-IF(AND(ArtifactsInput!$M$27,Inputs!$B$4="Chapter Hunt"),CHOOSE(ArtifactsInput!$N$27+1,20,24,28,32,36,40),0)/100)))+1)),0)</f>
        <v/>
      </c>
      <c r="S1304">
        <f>IFERROR(O1304/N1304,0)</f>
        <v/>
      </c>
      <c r="T1304" t="n">
        <v>0</v>
      </c>
      <c r="V1304" t="n">
        <v>0</v>
      </c>
    </row>
    <row r="1305">
      <c r="A1305">
        <f>Skills!A16</f>
        <v/>
      </c>
      <c r="B1305">
        <f>Skills!B16</f>
        <v/>
      </c>
      <c r="C1305">
        <f>Inputs!$B$3&gt;=66</f>
        <v/>
      </c>
      <c r="D1305">
        <f>IF(Skills!C16=1,60+Inputs!$B$25+Inputs!$B$29,IF(Skills!C16=2,90+Inputs!$B$26+Inputs!$B$29,IF(Skills!C16=3,120+Inputs!$B$27+Inputs!$B$29,MAX(0,(Inputs!$B$3-100)*3)+Inputs!$B$28+Inputs!$B$29)))</f>
        <v/>
      </c>
      <c r="E1305">
        <f>INDEX(FactorTable!$B$2:$Y$301, MATCH(ROUND(MIN(300,MAX(1,D1305)),0), FactorTable!$A$2:$A$301,0), Skills!M16+1)</f>
        <v/>
      </c>
      <c r="F1305">
        <f>IF(Skills!N16=TRUE,(Skills!L16/10)*(E1305/1000),Skills!L16/10)+Skills!O16</f>
        <v/>
      </c>
      <c r="G1305">
        <f>Skills!G16*IF(Skills!H16&gt;0,Skills!I16/Skills!H16,1)</f>
        <v/>
      </c>
      <c r="H1305">
        <f>1-(1-Skills!J16/100)^Skills!K16</f>
        <v/>
      </c>
      <c r="I1305" t="inlineStr">
        <is>
          <t>1</t>
        </is>
      </c>
      <c r="J1305" t="inlineStr"/>
      <c r="K1305" t="inlineStr"/>
      <c r="L1305" t="inlineStr"/>
      <c r="M1305" t="inlineStr"/>
      <c r="N1305" t="inlineStr"/>
      <c r="O1305">
        <f>(1-Summary!$B$11)*T1305+Summary!$B$11*V1305</f>
        <v/>
      </c>
      <c r="P1305">
        <f>IF(B1328=0,0,O1305/B1328)</f>
        <v/>
      </c>
      <c r="Q1305">
        <f>IFERROR(1/(IF(Inputs!$B$38="pvp",15,MAX(0.1,Skills!D16-IF(Skills!E16=TRUE,Inputs!$B$32,0)))*(1-IF(AND(ArtifactsInput!$M$27,Inputs!$B$4="Chapter Hunt"),CHOOSE(ArtifactsInput!$N$27+1,20,24,28,32,36,40),0)/100)),0)</f>
        <v/>
      </c>
      <c r="R1305">
        <f>IF(AND(Inputs!$B$38&lt;&gt;"pvp",Inputs!$B$43&gt;0),IF(Inputs!$B$43&lt;=0,0,(INT(Inputs!$B$43/(IF(Inputs!$B$38="pvp",15,MAX(0.1,Skills!D16-IF(Skills!E16=TRUE,Inputs!$B$32,0)))*(1-IF(AND(ArtifactsInput!$M$27,Inputs!$B$4="Chapter Hunt"),CHOOSE(ArtifactsInput!$N$27+1,20,24,28,32,36,40),0)/100)))+1)),0)</f>
        <v/>
      </c>
      <c r="S1305">
        <f>IFERROR(O1305/N1305,0)</f>
        <v/>
      </c>
      <c r="T1305" t="n">
        <v>0</v>
      </c>
      <c r="V1305" t="n">
        <v>0</v>
      </c>
    </row>
    <row r="1306">
      <c r="A1306">
        <f>Skills!A17</f>
        <v/>
      </c>
      <c r="B1306">
        <f>Skills!B17</f>
        <v/>
      </c>
      <c r="C1306">
        <f>Inputs!$B$3&gt;=115</f>
        <v/>
      </c>
      <c r="D1306">
        <f>IF(Skills!C17=1,60+Inputs!$B$25+Inputs!$B$29,IF(Skills!C17=2,90+Inputs!$B$26+Inputs!$B$29,IF(Skills!C17=3,120+Inputs!$B$27+Inputs!$B$29,MAX(0,(Inputs!$B$3-100)*3)+Inputs!$B$28+Inputs!$B$29)))</f>
        <v/>
      </c>
      <c r="E1306">
        <f>INDEX(FactorTable!$B$2:$Y$301, MATCH(ROUND(MIN(300,MAX(1,D1306)),0), FactorTable!$A$2:$A$301,0), Skills!M17+1)</f>
        <v/>
      </c>
      <c r="F1306">
        <f>IF(Skills!N17=TRUE,(Skills!L17/10)*(E1306/1000),Skills!L17/10)+Skills!O17</f>
        <v/>
      </c>
      <c r="G1306">
        <f>Skills!G17*IF(Skills!H17&gt;0,Skills!I17/Skills!H17,1)</f>
        <v/>
      </c>
      <c r="H1306">
        <f>1-(1-Skills!J17/100)^Skills!K17</f>
        <v/>
      </c>
      <c r="I1306" t="inlineStr">
        <is>
          <t>1</t>
        </is>
      </c>
      <c r="J1306" t="inlineStr"/>
      <c r="K1306" t="inlineStr"/>
      <c r="L1306" t="inlineStr"/>
      <c r="M1306" t="inlineStr"/>
      <c r="N1306" t="inlineStr"/>
      <c r="O1306">
        <f>(1-Summary!$B$11)*T1306+Summary!$B$11*V1306</f>
        <v/>
      </c>
      <c r="P1306">
        <f>IF(B1328=0,0,O1306/B1328)</f>
        <v/>
      </c>
      <c r="Q1306">
        <f>IFERROR(1/(IF(Inputs!$B$38="pvp",15,MAX(0.1,Skills!D17-IF(Skills!E17=TRUE,Inputs!$B$32,0)))*(1-IF(AND(ArtifactsInput!$M$27,Inputs!$B$4="Chapter Hunt"),CHOOSE(ArtifactsInput!$N$27+1,20,24,28,32,36,40),0)/100)),0)</f>
        <v/>
      </c>
      <c r="R1306">
        <f>IF(AND(Inputs!$B$38&lt;&gt;"pvp",Inputs!$B$43&gt;0),IF(Inputs!$B$43&lt;=0,0,(INT(Inputs!$B$43/(IF(Inputs!$B$38="pvp",15,MAX(0.1,Skills!D17-IF(Skills!E17=TRUE,Inputs!$B$32,0)))*(1-IF(AND(ArtifactsInput!$M$27,Inputs!$B$4="Chapter Hunt"),CHOOSE(ArtifactsInput!$N$27+1,20,24,28,32,36,40),0)/100)))+1)),0)</f>
        <v/>
      </c>
      <c r="S1306">
        <f>IFERROR(O1306/N1306,0)</f>
        <v/>
      </c>
      <c r="T1306" t="n">
        <v>0</v>
      </c>
      <c r="V1306" t="n">
        <v>0</v>
      </c>
    </row>
    <row r="1307">
      <c r="A1307">
        <f>Skills!A18</f>
        <v/>
      </c>
      <c r="B1307">
        <f>Skills!B18</f>
        <v/>
      </c>
      <c r="C1307">
        <f>Inputs!$B$3&gt;=115</f>
        <v/>
      </c>
      <c r="D1307">
        <f>IF(Skills!C18=1,60+Inputs!$B$25+Inputs!$B$29,IF(Skills!C18=2,90+Inputs!$B$26+Inputs!$B$29,IF(Skills!C18=3,120+Inputs!$B$27+Inputs!$B$29,MAX(0,(Inputs!$B$3-100)*3)+Inputs!$B$28+Inputs!$B$29)))</f>
        <v/>
      </c>
      <c r="E1307">
        <f>INDEX(FactorTable!$B$2:$Y$301, MATCH(ROUND(MIN(300,MAX(1,D1307)),0), FactorTable!$A$2:$A$301,0), Skills!M18+1)</f>
        <v/>
      </c>
      <c r="F1307">
        <f>IF(Skills!N18=TRUE,(Skills!L18/10)*(E1307/1000),Skills!L18/10)+Skills!O18</f>
        <v/>
      </c>
      <c r="G1307">
        <f>Skills!G18*IF(Skills!H18&gt;0,Skills!I18/Skills!H18,1)</f>
        <v/>
      </c>
      <c r="H1307">
        <f>1-(1-Skills!J18/100)^Skills!K18</f>
        <v/>
      </c>
      <c r="I1307" t="inlineStr">
        <is>
          <t>1</t>
        </is>
      </c>
      <c r="J1307" t="inlineStr"/>
      <c r="K1307" t="inlineStr"/>
      <c r="L1307" t="inlineStr"/>
      <c r="M1307" t="inlineStr"/>
      <c r="N1307" t="inlineStr"/>
      <c r="O1307">
        <f>(1-Summary!$B$11)*T1307+Summary!$B$11*V1307</f>
        <v/>
      </c>
      <c r="P1307">
        <f>IF(B1328=0,0,O1307/B1328)</f>
        <v/>
      </c>
      <c r="Q1307">
        <f>IFERROR(1/(IF(Inputs!$B$38="pvp",15,MAX(0.1,Skills!D18-IF(Skills!E18=TRUE,Inputs!$B$32,0)))*(1-IF(AND(ArtifactsInput!$M$27,Inputs!$B$4="Chapter Hunt"),CHOOSE(ArtifactsInput!$N$27+1,20,24,28,32,36,40),0)/100)),0)</f>
        <v/>
      </c>
      <c r="R1307">
        <f>IF(AND(Inputs!$B$38&lt;&gt;"pvp",Inputs!$B$43&gt;0),IF(Inputs!$B$43&lt;=0,0,(INT(Inputs!$B$43/(IF(Inputs!$B$38="pvp",15,MAX(0.1,Skills!D18-IF(Skills!E18=TRUE,Inputs!$B$32,0)))*(1-IF(AND(ArtifactsInput!$M$27,Inputs!$B$4="Chapter Hunt"),CHOOSE(ArtifactsInput!$N$27+1,20,24,28,32,36,40),0)/100)))+1)),0)</f>
        <v/>
      </c>
      <c r="S1307">
        <f>IFERROR(O1307/N1307,0)</f>
        <v/>
      </c>
      <c r="T1307" t="n">
        <v>0</v>
      </c>
      <c r="V1307" t="n">
        <v>0</v>
      </c>
    </row>
    <row r="1308">
      <c r="A1308">
        <f>Skills!A19</f>
        <v/>
      </c>
      <c r="B1308">
        <f>Skills!B19</f>
        <v/>
      </c>
      <c r="C1308">
        <f>TRUE</f>
        <v/>
      </c>
      <c r="D1308">
        <f>IF(Skills!C19=1,60+Inputs!$B$25+Inputs!$B$29,IF(Skills!C19=2,90+Inputs!$B$26+Inputs!$B$29,IF(Skills!C19=3,120+Inputs!$B$27+Inputs!$B$29,MAX(0,(Inputs!$B$3-100)*3)+Inputs!$B$28+Inputs!$B$29)))</f>
        <v/>
      </c>
      <c r="E1308">
        <f>INDEX(FactorTable!$B$2:$Y$301, MATCH(ROUND(MIN(300,MAX(1,D1308)),0), FactorTable!$A$2:$A$301,0), Skills!M19+1)</f>
        <v/>
      </c>
      <c r="F1308">
        <f>IF(Skills!N19=TRUE,(Skills!L19/10)*(E1308/1000),Skills!L19/10)+Skills!O19</f>
        <v/>
      </c>
      <c r="G1308">
        <f>Skills!G19*IF(Skills!H19&gt;0,Skills!I19/Skills!H19,1)</f>
        <v/>
      </c>
      <c r="H1308">
        <f>1-(1-Skills!J19/100)^Skills!K19</f>
        <v/>
      </c>
      <c r="I1308" t="inlineStr">
        <is>
          <t>1</t>
        </is>
      </c>
      <c r="J1308" t="inlineStr"/>
      <c r="K1308" t="inlineStr"/>
      <c r="L1308" t="inlineStr"/>
      <c r="M1308" t="inlineStr"/>
      <c r="N1308" t="inlineStr"/>
      <c r="O1308">
        <f>(1-Summary!$B$11)*T1308+Summary!$B$11*V1308</f>
        <v/>
      </c>
      <c r="P1308">
        <f>IF(B1328=0,0,O1308/B1328)</f>
        <v/>
      </c>
      <c r="Q1308">
        <f>IFERROR(1/(IF(Inputs!$B$38="pvp",15,MAX(0.1,Skills!D19-IF(Skills!E19=TRUE,Inputs!$B$32,0)))*(1-IF(AND(ArtifactsInput!$M$27,Inputs!$B$4="Chapter Hunt"),CHOOSE(ArtifactsInput!$N$27+1,20,24,28,32,36,40),0)/100)),0)</f>
        <v/>
      </c>
      <c r="R1308">
        <f>IF(AND(Inputs!$B$38&lt;&gt;"pvp",Inputs!$B$43&gt;0),IF(Inputs!$B$43&lt;=0,0,(INT(Inputs!$B$43/(IF(Inputs!$B$38="pvp",15,MAX(0.1,Skills!D19-IF(Skills!E19=TRUE,Inputs!$B$32,0)))*(1-IF(AND(ArtifactsInput!$M$27,Inputs!$B$4="Chapter Hunt"),CHOOSE(ArtifactsInput!$N$27+1,20,24,28,32,36,40),0)/100)))+1)),0)</f>
        <v/>
      </c>
      <c r="S1308">
        <f>IFERROR(O1308/N1308,0)</f>
        <v/>
      </c>
      <c r="T1308" t="n">
        <v>0</v>
      </c>
      <c r="V1308" t="n">
        <v>0</v>
      </c>
    </row>
    <row r="1309">
      <c r="A1309">
        <f>Skills!A20</f>
        <v/>
      </c>
      <c r="B1309">
        <f>Skills!B20</f>
        <v/>
      </c>
      <c r="C1309">
        <f>Inputs!$B$3&gt;=33</f>
        <v/>
      </c>
      <c r="D1309">
        <f>IF(Skills!C20=1,60+Inputs!$B$25+Inputs!$B$29,IF(Skills!C20=2,90+Inputs!$B$26+Inputs!$B$29,IF(Skills!C20=3,120+Inputs!$B$27+Inputs!$B$29,MAX(0,(Inputs!$B$3-100)*3)+Inputs!$B$28+Inputs!$B$29)))</f>
        <v/>
      </c>
      <c r="E1309">
        <f>INDEX(FactorTable!$B$2:$Y$301, MATCH(ROUND(MIN(300,MAX(1,D1309)),0), FactorTable!$A$2:$A$301,0), Skills!M20+1)</f>
        <v/>
      </c>
      <c r="F1309">
        <f>IF(Skills!N20=TRUE,(Skills!L20/10)*(E1309/1000),Skills!L20/10)+Skills!O20</f>
        <v/>
      </c>
      <c r="G1309">
        <f>Skills!G20*IF(Skills!H20&gt;0,Skills!I20/Skills!H20,1)</f>
        <v/>
      </c>
      <c r="H1309">
        <f>1-(1-Skills!J20/100)^Skills!K20</f>
        <v/>
      </c>
      <c r="I1309" t="inlineStr">
        <is>
          <t>1</t>
        </is>
      </c>
      <c r="J1309" t="inlineStr"/>
      <c r="K1309" t="inlineStr"/>
      <c r="L1309" t="inlineStr"/>
      <c r="M1309" t="inlineStr"/>
      <c r="N1309" t="inlineStr"/>
      <c r="O1309">
        <f>(1-Summary!$B$11)*T1309+Summary!$B$11*V1309</f>
        <v/>
      </c>
      <c r="P1309">
        <f>IF(B1328=0,0,O1309/B1328)</f>
        <v/>
      </c>
      <c r="Q1309" t="n">
        <v>0</v>
      </c>
      <c r="R1309" t="n">
        <v>0</v>
      </c>
      <c r="S1309">
        <f>IFERROR(O1309/N1309,0)</f>
        <v/>
      </c>
      <c r="T1309" t="n">
        <v>0</v>
      </c>
      <c r="V1309" t="n">
        <v>0</v>
      </c>
    </row>
    <row r="1310">
      <c r="A1310">
        <f>Skills!A21</f>
        <v/>
      </c>
      <c r="B1310">
        <f>Skills!B21</f>
        <v/>
      </c>
      <c r="C1310">
        <f>Inputs!$B$3&gt;=38</f>
        <v/>
      </c>
      <c r="D1310">
        <f>IF(Skills!C21=1,60+Inputs!$B$25+Inputs!$B$29,IF(Skills!C21=2,90+Inputs!$B$26+Inputs!$B$29,IF(Skills!C21=3,120+Inputs!$B$27+Inputs!$B$29,MAX(0,(Inputs!$B$3-100)*3)+Inputs!$B$28+Inputs!$B$29)))</f>
        <v/>
      </c>
      <c r="E1310">
        <f>INDEX(FactorTable!$B$2:$Y$301, MATCH(ROUND(MIN(300,MAX(1,D1310)),0), FactorTable!$A$2:$A$301,0), Skills!M21+1)</f>
        <v/>
      </c>
      <c r="F1310">
        <f>IF(Skills!N21=TRUE,(Skills!L21/10)*(E1310/1000),Skills!L21/10)+Skills!O21</f>
        <v/>
      </c>
      <c r="G1310">
        <f>Skills!G21*IF(Skills!H21&gt;0,Skills!I21/Skills!H21,1)</f>
        <v/>
      </c>
      <c r="H1310">
        <f>1-(1-Skills!J21/100)^Skills!K21</f>
        <v/>
      </c>
      <c r="I1310" t="inlineStr">
        <is>
          <t>1</t>
        </is>
      </c>
      <c r="J1310" t="inlineStr"/>
      <c r="K1310" t="inlineStr"/>
      <c r="L1310" t="inlineStr"/>
      <c r="M1310" t="inlineStr"/>
      <c r="N1310" t="inlineStr"/>
      <c r="O1310">
        <f>(1-Summary!$B$11)*T1310+Summary!$B$11*V1310</f>
        <v/>
      </c>
      <c r="P1310">
        <f>IF(B1328=0,0,O1310/B1328)</f>
        <v/>
      </c>
      <c r="Q1310" t="n">
        <v>0</v>
      </c>
      <c r="R1310" t="n">
        <v>0</v>
      </c>
      <c r="S1310">
        <f>IFERROR(O1310/N1310,0)</f>
        <v/>
      </c>
      <c r="T1310" t="n">
        <v>0</v>
      </c>
      <c r="V1310" t="n">
        <v>0</v>
      </c>
    </row>
    <row r="1311">
      <c r="A1311">
        <f>Skills!A22</f>
        <v/>
      </c>
      <c r="B1311">
        <f>Skills!B22</f>
        <v/>
      </c>
      <c r="C1311">
        <f>Inputs!$B$3&gt;=43</f>
        <v/>
      </c>
      <c r="D1311">
        <f>IF(Skills!C22=1,60+Inputs!$B$25+Inputs!$B$29,IF(Skills!C22=2,90+Inputs!$B$26+Inputs!$B$29,IF(Skills!C22=3,120+Inputs!$B$27+Inputs!$B$29,MAX(0,(Inputs!$B$3-100)*3)+Inputs!$B$28+Inputs!$B$29)))</f>
        <v/>
      </c>
      <c r="E1311">
        <f>INDEX(FactorTable!$B$2:$Y$301, MATCH(ROUND(MIN(300,MAX(1,D1311)),0), FactorTable!$A$2:$A$301,0), Skills!M22+1)</f>
        <v/>
      </c>
      <c r="F1311">
        <f>IF(Skills!N22=TRUE,(Skills!L22/10)*(E1311/1000),Skills!L22/10)+Skills!O22</f>
        <v/>
      </c>
      <c r="G1311">
        <f>Skills!G22*IF(Skills!H22&gt;0,Skills!I22/Skills!H22,1)</f>
        <v/>
      </c>
      <c r="H1311">
        <f>1-(1-Skills!J22/100)^Skills!K22</f>
        <v/>
      </c>
      <c r="I1311" t="inlineStr">
        <is>
          <t>1</t>
        </is>
      </c>
      <c r="J1311" t="inlineStr"/>
      <c r="K1311" t="inlineStr"/>
      <c r="L1311" t="inlineStr"/>
      <c r="M1311" t="inlineStr"/>
      <c r="N1311" t="inlineStr"/>
      <c r="O1311">
        <f>(1-Summary!$B$11)*T1311+Summary!$B$11*V1311</f>
        <v/>
      </c>
      <c r="P1311">
        <f>IF(B1328=0,0,O1311/B1328)</f>
        <v/>
      </c>
      <c r="Q1311" t="n">
        <v>0</v>
      </c>
      <c r="R1311" t="n">
        <v>0</v>
      </c>
      <c r="S1311">
        <f>IFERROR(O1311/N1311,0)</f>
        <v/>
      </c>
      <c r="T1311" t="n">
        <v>0</v>
      </c>
      <c r="V1311" t="n">
        <v>0</v>
      </c>
    </row>
    <row r="1312">
      <c r="A1312">
        <f>Skills!A23</f>
        <v/>
      </c>
      <c r="B1312">
        <f>Skills!B23</f>
        <v/>
      </c>
      <c r="C1312">
        <f>Inputs!$B$3&gt;=120</f>
        <v/>
      </c>
      <c r="D1312">
        <f>IF(Skills!C23=1,60+Inputs!$B$25+Inputs!$B$29,IF(Skills!C23=2,90+Inputs!$B$26+Inputs!$B$29,IF(Skills!C23=3,120+Inputs!$B$27+Inputs!$B$29,MAX(0,(Inputs!$B$3-100)*3)+Inputs!$B$28+Inputs!$B$29)))</f>
        <v/>
      </c>
      <c r="E1312">
        <f>INDEX(FactorTable!$B$2:$Y$301, MATCH(ROUND(MIN(300,MAX(1,D1312)),0), FactorTable!$A$2:$A$301,0), Skills!M23+1)</f>
        <v/>
      </c>
      <c r="F1312">
        <f>IF(Skills!N23=TRUE,(Skills!L23/10)*(E1312/1000),Skills!L23/10)+Skills!O23</f>
        <v/>
      </c>
      <c r="G1312">
        <f>Skills!G23*IF(Skills!H23&gt;0,Skills!I23/Skills!H23,1)</f>
        <v/>
      </c>
      <c r="H1312">
        <f>1-(1-Skills!J23/100)^Skills!K23</f>
        <v/>
      </c>
      <c r="I1312" t="inlineStr">
        <is>
          <t>1</t>
        </is>
      </c>
      <c r="J1312" t="inlineStr"/>
      <c r="K1312" t="inlineStr"/>
      <c r="L1312" t="inlineStr"/>
      <c r="M1312" t="inlineStr"/>
      <c r="N1312" t="inlineStr"/>
      <c r="O1312">
        <f>(1-Summary!$B$11)*T1312+Summary!$B$11*V1312</f>
        <v/>
      </c>
      <c r="P1312">
        <f>IF(B1328=0,0,O1312/B1328)</f>
        <v/>
      </c>
      <c r="Q1312" t="n">
        <v>0</v>
      </c>
      <c r="R1312" t="n">
        <v>0</v>
      </c>
      <c r="S1312">
        <f>IFERROR(O1312/N1312,0)</f>
        <v/>
      </c>
      <c r="T1312" t="n">
        <v>0</v>
      </c>
      <c r="V1312" t="n">
        <v>0</v>
      </c>
    </row>
    <row r="1313">
      <c r="A1313">
        <f>Skills!A24</f>
        <v/>
      </c>
      <c r="B1313">
        <f>Skills!B24</f>
        <v/>
      </c>
      <c r="C1313">
        <f>Inputs!$B$3&gt;=120</f>
        <v/>
      </c>
      <c r="D1313">
        <f>IF(Skills!C24=1,60+Inputs!$B$25+Inputs!$B$29,IF(Skills!C24=2,90+Inputs!$B$26+Inputs!$B$29,IF(Skills!C24=3,120+Inputs!$B$27+Inputs!$B$29,MAX(0,(Inputs!$B$3-100)*3)+Inputs!$B$28+Inputs!$B$29)))</f>
        <v/>
      </c>
      <c r="E1313">
        <f>INDEX(FactorTable!$B$2:$Y$301, MATCH(ROUND(MIN(300,MAX(1,D1313)),0), FactorTable!$A$2:$A$301,0), Skills!M24+1)</f>
        <v/>
      </c>
      <c r="F1313">
        <f>IF(Skills!N24=TRUE,(Skills!L24/10)*(E1313/1000),Skills!L24/10)+Skills!O24</f>
        <v/>
      </c>
      <c r="G1313">
        <f>Skills!G24*IF(Skills!H24&gt;0,Skills!I24/Skills!H24,1)</f>
        <v/>
      </c>
      <c r="H1313">
        <f>1-(1-Skills!J24/100)^Skills!K24</f>
        <v/>
      </c>
      <c r="I1313" t="inlineStr">
        <is>
          <t>1</t>
        </is>
      </c>
      <c r="J1313" t="inlineStr"/>
      <c r="K1313" t="inlineStr"/>
      <c r="L1313" t="inlineStr"/>
      <c r="M1313" t="inlineStr"/>
      <c r="N1313" t="inlineStr"/>
      <c r="O1313">
        <f>(1-Summary!$B$11)*T1313+Summary!$B$11*V1313</f>
        <v/>
      </c>
      <c r="P1313">
        <f>IF(B1328=0,0,O1313/B1328)</f>
        <v/>
      </c>
      <c r="Q1313" t="n">
        <v>0</v>
      </c>
      <c r="R1313" t="n">
        <v>0</v>
      </c>
      <c r="S1313">
        <f>IFERROR(O1313/N1313,0)</f>
        <v/>
      </c>
      <c r="T1313" t="n">
        <v>0</v>
      </c>
      <c r="V1313" t="n">
        <v>0</v>
      </c>
    </row>
    <row r="1314">
      <c r="A1314">
        <f>Skills!A25</f>
        <v/>
      </c>
      <c r="B1314">
        <f>Skills!B25</f>
        <v/>
      </c>
      <c r="C1314">
        <f>Inputs!$B$3&gt;=125</f>
        <v/>
      </c>
      <c r="D1314">
        <f>IF(Skills!C25=1,60+Inputs!$B$25+Inputs!$B$29,IF(Skills!C25=2,90+Inputs!$B$26+Inputs!$B$29,IF(Skills!C25=3,120+Inputs!$B$27+Inputs!$B$29,MAX(0,(Inputs!$B$3-100)*3)+Inputs!$B$28+Inputs!$B$29)))</f>
        <v/>
      </c>
      <c r="E1314">
        <f>INDEX(FactorTable!$B$2:$Y$301, MATCH(ROUND(MIN(300,MAX(1,D1314)),0), FactorTable!$A$2:$A$301,0), Skills!M25+1)</f>
        <v/>
      </c>
      <c r="F1314">
        <f>IF(Skills!N25=TRUE,(Skills!L25/10)*(E1314/1000),Skills!L25/10)+Skills!O25</f>
        <v/>
      </c>
      <c r="G1314">
        <f>Skills!G25*IF(Skills!H25&gt;0,Skills!I25/Skills!H25,1)</f>
        <v/>
      </c>
      <c r="H1314">
        <f>1-(1-Skills!J25/100)^Skills!K25</f>
        <v/>
      </c>
      <c r="I1314" t="inlineStr">
        <is>
          <t>1</t>
        </is>
      </c>
      <c r="J1314" t="inlineStr"/>
      <c r="K1314" t="inlineStr"/>
      <c r="L1314" t="inlineStr"/>
      <c r="M1314" t="inlineStr"/>
      <c r="N1314" t="inlineStr"/>
      <c r="O1314">
        <f>(1-Summary!$B$11)*T1314+Summary!$B$11*V1314</f>
        <v/>
      </c>
      <c r="P1314">
        <f>IF(B1328=0,0,O1314/B1328)</f>
        <v/>
      </c>
      <c r="Q1314" t="n">
        <v>0</v>
      </c>
      <c r="R1314" t="n">
        <v>0</v>
      </c>
      <c r="S1314">
        <f>IFERROR(O1314/N1314,0)</f>
        <v/>
      </c>
      <c r="T1314" t="n">
        <v>0</v>
      </c>
      <c r="V1314" t="n">
        <v>0</v>
      </c>
    </row>
    <row r="1315">
      <c r="A1315">
        <f>Skills!A26</f>
        <v/>
      </c>
      <c r="B1315">
        <f>Skills!B26</f>
        <v/>
      </c>
      <c r="C1315">
        <f>Inputs!$B$3&gt;=72</f>
        <v/>
      </c>
      <c r="D1315">
        <f>IF(Skills!C26=1,60+Inputs!$B$25+Inputs!$B$29,IF(Skills!C26=2,90+Inputs!$B$26+Inputs!$B$29,IF(Skills!C26=3,120+Inputs!$B$27+Inputs!$B$29,MAX(0,(Inputs!$B$3-100)*3)+Inputs!$B$28+Inputs!$B$29)))</f>
        <v/>
      </c>
      <c r="E1315">
        <f>INDEX(FactorTable!$B$2:$Y$301, MATCH(ROUND(MIN(300,MAX(1,D1315)),0), FactorTable!$A$2:$A$301,0), Skills!M26+1)</f>
        <v/>
      </c>
      <c r="F1315">
        <f>IF(Skills!N26=TRUE,(Skills!L26/10)*(E1315/1000),Skills!L26/10)+Skills!O26</f>
        <v/>
      </c>
      <c r="G1315">
        <f>Skills!G26*IF(Skills!H26&gt;0,Skills!I26/Skills!H26,1)</f>
        <v/>
      </c>
      <c r="H1315">
        <f>1-(1-Skills!J26/100)^Skills!K26</f>
        <v/>
      </c>
      <c r="I1315" t="inlineStr">
        <is>
          <t>1</t>
        </is>
      </c>
      <c r="J1315" t="inlineStr"/>
      <c r="K1315" t="inlineStr"/>
      <c r="L1315" t="inlineStr"/>
      <c r="M1315" t="inlineStr"/>
      <c r="N1315" t="inlineStr"/>
      <c r="O1315">
        <f>(1-Summary!$B$11)*T1315+Summary!$B$11*V1315</f>
        <v/>
      </c>
      <c r="P1315">
        <f>IF(B1328=0,0,O1315/B1328)</f>
        <v/>
      </c>
      <c r="Q1315" t="n">
        <v>0</v>
      </c>
      <c r="R1315" t="n">
        <v>0</v>
      </c>
      <c r="S1315">
        <f>IFERROR(O1315/N1315,0)</f>
        <v/>
      </c>
      <c r="T1315" t="n">
        <v>0</v>
      </c>
      <c r="V1315" t="n">
        <v>0</v>
      </c>
    </row>
    <row r="1317">
      <c r="A1317" t="inlineStr">
        <is>
          <t>Attack% Bucket Multiplier</t>
        </is>
      </c>
      <c r="B1317">
        <f>(1+(((C1302=TRUE)*F1302*IF(Inputs!$B$3&gt;=110,7,5))+((C1304=TRUE)*F1304*IF(AND(Inputs!$B$38&lt;&gt;"pvp",Inputs!$B$43&gt;0),(((R1304-1)*(Skills!T15*(1+(Inputs!$B$34+(ArtifactsInput!$M$7-ArtifactsInput!$M$7)*CHOOSE(ArtifactsInput!$N$7+1,6,7.2,8.4,9.6,10.8,12))/100))+MIN((Skills!T15*(1+(Inputs!$B$34+(ArtifactsInput!$M$7-ArtifactsInput!$M$7)*CHOOSE(ArtifactsInput!$N$7+1,6,7.2,8.4,9.6,10.8,12))/100)),MAX(0,Inputs!$B$43-((R1304-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18">
      <c r="A1318" t="inlineStr">
        <is>
          <t>Global Crit Rate Bonus %</t>
        </is>
      </c>
      <c r="B1318" t="n">
        <v>0</v>
      </c>
    </row>
    <row r="1319">
      <c r="A1319" t="inlineStr">
        <is>
          <t>Attack Speed Buff Bonus %</t>
        </is>
      </c>
      <c r="B1319">
        <f>((C1308=TRUE)*F1308*IF(AND(Inputs!$B$38&lt;&gt;"pvp",Inputs!$B$43&gt;0),(((R1308-1)*(Skills!T19*(1+(Inputs!$B$34+(ArtifactsInput!$M$7-ArtifactsInput!$M$7)*CHOOSE(ArtifactsInput!$N$7+1,6,7.2,8.4,9.6,10.8,12))/100))+MIN((Skills!T19*(1+(Inputs!$B$34+(ArtifactsInput!$M$7-ArtifactsInput!$M$7)*CHOOSE(ArtifactsInput!$N$7+1,6,7.2,8.4,9.6,10.8,12))/100)),MAX(0,Inputs!$B$43-((R1308-1)*Skills!D19))))/Inputs!$B$43),IF(Inputs!$B$38="pvp",MIN((Skills!T19*(1+(Inputs!$B$34+(ArtifactsInput!$M$7-ArtifactsInput!$M$7)*CHOOSE(ArtifactsInput!$N$7+1,6,7.2,8.4,9.6,10.8,12))/100)),15)/15,(Skills!T19*(1+(Inputs!$B$34+(ArtifactsInput!$M$7-ArtifactsInput!$M$7)*CHOOSE(ArtifactsInput!$N$7+1,6,7.2,8.4,9.6,10.8,12))/100))/Skills!D19)))</f>
        <v/>
      </c>
    </row>
    <row r="1320">
      <c r="A1320" t="inlineStr">
        <is>
          <t>Actions Per Second</t>
        </is>
      </c>
      <c r="B1320">
        <f>1+MIN(150,150*(1-(1-(Inputs!$B$11+((C1309=TRUE)*(F1309-Calc!F20)))/150)*(1-B1319/150)))/100</f>
        <v/>
      </c>
    </row>
    <row r="1321">
      <c r="A1321" t="inlineStr">
        <is>
          <t>Skill + Buff Cast Rate</t>
        </is>
      </c>
      <c r="B1321">
        <f>IF(AND(Inputs!$B$38&lt;&gt;"pvp",Inputs!$B$43&gt;0),SUMPRODUCT((Skills!E2:E26=TRUE)*(C1291:C1315=TRUE)*R1291:R1315*Skills!F2:F26)/Inputs!$B$43,SUMPRODUCT((Skills!E2:E26=TRUE)*(C1291:C1315=TRUE)*Q1291:Q1315*Skills!F2:F26))</f>
        <v/>
      </c>
    </row>
    <row r="1322">
      <c r="A1322" t="inlineStr">
        <is>
          <t>Raging Blow Casts Per Second</t>
        </is>
      </c>
      <c r="B1322">
        <f>MAX(0,B1320-B1321)</f>
        <v/>
      </c>
    </row>
    <row r="1323">
      <c r="A1323" t="inlineStr">
        <is>
          <t>Global Critical Damage Bonus % (Enrage)</t>
        </is>
      </c>
      <c r="B1323">
        <f>((C1307=TRUE)*F1307*IF(AND(Inputs!$B$38&lt;&gt;"pvp",Inputs!$B$43&gt;0),(((R1307-1)*(Skills!T18*(1+(Inputs!$B$34+(ArtifactsInput!$M$7-ArtifactsInput!$M$7)*CHOOSE(ArtifactsInput!$N$7+1,6,7.2,8.4,9.6,10.8,12))/100))+MIN((Skills!T18*(1+(Inputs!$B$34+(ArtifactsInput!$M$7-ArtifactsInput!$M$7)*CHOOSE(ArtifactsInput!$N$7+1,6,7.2,8.4,9.6,10.8,12))/100)),MAX(0,Inputs!$B$43-((R1307-1)*Skills!D18))))/Inputs!$B$43),IF(Inputs!$B$38="pvp",MIN((Skills!T18*(1+(Inputs!$B$34+(ArtifactsInput!$M$7-ArtifactsInput!$M$7)*CHOOSE(ArtifactsInput!$N$7+1,6,7.2,8.4,9.6,10.8,12))/100)),15)/15,(Skills!T18*(1+(Inputs!$B$34+(ArtifactsInput!$M$7-ArtifactsInput!$M$7)*CHOOSE(ArtifactsInput!$N$7+1,6,7.2,8.4,9.6,10.8,12))/100))/Skills!D18)))</f>
        <v/>
      </c>
    </row>
    <row r="1324">
      <c r="A1324" t="inlineStr">
        <is>
          <t>Global Final Damage Bonus % (Enrage + Combo Synergy)</t>
        </is>
      </c>
      <c r="B1324">
        <f>((C1306=TRUE)*F1306*IF(AND(Inputs!$B$38&lt;&gt;"pvp",Inputs!$B$43&gt;0),(((R1306-1)*(Skills!T17*(1+(Inputs!$B$34+(ArtifactsInput!$M$7-ArtifactsInput!$M$7)*CHOOSE(ArtifactsInput!$N$7+1,6,7.2,8.4,9.6,10.8,12))/100))+MIN((Skills!T17*(1+(Inputs!$B$34+(ArtifactsInput!$M$7-ArtifactsInput!$M$7)*CHOOSE(ArtifactsInput!$N$7+1,6,7.2,8.4,9.6,10.8,12))/100)),MAX(0,Inputs!$B$43-((R1306-1)*Skills!D17))))/Inputs!$B$43),IF(Inputs!$B$38="pvp",MIN((Skills!T17*(1+(Inputs!$B$34+(ArtifactsInput!$M$7-ArtifactsInput!$M$7)*CHOOSE(ArtifactsInput!$N$7+1,6,7.2,8.4,9.6,10.8,12))/100)),15)/15,(Skills!T17*(1+(Inputs!$B$34+(ArtifactsInput!$M$7-ArtifactsInput!$M$7)*CHOOSE(ArtifactsInput!$N$7+1,6,7.2,8.4,9.6,10.8,12))/100))/Skills!D17)))+((C1303=TRUE)*F1303*IF(Inputs!$B$3&gt;=110,7,5))</f>
        <v/>
      </c>
    </row>
    <row r="1325">
      <c r="A1325" t="inlineStr">
        <is>
          <t>Buff-Casting Startup Delay (s, fixed-duration only)</t>
        </is>
      </c>
      <c r="B1325">
        <f>IF(AND(Inputs!$B$38&lt;&gt;"pvp",Inputs!$B$43&gt;0),SUMPRODUCT((Skills!T2:T26&gt;0)*(Skills!E2:E26=TRUE)*(C1291:C1315=TRUE))/B1320,0)</f>
        <v/>
      </c>
    </row>
    <row r="1326">
      <c r="A1326" t="inlineStr">
        <is>
          <t>Boss-Only Total DPS (this block's swept value)</t>
        </is>
      </c>
      <c r="B1326">
        <f>SUM(T1291:T1315)</f>
        <v/>
      </c>
    </row>
    <row r="1327">
      <c r="A1327" t="inlineStr">
        <is>
          <t>Normal-Only Total DPS (this block's swept value)</t>
        </is>
      </c>
      <c r="B1327">
        <f>SUM(V1291:V1315)</f>
        <v/>
      </c>
    </row>
    <row r="1328">
      <c r="A1328" s="6" t="inlineStr">
        <is>
          <t>TOTAL DPS</t>
        </is>
      </c>
      <c r="B1328" s="6">
        <f>SUM(O1291:O1315)</f>
        <v/>
      </c>
    </row>
    <row r="1331">
      <c r="A1331" s="6" t="inlineStr">
        <is>
          <t>Stat: Rainbow-colored Snail Shell (Equip)</t>
        </is>
      </c>
    </row>
    <row r="1332">
      <c r="A1332" s="5" t="inlineStr">
        <is>
          <t>Key</t>
        </is>
      </c>
      <c r="B1332" s="5" t="inlineStr">
        <is>
          <t>Name</t>
        </is>
      </c>
      <c r="C1332" s="5" t="inlineStr">
        <is>
          <t>Unlocked</t>
        </is>
      </c>
      <c r="D1332" s="5" t="inlineStr">
        <is>
          <t>InputLevel</t>
        </is>
      </c>
      <c r="E1332" s="5" t="inlineStr">
        <is>
          <t>Factor</t>
        </is>
      </c>
      <c r="F1332" s="5" t="inlineStr">
        <is>
          <t>CoefficientPercent</t>
        </is>
      </c>
      <c r="G1332" s="5" t="inlineStr">
        <is>
          <t>EffectiveHits</t>
        </is>
      </c>
      <c r="H1332" s="5" t="inlineStr">
        <is>
          <t>ProcProbability</t>
        </is>
      </c>
      <c r="I1332" s="5" t="inlineStr">
        <is>
          <t>MapleHeroMultiplier</t>
        </is>
      </c>
      <c r="J1332" s="5" t="inlineStr">
        <is>
          <t>BaseDamage</t>
        </is>
      </c>
      <c r="K1332" s="5" t="inlineStr">
        <is>
          <t>BaseHitDamage</t>
        </is>
      </c>
      <c r="L1332" s="5" t="inlineStr">
        <is>
          <t>NonCritAvg</t>
        </is>
      </c>
      <c r="M1332" s="5" t="inlineStr">
        <is>
          <t>CritAvg</t>
        </is>
      </c>
      <c r="N1332" s="5" t="inlineStr">
        <is>
          <t>ExpectedDamage(perHit)</t>
        </is>
      </c>
      <c r="O1332" s="5" t="inlineStr">
        <is>
          <t>DPS</t>
        </is>
      </c>
      <c r="P1332" s="5" t="inlineStr">
        <is>
          <t>% of Total</t>
        </is>
      </c>
      <c r="Q1332" s="5" t="inlineStr">
        <is>
          <t>InvCooldown</t>
        </is>
      </c>
      <c r="R1332" s="5" t="inlineStr">
        <is>
          <t>CastsInFight</t>
        </is>
      </c>
      <c r="S1332" s="5" t="inlineStr">
        <is>
          <t>HitRate(perSec)</t>
        </is>
      </c>
      <c r="U1332" t="inlineStr">
        <is>
          <t>helpers</t>
        </is>
      </c>
    </row>
    <row r="1333">
      <c r="A1333">
        <f>Skills!A2</f>
        <v/>
      </c>
      <c r="B1333">
        <f>Skills!B2</f>
        <v/>
      </c>
      <c r="C1333">
        <f>Inputs!$B$3&gt;=100</f>
        <v/>
      </c>
      <c r="D1333" t="inlineStr"/>
      <c r="E1333" t="inlineStr"/>
      <c r="F1333">
        <f>U1335+Skills!O2</f>
        <v/>
      </c>
      <c r="G1333">
        <f>Skills!G2*IF(Skills!H2&gt;0,Skills!I2/Skills!H2,1)</f>
        <v/>
      </c>
      <c r="H1333">
        <f>1-(1-Skills!J2/100)^Skills!K2</f>
        <v/>
      </c>
      <c r="I1333" t="inlineStr">
        <is>
          <t>1</t>
        </is>
      </c>
      <c r="J1333">
        <f>((Inputs!$B$6*(1+Inputs!$B$7/100))+(((Inputs!$B$12*(1+Inputs!$B$13/100))-(Inputs!$B$12*(1+Inputs!$B$13/100)))+0.25*(Inputs!$B$14-Inputs!$B$14))*(1+Inputs!$B$7/100))*(F1333/100)</f>
        <v/>
      </c>
      <c r="K1333">
        <f>J1333*(1+((Inputs!$B$12*(1+Inputs!$B$13/100))*0.01+Inputs!$B$14*0.0025)/100)*(1+Inputs!$B$15/100)*(1+Inputs!$B$16/100)*(5000/(6000+Inputs!$B$42*(1-(100*(1-(1-(Inputs!$B$19+0)/100)*(1-CHOOSE(ArtifactsInput!$N$40+1,5,6,7,8,9,10)/100)^(ArtifactsInput!$M$40-ArtifactsInput!$M$40)))/100)))*(1+(Inputs!$B$24+((C1356=TRUE)*(F1356-Calc!F25))+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1352=TRUE)*(F1352-Calc!F21))+(((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C1354=TRUE)*(F1354-Calc!F23)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(1+(((C1344=TRUE)*F1344*IF(Inputs!$B$3&gt;=110,7,5))+((C1346=TRUE)*F1346*IF(AND(Inputs!$B$38&lt;&gt;"pvp",Inputs!$B$43&gt;0),(((R1346-1)*(Skills!T15*(1+(Inputs!$B$34+(ArtifactsInput!$M$7-ArtifactsInput!$M$7)*CHOOSE(ArtifactsInput!$N$7+1,6,7.2,8.4,9.6,10.8,12))/100))+MIN((Skills!T15*(1+(Inputs!$B$34+(ArtifactsInput!$M$7-ArtifactsInput!$M$7)*CHOOSE(ArtifactsInput!$N$7+1,6,7.2,8.4,9.6,10.8,12))/100)),MAX(0,Inputs!$B$43-((R1346-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100)*I1333)</f>
        <v/>
      </c>
      <c r="L1333">
        <f>K1333*(MIN(Inputs!$B$22+((C1353=TRUE)*(F1353-Calc!F22)),(Inputs!$B$23+((C1355=TRUE)*(F1355-Calc!F24))+(IF(ArtifactsInput!$M$15,CHOOSE(ArtifactsInput!$N$15+1,25,30,35,40,45,50)/100*(Inputs!$B$11-Inputs!$B$11),0))))/100+(Inputs!$B$23+((C1355=TRUE)*(F1355-Calc!F24))+(IF(ArtifactsInput!$M$15,CHOOSE(ArtifactsInput!$N$15+1,25,30,35,40,45,50)/100*(Inputs!$B$11-Inputs!$B$11),0)))/100)/2</f>
        <v/>
      </c>
      <c r="M1333">
        <f>L1333*(1+(Inputs!$B$10+0+B1365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33">
        <f>L1333*(1-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1333*(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33">
        <f>(1-Summary!$B$11)*T1333+Summary!$B$11*V1333</f>
        <v/>
      </c>
      <c r="P1333">
        <f>IF(B1370=0,0,O1333/B1370)</f>
        <v/>
      </c>
      <c r="Q1333" t="n">
        <v>0</v>
      </c>
      <c r="R1333" t="n">
        <v>0</v>
      </c>
      <c r="S1333">
        <f>IFERROR(O1333/N1333,0)</f>
        <v/>
      </c>
      <c r="T1333">
        <f>IF(C1333,(Skills!G2*N1333*B1364)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1333*(1-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1333*(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1333*(1-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1333*(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33">
        <f>MAX(0,(Inputs!$B$3-100)*3)+Inputs!$B$28+Inputs!$B$29</f>
        <v/>
      </c>
      <c r="V1333">
        <f>IF(C1333,(Skills!G2*N1333*B1364)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4">
      <c r="A1334">
        <f>Skills!A3</f>
        <v/>
      </c>
      <c r="B1334">
        <f>Skills!B3</f>
        <v/>
      </c>
      <c r="C1334">
        <f>Inputs!$B$3&gt;=50</f>
        <v/>
      </c>
      <c r="D1334">
        <f>IF(Skills!C3=1,60+Inputs!$B$25+Inputs!$B$29,IF(Skills!C3=2,90+Inputs!$B$26+Inputs!$B$29,IF(Skills!C3=3,120+Inputs!$B$27+Inputs!$B$29,MAX(0,(Inputs!$B$3-100)*3)+Inputs!$B$28+Inputs!$B$29)))</f>
        <v/>
      </c>
      <c r="E1334">
        <f>INDEX(FactorTable!$B$2:$Y$301, MATCH(ROUND(MIN(300,MAX(1,D1334)),0), FactorTable!$A$2:$A$301,0), Skills!M3+1)</f>
        <v/>
      </c>
      <c r="F1334">
        <f>IF(Skills!N3=TRUE,(Skills!L3/10)*(E1334/1000),Skills!L3/10)+Skills!O3</f>
        <v/>
      </c>
      <c r="G1334" t="inlineStr"/>
      <c r="H1334" t="inlineStr"/>
      <c r="I1334" t="inlineStr">
        <is>
          <t>1</t>
        </is>
      </c>
      <c r="J1334" t="inlineStr"/>
      <c r="K1334" t="inlineStr"/>
      <c r="L1334" t="inlineStr"/>
      <c r="M1334" t="inlineStr"/>
      <c r="N1334" t="inlineStr"/>
      <c r="O1334" t="inlineStr"/>
      <c r="P1334" t="inlineStr"/>
      <c r="Q1334" t="inlineStr"/>
      <c r="R1334" t="inlineStr"/>
      <c r="S1334" t="inlineStr"/>
      <c r="U1334">
        <f>INDEX(FactorTable!$B$2:$Y$301, MATCH(ROUND(MIN(300,MAX(1,U1333)),0), FactorTable!$A$2:$A$301,0), 22)</f>
        <v/>
      </c>
    </row>
    <row r="1335">
      <c r="A1335">
        <f>Skills!A4</f>
        <v/>
      </c>
      <c r="B1335">
        <f>Skills!B4</f>
        <v/>
      </c>
      <c r="C1335">
        <f>Inputs!$B$3&gt;=105</f>
        <v/>
      </c>
      <c r="D1335">
        <f>IF(Skills!C4=1,60+Inputs!$B$25+Inputs!$B$29,IF(Skills!C4=2,90+Inputs!$B$26+Inputs!$B$29,IF(Skills!C4=3,120+Inputs!$B$27+Inputs!$B$29,MAX(0,(Inputs!$B$3-100)*3)+Inputs!$B$28+Inputs!$B$29)))</f>
        <v/>
      </c>
      <c r="E1335">
        <f>INDEX(FactorTable!$B$2:$Y$301, MATCH(ROUND(MIN(300,MAX(1,D1335)),0), FactorTable!$A$2:$A$301,0), Skills!M4+1)</f>
        <v/>
      </c>
      <c r="F1335">
        <f>IF(Skills!N4=TRUE,(Skills!L4/10)*(E1335/1000),Skills!L4/10)+Skills!O4</f>
        <v/>
      </c>
      <c r="G1335" t="inlineStr"/>
      <c r="H1335" t="inlineStr"/>
      <c r="I1335" t="inlineStr">
        <is>
          <t>1</t>
        </is>
      </c>
      <c r="J1335" t="inlineStr"/>
      <c r="K1335" t="inlineStr"/>
      <c r="L1335" t="inlineStr"/>
      <c r="M1335" t="inlineStr"/>
      <c r="N1335" t="inlineStr"/>
      <c r="O1335" t="inlineStr"/>
      <c r="P1335" t="inlineStr"/>
      <c r="Q1335" t="inlineStr"/>
      <c r="R1335" t="inlineStr"/>
      <c r="S1335" t="inlineStr"/>
      <c r="U1335">
        <f>290*U1334/1000</f>
        <v/>
      </c>
    </row>
    <row r="1336">
      <c r="A1336">
        <f>Skills!A5</f>
        <v/>
      </c>
      <c r="B1336">
        <f>Skills!B5</f>
        <v/>
      </c>
      <c r="C1336">
        <f>Inputs!$B$3&gt;=103</f>
        <v/>
      </c>
      <c r="D1336">
        <f>IF(Skills!C5=1,60+Inputs!$B$25+Inputs!$B$29,IF(Skills!C5=2,90+Inputs!$B$26+Inputs!$B$29,IF(Skills!C5=3,120+Inputs!$B$27+Inputs!$B$29,MAX(0,(Inputs!$B$3-100)*3)+Inputs!$B$28+Inputs!$B$29)))</f>
        <v/>
      </c>
      <c r="E1336">
        <f>INDEX(FactorTable!$B$2:$Y$301, MATCH(ROUND(MIN(300,MAX(1,D1336)),0), FactorTable!$A$2:$A$301,0), Skills!M5+1)</f>
        <v/>
      </c>
      <c r="F1336">
        <f>IF(Skills!N5=TRUE,(Skills!L5/10)*(E1336/1000),Skills!L5/10)+Skills!O5</f>
        <v/>
      </c>
      <c r="G1336">
        <f>Skills!G5*IF(Skills!H5&gt;0,Skills!I5/Skills!H5,1)</f>
        <v/>
      </c>
      <c r="H1336">
        <f>1-(1-Skills!J5/100)^Skills!K5</f>
        <v/>
      </c>
      <c r="I1336" t="inlineStr">
        <is>
          <t>1</t>
        </is>
      </c>
      <c r="J1336">
        <f>((Inputs!$B$6*(1+Inputs!$B$7/100))+(((Inputs!$B$12*(1+Inputs!$B$13/100))-(Inputs!$B$12*(1+Inputs!$B$13/100)))+0.25*(Inputs!$B$14-Inputs!$B$14))*(1+Inputs!$B$7/100))*(F1336/100)</f>
        <v/>
      </c>
      <c r="K1336">
        <f>J1336*(1+((Inputs!$B$12*(1+Inputs!$B$13/100))*0.01+Inputs!$B$14*0.0025)/100)*(1+Inputs!$B$15/100)*(1+Inputs!$B$16/100)*(5000/(6000+Inputs!$B$42*(1-(100*(1-(1-(Inputs!$B$19+0)/100)*(1-CHOOSE(ArtifactsInput!$N$40+1,5,6,7,8,9,10)/100)^(ArtifactsInput!$M$40-ArtifactsInput!$M$40)))/100)))*(1+(Inputs!$B$24+((C1356=TRUE)*(F1356-Calc!F25))+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1352=TRUE)*(F1352-Calc!F21))+(((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C1354=TRUE)*(F1354-Calc!F23)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(1+(((C1344=TRUE)*F1344*IF(Inputs!$B$3&gt;=110,7,5))+((C1346=TRUE)*F1346*IF(AND(Inputs!$B$38&lt;&gt;"pvp",Inputs!$B$43&gt;0),(((R1346-1)*(Skills!T15*(1+(Inputs!$B$34+(ArtifactsInput!$M$7-ArtifactsInput!$M$7)*CHOOSE(ArtifactsInput!$N$7+1,6,7.2,8.4,9.6,10.8,12))/100))+MIN((Skills!T15*(1+(Inputs!$B$34+(ArtifactsInput!$M$7-ArtifactsInput!$M$7)*CHOOSE(ArtifactsInput!$N$7+1,6,7.2,8.4,9.6,10.8,12))/100)),MAX(0,Inputs!$B$43-((R1346-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100)*I1336)</f>
        <v/>
      </c>
      <c r="L1336">
        <f>K1336*(MIN(Inputs!$B$22+((C1353=TRUE)*(F1353-Calc!F22)),(Inputs!$B$23+((C1355=TRUE)*(F1355-Calc!F24))+(IF(ArtifactsInput!$M$15,CHOOSE(ArtifactsInput!$N$15+1,25,30,35,40,45,50)/100*(Inputs!$B$11-Inputs!$B$11),0))))/100+(Inputs!$B$23+((C1355=TRUE)*(F1355-Calc!F24))+(IF(ArtifactsInput!$M$15,CHOOSE(ArtifactsInput!$N$15+1,25,30,35,40,45,50)/100*(Inputs!$B$11-Inputs!$B$11),0)))/100)/2</f>
        <v/>
      </c>
      <c r="M1336">
        <f>L1336*(1+(Inputs!$B$10+0+B1365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36">
        <f>L1336*(1-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1336*(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36">
        <f>(1-Summary!$B$11)*T1336+Summary!$B$11*V1336</f>
        <v/>
      </c>
      <c r="P1336">
        <f>IF(B1370=0,0,O1336/B1370)</f>
        <v/>
      </c>
      <c r="Q1336">
        <f>IFERROR(1/(IF(Inputs!$B$38="pvp",15,MAX(0.1,Skills!D5-IF(Skills!E5=TRUE,Inputs!$B$32,0)))*(1-IF(AND(ArtifactsInput!$M$27,Inputs!$B$4="Chapter Hunt"),CHOOSE(ArtifactsInput!$N$27+1,20,24,28,32,36,40),0)/100)),0)</f>
        <v/>
      </c>
      <c r="R1336">
        <f>IF(AND(Inputs!$B$38&lt;&gt;"pvp",Inputs!$B$43&gt;0),IF(MAX(0,Inputs!$B$43-B1367)&lt;=0,0,(INT(MAX(0,Inputs!$B$43-B1367)/(IF(Inputs!$B$38="pvp",15,MAX(0.1,Skills!D5-IF(Skills!E5=TRUE,Inputs!$B$32,0)))*(1-IF(AND(ArtifactsInput!$M$27,Inputs!$B$4="Chapter Hunt"),CHOOSE(ArtifactsInput!$N$27+1,20,24,28,32,36,40),0)/100)))+1)),0)</f>
        <v/>
      </c>
      <c r="S1336">
        <f>IFERROR(O1336/N1336,0)</f>
        <v/>
      </c>
      <c r="T1336">
        <f>IF(C1336,(H1336*N1336*IF(AND(Inputs!$B$38&lt;&gt;"pvp",Inputs!$B$43&gt;0),((Skills!G5*((R1336-1)*IF(Skills!H5&gt;0,Skills!I5/Skills!H5,1)+IF(Skills!H5&gt;0,MIN(Skills!I5,MAX(0,MAX(0,Inputs!$B$43-B1367)-((R1336-1)*(IF(Inputs!$B$38="pvp",15,MAX(0.1,Skills!D5-IF(Skills!E5=TRUE,Inputs!$B$32,0)))*(1-IF(AND(ArtifactsInput!$M$27,Inputs!$B$4="Chapter Hunt"),CHOOSE(ArtifactsInput!$N$27+1,20,24,28,32,36,40),0)/100)))))/Skills!H5,1)))/Inputs!$B$43),G1336*Q1336)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1336*(1-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1336*(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1336*(1-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1336*(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36">
        <f>IF(C1336,(H1336*N1336*IF(AND(Inputs!$B$38&lt;&gt;"pvp",Inputs!$B$43&gt;0),((Skills!G5*((R1336-1)*IF(Skills!H5&gt;0,Skills!I5/Skills!H5,1)+IF(Skills!H5&gt;0,MIN(Skills!I5,MAX(0,MAX(0,Inputs!$B$43-B1367)-((R1336-1)*(IF(Inputs!$B$38="pvp",15,MAX(0.1,Skills!D5-IF(Skills!E5=TRUE,Inputs!$B$32,0)))*(1-IF(AND(ArtifactsInput!$M$27,Inputs!$B$4="Chapter Hunt"),CHOOSE(ArtifactsInput!$N$27+1,20,24,28,32,36,40),0)/100)))))/Skills!H5,1)))/Inputs!$B$43),G1336*Q1336)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7">
      <c r="A1337">
        <f>Skills!A6</f>
        <v/>
      </c>
      <c r="B1337">
        <f>Skills!B6</f>
        <v/>
      </c>
      <c r="C1337">
        <f>Inputs!$B$3&gt;=103</f>
        <v/>
      </c>
      <c r="D1337">
        <f>IF(Skills!C6=1,60+Inputs!$B$25+Inputs!$B$29,IF(Skills!C6=2,90+Inputs!$B$26+Inputs!$B$29,IF(Skills!C6=3,120+Inputs!$B$27+Inputs!$B$29,MAX(0,(Inputs!$B$3-100)*3)+Inputs!$B$28+Inputs!$B$29)))</f>
        <v/>
      </c>
      <c r="E1337">
        <f>INDEX(FactorTable!$B$2:$Y$301, MATCH(ROUND(MIN(300,MAX(1,D1337)),0), FactorTable!$A$2:$A$301,0), Skills!M6+1)</f>
        <v/>
      </c>
      <c r="F1337">
        <f>IF(Skills!N6=TRUE,(Skills!L6/10)*(E1337/1000),Skills!L6/10)+Skills!O6</f>
        <v/>
      </c>
      <c r="G1337">
        <f>Skills!G6*IF(Skills!H6&gt;0,Skills!I6/Skills!H6,1)</f>
        <v/>
      </c>
      <c r="H1337">
        <f>1-(1-Skills!J6/100)^Skills!K6</f>
        <v/>
      </c>
      <c r="I1337" t="inlineStr">
        <is>
          <t>1</t>
        </is>
      </c>
      <c r="J1337">
        <f>((Inputs!$B$6*(1+Inputs!$B$7/100))+(((Inputs!$B$12*(1+Inputs!$B$13/100))-(Inputs!$B$12*(1+Inputs!$B$13/100)))+0.25*(Inputs!$B$14-Inputs!$B$14))*(1+Inputs!$B$7/100))*(F1337/100)</f>
        <v/>
      </c>
      <c r="K1337">
        <f>J1337*(1+((Inputs!$B$12*(1+Inputs!$B$13/100))*0.01+Inputs!$B$14*0.0025)/100)*(1+Inputs!$B$15/100)*(1+Inputs!$B$16/100)*(5000/(6000+Inputs!$B$42*(1-(100*(1-(1-(Inputs!$B$19+0)/100)*(1-CHOOSE(ArtifactsInput!$N$40+1,5,6,7,8,9,10)/100)^(ArtifactsInput!$M$40-ArtifactsInput!$M$40)))/100)))*(1+(Inputs!$B$24+((C1356=TRUE)*(F1356-Calc!F25))+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1352=TRUE)*(F1352-Calc!F21))+(((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C1354=TRUE)*(F1354-Calc!F23)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(1+(((C1344=TRUE)*F1344*IF(Inputs!$B$3&gt;=110,7,5))+((C1346=TRUE)*F1346*IF(AND(Inputs!$B$38&lt;&gt;"pvp",Inputs!$B$43&gt;0),(((R1346-1)*(Skills!T15*(1+(Inputs!$B$34+(ArtifactsInput!$M$7-ArtifactsInput!$M$7)*CHOOSE(ArtifactsInput!$N$7+1,6,7.2,8.4,9.6,10.8,12))/100))+MIN((Skills!T15*(1+(Inputs!$B$34+(ArtifactsInput!$M$7-ArtifactsInput!$M$7)*CHOOSE(ArtifactsInput!$N$7+1,6,7.2,8.4,9.6,10.8,12))/100)),MAX(0,Inputs!$B$43-((R1346-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100)*I1337)</f>
        <v/>
      </c>
      <c r="L1337">
        <f>K1337*(MIN(Inputs!$B$22+((C1353=TRUE)*(F1353-Calc!F22)),(Inputs!$B$23+((C1355=TRUE)*(F1355-Calc!F24))+(IF(ArtifactsInput!$M$15,CHOOSE(ArtifactsInput!$N$15+1,25,30,35,40,45,50)/100*(Inputs!$B$11-Inputs!$B$11),0))))/100+(Inputs!$B$23+((C1355=TRUE)*(F1355-Calc!F24))+(IF(ArtifactsInput!$M$15,CHOOSE(ArtifactsInput!$N$15+1,25,30,35,40,45,50)/100*(Inputs!$B$11-Inputs!$B$11),0)))/100)/2</f>
        <v/>
      </c>
      <c r="M1337">
        <f>L1337*(1+(Inputs!$B$10+0+B1365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37">
        <f>L1337*(1-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1337*(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37">
        <f>(1-Summary!$B$11)*T1337+Summary!$B$11*V1337</f>
        <v/>
      </c>
      <c r="P1337">
        <f>IF(B1370=0,0,O1337/B1370)</f>
        <v/>
      </c>
      <c r="Q1337">
        <f>IFERROR(1/(IF(Inputs!$B$38="pvp",15,MAX(0.1,Skills!D6-IF(Skills!E6=TRUE,Inputs!$B$32,0)))*(1-IF(AND(ArtifactsInput!$M$27,Inputs!$B$4="Chapter Hunt"),CHOOSE(ArtifactsInput!$N$27+1,20,24,28,32,36,40),0)/100)),0)</f>
        <v/>
      </c>
      <c r="R1337">
        <f>IF(AND(Inputs!$B$38&lt;&gt;"pvp",Inputs!$B$43&gt;0),IF(MAX(0,Inputs!$B$43-B1367)&lt;=0,0,(INT(MAX(0,Inputs!$B$43-B1367)/(IF(Inputs!$B$38="pvp",15,MAX(0.1,Skills!D6-IF(Skills!E6=TRUE,Inputs!$B$32,0)))*(1-IF(AND(ArtifactsInput!$M$27,Inputs!$B$4="Chapter Hunt"),CHOOSE(ArtifactsInput!$N$27+1,20,24,28,32,36,40),0)/100)))+1)),0)</f>
        <v/>
      </c>
      <c r="S1337">
        <f>IFERROR(O1337/N1337,0)</f>
        <v/>
      </c>
      <c r="T1337">
        <f>IF(C1337,(H1337*N1337*IF(AND(Inputs!$B$38&lt;&gt;"pvp",Inputs!$B$43&gt;0),((Skills!G6*((R1337-1)*IF(Skills!H6&gt;0,Skills!I6/Skills!H6,1)+IF(Skills!H6&gt;0,MIN(Skills!I6,MAX(0,MAX(0,Inputs!$B$43-B1367)-((R1337-1)*(IF(Inputs!$B$38="pvp",15,MAX(0.1,Skills!D6-IF(Skills!E6=TRUE,Inputs!$B$32,0)))*(1-IF(AND(ArtifactsInput!$M$27,Inputs!$B$4="Chapter Hunt"),CHOOSE(ArtifactsInput!$N$27+1,20,24,28,32,36,40),0)/100)))))/Skills!H6,1)))/Inputs!$B$43),G1337*Q1337)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1337*(1-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1337*(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1337*(1-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1337*(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37">
        <f>IF(C1337,(H1337*N1337*IF(AND(Inputs!$B$38&lt;&gt;"pvp",Inputs!$B$43&gt;0),((Skills!G6*((R1337-1)*IF(Skills!H6&gt;0,Skills!I6/Skills!H6,1)+IF(Skills!H6&gt;0,MIN(Skills!I6,MAX(0,MAX(0,Inputs!$B$43-B1367)-((R1337-1)*(IF(Inputs!$B$38="pvp",15,MAX(0.1,Skills!D6-IF(Skills!E6=TRUE,Inputs!$B$32,0)))*(1-IF(AND(ArtifactsInput!$M$27,Inputs!$B$4="Chapter Hunt"),CHOOSE(ArtifactsInput!$N$27+1,20,24,28,32,36,40),0)/100)))))/Skills!H6,1)))/Inputs!$B$43),G1337*Q1337)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8">
      <c r="A1338">
        <f>Skills!A7</f>
        <v/>
      </c>
      <c r="B1338">
        <f>Skills!B7</f>
        <v/>
      </c>
      <c r="C1338">
        <f>Inputs!$B$3&gt;=107</f>
        <v/>
      </c>
      <c r="D1338">
        <f>IF(Skills!C7=1,60+Inputs!$B$25+Inputs!$B$29,IF(Skills!C7=2,90+Inputs!$B$26+Inputs!$B$29,IF(Skills!C7=3,120+Inputs!$B$27+Inputs!$B$29,MAX(0,(Inputs!$B$3-100)*3)+Inputs!$B$28+Inputs!$B$29)))</f>
        <v/>
      </c>
      <c r="E1338">
        <f>INDEX(FactorTable!$B$2:$Y$301, MATCH(ROUND(MIN(300,MAX(1,D1338)),0), FactorTable!$A$2:$A$301,0), Skills!M7+1)</f>
        <v/>
      </c>
      <c r="F1338">
        <f>IF(Skills!N7=TRUE,(Skills!L7/10)*(E1338/1000),Skills!L7/10)+Skills!O7</f>
        <v/>
      </c>
      <c r="G1338">
        <f>Skills!G7*IF(Skills!H7&gt;0,Skills!I7/Skills!H7,1)</f>
        <v/>
      </c>
      <c r="H1338">
        <f>1-(1-Skills!J7/100)^Skills!K7</f>
        <v/>
      </c>
      <c r="I1338" t="inlineStr">
        <is>
          <t>1</t>
        </is>
      </c>
      <c r="J1338">
        <f>((Inputs!$B$6*(1+Inputs!$B$7/100))+(((Inputs!$B$12*(1+Inputs!$B$13/100))-(Inputs!$B$12*(1+Inputs!$B$13/100)))+0.25*(Inputs!$B$14-Inputs!$B$14))*(1+Inputs!$B$7/100))*(F1338/100)</f>
        <v/>
      </c>
      <c r="K1338">
        <f>J1338*(1+((Inputs!$B$12*(1+Inputs!$B$13/100))*0.01+Inputs!$B$14*0.0025)/100)*(1+Inputs!$B$15/100)*(1+Inputs!$B$16/100)*(5000/(6000+Inputs!$B$42*(1-(100*(1-(1-(Inputs!$B$19+0)/100)*(1-CHOOSE(ArtifactsInput!$N$40+1,5,6,7,8,9,10)/100)^(ArtifactsInput!$M$40-ArtifactsInput!$M$40)))/100)))*(1+(Inputs!$B$24+((C1356=TRUE)*(F1356-Calc!F25))+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1352=TRUE)*(F1352-Calc!F21))+(((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C1354=TRUE)*(F1354-Calc!F23)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(1+(((C1344=TRUE)*F1344*IF(Inputs!$B$3&gt;=110,7,5))+((C1346=TRUE)*F1346*IF(AND(Inputs!$B$38&lt;&gt;"pvp",Inputs!$B$43&gt;0),(((R1346-1)*(Skills!T15*(1+(Inputs!$B$34+(ArtifactsInput!$M$7-ArtifactsInput!$M$7)*CHOOSE(ArtifactsInput!$N$7+1,6,7.2,8.4,9.6,10.8,12))/100))+MIN((Skills!T15*(1+(Inputs!$B$34+(ArtifactsInput!$M$7-ArtifactsInput!$M$7)*CHOOSE(ArtifactsInput!$N$7+1,6,7.2,8.4,9.6,10.8,12))/100)),MAX(0,Inputs!$B$43-((R1346-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100)*I1338)</f>
        <v/>
      </c>
      <c r="L1338">
        <f>K1338*(MIN(Inputs!$B$22+((C1353=TRUE)*(F1353-Calc!F22)),(Inputs!$B$23+((C1355=TRUE)*(F1355-Calc!F24))+(IF(ArtifactsInput!$M$15,CHOOSE(ArtifactsInput!$N$15+1,25,30,35,40,45,50)/100*(Inputs!$B$11-Inputs!$B$11),0))))/100+(Inputs!$B$23+((C1355=TRUE)*(F1355-Calc!F24))+(IF(ArtifactsInput!$M$15,CHOOSE(ArtifactsInput!$N$15+1,25,30,35,40,45,50)/100*(Inputs!$B$11-Inputs!$B$11),0)))/100)/2</f>
        <v/>
      </c>
      <c r="M1338">
        <f>L1338*(1+(Inputs!$B$10+0+B1365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38">
        <f>L1338*(1-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1338*(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38">
        <f>(1-Summary!$B$11)*T1338+Summary!$B$11*V1338</f>
        <v/>
      </c>
      <c r="P1338">
        <f>IF(B1370=0,0,O1338/B1370)</f>
        <v/>
      </c>
      <c r="Q1338">
        <f>IFERROR(1/(IF(Inputs!$B$38="pvp",15,MAX(0.1,Skills!D7-IF(Skills!E7=TRUE,Inputs!$B$32,0)))*(1-IF(AND(ArtifactsInput!$M$27,Inputs!$B$4="Chapter Hunt"),CHOOSE(ArtifactsInput!$N$27+1,20,24,28,32,36,40),0)/100)),0)</f>
        <v/>
      </c>
      <c r="R1338">
        <f>IF(AND(Inputs!$B$38&lt;&gt;"pvp",Inputs!$B$43&gt;0),IF(MAX(0,Inputs!$B$43-B1367)&lt;=0,0,(INT(MAX(0,Inputs!$B$43-B1367)/(IF(Inputs!$B$38="pvp",15,MAX(0.1,Skills!D7-IF(Skills!E7=TRUE,Inputs!$B$32,0)))*(1-IF(AND(ArtifactsInput!$M$27,Inputs!$B$4="Chapter Hunt"),CHOOSE(ArtifactsInput!$N$27+1,20,24,28,32,36,40),0)/100)))+1)),0)</f>
        <v/>
      </c>
      <c r="S1338">
        <f>IFERROR(O1338/N1338,0)</f>
        <v/>
      </c>
      <c r="T1338">
        <f>IF(C1338,(H1338*N1338*IF(AND(Inputs!$B$38&lt;&gt;"pvp",Inputs!$B$43&gt;0),((Skills!G7*((R1338-1)*IF(Skills!H7&gt;0,Skills!I7/Skills!H7,1)+IF(Skills!H7&gt;0,MIN(Skills!I7,MAX(0,MAX(0,Inputs!$B$43-B1367)-((R1338-1)*(IF(Inputs!$B$38="pvp",15,MAX(0.1,Skills!D7-IF(Skills!E7=TRUE,Inputs!$B$32,0)))*(1-IF(AND(ArtifactsInput!$M$27,Inputs!$B$4="Chapter Hunt"),CHOOSE(ArtifactsInput!$N$27+1,20,24,28,32,36,40),0)/100)))))/Skills!H7,1)))/Inputs!$B$43),G1338*Q1338)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1338*(1-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1338*(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1338*(1-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1338*(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38">
        <f>IF(C1338,(H1338*N1338*IF(AND(Inputs!$B$38&lt;&gt;"pvp",Inputs!$B$43&gt;0),((Skills!G7*((R1338-1)*IF(Skills!H7&gt;0,Skills!I7/Skills!H7,1)+IF(Skills!H7&gt;0,MIN(Skills!I7,MAX(0,MAX(0,Inputs!$B$43-B1367)-((R1338-1)*(IF(Inputs!$B$38="pvp",15,MAX(0.1,Skills!D7-IF(Skills!E7=TRUE,Inputs!$B$32,0)))*(1-IF(AND(ArtifactsInput!$M$27,Inputs!$B$4="Chapter Hunt"),CHOOSE(ArtifactsInput!$N$27+1,20,24,28,32,36,40),0)/100)))))/Skills!H7,1)))/Inputs!$B$43),G1338*Q1338)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9">
      <c r="A1339">
        <f>Skills!A8</f>
        <v/>
      </c>
      <c r="B1339">
        <f>Skills!B8</f>
        <v/>
      </c>
      <c r="C1339">
        <f>Inputs!$B$3&gt;=117</f>
        <v/>
      </c>
      <c r="D1339">
        <f>IF(Skills!C8=1,60+Inputs!$B$25+Inputs!$B$29,IF(Skills!C8=2,90+Inputs!$B$26+Inputs!$B$29,IF(Skills!C8=3,120+Inputs!$B$27+Inputs!$B$29,MAX(0,(Inputs!$B$3-100)*3)+Inputs!$B$28+Inputs!$B$29)))</f>
        <v/>
      </c>
      <c r="E1339">
        <f>INDEX(FactorTable!$B$2:$Y$301, MATCH(ROUND(MIN(300,MAX(1,D1339)),0), FactorTable!$A$2:$A$301,0), Skills!M8+1)</f>
        <v/>
      </c>
      <c r="F1339">
        <f>IF(Skills!N8=TRUE,(Skills!L8/10)*(E1339/1000),Skills!L8/10)+Skills!O8</f>
        <v/>
      </c>
      <c r="G1339">
        <f>Skills!G8*IF(Skills!H8&gt;0,Skills!I8/Skills!H8,1)</f>
        <v/>
      </c>
      <c r="H1339">
        <f>1-(1-Skills!J8/100)^Skills!K8</f>
        <v/>
      </c>
      <c r="I1339" t="inlineStr">
        <is>
          <t>1</t>
        </is>
      </c>
      <c r="J1339">
        <f>((Inputs!$B$6*(1+Inputs!$B$7/100))+(((Inputs!$B$12*(1+Inputs!$B$13/100))-(Inputs!$B$12*(1+Inputs!$B$13/100)))+0.25*(Inputs!$B$14-Inputs!$B$14))*(1+Inputs!$B$7/100))*(F1339/100)</f>
        <v/>
      </c>
      <c r="K1339">
        <f>J1339*(1+((Inputs!$B$12*(1+Inputs!$B$13/100))*0.01+Inputs!$B$14*0.0025)/100)*(1+Inputs!$B$15/100)*(1+Inputs!$B$16/100)*(5000/(6000+Inputs!$B$42*(1-(100*(1-(1-(Inputs!$B$19+0)/100)*(1-CHOOSE(ArtifactsInput!$N$40+1,5,6,7,8,9,10)/100)^(ArtifactsInput!$M$40-ArtifactsInput!$M$40)))/100)))*(1+(Inputs!$B$24+((C1356=TRUE)*(F1356-Calc!F25))+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1352=TRUE)*(F1352-Calc!F21))+(((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C1354=TRUE)*(F1354-Calc!F23)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(1+(((C1344=TRUE)*F1344*IF(Inputs!$B$3&gt;=110,7,5))+((C1346=TRUE)*F1346*IF(AND(Inputs!$B$38&lt;&gt;"pvp",Inputs!$B$43&gt;0),(((R1346-1)*(Skills!T15*(1+(Inputs!$B$34+(ArtifactsInput!$M$7-ArtifactsInput!$M$7)*CHOOSE(ArtifactsInput!$N$7+1,6,7.2,8.4,9.6,10.8,12))/100))+MIN((Skills!T15*(1+(Inputs!$B$34+(ArtifactsInput!$M$7-ArtifactsInput!$M$7)*CHOOSE(ArtifactsInput!$N$7+1,6,7.2,8.4,9.6,10.8,12))/100)),MAX(0,Inputs!$B$43-((R1346-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100)*I1339)</f>
        <v/>
      </c>
      <c r="L1339">
        <f>K1339*(MIN(Inputs!$B$22+((C1353=TRUE)*(F1353-Calc!F22)),(Inputs!$B$23+((C1355=TRUE)*(F1355-Calc!F24))+(IF(ArtifactsInput!$M$15,CHOOSE(ArtifactsInput!$N$15+1,25,30,35,40,45,50)/100*(Inputs!$B$11-Inputs!$B$11),0))))/100+(Inputs!$B$23+((C1355=TRUE)*(F1355-Calc!F24))+(IF(ArtifactsInput!$M$15,CHOOSE(ArtifactsInput!$N$15+1,25,30,35,40,45,50)/100*(Inputs!$B$11-Inputs!$B$11),0)))/100)/2</f>
        <v/>
      </c>
      <c r="M1339">
        <f>L1339*(1+(Inputs!$B$10+0+B1365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39">
        <f>L1339*(1-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1339*(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39">
        <f>(1-Summary!$B$11)*T1339+Summary!$B$11*V1339</f>
        <v/>
      </c>
      <c r="P1339">
        <f>IF(B1370=0,0,O1339/B1370)</f>
        <v/>
      </c>
      <c r="Q1339">
        <f>IFERROR(1/(IF(Inputs!$B$38="pvp",15,MAX(0.1,Skills!D8-IF(Skills!E8=TRUE,Inputs!$B$32,0)))*(1-IF(AND(ArtifactsInput!$M$27,Inputs!$B$4="Chapter Hunt"),CHOOSE(ArtifactsInput!$N$27+1,20,24,28,32,36,40),0)/100)),0)</f>
        <v/>
      </c>
      <c r="R1339">
        <f>IF(AND(Inputs!$B$38&lt;&gt;"pvp",Inputs!$B$43&gt;0),IF(MAX(0,Inputs!$B$43-B1367)&lt;=0,0,(INT(MAX(0,Inputs!$B$43-B1367)/(IF(Inputs!$B$38="pvp",15,MAX(0.1,Skills!D8-IF(Skills!E8=TRUE,Inputs!$B$32,0)))*(1-IF(AND(ArtifactsInput!$M$27,Inputs!$B$4="Chapter Hunt"),CHOOSE(ArtifactsInput!$N$27+1,20,24,28,32,36,40),0)/100)))+1)),0)</f>
        <v/>
      </c>
      <c r="S1339">
        <f>IFERROR(O1339/N1339,0)</f>
        <v/>
      </c>
      <c r="T1339">
        <f>IF(C1339,(H1339*N1339*IF(AND(Inputs!$B$38&lt;&gt;"pvp",Inputs!$B$43&gt;0),((Skills!G8*((R1339-1)*IF(Skills!H8&gt;0,Skills!I8/Skills!H8,1)+IF(Skills!H8&gt;0,MIN(Skills!I8,MAX(0,MAX(0,Inputs!$B$43-B1367)-((R1339-1)*(IF(Inputs!$B$38="pvp",15,MAX(0.1,Skills!D8-IF(Skills!E8=TRUE,Inputs!$B$32,0)))*(1-IF(AND(ArtifactsInput!$M$27,Inputs!$B$4="Chapter Hunt"),CHOOSE(ArtifactsInput!$N$27+1,20,24,28,32,36,40),0)/100)))))/Skills!H8,1)))/Inputs!$B$43),G1339*Q1339)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1339*(1-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1339*(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1339*(1-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1339*(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39">
        <f>IF(C1339,(H1339*N1339*IF(AND(Inputs!$B$38&lt;&gt;"pvp",Inputs!$B$43&gt;0),((Skills!G8*((R1339-1)*IF(Skills!H8&gt;0,Skills!I8/Skills!H8,1)+IF(Skills!H8&gt;0,MIN(Skills!I8,MAX(0,MAX(0,Inputs!$B$43-B1367)-((R1339-1)*(IF(Inputs!$B$38="pvp",15,MAX(0.1,Skills!D8-IF(Skills!E8=TRUE,Inputs!$B$32,0)))*(1-IF(AND(ArtifactsInput!$M$27,Inputs!$B$4="Chapter Hunt"),CHOOSE(ArtifactsInput!$N$27+1,20,24,28,32,36,40),0)/100)))))/Skills!H8,1)))/Inputs!$B$43),G1339*Q1339)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0">
      <c r="A1340">
        <f>Skills!A9</f>
        <v/>
      </c>
      <c r="B1340">
        <f>Skills!B9</f>
        <v/>
      </c>
      <c r="C1340">
        <f>Inputs!$B$3&gt;=69</f>
        <v/>
      </c>
      <c r="D1340">
        <f>IF(Skills!C9=1,60+Inputs!$B$25+Inputs!$B$29,IF(Skills!C9=2,90+Inputs!$B$26+Inputs!$B$29,IF(Skills!C9=3,120+Inputs!$B$27+Inputs!$B$29,MAX(0,(Inputs!$B$3-100)*3)+Inputs!$B$28+Inputs!$B$29)))</f>
        <v/>
      </c>
      <c r="E1340">
        <f>INDEX(FactorTable!$B$2:$Y$301, MATCH(ROUND(MIN(300,MAX(1,D1340)),0), FactorTable!$A$2:$A$301,0), Skills!M9+1)</f>
        <v/>
      </c>
      <c r="F1340">
        <f>IF(Skills!N9=TRUE,(Skills!L9/10)*(E1340/1000),Skills!L9/10)+Skills!O9</f>
        <v/>
      </c>
      <c r="G1340">
        <f>Skills!G9*IF(Skills!H9&gt;0,Skills!I9/Skills!H9,1)</f>
        <v/>
      </c>
      <c r="H1340">
        <f>1-(1-Skills!J9/100)^Skills!K9</f>
        <v/>
      </c>
      <c r="I1340" t="inlineStr">
        <is>
          <t>1</t>
        </is>
      </c>
      <c r="J1340">
        <f>((Inputs!$B$6*(1+Inputs!$B$7/100))+(((Inputs!$B$12*(1+Inputs!$B$13/100))-(Inputs!$B$12*(1+Inputs!$B$13/100)))+0.25*(Inputs!$B$14-Inputs!$B$14))*(1+Inputs!$B$7/100))*(F1340/100)</f>
        <v/>
      </c>
      <c r="K1340">
        <f>J1340*(1+((Inputs!$B$12*(1+Inputs!$B$13/100))*0.01+Inputs!$B$14*0.0025)/100)*(1+Inputs!$B$15/100)*(1+Inputs!$B$16/100)*(5000/(6000+Inputs!$B$42*(1-(100*(1-(1-(Inputs!$B$19+0)/100)*(1-CHOOSE(ArtifactsInput!$N$40+1,5,6,7,8,9,10)/100)^(ArtifactsInput!$M$40-ArtifactsInput!$M$40)))/100)))*(1+(Inputs!$B$24+((C1356=TRUE)*(F1356-Calc!F25))+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1343=TRUE,F1343,0)/100)*(1+IF(Skills!A9="ENHANCED_RAGING_BLOW",IF(Inputs!$B$3&gt;=134,MAX(0,IF(Inputs!$B$3&gt;=110,7,5)-5)*50,0),0)/100)*(1+(IF(Skills!A9="RAGING_BLOW",Inputs!$B$17+((C1352=TRUE)*(F1352-Calc!F21))+(((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C1354=TRUE)*(F1354-Calc!F23)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(1+(((C1344=TRUE)*F1344*IF(Inputs!$B$3&gt;=110,7,5))+((C1346=TRUE)*F1346*IF(AND(Inputs!$B$38&lt;&gt;"pvp",Inputs!$B$43&gt;0),(((R1346-1)*(Skills!T15*(1+(Inputs!$B$34+(ArtifactsInput!$M$7-ArtifactsInput!$M$7)*CHOOSE(ArtifactsInput!$N$7+1,6,7.2,8.4,9.6,10.8,12))/100))+MIN((Skills!T15*(1+(Inputs!$B$34+(ArtifactsInput!$M$7-ArtifactsInput!$M$7)*CHOOSE(ArtifactsInput!$N$7+1,6,7.2,8.4,9.6,10.8,12))/100)),MAX(0,Inputs!$B$43-((R1346-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100)*I1340)</f>
        <v/>
      </c>
      <c r="L1340">
        <f>K1340*(MIN(Inputs!$B$22+((C1353=TRUE)*(F1353-Calc!F22)),(Inputs!$B$23+((C1355=TRUE)*(F1355-Calc!F24))+(IF(ArtifactsInput!$M$15,CHOOSE(ArtifactsInput!$N$15+1,25,30,35,40,45,50)/100*(Inputs!$B$11-Inputs!$B$11),0))))/100+(Inputs!$B$23+((C1355=TRUE)*(F1355-Calc!F24))+(IF(ArtifactsInput!$M$15,CHOOSE(ArtifactsInput!$N$15+1,25,30,35,40,45,50)/100*(Inputs!$B$11-Inputs!$B$11),0)))/100)/2</f>
        <v/>
      </c>
      <c r="M1340">
        <f>L1340*(1+(Inputs!$B$10+0+B1365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40">
        <f>L1340*(1-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1340*(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40">
        <f>(1-Summary!$B$11)*T1340+Summary!$B$11*V1340</f>
        <v/>
      </c>
      <c r="P1340">
        <f>IF(B1370=0,0,O1340/B1370)</f>
        <v/>
      </c>
      <c r="Q1340">
        <f>IFERROR(1/(IF(Inputs!$B$38="pvp",15,MAX(0.1,Skills!D9-IF(Skills!E9=TRUE,Inputs!$B$32,0)))*(1-IF(AND(ArtifactsInput!$M$27,Inputs!$B$4="Chapter Hunt"),CHOOSE(ArtifactsInput!$N$27+1,20,24,28,32,36,40),0)/100)),0)</f>
        <v/>
      </c>
      <c r="R1340">
        <f>IF(AND(Inputs!$B$38&lt;&gt;"pvp",Inputs!$B$43&gt;0),IF(MAX(0,Inputs!$B$43-B1367)&lt;=0,0,(INT(MAX(0,Inputs!$B$43-B1367)/(IF(Inputs!$B$38="pvp",15,MAX(0.1,Skills!D9-IF(Skills!E9=TRUE,Inputs!$B$32,0)))*(1-IF(AND(ArtifactsInput!$M$27,Inputs!$B$4="Chapter Hunt"),CHOOSE(ArtifactsInput!$N$27+1,20,24,28,32,36,40),0)/100)))+1)),0)</f>
        <v/>
      </c>
      <c r="S1340">
        <f>IFERROR(O1340/N1340,0)</f>
        <v/>
      </c>
      <c r="T1340">
        <f>IF(C1340,(H1340*N1340*IF(AND(Inputs!$B$38&lt;&gt;"pvp",Inputs!$B$43&gt;0),((Skills!G9*((R1340-1)*IF(Skills!H9&gt;0,Skills!I9/Skills!H9,1)+IF(Skills!H9&gt;0,MIN(Skills!I9,MAX(0,MAX(0,Inputs!$B$43-B1367)-((R1340-1)*(IF(Inputs!$B$38="pvp",15,MAX(0.1,Skills!D9-IF(Skills!E9=TRUE,Inputs!$B$32,0)))*(1-IF(AND(ArtifactsInput!$M$27,Inputs!$B$4="Chapter Hunt"),CHOOSE(ArtifactsInput!$N$27+1,20,24,28,32,36,40),0)/100)))))/Skills!H9,1)))/Inputs!$B$43),G1340*Q1340)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1340*(1-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1340*(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1340*(1-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1340*(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0">
        <f>IF(C1340,(H1340*N1340*IF(AND(Inputs!$B$38&lt;&gt;"pvp",Inputs!$B$43&gt;0),((Skills!G9*((R1340-1)*IF(Skills!H9&gt;0,Skills!I9/Skills!H9,1)+IF(Skills!H9&gt;0,MIN(Skills!I9,MAX(0,MAX(0,Inputs!$B$43-B1367)-((R1340-1)*(IF(Inputs!$B$38="pvp",15,MAX(0.1,Skills!D9-IF(Skills!E9=TRUE,Inputs!$B$32,0)))*(1-IF(AND(ArtifactsInput!$M$27,Inputs!$B$4="Chapter Hunt"),CHOOSE(ArtifactsInput!$N$27+1,20,24,28,32,36,40),0)/100)))))/Skills!H9,1)))/Inputs!$B$43),G1340*Q1340)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1">
      <c r="A1341">
        <f>Skills!A10</f>
        <v/>
      </c>
      <c r="B1341">
        <f>Skills!B10</f>
        <v/>
      </c>
      <c r="C1341">
        <f>Inputs!$B$3&gt;=63</f>
        <v/>
      </c>
      <c r="D1341">
        <f>IF(Skills!C10=1,60+Inputs!$B$25+Inputs!$B$29,IF(Skills!C10=2,90+Inputs!$B$26+Inputs!$B$29,IF(Skills!C10=3,120+Inputs!$B$27+Inputs!$B$29,MAX(0,(Inputs!$B$3-100)*3)+Inputs!$B$28+Inputs!$B$29)))</f>
        <v/>
      </c>
      <c r="E1341">
        <f>INDEX(FactorTable!$B$2:$Y$301, MATCH(ROUND(MIN(300,MAX(1,D1341)),0), FactorTable!$A$2:$A$301,0), Skills!M10+1)</f>
        <v/>
      </c>
      <c r="F1341">
        <f>IF(Skills!N10=TRUE,(Skills!L10/10)*(E1341/1000),Skills!L10/10)+Skills!O10</f>
        <v/>
      </c>
      <c r="G1341">
        <f>Skills!G10*IF(Skills!H10&gt;0,Skills!I10/Skills!H10,1)</f>
        <v/>
      </c>
      <c r="H1341">
        <f>1-(1-Skills!J10/100)^Skills!K10</f>
        <v/>
      </c>
      <c r="I1341" t="inlineStr">
        <is>
          <t>1</t>
        </is>
      </c>
      <c r="J1341">
        <f>((Inputs!$B$6*(1+Inputs!$B$7/100))+(((Inputs!$B$12*(1+Inputs!$B$13/100))-(Inputs!$B$12*(1+Inputs!$B$13/100)))+0.25*(Inputs!$B$14-Inputs!$B$14))*(1+Inputs!$B$7/100))*(F1341/100)</f>
        <v/>
      </c>
      <c r="K1341">
        <f>J1341*(1+((Inputs!$B$12*(1+Inputs!$B$13/100))*0.01+Inputs!$B$14*0.0025)/100)*(1+Inputs!$B$15/100)*(1+Inputs!$B$16/100)*(5000/(6000+Inputs!$B$42*(1-(100*(1-(1-(Inputs!$B$19+0)/100)*(1-CHOOSE(ArtifactsInput!$N$40+1,5,6,7,8,9,10)/100)^(ArtifactsInput!$M$40-ArtifactsInput!$M$40)))/100)))*(1+(Inputs!$B$24+((C1356=TRUE)*(F1356-Calc!F25))+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1343=TRUE,F1343,0)/100)*(1+IF(Skills!A10="ENHANCED_RAGING_BLOW",IF(Inputs!$B$3&gt;=134,MAX(0,IF(Inputs!$B$3&gt;=110,7,5)-5)*50,0),0)/100)*(1+(IF(Skills!A10="RAGING_BLOW",Inputs!$B$17+((C1352=TRUE)*(F1352-Calc!F21))+(((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C1354=TRUE)*(F1354-Calc!F23)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(1+(((C1344=TRUE)*F1344*IF(Inputs!$B$3&gt;=110,7,5))+((C1346=TRUE)*F1346*IF(AND(Inputs!$B$38&lt;&gt;"pvp",Inputs!$B$43&gt;0),(((R1346-1)*(Skills!T15*(1+(Inputs!$B$34+(ArtifactsInput!$M$7-ArtifactsInput!$M$7)*CHOOSE(ArtifactsInput!$N$7+1,6,7.2,8.4,9.6,10.8,12))/100))+MIN((Skills!T15*(1+(Inputs!$B$34+(ArtifactsInput!$M$7-ArtifactsInput!$M$7)*CHOOSE(ArtifactsInput!$N$7+1,6,7.2,8.4,9.6,10.8,12))/100)),MAX(0,Inputs!$B$43-((R1346-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100)*I1341)</f>
        <v/>
      </c>
      <c r="L1341">
        <f>K1341*(MIN(Inputs!$B$22+((C1353=TRUE)*(F1353-Calc!F22)),(Inputs!$B$23+((C1355=TRUE)*(F1355-Calc!F24))+(IF(ArtifactsInput!$M$15,CHOOSE(ArtifactsInput!$N$15+1,25,30,35,40,45,50)/100*(Inputs!$B$11-Inputs!$B$11),0))))/100+(Inputs!$B$23+((C1355=TRUE)*(F1355-Calc!F24))+(IF(ArtifactsInput!$M$15,CHOOSE(ArtifactsInput!$N$15+1,25,30,35,40,45,50)/100*(Inputs!$B$11-Inputs!$B$11),0)))/100)/2</f>
        <v/>
      </c>
      <c r="M1341">
        <f>L1341*(1+(Inputs!$B$10+0+B1365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41">
        <f>L1341*(1-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1341*(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41">
        <f>(1-Summary!$B$11)*T1341+Summary!$B$11*V1341</f>
        <v/>
      </c>
      <c r="P1341">
        <f>IF(B1370=0,0,O1341/B1370)</f>
        <v/>
      </c>
      <c r="Q1341">
        <f>IFERROR(1/(IF(Inputs!$B$38="pvp",15,MAX(0.1,Skills!D10-IF(Skills!E10=TRUE,Inputs!$B$32,0)))*(1-IF(AND(ArtifactsInput!$M$27,Inputs!$B$4="Chapter Hunt"),CHOOSE(ArtifactsInput!$N$27+1,20,24,28,32,36,40),0)/100)),0)</f>
        <v/>
      </c>
      <c r="R1341">
        <f>IF(AND(Inputs!$B$38&lt;&gt;"pvp",Inputs!$B$43&gt;0),IF(MAX(0,Inputs!$B$43-B1367)&lt;=0,0,(INT(MAX(0,Inputs!$B$43-B1367)/(IF(Inputs!$B$38="pvp",15,MAX(0.1,Skills!D10-IF(Skills!E10=TRUE,Inputs!$B$32,0)))*(1-IF(AND(ArtifactsInput!$M$27,Inputs!$B$4="Chapter Hunt"),CHOOSE(ArtifactsInput!$N$27+1,20,24,28,32,36,40),0)/100)))+1)),0)</f>
        <v/>
      </c>
      <c r="S1341">
        <f>IFERROR(O1341/N1341,0)</f>
        <v/>
      </c>
      <c r="T1341">
        <f>IF(C1341,(H1341*N1341*IF(AND(Inputs!$B$38&lt;&gt;"pvp",Inputs!$B$43&gt;0),((Skills!G10*((R1341-1)*IF(Skills!H10&gt;0,Skills!I10/Skills!H10,1)+IF(Skills!H10&gt;0,MIN(Skills!I10,MAX(0,MAX(0,Inputs!$B$43-B1367)-((R1341-1)*(IF(Inputs!$B$38="pvp",15,MAX(0.1,Skills!D10-IF(Skills!E10=TRUE,Inputs!$B$32,0)))*(1-IF(AND(ArtifactsInput!$M$27,Inputs!$B$4="Chapter Hunt"),CHOOSE(ArtifactsInput!$N$27+1,20,24,28,32,36,40),0)/100)))))/Skills!H10,1)))/Inputs!$B$43),G1341*Q1341)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1341*(1-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1341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1341*(1-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1341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1">
        <f>IF(C1341,(H1341*N1341*IF(AND(Inputs!$B$38&lt;&gt;"pvp",Inputs!$B$43&gt;0),((Skills!G10*((R1341-1)*IF(Skills!H10&gt;0,Skills!I10/Skills!H10,1)+IF(Skills!H10&gt;0,MIN(Skills!I10,MAX(0,MAX(0,Inputs!$B$43-B1367)-((R1341-1)*(IF(Inputs!$B$38="pvp",15,MAX(0.1,Skills!D10-IF(Skills!E10=TRUE,Inputs!$B$32,0)))*(1-IF(AND(ArtifactsInput!$M$27,Inputs!$B$4="Chapter Hunt"),CHOOSE(ArtifactsInput!$N$27+1,20,24,28,32,36,40),0)/100)))))/Skills!H10,1)))/Inputs!$B$43),G1341*Q1341)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2">
      <c r="A1342">
        <f>Skills!A11</f>
        <v/>
      </c>
      <c r="B1342">
        <f>Skills!B11</f>
        <v/>
      </c>
      <c r="C1342">
        <f>Inputs!$B$3&gt;=35</f>
        <v/>
      </c>
      <c r="D1342">
        <f>IF(Skills!C11=1,60+Inputs!$B$25+Inputs!$B$29,IF(Skills!C11=2,90+Inputs!$B$26+Inputs!$B$29,IF(Skills!C11=3,120+Inputs!$B$27+Inputs!$B$29,MAX(0,(Inputs!$B$3-100)*3)+Inputs!$B$28+Inputs!$B$29)))</f>
        <v/>
      </c>
      <c r="E1342">
        <f>INDEX(FactorTable!$B$2:$Y$301, MATCH(ROUND(MIN(300,MAX(1,D1342)),0), FactorTable!$A$2:$A$301,0), Skills!M11+1)</f>
        <v/>
      </c>
      <c r="F1342">
        <f>IF(Skills!N11=TRUE,(Skills!L11/10)*(E1342/1000),Skills!L11/10)+Skills!O11</f>
        <v/>
      </c>
      <c r="G1342">
        <f>Skills!G11*IF(Skills!H11&gt;0,Skills!I11/Skills!H11,1)</f>
        <v/>
      </c>
      <c r="H1342">
        <f>1-(1-Skills!J11/100)^Skills!K11</f>
        <v/>
      </c>
      <c r="I1342" t="inlineStr">
        <is>
          <t>1</t>
        </is>
      </c>
      <c r="J1342">
        <f>((Inputs!$B$6*(1+Inputs!$B$7/100))+(((Inputs!$B$12*(1+Inputs!$B$13/100))-(Inputs!$B$12*(1+Inputs!$B$13/100)))+0.25*(Inputs!$B$14-Inputs!$B$14))*(1+Inputs!$B$7/100))*(F1342/100)</f>
        <v/>
      </c>
      <c r="K1342">
        <f>J1342*(1+((Inputs!$B$12*(1+Inputs!$B$13/100))*0.01+Inputs!$B$14*0.0025)/100)*(1+Inputs!$B$15/100)*(1+Inputs!$B$16/100)*(5000/(6000+Inputs!$B$42*(1-(100*(1-(1-(Inputs!$B$19+0)/100)*(1-CHOOSE(ArtifactsInput!$N$40+1,5,6,7,8,9,10)/100)^(ArtifactsInput!$M$40-ArtifactsInput!$M$40)))/100)))*(1+(Inputs!$B$24+((C1356=TRUE)*(F1356-Calc!F25))+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1343=TRUE,F1343,0)/100)*(1+IF(Skills!A11="ENHANCED_RAGING_BLOW",IF(Inputs!$B$3&gt;=134,MAX(0,IF(Inputs!$B$3&gt;=110,7,5)-5)*50,0),0)/100)*(1+(IF(Skills!A11="RAGING_BLOW",Inputs!$B$17+((C1352=TRUE)*(F1352-Calc!F21))+(((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C1354=TRUE)*(F1354-Calc!F23)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(1+(((C1344=TRUE)*F1344*IF(Inputs!$B$3&gt;=110,7,5))+((C1346=TRUE)*F1346*IF(AND(Inputs!$B$38&lt;&gt;"pvp",Inputs!$B$43&gt;0),(((R1346-1)*(Skills!T15*(1+(Inputs!$B$34+(ArtifactsInput!$M$7-ArtifactsInput!$M$7)*CHOOSE(ArtifactsInput!$N$7+1,6,7.2,8.4,9.6,10.8,12))/100))+MIN((Skills!T15*(1+(Inputs!$B$34+(ArtifactsInput!$M$7-ArtifactsInput!$M$7)*CHOOSE(ArtifactsInput!$N$7+1,6,7.2,8.4,9.6,10.8,12))/100)),MAX(0,Inputs!$B$43-((R1346-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100)*I1342)</f>
        <v/>
      </c>
      <c r="L1342">
        <f>K1342*(MIN(Inputs!$B$22+((C1353=TRUE)*(F1353-Calc!F22)),(Inputs!$B$23+((C1355=TRUE)*(F1355-Calc!F24))+(IF(ArtifactsInput!$M$15,CHOOSE(ArtifactsInput!$N$15+1,25,30,35,40,45,50)/100*(Inputs!$B$11-Inputs!$B$11),0))))/100+(Inputs!$B$23+((C1355=TRUE)*(F1355-Calc!F24))+(IF(ArtifactsInput!$M$15,CHOOSE(ArtifactsInput!$N$15+1,25,30,35,40,45,50)/100*(Inputs!$B$11-Inputs!$B$11),0)))/100)/2</f>
        <v/>
      </c>
      <c r="M1342">
        <f>L1342*(1+(Inputs!$B$10+0+B1365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42">
        <f>L1342*(1-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1342*(MIN((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42">
        <f>(1-Summary!$B$11)*T1342+Summary!$B$11*V1342</f>
        <v/>
      </c>
      <c r="P1342">
        <f>IF(B1370=0,0,O1342/B1370)</f>
        <v/>
      </c>
      <c r="Q1342">
        <f>IFERROR(1/(IF(Inputs!$B$38="pvp",15,MAX(0.1,Skills!D11-IF(Skills!E11=TRUE,Inputs!$B$32,0)))*(1-IF(AND(ArtifactsInput!$M$27,Inputs!$B$4="Chapter Hunt"),CHOOSE(ArtifactsInput!$N$27+1,20,24,28,32,36,40),0)/100)),0)</f>
        <v/>
      </c>
      <c r="R1342">
        <f>IF(AND(Inputs!$B$38&lt;&gt;"pvp",Inputs!$B$43&gt;0),IF(MAX(0,Inputs!$B$43-B1367)&lt;=0,0,(INT(MAX(0,Inputs!$B$43-B1367)/(IF(Inputs!$B$38="pvp",15,MAX(0.1,Skills!D11-IF(Skills!E11=TRUE,Inputs!$B$32,0)))*(1-IF(AND(ArtifactsInput!$M$27,Inputs!$B$4="Chapter Hunt"),CHOOSE(ArtifactsInput!$N$27+1,20,24,28,32,36,40),0)/100)))+1)),0)</f>
        <v/>
      </c>
      <c r="S1342">
        <f>IFERROR(O1342/N1342,0)</f>
        <v/>
      </c>
      <c r="T1342">
        <f>IF(C1342,(H1342*N1342*IF(AND(Inputs!$B$38&lt;&gt;"pvp",Inputs!$B$43&gt;0),((Skills!G11*((R1342-1)*IF(Skills!H11&gt;0,Skills!I11/Skills!H11,1)+IF(Skills!H11&gt;0,MIN(Skills!I11,MAX(0,MAX(0,Inputs!$B$43-B1367)-((R1342-1)*(IF(Inputs!$B$38="pvp",15,MAX(0.1,Skills!D11-IF(Skills!E11=TRUE,Inputs!$B$32,0)))*(1-IF(AND(ArtifactsInput!$M$27,Inputs!$B$4="Chapter Hunt"),CHOOSE(ArtifactsInput!$N$27+1,20,24,28,32,36,40),0)/100)))))/Skills!H11,1)))/Inputs!$B$43),G1342*Q1342)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1342*(1-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1342*(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1342*(1-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1342*(MIN(100,(Inputs!$B$9+((C1357=TRUE)*(F1357-Calc!F26))+B1360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2">
        <f>IF(C1342,(H1342*N1342*IF(AND(Inputs!$B$38&lt;&gt;"pvp",Inputs!$B$43&gt;0),((Skills!G11*((R1342-1)*IF(Skills!H11&gt;0,Skills!I11/Skills!H11,1)+IF(Skills!H11&gt;0,MIN(Skills!I11,MAX(0,MAX(0,Inputs!$B$43-B1367)-((R1342-1)*(IF(Inputs!$B$38="pvp",15,MAX(0.1,Skills!D11-IF(Skills!E11=TRUE,Inputs!$B$32,0)))*(1-IF(AND(ArtifactsInput!$M$27,Inputs!$B$4="Chapter Hunt"),CHOOSE(ArtifactsInput!$N$27+1,20,24,28,32,36,40),0)/100)))))/Skills!H11,1)))/Inputs!$B$43),G1342*Q1342)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3">
      <c r="A1343">
        <f>Skills!A12</f>
        <v/>
      </c>
      <c r="B1343">
        <f>Skills!B12</f>
        <v/>
      </c>
      <c r="C1343">
        <f>Inputs!$B$3&gt;=100</f>
        <v/>
      </c>
      <c r="D1343">
        <f>IF(Skills!C12=1,60+Inputs!$B$25+Inputs!$B$29,IF(Skills!C12=2,90+Inputs!$B$26+Inputs!$B$29,IF(Skills!C12=3,120+Inputs!$B$27+Inputs!$B$29,MAX(0,(Inputs!$B$3-100)*3)+Inputs!$B$28+Inputs!$B$29)))</f>
        <v/>
      </c>
      <c r="E1343">
        <f>INDEX(FactorTable!$B$2:$Y$301, MATCH(ROUND(MIN(300,MAX(1,D1343)),0), FactorTable!$A$2:$A$301,0), Skills!M12+1)</f>
        <v/>
      </c>
      <c r="F1343">
        <f>IF(Skills!N12=TRUE,(Skills!L12/10)*(E1343/1000),Skills!L12/10)+Skills!O12</f>
        <v/>
      </c>
      <c r="G1343" t="inlineStr"/>
      <c r="H1343" t="inlineStr"/>
      <c r="I1343" t="inlineStr">
        <is>
          <t>1</t>
        </is>
      </c>
      <c r="J1343" t="inlineStr"/>
      <c r="K1343" t="inlineStr"/>
      <c r="L1343" t="inlineStr"/>
      <c r="M1343" t="inlineStr"/>
      <c r="N1343" t="inlineStr"/>
      <c r="O1343" t="inlineStr"/>
      <c r="P1343" t="inlineStr"/>
      <c r="Q1343" t="inlineStr"/>
      <c r="R1343" t="inlineStr"/>
      <c r="S1343" t="inlineStr"/>
    </row>
    <row r="1344">
      <c r="A1344">
        <f>Skills!A13</f>
        <v/>
      </c>
      <c r="B1344">
        <f>Skills!B13</f>
        <v/>
      </c>
      <c r="C1344">
        <f>Inputs!$B$3&gt;=45</f>
        <v/>
      </c>
      <c r="D1344">
        <f>IF(Skills!C13=1,60+Inputs!$B$25+Inputs!$B$29,IF(Skills!C13=2,90+Inputs!$B$26+Inputs!$B$29,IF(Skills!C13=3,120+Inputs!$B$27+Inputs!$B$29,MAX(0,(Inputs!$B$3-100)*3)+Inputs!$B$28+Inputs!$B$29)))</f>
        <v/>
      </c>
      <c r="E1344">
        <f>INDEX(FactorTable!$B$2:$Y$301, MATCH(ROUND(MIN(300,MAX(1,D1344)),0), FactorTable!$A$2:$A$301,0), Skills!M13+1)</f>
        <v/>
      </c>
      <c r="F1344">
        <f>IF(Skills!N13=TRUE,(Skills!L13/10)*(E1344/1000),Skills!L13/10)+Skills!O13</f>
        <v/>
      </c>
      <c r="G1344">
        <f>Skills!G13*IF(Skills!H13&gt;0,Skills!I13/Skills!H13,1)</f>
        <v/>
      </c>
      <c r="H1344">
        <f>1-(1-Skills!J13/100)^Skills!K13</f>
        <v/>
      </c>
      <c r="I1344" t="inlineStr">
        <is>
          <t>1</t>
        </is>
      </c>
      <c r="J1344" t="inlineStr"/>
      <c r="K1344" t="inlineStr"/>
      <c r="L1344" t="inlineStr"/>
      <c r="M1344" t="inlineStr"/>
      <c r="N1344" t="inlineStr"/>
      <c r="O1344">
        <f>(1-Summary!$B$11)*T1344+Summary!$B$11*V1344</f>
        <v/>
      </c>
      <c r="P1344">
        <f>IF(B1370=0,0,O1344/B1370)</f>
        <v/>
      </c>
      <c r="Q1344" t="n">
        <v>0</v>
      </c>
      <c r="R1344" t="n">
        <v>0</v>
      </c>
      <c r="S1344">
        <f>IFERROR(O1344/N1344,0)</f>
        <v/>
      </c>
      <c r="T1344" t="n">
        <v>0</v>
      </c>
      <c r="V1344" t="n">
        <v>0</v>
      </c>
    </row>
    <row r="1345">
      <c r="A1345">
        <f>Skills!A14</f>
        <v/>
      </c>
      <c r="B1345">
        <f>Skills!B14</f>
        <v/>
      </c>
      <c r="C1345">
        <f>Inputs!$B$3&gt;=75</f>
        <v/>
      </c>
      <c r="D1345">
        <f>IF(Skills!C14=1,60+Inputs!$B$25+Inputs!$B$29,IF(Skills!C14=2,90+Inputs!$B$26+Inputs!$B$29,IF(Skills!C14=3,120+Inputs!$B$27+Inputs!$B$29,MAX(0,(Inputs!$B$3-100)*3)+Inputs!$B$28+Inputs!$B$29)))</f>
        <v/>
      </c>
      <c r="E1345">
        <f>INDEX(FactorTable!$B$2:$Y$301, MATCH(ROUND(MIN(300,MAX(1,D1345)),0), FactorTable!$A$2:$A$301,0), Skills!M14+1)</f>
        <v/>
      </c>
      <c r="F1345">
        <f>IF(Skills!N14=TRUE,(Skills!L14/10)*(E1345/1000),Skills!L14/10)+Skills!O14</f>
        <v/>
      </c>
      <c r="G1345">
        <f>Skills!G14*IF(Skills!H14&gt;0,Skills!I14/Skills!H14,1)</f>
        <v/>
      </c>
      <c r="H1345">
        <f>1-(1-Skills!J14/100)^Skills!K14</f>
        <v/>
      </c>
      <c r="I1345" t="inlineStr">
        <is>
          <t>1</t>
        </is>
      </c>
      <c r="J1345" t="inlineStr"/>
      <c r="K1345" t="inlineStr"/>
      <c r="L1345" t="inlineStr"/>
      <c r="M1345" t="inlineStr"/>
      <c r="N1345" t="inlineStr"/>
      <c r="O1345">
        <f>(1-Summary!$B$11)*T1345+Summary!$B$11*V1345</f>
        <v/>
      </c>
      <c r="P1345">
        <f>IF(B1370=0,0,O1345/B1370)</f>
        <v/>
      </c>
      <c r="Q1345" t="n">
        <v>0</v>
      </c>
      <c r="R1345" t="n">
        <v>0</v>
      </c>
      <c r="S1345">
        <f>IFERROR(O1345/N1345,0)</f>
        <v/>
      </c>
      <c r="T1345" t="n">
        <v>0</v>
      </c>
      <c r="V1345" t="n">
        <v>0</v>
      </c>
    </row>
    <row r="1346">
      <c r="A1346">
        <f>Skills!A15</f>
        <v/>
      </c>
      <c r="B1346">
        <f>Skills!B15</f>
        <v/>
      </c>
      <c r="C1346">
        <f>Inputs!$B$3&gt;=40</f>
        <v/>
      </c>
      <c r="D1346">
        <f>IF(Skills!C15=1,60+Inputs!$B$25+Inputs!$B$29,IF(Skills!C15=2,90+Inputs!$B$26+Inputs!$B$29,IF(Skills!C15=3,120+Inputs!$B$27+Inputs!$B$29,MAX(0,(Inputs!$B$3-100)*3)+Inputs!$B$28+Inputs!$B$29)))</f>
        <v/>
      </c>
      <c r="E1346">
        <f>INDEX(FactorTable!$B$2:$Y$301, MATCH(ROUND(MIN(300,MAX(1,D1346)),0), FactorTable!$A$2:$A$301,0), Skills!M15+1)</f>
        <v/>
      </c>
      <c r="F1346">
        <f>IF(Skills!N15=TRUE,(Skills!L15/10)*(E1346/1000),Skills!L15/10)+Skills!O15</f>
        <v/>
      </c>
      <c r="G1346">
        <f>Skills!G15*IF(Skills!H15&gt;0,Skills!I15/Skills!H15,1)</f>
        <v/>
      </c>
      <c r="H1346">
        <f>1-(1-Skills!J15/100)^Skills!K15</f>
        <v/>
      </c>
      <c r="I1346" t="inlineStr">
        <is>
          <t>1</t>
        </is>
      </c>
      <c r="J1346" t="inlineStr"/>
      <c r="K1346" t="inlineStr"/>
      <c r="L1346" t="inlineStr"/>
      <c r="M1346" t="inlineStr"/>
      <c r="N1346" t="inlineStr"/>
      <c r="O1346">
        <f>(1-Summary!$B$11)*T1346+Summary!$B$11*V1346</f>
        <v/>
      </c>
      <c r="P1346">
        <f>IF(B1370=0,0,O1346/B1370)</f>
        <v/>
      </c>
      <c r="Q1346">
        <f>IFERROR(1/(IF(Inputs!$B$38="pvp",15,MAX(0.1,Skills!D15-IF(Skills!E15=TRUE,Inputs!$B$32,0)))*(1-IF(AND(ArtifactsInput!$M$27,Inputs!$B$4="Chapter Hunt"),CHOOSE(ArtifactsInput!$N$27+1,20,24,28,32,36,40),0)/100)),0)</f>
        <v/>
      </c>
      <c r="R1346">
        <f>IF(AND(Inputs!$B$38&lt;&gt;"pvp",Inputs!$B$43&gt;0),IF(Inputs!$B$43&lt;=0,0,(INT(Inputs!$B$43/(IF(Inputs!$B$38="pvp",15,MAX(0.1,Skills!D15-IF(Skills!E15=TRUE,Inputs!$B$32,0)))*(1-IF(AND(ArtifactsInput!$M$27,Inputs!$B$4="Chapter Hunt"),CHOOSE(ArtifactsInput!$N$27+1,20,24,28,32,36,40),0)/100)))+1)),0)</f>
        <v/>
      </c>
      <c r="S1346">
        <f>IFERROR(O1346/N1346,0)</f>
        <v/>
      </c>
      <c r="T1346" t="n">
        <v>0</v>
      </c>
      <c r="V1346" t="n">
        <v>0</v>
      </c>
    </row>
    <row r="1347">
      <c r="A1347">
        <f>Skills!A16</f>
        <v/>
      </c>
      <c r="B1347">
        <f>Skills!B16</f>
        <v/>
      </c>
      <c r="C1347">
        <f>Inputs!$B$3&gt;=66</f>
        <v/>
      </c>
      <c r="D1347">
        <f>IF(Skills!C16=1,60+Inputs!$B$25+Inputs!$B$29,IF(Skills!C16=2,90+Inputs!$B$26+Inputs!$B$29,IF(Skills!C16=3,120+Inputs!$B$27+Inputs!$B$29,MAX(0,(Inputs!$B$3-100)*3)+Inputs!$B$28+Inputs!$B$29)))</f>
        <v/>
      </c>
      <c r="E1347">
        <f>INDEX(FactorTable!$B$2:$Y$301, MATCH(ROUND(MIN(300,MAX(1,D1347)),0), FactorTable!$A$2:$A$301,0), Skills!M16+1)</f>
        <v/>
      </c>
      <c r="F1347">
        <f>IF(Skills!N16=TRUE,(Skills!L16/10)*(E1347/1000),Skills!L16/10)+Skills!O16</f>
        <v/>
      </c>
      <c r="G1347">
        <f>Skills!G16*IF(Skills!H16&gt;0,Skills!I16/Skills!H16,1)</f>
        <v/>
      </c>
      <c r="H1347">
        <f>1-(1-Skills!J16/100)^Skills!K16</f>
        <v/>
      </c>
      <c r="I1347" t="inlineStr">
        <is>
          <t>1</t>
        </is>
      </c>
      <c r="J1347" t="inlineStr"/>
      <c r="K1347" t="inlineStr"/>
      <c r="L1347" t="inlineStr"/>
      <c r="M1347" t="inlineStr"/>
      <c r="N1347" t="inlineStr"/>
      <c r="O1347">
        <f>(1-Summary!$B$11)*T1347+Summary!$B$11*V1347</f>
        <v/>
      </c>
      <c r="P1347">
        <f>IF(B1370=0,0,O1347/B1370)</f>
        <v/>
      </c>
      <c r="Q1347">
        <f>IFERROR(1/(IF(Inputs!$B$38="pvp",15,MAX(0.1,Skills!D16-IF(Skills!E16=TRUE,Inputs!$B$32,0)))*(1-IF(AND(ArtifactsInput!$M$27,Inputs!$B$4="Chapter Hunt"),CHOOSE(ArtifactsInput!$N$27+1,20,24,28,32,36,40),0)/100)),0)</f>
        <v/>
      </c>
      <c r="R1347">
        <f>IF(AND(Inputs!$B$38&lt;&gt;"pvp",Inputs!$B$43&gt;0),IF(Inputs!$B$43&lt;=0,0,(INT(Inputs!$B$43/(IF(Inputs!$B$38="pvp",15,MAX(0.1,Skills!D16-IF(Skills!E16=TRUE,Inputs!$B$32,0)))*(1-IF(AND(ArtifactsInput!$M$27,Inputs!$B$4="Chapter Hunt"),CHOOSE(ArtifactsInput!$N$27+1,20,24,28,32,36,40),0)/100)))+1)),0)</f>
        <v/>
      </c>
      <c r="S1347">
        <f>IFERROR(O1347/N1347,0)</f>
        <v/>
      </c>
      <c r="T1347" t="n">
        <v>0</v>
      </c>
      <c r="V1347" t="n">
        <v>0</v>
      </c>
    </row>
    <row r="1348">
      <c r="A1348">
        <f>Skills!A17</f>
        <v/>
      </c>
      <c r="B1348">
        <f>Skills!B17</f>
        <v/>
      </c>
      <c r="C1348">
        <f>Inputs!$B$3&gt;=115</f>
        <v/>
      </c>
      <c r="D1348">
        <f>IF(Skills!C17=1,60+Inputs!$B$25+Inputs!$B$29,IF(Skills!C17=2,90+Inputs!$B$26+Inputs!$B$29,IF(Skills!C17=3,120+Inputs!$B$27+Inputs!$B$29,MAX(0,(Inputs!$B$3-100)*3)+Inputs!$B$28+Inputs!$B$29)))</f>
        <v/>
      </c>
      <c r="E1348">
        <f>INDEX(FactorTable!$B$2:$Y$301, MATCH(ROUND(MIN(300,MAX(1,D1348)),0), FactorTable!$A$2:$A$301,0), Skills!M17+1)</f>
        <v/>
      </c>
      <c r="F1348">
        <f>IF(Skills!N17=TRUE,(Skills!L17/10)*(E1348/1000),Skills!L17/10)+Skills!O17</f>
        <v/>
      </c>
      <c r="G1348">
        <f>Skills!G17*IF(Skills!H17&gt;0,Skills!I17/Skills!H17,1)</f>
        <v/>
      </c>
      <c r="H1348">
        <f>1-(1-Skills!J17/100)^Skills!K17</f>
        <v/>
      </c>
      <c r="I1348" t="inlineStr">
        <is>
          <t>1</t>
        </is>
      </c>
      <c r="J1348" t="inlineStr"/>
      <c r="K1348" t="inlineStr"/>
      <c r="L1348" t="inlineStr"/>
      <c r="M1348" t="inlineStr"/>
      <c r="N1348" t="inlineStr"/>
      <c r="O1348">
        <f>(1-Summary!$B$11)*T1348+Summary!$B$11*V1348</f>
        <v/>
      </c>
      <c r="P1348">
        <f>IF(B1370=0,0,O1348/B1370)</f>
        <v/>
      </c>
      <c r="Q1348">
        <f>IFERROR(1/(IF(Inputs!$B$38="pvp",15,MAX(0.1,Skills!D17-IF(Skills!E17=TRUE,Inputs!$B$32,0)))*(1-IF(AND(ArtifactsInput!$M$27,Inputs!$B$4="Chapter Hunt"),CHOOSE(ArtifactsInput!$N$27+1,20,24,28,32,36,40),0)/100)),0)</f>
        <v/>
      </c>
      <c r="R1348">
        <f>IF(AND(Inputs!$B$38&lt;&gt;"pvp",Inputs!$B$43&gt;0),IF(Inputs!$B$43&lt;=0,0,(INT(Inputs!$B$43/(IF(Inputs!$B$38="pvp",15,MAX(0.1,Skills!D17-IF(Skills!E17=TRUE,Inputs!$B$32,0)))*(1-IF(AND(ArtifactsInput!$M$27,Inputs!$B$4="Chapter Hunt"),CHOOSE(ArtifactsInput!$N$27+1,20,24,28,32,36,40),0)/100)))+1)),0)</f>
        <v/>
      </c>
      <c r="S1348">
        <f>IFERROR(O1348/N1348,0)</f>
        <v/>
      </c>
      <c r="T1348" t="n">
        <v>0</v>
      </c>
      <c r="V1348" t="n">
        <v>0</v>
      </c>
    </row>
    <row r="1349">
      <c r="A1349">
        <f>Skills!A18</f>
        <v/>
      </c>
      <c r="B1349">
        <f>Skills!B18</f>
        <v/>
      </c>
      <c r="C1349">
        <f>Inputs!$B$3&gt;=115</f>
        <v/>
      </c>
      <c r="D1349">
        <f>IF(Skills!C18=1,60+Inputs!$B$25+Inputs!$B$29,IF(Skills!C18=2,90+Inputs!$B$26+Inputs!$B$29,IF(Skills!C18=3,120+Inputs!$B$27+Inputs!$B$29,MAX(0,(Inputs!$B$3-100)*3)+Inputs!$B$28+Inputs!$B$29)))</f>
        <v/>
      </c>
      <c r="E1349">
        <f>INDEX(FactorTable!$B$2:$Y$301, MATCH(ROUND(MIN(300,MAX(1,D1349)),0), FactorTable!$A$2:$A$301,0), Skills!M18+1)</f>
        <v/>
      </c>
      <c r="F1349">
        <f>IF(Skills!N18=TRUE,(Skills!L18/10)*(E1349/1000),Skills!L18/10)+Skills!O18</f>
        <v/>
      </c>
      <c r="G1349">
        <f>Skills!G18*IF(Skills!H18&gt;0,Skills!I18/Skills!H18,1)</f>
        <v/>
      </c>
      <c r="H1349">
        <f>1-(1-Skills!J18/100)^Skills!K18</f>
        <v/>
      </c>
      <c r="I1349" t="inlineStr">
        <is>
          <t>1</t>
        </is>
      </c>
      <c r="J1349" t="inlineStr"/>
      <c r="K1349" t="inlineStr"/>
      <c r="L1349" t="inlineStr"/>
      <c r="M1349" t="inlineStr"/>
      <c r="N1349" t="inlineStr"/>
      <c r="O1349">
        <f>(1-Summary!$B$11)*T1349+Summary!$B$11*V1349</f>
        <v/>
      </c>
      <c r="P1349">
        <f>IF(B1370=0,0,O1349/B1370)</f>
        <v/>
      </c>
      <c r="Q1349">
        <f>IFERROR(1/(IF(Inputs!$B$38="pvp",15,MAX(0.1,Skills!D18-IF(Skills!E18=TRUE,Inputs!$B$32,0)))*(1-IF(AND(ArtifactsInput!$M$27,Inputs!$B$4="Chapter Hunt"),CHOOSE(ArtifactsInput!$N$27+1,20,24,28,32,36,40),0)/100)),0)</f>
        <v/>
      </c>
      <c r="R1349">
        <f>IF(AND(Inputs!$B$38&lt;&gt;"pvp",Inputs!$B$43&gt;0),IF(Inputs!$B$43&lt;=0,0,(INT(Inputs!$B$43/(IF(Inputs!$B$38="pvp",15,MAX(0.1,Skills!D18-IF(Skills!E18=TRUE,Inputs!$B$32,0)))*(1-IF(AND(ArtifactsInput!$M$27,Inputs!$B$4="Chapter Hunt"),CHOOSE(ArtifactsInput!$N$27+1,20,24,28,32,36,40),0)/100)))+1)),0)</f>
        <v/>
      </c>
      <c r="S1349">
        <f>IFERROR(O1349/N1349,0)</f>
        <v/>
      </c>
      <c r="T1349" t="n">
        <v>0</v>
      </c>
      <c r="V1349" t="n">
        <v>0</v>
      </c>
    </row>
    <row r="1350">
      <c r="A1350">
        <f>Skills!A19</f>
        <v/>
      </c>
      <c r="B1350">
        <f>Skills!B19</f>
        <v/>
      </c>
      <c r="C1350">
        <f>TRUE</f>
        <v/>
      </c>
      <c r="D1350">
        <f>IF(Skills!C19=1,60+Inputs!$B$25+Inputs!$B$29,IF(Skills!C19=2,90+Inputs!$B$26+Inputs!$B$29,IF(Skills!C19=3,120+Inputs!$B$27+Inputs!$B$29,MAX(0,(Inputs!$B$3-100)*3)+Inputs!$B$28+Inputs!$B$29)))</f>
        <v/>
      </c>
      <c r="E1350">
        <f>INDEX(FactorTable!$B$2:$Y$301, MATCH(ROUND(MIN(300,MAX(1,D1350)),0), FactorTable!$A$2:$A$301,0), Skills!M19+1)</f>
        <v/>
      </c>
      <c r="F1350">
        <f>IF(Skills!N19=TRUE,(Skills!L19/10)*(E1350/1000),Skills!L19/10)+Skills!O19</f>
        <v/>
      </c>
      <c r="G1350">
        <f>Skills!G19*IF(Skills!H19&gt;0,Skills!I19/Skills!H19,1)</f>
        <v/>
      </c>
      <c r="H1350">
        <f>1-(1-Skills!J19/100)^Skills!K19</f>
        <v/>
      </c>
      <c r="I1350" t="inlineStr">
        <is>
          <t>1</t>
        </is>
      </c>
      <c r="J1350" t="inlineStr"/>
      <c r="K1350" t="inlineStr"/>
      <c r="L1350" t="inlineStr"/>
      <c r="M1350" t="inlineStr"/>
      <c r="N1350" t="inlineStr"/>
      <c r="O1350">
        <f>(1-Summary!$B$11)*T1350+Summary!$B$11*V1350</f>
        <v/>
      </c>
      <c r="P1350">
        <f>IF(B1370=0,0,O1350/B1370)</f>
        <v/>
      </c>
      <c r="Q1350">
        <f>IFERROR(1/(IF(Inputs!$B$38="pvp",15,MAX(0.1,Skills!D19-IF(Skills!E19=TRUE,Inputs!$B$32,0)))*(1-IF(AND(ArtifactsInput!$M$27,Inputs!$B$4="Chapter Hunt"),CHOOSE(ArtifactsInput!$N$27+1,20,24,28,32,36,40),0)/100)),0)</f>
        <v/>
      </c>
      <c r="R1350">
        <f>IF(AND(Inputs!$B$38&lt;&gt;"pvp",Inputs!$B$43&gt;0),IF(Inputs!$B$43&lt;=0,0,(INT(Inputs!$B$43/(IF(Inputs!$B$38="pvp",15,MAX(0.1,Skills!D19-IF(Skills!E19=TRUE,Inputs!$B$32,0)))*(1-IF(AND(ArtifactsInput!$M$27,Inputs!$B$4="Chapter Hunt"),CHOOSE(ArtifactsInput!$N$27+1,20,24,28,32,36,40),0)/100)))+1)),0)</f>
        <v/>
      </c>
      <c r="S1350">
        <f>IFERROR(O1350/N1350,0)</f>
        <v/>
      </c>
      <c r="T1350" t="n">
        <v>0</v>
      </c>
      <c r="V1350" t="n">
        <v>0</v>
      </c>
    </row>
    <row r="1351">
      <c r="A1351">
        <f>Skills!A20</f>
        <v/>
      </c>
      <c r="B1351">
        <f>Skills!B20</f>
        <v/>
      </c>
      <c r="C1351">
        <f>Inputs!$B$3&gt;=33</f>
        <v/>
      </c>
      <c r="D1351">
        <f>IF(Skills!C20=1,60+Inputs!$B$25+Inputs!$B$29,IF(Skills!C20=2,90+Inputs!$B$26+Inputs!$B$29,IF(Skills!C20=3,120+Inputs!$B$27+Inputs!$B$29,MAX(0,(Inputs!$B$3-100)*3)+Inputs!$B$28+Inputs!$B$29)))</f>
        <v/>
      </c>
      <c r="E1351">
        <f>INDEX(FactorTable!$B$2:$Y$301, MATCH(ROUND(MIN(300,MAX(1,D1351)),0), FactorTable!$A$2:$A$301,0), Skills!M20+1)</f>
        <v/>
      </c>
      <c r="F1351">
        <f>IF(Skills!N20=TRUE,(Skills!L20/10)*(E1351/1000),Skills!L20/10)+Skills!O20</f>
        <v/>
      </c>
      <c r="G1351">
        <f>Skills!G20*IF(Skills!H20&gt;0,Skills!I20/Skills!H20,1)</f>
        <v/>
      </c>
      <c r="H1351">
        <f>1-(1-Skills!J20/100)^Skills!K20</f>
        <v/>
      </c>
      <c r="I1351" t="inlineStr">
        <is>
          <t>1</t>
        </is>
      </c>
      <c r="J1351" t="inlineStr"/>
      <c r="K1351" t="inlineStr"/>
      <c r="L1351" t="inlineStr"/>
      <c r="M1351" t="inlineStr"/>
      <c r="N1351" t="inlineStr"/>
      <c r="O1351">
        <f>(1-Summary!$B$11)*T1351+Summary!$B$11*V1351</f>
        <v/>
      </c>
      <c r="P1351">
        <f>IF(B1370=0,0,O1351/B1370)</f>
        <v/>
      </c>
      <c r="Q1351" t="n">
        <v>0</v>
      </c>
      <c r="R1351" t="n">
        <v>0</v>
      </c>
      <c r="S1351">
        <f>IFERROR(O1351/N1351,0)</f>
        <v/>
      </c>
      <c r="T1351" t="n">
        <v>0</v>
      </c>
      <c r="V1351" t="n">
        <v>0</v>
      </c>
    </row>
    <row r="1352">
      <c r="A1352">
        <f>Skills!A21</f>
        <v/>
      </c>
      <c r="B1352">
        <f>Skills!B21</f>
        <v/>
      </c>
      <c r="C1352">
        <f>Inputs!$B$3&gt;=38</f>
        <v/>
      </c>
      <c r="D1352">
        <f>IF(Skills!C21=1,60+Inputs!$B$25+Inputs!$B$29,IF(Skills!C21=2,90+Inputs!$B$26+Inputs!$B$29,IF(Skills!C21=3,120+Inputs!$B$27+Inputs!$B$29,MAX(0,(Inputs!$B$3-100)*3)+Inputs!$B$28+Inputs!$B$29)))</f>
        <v/>
      </c>
      <c r="E1352">
        <f>INDEX(FactorTable!$B$2:$Y$301, MATCH(ROUND(MIN(300,MAX(1,D1352)),0), FactorTable!$A$2:$A$301,0), Skills!M21+1)</f>
        <v/>
      </c>
      <c r="F1352">
        <f>IF(Skills!N21=TRUE,(Skills!L21/10)*(E1352/1000),Skills!L21/10)+Skills!O21</f>
        <v/>
      </c>
      <c r="G1352">
        <f>Skills!G21*IF(Skills!H21&gt;0,Skills!I21/Skills!H21,1)</f>
        <v/>
      </c>
      <c r="H1352">
        <f>1-(1-Skills!J21/100)^Skills!K21</f>
        <v/>
      </c>
      <c r="I1352" t="inlineStr">
        <is>
          <t>1</t>
        </is>
      </c>
      <c r="J1352" t="inlineStr"/>
      <c r="K1352" t="inlineStr"/>
      <c r="L1352" t="inlineStr"/>
      <c r="M1352" t="inlineStr"/>
      <c r="N1352" t="inlineStr"/>
      <c r="O1352">
        <f>(1-Summary!$B$11)*T1352+Summary!$B$11*V1352</f>
        <v/>
      </c>
      <c r="P1352">
        <f>IF(B1370=0,0,O1352/B1370)</f>
        <v/>
      </c>
      <c r="Q1352" t="n">
        <v>0</v>
      </c>
      <c r="R1352" t="n">
        <v>0</v>
      </c>
      <c r="S1352">
        <f>IFERROR(O1352/N1352,0)</f>
        <v/>
      </c>
      <c r="T1352" t="n">
        <v>0</v>
      </c>
      <c r="V1352" t="n">
        <v>0</v>
      </c>
    </row>
    <row r="1353">
      <c r="A1353">
        <f>Skills!A22</f>
        <v/>
      </c>
      <c r="B1353">
        <f>Skills!B22</f>
        <v/>
      </c>
      <c r="C1353">
        <f>Inputs!$B$3&gt;=43</f>
        <v/>
      </c>
      <c r="D1353">
        <f>IF(Skills!C22=1,60+Inputs!$B$25+Inputs!$B$29,IF(Skills!C22=2,90+Inputs!$B$26+Inputs!$B$29,IF(Skills!C22=3,120+Inputs!$B$27+Inputs!$B$29,MAX(0,(Inputs!$B$3-100)*3)+Inputs!$B$28+Inputs!$B$29)))</f>
        <v/>
      </c>
      <c r="E1353">
        <f>INDEX(FactorTable!$B$2:$Y$301, MATCH(ROUND(MIN(300,MAX(1,D1353)),0), FactorTable!$A$2:$A$301,0), Skills!M22+1)</f>
        <v/>
      </c>
      <c r="F1353">
        <f>IF(Skills!N22=TRUE,(Skills!L22/10)*(E1353/1000),Skills!L22/10)+Skills!O22</f>
        <v/>
      </c>
      <c r="G1353">
        <f>Skills!G22*IF(Skills!H22&gt;0,Skills!I22/Skills!H22,1)</f>
        <v/>
      </c>
      <c r="H1353">
        <f>1-(1-Skills!J22/100)^Skills!K22</f>
        <v/>
      </c>
      <c r="I1353" t="inlineStr">
        <is>
          <t>1</t>
        </is>
      </c>
      <c r="J1353" t="inlineStr"/>
      <c r="K1353" t="inlineStr"/>
      <c r="L1353" t="inlineStr"/>
      <c r="M1353" t="inlineStr"/>
      <c r="N1353" t="inlineStr"/>
      <c r="O1353">
        <f>(1-Summary!$B$11)*T1353+Summary!$B$11*V1353</f>
        <v/>
      </c>
      <c r="P1353">
        <f>IF(B1370=0,0,O1353/B1370)</f>
        <v/>
      </c>
      <c r="Q1353" t="n">
        <v>0</v>
      </c>
      <c r="R1353" t="n">
        <v>0</v>
      </c>
      <c r="S1353">
        <f>IFERROR(O1353/N1353,0)</f>
        <v/>
      </c>
      <c r="T1353" t="n">
        <v>0</v>
      </c>
      <c r="V1353" t="n">
        <v>0</v>
      </c>
    </row>
    <row r="1354">
      <c r="A1354">
        <f>Skills!A23</f>
        <v/>
      </c>
      <c r="B1354">
        <f>Skills!B23</f>
        <v/>
      </c>
      <c r="C1354">
        <f>Inputs!$B$3&gt;=120</f>
        <v/>
      </c>
      <c r="D1354">
        <f>IF(Skills!C23=1,60+Inputs!$B$25+Inputs!$B$29,IF(Skills!C23=2,90+Inputs!$B$26+Inputs!$B$29,IF(Skills!C23=3,120+Inputs!$B$27+Inputs!$B$29,MAX(0,(Inputs!$B$3-100)*3)+Inputs!$B$28+Inputs!$B$29)))</f>
        <v/>
      </c>
      <c r="E1354">
        <f>INDEX(FactorTable!$B$2:$Y$301, MATCH(ROUND(MIN(300,MAX(1,D1354)),0), FactorTable!$A$2:$A$301,0), Skills!M23+1)</f>
        <v/>
      </c>
      <c r="F1354">
        <f>IF(Skills!N23=TRUE,(Skills!L23/10)*(E1354/1000),Skills!L23/10)+Skills!O23</f>
        <v/>
      </c>
      <c r="G1354">
        <f>Skills!G23*IF(Skills!H23&gt;0,Skills!I23/Skills!H23,1)</f>
        <v/>
      </c>
      <c r="H1354">
        <f>1-(1-Skills!J23/100)^Skills!K23</f>
        <v/>
      </c>
      <c r="I1354" t="inlineStr">
        <is>
          <t>1</t>
        </is>
      </c>
      <c r="J1354" t="inlineStr"/>
      <c r="K1354" t="inlineStr"/>
      <c r="L1354" t="inlineStr"/>
      <c r="M1354" t="inlineStr"/>
      <c r="N1354" t="inlineStr"/>
      <c r="O1354">
        <f>(1-Summary!$B$11)*T1354+Summary!$B$11*V1354</f>
        <v/>
      </c>
      <c r="P1354">
        <f>IF(B1370=0,0,O1354/B1370)</f>
        <v/>
      </c>
      <c r="Q1354" t="n">
        <v>0</v>
      </c>
      <c r="R1354" t="n">
        <v>0</v>
      </c>
      <c r="S1354">
        <f>IFERROR(O1354/N1354,0)</f>
        <v/>
      </c>
      <c r="T1354" t="n">
        <v>0</v>
      </c>
      <c r="V1354" t="n">
        <v>0</v>
      </c>
    </row>
    <row r="1355">
      <c r="A1355">
        <f>Skills!A24</f>
        <v/>
      </c>
      <c r="B1355">
        <f>Skills!B24</f>
        <v/>
      </c>
      <c r="C1355">
        <f>Inputs!$B$3&gt;=120</f>
        <v/>
      </c>
      <c r="D1355">
        <f>IF(Skills!C24=1,60+Inputs!$B$25+Inputs!$B$29,IF(Skills!C24=2,90+Inputs!$B$26+Inputs!$B$29,IF(Skills!C24=3,120+Inputs!$B$27+Inputs!$B$29,MAX(0,(Inputs!$B$3-100)*3)+Inputs!$B$28+Inputs!$B$29)))</f>
        <v/>
      </c>
      <c r="E1355">
        <f>INDEX(FactorTable!$B$2:$Y$301, MATCH(ROUND(MIN(300,MAX(1,D1355)),0), FactorTable!$A$2:$A$301,0), Skills!M24+1)</f>
        <v/>
      </c>
      <c r="F1355">
        <f>IF(Skills!N24=TRUE,(Skills!L24/10)*(E1355/1000),Skills!L24/10)+Skills!O24</f>
        <v/>
      </c>
      <c r="G1355">
        <f>Skills!G24*IF(Skills!H24&gt;0,Skills!I24/Skills!H24,1)</f>
        <v/>
      </c>
      <c r="H1355">
        <f>1-(1-Skills!J24/100)^Skills!K24</f>
        <v/>
      </c>
      <c r="I1355" t="inlineStr">
        <is>
          <t>1</t>
        </is>
      </c>
      <c r="J1355" t="inlineStr"/>
      <c r="K1355" t="inlineStr"/>
      <c r="L1355" t="inlineStr"/>
      <c r="M1355" t="inlineStr"/>
      <c r="N1355" t="inlineStr"/>
      <c r="O1355">
        <f>(1-Summary!$B$11)*T1355+Summary!$B$11*V1355</f>
        <v/>
      </c>
      <c r="P1355">
        <f>IF(B1370=0,0,O1355/B1370)</f>
        <v/>
      </c>
      <c r="Q1355" t="n">
        <v>0</v>
      </c>
      <c r="R1355" t="n">
        <v>0</v>
      </c>
      <c r="S1355">
        <f>IFERROR(O1355/N1355,0)</f>
        <v/>
      </c>
      <c r="T1355" t="n">
        <v>0</v>
      </c>
      <c r="V1355" t="n">
        <v>0</v>
      </c>
    </row>
    <row r="1356">
      <c r="A1356">
        <f>Skills!A25</f>
        <v/>
      </c>
      <c r="B1356">
        <f>Skills!B25</f>
        <v/>
      </c>
      <c r="C1356">
        <f>Inputs!$B$3&gt;=125</f>
        <v/>
      </c>
      <c r="D1356">
        <f>IF(Skills!C25=1,60+Inputs!$B$25+Inputs!$B$29,IF(Skills!C25=2,90+Inputs!$B$26+Inputs!$B$29,IF(Skills!C25=3,120+Inputs!$B$27+Inputs!$B$29,MAX(0,(Inputs!$B$3-100)*3)+Inputs!$B$28+Inputs!$B$29)))</f>
        <v/>
      </c>
      <c r="E1356">
        <f>INDEX(FactorTable!$B$2:$Y$301, MATCH(ROUND(MIN(300,MAX(1,D1356)),0), FactorTable!$A$2:$A$301,0), Skills!M25+1)</f>
        <v/>
      </c>
      <c r="F1356">
        <f>IF(Skills!N25=TRUE,(Skills!L25/10)*(E1356/1000),Skills!L25/10)+Skills!O25</f>
        <v/>
      </c>
      <c r="G1356">
        <f>Skills!G25*IF(Skills!H25&gt;0,Skills!I25/Skills!H25,1)</f>
        <v/>
      </c>
      <c r="H1356">
        <f>1-(1-Skills!J25/100)^Skills!K25</f>
        <v/>
      </c>
      <c r="I1356" t="inlineStr">
        <is>
          <t>1</t>
        </is>
      </c>
      <c r="J1356" t="inlineStr"/>
      <c r="K1356" t="inlineStr"/>
      <c r="L1356" t="inlineStr"/>
      <c r="M1356" t="inlineStr"/>
      <c r="N1356" t="inlineStr"/>
      <c r="O1356">
        <f>(1-Summary!$B$11)*T1356+Summary!$B$11*V1356</f>
        <v/>
      </c>
      <c r="P1356">
        <f>IF(B1370=0,0,O1356/B1370)</f>
        <v/>
      </c>
      <c r="Q1356" t="n">
        <v>0</v>
      </c>
      <c r="R1356" t="n">
        <v>0</v>
      </c>
      <c r="S1356">
        <f>IFERROR(O1356/N1356,0)</f>
        <v/>
      </c>
      <c r="T1356" t="n">
        <v>0</v>
      </c>
      <c r="V1356" t="n">
        <v>0</v>
      </c>
    </row>
    <row r="1357">
      <c r="A1357">
        <f>Skills!A26</f>
        <v/>
      </c>
      <c r="B1357">
        <f>Skills!B26</f>
        <v/>
      </c>
      <c r="C1357">
        <f>Inputs!$B$3&gt;=72</f>
        <v/>
      </c>
      <c r="D1357">
        <f>IF(Skills!C26=1,60+Inputs!$B$25+Inputs!$B$29,IF(Skills!C26=2,90+Inputs!$B$26+Inputs!$B$29,IF(Skills!C26=3,120+Inputs!$B$27+Inputs!$B$29,MAX(0,(Inputs!$B$3-100)*3)+Inputs!$B$28+Inputs!$B$29)))</f>
        <v/>
      </c>
      <c r="E1357">
        <f>INDEX(FactorTable!$B$2:$Y$301, MATCH(ROUND(MIN(300,MAX(1,D1357)),0), FactorTable!$A$2:$A$301,0), Skills!M26+1)</f>
        <v/>
      </c>
      <c r="F1357">
        <f>IF(Skills!N26=TRUE,(Skills!L26/10)*(E1357/1000),Skills!L26/10)+Skills!O26</f>
        <v/>
      </c>
      <c r="G1357">
        <f>Skills!G26*IF(Skills!H26&gt;0,Skills!I26/Skills!H26,1)</f>
        <v/>
      </c>
      <c r="H1357">
        <f>1-(1-Skills!J26/100)^Skills!K26</f>
        <v/>
      </c>
      <c r="I1357" t="inlineStr">
        <is>
          <t>1</t>
        </is>
      </c>
      <c r="J1357" t="inlineStr"/>
      <c r="K1357" t="inlineStr"/>
      <c r="L1357" t="inlineStr"/>
      <c r="M1357" t="inlineStr"/>
      <c r="N1357" t="inlineStr"/>
      <c r="O1357">
        <f>(1-Summary!$B$11)*T1357+Summary!$B$11*V1357</f>
        <v/>
      </c>
      <c r="P1357">
        <f>IF(B1370=0,0,O1357/B1370)</f>
        <v/>
      </c>
      <c r="Q1357" t="n">
        <v>0</v>
      </c>
      <c r="R1357" t="n">
        <v>0</v>
      </c>
      <c r="S1357">
        <f>IFERROR(O1357/N1357,0)</f>
        <v/>
      </c>
      <c r="T1357" t="n">
        <v>0</v>
      </c>
      <c r="V1357" t="n">
        <v>0</v>
      </c>
    </row>
    <row r="1359">
      <c r="A1359" t="inlineStr">
        <is>
          <t>Attack% Bucket Multiplier</t>
        </is>
      </c>
      <c r="B1359">
        <f>(1+(((C1344=TRUE)*F1344*IF(Inputs!$B$3&gt;=110,7,5))+((C1346=TRUE)*F1346*IF(AND(Inputs!$B$38&lt;&gt;"pvp",Inputs!$B$43&gt;0),(((R1346-1)*(Skills!T15*(1+(Inputs!$B$34+(ArtifactsInput!$M$7-ArtifactsInput!$M$7)*CHOOSE(ArtifactsInput!$N$7+1,6,7.2,8.4,9.6,10.8,12))/100))+MIN((Skills!T15*(1+(Inputs!$B$34+(ArtifactsInput!$M$7-ArtifactsInput!$M$7)*CHOOSE(ArtifactsInput!$N$7+1,6,7.2,8.4,9.6,10.8,12))/100)),MAX(0,Inputs!$B$43-((R1346-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60">
      <c r="A1360" t="inlineStr">
        <is>
          <t>Global Crit Rate Bonus %</t>
        </is>
      </c>
      <c r="B1360" t="n">
        <v>0</v>
      </c>
    </row>
    <row r="1361">
      <c r="A1361" t="inlineStr">
        <is>
          <t>Attack Speed Buff Bonus %</t>
        </is>
      </c>
      <c r="B1361">
        <f>((C1350=TRUE)*F1350*IF(AND(Inputs!$B$38&lt;&gt;"pvp",Inputs!$B$43&gt;0),(((R1350-1)*(Skills!T19*(1+(Inputs!$B$34+(ArtifactsInput!$M$7-ArtifactsInput!$M$7)*CHOOSE(ArtifactsInput!$N$7+1,6,7.2,8.4,9.6,10.8,12))/100))+MIN((Skills!T19*(1+(Inputs!$B$34+(ArtifactsInput!$M$7-ArtifactsInput!$M$7)*CHOOSE(ArtifactsInput!$N$7+1,6,7.2,8.4,9.6,10.8,12))/100)),MAX(0,Inputs!$B$43-((R1350-1)*Skills!D19))))/Inputs!$B$43),IF(Inputs!$B$38="pvp",MIN((Skills!T19*(1+(Inputs!$B$34+(ArtifactsInput!$M$7-ArtifactsInput!$M$7)*CHOOSE(ArtifactsInput!$N$7+1,6,7.2,8.4,9.6,10.8,12))/100)),15)/15,(Skills!T19*(1+(Inputs!$B$34+(ArtifactsInput!$M$7-ArtifactsInput!$M$7)*CHOOSE(ArtifactsInput!$N$7+1,6,7.2,8.4,9.6,10.8,12))/100))/Skills!D19)))</f>
        <v/>
      </c>
    </row>
    <row r="1362">
      <c r="A1362" t="inlineStr">
        <is>
          <t>Actions Per Second</t>
        </is>
      </c>
      <c r="B1362">
        <f>1+MIN(150,150*(1-(1-(Inputs!$B$11+((C1351=TRUE)*(F1351-Calc!F20)))/150)*(1-B1361/150)))/100</f>
        <v/>
      </c>
    </row>
    <row r="1363">
      <c r="A1363" t="inlineStr">
        <is>
          <t>Skill + Buff Cast Rate</t>
        </is>
      </c>
      <c r="B1363">
        <f>IF(AND(Inputs!$B$38&lt;&gt;"pvp",Inputs!$B$43&gt;0),SUMPRODUCT((Skills!E2:E26=TRUE)*(C1333:C1357=TRUE)*R1333:R1357*Skills!F2:F26)/Inputs!$B$43,SUMPRODUCT((Skills!E2:E26=TRUE)*(C1333:C1357=TRUE)*Q1333:Q1357*Skills!F2:F26))</f>
        <v/>
      </c>
    </row>
    <row r="1364">
      <c r="A1364" t="inlineStr">
        <is>
          <t>Raging Blow Casts Per Second</t>
        </is>
      </c>
      <c r="B1364">
        <f>MAX(0,B1362-B1363)</f>
        <v/>
      </c>
    </row>
    <row r="1365">
      <c r="A1365" t="inlineStr">
        <is>
          <t>Global Critical Damage Bonus % (Enrage)</t>
        </is>
      </c>
      <c r="B1365">
        <f>((C1349=TRUE)*F1349*IF(AND(Inputs!$B$38&lt;&gt;"pvp",Inputs!$B$43&gt;0),(((R1349-1)*(Skills!T18*(1+(Inputs!$B$34+(ArtifactsInput!$M$7-ArtifactsInput!$M$7)*CHOOSE(ArtifactsInput!$N$7+1,6,7.2,8.4,9.6,10.8,12))/100))+MIN((Skills!T18*(1+(Inputs!$B$34+(ArtifactsInput!$M$7-ArtifactsInput!$M$7)*CHOOSE(ArtifactsInput!$N$7+1,6,7.2,8.4,9.6,10.8,12))/100)),MAX(0,Inputs!$B$43-((R1349-1)*Skills!D18))))/Inputs!$B$43),IF(Inputs!$B$38="pvp",MIN((Skills!T18*(1+(Inputs!$B$34+(ArtifactsInput!$M$7-ArtifactsInput!$M$7)*CHOOSE(ArtifactsInput!$N$7+1,6,7.2,8.4,9.6,10.8,12))/100)),15)/15,(Skills!T18*(1+(Inputs!$B$34+(ArtifactsInput!$M$7-ArtifactsInput!$M$7)*CHOOSE(ArtifactsInput!$N$7+1,6,7.2,8.4,9.6,10.8,12))/100))/Skills!D18)))</f>
        <v/>
      </c>
    </row>
    <row r="1366">
      <c r="A1366" t="inlineStr">
        <is>
          <t>Global Final Damage Bonus % (Enrage + Combo Synergy)</t>
        </is>
      </c>
      <c r="B1366">
        <f>((C1348=TRUE)*F1348*IF(AND(Inputs!$B$38&lt;&gt;"pvp",Inputs!$B$43&gt;0),(((R1348-1)*(Skills!T17*(1+(Inputs!$B$34+(ArtifactsInput!$M$7-ArtifactsInput!$M$7)*CHOOSE(ArtifactsInput!$N$7+1,6,7.2,8.4,9.6,10.8,12))/100))+MIN((Skills!T17*(1+(Inputs!$B$34+(ArtifactsInput!$M$7-ArtifactsInput!$M$7)*CHOOSE(ArtifactsInput!$N$7+1,6,7.2,8.4,9.6,10.8,12))/100)),MAX(0,Inputs!$B$43-((R1348-1)*Skills!D17))))/Inputs!$B$43),IF(Inputs!$B$38="pvp",MIN((Skills!T17*(1+(Inputs!$B$34+(ArtifactsInput!$M$7-ArtifactsInput!$M$7)*CHOOSE(ArtifactsInput!$N$7+1,6,7.2,8.4,9.6,10.8,12))/100)),15)/15,(Skills!T17*(1+(Inputs!$B$34+(ArtifactsInput!$M$7-ArtifactsInput!$M$7)*CHOOSE(ArtifactsInput!$N$7+1,6,7.2,8.4,9.6,10.8,12))/100))/Skills!D17)))+((C1345=TRUE)*F1345*IF(Inputs!$B$3&gt;=110,7,5))</f>
        <v/>
      </c>
    </row>
    <row r="1367">
      <c r="A1367" t="inlineStr">
        <is>
          <t>Buff-Casting Startup Delay (s, fixed-duration only)</t>
        </is>
      </c>
      <c r="B1367">
        <f>IF(AND(Inputs!$B$38&lt;&gt;"pvp",Inputs!$B$43&gt;0),SUMPRODUCT((Skills!T2:T26&gt;0)*(Skills!E2:E26=TRUE)*(C1333:C1357=TRUE))/B1362,0)</f>
        <v/>
      </c>
    </row>
    <row r="1368">
      <c r="A1368" t="inlineStr">
        <is>
          <t>Boss-Only Total DPS (this block's swept value)</t>
        </is>
      </c>
      <c r="B1368">
        <f>SUM(T1333:T1357)</f>
        <v/>
      </c>
    </row>
    <row r="1369">
      <c r="A1369" t="inlineStr">
        <is>
          <t>Normal-Only Total DPS (this block's swept value)</t>
        </is>
      </c>
      <c r="B1369">
        <f>SUM(V1333:V1357)</f>
        <v/>
      </c>
    </row>
    <row r="1370">
      <c r="A1370" s="6" t="inlineStr">
        <is>
          <t>TOTAL DPS</t>
        </is>
      </c>
      <c r="B1370" s="6">
        <f>SUM(O1333:O1357)</f>
        <v/>
      </c>
    </row>
    <row r="1373">
      <c r="A1373" s="6" t="inlineStr">
        <is>
          <t>Stat: Hexagon Necklace (Equip)</t>
        </is>
      </c>
    </row>
    <row r="1374">
      <c r="A1374" s="5" t="inlineStr">
        <is>
          <t>Key</t>
        </is>
      </c>
      <c r="B1374" s="5" t="inlineStr">
        <is>
          <t>Name</t>
        </is>
      </c>
      <c r="C1374" s="5" t="inlineStr">
        <is>
          <t>Unlocked</t>
        </is>
      </c>
      <c r="D1374" s="5" t="inlineStr">
        <is>
          <t>InputLevel</t>
        </is>
      </c>
      <c r="E1374" s="5" t="inlineStr">
        <is>
          <t>Factor</t>
        </is>
      </c>
      <c r="F1374" s="5" t="inlineStr">
        <is>
          <t>CoefficientPercent</t>
        </is>
      </c>
      <c r="G1374" s="5" t="inlineStr">
        <is>
          <t>EffectiveHits</t>
        </is>
      </c>
      <c r="H1374" s="5" t="inlineStr">
        <is>
          <t>ProcProbability</t>
        </is>
      </c>
      <c r="I1374" s="5" t="inlineStr">
        <is>
          <t>MapleHeroMultiplier</t>
        </is>
      </c>
      <c r="J1374" s="5" t="inlineStr">
        <is>
          <t>BaseDamage</t>
        </is>
      </c>
      <c r="K1374" s="5" t="inlineStr">
        <is>
          <t>BaseHitDamage</t>
        </is>
      </c>
      <c r="L1374" s="5" t="inlineStr">
        <is>
          <t>NonCritAvg</t>
        </is>
      </c>
      <c r="M1374" s="5" t="inlineStr">
        <is>
          <t>CritAvg</t>
        </is>
      </c>
      <c r="N1374" s="5" t="inlineStr">
        <is>
          <t>ExpectedDamage(perHit)</t>
        </is>
      </c>
      <c r="O1374" s="5" t="inlineStr">
        <is>
          <t>DPS</t>
        </is>
      </c>
      <c r="P1374" s="5" t="inlineStr">
        <is>
          <t>% of Total</t>
        </is>
      </c>
      <c r="Q1374" s="5" t="inlineStr">
        <is>
          <t>InvCooldown</t>
        </is>
      </c>
      <c r="R1374" s="5" t="inlineStr">
        <is>
          <t>CastsInFight</t>
        </is>
      </c>
      <c r="S1374" s="5" t="inlineStr">
        <is>
          <t>HitRate(perSec)</t>
        </is>
      </c>
      <c r="U1374" t="inlineStr">
        <is>
          <t>helpers</t>
        </is>
      </c>
    </row>
    <row r="1375">
      <c r="A1375">
        <f>Skills!A2</f>
        <v/>
      </c>
      <c r="B1375">
        <f>Skills!B2</f>
        <v/>
      </c>
      <c r="C1375">
        <f>Inputs!$B$3&gt;=100</f>
        <v/>
      </c>
      <c r="D1375" t="inlineStr"/>
      <c r="E1375" t="inlineStr"/>
      <c r="F1375">
        <f>U1377+Skills!O2</f>
        <v/>
      </c>
      <c r="G1375">
        <f>Skills!G2*IF(Skills!H2&gt;0,Skills!I2/Skills!H2,1)</f>
        <v/>
      </c>
      <c r="H1375">
        <f>1-(1-Skills!J2/100)^Skills!K2</f>
        <v/>
      </c>
      <c r="I1375" t="inlineStr">
        <is>
          <t>1</t>
        </is>
      </c>
      <c r="J1375">
        <f>((Inputs!$B$6*(1+Inputs!$B$7/100))+(((Inputs!$B$12*(1+Inputs!$B$13/100))-(Inputs!$B$12*(1+Inputs!$B$13/100)))+0.25*(Inputs!$B$14-Inputs!$B$14))*(1+Inputs!$B$7/100))*(F1375/100)</f>
        <v/>
      </c>
      <c r="K1375">
        <f>J1375*(1+((Inputs!$B$12*(1+Inputs!$B$13/100))*0.01+Inputs!$B$14*0.0025)/100)*(1+Inputs!$B$15/100)*(1+Inputs!$B$16/100)*(5000/(6000+Inputs!$B$42*(1-(100*(1-(1-(Inputs!$B$19+0)/100)*(1-CHOOSE(ArtifactsInput!$N$40+1,5,6,7,8,9,10)/100)^(ArtifactsInput!$M$40-ArtifactsInput!$M$40)))/100)))*(1+(Inputs!$B$24+((C1398=TRUE)*(F1398-Calc!F25))+B1408)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1394=TRUE)*(F1394-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1396=TRUE)*(F1396-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1386=TRUE)*F1386*IF(Inputs!$B$3&gt;=110,7,5))+((C1388=TRUE)*F1388*IF(AND(Inputs!$B$38&lt;&gt;"pvp",Inputs!$B$43&gt;0),(((R1388-1)*(Skills!T15*(1+(Inputs!$B$34+(ArtifactsInput!$M$7-ArtifactsInput!$M$7)*CHOOSE(ArtifactsInput!$N$7+1,6,7.2,8.4,9.6,10.8,12))/100))+MIN((Skills!T15*(1+(Inputs!$B$34+(ArtifactsInput!$M$7-ArtifactsInput!$M$7)*CHOOSE(ArtifactsInput!$N$7+1,6,7.2,8.4,9.6,10.8,12))/100)),MAX(0,Inputs!$B$43-((R1388-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Hunt"),CHOOSE(ArtifactsInput!$N$35+1,15,18,21,24,27,30)*(1-EXP(-(0.2*B1404)*5)),0)+IF(AND(ArtifactsInput!$M$22,Inputs!$B$4&lt;&gt;"Chapter Hunt"),CHOOSE(ArtifactsInput!$N$22+1,10,12,14,16,18,20)*((0*(((0.15*B1404*5))^0/1)+1*(((0.15*B1404*5))^1/1)+2*(((0.15*B1404*5))^2/2)+3*(((0.15*B1404*5))^3/6)+4*(((0.15*B1404*5))^4/24)+5*(((0.15*B1404*5))^5/120))/((((0.15*B1404*5))^0/1)+(((0.15*B1404*5))^1/1)+(((0.15*B1404*5))^2/2)+(((0.15*B1404*5))^3/6)+(((0.15*B1404*5))^4/24)+(((0.15*B1404*5))^5/120))),0)))/100)*I1375)</f>
        <v/>
      </c>
      <c r="L1375">
        <f>K1375*(MIN(Inputs!$B$22+((C1395=TRUE)*(F1395-Calc!F22)),(Inputs!$B$23+((C1397=TRUE)*(F1397-Calc!F24))+(IF(ArtifactsInput!$M$15,CHOOSE(ArtifactsInput!$N$15+1,25,30,35,40,45,50)/100*(Inputs!$B$11-Inputs!$B$11),0))))/100+(Inputs!$B$23+((C1397=TRUE)*(F1397-Calc!F24))+(IF(ArtifactsInput!$M$15,CHOOSE(ArtifactsInput!$N$15+1,25,30,35,40,45,50)/100*(Inputs!$B$11-Inputs!$B$11),0)))/100)/2</f>
        <v/>
      </c>
      <c r="M1375">
        <f>L1375*(1+(Inputs!$B$10+0+B1407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75">
        <f>L1375*(1-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1375*(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75">
        <f>(1-Summary!$B$11)*T1375+Summary!$B$11*V1375</f>
        <v/>
      </c>
      <c r="P1375">
        <f>IF(B1412=0,0,O1375/B1412)</f>
        <v/>
      </c>
      <c r="Q1375" t="n">
        <v>0</v>
      </c>
      <c r="R1375" t="n">
        <v>0</v>
      </c>
      <c r="S1375">
        <f>IFERROR(O1375/N1375,0)</f>
        <v/>
      </c>
      <c r="T1375">
        <f>IF(C1375,(Skills!G2*N1375*B1406)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1375*(1-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1375*(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1375*(1-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1375*(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75">
        <f>MAX(0,(Inputs!$B$3-100)*3)+Inputs!$B$28+Inputs!$B$29</f>
        <v/>
      </c>
      <c r="V1375">
        <f>IF(C1375,(Skills!G2*N1375*B1406)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76">
      <c r="A1376">
        <f>Skills!A3</f>
        <v/>
      </c>
      <c r="B1376">
        <f>Skills!B3</f>
        <v/>
      </c>
      <c r="C1376">
        <f>Inputs!$B$3&gt;=50</f>
        <v/>
      </c>
      <c r="D1376">
        <f>IF(Skills!C3=1,60+Inputs!$B$25+Inputs!$B$29,IF(Skills!C3=2,90+Inputs!$B$26+Inputs!$B$29,IF(Skills!C3=3,120+Inputs!$B$27+Inputs!$B$29,MAX(0,(Inputs!$B$3-100)*3)+Inputs!$B$28+Inputs!$B$29)))</f>
        <v/>
      </c>
      <c r="E1376">
        <f>INDEX(FactorTable!$B$2:$Y$301, MATCH(ROUND(MIN(300,MAX(1,D1376)),0), FactorTable!$A$2:$A$301,0), Skills!M3+1)</f>
        <v/>
      </c>
      <c r="F1376">
        <f>IF(Skills!N3=TRUE,(Skills!L3/10)*(E1376/1000),Skills!L3/10)+Skills!O3</f>
        <v/>
      </c>
      <c r="G1376" t="inlineStr"/>
      <c r="H1376" t="inlineStr"/>
      <c r="I1376" t="inlineStr">
        <is>
          <t>1</t>
        </is>
      </c>
      <c r="J1376" t="inlineStr"/>
      <c r="K1376" t="inlineStr"/>
      <c r="L1376" t="inlineStr"/>
      <c r="M1376" t="inlineStr"/>
      <c r="N1376" t="inlineStr"/>
      <c r="O1376" t="inlineStr"/>
      <c r="P1376" t="inlineStr"/>
      <c r="Q1376" t="inlineStr"/>
      <c r="R1376" t="inlineStr"/>
      <c r="S1376" t="inlineStr"/>
      <c r="U1376">
        <f>INDEX(FactorTable!$B$2:$Y$301, MATCH(ROUND(MIN(300,MAX(1,U1375)),0), FactorTable!$A$2:$A$301,0), 22)</f>
        <v/>
      </c>
    </row>
    <row r="1377">
      <c r="A1377">
        <f>Skills!A4</f>
        <v/>
      </c>
      <c r="B1377">
        <f>Skills!B4</f>
        <v/>
      </c>
      <c r="C1377">
        <f>Inputs!$B$3&gt;=105</f>
        <v/>
      </c>
      <c r="D1377">
        <f>IF(Skills!C4=1,60+Inputs!$B$25+Inputs!$B$29,IF(Skills!C4=2,90+Inputs!$B$26+Inputs!$B$29,IF(Skills!C4=3,120+Inputs!$B$27+Inputs!$B$29,MAX(0,(Inputs!$B$3-100)*3)+Inputs!$B$28+Inputs!$B$29)))</f>
        <v/>
      </c>
      <c r="E1377">
        <f>INDEX(FactorTable!$B$2:$Y$301, MATCH(ROUND(MIN(300,MAX(1,D1377)),0), FactorTable!$A$2:$A$301,0), Skills!M4+1)</f>
        <v/>
      </c>
      <c r="F1377">
        <f>IF(Skills!N4=TRUE,(Skills!L4/10)*(E1377/1000),Skills!L4/10)+Skills!O4</f>
        <v/>
      </c>
      <c r="G1377" t="inlineStr"/>
      <c r="H1377" t="inlineStr"/>
      <c r="I1377" t="inlineStr">
        <is>
          <t>1</t>
        </is>
      </c>
      <c r="J1377" t="inlineStr"/>
      <c r="K1377" t="inlineStr"/>
      <c r="L1377" t="inlineStr"/>
      <c r="M1377" t="inlineStr"/>
      <c r="N1377" t="inlineStr"/>
      <c r="O1377" t="inlineStr"/>
      <c r="P1377" t="inlineStr"/>
      <c r="Q1377" t="inlineStr"/>
      <c r="R1377" t="inlineStr"/>
      <c r="S1377" t="inlineStr"/>
      <c r="U1377">
        <f>290*U1376/1000</f>
        <v/>
      </c>
    </row>
    <row r="1378">
      <c r="A1378">
        <f>Skills!A5</f>
        <v/>
      </c>
      <c r="B1378">
        <f>Skills!B5</f>
        <v/>
      </c>
      <c r="C1378">
        <f>Inputs!$B$3&gt;=103</f>
        <v/>
      </c>
      <c r="D1378">
        <f>IF(Skills!C5=1,60+Inputs!$B$25+Inputs!$B$29,IF(Skills!C5=2,90+Inputs!$B$26+Inputs!$B$29,IF(Skills!C5=3,120+Inputs!$B$27+Inputs!$B$29,MAX(0,(Inputs!$B$3-100)*3)+Inputs!$B$28+Inputs!$B$29)))</f>
        <v/>
      </c>
      <c r="E1378">
        <f>INDEX(FactorTable!$B$2:$Y$301, MATCH(ROUND(MIN(300,MAX(1,D1378)),0), FactorTable!$A$2:$A$301,0), Skills!M5+1)</f>
        <v/>
      </c>
      <c r="F1378">
        <f>IF(Skills!N5=TRUE,(Skills!L5/10)*(E1378/1000),Skills!L5/10)+Skills!O5</f>
        <v/>
      </c>
      <c r="G1378">
        <f>Skills!G5*IF(Skills!H5&gt;0,Skills!I5/Skills!H5,1)</f>
        <v/>
      </c>
      <c r="H1378">
        <f>1-(1-Skills!J5/100)^Skills!K5</f>
        <v/>
      </c>
      <c r="I1378" t="inlineStr">
        <is>
          <t>1</t>
        </is>
      </c>
      <c r="J1378">
        <f>((Inputs!$B$6*(1+Inputs!$B$7/100))+(((Inputs!$B$12*(1+Inputs!$B$13/100))-(Inputs!$B$12*(1+Inputs!$B$13/100)))+0.25*(Inputs!$B$14-Inputs!$B$14))*(1+Inputs!$B$7/100))*(F1378/100)</f>
        <v/>
      </c>
      <c r="K1378">
        <f>J1378*(1+((Inputs!$B$12*(1+Inputs!$B$13/100))*0.01+Inputs!$B$14*0.0025)/100)*(1+Inputs!$B$15/100)*(1+Inputs!$B$16/100)*(5000/(6000+Inputs!$B$42*(1-(100*(1-(1-(Inputs!$B$19+0)/100)*(1-CHOOSE(ArtifactsInput!$N$40+1,5,6,7,8,9,10)/100)^(ArtifactsInput!$M$40-ArtifactsInput!$M$40)))/100)))*(1+(Inputs!$B$24+((C1398=TRUE)*(F1398-Calc!F25))+B1408)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1394=TRUE)*(F1394-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1396=TRUE)*(F1396-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1386=TRUE)*F1386*IF(Inputs!$B$3&gt;=110,7,5))+((C1388=TRUE)*F1388*IF(AND(Inputs!$B$38&lt;&gt;"pvp",Inputs!$B$43&gt;0),(((R1388-1)*(Skills!T15*(1+(Inputs!$B$34+(ArtifactsInput!$M$7-ArtifactsInput!$M$7)*CHOOSE(ArtifactsInput!$N$7+1,6,7.2,8.4,9.6,10.8,12))/100))+MIN((Skills!T15*(1+(Inputs!$B$34+(ArtifactsInput!$M$7-ArtifactsInput!$M$7)*CHOOSE(ArtifactsInput!$N$7+1,6,7.2,8.4,9.6,10.8,12))/100)),MAX(0,Inputs!$B$43-((R1388-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Hunt"),CHOOSE(ArtifactsInput!$N$35+1,15,18,21,24,27,30)*(1-EXP(-(0.2*B1404)*5)),0)+IF(AND(ArtifactsInput!$M$22,Inputs!$B$4&lt;&gt;"Chapter Hunt"),CHOOSE(ArtifactsInput!$N$22+1,10,12,14,16,18,20)*((0*(((0.15*B1404*5))^0/1)+1*(((0.15*B1404*5))^1/1)+2*(((0.15*B1404*5))^2/2)+3*(((0.15*B1404*5))^3/6)+4*(((0.15*B1404*5))^4/24)+5*(((0.15*B1404*5))^5/120))/((((0.15*B1404*5))^0/1)+(((0.15*B1404*5))^1/1)+(((0.15*B1404*5))^2/2)+(((0.15*B1404*5))^3/6)+(((0.15*B1404*5))^4/24)+(((0.15*B1404*5))^5/120))),0)))/100)*I1378)</f>
        <v/>
      </c>
      <c r="L1378">
        <f>K1378*(MIN(Inputs!$B$22+((C1395=TRUE)*(F1395-Calc!F22)),(Inputs!$B$23+((C1397=TRUE)*(F1397-Calc!F24))+(IF(ArtifactsInput!$M$15,CHOOSE(ArtifactsInput!$N$15+1,25,30,35,40,45,50)/100*(Inputs!$B$11-Inputs!$B$11),0))))/100+(Inputs!$B$23+((C1397=TRUE)*(F1397-Calc!F24))+(IF(ArtifactsInput!$M$15,CHOOSE(ArtifactsInput!$N$15+1,25,30,35,40,45,50)/100*(Inputs!$B$11-Inputs!$B$11),0)))/100)/2</f>
        <v/>
      </c>
      <c r="M1378">
        <f>L1378*(1+(Inputs!$B$10+0+B1407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78">
        <f>L1378*(1-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1378*(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78">
        <f>(1-Summary!$B$11)*T1378+Summary!$B$11*V1378</f>
        <v/>
      </c>
      <c r="P1378">
        <f>IF(B1412=0,0,O1378/B1412)</f>
        <v/>
      </c>
      <c r="Q1378">
        <f>IFERROR(1/(IF(Inputs!$B$38="pvp",15,MAX(0.1,Skills!D5-IF(Skills!E5=TRUE,Inputs!$B$32,0)))*(1-IF(AND(ArtifactsInput!$M$27,Inputs!$B$4="Chapter Hunt"),CHOOSE(ArtifactsInput!$N$27+1,20,24,28,32,36,40),0)/100)),0)</f>
        <v/>
      </c>
      <c r="R1378">
        <f>IF(AND(Inputs!$B$38&lt;&gt;"pvp",Inputs!$B$43&gt;0),IF(MAX(0,Inputs!$B$43-B1409)&lt;=0,0,(INT(MAX(0,Inputs!$B$43-B1409)/(IF(Inputs!$B$38="pvp",15,MAX(0.1,Skills!D5-IF(Skills!E5=TRUE,Inputs!$B$32,0)))*(1-IF(AND(ArtifactsInput!$M$27,Inputs!$B$4="Chapter Hunt"),CHOOSE(ArtifactsInput!$N$27+1,20,24,28,32,36,40),0)/100)))+1)),0)</f>
        <v/>
      </c>
      <c r="S1378">
        <f>IFERROR(O1378/N1378,0)</f>
        <v/>
      </c>
      <c r="T1378">
        <f>IF(C1378,(H1378*N1378*IF(AND(Inputs!$B$38&lt;&gt;"pvp",Inputs!$B$43&gt;0),((Skills!G5*((R1378-1)*IF(Skills!H5&gt;0,Skills!I5/Skills!H5,1)+IF(Skills!H5&gt;0,MIN(Skills!I5,MAX(0,MAX(0,Inputs!$B$43-B1409)-((R1378-1)*(IF(Inputs!$B$38="pvp",15,MAX(0.1,Skills!D5-IF(Skills!E5=TRUE,Inputs!$B$32,0)))*(1-IF(AND(ArtifactsInput!$M$27,Inputs!$B$4="Chapter Hunt"),CHOOSE(ArtifactsInput!$N$27+1,20,24,28,32,36,40),0)/100)))))/Skills!H5,1)))/Inputs!$B$43),G1378*Q1378)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1378*(1-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1378*(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1378*(1-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1378*(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78">
        <f>IF(C1378,(H1378*N1378*IF(AND(Inputs!$B$38&lt;&gt;"pvp",Inputs!$B$43&gt;0),((Skills!G5*((R1378-1)*IF(Skills!H5&gt;0,Skills!I5/Skills!H5,1)+IF(Skills!H5&gt;0,MIN(Skills!I5,MAX(0,MAX(0,Inputs!$B$43-B1409)-((R1378-1)*(IF(Inputs!$B$38="pvp",15,MAX(0.1,Skills!D5-IF(Skills!E5=TRUE,Inputs!$B$32,0)))*(1-IF(AND(ArtifactsInput!$M$27,Inputs!$B$4="Chapter Hunt"),CHOOSE(ArtifactsInput!$N$27+1,20,24,28,32,36,40),0)/100)))))/Skills!H5,1)))/Inputs!$B$43),G1378*Q1378)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79">
      <c r="A1379">
        <f>Skills!A6</f>
        <v/>
      </c>
      <c r="B1379">
        <f>Skills!B6</f>
        <v/>
      </c>
      <c r="C1379">
        <f>Inputs!$B$3&gt;=103</f>
        <v/>
      </c>
      <c r="D1379">
        <f>IF(Skills!C6=1,60+Inputs!$B$25+Inputs!$B$29,IF(Skills!C6=2,90+Inputs!$B$26+Inputs!$B$29,IF(Skills!C6=3,120+Inputs!$B$27+Inputs!$B$29,MAX(0,(Inputs!$B$3-100)*3)+Inputs!$B$28+Inputs!$B$29)))</f>
        <v/>
      </c>
      <c r="E1379">
        <f>INDEX(FactorTable!$B$2:$Y$301, MATCH(ROUND(MIN(300,MAX(1,D1379)),0), FactorTable!$A$2:$A$301,0), Skills!M6+1)</f>
        <v/>
      </c>
      <c r="F1379">
        <f>IF(Skills!N6=TRUE,(Skills!L6/10)*(E1379/1000),Skills!L6/10)+Skills!O6</f>
        <v/>
      </c>
      <c r="G1379">
        <f>Skills!G6*IF(Skills!H6&gt;0,Skills!I6/Skills!H6,1)</f>
        <v/>
      </c>
      <c r="H1379">
        <f>1-(1-Skills!J6/100)^Skills!K6</f>
        <v/>
      </c>
      <c r="I1379" t="inlineStr">
        <is>
          <t>1</t>
        </is>
      </c>
      <c r="J1379">
        <f>((Inputs!$B$6*(1+Inputs!$B$7/100))+(((Inputs!$B$12*(1+Inputs!$B$13/100))-(Inputs!$B$12*(1+Inputs!$B$13/100)))+0.25*(Inputs!$B$14-Inputs!$B$14))*(1+Inputs!$B$7/100))*(F1379/100)</f>
        <v/>
      </c>
      <c r="K1379">
        <f>J1379*(1+((Inputs!$B$12*(1+Inputs!$B$13/100))*0.01+Inputs!$B$14*0.0025)/100)*(1+Inputs!$B$15/100)*(1+Inputs!$B$16/100)*(5000/(6000+Inputs!$B$42*(1-(100*(1-(1-(Inputs!$B$19+0)/100)*(1-CHOOSE(ArtifactsInput!$N$40+1,5,6,7,8,9,10)/100)^(ArtifactsInput!$M$40-ArtifactsInput!$M$40)))/100)))*(1+(Inputs!$B$24+((C1398=TRUE)*(F1398-Calc!F25))+B1408)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1394=TRUE)*(F1394-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1396=TRUE)*(F1396-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1386=TRUE)*F1386*IF(Inputs!$B$3&gt;=110,7,5))+((C1388=TRUE)*F1388*IF(AND(Inputs!$B$38&lt;&gt;"pvp",Inputs!$B$43&gt;0),(((R1388-1)*(Skills!T15*(1+(Inputs!$B$34+(ArtifactsInput!$M$7-ArtifactsInput!$M$7)*CHOOSE(ArtifactsInput!$N$7+1,6,7.2,8.4,9.6,10.8,12))/100))+MIN((Skills!T15*(1+(Inputs!$B$34+(ArtifactsInput!$M$7-ArtifactsInput!$M$7)*CHOOSE(ArtifactsInput!$N$7+1,6,7.2,8.4,9.6,10.8,12))/100)),MAX(0,Inputs!$B$43-((R1388-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Hunt"),CHOOSE(ArtifactsInput!$N$35+1,15,18,21,24,27,30)*(1-EXP(-(0.2*B1404)*5)),0)+IF(AND(ArtifactsInput!$M$22,Inputs!$B$4&lt;&gt;"Chapter Hunt"),CHOOSE(ArtifactsInput!$N$22+1,10,12,14,16,18,20)*((0*(((0.15*B1404*5))^0/1)+1*(((0.15*B1404*5))^1/1)+2*(((0.15*B1404*5))^2/2)+3*(((0.15*B1404*5))^3/6)+4*(((0.15*B1404*5))^4/24)+5*(((0.15*B1404*5))^5/120))/((((0.15*B1404*5))^0/1)+(((0.15*B1404*5))^1/1)+(((0.15*B1404*5))^2/2)+(((0.15*B1404*5))^3/6)+(((0.15*B1404*5))^4/24)+(((0.15*B1404*5))^5/120))),0)))/100)*I1379)</f>
        <v/>
      </c>
      <c r="L1379">
        <f>K1379*(MIN(Inputs!$B$22+((C1395=TRUE)*(F1395-Calc!F22)),(Inputs!$B$23+((C1397=TRUE)*(F1397-Calc!F24))+(IF(ArtifactsInput!$M$15,CHOOSE(ArtifactsInput!$N$15+1,25,30,35,40,45,50)/100*(Inputs!$B$11-Inputs!$B$11),0))))/100+(Inputs!$B$23+((C1397=TRUE)*(F1397-Calc!F24))+(IF(ArtifactsInput!$M$15,CHOOSE(ArtifactsInput!$N$15+1,25,30,35,40,45,50)/100*(Inputs!$B$11-Inputs!$B$11),0)))/100)/2</f>
        <v/>
      </c>
      <c r="M1379">
        <f>L1379*(1+(Inputs!$B$10+0+B1407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79">
        <f>L1379*(1-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1379*(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79">
        <f>(1-Summary!$B$11)*T1379+Summary!$B$11*V1379</f>
        <v/>
      </c>
      <c r="P1379">
        <f>IF(B1412=0,0,O1379/B1412)</f>
        <v/>
      </c>
      <c r="Q1379">
        <f>IFERROR(1/(IF(Inputs!$B$38="pvp",15,MAX(0.1,Skills!D6-IF(Skills!E6=TRUE,Inputs!$B$32,0)))*(1-IF(AND(ArtifactsInput!$M$27,Inputs!$B$4="Chapter Hunt"),CHOOSE(ArtifactsInput!$N$27+1,20,24,28,32,36,40),0)/100)),0)</f>
        <v/>
      </c>
      <c r="R1379">
        <f>IF(AND(Inputs!$B$38&lt;&gt;"pvp",Inputs!$B$43&gt;0),IF(MAX(0,Inputs!$B$43-B1409)&lt;=0,0,(INT(MAX(0,Inputs!$B$43-B1409)/(IF(Inputs!$B$38="pvp",15,MAX(0.1,Skills!D6-IF(Skills!E6=TRUE,Inputs!$B$32,0)))*(1-IF(AND(ArtifactsInput!$M$27,Inputs!$B$4="Chapter Hunt"),CHOOSE(ArtifactsInput!$N$27+1,20,24,28,32,36,40),0)/100)))+1)),0)</f>
        <v/>
      </c>
      <c r="S1379">
        <f>IFERROR(O1379/N1379,0)</f>
        <v/>
      </c>
      <c r="T1379">
        <f>IF(C1379,(H1379*N1379*IF(AND(Inputs!$B$38&lt;&gt;"pvp",Inputs!$B$43&gt;0),((Skills!G6*((R1379-1)*IF(Skills!H6&gt;0,Skills!I6/Skills!H6,1)+IF(Skills!H6&gt;0,MIN(Skills!I6,MAX(0,MAX(0,Inputs!$B$43-B1409)-((R1379-1)*(IF(Inputs!$B$38="pvp",15,MAX(0.1,Skills!D6-IF(Skills!E6=TRUE,Inputs!$B$32,0)))*(1-IF(AND(ArtifactsInput!$M$27,Inputs!$B$4="Chapter Hunt"),CHOOSE(ArtifactsInput!$N$27+1,20,24,28,32,36,40),0)/100)))))/Skills!H6,1)))/Inputs!$B$43),G1379*Q1379)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1379*(1-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1379*(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1379*(1-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1379*(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79">
        <f>IF(C1379,(H1379*N1379*IF(AND(Inputs!$B$38&lt;&gt;"pvp",Inputs!$B$43&gt;0),((Skills!G6*((R1379-1)*IF(Skills!H6&gt;0,Skills!I6/Skills!H6,1)+IF(Skills!H6&gt;0,MIN(Skills!I6,MAX(0,MAX(0,Inputs!$B$43-B1409)-((R1379-1)*(IF(Inputs!$B$38="pvp",15,MAX(0.1,Skills!D6-IF(Skills!E6=TRUE,Inputs!$B$32,0)))*(1-IF(AND(ArtifactsInput!$M$27,Inputs!$B$4="Chapter Hunt"),CHOOSE(ArtifactsInput!$N$27+1,20,24,28,32,36,40),0)/100)))))/Skills!H6,1)))/Inputs!$B$43),G1379*Q1379)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0">
      <c r="A1380">
        <f>Skills!A7</f>
        <v/>
      </c>
      <c r="B1380">
        <f>Skills!B7</f>
        <v/>
      </c>
      <c r="C1380">
        <f>Inputs!$B$3&gt;=107</f>
        <v/>
      </c>
      <c r="D1380">
        <f>IF(Skills!C7=1,60+Inputs!$B$25+Inputs!$B$29,IF(Skills!C7=2,90+Inputs!$B$26+Inputs!$B$29,IF(Skills!C7=3,120+Inputs!$B$27+Inputs!$B$29,MAX(0,(Inputs!$B$3-100)*3)+Inputs!$B$28+Inputs!$B$29)))</f>
        <v/>
      </c>
      <c r="E1380">
        <f>INDEX(FactorTable!$B$2:$Y$301, MATCH(ROUND(MIN(300,MAX(1,D1380)),0), FactorTable!$A$2:$A$301,0), Skills!M7+1)</f>
        <v/>
      </c>
      <c r="F1380">
        <f>IF(Skills!N7=TRUE,(Skills!L7/10)*(E1380/1000),Skills!L7/10)+Skills!O7</f>
        <v/>
      </c>
      <c r="G1380">
        <f>Skills!G7*IF(Skills!H7&gt;0,Skills!I7/Skills!H7,1)</f>
        <v/>
      </c>
      <c r="H1380">
        <f>1-(1-Skills!J7/100)^Skills!K7</f>
        <v/>
      </c>
      <c r="I1380" t="inlineStr">
        <is>
          <t>1</t>
        </is>
      </c>
      <c r="J1380">
        <f>((Inputs!$B$6*(1+Inputs!$B$7/100))+(((Inputs!$B$12*(1+Inputs!$B$13/100))-(Inputs!$B$12*(1+Inputs!$B$13/100)))+0.25*(Inputs!$B$14-Inputs!$B$14))*(1+Inputs!$B$7/100))*(F1380/100)</f>
        <v/>
      </c>
      <c r="K1380">
        <f>J1380*(1+((Inputs!$B$12*(1+Inputs!$B$13/100))*0.01+Inputs!$B$14*0.0025)/100)*(1+Inputs!$B$15/100)*(1+Inputs!$B$16/100)*(5000/(6000+Inputs!$B$42*(1-(100*(1-(1-(Inputs!$B$19+0)/100)*(1-CHOOSE(ArtifactsInput!$N$40+1,5,6,7,8,9,10)/100)^(ArtifactsInput!$M$40-ArtifactsInput!$M$40)))/100)))*(1+(Inputs!$B$24+((C1398=TRUE)*(F1398-Calc!F25))+B1408)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1394=TRUE)*(F1394-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1396=TRUE)*(F1396-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1386=TRUE)*F1386*IF(Inputs!$B$3&gt;=110,7,5))+((C1388=TRUE)*F1388*IF(AND(Inputs!$B$38&lt;&gt;"pvp",Inputs!$B$43&gt;0),(((R1388-1)*(Skills!T15*(1+(Inputs!$B$34+(ArtifactsInput!$M$7-ArtifactsInput!$M$7)*CHOOSE(ArtifactsInput!$N$7+1,6,7.2,8.4,9.6,10.8,12))/100))+MIN((Skills!T15*(1+(Inputs!$B$34+(ArtifactsInput!$M$7-ArtifactsInput!$M$7)*CHOOSE(ArtifactsInput!$N$7+1,6,7.2,8.4,9.6,10.8,12))/100)),MAX(0,Inputs!$B$43-((R1388-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Hunt"),CHOOSE(ArtifactsInput!$N$35+1,15,18,21,24,27,30)*(1-EXP(-(0.2*B1404)*5)),0)+IF(AND(ArtifactsInput!$M$22,Inputs!$B$4&lt;&gt;"Chapter Hunt"),CHOOSE(ArtifactsInput!$N$22+1,10,12,14,16,18,20)*((0*(((0.15*B1404*5))^0/1)+1*(((0.15*B1404*5))^1/1)+2*(((0.15*B1404*5))^2/2)+3*(((0.15*B1404*5))^3/6)+4*(((0.15*B1404*5))^4/24)+5*(((0.15*B1404*5))^5/120))/((((0.15*B1404*5))^0/1)+(((0.15*B1404*5))^1/1)+(((0.15*B1404*5))^2/2)+(((0.15*B1404*5))^3/6)+(((0.15*B1404*5))^4/24)+(((0.15*B1404*5))^5/120))),0)))/100)*I1380)</f>
        <v/>
      </c>
      <c r="L1380">
        <f>K1380*(MIN(Inputs!$B$22+((C1395=TRUE)*(F1395-Calc!F22)),(Inputs!$B$23+((C1397=TRUE)*(F1397-Calc!F24))+(IF(ArtifactsInput!$M$15,CHOOSE(ArtifactsInput!$N$15+1,25,30,35,40,45,50)/100*(Inputs!$B$11-Inputs!$B$11),0))))/100+(Inputs!$B$23+((C1397=TRUE)*(F1397-Calc!F24))+(IF(ArtifactsInput!$M$15,CHOOSE(ArtifactsInput!$N$15+1,25,30,35,40,45,50)/100*(Inputs!$B$11-Inputs!$B$11),0)))/100)/2</f>
        <v/>
      </c>
      <c r="M1380">
        <f>L1380*(1+(Inputs!$B$10+0+B1407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0">
        <f>L1380*(1-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1380*(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0">
        <f>(1-Summary!$B$11)*T1380+Summary!$B$11*V1380</f>
        <v/>
      </c>
      <c r="P1380">
        <f>IF(B1412=0,0,O1380/B1412)</f>
        <v/>
      </c>
      <c r="Q1380">
        <f>IFERROR(1/(IF(Inputs!$B$38="pvp",15,MAX(0.1,Skills!D7-IF(Skills!E7=TRUE,Inputs!$B$32,0)))*(1-IF(AND(ArtifactsInput!$M$27,Inputs!$B$4="Chapter Hunt"),CHOOSE(ArtifactsInput!$N$27+1,20,24,28,32,36,40),0)/100)),0)</f>
        <v/>
      </c>
      <c r="R1380">
        <f>IF(AND(Inputs!$B$38&lt;&gt;"pvp",Inputs!$B$43&gt;0),IF(MAX(0,Inputs!$B$43-B1409)&lt;=0,0,(INT(MAX(0,Inputs!$B$43-B1409)/(IF(Inputs!$B$38="pvp",15,MAX(0.1,Skills!D7-IF(Skills!E7=TRUE,Inputs!$B$32,0)))*(1-IF(AND(ArtifactsInput!$M$27,Inputs!$B$4="Chapter Hunt"),CHOOSE(ArtifactsInput!$N$27+1,20,24,28,32,36,40),0)/100)))+1)),0)</f>
        <v/>
      </c>
      <c r="S1380">
        <f>IFERROR(O1380/N1380,0)</f>
        <v/>
      </c>
      <c r="T1380">
        <f>IF(C1380,(H1380*N1380*IF(AND(Inputs!$B$38&lt;&gt;"pvp",Inputs!$B$43&gt;0),((Skills!G7*((R1380-1)*IF(Skills!H7&gt;0,Skills!I7/Skills!H7,1)+IF(Skills!H7&gt;0,MIN(Skills!I7,MAX(0,MAX(0,Inputs!$B$43-B1409)-((R1380-1)*(IF(Inputs!$B$38="pvp",15,MAX(0.1,Skills!D7-IF(Skills!E7=TRUE,Inputs!$B$32,0)))*(1-IF(AND(ArtifactsInput!$M$27,Inputs!$B$4="Chapter Hunt"),CHOOSE(ArtifactsInput!$N$27+1,20,24,28,32,36,40),0)/100)))))/Skills!H7,1)))/Inputs!$B$43),G1380*Q1380)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1380*(1-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1380*(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1380*(1-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1380*(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0">
        <f>IF(C1380,(H1380*N1380*IF(AND(Inputs!$B$38&lt;&gt;"pvp",Inputs!$B$43&gt;0),((Skills!G7*((R1380-1)*IF(Skills!H7&gt;0,Skills!I7/Skills!H7,1)+IF(Skills!H7&gt;0,MIN(Skills!I7,MAX(0,MAX(0,Inputs!$B$43-B1409)-((R1380-1)*(IF(Inputs!$B$38="pvp",15,MAX(0.1,Skills!D7-IF(Skills!E7=TRUE,Inputs!$B$32,0)))*(1-IF(AND(ArtifactsInput!$M$27,Inputs!$B$4="Chapter Hunt"),CHOOSE(ArtifactsInput!$N$27+1,20,24,28,32,36,40),0)/100)))))/Skills!H7,1)))/Inputs!$B$43),G1380*Q1380)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1">
      <c r="A1381">
        <f>Skills!A8</f>
        <v/>
      </c>
      <c r="B1381">
        <f>Skills!B8</f>
        <v/>
      </c>
      <c r="C1381">
        <f>Inputs!$B$3&gt;=117</f>
        <v/>
      </c>
      <c r="D1381">
        <f>IF(Skills!C8=1,60+Inputs!$B$25+Inputs!$B$29,IF(Skills!C8=2,90+Inputs!$B$26+Inputs!$B$29,IF(Skills!C8=3,120+Inputs!$B$27+Inputs!$B$29,MAX(0,(Inputs!$B$3-100)*3)+Inputs!$B$28+Inputs!$B$29)))</f>
        <v/>
      </c>
      <c r="E1381">
        <f>INDEX(FactorTable!$B$2:$Y$301, MATCH(ROUND(MIN(300,MAX(1,D1381)),0), FactorTable!$A$2:$A$301,0), Skills!M8+1)</f>
        <v/>
      </c>
      <c r="F1381">
        <f>IF(Skills!N8=TRUE,(Skills!L8/10)*(E1381/1000),Skills!L8/10)+Skills!O8</f>
        <v/>
      </c>
      <c r="G1381">
        <f>Skills!G8*IF(Skills!H8&gt;0,Skills!I8/Skills!H8,1)</f>
        <v/>
      </c>
      <c r="H1381">
        <f>1-(1-Skills!J8/100)^Skills!K8</f>
        <v/>
      </c>
      <c r="I1381" t="inlineStr">
        <is>
          <t>1</t>
        </is>
      </c>
      <c r="J1381">
        <f>((Inputs!$B$6*(1+Inputs!$B$7/100))+(((Inputs!$B$12*(1+Inputs!$B$13/100))-(Inputs!$B$12*(1+Inputs!$B$13/100)))+0.25*(Inputs!$B$14-Inputs!$B$14))*(1+Inputs!$B$7/100))*(F1381/100)</f>
        <v/>
      </c>
      <c r="K1381">
        <f>J1381*(1+((Inputs!$B$12*(1+Inputs!$B$13/100))*0.01+Inputs!$B$14*0.0025)/100)*(1+Inputs!$B$15/100)*(1+Inputs!$B$16/100)*(5000/(6000+Inputs!$B$42*(1-(100*(1-(1-(Inputs!$B$19+0)/100)*(1-CHOOSE(ArtifactsInput!$N$40+1,5,6,7,8,9,10)/100)^(ArtifactsInput!$M$40-ArtifactsInput!$M$40)))/100)))*(1+(Inputs!$B$24+((C1398=TRUE)*(F1398-Calc!F25))+B1408)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1394=TRUE)*(F1394-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1396=TRUE)*(F1396-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1386=TRUE)*F1386*IF(Inputs!$B$3&gt;=110,7,5))+((C1388=TRUE)*F1388*IF(AND(Inputs!$B$38&lt;&gt;"pvp",Inputs!$B$43&gt;0),(((R1388-1)*(Skills!T15*(1+(Inputs!$B$34+(ArtifactsInput!$M$7-ArtifactsInput!$M$7)*CHOOSE(ArtifactsInput!$N$7+1,6,7.2,8.4,9.6,10.8,12))/100))+MIN((Skills!T15*(1+(Inputs!$B$34+(ArtifactsInput!$M$7-ArtifactsInput!$M$7)*CHOOSE(ArtifactsInput!$N$7+1,6,7.2,8.4,9.6,10.8,12))/100)),MAX(0,Inputs!$B$43-((R1388-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Hunt"),CHOOSE(ArtifactsInput!$N$35+1,15,18,21,24,27,30)*(1-EXP(-(0.2*B1404)*5)),0)+IF(AND(ArtifactsInput!$M$22,Inputs!$B$4&lt;&gt;"Chapter Hunt"),CHOOSE(ArtifactsInput!$N$22+1,10,12,14,16,18,20)*((0*(((0.15*B1404*5))^0/1)+1*(((0.15*B1404*5))^1/1)+2*(((0.15*B1404*5))^2/2)+3*(((0.15*B1404*5))^3/6)+4*(((0.15*B1404*5))^4/24)+5*(((0.15*B1404*5))^5/120))/((((0.15*B1404*5))^0/1)+(((0.15*B1404*5))^1/1)+(((0.15*B1404*5))^2/2)+(((0.15*B1404*5))^3/6)+(((0.15*B1404*5))^4/24)+(((0.15*B1404*5))^5/120))),0)))/100)*I1381)</f>
        <v/>
      </c>
      <c r="L1381">
        <f>K1381*(MIN(Inputs!$B$22+((C1395=TRUE)*(F1395-Calc!F22)),(Inputs!$B$23+((C1397=TRUE)*(F1397-Calc!F24))+(IF(ArtifactsInput!$M$15,CHOOSE(ArtifactsInput!$N$15+1,25,30,35,40,45,50)/100*(Inputs!$B$11-Inputs!$B$11),0))))/100+(Inputs!$B$23+((C1397=TRUE)*(F1397-Calc!F24))+(IF(ArtifactsInput!$M$15,CHOOSE(ArtifactsInput!$N$15+1,25,30,35,40,45,50)/100*(Inputs!$B$11-Inputs!$B$11),0)))/100)/2</f>
        <v/>
      </c>
      <c r="M1381">
        <f>L1381*(1+(Inputs!$B$10+0+B1407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1">
        <f>L1381*(1-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1381*(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1">
        <f>(1-Summary!$B$11)*T1381+Summary!$B$11*V1381</f>
        <v/>
      </c>
      <c r="P1381">
        <f>IF(B1412=0,0,O1381/B1412)</f>
        <v/>
      </c>
      <c r="Q1381">
        <f>IFERROR(1/(IF(Inputs!$B$38="pvp",15,MAX(0.1,Skills!D8-IF(Skills!E8=TRUE,Inputs!$B$32,0)))*(1-IF(AND(ArtifactsInput!$M$27,Inputs!$B$4="Chapter Hunt"),CHOOSE(ArtifactsInput!$N$27+1,20,24,28,32,36,40),0)/100)),0)</f>
        <v/>
      </c>
      <c r="R1381">
        <f>IF(AND(Inputs!$B$38&lt;&gt;"pvp",Inputs!$B$43&gt;0),IF(MAX(0,Inputs!$B$43-B1409)&lt;=0,0,(INT(MAX(0,Inputs!$B$43-B1409)/(IF(Inputs!$B$38="pvp",15,MAX(0.1,Skills!D8-IF(Skills!E8=TRUE,Inputs!$B$32,0)))*(1-IF(AND(ArtifactsInput!$M$27,Inputs!$B$4="Chapter Hunt"),CHOOSE(ArtifactsInput!$N$27+1,20,24,28,32,36,40),0)/100)))+1)),0)</f>
        <v/>
      </c>
      <c r="S1381">
        <f>IFERROR(O1381/N1381,0)</f>
        <v/>
      </c>
      <c r="T1381">
        <f>IF(C1381,(H1381*N1381*IF(AND(Inputs!$B$38&lt;&gt;"pvp",Inputs!$B$43&gt;0),((Skills!G8*((R1381-1)*IF(Skills!H8&gt;0,Skills!I8/Skills!H8,1)+IF(Skills!H8&gt;0,MIN(Skills!I8,MAX(0,MAX(0,Inputs!$B$43-B1409)-((R1381-1)*(IF(Inputs!$B$38="pvp",15,MAX(0.1,Skills!D8-IF(Skills!E8=TRUE,Inputs!$B$32,0)))*(1-IF(AND(ArtifactsInput!$M$27,Inputs!$B$4="Chapter Hunt"),CHOOSE(ArtifactsInput!$N$27+1,20,24,28,32,36,40),0)/100)))))/Skills!H8,1)))/Inputs!$B$43),G1381*Q1381)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1381*(1-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1381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1381*(1-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1">
        <f>IF(C1381,(H1381*N1381*IF(AND(Inputs!$B$38&lt;&gt;"pvp",Inputs!$B$43&gt;0),((Skills!G8*((R1381-1)*IF(Skills!H8&gt;0,Skills!I8/Skills!H8,1)+IF(Skills!H8&gt;0,MIN(Skills!I8,MAX(0,MAX(0,Inputs!$B$43-B1409)-((R1381-1)*(IF(Inputs!$B$38="pvp",15,MAX(0.1,Skills!D8-IF(Skills!E8=TRUE,Inputs!$B$32,0)))*(1-IF(AND(ArtifactsInput!$M$27,Inputs!$B$4="Chapter Hunt"),CHOOSE(ArtifactsInput!$N$27+1,20,24,28,32,36,40),0)/100)))))/Skills!H8,1)))/Inputs!$B$43),G1381*Q1381)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2">
      <c r="A1382">
        <f>Skills!A9</f>
        <v/>
      </c>
      <c r="B1382">
        <f>Skills!B9</f>
        <v/>
      </c>
      <c r="C1382">
        <f>Inputs!$B$3&gt;=69</f>
        <v/>
      </c>
      <c r="D1382">
        <f>IF(Skills!C9=1,60+Inputs!$B$25+Inputs!$B$29,IF(Skills!C9=2,90+Inputs!$B$26+Inputs!$B$29,IF(Skills!C9=3,120+Inputs!$B$27+Inputs!$B$29,MAX(0,(Inputs!$B$3-100)*3)+Inputs!$B$28+Inputs!$B$29)))</f>
        <v/>
      </c>
      <c r="E1382">
        <f>INDEX(FactorTable!$B$2:$Y$301, MATCH(ROUND(MIN(300,MAX(1,D1382)),0), FactorTable!$A$2:$A$301,0), Skills!M9+1)</f>
        <v/>
      </c>
      <c r="F1382">
        <f>IF(Skills!N9=TRUE,(Skills!L9/10)*(E1382/1000),Skills!L9/10)+Skills!O9</f>
        <v/>
      </c>
      <c r="G1382">
        <f>Skills!G9*IF(Skills!H9&gt;0,Skills!I9/Skills!H9,1)</f>
        <v/>
      </c>
      <c r="H1382">
        <f>1-(1-Skills!J9/100)^Skills!K9</f>
        <v/>
      </c>
      <c r="I1382" t="inlineStr">
        <is>
          <t>1</t>
        </is>
      </c>
      <c r="J1382">
        <f>((Inputs!$B$6*(1+Inputs!$B$7/100))+(((Inputs!$B$12*(1+Inputs!$B$13/100))-(Inputs!$B$12*(1+Inputs!$B$13/100)))+0.25*(Inputs!$B$14-Inputs!$B$14))*(1+Inputs!$B$7/100))*(F1382/100)</f>
        <v/>
      </c>
      <c r="K1382">
        <f>J1382*(1+((Inputs!$B$12*(1+Inputs!$B$13/100))*0.01+Inputs!$B$14*0.0025)/100)*(1+Inputs!$B$15/100)*(1+Inputs!$B$16/100)*(5000/(6000+Inputs!$B$42*(1-(100*(1-(1-(Inputs!$B$19+0)/100)*(1-CHOOSE(ArtifactsInput!$N$40+1,5,6,7,8,9,10)/100)^(ArtifactsInput!$M$40-ArtifactsInput!$M$40)))/100)))*(1+(Inputs!$B$24+((C1398=TRUE)*(F1398-Calc!F25))+B1408)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1385=TRUE,F1385,0)/100)*(1+IF(Skills!A9="ENHANCED_RAGING_BLOW",IF(Inputs!$B$3&gt;=134,MAX(0,IF(Inputs!$B$3&gt;=110,7,5)-5)*50,0),0)/100)*(1+(IF(Skills!A9="RAGING_BLOW",Inputs!$B$17+((C1394=TRUE)*(F1394-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1396=TRUE)*(F1396-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1386=TRUE)*F1386*IF(Inputs!$B$3&gt;=110,7,5))+((C1388=TRUE)*F1388*IF(AND(Inputs!$B$38&lt;&gt;"pvp",Inputs!$B$43&gt;0),(((R1388-1)*(Skills!T15*(1+(Inputs!$B$34+(ArtifactsInput!$M$7-ArtifactsInput!$M$7)*CHOOSE(ArtifactsInput!$N$7+1,6,7.2,8.4,9.6,10.8,12))/100))+MIN((Skills!T15*(1+(Inputs!$B$34+(ArtifactsInput!$M$7-ArtifactsInput!$M$7)*CHOOSE(ArtifactsInput!$N$7+1,6,7.2,8.4,9.6,10.8,12))/100)),MAX(0,Inputs!$B$43-((R1388-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Hunt"),CHOOSE(ArtifactsInput!$N$35+1,15,18,21,24,27,30)*(1-EXP(-(0.2*B1404)*5)),0)+IF(AND(ArtifactsInput!$M$22,Inputs!$B$4&lt;&gt;"Chapter Hunt"),CHOOSE(ArtifactsInput!$N$22+1,10,12,14,16,18,20)*((0*(((0.15*B1404*5))^0/1)+1*(((0.15*B1404*5))^1/1)+2*(((0.15*B1404*5))^2/2)+3*(((0.15*B1404*5))^3/6)+4*(((0.15*B1404*5))^4/24)+5*(((0.15*B1404*5))^5/120))/((((0.15*B1404*5))^0/1)+(((0.15*B1404*5))^1/1)+(((0.15*B1404*5))^2/2)+(((0.15*B1404*5))^3/6)+(((0.15*B1404*5))^4/24)+(((0.15*B1404*5))^5/120))),0)))/100)*I1382)</f>
        <v/>
      </c>
      <c r="L1382">
        <f>K1382*(MIN(Inputs!$B$22+((C1395=TRUE)*(F1395-Calc!F22)),(Inputs!$B$23+((C1397=TRUE)*(F1397-Calc!F24))+(IF(ArtifactsInput!$M$15,CHOOSE(ArtifactsInput!$N$15+1,25,30,35,40,45,50)/100*(Inputs!$B$11-Inputs!$B$11),0))))/100+(Inputs!$B$23+((C1397=TRUE)*(F1397-Calc!F24))+(IF(ArtifactsInput!$M$15,CHOOSE(ArtifactsInput!$N$15+1,25,30,35,40,45,50)/100*(Inputs!$B$11-Inputs!$B$11),0)))/100)/2</f>
        <v/>
      </c>
      <c r="M1382">
        <f>L1382*(1+(Inputs!$B$10+0+B1407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2">
        <f>L1382*(1-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1382*(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2">
        <f>(1-Summary!$B$11)*T1382+Summary!$B$11*V1382</f>
        <v/>
      </c>
      <c r="P1382">
        <f>IF(B1412=0,0,O1382/B1412)</f>
        <v/>
      </c>
      <c r="Q1382">
        <f>IFERROR(1/(IF(Inputs!$B$38="pvp",15,MAX(0.1,Skills!D9-IF(Skills!E9=TRUE,Inputs!$B$32,0)))*(1-IF(AND(ArtifactsInput!$M$27,Inputs!$B$4="Chapter Hunt"),CHOOSE(ArtifactsInput!$N$27+1,20,24,28,32,36,40),0)/100)),0)</f>
        <v/>
      </c>
      <c r="R1382">
        <f>IF(AND(Inputs!$B$38&lt;&gt;"pvp",Inputs!$B$43&gt;0),IF(MAX(0,Inputs!$B$43-B1409)&lt;=0,0,(INT(MAX(0,Inputs!$B$43-B1409)/(IF(Inputs!$B$38="pvp",15,MAX(0.1,Skills!D9-IF(Skills!E9=TRUE,Inputs!$B$32,0)))*(1-IF(AND(ArtifactsInput!$M$27,Inputs!$B$4="Chapter Hunt"),CHOOSE(ArtifactsInput!$N$27+1,20,24,28,32,36,40),0)/100)))+1)),0)</f>
        <v/>
      </c>
      <c r="S1382">
        <f>IFERROR(O1382/N1382,0)</f>
        <v/>
      </c>
      <c r="T1382">
        <f>IF(C1382,(H1382*N1382*IF(AND(Inputs!$B$38&lt;&gt;"pvp",Inputs!$B$43&gt;0),((Skills!G9*((R1382-1)*IF(Skills!H9&gt;0,Skills!I9/Skills!H9,1)+IF(Skills!H9&gt;0,MIN(Skills!I9,MAX(0,MAX(0,Inputs!$B$43-B1409)-((R1382-1)*(IF(Inputs!$B$38="pvp",15,MAX(0.1,Skills!D9-IF(Skills!E9=TRUE,Inputs!$B$32,0)))*(1-IF(AND(ArtifactsInput!$M$27,Inputs!$B$4="Chapter Hunt"),CHOOSE(ArtifactsInput!$N$27+1,20,24,28,32,36,40),0)/100)))))/Skills!H9,1)))/Inputs!$B$43),G1382*Q1382)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1382*(1-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1382*(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1382*(1-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1382*(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2">
        <f>IF(C1382,(H1382*N1382*IF(AND(Inputs!$B$38&lt;&gt;"pvp",Inputs!$B$43&gt;0),((Skills!G9*((R1382-1)*IF(Skills!H9&gt;0,Skills!I9/Skills!H9,1)+IF(Skills!H9&gt;0,MIN(Skills!I9,MAX(0,MAX(0,Inputs!$B$43-B1409)-((R1382-1)*(IF(Inputs!$B$38="pvp",15,MAX(0.1,Skills!D9-IF(Skills!E9=TRUE,Inputs!$B$32,0)))*(1-IF(AND(ArtifactsInput!$M$27,Inputs!$B$4="Chapter Hunt"),CHOOSE(ArtifactsInput!$N$27+1,20,24,28,32,36,40),0)/100)))))/Skills!H9,1)))/Inputs!$B$43),G1382*Q1382)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3">
      <c r="A1383">
        <f>Skills!A10</f>
        <v/>
      </c>
      <c r="B1383">
        <f>Skills!B10</f>
        <v/>
      </c>
      <c r="C1383">
        <f>Inputs!$B$3&gt;=63</f>
        <v/>
      </c>
      <c r="D1383">
        <f>IF(Skills!C10=1,60+Inputs!$B$25+Inputs!$B$29,IF(Skills!C10=2,90+Inputs!$B$26+Inputs!$B$29,IF(Skills!C10=3,120+Inputs!$B$27+Inputs!$B$29,MAX(0,(Inputs!$B$3-100)*3)+Inputs!$B$28+Inputs!$B$29)))</f>
        <v/>
      </c>
      <c r="E1383">
        <f>INDEX(FactorTable!$B$2:$Y$301, MATCH(ROUND(MIN(300,MAX(1,D1383)),0), FactorTable!$A$2:$A$301,0), Skills!M10+1)</f>
        <v/>
      </c>
      <c r="F1383">
        <f>IF(Skills!N10=TRUE,(Skills!L10/10)*(E1383/1000),Skills!L10/10)+Skills!O10</f>
        <v/>
      </c>
      <c r="G1383">
        <f>Skills!G10*IF(Skills!H10&gt;0,Skills!I10/Skills!H10,1)</f>
        <v/>
      </c>
      <c r="H1383">
        <f>1-(1-Skills!J10/100)^Skills!K10</f>
        <v/>
      </c>
      <c r="I1383" t="inlineStr">
        <is>
          <t>1</t>
        </is>
      </c>
      <c r="J1383">
        <f>((Inputs!$B$6*(1+Inputs!$B$7/100))+(((Inputs!$B$12*(1+Inputs!$B$13/100))-(Inputs!$B$12*(1+Inputs!$B$13/100)))+0.25*(Inputs!$B$14-Inputs!$B$14))*(1+Inputs!$B$7/100))*(F1383/100)</f>
        <v/>
      </c>
      <c r="K1383">
        <f>J1383*(1+((Inputs!$B$12*(1+Inputs!$B$13/100))*0.01+Inputs!$B$14*0.0025)/100)*(1+Inputs!$B$15/100)*(1+Inputs!$B$16/100)*(5000/(6000+Inputs!$B$42*(1-(100*(1-(1-(Inputs!$B$19+0)/100)*(1-CHOOSE(ArtifactsInput!$N$40+1,5,6,7,8,9,10)/100)^(ArtifactsInput!$M$40-ArtifactsInput!$M$40)))/100)))*(1+(Inputs!$B$24+((C1398=TRUE)*(F1398-Calc!F25))+B1408)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1385=TRUE,F1385,0)/100)*(1+IF(Skills!A10="ENHANCED_RAGING_BLOW",IF(Inputs!$B$3&gt;=134,MAX(0,IF(Inputs!$B$3&gt;=110,7,5)-5)*50,0),0)/100)*(1+(IF(Skills!A10="RAGING_BLOW",Inputs!$B$17+((C1394=TRUE)*(F1394-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1396=TRUE)*(F1396-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1386=TRUE)*F1386*IF(Inputs!$B$3&gt;=110,7,5))+((C1388=TRUE)*F1388*IF(AND(Inputs!$B$38&lt;&gt;"pvp",Inputs!$B$43&gt;0),(((R1388-1)*(Skills!T15*(1+(Inputs!$B$34+(ArtifactsInput!$M$7-ArtifactsInput!$M$7)*CHOOSE(ArtifactsInput!$N$7+1,6,7.2,8.4,9.6,10.8,12))/100))+MIN((Skills!T15*(1+(Inputs!$B$34+(ArtifactsInput!$M$7-ArtifactsInput!$M$7)*CHOOSE(ArtifactsInput!$N$7+1,6,7.2,8.4,9.6,10.8,12))/100)),MAX(0,Inputs!$B$43-((R1388-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Hunt"),CHOOSE(ArtifactsInput!$N$35+1,15,18,21,24,27,30)*(1-EXP(-(0.2*B1404)*5)),0)+IF(AND(ArtifactsInput!$M$22,Inputs!$B$4&lt;&gt;"Chapter Hunt"),CHOOSE(ArtifactsInput!$N$22+1,10,12,14,16,18,20)*((0*(((0.15*B1404*5))^0/1)+1*(((0.15*B1404*5))^1/1)+2*(((0.15*B1404*5))^2/2)+3*(((0.15*B1404*5))^3/6)+4*(((0.15*B1404*5))^4/24)+5*(((0.15*B1404*5))^5/120))/((((0.15*B1404*5))^0/1)+(((0.15*B1404*5))^1/1)+(((0.15*B1404*5))^2/2)+(((0.15*B1404*5))^3/6)+(((0.15*B1404*5))^4/24)+(((0.15*B1404*5))^5/120))),0)))/100)*I1383)</f>
        <v/>
      </c>
      <c r="L1383">
        <f>K1383*(MIN(Inputs!$B$22+((C1395=TRUE)*(F1395-Calc!F22)),(Inputs!$B$23+((C1397=TRUE)*(F1397-Calc!F24))+(IF(ArtifactsInput!$M$15,CHOOSE(ArtifactsInput!$N$15+1,25,30,35,40,45,50)/100*(Inputs!$B$11-Inputs!$B$11),0))))/100+(Inputs!$B$23+((C1397=TRUE)*(F1397-Calc!F24))+(IF(ArtifactsInput!$M$15,CHOOSE(ArtifactsInput!$N$15+1,25,30,35,40,45,50)/100*(Inputs!$B$11-Inputs!$B$11),0)))/100)/2</f>
        <v/>
      </c>
      <c r="M1383">
        <f>L1383*(1+(Inputs!$B$10+0+B1407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3">
        <f>L1383*(1-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1383*(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3">
        <f>(1-Summary!$B$11)*T1383+Summary!$B$11*V1383</f>
        <v/>
      </c>
      <c r="P1383">
        <f>IF(B1412=0,0,O1383/B1412)</f>
        <v/>
      </c>
      <c r="Q1383">
        <f>IFERROR(1/(IF(Inputs!$B$38="pvp",15,MAX(0.1,Skills!D10-IF(Skills!E10=TRUE,Inputs!$B$32,0)))*(1-IF(AND(ArtifactsInput!$M$27,Inputs!$B$4="Chapter Hunt"),CHOOSE(ArtifactsInput!$N$27+1,20,24,28,32,36,40),0)/100)),0)</f>
        <v/>
      </c>
      <c r="R1383">
        <f>IF(AND(Inputs!$B$38&lt;&gt;"pvp",Inputs!$B$43&gt;0),IF(MAX(0,Inputs!$B$43-B1409)&lt;=0,0,(INT(MAX(0,Inputs!$B$43-B1409)/(IF(Inputs!$B$38="pvp",15,MAX(0.1,Skills!D10-IF(Skills!E10=TRUE,Inputs!$B$32,0)))*(1-IF(AND(ArtifactsInput!$M$27,Inputs!$B$4="Chapter Hunt"),CHOOSE(ArtifactsInput!$N$27+1,20,24,28,32,36,40),0)/100)))+1)),0)</f>
        <v/>
      </c>
      <c r="S1383">
        <f>IFERROR(O1383/N1383,0)</f>
        <v/>
      </c>
      <c r="T1383">
        <f>IF(C1383,(H1383*N1383*IF(AND(Inputs!$B$38&lt;&gt;"pvp",Inputs!$B$43&gt;0),((Skills!G10*((R1383-1)*IF(Skills!H10&gt;0,Skills!I10/Skills!H10,1)+IF(Skills!H10&gt;0,MIN(Skills!I10,MAX(0,MAX(0,Inputs!$B$43-B1409)-((R1383-1)*(IF(Inputs!$B$38="pvp",15,MAX(0.1,Skills!D10-IF(Skills!E10=TRUE,Inputs!$B$32,0)))*(1-IF(AND(ArtifactsInput!$M$27,Inputs!$B$4="Chapter Hunt"),CHOOSE(ArtifactsInput!$N$27+1,20,24,28,32,36,40),0)/100)))))/Skills!H10,1)))/Inputs!$B$43),G1383*Q1383)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1383*(1-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1383*(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1383*(1-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1383*(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3">
        <f>IF(C1383,(H1383*N1383*IF(AND(Inputs!$B$38&lt;&gt;"pvp",Inputs!$B$43&gt;0),((Skills!G10*((R1383-1)*IF(Skills!H10&gt;0,Skills!I10/Skills!H10,1)+IF(Skills!H10&gt;0,MIN(Skills!I10,MAX(0,MAX(0,Inputs!$B$43-B1409)-((R1383-1)*(IF(Inputs!$B$38="pvp",15,MAX(0.1,Skills!D10-IF(Skills!E10=TRUE,Inputs!$B$32,0)))*(1-IF(AND(ArtifactsInput!$M$27,Inputs!$B$4="Chapter Hunt"),CHOOSE(ArtifactsInput!$N$27+1,20,24,28,32,36,40),0)/100)))))/Skills!H10,1)))/Inputs!$B$43),G1383*Q1383)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4">
      <c r="A1384">
        <f>Skills!A11</f>
        <v/>
      </c>
      <c r="B1384">
        <f>Skills!B11</f>
        <v/>
      </c>
      <c r="C1384">
        <f>Inputs!$B$3&gt;=35</f>
        <v/>
      </c>
      <c r="D1384">
        <f>IF(Skills!C11=1,60+Inputs!$B$25+Inputs!$B$29,IF(Skills!C11=2,90+Inputs!$B$26+Inputs!$B$29,IF(Skills!C11=3,120+Inputs!$B$27+Inputs!$B$29,MAX(0,(Inputs!$B$3-100)*3)+Inputs!$B$28+Inputs!$B$29)))</f>
        <v/>
      </c>
      <c r="E1384">
        <f>INDEX(FactorTable!$B$2:$Y$301, MATCH(ROUND(MIN(300,MAX(1,D1384)),0), FactorTable!$A$2:$A$301,0), Skills!M11+1)</f>
        <v/>
      </c>
      <c r="F1384">
        <f>IF(Skills!N11=TRUE,(Skills!L11/10)*(E1384/1000),Skills!L11/10)+Skills!O11</f>
        <v/>
      </c>
      <c r="G1384">
        <f>Skills!G11*IF(Skills!H11&gt;0,Skills!I11/Skills!H11,1)</f>
        <v/>
      </c>
      <c r="H1384">
        <f>1-(1-Skills!J11/100)^Skills!K11</f>
        <v/>
      </c>
      <c r="I1384" t="inlineStr">
        <is>
          <t>1</t>
        </is>
      </c>
      <c r="J1384">
        <f>((Inputs!$B$6*(1+Inputs!$B$7/100))+(((Inputs!$B$12*(1+Inputs!$B$13/100))-(Inputs!$B$12*(1+Inputs!$B$13/100)))+0.25*(Inputs!$B$14-Inputs!$B$14))*(1+Inputs!$B$7/100))*(F1384/100)</f>
        <v/>
      </c>
      <c r="K1384">
        <f>J1384*(1+((Inputs!$B$12*(1+Inputs!$B$13/100))*0.01+Inputs!$B$14*0.0025)/100)*(1+Inputs!$B$15/100)*(1+Inputs!$B$16/100)*(5000/(6000+Inputs!$B$42*(1-(100*(1-(1-(Inputs!$B$19+0)/100)*(1-CHOOSE(ArtifactsInput!$N$40+1,5,6,7,8,9,10)/100)^(ArtifactsInput!$M$40-ArtifactsInput!$M$40)))/100)))*(1+(Inputs!$B$24+((C1398=TRUE)*(F1398-Calc!F25))+B1408)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1385=TRUE,F1385,0)/100)*(1+IF(Skills!A11="ENHANCED_RAGING_BLOW",IF(Inputs!$B$3&gt;=134,MAX(0,IF(Inputs!$B$3&gt;=110,7,5)-5)*50,0),0)/100)*(1+(IF(Skills!A11="RAGING_BLOW",Inputs!$B$17+((C1394=TRUE)*(F1394-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1396=TRUE)*(F1396-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1386=TRUE)*F1386*IF(Inputs!$B$3&gt;=110,7,5))+((C1388=TRUE)*F1388*IF(AND(Inputs!$B$38&lt;&gt;"pvp",Inputs!$B$43&gt;0),(((R1388-1)*(Skills!T15*(1+(Inputs!$B$34+(ArtifactsInput!$M$7-ArtifactsInput!$M$7)*CHOOSE(ArtifactsInput!$N$7+1,6,7.2,8.4,9.6,10.8,12))/100))+MIN((Skills!T15*(1+(Inputs!$B$34+(ArtifactsInput!$M$7-ArtifactsInput!$M$7)*CHOOSE(ArtifactsInput!$N$7+1,6,7.2,8.4,9.6,10.8,12))/100)),MAX(0,Inputs!$B$43-((R1388-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Hunt"),CHOOSE(ArtifactsInput!$N$35+1,15,18,21,24,27,30)*(1-EXP(-(0.2*B1404)*5)),0)+IF(AND(ArtifactsInput!$M$22,Inputs!$B$4&lt;&gt;"Chapter Hunt"),CHOOSE(ArtifactsInput!$N$22+1,10,12,14,16,18,20)*((0*(((0.15*B1404*5))^0/1)+1*(((0.15*B1404*5))^1/1)+2*(((0.15*B1404*5))^2/2)+3*(((0.15*B1404*5))^3/6)+4*(((0.15*B1404*5))^4/24)+5*(((0.15*B1404*5))^5/120))/((((0.15*B1404*5))^0/1)+(((0.15*B1404*5))^1/1)+(((0.15*B1404*5))^2/2)+(((0.15*B1404*5))^3/6)+(((0.15*B1404*5))^4/24)+(((0.15*B1404*5))^5/120))),0)))/100)*I1384)</f>
        <v/>
      </c>
      <c r="L1384">
        <f>K1384*(MIN(Inputs!$B$22+((C1395=TRUE)*(F1395-Calc!F22)),(Inputs!$B$23+((C1397=TRUE)*(F1397-Calc!F24))+(IF(ArtifactsInput!$M$15,CHOOSE(ArtifactsInput!$N$15+1,25,30,35,40,45,50)/100*(Inputs!$B$11-Inputs!$B$11),0))))/100+(Inputs!$B$23+((C1397=TRUE)*(F1397-Calc!F24))+(IF(ArtifactsInput!$M$15,CHOOSE(ArtifactsInput!$N$15+1,25,30,35,40,45,50)/100*(Inputs!$B$11-Inputs!$B$11),0)))/100)/2</f>
        <v/>
      </c>
      <c r="M1384">
        <f>L1384*(1+(Inputs!$B$10+0+B1407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4">
        <f>L1384*(1-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1384*(MIN((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4">
        <f>(1-Summary!$B$11)*T1384+Summary!$B$11*V1384</f>
        <v/>
      </c>
      <c r="P1384">
        <f>IF(B1412=0,0,O1384/B1412)</f>
        <v/>
      </c>
      <c r="Q1384">
        <f>IFERROR(1/(IF(Inputs!$B$38="pvp",15,MAX(0.1,Skills!D11-IF(Skills!E11=TRUE,Inputs!$B$32,0)))*(1-IF(AND(ArtifactsInput!$M$27,Inputs!$B$4="Chapter Hunt"),CHOOSE(ArtifactsInput!$N$27+1,20,24,28,32,36,40),0)/100)),0)</f>
        <v/>
      </c>
      <c r="R1384">
        <f>IF(AND(Inputs!$B$38&lt;&gt;"pvp",Inputs!$B$43&gt;0),IF(MAX(0,Inputs!$B$43-B1409)&lt;=0,0,(INT(MAX(0,Inputs!$B$43-B1409)/(IF(Inputs!$B$38="pvp",15,MAX(0.1,Skills!D11-IF(Skills!E11=TRUE,Inputs!$B$32,0)))*(1-IF(AND(ArtifactsInput!$M$27,Inputs!$B$4="Chapter Hunt"),CHOOSE(ArtifactsInput!$N$27+1,20,24,28,32,36,40),0)/100)))+1)),0)</f>
        <v/>
      </c>
      <c r="S1384">
        <f>IFERROR(O1384/N1384,0)</f>
        <v/>
      </c>
      <c r="T1384">
        <f>IF(C1384,(H1384*N1384*IF(AND(Inputs!$B$38&lt;&gt;"pvp",Inputs!$B$43&gt;0),((Skills!G11*((R1384-1)*IF(Skills!H11&gt;0,Skills!I11/Skills!H11,1)+IF(Skills!H11&gt;0,MIN(Skills!I11,MAX(0,MAX(0,Inputs!$B$43-B1409)-((R1384-1)*(IF(Inputs!$B$38="pvp",15,MAX(0.1,Skills!D11-IF(Skills!E11=TRUE,Inputs!$B$32,0)))*(1-IF(AND(ArtifactsInput!$M$27,Inputs!$B$4="Chapter Hunt"),CHOOSE(ArtifactsInput!$N$27+1,20,24,28,32,36,40),0)/100)))))/Skills!H11,1)))/Inputs!$B$43),G1384*Q1384)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1384*(1-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1384*(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1384*(1-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1384*(MIN(100,(Inputs!$B$9+((C1399=TRUE)*(F1399-Calc!F26))+B1402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4">
        <f>IF(C1384,(H1384*N1384*IF(AND(Inputs!$B$38&lt;&gt;"pvp",Inputs!$B$43&gt;0),((Skills!G11*((R1384-1)*IF(Skills!H11&gt;0,Skills!I11/Skills!H11,1)+IF(Skills!H11&gt;0,MIN(Skills!I11,MAX(0,MAX(0,Inputs!$B$43-B1409)-((R1384-1)*(IF(Inputs!$B$38="pvp",15,MAX(0.1,Skills!D11-IF(Skills!E11=TRUE,Inputs!$B$32,0)))*(1-IF(AND(ArtifactsInput!$M$27,Inputs!$B$4="Chapter Hunt"),CHOOSE(ArtifactsInput!$N$27+1,20,24,28,32,36,40),0)/100)))))/Skills!H11,1)))/Inputs!$B$43),G1384*Q1384)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5">
      <c r="A1385">
        <f>Skills!A12</f>
        <v/>
      </c>
      <c r="B1385">
        <f>Skills!B12</f>
        <v/>
      </c>
      <c r="C1385">
        <f>Inputs!$B$3&gt;=100</f>
        <v/>
      </c>
      <c r="D1385">
        <f>IF(Skills!C12=1,60+Inputs!$B$25+Inputs!$B$29,IF(Skills!C12=2,90+Inputs!$B$26+Inputs!$B$29,IF(Skills!C12=3,120+Inputs!$B$27+Inputs!$B$29,MAX(0,(Inputs!$B$3-100)*3)+Inputs!$B$28+Inputs!$B$29)))</f>
        <v/>
      </c>
      <c r="E1385">
        <f>INDEX(FactorTable!$B$2:$Y$301, MATCH(ROUND(MIN(300,MAX(1,D1385)),0), FactorTable!$A$2:$A$301,0), Skills!M12+1)</f>
        <v/>
      </c>
      <c r="F1385">
        <f>IF(Skills!N12=TRUE,(Skills!L12/10)*(E1385/1000),Skills!L12/10)+Skills!O12</f>
        <v/>
      </c>
      <c r="G1385" t="inlineStr"/>
      <c r="H1385" t="inlineStr"/>
      <c r="I1385" t="inlineStr">
        <is>
          <t>1</t>
        </is>
      </c>
      <c r="J1385" t="inlineStr"/>
      <c r="K1385" t="inlineStr"/>
      <c r="L1385" t="inlineStr"/>
      <c r="M1385" t="inlineStr"/>
      <c r="N1385" t="inlineStr"/>
      <c r="O1385" t="inlineStr"/>
      <c r="P1385" t="inlineStr"/>
      <c r="Q1385" t="inlineStr"/>
      <c r="R1385" t="inlineStr"/>
      <c r="S1385" t="inlineStr"/>
    </row>
    <row r="1386">
      <c r="A1386">
        <f>Skills!A13</f>
        <v/>
      </c>
      <c r="B1386">
        <f>Skills!B13</f>
        <v/>
      </c>
      <c r="C1386">
        <f>Inputs!$B$3&gt;=45</f>
        <v/>
      </c>
      <c r="D1386">
        <f>IF(Skills!C13=1,60+Inputs!$B$25+Inputs!$B$29,IF(Skills!C13=2,90+Inputs!$B$26+Inputs!$B$29,IF(Skills!C13=3,120+Inputs!$B$27+Inputs!$B$29,MAX(0,(Inputs!$B$3-100)*3)+Inputs!$B$28+Inputs!$B$29)))</f>
        <v/>
      </c>
      <c r="E1386">
        <f>INDEX(FactorTable!$B$2:$Y$301, MATCH(ROUND(MIN(300,MAX(1,D1386)),0), FactorTable!$A$2:$A$301,0), Skills!M13+1)</f>
        <v/>
      </c>
      <c r="F1386">
        <f>IF(Skills!N13=TRUE,(Skills!L13/10)*(E1386/1000),Skills!L13/10)+Skills!O13</f>
        <v/>
      </c>
      <c r="G1386">
        <f>Skills!G13*IF(Skills!H13&gt;0,Skills!I13/Skills!H13,1)</f>
        <v/>
      </c>
      <c r="H1386">
        <f>1-(1-Skills!J13/100)^Skills!K13</f>
        <v/>
      </c>
      <c r="I1386" t="inlineStr">
        <is>
          <t>1</t>
        </is>
      </c>
      <c r="J1386" t="inlineStr"/>
      <c r="K1386" t="inlineStr"/>
      <c r="L1386" t="inlineStr"/>
      <c r="M1386" t="inlineStr"/>
      <c r="N1386" t="inlineStr"/>
      <c r="O1386">
        <f>(1-Summary!$B$11)*T1386+Summary!$B$11*V1386</f>
        <v/>
      </c>
      <c r="P1386">
        <f>IF(B1412=0,0,O1386/B1412)</f>
        <v/>
      </c>
      <c r="Q1386" t="n">
        <v>0</v>
      </c>
      <c r="R1386" t="n">
        <v>0</v>
      </c>
      <c r="S1386">
        <f>IFERROR(O1386/N1386,0)</f>
        <v/>
      </c>
      <c r="T1386" t="n">
        <v>0</v>
      </c>
      <c r="V1386" t="n">
        <v>0</v>
      </c>
    </row>
    <row r="1387">
      <c r="A1387">
        <f>Skills!A14</f>
        <v/>
      </c>
      <c r="B1387">
        <f>Skills!B14</f>
        <v/>
      </c>
      <c r="C1387">
        <f>Inputs!$B$3&gt;=75</f>
        <v/>
      </c>
      <c r="D1387">
        <f>IF(Skills!C14=1,60+Inputs!$B$25+Inputs!$B$29,IF(Skills!C14=2,90+Inputs!$B$26+Inputs!$B$29,IF(Skills!C14=3,120+Inputs!$B$27+Inputs!$B$29,MAX(0,(Inputs!$B$3-100)*3)+Inputs!$B$28+Inputs!$B$29)))</f>
        <v/>
      </c>
      <c r="E1387">
        <f>INDEX(FactorTable!$B$2:$Y$301, MATCH(ROUND(MIN(300,MAX(1,D1387)),0), FactorTable!$A$2:$A$301,0), Skills!M14+1)</f>
        <v/>
      </c>
      <c r="F1387">
        <f>IF(Skills!N14=TRUE,(Skills!L14/10)*(E1387/1000),Skills!L14/10)+Skills!O14</f>
        <v/>
      </c>
      <c r="G1387">
        <f>Skills!G14*IF(Skills!H14&gt;0,Skills!I14/Skills!H14,1)</f>
        <v/>
      </c>
      <c r="H1387">
        <f>1-(1-Skills!J14/100)^Skills!K14</f>
        <v/>
      </c>
      <c r="I1387" t="inlineStr">
        <is>
          <t>1</t>
        </is>
      </c>
      <c r="J1387" t="inlineStr"/>
      <c r="K1387" t="inlineStr"/>
      <c r="L1387" t="inlineStr"/>
      <c r="M1387" t="inlineStr"/>
      <c r="N1387" t="inlineStr"/>
      <c r="O1387">
        <f>(1-Summary!$B$11)*T1387+Summary!$B$11*V1387</f>
        <v/>
      </c>
      <c r="P1387">
        <f>IF(B1412=0,0,O1387/B1412)</f>
        <v/>
      </c>
      <c r="Q1387" t="n">
        <v>0</v>
      </c>
      <c r="R1387" t="n">
        <v>0</v>
      </c>
      <c r="S1387">
        <f>IFERROR(O1387/N1387,0)</f>
        <v/>
      </c>
      <c r="T1387" t="n">
        <v>0</v>
      </c>
      <c r="V1387" t="n">
        <v>0</v>
      </c>
    </row>
    <row r="1388">
      <c r="A1388">
        <f>Skills!A15</f>
        <v/>
      </c>
      <c r="B1388">
        <f>Skills!B15</f>
        <v/>
      </c>
      <c r="C1388">
        <f>Inputs!$B$3&gt;=40</f>
        <v/>
      </c>
      <c r="D1388">
        <f>IF(Skills!C15=1,60+Inputs!$B$25+Inputs!$B$29,IF(Skills!C15=2,90+Inputs!$B$26+Inputs!$B$29,IF(Skills!C15=3,120+Inputs!$B$27+Inputs!$B$29,MAX(0,(Inputs!$B$3-100)*3)+Inputs!$B$28+Inputs!$B$29)))</f>
        <v/>
      </c>
      <c r="E1388">
        <f>INDEX(FactorTable!$B$2:$Y$301, MATCH(ROUND(MIN(300,MAX(1,D1388)),0), FactorTable!$A$2:$A$301,0), Skills!M15+1)</f>
        <v/>
      </c>
      <c r="F1388">
        <f>IF(Skills!N15=TRUE,(Skills!L15/10)*(E1388/1000),Skills!L15/10)+Skills!O15</f>
        <v/>
      </c>
      <c r="G1388">
        <f>Skills!G15*IF(Skills!H15&gt;0,Skills!I15/Skills!H15,1)</f>
        <v/>
      </c>
      <c r="H1388">
        <f>1-(1-Skills!J15/100)^Skills!K15</f>
        <v/>
      </c>
      <c r="I1388" t="inlineStr">
        <is>
          <t>1</t>
        </is>
      </c>
      <c r="J1388" t="inlineStr"/>
      <c r="K1388" t="inlineStr"/>
      <c r="L1388" t="inlineStr"/>
      <c r="M1388" t="inlineStr"/>
      <c r="N1388" t="inlineStr"/>
      <c r="O1388">
        <f>(1-Summary!$B$11)*T1388+Summary!$B$11*V1388</f>
        <v/>
      </c>
      <c r="P1388">
        <f>IF(B1412=0,0,O1388/B1412)</f>
        <v/>
      </c>
      <c r="Q1388">
        <f>IFERROR(1/(IF(Inputs!$B$38="pvp",15,MAX(0.1,Skills!D15-IF(Skills!E15=TRUE,Inputs!$B$32,0)))*(1-IF(AND(ArtifactsInput!$M$27,Inputs!$B$4="Chapter Hunt"),CHOOSE(ArtifactsInput!$N$27+1,20,24,28,32,36,40),0)/100)),0)</f>
        <v/>
      </c>
      <c r="R1388">
        <f>IF(AND(Inputs!$B$38&lt;&gt;"pvp",Inputs!$B$43&gt;0),IF(Inputs!$B$43&lt;=0,0,(INT(Inputs!$B$43/(IF(Inputs!$B$38="pvp",15,MAX(0.1,Skills!D15-IF(Skills!E15=TRUE,Inputs!$B$32,0)))*(1-IF(AND(ArtifactsInput!$M$27,Inputs!$B$4="Chapter Hunt"),CHOOSE(ArtifactsInput!$N$27+1,20,24,28,32,36,40),0)/100)))+1)),0)</f>
        <v/>
      </c>
      <c r="S1388">
        <f>IFERROR(O1388/N1388,0)</f>
        <v/>
      </c>
      <c r="T1388" t="n">
        <v>0</v>
      </c>
      <c r="V1388" t="n">
        <v>0</v>
      </c>
    </row>
    <row r="1389">
      <c r="A1389">
        <f>Skills!A16</f>
        <v/>
      </c>
      <c r="B1389">
        <f>Skills!B16</f>
        <v/>
      </c>
      <c r="C1389">
        <f>Inputs!$B$3&gt;=66</f>
        <v/>
      </c>
      <c r="D1389">
        <f>IF(Skills!C16=1,60+Inputs!$B$25+Inputs!$B$29,IF(Skills!C16=2,90+Inputs!$B$26+Inputs!$B$29,IF(Skills!C16=3,120+Inputs!$B$27+Inputs!$B$29,MAX(0,(Inputs!$B$3-100)*3)+Inputs!$B$28+Inputs!$B$29)))</f>
        <v/>
      </c>
      <c r="E1389">
        <f>INDEX(FactorTable!$B$2:$Y$301, MATCH(ROUND(MIN(300,MAX(1,D1389)),0), FactorTable!$A$2:$A$301,0), Skills!M16+1)</f>
        <v/>
      </c>
      <c r="F1389">
        <f>IF(Skills!N16=TRUE,(Skills!L16/10)*(E1389/1000),Skills!L16/10)+Skills!O16</f>
        <v/>
      </c>
      <c r="G1389">
        <f>Skills!G16*IF(Skills!H16&gt;0,Skills!I16/Skills!H16,1)</f>
        <v/>
      </c>
      <c r="H1389">
        <f>1-(1-Skills!J16/100)^Skills!K16</f>
        <v/>
      </c>
      <c r="I1389" t="inlineStr">
        <is>
          <t>1</t>
        </is>
      </c>
      <c r="J1389" t="inlineStr"/>
      <c r="K1389" t="inlineStr"/>
      <c r="L1389" t="inlineStr"/>
      <c r="M1389" t="inlineStr"/>
      <c r="N1389" t="inlineStr"/>
      <c r="O1389">
        <f>(1-Summary!$B$11)*T1389+Summary!$B$11*V1389</f>
        <v/>
      </c>
      <c r="P1389">
        <f>IF(B1412=0,0,O1389/B1412)</f>
        <v/>
      </c>
      <c r="Q1389">
        <f>IFERROR(1/(IF(Inputs!$B$38="pvp",15,MAX(0.1,Skills!D16-IF(Skills!E16=TRUE,Inputs!$B$32,0)))*(1-IF(AND(ArtifactsInput!$M$27,Inputs!$B$4="Chapter Hunt"),CHOOSE(ArtifactsInput!$N$27+1,20,24,28,32,36,40),0)/100)),0)</f>
        <v/>
      </c>
      <c r="R1389">
        <f>IF(AND(Inputs!$B$38&lt;&gt;"pvp",Inputs!$B$43&gt;0),IF(Inputs!$B$43&lt;=0,0,(INT(Inputs!$B$43/(IF(Inputs!$B$38="pvp",15,MAX(0.1,Skills!D16-IF(Skills!E16=TRUE,Inputs!$B$32,0)))*(1-IF(AND(ArtifactsInput!$M$27,Inputs!$B$4="Chapter Hunt"),CHOOSE(ArtifactsInput!$N$27+1,20,24,28,32,36,40),0)/100)))+1)),0)</f>
        <v/>
      </c>
      <c r="S1389">
        <f>IFERROR(O1389/N1389,0)</f>
        <v/>
      </c>
      <c r="T1389" t="n">
        <v>0</v>
      </c>
      <c r="V1389" t="n">
        <v>0</v>
      </c>
    </row>
    <row r="1390">
      <c r="A1390">
        <f>Skills!A17</f>
        <v/>
      </c>
      <c r="B1390">
        <f>Skills!B17</f>
        <v/>
      </c>
      <c r="C1390">
        <f>Inputs!$B$3&gt;=115</f>
        <v/>
      </c>
      <c r="D1390">
        <f>IF(Skills!C17=1,60+Inputs!$B$25+Inputs!$B$29,IF(Skills!C17=2,90+Inputs!$B$26+Inputs!$B$29,IF(Skills!C17=3,120+Inputs!$B$27+Inputs!$B$29,MAX(0,(Inputs!$B$3-100)*3)+Inputs!$B$28+Inputs!$B$29)))</f>
        <v/>
      </c>
      <c r="E1390">
        <f>INDEX(FactorTable!$B$2:$Y$301, MATCH(ROUND(MIN(300,MAX(1,D1390)),0), FactorTable!$A$2:$A$301,0), Skills!M17+1)</f>
        <v/>
      </c>
      <c r="F1390">
        <f>IF(Skills!N17=TRUE,(Skills!L17/10)*(E1390/1000),Skills!L17/10)+Skills!O17</f>
        <v/>
      </c>
      <c r="G1390">
        <f>Skills!G17*IF(Skills!H17&gt;0,Skills!I17/Skills!H17,1)</f>
        <v/>
      </c>
      <c r="H1390">
        <f>1-(1-Skills!J17/100)^Skills!K17</f>
        <v/>
      </c>
      <c r="I1390" t="inlineStr">
        <is>
          <t>1</t>
        </is>
      </c>
      <c r="J1390" t="inlineStr"/>
      <c r="K1390" t="inlineStr"/>
      <c r="L1390" t="inlineStr"/>
      <c r="M1390" t="inlineStr"/>
      <c r="N1390" t="inlineStr"/>
      <c r="O1390">
        <f>(1-Summary!$B$11)*T1390+Summary!$B$11*V1390</f>
        <v/>
      </c>
      <c r="P1390">
        <f>IF(B1412=0,0,O1390/B1412)</f>
        <v/>
      </c>
      <c r="Q1390">
        <f>IFERROR(1/(IF(Inputs!$B$38="pvp",15,MAX(0.1,Skills!D17-IF(Skills!E17=TRUE,Inputs!$B$32,0)))*(1-IF(AND(ArtifactsInput!$M$27,Inputs!$B$4="Chapter Hunt"),CHOOSE(ArtifactsInput!$N$27+1,20,24,28,32,36,40),0)/100)),0)</f>
        <v/>
      </c>
      <c r="R1390">
        <f>IF(AND(Inputs!$B$38&lt;&gt;"pvp",Inputs!$B$43&gt;0),IF(Inputs!$B$43&lt;=0,0,(INT(Inputs!$B$43/(IF(Inputs!$B$38="pvp",15,MAX(0.1,Skills!D17-IF(Skills!E17=TRUE,Inputs!$B$32,0)))*(1-IF(AND(ArtifactsInput!$M$27,Inputs!$B$4="Chapter Hunt"),CHOOSE(ArtifactsInput!$N$27+1,20,24,28,32,36,40),0)/100)))+1)),0)</f>
        <v/>
      </c>
      <c r="S1390">
        <f>IFERROR(O1390/N1390,0)</f>
        <v/>
      </c>
      <c r="T1390" t="n">
        <v>0</v>
      </c>
      <c r="V1390" t="n">
        <v>0</v>
      </c>
    </row>
    <row r="1391">
      <c r="A1391">
        <f>Skills!A18</f>
        <v/>
      </c>
      <c r="B1391">
        <f>Skills!B18</f>
        <v/>
      </c>
      <c r="C1391">
        <f>Inputs!$B$3&gt;=115</f>
        <v/>
      </c>
      <c r="D1391">
        <f>IF(Skills!C18=1,60+Inputs!$B$25+Inputs!$B$29,IF(Skills!C18=2,90+Inputs!$B$26+Inputs!$B$29,IF(Skills!C18=3,120+Inputs!$B$27+Inputs!$B$29,MAX(0,(Inputs!$B$3-100)*3)+Inputs!$B$28+Inputs!$B$29)))</f>
        <v/>
      </c>
      <c r="E1391">
        <f>INDEX(FactorTable!$B$2:$Y$301, MATCH(ROUND(MIN(300,MAX(1,D1391)),0), FactorTable!$A$2:$A$301,0), Skills!M18+1)</f>
        <v/>
      </c>
      <c r="F1391">
        <f>IF(Skills!N18=TRUE,(Skills!L18/10)*(E1391/1000),Skills!L18/10)+Skills!O18</f>
        <v/>
      </c>
      <c r="G1391">
        <f>Skills!G18*IF(Skills!H18&gt;0,Skills!I18/Skills!H18,1)</f>
        <v/>
      </c>
      <c r="H1391">
        <f>1-(1-Skills!J18/100)^Skills!K18</f>
        <v/>
      </c>
      <c r="I1391" t="inlineStr">
        <is>
          <t>1</t>
        </is>
      </c>
      <c r="J1391" t="inlineStr"/>
      <c r="K1391" t="inlineStr"/>
      <c r="L1391" t="inlineStr"/>
      <c r="M1391" t="inlineStr"/>
      <c r="N1391" t="inlineStr"/>
      <c r="O1391">
        <f>(1-Summary!$B$11)*T1391+Summary!$B$11*V1391</f>
        <v/>
      </c>
      <c r="P1391">
        <f>IF(B1412=0,0,O1391/B1412)</f>
        <v/>
      </c>
      <c r="Q1391">
        <f>IFERROR(1/(IF(Inputs!$B$38="pvp",15,MAX(0.1,Skills!D18-IF(Skills!E18=TRUE,Inputs!$B$32,0)))*(1-IF(AND(ArtifactsInput!$M$27,Inputs!$B$4="Chapter Hunt"),CHOOSE(ArtifactsInput!$N$27+1,20,24,28,32,36,40),0)/100)),0)</f>
        <v/>
      </c>
      <c r="R1391">
        <f>IF(AND(Inputs!$B$38&lt;&gt;"pvp",Inputs!$B$43&gt;0),IF(Inputs!$B$43&lt;=0,0,(INT(Inputs!$B$43/(IF(Inputs!$B$38="pvp",15,MAX(0.1,Skills!D18-IF(Skills!E18=TRUE,Inputs!$B$32,0)))*(1-IF(AND(ArtifactsInput!$M$27,Inputs!$B$4="Chapter Hunt"),CHOOSE(ArtifactsInput!$N$27+1,20,24,28,32,36,40),0)/100)))+1)),0)</f>
        <v/>
      </c>
      <c r="S1391">
        <f>IFERROR(O1391/N1391,0)</f>
        <v/>
      </c>
      <c r="T1391" t="n">
        <v>0</v>
      </c>
      <c r="V1391" t="n">
        <v>0</v>
      </c>
    </row>
    <row r="1392">
      <c r="A1392">
        <f>Skills!A19</f>
        <v/>
      </c>
      <c r="B1392">
        <f>Skills!B19</f>
        <v/>
      </c>
      <c r="C1392">
        <f>TRUE</f>
        <v/>
      </c>
      <c r="D1392">
        <f>IF(Skills!C19=1,60+Inputs!$B$25+Inputs!$B$29,IF(Skills!C19=2,90+Inputs!$B$26+Inputs!$B$29,IF(Skills!C19=3,120+Inputs!$B$27+Inputs!$B$29,MAX(0,(Inputs!$B$3-100)*3)+Inputs!$B$28+Inputs!$B$29)))</f>
        <v/>
      </c>
      <c r="E1392">
        <f>INDEX(FactorTable!$B$2:$Y$301, MATCH(ROUND(MIN(300,MAX(1,D1392)),0), FactorTable!$A$2:$A$301,0), Skills!M19+1)</f>
        <v/>
      </c>
      <c r="F1392">
        <f>IF(Skills!N19=TRUE,(Skills!L19/10)*(E1392/1000),Skills!L19/10)+Skills!O19</f>
        <v/>
      </c>
      <c r="G1392">
        <f>Skills!G19*IF(Skills!H19&gt;0,Skills!I19/Skills!H19,1)</f>
        <v/>
      </c>
      <c r="H1392">
        <f>1-(1-Skills!J19/100)^Skills!K19</f>
        <v/>
      </c>
      <c r="I1392" t="inlineStr">
        <is>
          <t>1</t>
        </is>
      </c>
      <c r="J1392" t="inlineStr"/>
      <c r="K1392" t="inlineStr"/>
      <c r="L1392" t="inlineStr"/>
      <c r="M1392" t="inlineStr"/>
      <c r="N1392" t="inlineStr"/>
      <c r="O1392">
        <f>(1-Summary!$B$11)*T1392+Summary!$B$11*V1392</f>
        <v/>
      </c>
      <c r="P1392">
        <f>IF(B1412=0,0,O1392/B1412)</f>
        <v/>
      </c>
      <c r="Q1392">
        <f>IFERROR(1/(IF(Inputs!$B$38="pvp",15,MAX(0.1,Skills!D19-IF(Skills!E19=TRUE,Inputs!$B$32,0)))*(1-IF(AND(ArtifactsInput!$M$27,Inputs!$B$4="Chapter Hunt"),CHOOSE(ArtifactsInput!$N$27+1,20,24,28,32,36,40),0)/100)),0)</f>
        <v/>
      </c>
      <c r="R1392">
        <f>IF(AND(Inputs!$B$38&lt;&gt;"pvp",Inputs!$B$43&gt;0),IF(Inputs!$B$43&lt;=0,0,(INT(Inputs!$B$43/(IF(Inputs!$B$38="pvp",15,MAX(0.1,Skills!D19-IF(Skills!E19=TRUE,Inputs!$B$32,0)))*(1-IF(AND(ArtifactsInput!$M$27,Inputs!$B$4="Chapter Hunt"),CHOOSE(ArtifactsInput!$N$27+1,20,24,28,32,36,40),0)/100)))+1)),0)</f>
        <v/>
      </c>
      <c r="S1392">
        <f>IFERROR(O1392/N1392,0)</f>
        <v/>
      </c>
      <c r="T1392" t="n">
        <v>0</v>
      </c>
      <c r="V1392" t="n">
        <v>0</v>
      </c>
    </row>
    <row r="1393">
      <c r="A1393">
        <f>Skills!A20</f>
        <v/>
      </c>
      <c r="B1393">
        <f>Skills!B20</f>
        <v/>
      </c>
      <c r="C1393">
        <f>Inputs!$B$3&gt;=33</f>
        <v/>
      </c>
      <c r="D1393">
        <f>IF(Skills!C20=1,60+Inputs!$B$25+Inputs!$B$29,IF(Skills!C20=2,90+Inputs!$B$26+Inputs!$B$29,IF(Skills!C20=3,120+Inputs!$B$27+Inputs!$B$29,MAX(0,(Inputs!$B$3-100)*3)+Inputs!$B$28+Inputs!$B$29)))</f>
        <v/>
      </c>
      <c r="E1393">
        <f>INDEX(FactorTable!$B$2:$Y$301, MATCH(ROUND(MIN(300,MAX(1,D1393)),0), FactorTable!$A$2:$A$301,0), Skills!M20+1)</f>
        <v/>
      </c>
      <c r="F1393">
        <f>IF(Skills!N20=TRUE,(Skills!L20/10)*(E1393/1000),Skills!L20/10)+Skills!O20</f>
        <v/>
      </c>
      <c r="G1393">
        <f>Skills!G20*IF(Skills!H20&gt;0,Skills!I20/Skills!H20,1)</f>
        <v/>
      </c>
      <c r="H1393">
        <f>1-(1-Skills!J20/100)^Skills!K20</f>
        <v/>
      </c>
      <c r="I1393" t="inlineStr">
        <is>
          <t>1</t>
        </is>
      </c>
      <c r="J1393" t="inlineStr"/>
      <c r="K1393" t="inlineStr"/>
      <c r="L1393" t="inlineStr"/>
      <c r="M1393" t="inlineStr"/>
      <c r="N1393" t="inlineStr"/>
      <c r="O1393">
        <f>(1-Summary!$B$11)*T1393+Summary!$B$11*V1393</f>
        <v/>
      </c>
      <c r="P1393">
        <f>IF(B1412=0,0,O1393/B1412)</f>
        <v/>
      </c>
      <c r="Q1393" t="n">
        <v>0</v>
      </c>
      <c r="R1393" t="n">
        <v>0</v>
      </c>
      <c r="S1393">
        <f>IFERROR(O1393/N1393,0)</f>
        <v/>
      </c>
      <c r="T1393" t="n">
        <v>0</v>
      </c>
      <c r="V1393" t="n">
        <v>0</v>
      </c>
    </row>
    <row r="1394">
      <c r="A1394">
        <f>Skills!A21</f>
        <v/>
      </c>
      <c r="B1394">
        <f>Skills!B21</f>
        <v/>
      </c>
      <c r="C1394">
        <f>Inputs!$B$3&gt;=38</f>
        <v/>
      </c>
      <c r="D1394">
        <f>IF(Skills!C21=1,60+Inputs!$B$25+Inputs!$B$29,IF(Skills!C21=2,90+Inputs!$B$26+Inputs!$B$29,IF(Skills!C21=3,120+Inputs!$B$27+Inputs!$B$29,MAX(0,(Inputs!$B$3-100)*3)+Inputs!$B$28+Inputs!$B$29)))</f>
        <v/>
      </c>
      <c r="E1394">
        <f>INDEX(FactorTable!$B$2:$Y$301, MATCH(ROUND(MIN(300,MAX(1,D1394)),0), FactorTable!$A$2:$A$301,0), Skills!M21+1)</f>
        <v/>
      </c>
      <c r="F1394">
        <f>IF(Skills!N21=TRUE,(Skills!L21/10)*(E1394/1000),Skills!L21/10)+Skills!O21</f>
        <v/>
      </c>
      <c r="G1394">
        <f>Skills!G21*IF(Skills!H21&gt;0,Skills!I21/Skills!H21,1)</f>
        <v/>
      </c>
      <c r="H1394">
        <f>1-(1-Skills!J21/100)^Skills!K21</f>
        <v/>
      </c>
      <c r="I1394" t="inlineStr">
        <is>
          <t>1</t>
        </is>
      </c>
      <c r="J1394" t="inlineStr"/>
      <c r="K1394" t="inlineStr"/>
      <c r="L1394" t="inlineStr"/>
      <c r="M1394" t="inlineStr"/>
      <c r="N1394" t="inlineStr"/>
      <c r="O1394">
        <f>(1-Summary!$B$11)*T1394+Summary!$B$11*V1394</f>
        <v/>
      </c>
      <c r="P1394">
        <f>IF(B1412=0,0,O1394/B1412)</f>
        <v/>
      </c>
      <c r="Q1394" t="n">
        <v>0</v>
      </c>
      <c r="R1394" t="n">
        <v>0</v>
      </c>
      <c r="S1394">
        <f>IFERROR(O1394/N1394,0)</f>
        <v/>
      </c>
      <c r="T1394" t="n">
        <v>0</v>
      </c>
      <c r="V1394" t="n">
        <v>0</v>
      </c>
    </row>
    <row r="1395">
      <c r="A1395">
        <f>Skills!A22</f>
        <v/>
      </c>
      <c r="B1395">
        <f>Skills!B22</f>
        <v/>
      </c>
      <c r="C1395">
        <f>Inputs!$B$3&gt;=43</f>
        <v/>
      </c>
      <c r="D1395">
        <f>IF(Skills!C22=1,60+Inputs!$B$25+Inputs!$B$29,IF(Skills!C22=2,90+Inputs!$B$26+Inputs!$B$29,IF(Skills!C22=3,120+Inputs!$B$27+Inputs!$B$29,MAX(0,(Inputs!$B$3-100)*3)+Inputs!$B$28+Inputs!$B$29)))</f>
        <v/>
      </c>
      <c r="E1395">
        <f>INDEX(FactorTable!$B$2:$Y$301, MATCH(ROUND(MIN(300,MAX(1,D1395)),0), FactorTable!$A$2:$A$301,0), Skills!M22+1)</f>
        <v/>
      </c>
      <c r="F1395">
        <f>IF(Skills!N22=TRUE,(Skills!L22/10)*(E1395/1000),Skills!L22/10)+Skills!O22</f>
        <v/>
      </c>
      <c r="G1395">
        <f>Skills!G22*IF(Skills!H22&gt;0,Skills!I22/Skills!H22,1)</f>
        <v/>
      </c>
      <c r="H1395">
        <f>1-(1-Skills!J22/100)^Skills!K22</f>
        <v/>
      </c>
      <c r="I1395" t="inlineStr">
        <is>
          <t>1</t>
        </is>
      </c>
      <c r="J1395" t="inlineStr"/>
      <c r="K1395" t="inlineStr"/>
      <c r="L1395" t="inlineStr"/>
      <c r="M1395" t="inlineStr"/>
      <c r="N1395" t="inlineStr"/>
      <c r="O1395">
        <f>(1-Summary!$B$11)*T1395+Summary!$B$11*V1395</f>
        <v/>
      </c>
      <c r="P1395">
        <f>IF(B1412=0,0,O1395/B1412)</f>
        <v/>
      </c>
      <c r="Q1395" t="n">
        <v>0</v>
      </c>
      <c r="R1395" t="n">
        <v>0</v>
      </c>
      <c r="S1395">
        <f>IFERROR(O1395/N1395,0)</f>
        <v/>
      </c>
      <c r="T1395" t="n">
        <v>0</v>
      </c>
      <c r="V1395" t="n">
        <v>0</v>
      </c>
    </row>
    <row r="1396">
      <c r="A1396">
        <f>Skills!A23</f>
        <v/>
      </c>
      <c r="B1396">
        <f>Skills!B23</f>
        <v/>
      </c>
      <c r="C1396">
        <f>Inputs!$B$3&gt;=120</f>
        <v/>
      </c>
      <c r="D1396">
        <f>IF(Skills!C23=1,60+Inputs!$B$25+Inputs!$B$29,IF(Skills!C23=2,90+Inputs!$B$26+Inputs!$B$29,IF(Skills!C23=3,120+Inputs!$B$27+Inputs!$B$29,MAX(0,(Inputs!$B$3-100)*3)+Inputs!$B$28+Inputs!$B$29)))</f>
        <v/>
      </c>
      <c r="E1396">
        <f>INDEX(FactorTable!$B$2:$Y$301, MATCH(ROUND(MIN(300,MAX(1,D1396)),0), FactorTable!$A$2:$A$301,0), Skills!M23+1)</f>
        <v/>
      </c>
      <c r="F1396">
        <f>IF(Skills!N23=TRUE,(Skills!L23/10)*(E1396/1000),Skills!L23/10)+Skills!O23</f>
        <v/>
      </c>
      <c r="G1396">
        <f>Skills!G23*IF(Skills!H23&gt;0,Skills!I23/Skills!H23,1)</f>
        <v/>
      </c>
      <c r="H1396">
        <f>1-(1-Skills!J23/100)^Skills!K23</f>
        <v/>
      </c>
      <c r="I1396" t="inlineStr">
        <is>
          <t>1</t>
        </is>
      </c>
      <c r="J1396" t="inlineStr"/>
      <c r="K1396" t="inlineStr"/>
      <c r="L1396" t="inlineStr"/>
      <c r="M1396" t="inlineStr"/>
      <c r="N1396" t="inlineStr"/>
      <c r="O1396">
        <f>(1-Summary!$B$11)*T1396+Summary!$B$11*V1396</f>
        <v/>
      </c>
      <c r="P1396">
        <f>IF(B1412=0,0,O1396/B1412)</f>
        <v/>
      </c>
      <c r="Q1396" t="n">
        <v>0</v>
      </c>
      <c r="R1396" t="n">
        <v>0</v>
      </c>
      <c r="S1396">
        <f>IFERROR(O1396/N1396,0)</f>
        <v/>
      </c>
      <c r="T1396" t="n">
        <v>0</v>
      </c>
      <c r="V1396" t="n">
        <v>0</v>
      </c>
    </row>
    <row r="1397">
      <c r="A1397">
        <f>Skills!A24</f>
        <v/>
      </c>
      <c r="B1397">
        <f>Skills!B24</f>
        <v/>
      </c>
      <c r="C1397">
        <f>Inputs!$B$3&gt;=120</f>
        <v/>
      </c>
      <c r="D1397">
        <f>IF(Skills!C24=1,60+Inputs!$B$25+Inputs!$B$29,IF(Skills!C24=2,90+Inputs!$B$26+Inputs!$B$29,IF(Skills!C24=3,120+Inputs!$B$27+Inputs!$B$29,MAX(0,(Inputs!$B$3-100)*3)+Inputs!$B$28+Inputs!$B$29)))</f>
        <v/>
      </c>
      <c r="E1397">
        <f>INDEX(FactorTable!$B$2:$Y$301, MATCH(ROUND(MIN(300,MAX(1,D1397)),0), FactorTable!$A$2:$A$301,0), Skills!M24+1)</f>
        <v/>
      </c>
      <c r="F1397">
        <f>IF(Skills!N24=TRUE,(Skills!L24/10)*(E1397/1000),Skills!L24/10)+Skills!O24</f>
        <v/>
      </c>
      <c r="G1397">
        <f>Skills!G24*IF(Skills!H24&gt;0,Skills!I24/Skills!H24,1)</f>
        <v/>
      </c>
      <c r="H1397">
        <f>1-(1-Skills!J24/100)^Skills!K24</f>
        <v/>
      </c>
      <c r="I1397" t="inlineStr">
        <is>
          <t>1</t>
        </is>
      </c>
      <c r="J1397" t="inlineStr"/>
      <c r="K1397" t="inlineStr"/>
      <c r="L1397" t="inlineStr"/>
      <c r="M1397" t="inlineStr"/>
      <c r="N1397" t="inlineStr"/>
      <c r="O1397">
        <f>(1-Summary!$B$11)*T1397+Summary!$B$11*V1397</f>
        <v/>
      </c>
      <c r="P1397">
        <f>IF(B1412=0,0,O1397/B1412)</f>
        <v/>
      </c>
      <c r="Q1397" t="n">
        <v>0</v>
      </c>
      <c r="R1397" t="n">
        <v>0</v>
      </c>
      <c r="S1397">
        <f>IFERROR(O1397/N1397,0)</f>
        <v/>
      </c>
      <c r="T1397" t="n">
        <v>0</v>
      </c>
      <c r="V1397" t="n">
        <v>0</v>
      </c>
    </row>
    <row r="1398">
      <c r="A1398">
        <f>Skills!A25</f>
        <v/>
      </c>
      <c r="B1398">
        <f>Skills!B25</f>
        <v/>
      </c>
      <c r="C1398">
        <f>Inputs!$B$3&gt;=125</f>
        <v/>
      </c>
      <c r="D1398">
        <f>IF(Skills!C25=1,60+Inputs!$B$25+Inputs!$B$29,IF(Skills!C25=2,90+Inputs!$B$26+Inputs!$B$29,IF(Skills!C25=3,120+Inputs!$B$27+Inputs!$B$29,MAX(0,(Inputs!$B$3-100)*3)+Inputs!$B$28+Inputs!$B$29)))</f>
        <v/>
      </c>
      <c r="E1398">
        <f>INDEX(FactorTable!$B$2:$Y$301, MATCH(ROUND(MIN(300,MAX(1,D1398)),0), FactorTable!$A$2:$A$301,0), Skills!M25+1)</f>
        <v/>
      </c>
      <c r="F1398">
        <f>IF(Skills!N25=TRUE,(Skills!L25/10)*(E1398/1000),Skills!L25/10)+Skills!O25</f>
        <v/>
      </c>
      <c r="G1398">
        <f>Skills!G25*IF(Skills!H25&gt;0,Skills!I25/Skills!H25,1)</f>
        <v/>
      </c>
      <c r="H1398">
        <f>1-(1-Skills!J25/100)^Skills!K25</f>
        <v/>
      </c>
      <c r="I1398" t="inlineStr">
        <is>
          <t>1</t>
        </is>
      </c>
      <c r="J1398" t="inlineStr"/>
      <c r="K1398" t="inlineStr"/>
      <c r="L1398" t="inlineStr"/>
      <c r="M1398" t="inlineStr"/>
      <c r="N1398" t="inlineStr"/>
      <c r="O1398">
        <f>(1-Summary!$B$11)*T1398+Summary!$B$11*V1398</f>
        <v/>
      </c>
      <c r="P1398">
        <f>IF(B1412=0,0,O1398/B1412)</f>
        <v/>
      </c>
      <c r="Q1398" t="n">
        <v>0</v>
      </c>
      <c r="R1398" t="n">
        <v>0</v>
      </c>
      <c r="S1398">
        <f>IFERROR(O1398/N1398,0)</f>
        <v/>
      </c>
      <c r="T1398" t="n">
        <v>0</v>
      </c>
      <c r="V1398" t="n">
        <v>0</v>
      </c>
    </row>
    <row r="1399">
      <c r="A1399">
        <f>Skills!A26</f>
        <v/>
      </c>
      <c r="B1399">
        <f>Skills!B26</f>
        <v/>
      </c>
      <c r="C1399">
        <f>Inputs!$B$3&gt;=72</f>
        <v/>
      </c>
      <c r="D1399">
        <f>IF(Skills!C26=1,60+Inputs!$B$25+Inputs!$B$29,IF(Skills!C26=2,90+Inputs!$B$26+Inputs!$B$29,IF(Skills!C26=3,120+Inputs!$B$27+Inputs!$B$29,MAX(0,(Inputs!$B$3-100)*3)+Inputs!$B$28+Inputs!$B$29)))</f>
        <v/>
      </c>
      <c r="E1399">
        <f>INDEX(FactorTable!$B$2:$Y$301, MATCH(ROUND(MIN(300,MAX(1,D1399)),0), FactorTable!$A$2:$A$301,0), Skills!M26+1)</f>
        <v/>
      </c>
      <c r="F1399">
        <f>IF(Skills!N26=TRUE,(Skills!L26/10)*(E1399/1000),Skills!L26/10)+Skills!O26</f>
        <v/>
      </c>
      <c r="G1399">
        <f>Skills!G26*IF(Skills!H26&gt;0,Skills!I26/Skills!H26,1)</f>
        <v/>
      </c>
      <c r="H1399">
        <f>1-(1-Skills!J26/100)^Skills!K26</f>
        <v/>
      </c>
      <c r="I1399" t="inlineStr">
        <is>
          <t>1</t>
        </is>
      </c>
      <c r="J1399" t="inlineStr"/>
      <c r="K1399" t="inlineStr"/>
      <c r="L1399" t="inlineStr"/>
      <c r="M1399" t="inlineStr"/>
      <c r="N1399" t="inlineStr"/>
      <c r="O1399">
        <f>(1-Summary!$B$11)*T1399+Summary!$B$11*V1399</f>
        <v/>
      </c>
      <c r="P1399">
        <f>IF(B1412=0,0,O1399/B1412)</f>
        <v/>
      </c>
      <c r="Q1399" t="n">
        <v>0</v>
      </c>
      <c r="R1399" t="n">
        <v>0</v>
      </c>
      <c r="S1399">
        <f>IFERROR(O1399/N1399,0)</f>
        <v/>
      </c>
      <c r="T1399" t="n">
        <v>0</v>
      </c>
      <c r="V1399" t="n">
        <v>0</v>
      </c>
    </row>
    <row r="1401">
      <c r="A1401" t="inlineStr">
        <is>
          <t>Attack% Bucket Multiplier</t>
        </is>
      </c>
      <c r="B1401">
        <f>(1+(((C1386=TRUE)*F1386*IF(Inputs!$B$3&gt;=110,7,5))+((C1388=TRUE)*F1388*IF(AND(Inputs!$B$38&lt;&gt;"pvp",Inputs!$B$43&gt;0),(((R1388-1)*(Skills!T15*(1+(Inputs!$B$34+(ArtifactsInput!$M$7-ArtifactsInput!$M$7)*CHOOSE(ArtifactsInput!$N$7+1,6,7.2,8.4,9.6,10.8,12))/100))+MIN((Skills!T15*(1+(Inputs!$B$34+(ArtifactsInput!$M$7-ArtifactsInput!$M$7)*CHOOSE(ArtifactsInput!$N$7+1,6,7.2,8.4,9.6,10.8,12))/100)),MAX(0,Inputs!$B$43-((R1388-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02">
      <c r="A1402" t="inlineStr">
        <is>
          <t>Global Crit Rate Bonus %</t>
        </is>
      </c>
      <c r="B1402" t="n">
        <v>0</v>
      </c>
    </row>
    <row r="1403">
      <c r="A1403" t="inlineStr">
        <is>
          <t>Attack Speed Buff Bonus %</t>
        </is>
      </c>
      <c r="B1403">
        <f>((C1392=TRUE)*F1392*IF(AND(Inputs!$B$38&lt;&gt;"pvp",Inputs!$B$43&gt;0),(((R1392-1)*(Skills!T19*(1+(Inputs!$B$34+(ArtifactsInput!$M$7-ArtifactsInput!$M$7)*CHOOSE(ArtifactsInput!$N$7+1,6,7.2,8.4,9.6,10.8,12))/100))+MIN((Skills!T19*(1+(Inputs!$B$34+(ArtifactsInput!$M$7-ArtifactsInput!$M$7)*CHOOSE(ArtifactsInput!$N$7+1,6,7.2,8.4,9.6,10.8,12))/100)),MAX(0,Inputs!$B$43-((R1392-1)*Skills!D19))))/Inputs!$B$43),IF(Inputs!$B$38="pvp",MIN((Skills!T19*(1+(Inputs!$B$34+(ArtifactsInput!$M$7-ArtifactsInput!$M$7)*CHOOSE(ArtifactsInput!$N$7+1,6,7.2,8.4,9.6,10.8,12))/100)),15)/15,(Skills!T19*(1+(Inputs!$B$34+(ArtifactsInput!$M$7-ArtifactsInput!$M$7)*CHOOSE(ArtifactsInput!$N$7+1,6,7.2,8.4,9.6,10.8,12))/100))/Skills!D19)))</f>
        <v/>
      </c>
    </row>
    <row r="1404">
      <c r="A1404" t="inlineStr">
        <is>
          <t>Actions Per Second</t>
        </is>
      </c>
      <c r="B1404">
        <f>1+MIN(150,150*(1-(1-(Inputs!$B$11+((C1393=TRUE)*(F1393-Calc!F20)))/150)*(1-B1403/150)))/100</f>
        <v/>
      </c>
    </row>
    <row r="1405">
      <c r="A1405" t="inlineStr">
        <is>
          <t>Skill + Buff Cast Rate</t>
        </is>
      </c>
      <c r="B1405">
        <f>IF(AND(Inputs!$B$38&lt;&gt;"pvp",Inputs!$B$43&gt;0),SUMPRODUCT((Skills!E2:E26=TRUE)*(C1375:C1399=TRUE)*R1375:R1399*Skills!F2:F26)/Inputs!$B$43,SUMPRODUCT((Skills!E2:E26=TRUE)*(C1375:C1399=TRUE)*Q1375:Q1399*Skills!F2:F26))</f>
        <v/>
      </c>
    </row>
    <row r="1406">
      <c r="A1406" t="inlineStr">
        <is>
          <t>Raging Blow Casts Per Second</t>
        </is>
      </c>
      <c r="B1406">
        <f>MAX(0,B1404-B1405)</f>
        <v/>
      </c>
    </row>
    <row r="1407">
      <c r="A1407" t="inlineStr">
        <is>
          <t>Global Critical Damage Bonus % (Enrage)</t>
        </is>
      </c>
      <c r="B1407">
        <f>((C1391=TRUE)*F1391*IF(AND(Inputs!$B$38&lt;&gt;"pvp",Inputs!$B$43&gt;0),(((R1391-1)*(Skills!T18*(1+(Inputs!$B$34+(ArtifactsInput!$M$7-ArtifactsInput!$M$7)*CHOOSE(ArtifactsInput!$N$7+1,6,7.2,8.4,9.6,10.8,12))/100))+MIN((Skills!T18*(1+(Inputs!$B$34+(ArtifactsInput!$M$7-ArtifactsInput!$M$7)*CHOOSE(ArtifactsInput!$N$7+1,6,7.2,8.4,9.6,10.8,12))/100)),MAX(0,Inputs!$B$43-((R1391-1)*Skills!D18))))/Inputs!$B$43),IF(Inputs!$B$38="pvp",MIN((Skills!T18*(1+(Inputs!$B$34+(ArtifactsInput!$M$7-ArtifactsInput!$M$7)*CHOOSE(ArtifactsInput!$N$7+1,6,7.2,8.4,9.6,10.8,12))/100)),15)/15,(Skills!T18*(1+(Inputs!$B$34+(ArtifactsInput!$M$7-ArtifactsInput!$M$7)*CHOOSE(ArtifactsInput!$N$7+1,6,7.2,8.4,9.6,10.8,12))/100))/Skills!D18)))</f>
        <v/>
      </c>
    </row>
    <row r="1408">
      <c r="A1408" t="inlineStr">
        <is>
          <t>Global Final Damage Bonus % (Enrage + Combo Synergy)</t>
        </is>
      </c>
      <c r="B1408">
        <f>((C1390=TRUE)*F1390*IF(AND(Inputs!$B$38&lt;&gt;"pvp",Inputs!$B$43&gt;0),(((R1390-1)*(Skills!T17*(1+(Inputs!$B$34+(ArtifactsInput!$M$7-ArtifactsInput!$M$7)*CHOOSE(ArtifactsInput!$N$7+1,6,7.2,8.4,9.6,10.8,12))/100))+MIN((Skills!T17*(1+(Inputs!$B$34+(ArtifactsInput!$M$7-ArtifactsInput!$M$7)*CHOOSE(ArtifactsInput!$N$7+1,6,7.2,8.4,9.6,10.8,12))/100)),MAX(0,Inputs!$B$43-((R1390-1)*Skills!D17))))/Inputs!$B$43),IF(Inputs!$B$38="pvp",MIN((Skills!T17*(1+(Inputs!$B$34+(ArtifactsInput!$M$7-ArtifactsInput!$M$7)*CHOOSE(ArtifactsInput!$N$7+1,6,7.2,8.4,9.6,10.8,12))/100)),15)/15,(Skills!T17*(1+(Inputs!$B$34+(ArtifactsInput!$M$7-ArtifactsInput!$M$7)*CHOOSE(ArtifactsInput!$N$7+1,6,7.2,8.4,9.6,10.8,12))/100))/Skills!D17)))+((C1387=TRUE)*F1387*IF(Inputs!$B$3&gt;=110,7,5))</f>
        <v/>
      </c>
    </row>
    <row r="1409">
      <c r="A1409" t="inlineStr">
        <is>
          <t>Buff-Casting Startup Delay (s, fixed-duration only)</t>
        </is>
      </c>
      <c r="B1409">
        <f>IF(AND(Inputs!$B$38&lt;&gt;"pvp",Inputs!$B$43&gt;0),SUMPRODUCT((Skills!T2:T26&gt;0)*(Skills!E2:E26=TRUE)*(C1375:C1399=TRUE))/B1404,0)</f>
        <v/>
      </c>
    </row>
    <row r="1410">
      <c r="A1410" t="inlineStr">
        <is>
          <t>Boss-Only Total DPS (this block's swept value)</t>
        </is>
      </c>
      <c r="B1410">
        <f>SUM(T1375:T1399)</f>
        <v/>
      </c>
    </row>
    <row r="1411">
      <c r="A1411" t="inlineStr">
        <is>
          <t>Normal-Only Total DPS (this block's swept value)</t>
        </is>
      </c>
      <c r="B1411">
        <f>SUM(V1375:V1399)</f>
        <v/>
      </c>
    </row>
    <row r="1412">
      <c r="A1412" s="6" t="inlineStr">
        <is>
          <t>TOTAL DPS</t>
        </is>
      </c>
      <c r="B1412" s="6">
        <f>SUM(O1375:O1399)</f>
        <v/>
      </c>
    </row>
    <row r="1415">
      <c r="A1415" s="6" t="inlineStr">
        <is>
          <t>Stat: Arwen's Glass Shoes (Equip)</t>
        </is>
      </c>
    </row>
    <row r="1416">
      <c r="A1416" s="5" t="inlineStr">
        <is>
          <t>Key</t>
        </is>
      </c>
      <c r="B1416" s="5" t="inlineStr">
        <is>
          <t>Name</t>
        </is>
      </c>
      <c r="C1416" s="5" t="inlineStr">
        <is>
          <t>Unlocked</t>
        </is>
      </c>
      <c r="D1416" s="5" t="inlineStr">
        <is>
          <t>InputLevel</t>
        </is>
      </c>
      <c r="E1416" s="5" t="inlineStr">
        <is>
          <t>Factor</t>
        </is>
      </c>
      <c r="F1416" s="5" t="inlineStr">
        <is>
          <t>CoefficientPercent</t>
        </is>
      </c>
      <c r="G1416" s="5" t="inlineStr">
        <is>
          <t>EffectiveHits</t>
        </is>
      </c>
      <c r="H1416" s="5" t="inlineStr">
        <is>
          <t>ProcProbability</t>
        </is>
      </c>
      <c r="I1416" s="5" t="inlineStr">
        <is>
          <t>MapleHeroMultiplier</t>
        </is>
      </c>
      <c r="J1416" s="5" t="inlineStr">
        <is>
          <t>BaseDamage</t>
        </is>
      </c>
      <c r="K1416" s="5" t="inlineStr">
        <is>
          <t>BaseHitDamage</t>
        </is>
      </c>
      <c r="L1416" s="5" t="inlineStr">
        <is>
          <t>NonCritAvg</t>
        </is>
      </c>
      <c r="M1416" s="5" t="inlineStr">
        <is>
          <t>CritAvg</t>
        </is>
      </c>
      <c r="N1416" s="5" t="inlineStr">
        <is>
          <t>ExpectedDamage(perHit)</t>
        </is>
      </c>
      <c r="O1416" s="5" t="inlineStr">
        <is>
          <t>DPS</t>
        </is>
      </c>
      <c r="P1416" s="5" t="inlineStr">
        <is>
          <t>% of Total</t>
        </is>
      </c>
      <c r="Q1416" s="5" t="inlineStr">
        <is>
          <t>InvCooldown</t>
        </is>
      </c>
      <c r="R1416" s="5" t="inlineStr">
        <is>
          <t>CastsInFight</t>
        </is>
      </c>
      <c r="S1416" s="5" t="inlineStr">
        <is>
          <t>HitRate(perSec)</t>
        </is>
      </c>
      <c r="U1416" t="inlineStr">
        <is>
          <t>helpers</t>
        </is>
      </c>
    </row>
    <row r="1417">
      <c r="A1417">
        <f>Skills!A2</f>
        <v/>
      </c>
      <c r="B1417">
        <f>Skills!B2</f>
        <v/>
      </c>
      <c r="C1417">
        <f>Inputs!$B$3&gt;=100</f>
        <v/>
      </c>
      <c r="D1417" t="inlineStr"/>
      <c r="E1417" t="inlineStr"/>
      <c r="F1417">
        <f>U1419+Skills!O2</f>
        <v/>
      </c>
      <c r="G1417">
        <f>Skills!G2*IF(Skills!H2&gt;0,Skills!I2/Skills!H2,1)</f>
        <v/>
      </c>
      <c r="H1417">
        <f>1-(1-Skills!J2/100)^Skills!K2</f>
        <v/>
      </c>
      <c r="I1417" t="inlineStr">
        <is>
          <t>1</t>
        </is>
      </c>
      <c r="J1417">
        <f>((Inputs!$B$6*(1+Inputs!$B$7/100))+(((Inputs!$B$12*(1+Inputs!$B$13/100))-(Inputs!$B$12*(1+Inputs!$B$13/100)))+0.25*(Inputs!$B$14-Inputs!$B$14))*(1+Inputs!$B$7/100))*(F1417/100)</f>
        <v/>
      </c>
      <c r="K1417">
        <f>J1417*(1+((Inputs!$B$12*(1+Inputs!$B$13/100))*0.01+Inputs!$B$14*0.0025)/100)*(1+Inputs!$B$15/100)*(1+Inputs!$B$16/100)*(5000/(6000+Inputs!$B$42*(1-(100*(1-(1-(Inputs!$B$19+0)/100)*(1-CHOOSE(ArtifactsInput!$N$40+1,5,6,7,8,9,10)/100)^(ArtifactsInput!$M$40-ArtifactsInput!$M$40)))/100)))*(1+(Inputs!$B$24+((C1440=TRUE)*(F1440-Calc!F25))+B1450)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1436=TRUE)*(F1436-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1438=TRUE)*(F1438-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1428=TRUE)*F1428*IF(Inputs!$B$3&gt;=110,7,5))+((C1430=TRUE)*F1430*IF(AND(Inputs!$B$38&lt;&gt;"pvp",Inputs!$B$43&gt;0),(((R1430-1)*(Skills!T15*(1+(Inputs!$B$34+(ArtifactsInput!$M$7-ArtifactsInput!$M$7)*CHOOSE(ArtifactsInput!$N$7+1,6,7.2,8.4,9.6,10.8,12))/100))+MIN((Skills!T15*(1+(Inputs!$B$34+(ArtifactsInput!$M$7-ArtifactsInput!$M$7)*CHOOSE(ArtifactsInput!$N$7+1,6,7.2,8.4,9.6,10.8,12))/100)),MAX(0,Inputs!$B$43-((R1430-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Hunt"),CHOOSE(ArtifactsInput!$N$35+1,15,18,21,24,27,30)*(1-EXP(-(0.2*B1446)*5)),0)+IF(AND(ArtifactsInput!$M$22,Inputs!$B$4&lt;&gt;"Chapter Hunt"),CHOOSE(ArtifactsInput!$N$22+1,10,12,14,16,18,20)*((0*(((0.15*B1446*5))^0/1)+1*(((0.15*B1446*5))^1/1)+2*(((0.15*B1446*5))^2/2)+3*(((0.15*B1446*5))^3/6)+4*(((0.15*B1446*5))^4/24)+5*(((0.15*B1446*5))^5/120))/((((0.15*B1446*5))^0/1)+(((0.15*B1446*5))^1/1)+(((0.15*B1446*5))^2/2)+(((0.15*B1446*5))^3/6)+(((0.15*B1446*5))^4/24)+(((0.15*B1446*5))^5/120))),0)))/100)*I1417)</f>
        <v/>
      </c>
      <c r="L1417">
        <f>K1417*(MIN(Inputs!$B$22+((C1437=TRUE)*(F1437-Calc!F22)),(Inputs!$B$23+((C1439=TRUE)*(F1439-Calc!F24))+(IF(ArtifactsInput!$M$15,CHOOSE(ArtifactsInput!$N$15+1,25,30,35,40,45,50)/100*(Inputs!$B$11-Inputs!$B$11),0))))/100+(Inputs!$B$23+((C1439=TRUE)*(F1439-Calc!F24))+(IF(ArtifactsInput!$M$15,CHOOSE(ArtifactsInput!$N$15+1,25,30,35,40,45,50)/100*(Inputs!$B$11-Inputs!$B$11),0)))/100)/2</f>
        <v/>
      </c>
      <c r="M1417">
        <f>L1417*(1+(Inputs!$B$10+0+B1449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7">
        <f>L1417*(1-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1417*(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7">
        <f>(1-Summary!$B$11)*T1417+Summary!$B$11*V1417</f>
        <v/>
      </c>
      <c r="P1417">
        <f>IF(B1454=0,0,O1417/B1454)</f>
        <v/>
      </c>
      <c r="Q1417" t="n">
        <v>0</v>
      </c>
      <c r="R1417" t="n">
        <v>0</v>
      </c>
      <c r="S1417">
        <f>IFERROR(O1417/N1417,0)</f>
        <v/>
      </c>
      <c r="T1417">
        <f>IF(C1417,(Skills!G2*N1417*B1448)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1417*(1-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1417*(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1417*(1-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1417*(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17">
        <f>MAX(0,(Inputs!$B$3-100)*3)+Inputs!$B$28+Inputs!$B$29</f>
        <v/>
      </c>
      <c r="V1417">
        <f>IF(C1417,(Skills!G2*N1417*B1448)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8">
      <c r="A1418">
        <f>Skills!A3</f>
        <v/>
      </c>
      <c r="B1418">
        <f>Skills!B3</f>
        <v/>
      </c>
      <c r="C1418">
        <f>Inputs!$B$3&gt;=50</f>
        <v/>
      </c>
      <c r="D1418">
        <f>IF(Skills!C3=1,60+Inputs!$B$25+Inputs!$B$29,IF(Skills!C3=2,90+Inputs!$B$26+Inputs!$B$29,IF(Skills!C3=3,120+Inputs!$B$27+Inputs!$B$29,MAX(0,(Inputs!$B$3-100)*3)+Inputs!$B$28+Inputs!$B$29)))</f>
        <v/>
      </c>
      <c r="E1418">
        <f>INDEX(FactorTable!$B$2:$Y$301, MATCH(ROUND(MIN(300,MAX(1,D1418)),0), FactorTable!$A$2:$A$301,0), Skills!M3+1)</f>
        <v/>
      </c>
      <c r="F1418">
        <f>IF(Skills!N3=TRUE,(Skills!L3/10)*(E1418/1000),Skills!L3/10)+Skills!O3</f>
        <v/>
      </c>
      <c r="G1418" t="inlineStr"/>
      <c r="H1418" t="inlineStr"/>
      <c r="I1418" t="inlineStr">
        <is>
          <t>1</t>
        </is>
      </c>
      <c r="J1418" t="inlineStr"/>
      <c r="K1418" t="inlineStr"/>
      <c r="L1418" t="inlineStr"/>
      <c r="M1418" t="inlineStr"/>
      <c r="N1418" t="inlineStr"/>
      <c r="O1418" t="inlineStr"/>
      <c r="P1418" t="inlineStr"/>
      <c r="Q1418" t="inlineStr"/>
      <c r="R1418" t="inlineStr"/>
      <c r="S1418" t="inlineStr"/>
      <c r="U1418">
        <f>INDEX(FactorTable!$B$2:$Y$301, MATCH(ROUND(MIN(300,MAX(1,U1417)),0), FactorTable!$A$2:$A$301,0), 22)</f>
        <v/>
      </c>
    </row>
    <row r="1419">
      <c r="A1419">
        <f>Skills!A4</f>
        <v/>
      </c>
      <c r="B1419">
        <f>Skills!B4</f>
        <v/>
      </c>
      <c r="C1419">
        <f>Inputs!$B$3&gt;=105</f>
        <v/>
      </c>
      <c r="D1419">
        <f>IF(Skills!C4=1,60+Inputs!$B$25+Inputs!$B$29,IF(Skills!C4=2,90+Inputs!$B$26+Inputs!$B$29,IF(Skills!C4=3,120+Inputs!$B$27+Inputs!$B$29,MAX(0,(Inputs!$B$3-100)*3)+Inputs!$B$28+Inputs!$B$29)))</f>
        <v/>
      </c>
      <c r="E1419">
        <f>INDEX(FactorTable!$B$2:$Y$301, MATCH(ROUND(MIN(300,MAX(1,D1419)),0), FactorTable!$A$2:$A$301,0), Skills!M4+1)</f>
        <v/>
      </c>
      <c r="F1419">
        <f>IF(Skills!N4=TRUE,(Skills!L4/10)*(E1419/1000),Skills!L4/10)+Skills!O4</f>
        <v/>
      </c>
      <c r="G1419" t="inlineStr"/>
      <c r="H1419" t="inlineStr"/>
      <c r="I1419" t="inlineStr">
        <is>
          <t>1</t>
        </is>
      </c>
      <c r="J1419" t="inlineStr"/>
      <c r="K1419" t="inlineStr"/>
      <c r="L1419" t="inlineStr"/>
      <c r="M1419" t="inlineStr"/>
      <c r="N1419" t="inlineStr"/>
      <c r="O1419" t="inlineStr"/>
      <c r="P1419" t="inlineStr"/>
      <c r="Q1419" t="inlineStr"/>
      <c r="R1419" t="inlineStr"/>
      <c r="S1419" t="inlineStr"/>
      <c r="U1419">
        <f>290*U1418/1000</f>
        <v/>
      </c>
    </row>
    <row r="1420">
      <c r="A1420">
        <f>Skills!A5</f>
        <v/>
      </c>
      <c r="B1420">
        <f>Skills!B5</f>
        <v/>
      </c>
      <c r="C1420">
        <f>Inputs!$B$3&gt;=103</f>
        <v/>
      </c>
      <c r="D1420">
        <f>IF(Skills!C5=1,60+Inputs!$B$25+Inputs!$B$29,IF(Skills!C5=2,90+Inputs!$B$26+Inputs!$B$29,IF(Skills!C5=3,120+Inputs!$B$27+Inputs!$B$29,MAX(0,(Inputs!$B$3-100)*3)+Inputs!$B$28+Inputs!$B$29)))</f>
        <v/>
      </c>
      <c r="E1420">
        <f>INDEX(FactorTable!$B$2:$Y$301, MATCH(ROUND(MIN(300,MAX(1,D1420)),0), FactorTable!$A$2:$A$301,0), Skills!M5+1)</f>
        <v/>
      </c>
      <c r="F1420">
        <f>IF(Skills!N5=TRUE,(Skills!L5/10)*(E1420/1000),Skills!L5/10)+Skills!O5</f>
        <v/>
      </c>
      <c r="G1420">
        <f>Skills!G5*IF(Skills!H5&gt;0,Skills!I5/Skills!H5,1)</f>
        <v/>
      </c>
      <c r="H1420">
        <f>1-(1-Skills!J5/100)^Skills!K5</f>
        <v/>
      </c>
      <c r="I1420" t="inlineStr">
        <is>
          <t>1</t>
        </is>
      </c>
      <c r="J1420">
        <f>((Inputs!$B$6*(1+Inputs!$B$7/100))+(((Inputs!$B$12*(1+Inputs!$B$13/100))-(Inputs!$B$12*(1+Inputs!$B$13/100)))+0.25*(Inputs!$B$14-Inputs!$B$14))*(1+Inputs!$B$7/100))*(F1420/100)</f>
        <v/>
      </c>
      <c r="K1420">
        <f>J1420*(1+((Inputs!$B$12*(1+Inputs!$B$13/100))*0.01+Inputs!$B$14*0.0025)/100)*(1+Inputs!$B$15/100)*(1+Inputs!$B$16/100)*(5000/(6000+Inputs!$B$42*(1-(100*(1-(1-(Inputs!$B$19+0)/100)*(1-CHOOSE(ArtifactsInput!$N$40+1,5,6,7,8,9,10)/100)^(ArtifactsInput!$M$40-ArtifactsInput!$M$40)))/100)))*(1+(Inputs!$B$24+((C1440=TRUE)*(F1440-Calc!F25))+B1450)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1436=TRUE)*(F1436-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1438=TRUE)*(F1438-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1428=TRUE)*F1428*IF(Inputs!$B$3&gt;=110,7,5))+((C1430=TRUE)*F1430*IF(AND(Inputs!$B$38&lt;&gt;"pvp",Inputs!$B$43&gt;0),(((R1430-1)*(Skills!T15*(1+(Inputs!$B$34+(ArtifactsInput!$M$7-ArtifactsInput!$M$7)*CHOOSE(ArtifactsInput!$N$7+1,6,7.2,8.4,9.6,10.8,12))/100))+MIN((Skills!T15*(1+(Inputs!$B$34+(ArtifactsInput!$M$7-ArtifactsInput!$M$7)*CHOOSE(ArtifactsInput!$N$7+1,6,7.2,8.4,9.6,10.8,12))/100)),MAX(0,Inputs!$B$43-((R1430-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Hunt"),CHOOSE(ArtifactsInput!$N$35+1,15,18,21,24,27,30)*(1-EXP(-(0.2*B1446)*5)),0)+IF(AND(ArtifactsInput!$M$22,Inputs!$B$4&lt;&gt;"Chapter Hunt"),CHOOSE(ArtifactsInput!$N$22+1,10,12,14,16,18,20)*((0*(((0.15*B1446*5))^0/1)+1*(((0.15*B1446*5))^1/1)+2*(((0.15*B1446*5))^2/2)+3*(((0.15*B1446*5))^3/6)+4*(((0.15*B1446*5))^4/24)+5*(((0.15*B1446*5))^5/120))/((((0.15*B1446*5))^0/1)+(((0.15*B1446*5))^1/1)+(((0.15*B1446*5))^2/2)+(((0.15*B1446*5))^3/6)+(((0.15*B1446*5))^4/24)+(((0.15*B1446*5))^5/120))),0)))/100)*I1420)</f>
        <v/>
      </c>
      <c r="L1420">
        <f>K1420*(MIN(Inputs!$B$22+((C1437=TRUE)*(F1437-Calc!F22)),(Inputs!$B$23+((C1439=TRUE)*(F1439-Calc!F24))+(IF(ArtifactsInput!$M$15,CHOOSE(ArtifactsInput!$N$15+1,25,30,35,40,45,50)/100*(Inputs!$B$11-Inputs!$B$11),0))))/100+(Inputs!$B$23+((C1439=TRUE)*(F1439-Calc!F24))+(IF(ArtifactsInput!$M$15,CHOOSE(ArtifactsInput!$N$15+1,25,30,35,40,45,50)/100*(Inputs!$B$11-Inputs!$B$11),0)))/100)/2</f>
        <v/>
      </c>
      <c r="M1420">
        <f>L1420*(1+(Inputs!$B$10+0+B1449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20">
        <f>L1420*(1-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1420*(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20">
        <f>(1-Summary!$B$11)*T1420+Summary!$B$11*V1420</f>
        <v/>
      </c>
      <c r="P1420">
        <f>IF(B1454=0,0,O1420/B1454)</f>
        <v/>
      </c>
      <c r="Q1420">
        <f>IFERROR(1/(IF(Inputs!$B$38="pvp",15,MAX(0.1,Skills!D5-IF(Skills!E5=TRUE,Inputs!$B$32,0)))*(1-IF(AND(ArtifactsInput!$M$27,Inputs!$B$4="Chapter Hunt"),CHOOSE(ArtifactsInput!$N$27+1,20,24,28,32,36,40),0)/100)),0)</f>
        <v/>
      </c>
      <c r="R1420">
        <f>IF(AND(Inputs!$B$38&lt;&gt;"pvp",Inputs!$B$43&gt;0),IF(MAX(0,Inputs!$B$43-B1451)&lt;=0,0,(INT(MAX(0,Inputs!$B$43-B1451)/(IF(Inputs!$B$38="pvp",15,MAX(0.1,Skills!D5-IF(Skills!E5=TRUE,Inputs!$B$32,0)))*(1-IF(AND(ArtifactsInput!$M$27,Inputs!$B$4="Chapter Hunt"),CHOOSE(ArtifactsInput!$N$27+1,20,24,28,32,36,40),0)/100)))+1)),0)</f>
        <v/>
      </c>
      <c r="S1420">
        <f>IFERROR(O1420/N1420,0)</f>
        <v/>
      </c>
      <c r="T1420">
        <f>IF(C1420,(H1420*N1420*IF(AND(Inputs!$B$38&lt;&gt;"pvp",Inputs!$B$43&gt;0),((Skills!G5*((R1420-1)*IF(Skills!H5&gt;0,Skills!I5/Skills!H5,1)+IF(Skills!H5&gt;0,MIN(Skills!I5,MAX(0,MAX(0,Inputs!$B$43-B1451)-((R1420-1)*(IF(Inputs!$B$38="pvp",15,MAX(0.1,Skills!D5-IF(Skills!E5=TRUE,Inputs!$B$32,0)))*(1-IF(AND(ArtifactsInput!$M$27,Inputs!$B$4="Chapter Hunt"),CHOOSE(ArtifactsInput!$N$27+1,20,24,28,32,36,40),0)/100)))))/Skills!H5,1)))/Inputs!$B$43),G1420*Q1420)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1420*(1-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1420*(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1420*(1-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1420*(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0">
        <f>IF(C1420,(H1420*N1420*IF(AND(Inputs!$B$38&lt;&gt;"pvp",Inputs!$B$43&gt;0),((Skills!G5*((R1420-1)*IF(Skills!H5&gt;0,Skills!I5/Skills!H5,1)+IF(Skills!H5&gt;0,MIN(Skills!I5,MAX(0,MAX(0,Inputs!$B$43-B1451)-((R1420-1)*(IF(Inputs!$B$38="pvp",15,MAX(0.1,Skills!D5-IF(Skills!E5=TRUE,Inputs!$B$32,0)))*(1-IF(AND(ArtifactsInput!$M$27,Inputs!$B$4="Chapter Hunt"),CHOOSE(ArtifactsInput!$N$27+1,20,24,28,32,36,40),0)/100)))))/Skills!H5,1)))/Inputs!$B$43),G1420*Q1420)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1">
      <c r="A1421">
        <f>Skills!A6</f>
        <v/>
      </c>
      <c r="B1421">
        <f>Skills!B6</f>
        <v/>
      </c>
      <c r="C1421">
        <f>Inputs!$B$3&gt;=103</f>
        <v/>
      </c>
      <c r="D1421">
        <f>IF(Skills!C6=1,60+Inputs!$B$25+Inputs!$B$29,IF(Skills!C6=2,90+Inputs!$B$26+Inputs!$B$29,IF(Skills!C6=3,120+Inputs!$B$27+Inputs!$B$29,MAX(0,(Inputs!$B$3-100)*3)+Inputs!$B$28+Inputs!$B$29)))</f>
        <v/>
      </c>
      <c r="E1421">
        <f>INDEX(FactorTable!$B$2:$Y$301, MATCH(ROUND(MIN(300,MAX(1,D1421)),0), FactorTable!$A$2:$A$301,0), Skills!M6+1)</f>
        <v/>
      </c>
      <c r="F1421">
        <f>IF(Skills!N6=TRUE,(Skills!L6/10)*(E1421/1000),Skills!L6/10)+Skills!O6</f>
        <v/>
      </c>
      <c r="G1421">
        <f>Skills!G6*IF(Skills!H6&gt;0,Skills!I6/Skills!H6,1)</f>
        <v/>
      </c>
      <c r="H1421">
        <f>1-(1-Skills!J6/100)^Skills!K6</f>
        <v/>
      </c>
      <c r="I1421" t="inlineStr">
        <is>
          <t>1</t>
        </is>
      </c>
      <c r="J1421">
        <f>((Inputs!$B$6*(1+Inputs!$B$7/100))+(((Inputs!$B$12*(1+Inputs!$B$13/100))-(Inputs!$B$12*(1+Inputs!$B$13/100)))+0.25*(Inputs!$B$14-Inputs!$B$14))*(1+Inputs!$B$7/100))*(F1421/100)</f>
        <v/>
      </c>
      <c r="K1421">
        <f>J1421*(1+((Inputs!$B$12*(1+Inputs!$B$13/100))*0.01+Inputs!$B$14*0.0025)/100)*(1+Inputs!$B$15/100)*(1+Inputs!$B$16/100)*(5000/(6000+Inputs!$B$42*(1-(100*(1-(1-(Inputs!$B$19+0)/100)*(1-CHOOSE(ArtifactsInput!$N$40+1,5,6,7,8,9,10)/100)^(ArtifactsInput!$M$40-ArtifactsInput!$M$40)))/100)))*(1+(Inputs!$B$24+((C1440=TRUE)*(F1440-Calc!F25))+B1450)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1436=TRUE)*(F1436-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1438=TRUE)*(F1438-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1428=TRUE)*F1428*IF(Inputs!$B$3&gt;=110,7,5))+((C1430=TRUE)*F1430*IF(AND(Inputs!$B$38&lt;&gt;"pvp",Inputs!$B$43&gt;0),(((R1430-1)*(Skills!T15*(1+(Inputs!$B$34+(ArtifactsInput!$M$7-ArtifactsInput!$M$7)*CHOOSE(ArtifactsInput!$N$7+1,6,7.2,8.4,9.6,10.8,12))/100))+MIN((Skills!T15*(1+(Inputs!$B$34+(ArtifactsInput!$M$7-ArtifactsInput!$M$7)*CHOOSE(ArtifactsInput!$N$7+1,6,7.2,8.4,9.6,10.8,12))/100)),MAX(0,Inputs!$B$43-((R1430-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Hunt"),CHOOSE(ArtifactsInput!$N$35+1,15,18,21,24,27,30)*(1-EXP(-(0.2*B1446)*5)),0)+IF(AND(ArtifactsInput!$M$22,Inputs!$B$4&lt;&gt;"Chapter Hunt"),CHOOSE(ArtifactsInput!$N$22+1,10,12,14,16,18,20)*((0*(((0.15*B1446*5))^0/1)+1*(((0.15*B1446*5))^1/1)+2*(((0.15*B1446*5))^2/2)+3*(((0.15*B1446*5))^3/6)+4*(((0.15*B1446*5))^4/24)+5*(((0.15*B1446*5))^5/120))/((((0.15*B1446*5))^0/1)+(((0.15*B1446*5))^1/1)+(((0.15*B1446*5))^2/2)+(((0.15*B1446*5))^3/6)+(((0.15*B1446*5))^4/24)+(((0.15*B1446*5))^5/120))),0)))/100)*I1421)</f>
        <v/>
      </c>
      <c r="L1421">
        <f>K1421*(MIN(Inputs!$B$22+((C1437=TRUE)*(F1437-Calc!F22)),(Inputs!$B$23+((C1439=TRUE)*(F1439-Calc!F24))+(IF(ArtifactsInput!$M$15,CHOOSE(ArtifactsInput!$N$15+1,25,30,35,40,45,50)/100*(Inputs!$B$11-Inputs!$B$11),0))))/100+(Inputs!$B$23+((C1439=TRUE)*(F1439-Calc!F24))+(IF(ArtifactsInput!$M$15,CHOOSE(ArtifactsInput!$N$15+1,25,30,35,40,45,50)/100*(Inputs!$B$11-Inputs!$B$11),0)))/100)/2</f>
        <v/>
      </c>
      <c r="M1421">
        <f>L1421*(1+(Inputs!$B$10+0+B1449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21">
        <f>L1421*(1-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1421*(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21">
        <f>(1-Summary!$B$11)*T1421+Summary!$B$11*V1421</f>
        <v/>
      </c>
      <c r="P1421">
        <f>IF(B1454=0,0,O1421/B1454)</f>
        <v/>
      </c>
      <c r="Q1421">
        <f>IFERROR(1/(IF(Inputs!$B$38="pvp",15,MAX(0.1,Skills!D6-IF(Skills!E6=TRUE,Inputs!$B$32,0)))*(1-IF(AND(ArtifactsInput!$M$27,Inputs!$B$4="Chapter Hunt"),CHOOSE(ArtifactsInput!$N$27+1,20,24,28,32,36,40),0)/100)),0)</f>
        <v/>
      </c>
      <c r="R1421">
        <f>IF(AND(Inputs!$B$38&lt;&gt;"pvp",Inputs!$B$43&gt;0),IF(MAX(0,Inputs!$B$43-B1451)&lt;=0,0,(INT(MAX(0,Inputs!$B$43-B1451)/(IF(Inputs!$B$38="pvp",15,MAX(0.1,Skills!D6-IF(Skills!E6=TRUE,Inputs!$B$32,0)))*(1-IF(AND(ArtifactsInput!$M$27,Inputs!$B$4="Chapter Hunt"),CHOOSE(ArtifactsInput!$N$27+1,20,24,28,32,36,40),0)/100)))+1)),0)</f>
        <v/>
      </c>
      <c r="S1421">
        <f>IFERROR(O1421/N1421,0)</f>
        <v/>
      </c>
      <c r="T1421">
        <f>IF(C1421,(H1421*N1421*IF(AND(Inputs!$B$38&lt;&gt;"pvp",Inputs!$B$43&gt;0),((Skills!G6*((R1421-1)*IF(Skills!H6&gt;0,Skills!I6/Skills!H6,1)+IF(Skills!H6&gt;0,MIN(Skills!I6,MAX(0,MAX(0,Inputs!$B$43-B1451)-((R1421-1)*(IF(Inputs!$B$38="pvp",15,MAX(0.1,Skills!D6-IF(Skills!E6=TRUE,Inputs!$B$32,0)))*(1-IF(AND(ArtifactsInput!$M$27,Inputs!$B$4="Chapter Hunt"),CHOOSE(ArtifactsInput!$N$27+1,20,24,28,32,36,40),0)/100)))))/Skills!H6,1)))/Inputs!$B$43),G1421*Q1421)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1421*(1-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1421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1421*(1-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1421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1">
        <f>IF(C1421,(H1421*N1421*IF(AND(Inputs!$B$38&lt;&gt;"pvp",Inputs!$B$43&gt;0),((Skills!G6*((R1421-1)*IF(Skills!H6&gt;0,Skills!I6/Skills!H6,1)+IF(Skills!H6&gt;0,MIN(Skills!I6,MAX(0,MAX(0,Inputs!$B$43-B1451)-((R1421-1)*(IF(Inputs!$B$38="pvp",15,MAX(0.1,Skills!D6-IF(Skills!E6=TRUE,Inputs!$B$32,0)))*(1-IF(AND(ArtifactsInput!$M$27,Inputs!$B$4="Chapter Hunt"),CHOOSE(ArtifactsInput!$N$27+1,20,24,28,32,36,40),0)/100)))))/Skills!H6,1)))/Inputs!$B$43),G1421*Q1421)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2">
      <c r="A1422">
        <f>Skills!A7</f>
        <v/>
      </c>
      <c r="B1422">
        <f>Skills!B7</f>
        <v/>
      </c>
      <c r="C1422">
        <f>Inputs!$B$3&gt;=107</f>
        <v/>
      </c>
      <c r="D1422">
        <f>IF(Skills!C7=1,60+Inputs!$B$25+Inputs!$B$29,IF(Skills!C7=2,90+Inputs!$B$26+Inputs!$B$29,IF(Skills!C7=3,120+Inputs!$B$27+Inputs!$B$29,MAX(0,(Inputs!$B$3-100)*3)+Inputs!$B$28+Inputs!$B$29)))</f>
        <v/>
      </c>
      <c r="E1422">
        <f>INDEX(FactorTable!$B$2:$Y$301, MATCH(ROUND(MIN(300,MAX(1,D1422)),0), FactorTable!$A$2:$A$301,0), Skills!M7+1)</f>
        <v/>
      </c>
      <c r="F1422">
        <f>IF(Skills!N7=TRUE,(Skills!L7/10)*(E1422/1000),Skills!L7/10)+Skills!O7</f>
        <v/>
      </c>
      <c r="G1422">
        <f>Skills!G7*IF(Skills!H7&gt;0,Skills!I7/Skills!H7,1)</f>
        <v/>
      </c>
      <c r="H1422">
        <f>1-(1-Skills!J7/100)^Skills!K7</f>
        <v/>
      </c>
      <c r="I1422" t="inlineStr">
        <is>
          <t>1</t>
        </is>
      </c>
      <c r="J1422">
        <f>((Inputs!$B$6*(1+Inputs!$B$7/100))+(((Inputs!$B$12*(1+Inputs!$B$13/100))-(Inputs!$B$12*(1+Inputs!$B$13/100)))+0.25*(Inputs!$B$14-Inputs!$B$14))*(1+Inputs!$B$7/100))*(F1422/100)</f>
        <v/>
      </c>
      <c r="K1422">
        <f>J1422*(1+((Inputs!$B$12*(1+Inputs!$B$13/100))*0.01+Inputs!$B$14*0.0025)/100)*(1+Inputs!$B$15/100)*(1+Inputs!$B$16/100)*(5000/(6000+Inputs!$B$42*(1-(100*(1-(1-(Inputs!$B$19+0)/100)*(1-CHOOSE(ArtifactsInput!$N$40+1,5,6,7,8,9,10)/100)^(ArtifactsInput!$M$40-ArtifactsInput!$M$40)))/100)))*(1+(Inputs!$B$24+((C1440=TRUE)*(F1440-Calc!F25))+B1450)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1436=TRUE)*(F1436-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1438=TRUE)*(F1438-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1428=TRUE)*F1428*IF(Inputs!$B$3&gt;=110,7,5))+((C1430=TRUE)*F1430*IF(AND(Inputs!$B$38&lt;&gt;"pvp",Inputs!$B$43&gt;0),(((R1430-1)*(Skills!T15*(1+(Inputs!$B$34+(ArtifactsInput!$M$7-ArtifactsInput!$M$7)*CHOOSE(ArtifactsInput!$N$7+1,6,7.2,8.4,9.6,10.8,12))/100))+MIN((Skills!T15*(1+(Inputs!$B$34+(ArtifactsInput!$M$7-ArtifactsInput!$M$7)*CHOOSE(ArtifactsInput!$N$7+1,6,7.2,8.4,9.6,10.8,12))/100)),MAX(0,Inputs!$B$43-((R1430-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Hunt"),CHOOSE(ArtifactsInput!$N$35+1,15,18,21,24,27,30)*(1-EXP(-(0.2*B1446)*5)),0)+IF(AND(ArtifactsInput!$M$22,Inputs!$B$4&lt;&gt;"Chapter Hunt"),CHOOSE(ArtifactsInput!$N$22+1,10,12,14,16,18,20)*((0*(((0.15*B1446*5))^0/1)+1*(((0.15*B1446*5))^1/1)+2*(((0.15*B1446*5))^2/2)+3*(((0.15*B1446*5))^3/6)+4*(((0.15*B1446*5))^4/24)+5*(((0.15*B1446*5))^5/120))/((((0.15*B1446*5))^0/1)+(((0.15*B1446*5))^1/1)+(((0.15*B1446*5))^2/2)+(((0.15*B1446*5))^3/6)+(((0.15*B1446*5))^4/24)+(((0.15*B1446*5))^5/120))),0)))/100)*I1422)</f>
        <v/>
      </c>
      <c r="L1422">
        <f>K1422*(MIN(Inputs!$B$22+((C1437=TRUE)*(F1437-Calc!F22)),(Inputs!$B$23+((C1439=TRUE)*(F1439-Calc!F24))+(IF(ArtifactsInput!$M$15,CHOOSE(ArtifactsInput!$N$15+1,25,30,35,40,45,50)/100*(Inputs!$B$11-Inputs!$B$11),0))))/100+(Inputs!$B$23+((C1439=TRUE)*(F1439-Calc!F24))+(IF(ArtifactsInput!$M$15,CHOOSE(ArtifactsInput!$N$15+1,25,30,35,40,45,50)/100*(Inputs!$B$11-Inputs!$B$11),0)))/100)/2</f>
        <v/>
      </c>
      <c r="M1422">
        <f>L1422*(1+(Inputs!$B$10+0+B1449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22">
        <f>L1422*(1-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1422*(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22">
        <f>(1-Summary!$B$11)*T1422+Summary!$B$11*V1422</f>
        <v/>
      </c>
      <c r="P1422">
        <f>IF(B1454=0,0,O1422/B1454)</f>
        <v/>
      </c>
      <c r="Q1422">
        <f>IFERROR(1/(IF(Inputs!$B$38="pvp",15,MAX(0.1,Skills!D7-IF(Skills!E7=TRUE,Inputs!$B$32,0)))*(1-IF(AND(ArtifactsInput!$M$27,Inputs!$B$4="Chapter Hunt"),CHOOSE(ArtifactsInput!$N$27+1,20,24,28,32,36,40),0)/100)),0)</f>
        <v/>
      </c>
      <c r="R1422">
        <f>IF(AND(Inputs!$B$38&lt;&gt;"pvp",Inputs!$B$43&gt;0),IF(MAX(0,Inputs!$B$43-B1451)&lt;=0,0,(INT(MAX(0,Inputs!$B$43-B1451)/(IF(Inputs!$B$38="pvp",15,MAX(0.1,Skills!D7-IF(Skills!E7=TRUE,Inputs!$B$32,0)))*(1-IF(AND(ArtifactsInput!$M$27,Inputs!$B$4="Chapter Hunt"),CHOOSE(ArtifactsInput!$N$27+1,20,24,28,32,36,40),0)/100)))+1)),0)</f>
        <v/>
      </c>
      <c r="S1422">
        <f>IFERROR(O1422/N1422,0)</f>
        <v/>
      </c>
      <c r="T1422">
        <f>IF(C1422,(H1422*N1422*IF(AND(Inputs!$B$38&lt;&gt;"pvp",Inputs!$B$43&gt;0),((Skills!G7*((R1422-1)*IF(Skills!H7&gt;0,Skills!I7/Skills!H7,1)+IF(Skills!H7&gt;0,MIN(Skills!I7,MAX(0,MAX(0,Inputs!$B$43-B1451)-((R1422-1)*(IF(Inputs!$B$38="pvp",15,MAX(0.1,Skills!D7-IF(Skills!E7=TRUE,Inputs!$B$32,0)))*(1-IF(AND(ArtifactsInput!$M$27,Inputs!$B$4="Chapter Hunt"),CHOOSE(ArtifactsInput!$N$27+1,20,24,28,32,36,40),0)/100)))))/Skills!H7,1)))/Inputs!$B$43),G1422*Q1422)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1422*(1-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1422*(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1422*(1-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1422*(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2">
        <f>IF(C1422,(H1422*N1422*IF(AND(Inputs!$B$38&lt;&gt;"pvp",Inputs!$B$43&gt;0),((Skills!G7*((R1422-1)*IF(Skills!H7&gt;0,Skills!I7/Skills!H7,1)+IF(Skills!H7&gt;0,MIN(Skills!I7,MAX(0,MAX(0,Inputs!$B$43-B1451)-((R1422-1)*(IF(Inputs!$B$38="pvp",15,MAX(0.1,Skills!D7-IF(Skills!E7=TRUE,Inputs!$B$32,0)))*(1-IF(AND(ArtifactsInput!$M$27,Inputs!$B$4="Chapter Hunt"),CHOOSE(ArtifactsInput!$N$27+1,20,24,28,32,36,40),0)/100)))))/Skills!H7,1)))/Inputs!$B$43),G1422*Q1422)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3">
      <c r="A1423">
        <f>Skills!A8</f>
        <v/>
      </c>
      <c r="B1423">
        <f>Skills!B8</f>
        <v/>
      </c>
      <c r="C1423">
        <f>Inputs!$B$3&gt;=117</f>
        <v/>
      </c>
      <c r="D1423">
        <f>IF(Skills!C8=1,60+Inputs!$B$25+Inputs!$B$29,IF(Skills!C8=2,90+Inputs!$B$26+Inputs!$B$29,IF(Skills!C8=3,120+Inputs!$B$27+Inputs!$B$29,MAX(0,(Inputs!$B$3-100)*3)+Inputs!$B$28+Inputs!$B$29)))</f>
        <v/>
      </c>
      <c r="E1423">
        <f>INDEX(FactorTable!$B$2:$Y$301, MATCH(ROUND(MIN(300,MAX(1,D1423)),0), FactorTable!$A$2:$A$301,0), Skills!M8+1)</f>
        <v/>
      </c>
      <c r="F1423">
        <f>IF(Skills!N8=TRUE,(Skills!L8/10)*(E1423/1000),Skills!L8/10)+Skills!O8</f>
        <v/>
      </c>
      <c r="G1423">
        <f>Skills!G8*IF(Skills!H8&gt;0,Skills!I8/Skills!H8,1)</f>
        <v/>
      </c>
      <c r="H1423">
        <f>1-(1-Skills!J8/100)^Skills!K8</f>
        <v/>
      </c>
      <c r="I1423" t="inlineStr">
        <is>
          <t>1</t>
        </is>
      </c>
      <c r="J1423">
        <f>((Inputs!$B$6*(1+Inputs!$B$7/100))+(((Inputs!$B$12*(1+Inputs!$B$13/100))-(Inputs!$B$12*(1+Inputs!$B$13/100)))+0.25*(Inputs!$B$14-Inputs!$B$14))*(1+Inputs!$B$7/100))*(F1423/100)</f>
        <v/>
      </c>
      <c r="K1423">
        <f>J1423*(1+((Inputs!$B$12*(1+Inputs!$B$13/100))*0.01+Inputs!$B$14*0.0025)/100)*(1+Inputs!$B$15/100)*(1+Inputs!$B$16/100)*(5000/(6000+Inputs!$B$42*(1-(100*(1-(1-(Inputs!$B$19+0)/100)*(1-CHOOSE(ArtifactsInput!$N$40+1,5,6,7,8,9,10)/100)^(ArtifactsInput!$M$40-ArtifactsInput!$M$40)))/100)))*(1+(Inputs!$B$24+((C1440=TRUE)*(F1440-Calc!F25))+B1450)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1436=TRUE)*(F1436-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1438=TRUE)*(F1438-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1428=TRUE)*F1428*IF(Inputs!$B$3&gt;=110,7,5))+((C1430=TRUE)*F1430*IF(AND(Inputs!$B$38&lt;&gt;"pvp",Inputs!$B$43&gt;0),(((R1430-1)*(Skills!T15*(1+(Inputs!$B$34+(ArtifactsInput!$M$7-ArtifactsInput!$M$7)*CHOOSE(ArtifactsInput!$N$7+1,6,7.2,8.4,9.6,10.8,12))/100))+MIN((Skills!T15*(1+(Inputs!$B$34+(ArtifactsInput!$M$7-ArtifactsInput!$M$7)*CHOOSE(ArtifactsInput!$N$7+1,6,7.2,8.4,9.6,10.8,12))/100)),MAX(0,Inputs!$B$43-((R1430-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Hunt"),CHOOSE(ArtifactsInput!$N$35+1,15,18,21,24,27,30)*(1-EXP(-(0.2*B1446)*5)),0)+IF(AND(ArtifactsInput!$M$22,Inputs!$B$4&lt;&gt;"Chapter Hunt"),CHOOSE(ArtifactsInput!$N$22+1,10,12,14,16,18,20)*((0*(((0.15*B1446*5))^0/1)+1*(((0.15*B1446*5))^1/1)+2*(((0.15*B1446*5))^2/2)+3*(((0.15*B1446*5))^3/6)+4*(((0.15*B1446*5))^4/24)+5*(((0.15*B1446*5))^5/120))/((((0.15*B1446*5))^0/1)+(((0.15*B1446*5))^1/1)+(((0.15*B1446*5))^2/2)+(((0.15*B1446*5))^3/6)+(((0.15*B1446*5))^4/24)+(((0.15*B1446*5))^5/120))),0)))/100)*I1423)</f>
        <v/>
      </c>
      <c r="L1423">
        <f>K1423*(MIN(Inputs!$B$22+((C1437=TRUE)*(F1437-Calc!F22)),(Inputs!$B$23+((C1439=TRUE)*(F1439-Calc!F24))+(IF(ArtifactsInput!$M$15,CHOOSE(ArtifactsInput!$N$15+1,25,30,35,40,45,50)/100*(Inputs!$B$11-Inputs!$B$11),0))))/100+(Inputs!$B$23+((C1439=TRUE)*(F1439-Calc!F24))+(IF(ArtifactsInput!$M$15,CHOOSE(ArtifactsInput!$N$15+1,25,30,35,40,45,50)/100*(Inputs!$B$11-Inputs!$B$11),0)))/100)/2</f>
        <v/>
      </c>
      <c r="M1423">
        <f>L1423*(1+(Inputs!$B$10+0+B1449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23">
        <f>L1423*(1-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1423*(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23">
        <f>(1-Summary!$B$11)*T1423+Summary!$B$11*V1423</f>
        <v/>
      </c>
      <c r="P1423">
        <f>IF(B1454=0,0,O1423/B1454)</f>
        <v/>
      </c>
      <c r="Q1423">
        <f>IFERROR(1/(IF(Inputs!$B$38="pvp",15,MAX(0.1,Skills!D8-IF(Skills!E8=TRUE,Inputs!$B$32,0)))*(1-IF(AND(ArtifactsInput!$M$27,Inputs!$B$4="Chapter Hunt"),CHOOSE(ArtifactsInput!$N$27+1,20,24,28,32,36,40),0)/100)),0)</f>
        <v/>
      </c>
      <c r="R1423">
        <f>IF(AND(Inputs!$B$38&lt;&gt;"pvp",Inputs!$B$43&gt;0),IF(MAX(0,Inputs!$B$43-B1451)&lt;=0,0,(INT(MAX(0,Inputs!$B$43-B1451)/(IF(Inputs!$B$38="pvp",15,MAX(0.1,Skills!D8-IF(Skills!E8=TRUE,Inputs!$B$32,0)))*(1-IF(AND(ArtifactsInput!$M$27,Inputs!$B$4="Chapter Hunt"),CHOOSE(ArtifactsInput!$N$27+1,20,24,28,32,36,40),0)/100)))+1)),0)</f>
        <v/>
      </c>
      <c r="S1423">
        <f>IFERROR(O1423/N1423,0)</f>
        <v/>
      </c>
      <c r="T1423">
        <f>IF(C1423,(H1423*N1423*IF(AND(Inputs!$B$38&lt;&gt;"pvp",Inputs!$B$43&gt;0),((Skills!G8*((R1423-1)*IF(Skills!H8&gt;0,Skills!I8/Skills!H8,1)+IF(Skills!H8&gt;0,MIN(Skills!I8,MAX(0,MAX(0,Inputs!$B$43-B1451)-((R1423-1)*(IF(Inputs!$B$38="pvp",15,MAX(0.1,Skills!D8-IF(Skills!E8=TRUE,Inputs!$B$32,0)))*(1-IF(AND(ArtifactsInput!$M$27,Inputs!$B$4="Chapter Hunt"),CHOOSE(ArtifactsInput!$N$27+1,20,24,28,32,36,40),0)/100)))))/Skills!H8,1)))/Inputs!$B$43),G1423*Q1423)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1423*(1-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1423*(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1423*(1-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1423*(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3">
        <f>IF(C1423,(H1423*N1423*IF(AND(Inputs!$B$38&lt;&gt;"pvp",Inputs!$B$43&gt;0),((Skills!G8*((R1423-1)*IF(Skills!H8&gt;0,Skills!I8/Skills!H8,1)+IF(Skills!H8&gt;0,MIN(Skills!I8,MAX(0,MAX(0,Inputs!$B$43-B1451)-((R1423-1)*(IF(Inputs!$B$38="pvp",15,MAX(0.1,Skills!D8-IF(Skills!E8=TRUE,Inputs!$B$32,0)))*(1-IF(AND(ArtifactsInput!$M$27,Inputs!$B$4="Chapter Hunt"),CHOOSE(ArtifactsInput!$N$27+1,20,24,28,32,36,40),0)/100)))))/Skills!H8,1)))/Inputs!$B$43),G1423*Q1423)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4">
      <c r="A1424">
        <f>Skills!A9</f>
        <v/>
      </c>
      <c r="B1424">
        <f>Skills!B9</f>
        <v/>
      </c>
      <c r="C1424">
        <f>Inputs!$B$3&gt;=69</f>
        <v/>
      </c>
      <c r="D1424">
        <f>IF(Skills!C9=1,60+Inputs!$B$25+Inputs!$B$29,IF(Skills!C9=2,90+Inputs!$B$26+Inputs!$B$29,IF(Skills!C9=3,120+Inputs!$B$27+Inputs!$B$29,MAX(0,(Inputs!$B$3-100)*3)+Inputs!$B$28+Inputs!$B$29)))</f>
        <v/>
      </c>
      <c r="E1424">
        <f>INDEX(FactorTable!$B$2:$Y$301, MATCH(ROUND(MIN(300,MAX(1,D1424)),0), FactorTable!$A$2:$A$301,0), Skills!M9+1)</f>
        <v/>
      </c>
      <c r="F1424">
        <f>IF(Skills!N9=TRUE,(Skills!L9/10)*(E1424/1000),Skills!L9/10)+Skills!O9</f>
        <v/>
      </c>
      <c r="G1424">
        <f>Skills!G9*IF(Skills!H9&gt;0,Skills!I9/Skills!H9,1)</f>
        <v/>
      </c>
      <c r="H1424">
        <f>1-(1-Skills!J9/100)^Skills!K9</f>
        <v/>
      </c>
      <c r="I1424" t="inlineStr">
        <is>
          <t>1</t>
        </is>
      </c>
      <c r="J1424">
        <f>((Inputs!$B$6*(1+Inputs!$B$7/100))+(((Inputs!$B$12*(1+Inputs!$B$13/100))-(Inputs!$B$12*(1+Inputs!$B$13/100)))+0.25*(Inputs!$B$14-Inputs!$B$14))*(1+Inputs!$B$7/100))*(F1424/100)</f>
        <v/>
      </c>
      <c r="K1424">
        <f>J1424*(1+((Inputs!$B$12*(1+Inputs!$B$13/100))*0.01+Inputs!$B$14*0.0025)/100)*(1+Inputs!$B$15/100)*(1+Inputs!$B$16/100)*(5000/(6000+Inputs!$B$42*(1-(100*(1-(1-(Inputs!$B$19+0)/100)*(1-CHOOSE(ArtifactsInput!$N$40+1,5,6,7,8,9,10)/100)^(ArtifactsInput!$M$40-ArtifactsInput!$M$40)))/100)))*(1+(Inputs!$B$24+((C1440=TRUE)*(F1440-Calc!F25))+B1450)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1427=TRUE,F1427,0)/100)*(1+IF(Skills!A9="ENHANCED_RAGING_BLOW",IF(Inputs!$B$3&gt;=134,MAX(0,IF(Inputs!$B$3&gt;=110,7,5)-5)*50,0),0)/100)*(1+(IF(Skills!A9="RAGING_BLOW",Inputs!$B$17+((C1436=TRUE)*(F1436-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1438=TRUE)*(F1438-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1428=TRUE)*F1428*IF(Inputs!$B$3&gt;=110,7,5))+((C1430=TRUE)*F1430*IF(AND(Inputs!$B$38&lt;&gt;"pvp",Inputs!$B$43&gt;0),(((R1430-1)*(Skills!T15*(1+(Inputs!$B$34+(ArtifactsInput!$M$7-ArtifactsInput!$M$7)*CHOOSE(ArtifactsInput!$N$7+1,6,7.2,8.4,9.6,10.8,12))/100))+MIN((Skills!T15*(1+(Inputs!$B$34+(ArtifactsInput!$M$7-ArtifactsInput!$M$7)*CHOOSE(ArtifactsInput!$N$7+1,6,7.2,8.4,9.6,10.8,12))/100)),MAX(0,Inputs!$B$43-((R1430-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Hunt"),CHOOSE(ArtifactsInput!$N$35+1,15,18,21,24,27,30)*(1-EXP(-(0.2*B1446)*5)),0)+IF(AND(ArtifactsInput!$M$22,Inputs!$B$4&lt;&gt;"Chapter Hunt"),CHOOSE(ArtifactsInput!$N$22+1,10,12,14,16,18,20)*((0*(((0.15*B1446*5))^0/1)+1*(((0.15*B1446*5))^1/1)+2*(((0.15*B1446*5))^2/2)+3*(((0.15*B1446*5))^3/6)+4*(((0.15*B1446*5))^4/24)+5*(((0.15*B1446*5))^5/120))/((((0.15*B1446*5))^0/1)+(((0.15*B1446*5))^1/1)+(((0.15*B1446*5))^2/2)+(((0.15*B1446*5))^3/6)+(((0.15*B1446*5))^4/24)+(((0.15*B1446*5))^5/120))),0)))/100)*I1424)</f>
        <v/>
      </c>
      <c r="L1424">
        <f>K1424*(MIN(Inputs!$B$22+((C1437=TRUE)*(F1437-Calc!F22)),(Inputs!$B$23+((C1439=TRUE)*(F1439-Calc!F24))+(IF(ArtifactsInput!$M$15,CHOOSE(ArtifactsInput!$N$15+1,25,30,35,40,45,50)/100*(Inputs!$B$11-Inputs!$B$11),0))))/100+(Inputs!$B$23+((C1439=TRUE)*(F1439-Calc!F24))+(IF(ArtifactsInput!$M$15,CHOOSE(ArtifactsInput!$N$15+1,25,30,35,40,45,50)/100*(Inputs!$B$11-Inputs!$B$11),0)))/100)/2</f>
        <v/>
      </c>
      <c r="M1424">
        <f>L1424*(1+(Inputs!$B$10+0+B1449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24">
        <f>L1424*(1-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1424*(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24">
        <f>(1-Summary!$B$11)*T1424+Summary!$B$11*V1424</f>
        <v/>
      </c>
      <c r="P1424">
        <f>IF(B1454=0,0,O1424/B1454)</f>
        <v/>
      </c>
      <c r="Q1424">
        <f>IFERROR(1/(IF(Inputs!$B$38="pvp",15,MAX(0.1,Skills!D9-IF(Skills!E9=TRUE,Inputs!$B$32,0)))*(1-IF(AND(ArtifactsInput!$M$27,Inputs!$B$4="Chapter Hunt"),CHOOSE(ArtifactsInput!$N$27+1,20,24,28,32,36,40),0)/100)),0)</f>
        <v/>
      </c>
      <c r="R1424">
        <f>IF(AND(Inputs!$B$38&lt;&gt;"pvp",Inputs!$B$43&gt;0),IF(MAX(0,Inputs!$B$43-B1451)&lt;=0,0,(INT(MAX(0,Inputs!$B$43-B1451)/(IF(Inputs!$B$38="pvp",15,MAX(0.1,Skills!D9-IF(Skills!E9=TRUE,Inputs!$B$32,0)))*(1-IF(AND(ArtifactsInput!$M$27,Inputs!$B$4="Chapter Hunt"),CHOOSE(ArtifactsInput!$N$27+1,20,24,28,32,36,40),0)/100)))+1)),0)</f>
        <v/>
      </c>
      <c r="S1424">
        <f>IFERROR(O1424/N1424,0)</f>
        <v/>
      </c>
      <c r="T1424">
        <f>IF(C1424,(H1424*N1424*IF(AND(Inputs!$B$38&lt;&gt;"pvp",Inputs!$B$43&gt;0),((Skills!G9*((R1424-1)*IF(Skills!H9&gt;0,Skills!I9/Skills!H9,1)+IF(Skills!H9&gt;0,MIN(Skills!I9,MAX(0,MAX(0,Inputs!$B$43-B1451)-((R1424-1)*(IF(Inputs!$B$38="pvp",15,MAX(0.1,Skills!D9-IF(Skills!E9=TRUE,Inputs!$B$32,0)))*(1-IF(AND(ArtifactsInput!$M$27,Inputs!$B$4="Chapter Hunt"),CHOOSE(ArtifactsInput!$N$27+1,20,24,28,32,36,40),0)/100)))))/Skills!H9,1)))/Inputs!$B$43),G1424*Q1424)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1424*(1-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1424*(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1424*(1-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1424*(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4">
        <f>IF(C1424,(H1424*N1424*IF(AND(Inputs!$B$38&lt;&gt;"pvp",Inputs!$B$43&gt;0),((Skills!G9*((R1424-1)*IF(Skills!H9&gt;0,Skills!I9/Skills!H9,1)+IF(Skills!H9&gt;0,MIN(Skills!I9,MAX(0,MAX(0,Inputs!$B$43-B1451)-((R1424-1)*(IF(Inputs!$B$38="pvp",15,MAX(0.1,Skills!D9-IF(Skills!E9=TRUE,Inputs!$B$32,0)))*(1-IF(AND(ArtifactsInput!$M$27,Inputs!$B$4="Chapter Hunt"),CHOOSE(ArtifactsInput!$N$27+1,20,24,28,32,36,40),0)/100)))))/Skills!H9,1)))/Inputs!$B$43),G1424*Q1424)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5">
      <c r="A1425">
        <f>Skills!A10</f>
        <v/>
      </c>
      <c r="B1425">
        <f>Skills!B10</f>
        <v/>
      </c>
      <c r="C1425">
        <f>Inputs!$B$3&gt;=63</f>
        <v/>
      </c>
      <c r="D1425">
        <f>IF(Skills!C10=1,60+Inputs!$B$25+Inputs!$B$29,IF(Skills!C10=2,90+Inputs!$B$26+Inputs!$B$29,IF(Skills!C10=3,120+Inputs!$B$27+Inputs!$B$29,MAX(0,(Inputs!$B$3-100)*3)+Inputs!$B$28+Inputs!$B$29)))</f>
        <v/>
      </c>
      <c r="E1425">
        <f>INDEX(FactorTable!$B$2:$Y$301, MATCH(ROUND(MIN(300,MAX(1,D1425)),0), FactorTable!$A$2:$A$301,0), Skills!M10+1)</f>
        <v/>
      </c>
      <c r="F1425">
        <f>IF(Skills!N10=TRUE,(Skills!L10/10)*(E1425/1000),Skills!L10/10)+Skills!O10</f>
        <v/>
      </c>
      <c r="G1425">
        <f>Skills!G10*IF(Skills!H10&gt;0,Skills!I10/Skills!H10,1)</f>
        <v/>
      </c>
      <c r="H1425">
        <f>1-(1-Skills!J10/100)^Skills!K10</f>
        <v/>
      </c>
      <c r="I1425" t="inlineStr">
        <is>
          <t>1</t>
        </is>
      </c>
      <c r="J1425">
        <f>((Inputs!$B$6*(1+Inputs!$B$7/100))+(((Inputs!$B$12*(1+Inputs!$B$13/100))-(Inputs!$B$12*(1+Inputs!$B$13/100)))+0.25*(Inputs!$B$14-Inputs!$B$14))*(1+Inputs!$B$7/100))*(F1425/100)</f>
        <v/>
      </c>
      <c r="K1425">
        <f>J1425*(1+((Inputs!$B$12*(1+Inputs!$B$13/100))*0.01+Inputs!$B$14*0.0025)/100)*(1+Inputs!$B$15/100)*(1+Inputs!$B$16/100)*(5000/(6000+Inputs!$B$42*(1-(100*(1-(1-(Inputs!$B$19+0)/100)*(1-CHOOSE(ArtifactsInput!$N$40+1,5,6,7,8,9,10)/100)^(ArtifactsInput!$M$40-ArtifactsInput!$M$40)))/100)))*(1+(Inputs!$B$24+((C1440=TRUE)*(F1440-Calc!F25))+B1450)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1427=TRUE,F1427,0)/100)*(1+IF(Skills!A10="ENHANCED_RAGING_BLOW",IF(Inputs!$B$3&gt;=134,MAX(0,IF(Inputs!$B$3&gt;=110,7,5)-5)*50,0),0)/100)*(1+(IF(Skills!A10="RAGING_BLOW",Inputs!$B$17+((C1436=TRUE)*(F1436-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1438=TRUE)*(F1438-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1428=TRUE)*F1428*IF(Inputs!$B$3&gt;=110,7,5))+((C1430=TRUE)*F1430*IF(AND(Inputs!$B$38&lt;&gt;"pvp",Inputs!$B$43&gt;0),(((R1430-1)*(Skills!T15*(1+(Inputs!$B$34+(ArtifactsInput!$M$7-ArtifactsInput!$M$7)*CHOOSE(ArtifactsInput!$N$7+1,6,7.2,8.4,9.6,10.8,12))/100))+MIN((Skills!T15*(1+(Inputs!$B$34+(ArtifactsInput!$M$7-ArtifactsInput!$M$7)*CHOOSE(ArtifactsInput!$N$7+1,6,7.2,8.4,9.6,10.8,12))/100)),MAX(0,Inputs!$B$43-((R1430-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Hunt"),CHOOSE(ArtifactsInput!$N$35+1,15,18,21,24,27,30)*(1-EXP(-(0.2*B1446)*5)),0)+IF(AND(ArtifactsInput!$M$22,Inputs!$B$4&lt;&gt;"Chapter Hunt"),CHOOSE(ArtifactsInput!$N$22+1,10,12,14,16,18,20)*((0*(((0.15*B1446*5))^0/1)+1*(((0.15*B1446*5))^1/1)+2*(((0.15*B1446*5))^2/2)+3*(((0.15*B1446*5))^3/6)+4*(((0.15*B1446*5))^4/24)+5*(((0.15*B1446*5))^5/120))/((((0.15*B1446*5))^0/1)+(((0.15*B1446*5))^1/1)+(((0.15*B1446*5))^2/2)+(((0.15*B1446*5))^3/6)+(((0.15*B1446*5))^4/24)+(((0.15*B1446*5))^5/120))),0)))/100)*I1425)</f>
        <v/>
      </c>
      <c r="L1425">
        <f>K1425*(MIN(Inputs!$B$22+((C1437=TRUE)*(F1437-Calc!F22)),(Inputs!$B$23+((C1439=TRUE)*(F1439-Calc!F24))+(IF(ArtifactsInput!$M$15,CHOOSE(ArtifactsInput!$N$15+1,25,30,35,40,45,50)/100*(Inputs!$B$11-Inputs!$B$11),0))))/100+(Inputs!$B$23+((C1439=TRUE)*(F1439-Calc!F24))+(IF(ArtifactsInput!$M$15,CHOOSE(ArtifactsInput!$N$15+1,25,30,35,40,45,50)/100*(Inputs!$B$11-Inputs!$B$11),0)))/100)/2</f>
        <v/>
      </c>
      <c r="M1425">
        <f>L1425*(1+(Inputs!$B$10+0+B1449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25">
        <f>L1425*(1-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1425*(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25">
        <f>(1-Summary!$B$11)*T1425+Summary!$B$11*V1425</f>
        <v/>
      </c>
      <c r="P1425">
        <f>IF(B1454=0,0,O1425/B1454)</f>
        <v/>
      </c>
      <c r="Q1425">
        <f>IFERROR(1/(IF(Inputs!$B$38="pvp",15,MAX(0.1,Skills!D10-IF(Skills!E10=TRUE,Inputs!$B$32,0)))*(1-IF(AND(ArtifactsInput!$M$27,Inputs!$B$4="Chapter Hunt"),CHOOSE(ArtifactsInput!$N$27+1,20,24,28,32,36,40),0)/100)),0)</f>
        <v/>
      </c>
      <c r="R1425">
        <f>IF(AND(Inputs!$B$38&lt;&gt;"pvp",Inputs!$B$43&gt;0),IF(MAX(0,Inputs!$B$43-B1451)&lt;=0,0,(INT(MAX(0,Inputs!$B$43-B1451)/(IF(Inputs!$B$38="pvp",15,MAX(0.1,Skills!D10-IF(Skills!E10=TRUE,Inputs!$B$32,0)))*(1-IF(AND(ArtifactsInput!$M$27,Inputs!$B$4="Chapter Hunt"),CHOOSE(ArtifactsInput!$N$27+1,20,24,28,32,36,40),0)/100)))+1)),0)</f>
        <v/>
      </c>
      <c r="S1425">
        <f>IFERROR(O1425/N1425,0)</f>
        <v/>
      </c>
      <c r="T1425">
        <f>IF(C1425,(H1425*N1425*IF(AND(Inputs!$B$38&lt;&gt;"pvp",Inputs!$B$43&gt;0),((Skills!G10*((R1425-1)*IF(Skills!H10&gt;0,Skills!I10/Skills!H10,1)+IF(Skills!H10&gt;0,MIN(Skills!I10,MAX(0,MAX(0,Inputs!$B$43-B1451)-((R1425-1)*(IF(Inputs!$B$38="pvp",15,MAX(0.1,Skills!D10-IF(Skills!E10=TRUE,Inputs!$B$32,0)))*(1-IF(AND(ArtifactsInput!$M$27,Inputs!$B$4="Chapter Hunt"),CHOOSE(ArtifactsInput!$N$27+1,20,24,28,32,36,40),0)/100)))))/Skills!H10,1)))/Inputs!$B$43),G1425*Q1425)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1425*(1-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1425*(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1425*(1-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1425*(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5">
        <f>IF(C1425,(H1425*N1425*IF(AND(Inputs!$B$38&lt;&gt;"pvp",Inputs!$B$43&gt;0),((Skills!G10*((R1425-1)*IF(Skills!H10&gt;0,Skills!I10/Skills!H10,1)+IF(Skills!H10&gt;0,MIN(Skills!I10,MAX(0,MAX(0,Inputs!$B$43-B1451)-((R1425-1)*(IF(Inputs!$B$38="pvp",15,MAX(0.1,Skills!D10-IF(Skills!E10=TRUE,Inputs!$B$32,0)))*(1-IF(AND(ArtifactsInput!$M$27,Inputs!$B$4="Chapter Hunt"),CHOOSE(ArtifactsInput!$N$27+1,20,24,28,32,36,40),0)/100)))))/Skills!H10,1)))/Inputs!$B$43),G1425*Q1425)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6">
      <c r="A1426">
        <f>Skills!A11</f>
        <v/>
      </c>
      <c r="B1426">
        <f>Skills!B11</f>
        <v/>
      </c>
      <c r="C1426">
        <f>Inputs!$B$3&gt;=35</f>
        <v/>
      </c>
      <c r="D1426">
        <f>IF(Skills!C11=1,60+Inputs!$B$25+Inputs!$B$29,IF(Skills!C11=2,90+Inputs!$B$26+Inputs!$B$29,IF(Skills!C11=3,120+Inputs!$B$27+Inputs!$B$29,MAX(0,(Inputs!$B$3-100)*3)+Inputs!$B$28+Inputs!$B$29)))</f>
        <v/>
      </c>
      <c r="E1426">
        <f>INDEX(FactorTable!$B$2:$Y$301, MATCH(ROUND(MIN(300,MAX(1,D1426)),0), FactorTable!$A$2:$A$301,0), Skills!M11+1)</f>
        <v/>
      </c>
      <c r="F1426">
        <f>IF(Skills!N11=TRUE,(Skills!L11/10)*(E1426/1000),Skills!L11/10)+Skills!O11</f>
        <v/>
      </c>
      <c r="G1426">
        <f>Skills!G11*IF(Skills!H11&gt;0,Skills!I11/Skills!H11,1)</f>
        <v/>
      </c>
      <c r="H1426">
        <f>1-(1-Skills!J11/100)^Skills!K11</f>
        <v/>
      </c>
      <c r="I1426" t="inlineStr">
        <is>
          <t>1</t>
        </is>
      </c>
      <c r="J1426">
        <f>((Inputs!$B$6*(1+Inputs!$B$7/100))+(((Inputs!$B$12*(1+Inputs!$B$13/100))-(Inputs!$B$12*(1+Inputs!$B$13/100)))+0.25*(Inputs!$B$14-Inputs!$B$14))*(1+Inputs!$B$7/100))*(F1426/100)</f>
        <v/>
      </c>
      <c r="K1426">
        <f>J1426*(1+((Inputs!$B$12*(1+Inputs!$B$13/100))*0.01+Inputs!$B$14*0.0025)/100)*(1+Inputs!$B$15/100)*(1+Inputs!$B$16/100)*(5000/(6000+Inputs!$B$42*(1-(100*(1-(1-(Inputs!$B$19+0)/100)*(1-CHOOSE(ArtifactsInput!$N$40+1,5,6,7,8,9,10)/100)^(ArtifactsInput!$M$40-ArtifactsInput!$M$40)))/100)))*(1+(Inputs!$B$24+((C1440=TRUE)*(F1440-Calc!F25))+B1450)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1427=TRUE,F1427,0)/100)*(1+IF(Skills!A11="ENHANCED_RAGING_BLOW",IF(Inputs!$B$3&gt;=134,MAX(0,IF(Inputs!$B$3&gt;=110,7,5)-5)*50,0),0)/100)*(1+(IF(Skills!A11="RAGING_BLOW",Inputs!$B$17+((C1436=TRUE)*(F1436-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1438=TRUE)*(F1438-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1428=TRUE)*F1428*IF(Inputs!$B$3&gt;=110,7,5))+((C1430=TRUE)*F1430*IF(AND(Inputs!$B$38&lt;&gt;"pvp",Inputs!$B$43&gt;0),(((R1430-1)*(Skills!T15*(1+(Inputs!$B$34+(ArtifactsInput!$M$7-ArtifactsInput!$M$7)*CHOOSE(ArtifactsInput!$N$7+1,6,7.2,8.4,9.6,10.8,12))/100))+MIN((Skills!T15*(1+(Inputs!$B$34+(ArtifactsInput!$M$7-ArtifactsInput!$M$7)*CHOOSE(ArtifactsInput!$N$7+1,6,7.2,8.4,9.6,10.8,12))/100)),MAX(0,Inputs!$B$43-((R1430-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Hunt"),CHOOSE(ArtifactsInput!$N$35+1,15,18,21,24,27,30)*(1-EXP(-(0.2*B1446)*5)),0)+IF(AND(ArtifactsInput!$M$22,Inputs!$B$4&lt;&gt;"Chapter Hunt"),CHOOSE(ArtifactsInput!$N$22+1,10,12,14,16,18,20)*((0*(((0.15*B1446*5))^0/1)+1*(((0.15*B1446*5))^1/1)+2*(((0.15*B1446*5))^2/2)+3*(((0.15*B1446*5))^3/6)+4*(((0.15*B1446*5))^4/24)+5*(((0.15*B1446*5))^5/120))/((((0.15*B1446*5))^0/1)+(((0.15*B1446*5))^1/1)+(((0.15*B1446*5))^2/2)+(((0.15*B1446*5))^3/6)+(((0.15*B1446*5))^4/24)+(((0.15*B1446*5))^5/120))),0)))/100)*I1426)</f>
        <v/>
      </c>
      <c r="L1426">
        <f>K1426*(MIN(Inputs!$B$22+((C1437=TRUE)*(F1437-Calc!F22)),(Inputs!$B$23+((C1439=TRUE)*(F1439-Calc!F24))+(IF(ArtifactsInput!$M$15,CHOOSE(ArtifactsInput!$N$15+1,25,30,35,40,45,50)/100*(Inputs!$B$11-Inputs!$B$11),0))))/100+(Inputs!$B$23+((C1439=TRUE)*(F1439-Calc!F24))+(IF(ArtifactsInput!$M$15,CHOOSE(ArtifactsInput!$N$15+1,25,30,35,40,45,50)/100*(Inputs!$B$11-Inputs!$B$11),0)))/100)/2</f>
        <v/>
      </c>
      <c r="M1426">
        <f>L1426*(1+(Inputs!$B$10+0+B1449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26">
        <f>L1426*(1-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1426*(MIN((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26">
        <f>(1-Summary!$B$11)*T1426+Summary!$B$11*V1426</f>
        <v/>
      </c>
      <c r="P1426">
        <f>IF(B1454=0,0,O1426/B1454)</f>
        <v/>
      </c>
      <c r="Q1426">
        <f>IFERROR(1/(IF(Inputs!$B$38="pvp",15,MAX(0.1,Skills!D11-IF(Skills!E11=TRUE,Inputs!$B$32,0)))*(1-IF(AND(ArtifactsInput!$M$27,Inputs!$B$4="Chapter Hunt"),CHOOSE(ArtifactsInput!$N$27+1,20,24,28,32,36,40),0)/100)),0)</f>
        <v/>
      </c>
      <c r="R1426">
        <f>IF(AND(Inputs!$B$38&lt;&gt;"pvp",Inputs!$B$43&gt;0),IF(MAX(0,Inputs!$B$43-B1451)&lt;=0,0,(INT(MAX(0,Inputs!$B$43-B1451)/(IF(Inputs!$B$38="pvp",15,MAX(0.1,Skills!D11-IF(Skills!E11=TRUE,Inputs!$B$32,0)))*(1-IF(AND(ArtifactsInput!$M$27,Inputs!$B$4="Chapter Hunt"),CHOOSE(ArtifactsInput!$N$27+1,20,24,28,32,36,40),0)/100)))+1)),0)</f>
        <v/>
      </c>
      <c r="S1426">
        <f>IFERROR(O1426/N1426,0)</f>
        <v/>
      </c>
      <c r="T1426">
        <f>IF(C1426,(H1426*N1426*IF(AND(Inputs!$B$38&lt;&gt;"pvp",Inputs!$B$43&gt;0),((Skills!G11*((R1426-1)*IF(Skills!H11&gt;0,Skills!I11/Skills!H11,1)+IF(Skills!H11&gt;0,MIN(Skills!I11,MAX(0,MAX(0,Inputs!$B$43-B1451)-((R1426-1)*(IF(Inputs!$B$38="pvp",15,MAX(0.1,Skills!D11-IF(Skills!E11=TRUE,Inputs!$B$32,0)))*(1-IF(AND(ArtifactsInput!$M$27,Inputs!$B$4="Chapter Hunt"),CHOOSE(ArtifactsInput!$N$27+1,20,24,28,32,36,40),0)/100)))))/Skills!H11,1)))/Inputs!$B$43),G1426*Q1426)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1426*(1-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1426*(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1426*(1-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1426*(MIN(100,(Inputs!$B$9+((C1441=TRUE)*(F1441-Calc!F26))+B1444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6">
        <f>IF(C1426,(H1426*N1426*IF(AND(Inputs!$B$38&lt;&gt;"pvp",Inputs!$B$43&gt;0),((Skills!G11*((R1426-1)*IF(Skills!H11&gt;0,Skills!I11/Skills!H11,1)+IF(Skills!H11&gt;0,MIN(Skills!I11,MAX(0,MAX(0,Inputs!$B$43-B1451)-((R1426-1)*(IF(Inputs!$B$38="pvp",15,MAX(0.1,Skills!D11-IF(Skills!E11=TRUE,Inputs!$B$32,0)))*(1-IF(AND(ArtifactsInput!$M$27,Inputs!$B$4="Chapter Hunt"),CHOOSE(ArtifactsInput!$N$27+1,20,24,28,32,36,40),0)/100)))))/Skills!H11,1)))/Inputs!$B$43),G1426*Q1426)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7">
      <c r="A1427">
        <f>Skills!A12</f>
        <v/>
      </c>
      <c r="B1427">
        <f>Skills!B12</f>
        <v/>
      </c>
      <c r="C1427">
        <f>Inputs!$B$3&gt;=100</f>
        <v/>
      </c>
      <c r="D1427">
        <f>IF(Skills!C12=1,60+Inputs!$B$25+Inputs!$B$29,IF(Skills!C12=2,90+Inputs!$B$26+Inputs!$B$29,IF(Skills!C12=3,120+Inputs!$B$27+Inputs!$B$29,MAX(0,(Inputs!$B$3-100)*3)+Inputs!$B$28+Inputs!$B$29)))</f>
        <v/>
      </c>
      <c r="E1427">
        <f>INDEX(FactorTable!$B$2:$Y$301, MATCH(ROUND(MIN(300,MAX(1,D1427)),0), FactorTable!$A$2:$A$301,0), Skills!M12+1)</f>
        <v/>
      </c>
      <c r="F1427">
        <f>IF(Skills!N12=TRUE,(Skills!L12/10)*(E1427/1000),Skills!L12/10)+Skills!O12</f>
        <v/>
      </c>
      <c r="G1427" t="inlineStr"/>
      <c r="H1427" t="inlineStr"/>
      <c r="I1427" t="inlineStr">
        <is>
          <t>1</t>
        </is>
      </c>
      <c r="J1427" t="inlineStr"/>
      <c r="K1427" t="inlineStr"/>
      <c r="L1427" t="inlineStr"/>
      <c r="M1427" t="inlineStr"/>
      <c r="N1427" t="inlineStr"/>
      <c r="O1427" t="inlineStr"/>
      <c r="P1427" t="inlineStr"/>
      <c r="Q1427" t="inlineStr"/>
      <c r="R1427" t="inlineStr"/>
      <c r="S1427" t="inlineStr"/>
    </row>
    <row r="1428">
      <c r="A1428">
        <f>Skills!A13</f>
        <v/>
      </c>
      <c r="B1428">
        <f>Skills!B13</f>
        <v/>
      </c>
      <c r="C1428">
        <f>Inputs!$B$3&gt;=45</f>
        <v/>
      </c>
      <c r="D1428">
        <f>IF(Skills!C13=1,60+Inputs!$B$25+Inputs!$B$29,IF(Skills!C13=2,90+Inputs!$B$26+Inputs!$B$29,IF(Skills!C13=3,120+Inputs!$B$27+Inputs!$B$29,MAX(0,(Inputs!$B$3-100)*3)+Inputs!$B$28+Inputs!$B$29)))</f>
        <v/>
      </c>
      <c r="E1428">
        <f>INDEX(FactorTable!$B$2:$Y$301, MATCH(ROUND(MIN(300,MAX(1,D1428)),0), FactorTable!$A$2:$A$301,0), Skills!M13+1)</f>
        <v/>
      </c>
      <c r="F1428">
        <f>IF(Skills!N13=TRUE,(Skills!L13/10)*(E1428/1000),Skills!L13/10)+Skills!O13</f>
        <v/>
      </c>
      <c r="G1428">
        <f>Skills!G13*IF(Skills!H13&gt;0,Skills!I13/Skills!H13,1)</f>
        <v/>
      </c>
      <c r="H1428">
        <f>1-(1-Skills!J13/100)^Skills!K13</f>
        <v/>
      </c>
      <c r="I1428" t="inlineStr">
        <is>
          <t>1</t>
        </is>
      </c>
      <c r="J1428" t="inlineStr"/>
      <c r="K1428" t="inlineStr"/>
      <c r="L1428" t="inlineStr"/>
      <c r="M1428" t="inlineStr"/>
      <c r="N1428" t="inlineStr"/>
      <c r="O1428">
        <f>(1-Summary!$B$11)*T1428+Summary!$B$11*V1428</f>
        <v/>
      </c>
      <c r="P1428">
        <f>IF(B1454=0,0,O1428/B1454)</f>
        <v/>
      </c>
      <c r="Q1428" t="n">
        <v>0</v>
      </c>
      <c r="R1428" t="n">
        <v>0</v>
      </c>
      <c r="S1428">
        <f>IFERROR(O1428/N1428,0)</f>
        <v/>
      </c>
      <c r="T1428" t="n">
        <v>0</v>
      </c>
      <c r="V1428" t="n">
        <v>0</v>
      </c>
    </row>
    <row r="1429">
      <c r="A1429">
        <f>Skills!A14</f>
        <v/>
      </c>
      <c r="B1429">
        <f>Skills!B14</f>
        <v/>
      </c>
      <c r="C1429">
        <f>Inputs!$B$3&gt;=75</f>
        <v/>
      </c>
      <c r="D1429">
        <f>IF(Skills!C14=1,60+Inputs!$B$25+Inputs!$B$29,IF(Skills!C14=2,90+Inputs!$B$26+Inputs!$B$29,IF(Skills!C14=3,120+Inputs!$B$27+Inputs!$B$29,MAX(0,(Inputs!$B$3-100)*3)+Inputs!$B$28+Inputs!$B$29)))</f>
        <v/>
      </c>
      <c r="E1429">
        <f>INDEX(FactorTable!$B$2:$Y$301, MATCH(ROUND(MIN(300,MAX(1,D1429)),0), FactorTable!$A$2:$A$301,0), Skills!M14+1)</f>
        <v/>
      </c>
      <c r="F1429">
        <f>IF(Skills!N14=TRUE,(Skills!L14/10)*(E1429/1000),Skills!L14/10)+Skills!O14</f>
        <v/>
      </c>
      <c r="G1429">
        <f>Skills!G14*IF(Skills!H14&gt;0,Skills!I14/Skills!H14,1)</f>
        <v/>
      </c>
      <c r="H1429">
        <f>1-(1-Skills!J14/100)^Skills!K14</f>
        <v/>
      </c>
      <c r="I1429" t="inlineStr">
        <is>
          <t>1</t>
        </is>
      </c>
      <c r="J1429" t="inlineStr"/>
      <c r="K1429" t="inlineStr"/>
      <c r="L1429" t="inlineStr"/>
      <c r="M1429" t="inlineStr"/>
      <c r="N1429" t="inlineStr"/>
      <c r="O1429">
        <f>(1-Summary!$B$11)*T1429+Summary!$B$11*V1429</f>
        <v/>
      </c>
      <c r="P1429">
        <f>IF(B1454=0,0,O1429/B1454)</f>
        <v/>
      </c>
      <c r="Q1429" t="n">
        <v>0</v>
      </c>
      <c r="R1429" t="n">
        <v>0</v>
      </c>
      <c r="S1429">
        <f>IFERROR(O1429/N1429,0)</f>
        <v/>
      </c>
      <c r="T1429" t="n">
        <v>0</v>
      </c>
      <c r="V1429" t="n">
        <v>0</v>
      </c>
    </row>
    <row r="1430">
      <c r="A1430">
        <f>Skills!A15</f>
        <v/>
      </c>
      <c r="B1430">
        <f>Skills!B15</f>
        <v/>
      </c>
      <c r="C1430">
        <f>Inputs!$B$3&gt;=40</f>
        <v/>
      </c>
      <c r="D1430">
        <f>IF(Skills!C15=1,60+Inputs!$B$25+Inputs!$B$29,IF(Skills!C15=2,90+Inputs!$B$26+Inputs!$B$29,IF(Skills!C15=3,120+Inputs!$B$27+Inputs!$B$29,MAX(0,(Inputs!$B$3-100)*3)+Inputs!$B$28+Inputs!$B$29)))</f>
        <v/>
      </c>
      <c r="E1430">
        <f>INDEX(FactorTable!$B$2:$Y$301, MATCH(ROUND(MIN(300,MAX(1,D1430)),0), FactorTable!$A$2:$A$301,0), Skills!M15+1)</f>
        <v/>
      </c>
      <c r="F1430">
        <f>IF(Skills!N15=TRUE,(Skills!L15/10)*(E1430/1000),Skills!L15/10)+Skills!O15</f>
        <v/>
      </c>
      <c r="G1430">
        <f>Skills!G15*IF(Skills!H15&gt;0,Skills!I15/Skills!H15,1)</f>
        <v/>
      </c>
      <c r="H1430">
        <f>1-(1-Skills!J15/100)^Skills!K15</f>
        <v/>
      </c>
      <c r="I1430" t="inlineStr">
        <is>
          <t>1</t>
        </is>
      </c>
      <c r="J1430" t="inlineStr"/>
      <c r="K1430" t="inlineStr"/>
      <c r="L1430" t="inlineStr"/>
      <c r="M1430" t="inlineStr"/>
      <c r="N1430" t="inlineStr"/>
      <c r="O1430">
        <f>(1-Summary!$B$11)*T1430+Summary!$B$11*V1430</f>
        <v/>
      </c>
      <c r="P1430">
        <f>IF(B1454=0,0,O1430/B1454)</f>
        <v/>
      </c>
      <c r="Q1430">
        <f>IFERROR(1/(IF(Inputs!$B$38="pvp",15,MAX(0.1,Skills!D15-IF(Skills!E15=TRUE,Inputs!$B$32,0)))*(1-IF(AND(ArtifactsInput!$M$27,Inputs!$B$4="Chapter Hunt"),CHOOSE(ArtifactsInput!$N$27+1,20,24,28,32,36,40),0)/100)),0)</f>
        <v/>
      </c>
      <c r="R1430">
        <f>IF(AND(Inputs!$B$38&lt;&gt;"pvp",Inputs!$B$43&gt;0),IF(Inputs!$B$43&lt;=0,0,(INT(Inputs!$B$43/(IF(Inputs!$B$38="pvp",15,MAX(0.1,Skills!D15-IF(Skills!E15=TRUE,Inputs!$B$32,0)))*(1-IF(AND(ArtifactsInput!$M$27,Inputs!$B$4="Chapter Hunt"),CHOOSE(ArtifactsInput!$N$27+1,20,24,28,32,36,40),0)/100)))+1)),0)</f>
        <v/>
      </c>
      <c r="S1430">
        <f>IFERROR(O1430/N1430,0)</f>
        <v/>
      </c>
      <c r="T1430" t="n">
        <v>0</v>
      </c>
      <c r="V1430" t="n">
        <v>0</v>
      </c>
    </row>
    <row r="1431">
      <c r="A1431">
        <f>Skills!A16</f>
        <v/>
      </c>
      <c r="B1431">
        <f>Skills!B16</f>
        <v/>
      </c>
      <c r="C1431">
        <f>Inputs!$B$3&gt;=66</f>
        <v/>
      </c>
      <c r="D1431">
        <f>IF(Skills!C16=1,60+Inputs!$B$25+Inputs!$B$29,IF(Skills!C16=2,90+Inputs!$B$26+Inputs!$B$29,IF(Skills!C16=3,120+Inputs!$B$27+Inputs!$B$29,MAX(0,(Inputs!$B$3-100)*3)+Inputs!$B$28+Inputs!$B$29)))</f>
        <v/>
      </c>
      <c r="E1431">
        <f>INDEX(FactorTable!$B$2:$Y$301, MATCH(ROUND(MIN(300,MAX(1,D1431)),0), FactorTable!$A$2:$A$301,0), Skills!M16+1)</f>
        <v/>
      </c>
      <c r="F1431">
        <f>IF(Skills!N16=TRUE,(Skills!L16/10)*(E1431/1000),Skills!L16/10)+Skills!O16</f>
        <v/>
      </c>
      <c r="G1431">
        <f>Skills!G16*IF(Skills!H16&gt;0,Skills!I16/Skills!H16,1)</f>
        <v/>
      </c>
      <c r="H1431">
        <f>1-(1-Skills!J16/100)^Skills!K16</f>
        <v/>
      </c>
      <c r="I1431" t="inlineStr">
        <is>
          <t>1</t>
        </is>
      </c>
      <c r="J1431" t="inlineStr"/>
      <c r="K1431" t="inlineStr"/>
      <c r="L1431" t="inlineStr"/>
      <c r="M1431" t="inlineStr"/>
      <c r="N1431" t="inlineStr"/>
      <c r="O1431">
        <f>(1-Summary!$B$11)*T1431+Summary!$B$11*V1431</f>
        <v/>
      </c>
      <c r="P1431">
        <f>IF(B1454=0,0,O1431/B1454)</f>
        <v/>
      </c>
      <c r="Q1431">
        <f>IFERROR(1/(IF(Inputs!$B$38="pvp",15,MAX(0.1,Skills!D16-IF(Skills!E16=TRUE,Inputs!$B$32,0)))*(1-IF(AND(ArtifactsInput!$M$27,Inputs!$B$4="Chapter Hunt"),CHOOSE(ArtifactsInput!$N$27+1,20,24,28,32,36,40),0)/100)),0)</f>
        <v/>
      </c>
      <c r="R1431">
        <f>IF(AND(Inputs!$B$38&lt;&gt;"pvp",Inputs!$B$43&gt;0),IF(Inputs!$B$43&lt;=0,0,(INT(Inputs!$B$43/(IF(Inputs!$B$38="pvp",15,MAX(0.1,Skills!D16-IF(Skills!E16=TRUE,Inputs!$B$32,0)))*(1-IF(AND(ArtifactsInput!$M$27,Inputs!$B$4="Chapter Hunt"),CHOOSE(ArtifactsInput!$N$27+1,20,24,28,32,36,40),0)/100)))+1)),0)</f>
        <v/>
      </c>
      <c r="S1431">
        <f>IFERROR(O1431/N1431,0)</f>
        <v/>
      </c>
      <c r="T1431" t="n">
        <v>0</v>
      </c>
      <c r="V1431" t="n">
        <v>0</v>
      </c>
    </row>
    <row r="1432">
      <c r="A1432">
        <f>Skills!A17</f>
        <v/>
      </c>
      <c r="B1432">
        <f>Skills!B17</f>
        <v/>
      </c>
      <c r="C1432">
        <f>Inputs!$B$3&gt;=115</f>
        <v/>
      </c>
      <c r="D1432">
        <f>IF(Skills!C17=1,60+Inputs!$B$25+Inputs!$B$29,IF(Skills!C17=2,90+Inputs!$B$26+Inputs!$B$29,IF(Skills!C17=3,120+Inputs!$B$27+Inputs!$B$29,MAX(0,(Inputs!$B$3-100)*3)+Inputs!$B$28+Inputs!$B$29)))</f>
        <v/>
      </c>
      <c r="E1432">
        <f>INDEX(FactorTable!$B$2:$Y$301, MATCH(ROUND(MIN(300,MAX(1,D1432)),0), FactorTable!$A$2:$A$301,0), Skills!M17+1)</f>
        <v/>
      </c>
      <c r="F1432">
        <f>IF(Skills!N17=TRUE,(Skills!L17/10)*(E1432/1000),Skills!L17/10)+Skills!O17</f>
        <v/>
      </c>
      <c r="G1432">
        <f>Skills!G17*IF(Skills!H17&gt;0,Skills!I17/Skills!H17,1)</f>
        <v/>
      </c>
      <c r="H1432">
        <f>1-(1-Skills!J17/100)^Skills!K17</f>
        <v/>
      </c>
      <c r="I1432" t="inlineStr">
        <is>
          <t>1</t>
        </is>
      </c>
      <c r="J1432" t="inlineStr"/>
      <c r="K1432" t="inlineStr"/>
      <c r="L1432" t="inlineStr"/>
      <c r="M1432" t="inlineStr"/>
      <c r="N1432" t="inlineStr"/>
      <c r="O1432">
        <f>(1-Summary!$B$11)*T1432+Summary!$B$11*V1432</f>
        <v/>
      </c>
      <c r="P1432">
        <f>IF(B1454=0,0,O1432/B1454)</f>
        <v/>
      </c>
      <c r="Q1432">
        <f>IFERROR(1/(IF(Inputs!$B$38="pvp",15,MAX(0.1,Skills!D17-IF(Skills!E17=TRUE,Inputs!$B$32,0)))*(1-IF(AND(ArtifactsInput!$M$27,Inputs!$B$4="Chapter Hunt"),CHOOSE(ArtifactsInput!$N$27+1,20,24,28,32,36,40),0)/100)),0)</f>
        <v/>
      </c>
      <c r="R1432">
        <f>IF(AND(Inputs!$B$38&lt;&gt;"pvp",Inputs!$B$43&gt;0),IF(Inputs!$B$43&lt;=0,0,(INT(Inputs!$B$43/(IF(Inputs!$B$38="pvp",15,MAX(0.1,Skills!D17-IF(Skills!E17=TRUE,Inputs!$B$32,0)))*(1-IF(AND(ArtifactsInput!$M$27,Inputs!$B$4="Chapter Hunt"),CHOOSE(ArtifactsInput!$N$27+1,20,24,28,32,36,40),0)/100)))+1)),0)</f>
        <v/>
      </c>
      <c r="S1432">
        <f>IFERROR(O1432/N1432,0)</f>
        <v/>
      </c>
      <c r="T1432" t="n">
        <v>0</v>
      </c>
      <c r="V1432" t="n">
        <v>0</v>
      </c>
    </row>
    <row r="1433">
      <c r="A1433">
        <f>Skills!A18</f>
        <v/>
      </c>
      <c r="B1433">
        <f>Skills!B18</f>
        <v/>
      </c>
      <c r="C1433">
        <f>Inputs!$B$3&gt;=115</f>
        <v/>
      </c>
      <c r="D1433">
        <f>IF(Skills!C18=1,60+Inputs!$B$25+Inputs!$B$29,IF(Skills!C18=2,90+Inputs!$B$26+Inputs!$B$29,IF(Skills!C18=3,120+Inputs!$B$27+Inputs!$B$29,MAX(0,(Inputs!$B$3-100)*3)+Inputs!$B$28+Inputs!$B$29)))</f>
        <v/>
      </c>
      <c r="E1433">
        <f>INDEX(FactorTable!$B$2:$Y$301, MATCH(ROUND(MIN(300,MAX(1,D1433)),0), FactorTable!$A$2:$A$301,0), Skills!M18+1)</f>
        <v/>
      </c>
      <c r="F1433">
        <f>IF(Skills!N18=TRUE,(Skills!L18/10)*(E1433/1000),Skills!L18/10)+Skills!O18</f>
        <v/>
      </c>
      <c r="G1433">
        <f>Skills!G18*IF(Skills!H18&gt;0,Skills!I18/Skills!H18,1)</f>
        <v/>
      </c>
      <c r="H1433">
        <f>1-(1-Skills!J18/100)^Skills!K18</f>
        <v/>
      </c>
      <c r="I1433" t="inlineStr">
        <is>
          <t>1</t>
        </is>
      </c>
      <c r="J1433" t="inlineStr"/>
      <c r="K1433" t="inlineStr"/>
      <c r="L1433" t="inlineStr"/>
      <c r="M1433" t="inlineStr"/>
      <c r="N1433" t="inlineStr"/>
      <c r="O1433">
        <f>(1-Summary!$B$11)*T1433+Summary!$B$11*V1433</f>
        <v/>
      </c>
      <c r="P1433">
        <f>IF(B1454=0,0,O1433/B1454)</f>
        <v/>
      </c>
      <c r="Q1433">
        <f>IFERROR(1/(IF(Inputs!$B$38="pvp",15,MAX(0.1,Skills!D18-IF(Skills!E18=TRUE,Inputs!$B$32,0)))*(1-IF(AND(ArtifactsInput!$M$27,Inputs!$B$4="Chapter Hunt"),CHOOSE(ArtifactsInput!$N$27+1,20,24,28,32,36,40),0)/100)),0)</f>
        <v/>
      </c>
      <c r="R1433">
        <f>IF(AND(Inputs!$B$38&lt;&gt;"pvp",Inputs!$B$43&gt;0),IF(Inputs!$B$43&lt;=0,0,(INT(Inputs!$B$43/(IF(Inputs!$B$38="pvp",15,MAX(0.1,Skills!D18-IF(Skills!E18=TRUE,Inputs!$B$32,0)))*(1-IF(AND(ArtifactsInput!$M$27,Inputs!$B$4="Chapter Hunt"),CHOOSE(ArtifactsInput!$N$27+1,20,24,28,32,36,40),0)/100)))+1)),0)</f>
        <v/>
      </c>
      <c r="S1433">
        <f>IFERROR(O1433/N1433,0)</f>
        <v/>
      </c>
      <c r="T1433" t="n">
        <v>0</v>
      </c>
      <c r="V1433" t="n">
        <v>0</v>
      </c>
    </row>
    <row r="1434">
      <c r="A1434">
        <f>Skills!A19</f>
        <v/>
      </c>
      <c r="B1434">
        <f>Skills!B19</f>
        <v/>
      </c>
      <c r="C1434">
        <f>TRUE</f>
        <v/>
      </c>
      <c r="D1434">
        <f>IF(Skills!C19=1,60+Inputs!$B$25+Inputs!$B$29,IF(Skills!C19=2,90+Inputs!$B$26+Inputs!$B$29,IF(Skills!C19=3,120+Inputs!$B$27+Inputs!$B$29,MAX(0,(Inputs!$B$3-100)*3)+Inputs!$B$28+Inputs!$B$29)))</f>
        <v/>
      </c>
      <c r="E1434">
        <f>INDEX(FactorTable!$B$2:$Y$301, MATCH(ROUND(MIN(300,MAX(1,D1434)),0), FactorTable!$A$2:$A$301,0), Skills!M19+1)</f>
        <v/>
      </c>
      <c r="F1434">
        <f>IF(Skills!N19=TRUE,(Skills!L19/10)*(E1434/1000),Skills!L19/10)+Skills!O19</f>
        <v/>
      </c>
      <c r="G1434">
        <f>Skills!G19*IF(Skills!H19&gt;0,Skills!I19/Skills!H19,1)</f>
        <v/>
      </c>
      <c r="H1434">
        <f>1-(1-Skills!J19/100)^Skills!K19</f>
        <v/>
      </c>
      <c r="I1434" t="inlineStr">
        <is>
          <t>1</t>
        </is>
      </c>
      <c r="J1434" t="inlineStr"/>
      <c r="K1434" t="inlineStr"/>
      <c r="L1434" t="inlineStr"/>
      <c r="M1434" t="inlineStr"/>
      <c r="N1434" t="inlineStr"/>
      <c r="O1434">
        <f>(1-Summary!$B$11)*T1434+Summary!$B$11*V1434</f>
        <v/>
      </c>
      <c r="P1434">
        <f>IF(B1454=0,0,O1434/B1454)</f>
        <v/>
      </c>
      <c r="Q1434">
        <f>IFERROR(1/(IF(Inputs!$B$38="pvp",15,MAX(0.1,Skills!D19-IF(Skills!E19=TRUE,Inputs!$B$32,0)))*(1-IF(AND(ArtifactsInput!$M$27,Inputs!$B$4="Chapter Hunt"),CHOOSE(ArtifactsInput!$N$27+1,20,24,28,32,36,40),0)/100)),0)</f>
        <v/>
      </c>
      <c r="R1434">
        <f>IF(AND(Inputs!$B$38&lt;&gt;"pvp",Inputs!$B$43&gt;0),IF(Inputs!$B$43&lt;=0,0,(INT(Inputs!$B$43/(IF(Inputs!$B$38="pvp",15,MAX(0.1,Skills!D19-IF(Skills!E19=TRUE,Inputs!$B$32,0)))*(1-IF(AND(ArtifactsInput!$M$27,Inputs!$B$4="Chapter Hunt"),CHOOSE(ArtifactsInput!$N$27+1,20,24,28,32,36,40),0)/100)))+1)),0)</f>
        <v/>
      </c>
      <c r="S1434">
        <f>IFERROR(O1434/N1434,0)</f>
        <v/>
      </c>
      <c r="T1434" t="n">
        <v>0</v>
      </c>
      <c r="V1434" t="n">
        <v>0</v>
      </c>
    </row>
    <row r="1435">
      <c r="A1435">
        <f>Skills!A20</f>
        <v/>
      </c>
      <c r="B1435">
        <f>Skills!B20</f>
        <v/>
      </c>
      <c r="C1435">
        <f>Inputs!$B$3&gt;=33</f>
        <v/>
      </c>
      <c r="D1435">
        <f>IF(Skills!C20=1,60+Inputs!$B$25+Inputs!$B$29,IF(Skills!C20=2,90+Inputs!$B$26+Inputs!$B$29,IF(Skills!C20=3,120+Inputs!$B$27+Inputs!$B$29,MAX(0,(Inputs!$B$3-100)*3)+Inputs!$B$28+Inputs!$B$29)))</f>
        <v/>
      </c>
      <c r="E1435">
        <f>INDEX(FactorTable!$B$2:$Y$301, MATCH(ROUND(MIN(300,MAX(1,D1435)),0), FactorTable!$A$2:$A$301,0), Skills!M20+1)</f>
        <v/>
      </c>
      <c r="F1435">
        <f>IF(Skills!N20=TRUE,(Skills!L20/10)*(E1435/1000),Skills!L20/10)+Skills!O20</f>
        <v/>
      </c>
      <c r="G1435">
        <f>Skills!G20*IF(Skills!H20&gt;0,Skills!I20/Skills!H20,1)</f>
        <v/>
      </c>
      <c r="H1435">
        <f>1-(1-Skills!J20/100)^Skills!K20</f>
        <v/>
      </c>
      <c r="I1435" t="inlineStr">
        <is>
          <t>1</t>
        </is>
      </c>
      <c r="J1435" t="inlineStr"/>
      <c r="K1435" t="inlineStr"/>
      <c r="L1435" t="inlineStr"/>
      <c r="M1435" t="inlineStr"/>
      <c r="N1435" t="inlineStr"/>
      <c r="O1435">
        <f>(1-Summary!$B$11)*T1435+Summary!$B$11*V1435</f>
        <v/>
      </c>
      <c r="P1435">
        <f>IF(B1454=0,0,O1435/B1454)</f>
        <v/>
      </c>
      <c r="Q1435" t="n">
        <v>0</v>
      </c>
      <c r="R1435" t="n">
        <v>0</v>
      </c>
      <c r="S1435">
        <f>IFERROR(O1435/N1435,0)</f>
        <v/>
      </c>
      <c r="T1435" t="n">
        <v>0</v>
      </c>
      <c r="V1435" t="n">
        <v>0</v>
      </c>
    </row>
    <row r="1436">
      <c r="A1436">
        <f>Skills!A21</f>
        <v/>
      </c>
      <c r="B1436">
        <f>Skills!B21</f>
        <v/>
      </c>
      <c r="C1436">
        <f>Inputs!$B$3&gt;=38</f>
        <v/>
      </c>
      <c r="D1436">
        <f>IF(Skills!C21=1,60+Inputs!$B$25+Inputs!$B$29,IF(Skills!C21=2,90+Inputs!$B$26+Inputs!$B$29,IF(Skills!C21=3,120+Inputs!$B$27+Inputs!$B$29,MAX(0,(Inputs!$B$3-100)*3)+Inputs!$B$28+Inputs!$B$29)))</f>
        <v/>
      </c>
      <c r="E1436">
        <f>INDEX(FactorTable!$B$2:$Y$301, MATCH(ROUND(MIN(300,MAX(1,D1436)),0), FactorTable!$A$2:$A$301,0), Skills!M21+1)</f>
        <v/>
      </c>
      <c r="F1436">
        <f>IF(Skills!N21=TRUE,(Skills!L21/10)*(E1436/1000),Skills!L21/10)+Skills!O21</f>
        <v/>
      </c>
      <c r="G1436">
        <f>Skills!G21*IF(Skills!H21&gt;0,Skills!I21/Skills!H21,1)</f>
        <v/>
      </c>
      <c r="H1436">
        <f>1-(1-Skills!J21/100)^Skills!K21</f>
        <v/>
      </c>
      <c r="I1436" t="inlineStr">
        <is>
          <t>1</t>
        </is>
      </c>
      <c r="J1436" t="inlineStr"/>
      <c r="K1436" t="inlineStr"/>
      <c r="L1436" t="inlineStr"/>
      <c r="M1436" t="inlineStr"/>
      <c r="N1436" t="inlineStr"/>
      <c r="O1436">
        <f>(1-Summary!$B$11)*T1436+Summary!$B$11*V1436</f>
        <v/>
      </c>
      <c r="P1436">
        <f>IF(B1454=0,0,O1436/B1454)</f>
        <v/>
      </c>
      <c r="Q1436" t="n">
        <v>0</v>
      </c>
      <c r="R1436" t="n">
        <v>0</v>
      </c>
      <c r="S1436">
        <f>IFERROR(O1436/N1436,0)</f>
        <v/>
      </c>
      <c r="T1436" t="n">
        <v>0</v>
      </c>
      <c r="V1436" t="n">
        <v>0</v>
      </c>
    </row>
    <row r="1437">
      <c r="A1437">
        <f>Skills!A22</f>
        <v/>
      </c>
      <c r="B1437">
        <f>Skills!B22</f>
        <v/>
      </c>
      <c r="C1437">
        <f>Inputs!$B$3&gt;=43</f>
        <v/>
      </c>
      <c r="D1437">
        <f>IF(Skills!C22=1,60+Inputs!$B$25+Inputs!$B$29,IF(Skills!C22=2,90+Inputs!$B$26+Inputs!$B$29,IF(Skills!C22=3,120+Inputs!$B$27+Inputs!$B$29,MAX(0,(Inputs!$B$3-100)*3)+Inputs!$B$28+Inputs!$B$29)))</f>
        <v/>
      </c>
      <c r="E1437">
        <f>INDEX(FactorTable!$B$2:$Y$301, MATCH(ROUND(MIN(300,MAX(1,D1437)),0), FactorTable!$A$2:$A$301,0), Skills!M22+1)</f>
        <v/>
      </c>
      <c r="F1437">
        <f>IF(Skills!N22=TRUE,(Skills!L22/10)*(E1437/1000),Skills!L22/10)+Skills!O22</f>
        <v/>
      </c>
      <c r="G1437">
        <f>Skills!G22*IF(Skills!H22&gt;0,Skills!I22/Skills!H22,1)</f>
        <v/>
      </c>
      <c r="H1437">
        <f>1-(1-Skills!J22/100)^Skills!K22</f>
        <v/>
      </c>
      <c r="I1437" t="inlineStr">
        <is>
          <t>1</t>
        </is>
      </c>
      <c r="J1437" t="inlineStr"/>
      <c r="K1437" t="inlineStr"/>
      <c r="L1437" t="inlineStr"/>
      <c r="M1437" t="inlineStr"/>
      <c r="N1437" t="inlineStr"/>
      <c r="O1437">
        <f>(1-Summary!$B$11)*T1437+Summary!$B$11*V1437</f>
        <v/>
      </c>
      <c r="P1437">
        <f>IF(B1454=0,0,O1437/B1454)</f>
        <v/>
      </c>
      <c r="Q1437" t="n">
        <v>0</v>
      </c>
      <c r="R1437" t="n">
        <v>0</v>
      </c>
      <c r="S1437">
        <f>IFERROR(O1437/N1437,0)</f>
        <v/>
      </c>
      <c r="T1437" t="n">
        <v>0</v>
      </c>
      <c r="V1437" t="n">
        <v>0</v>
      </c>
    </row>
    <row r="1438">
      <c r="A1438">
        <f>Skills!A23</f>
        <v/>
      </c>
      <c r="B1438">
        <f>Skills!B23</f>
        <v/>
      </c>
      <c r="C1438">
        <f>Inputs!$B$3&gt;=120</f>
        <v/>
      </c>
      <c r="D1438">
        <f>IF(Skills!C23=1,60+Inputs!$B$25+Inputs!$B$29,IF(Skills!C23=2,90+Inputs!$B$26+Inputs!$B$29,IF(Skills!C23=3,120+Inputs!$B$27+Inputs!$B$29,MAX(0,(Inputs!$B$3-100)*3)+Inputs!$B$28+Inputs!$B$29)))</f>
        <v/>
      </c>
      <c r="E1438">
        <f>INDEX(FactorTable!$B$2:$Y$301, MATCH(ROUND(MIN(300,MAX(1,D1438)),0), FactorTable!$A$2:$A$301,0), Skills!M23+1)</f>
        <v/>
      </c>
      <c r="F1438">
        <f>IF(Skills!N23=TRUE,(Skills!L23/10)*(E1438/1000),Skills!L23/10)+Skills!O23</f>
        <v/>
      </c>
      <c r="G1438">
        <f>Skills!G23*IF(Skills!H23&gt;0,Skills!I23/Skills!H23,1)</f>
        <v/>
      </c>
      <c r="H1438">
        <f>1-(1-Skills!J23/100)^Skills!K23</f>
        <v/>
      </c>
      <c r="I1438" t="inlineStr">
        <is>
          <t>1</t>
        </is>
      </c>
      <c r="J1438" t="inlineStr"/>
      <c r="K1438" t="inlineStr"/>
      <c r="L1438" t="inlineStr"/>
      <c r="M1438" t="inlineStr"/>
      <c r="N1438" t="inlineStr"/>
      <c r="O1438">
        <f>(1-Summary!$B$11)*T1438+Summary!$B$11*V1438</f>
        <v/>
      </c>
      <c r="P1438">
        <f>IF(B1454=0,0,O1438/B1454)</f>
        <v/>
      </c>
      <c r="Q1438" t="n">
        <v>0</v>
      </c>
      <c r="R1438" t="n">
        <v>0</v>
      </c>
      <c r="S1438">
        <f>IFERROR(O1438/N1438,0)</f>
        <v/>
      </c>
      <c r="T1438" t="n">
        <v>0</v>
      </c>
      <c r="V1438" t="n">
        <v>0</v>
      </c>
    </row>
    <row r="1439">
      <c r="A1439">
        <f>Skills!A24</f>
        <v/>
      </c>
      <c r="B1439">
        <f>Skills!B24</f>
        <v/>
      </c>
      <c r="C1439">
        <f>Inputs!$B$3&gt;=120</f>
        <v/>
      </c>
      <c r="D1439">
        <f>IF(Skills!C24=1,60+Inputs!$B$25+Inputs!$B$29,IF(Skills!C24=2,90+Inputs!$B$26+Inputs!$B$29,IF(Skills!C24=3,120+Inputs!$B$27+Inputs!$B$29,MAX(0,(Inputs!$B$3-100)*3)+Inputs!$B$28+Inputs!$B$29)))</f>
        <v/>
      </c>
      <c r="E1439">
        <f>INDEX(FactorTable!$B$2:$Y$301, MATCH(ROUND(MIN(300,MAX(1,D1439)),0), FactorTable!$A$2:$A$301,0), Skills!M24+1)</f>
        <v/>
      </c>
      <c r="F1439">
        <f>IF(Skills!N24=TRUE,(Skills!L24/10)*(E1439/1000),Skills!L24/10)+Skills!O24</f>
        <v/>
      </c>
      <c r="G1439">
        <f>Skills!G24*IF(Skills!H24&gt;0,Skills!I24/Skills!H24,1)</f>
        <v/>
      </c>
      <c r="H1439">
        <f>1-(1-Skills!J24/100)^Skills!K24</f>
        <v/>
      </c>
      <c r="I1439" t="inlineStr">
        <is>
          <t>1</t>
        </is>
      </c>
      <c r="J1439" t="inlineStr"/>
      <c r="K1439" t="inlineStr"/>
      <c r="L1439" t="inlineStr"/>
      <c r="M1439" t="inlineStr"/>
      <c r="N1439" t="inlineStr"/>
      <c r="O1439">
        <f>(1-Summary!$B$11)*T1439+Summary!$B$11*V1439</f>
        <v/>
      </c>
      <c r="P1439">
        <f>IF(B1454=0,0,O1439/B1454)</f>
        <v/>
      </c>
      <c r="Q1439" t="n">
        <v>0</v>
      </c>
      <c r="R1439" t="n">
        <v>0</v>
      </c>
      <c r="S1439">
        <f>IFERROR(O1439/N1439,0)</f>
        <v/>
      </c>
      <c r="T1439" t="n">
        <v>0</v>
      </c>
      <c r="V1439" t="n">
        <v>0</v>
      </c>
    </row>
    <row r="1440">
      <c r="A1440">
        <f>Skills!A25</f>
        <v/>
      </c>
      <c r="B1440">
        <f>Skills!B25</f>
        <v/>
      </c>
      <c r="C1440">
        <f>Inputs!$B$3&gt;=125</f>
        <v/>
      </c>
      <c r="D1440">
        <f>IF(Skills!C25=1,60+Inputs!$B$25+Inputs!$B$29,IF(Skills!C25=2,90+Inputs!$B$26+Inputs!$B$29,IF(Skills!C25=3,120+Inputs!$B$27+Inputs!$B$29,MAX(0,(Inputs!$B$3-100)*3)+Inputs!$B$28+Inputs!$B$29)))</f>
        <v/>
      </c>
      <c r="E1440">
        <f>INDEX(FactorTable!$B$2:$Y$301, MATCH(ROUND(MIN(300,MAX(1,D1440)),0), FactorTable!$A$2:$A$301,0), Skills!M25+1)</f>
        <v/>
      </c>
      <c r="F1440">
        <f>IF(Skills!N25=TRUE,(Skills!L25/10)*(E1440/1000),Skills!L25/10)+Skills!O25</f>
        <v/>
      </c>
      <c r="G1440">
        <f>Skills!G25*IF(Skills!H25&gt;0,Skills!I25/Skills!H25,1)</f>
        <v/>
      </c>
      <c r="H1440">
        <f>1-(1-Skills!J25/100)^Skills!K25</f>
        <v/>
      </c>
      <c r="I1440" t="inlineStr">
        <is>
          <t>1</t>
        </is>
      </c>
      <c r="J1440" t="inlineStr"/>
      <c r="K1440" t="inlineStr"/>
      <c r="L1440" t="inlineStr"/>
      <c r="M1440" t="inlineStr"/>
      <c r="N1440" t="inlineStr"/>
      <c r="O1440">
        <f>(1-Summary!$B$11)*T1440+Summary!$B$11*V1440</f>
        <v/>
      </c>
      <c r="P1440">
        <f>IF(B1454=0,0,O1440/B1454)</f>
        <v/>
      </c>
      <c r="Q1440" t="n">
        <v>0</v>
      </c>
      <c r="R1440" t="n">
        <v>0</v>
      </c>
      <c r="S1440">
        <f>IFERROR(O1440/N1440,0)</f>
        <v/>
      </c>
      <c r="T1440" t="n">
        <v>0</v>
      </c>
      <c r="V1440" t="n">
        <v>0</v>
      </c>
    </row>
    <row r="1441">
      <c r="A1441">
        <f>Skills!A26</f>
        <v/>
      </c>
      <c r="B1441">
        <f>Skills!B26</f>
        <v/>
      </c>
      <c r="C1441">
        <f>Inputs!$B$3&gt;=72</f>
        <v/>
      </c>
      <c r="D1441">
        <f>IF(Skills!C26=1,60+Inputs!$B$25+Inputs!$B$29,IF(Skills!C26=2,90+Inputs!$B$26+Inputs!$B$29,IF(Skills!C26=3,120+Inputs!$B$27+Inputs!$B$29,MAX(0,(Inputs!$B$3-100)*3)+Inputs!$B$28+Inputs!$B$29)))</f>
        <v/>
      </c>
      <c r="E1441">
        <f>INDEX(FactorTable!$B$2:$Y$301, MATCH(ROUND(MIN(300,MAX(1,D1441)),0), FactorTable!$A$2:$A$301,0), Skills!M26+1)</f>
        <v/>
      </c>
      <c r="F1441">
        <f>IF(Skills!N26=TRUE,(Skills!L26/10)*(E1441/1000),Skills!L26/10)+Skills!O26</f>
        <v/>
      </c>
      <c r="G1441">
        <f>Skills!G26*IF(Skills!H26&gt;0,Skills!I26/Skills!H26,1)</f>
        <v/>
      </c>
      <c r="H1441">
        <f>1-(1-Skills!J26/100)^Skills!K26</f>
        <v/>
      </c>
      <c r="I1441" t="inlineStr">
        <is>
          <t>1</t>
        </is>
      </c>
      <c r="J1441" t="inlineStr"/>
      <c r="K1441" t="inlineStr"/>
      <c r="L1441" t="inlineStr"/>
      <c r="M1441" t="inlineStr"/>
      <c r="N1441" t="inlineStr"/>
      <c r="O1441">
        <f>(1-Summary!$B$11)*T1441+Summary!$B$11*V1441</f>
        <v/>
      </c>
      <c r="P1441">
        <f>IF(B1454=0,0,O1441/B1454)</f>
        <v/>
      </c>
      <c r="Q1441" t="n">
        <v>0</v>
      </c>
      <c r="R1441" t="n">
        <v>0</v>
      </c>
      <c r="S1441">
        <f>IFERROR(O1441/N1441,0)</f>
        <v/>
      </c>
      <c r="T1441" t="n">
        <v>0</v>
      </c>
      <c r="V1441" t="n">
        <v>0</v>
      </c>
    </row>
    <row r="1443">
      <c r="A1443" t="inlineStr">
        <is>
          <t>Attack% Bucket Multiplier</t>
        </is>
      </c>
      <c r="B1443">
        <f>(1+(((C1428=TRUE)*F1428*IF(Inputs!$B$3&gt;=110,7,5))+((C1430=TRUE)*F1430*IF(AND(Inputs!$B$38&lt;&gt;"pvp",Inputs!$B$43&gt;0),(((R1430-1)*(Skills!T15*(1+(Inputs!$B$34+(ArtifactsInput!$M$7-ArtifactsInput!$M$7)*CHOOSE(ArtifactsInput!$N$7+1,6,7.2,8.4,9.6,10.8,12))/100))+MIN((Skills!T15*(1+(Inputs!$B$34+(ArtifactsInput!$M$7-ArtifactsInput!$M$7)*CHOOSE(ArtifactsInput!$N$7+1,6,7.2,8.4,9.6,10.8,12))/100)),MAX(0,Inputs!$B$43-((R1430-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44">
      <c r="A1444" t="inlineStr">
        <is>
          <t>Global Crit Rate Bonus %</t>
        </is>
      </c>
      <c r="B1444" t="n">
        <v>0</v>
      </c>
    </row>
    <row r="1445">
      <c r="A1445" t="inlineStr">
        <is>
          <t>Attack Speed Buff Bonus %</t>
        </is>
      </c>
      <c r="B1445">
        <f>((C1434=TRUE)*F1434*IF(AND(Inputs!$B$38&lt;&gt;"pvp",Inputs!$B$43&gt;0),(((R1434-1)*(Skills!T19*(1+(Inputs!$B$34+(ArtifactsInput!$M$7-ArtifactsInput!$M$7)*CHOOSE(ArtifactsInput!$N$7+1,6,7.2,8.4,9.6,10.8,12))/100))+MIN((Skills!T19*(1+(Inputs!$B$34+(ArtifactsInput!$M$7-ArtifactsInput!$M$7)*CHOOSE(ArtifactsInput!$N$7+1,6,7.2,8.4,9.6,10.8,12))/100)),MAX(0,Inputs!$B$43-((R1434-1)*Skills!D19))))/Inputs!$B$43),IF(Inputs!$B$38="pvp",MIN((Skills!T19*(1+(Inputs!$B$34+(ArtifactsInput!$M$7-ArtifactsInput!$M$7)*CHOOSE(ArtifactsInput!$N$7+1,6,7.2,8.4,9.6,10.8,12))/100)),15)/15,(Skills!T19*(1+(Inputs!$B$34+(ArtifactsInput!$M$7-ArtifactsInput!$M$7)*CHOOSE(ArtifactsInput!$N$7+1,6,7.2,8.4,9.6,10.8,12))/100))/Skills!D19)))</f>
        <v/>
      </c>
    </row>
    <row r="1446">
      <c r="A1446" t="inlineStr">
        <is>
          <t>Actions Per Second</t>
        </is>
      </c>
      <c r="B1446">
        <f>1+MIN(150,150*(1-(1-(Inputs!$B$11+((C1435=TRUE)*(F1435-Calc!F20)))/150)*(1-B1445/150)))/100</f>
        <v/>
      </c>
    </row>
    <row r="1447">
      <c r="A1447" t="inlineStr">
        <is>
          <t>Skill + Buff Cast Rate</t>
        </is>
      </c>
      <c r="B1447">
        <f>IF(AND(Inputs!$B$38&lt;&gt;"pvp",Inputs!$B$43&gt;0),SUMPRODUCT((Skills!E2:E26=TRUE)*(C1417:C1441=TRUE)*R1417:R1441*Skills!F2:F26)/Inputs!$B$43,SUMPRODUCT((Skills!E2:E26=TRUE)*(C1417:C1441=TRUE)*Q1417:Q1441*Skills!F2:F26))</f>
        <v/>
      </c>
    </row>
    <row r="1448">
      <c r="A1448" t="inlineStr">
        <is>
          <t>Raging Blow Casts Per Second</t>
        </is>
      </c>
      <c r="B1448">
        <f>MAX(0,B1446-B1447)</f>
        <v/>
      </c>
    </row>
    <row r="1449">
      <c r="A1449" t="inlineStr">
        <is>
          <t>Global Critical Damage Bonus % (Enrage)</t>
        </is>
      </c>
      <c r="B1449">
        <f>((C1433=TRUE)*F1433*IF(AND(Inputs!$B$38&lt;&gt;"pvp",Inputs!$B$43&gt;0),(((R1433-1)*(Skills!T18*(1+(Inputs!$B$34+(ArtifactsInput!$M$7-ArtifactsInput!$M$7)*CHOOSE(ArtifactsInput!$N$7+1,6,7.2,8.4,9.6,10.8,12))/100))+MIN((Skills!T18*(1+(Inputs!$B$34+(ArtifactsInput!$M$7-ArtifactsInput!$M$7)*CHOOSE(ArtifactsInput!$N$7+1,6,7.2,8.4,9.6,10.8,12))/100)),MAX(0,Inputs!$B$43-((R1433-1)*Skills!D18))))/Inputs!$B$43),IF(Inputs!$B$38="pvp",MIN((Skills!T18*(1+(Inputs!$B$34+(ArtifactsInput!$M$7-ArtifactsInput!$M$7)*CHOOSE(ArtifactsInput!$N$7+1,6,7.2,8.4,9.6,10.8,12))/100)),15)/15,(Skills!T18*(1+(Inputs!$B$34+(ArtifactsInput!$M$7-ArtifactsInput!$M$7)*CHOOSE(ArtifactsInput!$N$7+1,6,7.2,8.4,9.6,10.8,12))/100))/Skills!D18)))</f>
        <v/>
      </c>
    </row>
    <row r="1450">
      <c r="A1450" t="inlineStr">
        <is>
          <t>Global Final Damage Bonus % (Enrage + Combo Synergy)</t>
        </is>
      </c>
      <c r="B1450">
        <f>((C1432=TRUE)*F1432*IF(AND(Inputs!$B$38&lt;&gt;"pvp",Inputs!$B$43&gt;0),(((R1432-1)*(Skills!T17*(1+(Inputs!$B$34+(ArtifactsInput!$M$7-ArtifactsInput!$M$7)*CHOOSE(ArtifactsInput!$N$7+1,6,7.2,8.4,9.6,10.8,12))/100))+MIN((Skills!T17*(1+(Inputs!$B$34+(ArtifactsInput!$M$7-ArtifactsInput!$M$7)*CHOOSE(ArtifactsInput!$N$7+1,6,7.2,8.4,9.6,10.8,12))/100)),MAX(0,Inputs!$B$43-((R1432-1)*Skills!D17))))/Inputs!$B$43),IF(Inputs!$B$38="pvp",MIN((Skills!T17*(1+(Inputs!$B$34+(ArtifactsInput!$M$7-ArtifactsInput!$M$7)*CHOOSE(ArtifactsInput!$N$7+1,6,7.2,8.4,9.6,10.8,12))/100)),15)/15,(Skills!T17*(1+(Inputs!$B$34+(ArtifactsInput!$M$7-ArtifactsInput!$M$7)*CHOOSE(ArtifactsInput!$N$7+1,6,7.2,8.4,9.6,10.8,12))/100))/Skills!D17)))+((C1429=TRUE)*F1429*IF(Inputs!$B$3&gt;=110,7,5))</f>
        <v/>
      </c>
    </row>
    <row r="1451">
      <c r="A1451" t="inlineStr">
        <is>
          <t>Buff-Casting Startup Delay (s, fixed-duration only)</t>
        </is>
      </c>
      <c r="B1451">
        <f>IF(AND(Inputs!$B$38&lt;&gt;"pvp",Inputs!$B$43&gt;0),SUMPRODUCT((Skills!T2:T26&gt;0)*(Skills!E2:E26=TRUE)*(C1417:C1441=TRUE))/B1446,0)</f>
        <v/>
      </c>
    </row>
    <row r="1452">
      <c r="A1452" t="inlineStr">
        <is>
          <t>Boss-Only Total DPS (this block's swept value)</t>
        </is>
      </c>
      <c r="B1452">
        <f>SUM(T1417:T1441)</f>
        <v/>
      </c>
    </row>
    <row r="1453">
      <c r="A1453" t="inlineStr">
        <is>
          <t>Normal-Only Total DPS (this block's swept value)</t>
        </is>
      </c>
      <c r="B1453">
        <f>SUM(V1417:V1441)</f>
        <v/>
      </c>
    </row>
    <row r="1454">
      <c r="A1454" s="6" t="inlineStr">
        <is>
          <t>TOTAL DPS</t>
        </is>
      </c>
      <c r="B1454" s="6">
        <f>SUM(O1417:O1441)</f>
        <v/>
      </c>
    </row>
    <row r="1457">
      <c r="A1457" s="6" t="inlineStr">
        <is>
          <t>Stat: Mushmom's Cap (Equip)</t>
        </is>
      </c>
    </row>
    <row r="1458">
      <c r="A1458" s="5" t="inlineStr">
        <is>
          <t>Key</t>
        </is>
      </c>
      <c r="B1458" s="5" t="inlineStr">
        <is>
          <t>Name</t>
        </is>
      </c>
      <c r="C1458" s="5" t="inlineStr">
        <is>
          <t>Unlocked</t>
        </is>
      </c>
      <c r="D1458" s="5" t="inlineStr">
        <is>
          <t>InputLevel</t>
        </is>
      </c>
      <c r="E1458" s="5" t="inlineStr">
        <is>
          <t>Factor</t>
        </is>
      </c>
      <c r="F1458" s="5" t="inlineStr">
        <is>
          <t>CoefficientPercent</t>
        </is>
      </c>
      <c r="G1458" s="5" t="inlineStr">
        <is>
          <t>EffectiveHits</t>
        </is>
      </c>
      <c r="H1458" s="5" t="inlineStr">
        <is>
          <t>ProcProbability</t>
        </is>
      </c>
      <c r="I1458" s="5" t="inlineStr">
        <is>
          <t>MapleHeroMultiplier</t>
        </is>
      </c>
      <c r="J1458" s="5" t="inlineStr">
        <is>
          <t>BaseDamage</t>
        </is>
      </c>
      <c r="K1458" s="5" t="inlineStr">
        <is>
          <t>BaseHitDamage</t>
        </is>
      </c>
      <c r="L1458" s="5" t="inlineStr">
        <is>
          <t>NonCritAvg</t>
        </is>
      </c>
      <c r="M1458" s="5" t="inlineStr">
        <is>
          <t>CritAvg</t>
        </is>
      </c>
      <c r="N1458" s="5" t="inlineStr">
        <is>
          <t>ExpectedDamage(perHit)</t>
        </is>
      </c>
      <c r="O1458" s="5" t="inlineStr">
        <is>
          <t>DPS</t>
        </is>
      </c>
      <c r="P1458" s="5" t="inlineStr">
        <is>
          <t>% of Total</t>
        </is>
      </c>
      <c r="Q1458" s="5" t="inlineStr">
        <is>
          <t>InvCooldown</t>
        </is>
      </c>
      <c r="R1458" s="5" t="inlineStr">
        <is>
          <t>CastsInFight</t>
        </is>
      </c>
      <c r="S1458" s="5" t="inlineStr">
        <is>
          <t>HitRate(perSec)</t>
        </is>
      </c>
      <c r="U1458" t="inlineStr">
        <is>
          <t>helpers</t>
        </is>
      </c>
    </row>
    <row r="1459">
      <c r="A1459">
        <f>Skills!A2</f>
        <v/>
      </c>
      <c r="B1459">
        <f>Skills!B2</f>
        <v/>
      </c>
      <c r="C1459">
        <f>Inputs!$B$3&gt;=100</f>
        <v/>
      </c>
      <c r="D1459" t="inlineStr"/>
      <c r="E1459" t="inlineStr"/>
      <c r="F1459">
        <f>U1461+Skills!O2</f>
        <v/>
      </c>
      <c r="G1459">
        <f>Skills!G2*IF(Skills!H2&gt;0,Skills!I2/Skills!H2,1)</f>
        <v/>
      </c>
      <c r="H1459">
        <f>1-(1-Skills!J2/100)^Skills!K2</f>
        <v/>
      </c>
      <c r="I1459" t="inlineStr">
        <is>
          <t>1</t>
        </is>
      </c>
      <c r="J1459">
        <f>((Inputs!$B$6*(1+Inputs!$B$7/100))+(((Inputs!$B$12*(1+Inputs!$B$13/100))-(Inputs!$B$12*(1+Inputs!$B$13/100)))+0.25*(Inputs!$B$14-Inputs!$B$14))*(1+Inputs!$B$7/100))*(F1459/100)</f>
        <v/>
      </c>
      <c r="K1459">
        <f>J1459*(1+((Inputs!$B$12*(1+Inputs!$B$13/100))*0.01+Inputs!$B$14*0.0025)/100)*(1+Inputs!$B$15/100)*(1+Inputs!$B$16/100)*(5000/(6000+Inputs!$B$42*(1-(100*(1-(1-(Inputs!$B$19+0)/100)*(1-CHOOSE(ArtifactsInput!$N$40+1,5,6,7,8,9,10)/100)^(ArtifactsInput!$M$40-ArtifactsInput!$M$40)))/100)))*(1+(Inputs!$B$24+((C1482=TRUE)*(F1482-Calc!F25))+B1492)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1478=TRUE)*(F1478-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1480=TRUE)*(F1480-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1470=TRUE)*F1470*IF(Inputs!$B$3&gt;=110,7,5))+((C1472=TRUE)*F1472*IF(AND(Inputs!$B$38&lt;&gt;"pvp",Inputs!$B$43&gt;0),(((R1472-1)*(Skills!T15*(1+(Inputs!$B$34+(ArtifactsInput!$M$7-ArtifactsInput!$M$7)*CHOOSE(ArtifactsInput!$N$7+1,6,7.2,8.4,9.6,10.8,12))/100))+MIN((Skills!T15*(1+(Inputs!$B$34+(ArtifactsInput!$M$7-ArtifactsInput!$M$7)*CHOOSE(ArtifactsInput!$N$7+1,6,7.2,8.4,9.6,10.8,12))/100)),MAX(0,Inputs!$B$43-((R1472-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Hunt"),CHOOSE(ArtifactsInput!$N$35+1,15,18,21,24,27,30)*(1-EXP(-(0.2*B1488)*5)),0)+IF(AND(ArtifactsInput!$M$22,Inputs!$B$4&lt;&gt;"Chapter Hunt"),CHOOSE(ArtifactsInput!$N$22+1,10,12,14,16,18,20)*((0*(((0.15*B1488*5))^0/1)+1*(((0.15*B1488*5))^1/1)+2*(((0.15*B1488*5))^2/2)+3*(((0.15*B1488*5))^3/6)+4*(((0.15*B1488*5))^4/24)+5*(((0.15*B1488*5))^5/120))/((((0.15*B1488*5))^0/1)+(((0.15*B1488*5))^1/1)+(((0.15*B1488*5))^2/2)+(((0.15*B1488*5))^3/6)+(((0.15*B1488*5))^4/24)+(((0.15*B1488*5))^5/120))),0)))/100)*I1459)</f>
        <v/>
      </c>
      <c r="L1459">
        <f>K1459*(MIN(Inputs!$B$22+((C1479=TRUE)*(F1479-Calc!F22)),(Inputs!$B$23+((C1481=TRUE)*(F1481-Calc!F24))+(IF(ArtifactsInput!$M$15,CHOOSE(ArtifactsInput!$N$15+1,25,30,35,40,45,50)/100*(Inputs!$B$11-Inputs!$B$11),0))))/100+(Inputs!$B$23+((C1481=TRUE)*(F1481-Calc!F24))+(IF(ArtifactsInput!$M$15,CHOOSE(ArtifactsInput!$N$15+1,25,30,35,40,45,50)/100*(Inputs!$B$11-Inputs!$B$11),0)))/100)/2</f>
        <v/>
      </c>
      <c r="M1459">
        <f>L1459*(1+(Inputs!$B$10+0+B1491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59">
        <f>L1459*(1-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1459*(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59">
        <f>(1-Summary!$B$11)*T1459+Summary!$B$11*V1459</f>
        <v/>
      </c>
      <c r="P1459">
        <f>IF(B1496=0,0,O1459/B1496)</f>
        <v/>
      </c>
      <c r="Q1459" t="n">
        <v>0</v>
      </c>
      <c r="R1459" t="n">
        <v>0</v>
      </c>
      <c r="S1459">
        <f>IFERROR(O1459/N1459,0)</f>
        <v/>
      </c>
      <c r="T1459">
        <f>IF(C1459,(Skills!G2*N1459*B1490)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1459*(1-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1459*(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1459*(1-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1459*(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59">
        <f>MAX(0,(Inputs!$B$3-100)*3)+Inputs!$B$28+Inputs!$B$29</f>
        <v/>
      </c>
      <c r="V1459">
        <f>IF(C1459,(Skills!G2*N1459*B1490)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0">
      <c r="A1460">
        <f>Skills!A3</f>
        <v/>
      </c>
      <c r="B1460">
        <f>Skills!B3</f>
        <v/>
      </c>
      <c r="C1460">
        <f>Inputs!$B$3&gt;=50</f>
        <v/>
      </c>
      <c r="D1460">
        <f>IF(Skills!C3=1,60+Inputs!$B$25+Inputs!$B$29,IF(Skills!C3=2,90+Inputs!$B$26+Inputs!$B$29,IF(Skills!C3=3,120+Inputs!$B$27+Inputs!$B$29,MAX(0,(Inputs!$B$3-100)*3)+Inputs!$B$28+Inputs!$B$29)))</f>
        <v/>
      </c>
      <c r="E1460">
        <f>INDEX(FactorTable!$B$2:$Y$301, MATCH(ROUND(MIN(300,MAX(1,D1460)),0), FactorTable!$A$2:$A$301,0), Skills!M3+1)</f>
        <v/>
      </c>
      <c r="F1460">
        <f>IF(Skills!N3=TRUE,(Skills!L3/10)*(E1460/1000),Skills!L3/10)+Skills!O3</f>
        <v/>
      </c>
      <c r="G1460" t="inlineStr"/>
      <c r="H1460" t="inlineStr"/>
      <c r="I1460" t="inlineStr">
        <is>
          <t>1</t>
        </is>
      </c>
      <c r="J1460" t="inlineStr"/>
      <c r="K1460" t="inlineStr"/>
      <c r="L1460" t="inlineStr"/>
      <c r="M1460" t="inlineStr"/>
      <c r="N1460" t="inlineStr"/>
      <c r="O1460" t="inlineStr"/>
      <c r="P1460" t="inlineStr"/>
      <c r="Q1460" t="inlineStr"/>
      <c r="R1460" t="inlineStr"/>
      <c r="S1460" t="inlineStr"/>
      <c r="U1460">
        <f>INDEX(FactorTable!$B$2:$Y$301, MATCH(ROUND(MIN(300,MAX(1,U1459)),0), FactorTable!$A$2:$A$301,0), 22)</f>
        <v/>
      </c>
    </row>
    <row r="1461">
      <c r="A1461">
        <f>Skills!A4</f>
        <v/>
      </c>
      <c r="B1461">
        <f>Skills!B4</f>
        <v/>
      </c>
      <c r="C1461">
        <f>Inputs!$B$3&gt;=105</f>
        <v/>
      </c>
      <c r="D1461">
        <f>IF(Skills!C4=1,60+Inputs!$B$25+Inputs!$B$29,IF(Skills!C4=2,90+Inputs!$B$26+Inputs!$B$29,IF(Skills!C4=3,120+Inputs!$B$27+Inputs!$B$29,MAX(0,(Inputs!$B$3-100)*3)+Inputs!$B$28+Inputs!$B$29)))</f>
        <v/>
      </c>
      <c r="E1461">
        <f>INDEX(FactorTable!$B$2:$Y$301, MATCH(ROUND(MIN(300,MAX(1,D1461)),0), FactorTable!$A$2:$A$301,0), Skills!M4+1)</f>
        <v/>
      </c>
      <c r="F1461">
        <f>IF(Skills!N4=TRUE,(Skills!L4/10)*(E1461/1000),Skills!L4/10)+Skills!O4</f>
        <v/>
      </c>
      <c r="G1461" t="inlineStr"/>
      <c r="H1461" t="inlineStr"/>
      <c r="I1461" t="inlineStr">
        <is>
          <t>1</t>
        </is>
      </c>
      <c r="J1461" t="inlineStr"/>
      <c r="K1461" t="inlineStr"/>
      <c r="L1461" t="inlineStr"/>
      <c r="M1461" t="inlineStr"/>
      <c r="N1461" t="inlineStr"/>
      <c r="O1461" t="inlineStr"/>
      <c r="P1461" t="inlineStr"/>
      <c r="Q1461" t="inlineStr"/>
      <c r="R1461" t="inlineStr"/>
      <c r="S1461" t="inlineStr"/>
      <c r="U1461">
        <f>290*U1460/1000</f>
        <v/>
      </c>
    </row>
    <row r="1462">
      <c r="A1462">
        <f>Skills!A5</f>
        <v/>
      </c>
      <c r="B1462">
        <f>Skills!B5</f>
        <v/>
      </c>
      <c r="C1462">
        <f>Inputs!$B$3&gt;=103</f>
        <v/>
      </c>
      <c r="D1462">
        <f>IF(Skills!C5=1,60+Inputs!$B$25+Inputs!$B$29,IF(Skills!C5=2,90+Inputs!$B$26+Inputs!$B$29,IF(Skills!C5=3,120+Inputs!$B$27+Inputs!$B$29,MAX(0,(Inputs!$B$3-100)*3)+Inputs!$B$28+Inputs!$B$29)))</f>
        <v/>
      </c>
      <c r="E1462">
        <f>INDEX(FactorTable!$B$2:$Y$301, MATCH(ROUND(MIN(300,MAX(1,D1462)),0), FactorTable!$A$2:$A$301,0), Skills!M5+1)</f>
        <v/>
      </c>
      <c r="F1462">
        <f>IF(Skills!N5=TRUE,(Skills!L5/10)*(E1462/1000),Skills!L5/10)+Skills!O5</f>
        <v/>
      </c>
      <c r="G1462">
        <f>Skills!G5*IF(Skills!H5&gt;0,Skills!I5/Skills!H5,1)</f>
        <v/>
      </c>
      <c r="H1462">
        <f>1-(1-Skills!J5/100)^Skills!K5</f>
        <v/>
      </c>
      <c r="I1462" t="inlineStr">
        <is>
          <t>1</t>
        </is>
      </c>
      <c r="J1462">
        <f>((Inputs!$B$6*(1+Inputs!$B$7/100))+(((Inputs!$B$12*(1+Inputs!$B$13/100))-(Inputs!$B$12*(1+Inputs!$B$13/100)))+0.25*(Inputs!$B$14-Inputs!$B$14))*(1+Inputs!$B$7/100))*(F1462/100)</f>
        <v/>
      </c>
      <c r="K1462">
        <f>J1462*(1+((Inputs!$B$12*(1+Inputs!$B$13/100))*0.01+Inputs!$B$14*0.0025)/100)*(1+Inputs!$B$15/100)*(1+Inputs!$B$16/100)*(5000/(6000+Inputs!$B$42*(1-(100*(1-(1-(Inputs!$B$19+0)/100)*(1-CHOOSE(ArtifactsInput!$N$40+1,5,6,7,8,9,10)/100)^(ArtifactsInput!$M$40-ArtifactsInput!$M$40)))/100)))*(1+(Inputs!$B$24+((C1482=TRUE)*(F1482-Calc!F25))+B1492)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1478=TRUE)*(F1478-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1480=TRUE)*(F1480-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1470=TRUE)*F1470*IF(Inputs!$B$3&gt;=110,7,5))+((C1472=TRUE)*F1472*IF(AND(Inputs!$B$38&lt;&gt;"pvp",Inputs!$B$43&gt;0),(((R1472-1)*(Skills!T15*(1+(Inputs!$B$34+(ArtifactsInput!$M$7-ArtifactsInput!$M$7)*CHOOSE(ArtifactsInput!$N$7+1,6,7.2,8.4,9.6,10.8,12))/100))+MIN((Skills!T15*(1+(Inputs!$B$34+(ArtifactsInput!$M$7-ArtifactsInput!$M$7)*CHOOSE(ArtifactsInput!$N$7+1,6,7.2,8.4,9.6,10.8,12))/100)),MAX(0,Inputs!$B$43-((R1472-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Hunt"),CHOOSE(ArtifactsInput!$N$35+1,15,18,21,24,27,30)*(1-EXP(-(0.2*B1488)*5)),0)+IF(AND(ArtifactsInput!$M$22,Inputs!$B$4&lt;&gt;"Chapter Hunt"),CHOOSE(ArtifactsInput!$N$22+1,10,12,14,16,18,20)*((0*(((0.15*B1488*5))^0/1)+1*(((0.15*B1488*5))^1/1)+2*(((0.15*B1488*5))^2/2)+3*(((0.15*B1488*5))^3/6)+4*(((0.15*B1488*5))^4/24)+5*(((0.15*B1488*5))^5/120))/((((0.15*B1488*5))^0/1)+(((0.15*B1488*5))^1/1)+(((0.15*B1488*5))^2/2)+(((0.15*B1488*5))^3/6)+(((0.15*B1488*5))^4/24)+(((0.15*B1488*5))^5/120))),0)))/100)*I1462)</f>
        <v/>
      </c>
      <c r="L1462">
        <f>K1462*(MIN(Inputs!$B$22+((C1479=TRUE)*(F1479-Calc!F22)),(Inputs!$B$23+((C1481=TRUE)*(F1481-Calc!F24))+(IF(ArtifactsInput!$M$15,CHOOSE(ArtifactsInput!$N$15+1,25,30,35,40,45,50)/100*(Inputs!$B$11-Inputs!$B$11),0))))/100+(Inputs!$B$23+((C1481=TRUE)*(F1481-Calc!F24))+(IF(ArtifactsInput!$M$15,CHOOSE(ArtifactsInput!$N$15+1,25,30,35,40,45,50)/100*(Inputs!$B$11-Inputs!$B$11),0)))/100)/2</f>
        <v/>
      </c>
      <c r="M1462">
        <f>L1462*(1+(Inputs!$B$10+0+B1491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2">
        <f>L1462*(1-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1462*(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2">
        <f>(1-Summary!$B$11)*T1462+Summary!$B$11*V1462</f>
        <v/>
      </c>
      <c r="P1462">
        <f>IF(B1496=0,0,O1462/B1496)</f>
        <v/>
      </c>
      <c r="Q1462">
        <f>IFERROR(1/(IF(Inputs!$B$38="pvp",15,MAX(0.1,Skills!D5-IF(Skills!E5=TRUE,Inputs!$B$32,0)))*(1-IF(AND(ArtifactsInput!$M$27,Inputs!$B$4="Chapter Hunt"),CHOOSE(ArtifactsInput!$N$27+1,20,24,28,32,36,40),0)/100)),0)</f>
        <v/>
      </c>
      <c r="R1462">
        <f>IF(AND(Inputs!$B$38&lt;&gt;"pvp",Inputs!$B$43&gt;0),IF(MAX(0,Inputs!$B$43-B1493)&lt;=0,0,(INT(MAX(0,Inputs!$B$43-B1493)/(IF(Inputs!$B$38="pvp",15,MAX(0.1,Skills!D5-IF(Skills!E5=TRUE,Inputs!$B$32,0)))*(1-IF(AND(ArtifactsInput!$M$27,Inputs!$B$4="Chapter Hunt"),CHOOSE(ArtifactsInput!$N$27+1,20,24,28,32,36,40),0)/100)))+1)),0)</f>
        <v/>
      </c>
      <c r="S1462">
        <f>IFERROR(O1462/N1462,0)</f>
        <v/>
      </c>
      <c r="T1462">
        <f>IF(C1462,(H1462*N1462*IF(AND(Inputs!$B$38&lt;&gt;"pvp",Inputs!$B$43&gt;0),((Skills!G5*((R1462-1)*IF(Skills!H5&gt;0,Skills!I5/Skills!H5,1)+IF(Skills!H5&gt;0,MIN(Skills!I5,MAX(0,MAX(0,Inputs!$B$43-B1493)-((R1462-1)*(IF(Inputs!$B$38="pvp",15,MAX(0.1,Skills!D5-IF(Skills!E5=TRUE,Inputs!$B$32,0)))*(1-IF(AND(ArtifactsInput!$M$27,Inputs!$B$4="Chapter Hunt"),CHOOSE(ArtifactsInput!$N$27+1,20,24,28,32,36,40),0)/100)))))/Skills!H5,1)))/Inputs!$B$43),G1462*Q1462)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1462*(1-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1462*(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1462*(1-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1462*(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2">
        <f>IF(C1462,(H1462*N1462*IF(AND(Inputs!$B$38&lt;&gt;"pvp",Inputs!$B$43&gt;0),((Skills!G5*((R1462-1)*IF(Skills!H5&gt;0,Skills!I5/Skills!H5,1)+IF(Skills!H5&gt;0,MIN(Skills!I5,MAX(0,MAX(0,Inputs!$B$43-B1493)-((R1462-1)*(IF(Inputs!$B$38="pvp",15,MAX(0.1,Skills!D5-IF(Skills!E5=TRUE,Inputs!$B$32,0)))*(1-IF(AND(ArtifactsInput!$M$27,Inputs!$B$4="Chapter Hunt"),CHOOSE(ArtifactsInput!$N$27+1,20,24,28,32,36,40),0)/100)))))/Skills!H5,1)))/Inputs!$B$43),G1462*Q1462)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3">
      <c r="A1463">
        <f>Skills!A6</f>
        <v/>
      </c>
      <c r="B1463">
        <f>Skills!B6</f>
        <v/>
      </c>
      <c r="C1463">
        <f>Inputs!$B$3&gt;=103</f>
        <v/>
      </c>
      <c r="D1463">
        <f>IF(Skills!C6=1,60+Inputs!$B$25+Inputs!$B$29,IF(Skills!C6=2,90+Inputs!$B$26+Inputs!$B$29,IF(Skills!C6=3,120+Inputs!$B$27+Inputs!$B$29,MAX(0,(Inputs!$B$3-100)*3)+Inputs!$B$28+Inputs!$B$29)))</f>
        <v/>
      </c>
      <c r="E1463">
        <f>INDEX(FactorTable!$B$2:$Y$301, MATCH(ROUND(MIN(300,MAX(1,D1463)),0), FactorTable!$A$2:$A$301,0), Skills!M6+1)</f>
        <v/>
      </c>
      <c r="F1463">
        <f>IF(Skills!N6=TRUE,(Skills!L6/10)*(E1463/1000),Skills!L6/10)+Skills!O6</f>
        <v/>
      </c>
      <c r="G1463">
        <f>Skills!G6*IF(Skills!H6&gt;0,Skills!I6/Skills!H6,1)</f>
        <v/>
      </c>
      <c r="H1463">
        <f>1-(1-Skills!J6/100)^Skills!K6</f>
        <v/>
      </c>
      <c r="I1463" t="inlineStr">
        <is>
          <t>1</t>
        </is>
      </c>
      <c r="J1463">
        <f>((Inputs!$B$6*(1+Inputs!$B$7/100))+(((Inputs!$B$12*(1+Inputs!$B$13/100))-(Inputs!$B$12*(1+Inputs!$B$13/100)))+0.25*(Inputs!$B$14-Inputs!$B$14))*(1+Inputs!$B$7/100))*(F1463/100)</f>
        <v/>
      </c>
      <c r="K1463">
        <f>J1463*(1+((Inputs!$B$12*(1+Inputs!$B$13/100))*0.01+Inputs!$B$14*0.0025)/100)*(1+Inputs!$B$15/100)*(1+Inputs!$B$16/100)*(5000/(6000+Inputs!$B$42*(1-(100*(1-(1-(Inputs!$B$19+0)/100)*(1-CHOOSE(ArtifactsInput!$N$40+1,5,6,7,8,9,10)/100)^(ArtifactsInput!$M$40-ArtifactsInput!$M$40)))/100)))*(1+(Inputs!$B$24+((C1482=TRUE)*(F1482-Calc!F25))+B1492)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1478=TRUE)*(F1478-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1480=TRUE)*(F1480-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1470=TRUE)*F1470*IF(Inputs!$B$3&gt;=110,7,5))+((C1472=TRUE)*F1472*IF(AND(Inputs!$B$38&lt;&gt;"pvp",Inputs!$B$43&gt;0),(((R1472-1)*(Skills!T15*(1+(Inputs!$B$34+(ArtifactsInput!$M$7-ArtifactsInput!$M$7)*CHOOSE(ArtifactsInput!$N$7+1,6,7.2,8.4,9.6,10.8,12))/100))+MIN((Skills!T15*(1+(Inputs!$B$34+(ArtifactsInput!$M$7-ArtifactsInput!$M$7)*CHOOSE(ArtifactsInput!$N$7+1,6,7.2,8.4,9.6,10.8,12))/100)),MAX(0,Inputs!$B$43-((R1472-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Hunt"),CHOOSE(ArtifactsInput!$N$35+1,15,18,21,24,27,30)*(1-EXP(-(0.2*B1488)*5)),0)+IF(AND(ArtifactsInput!$M$22,Inputs!$B$4&lt;&gt;"Chapter Hunt"),CHOOSE(ArtifactsInput!$N$22+1,10,12,14,16,18,20)*((0*(((0.15*B1488*5))^0/1)+1*(((0.15*B1488*5))^1/1)+2*(((0.15*B1488*5))^2/2)+3*(((0.15*B1488*5))^3/6)+4*(((0.15*B1488*5))^4/24)+5*(((0.15*B1488*5))^5/120))/((((0.15*B1488*5))^0/1)+(((0.15*B1488*5))^1/1)+(((0.15*B1488*5))^2/2)+(((0.15*B1488*5))^3/6)+(((0.15*B1488*5))^4/24)+(((0.15*B1488*5))^5/120))),0)))/100)*I1463)</f>
        <v/>
      </c>
      <c r="L1463">
        <f>K1463*(MIN(Inputs!$B$22+((C1479=TRUE)*(F1479-Calc!F22)),(Inputs!$B$23+((C1481=TRUE)*(F1481-Calc!F24))+(IF(ArtifactsInput!$M$15,CHOOSE(ArtifactsInput!$N$15+1,25,30,35,40,45,50)/100*(Inputs!$B$11-Inputs!$B$11),0))))/100+(Inputs!$B$23+((C1481=TRUE)*(F1481-Calc!F24))+(IF(ArtifactsInput!$M$15,CHOOSE(ArtifactsInput!$N$15+1,25,30,35,40,45,50)/100*(Inputs!$B$11-Inputs!$B$11),0)))/100)/2</f>
        <v/>
      </c>
      <c r="M1463">
        <f>L1463*(1+(Inputs!$B$10+0+B1491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3">
        <f>L1463*(1-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1463*(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3">
        <f>(1-Summary!$B$11)*T1463+Summary!$B$11*V1463</f>
        <v/>
      </c>
      <c r="P1463">
        <f>IF(B1496=0,0,O1463/B1496)</f>
        <v/>
      </c>
      <c r="Q1463">
        <f>IFERROR(1/(IF(Inputs!$B$38="pvp",15,MAX(0.1,Skills!D6-IF(Skills!E6=TRUE,Inputs!$B$32,0)))*(1-IF(AND(ArtifactsInput!$M$27,Inputs!$B$4="Chapter Hunt"),CHOOSE(ArtifactsInput!$N$27+1,20,24,28,32,36,40),0)/100)),0)</f>
        <v/>
      </c>
      <c r="R1463">
        <f>IF(AND(Inputs!$B$38&lt;&gt;"pvp",Inputs!$B$43&gt;0),IF(MAX(0,Inputs!$B$43-B1493)&lt;=0,0,(INT(MAX(0,Inputs!$B$43-B1493)/(IF(Inputs!$B$38="pvp",15,MAX(0.1,Skills!D6-IF(Skills!E6=TRUE,Inputs!$B$32,0)))*(1-IF(AND(ArtifactsInput!$M$27,Inputs!$B$4="Chapter Hunt"),CHOOSE(ArtifactsInput!$N$27+1,20,24,28,32,36,40),0)/100)))+1)),0)</f>
        <v/>
      </c>
      <c r="S1463">
        <f>IFERROR(O1463/N1463,0)</f>
        <v/>
      </c>
      <c r="T1463">
        <f>IF(C1463,(H1463*N1463*IF(AND(Inputs!$B$38&lt;&gt;"pvp",Inputs!$B$43&gt;0),((Skills!G6*((R1463-1)*IF(Skills!H6&gt;0,Skills!I6/Skills!H6,1)+IF(Skills!H6&gt;0,MIN(Skills!I6,MAX(0,MAX(0,Inputs!$B$43-B1493)-((R1463-1)*(IF(Inputs!$B$38="pvp",15,MAX(0.1,Skills!D6-IF(Skills!E6=TRUE,Inputs!$B$32,0)))*(1-IF(AND(ArtifactsInput!$M$27,Inputs!$B$4="Chapter Hunt"),CHOOSE(ArtifactsInput!$N$27+1,20,24,28,32,36,40),0)/100)))))/Skills!H6,1)))/Inputs!$B$43),G1463*Q1463)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1463*(1-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1463*(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1463*(1-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1463*(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3">
        <f>IF(C1463,(H1463*N1463*IF(AND(Inputs!$B$38&lt;&gt;"pvp",Inputs!$B$43&gt;0),((Skills!G6*((R1463-1)*IF(Skills!H6&gt;0,Skills!I6/Skills!H6,1)+IF(Skills!H6&gt;0,MIN(Skills!I6,MAX(0,MAX(0,Inputs!$B$43-B1493)-((R1463-1)*(IF(Inputs!$B$38="pvp",15,MAX(0.1,Skills!D6-IF(Skills!E6=TRUE,Inputs!$B$32,0)))*(1-IF(AND(ArtifactsInput!$M$27,Inputs!$B$4="Chapter Hunt"),CHOOSE(ArtifactsInput!$N$27+1,20,24,28,32,36,40),0)/100)))))/Skills!H6,1)))/Inputs!$B$43),G1463*Q1463)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4">
      <c r="A1464">
        <f>Skills!A7</f>
        <v/>
      </c>
      <c r="B1464">
        <f>Skills!B7</f>
        <v/>
      </c>
      <c r="C1464">
        <f>Inputs!$B$3&gt;=107</f>
        <v/>
      </c>
      <c r="D1464">
        <f>IF(Skills!C7=1,60+Inputs!$B$25+Inputs!$B$29,IF(Skills!C7=2,90+Inputs!$B$26+Inputs!$B$29,IF(Skills!C7=3,120+Inputs!$B$27+Inputs!$B$29,MAX(0,(Inputs!$B$3-100)*3)+Inputs!$B$28+Inputs!$B$29)))</f>
        <v/>
      </c>
      <c r="E1464">
        <f>INDEX(FactorTable!$B$2:$Y$301, MATCH(ROUND(MIN(300,MAX(1,D1464)),0), FactorTable!$A$2:$A$301,0), Skills!M7+1)</f>
        <v/>
      </c>
      <c r="F1464">
        <f>IF(Skills!N7=TRUE,(Skills!L7/10)*(E1464/1000),Skills!L7/10)+Skills!O7</f>
        <v/>
      </c>
      <c r="G1464">
        <f>Skills!G7*IF(Skills!H7&gt;0,Skills!I7/Skills!H7,1)</f>
        <v/>
      </c>
      <c r="H1464">
        <f>1-(1-Skills!J7/100)^Skills!K7</f>
        <v/>
      </c>
      <c r="I1464" t="inlineStr">
        <is>
          <t>1</t>
        </is>
      </c>
      <c r="J1464">
        <f>((Inputs!$B$6*(1+Inputs!$B$7/100))+(((Inputs!$B$12*(1+Inputs!$B$13/100))-(Inputs!$B$12*(1+Inputs!$B$13/100)))+0.25*(Inputs!$B$14-Inputs!$B$14))*(1+Inputs!$B$7/100))*(F1464/100)</f>
        <v/>
      </c>
      <c r="K1464">
        <f>J1464*(1+((Inputs!$B$12*(1+Inputs!$B$13/100))*0.01+Inputs!$B$14*0.0025)/100)*(1+Inputs!$B$15/100)*(1+Inputs!$B$16/100)*(5000/(6000+Inputs!$B$42*(1-(100*(1-(1-(Inputs!$B$19+0)/100)*(1-CHOOSE(ArtifactsInput!$N$40+1,5,6,7,8,9,10)/100)^(ArtifactsInput!$M$40-ArtifactsInput!$M$40)))/100)))*(1+(Inputs!$B$24+((C1482=TRUE)*(F1482-Calc!F25))+B1492)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1478=TRUE)*(F1478-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1480=TRUE)*(F1480-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1470=TRUE)*F1470*IF(Inputs!$B$3&gt;=110,7,5))+((C1472=TRUE)*F1472*IF(AND(Inputs!$B$38&lt;&gt;"pvp",Inputs!$B$43&gt;0),(((R1472-1)*(Skills!T15*(1+(Inputs!$B$34+(ArtifactsInput!$M$7-ArtifactsInput!$M$7)*CHOOSE(ArtifactsInput!$N$7+1,6,7.2,8.4,9.6,10.8,12))/100))+MIN((Skills!T15*(1+(Inputs!$B$34+(ArtifactsInput!$M$7-ArtifactsInput!$M$7)*CHOOSE(ArtifactsInput!$N$7+1,6,7.2,8.4,9.6,10.8,12))/100)),MAX(0,Inputs!$B$43-((R1472-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Hunt"),CHOOSE(ArtifactsInput!$N$35+1,15,18,21,24,27,30)*(1-EXP(-(0.2*B1488)*5)),0)+IF(AND(ArtifactsInput!$M$22,Inputs!$B$4&lt;&gt;"Chapter Hunt"),CHOOSE(ArtifactsInput!$N$22+1,10,12,14,16,18,20)*((0*(((0.15*B1488*5))^0/1)+1*(((0.15*B1488*5))^1/1)+2*(((0.15*B1488*5))^2/2)+3*(((0.15*B1488*5))^3/6)+4*(((0.15*B1488*5))^4/24)+5*(((0.15*B1488*5))^5/120))/((((0.15*B1488*5))^0/1)+(((0.15*B1488*5))^1/1)+(((0.15*B1488*5))^2/2)+(((0.15*B1488*5))^3/6)+(((0.15*B1488*5))^4/24)+(((0.15*B1488*5))^5/120))),0)))/100)*I1464)</f>
        <v/>
      </c>
      <c r="L1464">
        <f>K1464*(MIN(Inputs!$B$22+((C1479=TRUE)*(F1479-Calc!F22)),(Inputs!$B$23+((C1481=TRUE)*(F1481-Calc!F24))+(IF(ArtifactsInput!$M$15,CHOOSE(ArtifactsInput!$N$15+1,25,30,35,40,45,50)/100*(Inputs!$B$11-Inputs!$B$11),0))))/100+(Inputs!$B$23+((C1481=TRUE)*(F1481-Calc!F24))+(IF(ArtifactsInput!$M$15,CHOOSE(ArtifactsInput!$N$15+1,25,30,35,40,45,50)/100*(Inputs!$B$11-Inputs!$B$11),0)))/100)/2</f>
        <v/>
      </c>
      <c r="M1464">
        <f>L1464*(1+(Inputs!$B$10+0+B1491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4">
        <f>L1464*(1-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1464*(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4">
        <f>(1-Summary!$B$11)*T1464+Summary!$B$11*V1464</f>
        <v/>
      </c>
      <c r="P1464">
        <f>IF(B1496=0,0,O1464/B1496)</f>
        <v/>
      </c>
      <c r="Q1464">
        <f>IFERROR(1/(IF(Inputs!$B$38="pvp",15,MAX(0.1,Skills!D7-IF(Skills!E7=TRUE,Inputs!$B$32,0)))*(1-IF(AND(ArtifactsInput!$M$27,Inputs!$B$4="Chapter Hunt"),CHOOSE(ArtifactsInput!$N$27+1,20,24,28,32,36,40),0)/100)),0)</f>
        <v/>
      </c>
      <c r="R1464">
        <f>IF(AND(Inputs!$B$38&lt;&gt;"pvp",Inputs!$B$43&gt;0),IF(MAX(0,Inputs!$B$43-B1493)&lt;=0,0,(INT(MAX(0,Inputs!$B$43-B1493)/(IF(Inputs!$B$38="pvp",15,MAX(0.1,Skills!D7-IF(Skills!E7=TRUE,Inputs!$B$32,0)))*(1-IF(AND(ArtifactsInput!$M$27,Inputs!$B$4="Chapter Hunt"),CHOOSE(ArtifactsInput!$N$27+1,20,24,28,32,36,40),0)/100)))+1)),0)</f>
        <v/>
      </c>
      <c r="S1464">
        <f>IFERROR(O1464/N1464,0)</f>
        <v/>
      </c>
      <c r="T1464">
        <f>IF(C1464,(H1464*N1464*IF(AND(Inputs!$B$38&lt;&gt;"pvp",Inputs!$B$43&gt;0),((Skills!G7*((R1464-1)*IF(Skills!H7&gt;0,Skills!I7/Skills!H7,1)+IF(Skills!H7&gt;0,MIN(Skills!I7,MAX(0,MAX(0,Inputs!$B$43-B1493)-((R1464-1)*(IF(Inputs!$B$38="pvp",15,MAX(0.1,Skills!D7-IF(Skills!E7=TRUE,Inputs!$B$32,0)))*(1-IF(AND(ArtifactsInput!$M$27,Inputs!$B$4="Chapter Hunt"),CHOOSE(ArtifactsInput!$N$27+1,20,24,28,32,36,40),0)/100)))))/Skills!H7,1)))/Inputs!$B$43),G1464*Q1464)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1464*(1-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1464*(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1464*(1-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1464*(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4">
        <f>IF(C1464,(H1464*N1464*IF(AND(Inputs!$B$38&lt;&gt;"pvp",Inputs!$B$43&gt;0),((Skills!G7*((R1464-1)*IF(Skills!H7&gt;0,Skills!I7/Skills!H7,1)+IF(Skills!H7&gt;0,MIN(Skills!I7,MAX(0,MAX(0,Inputs!$B$43-B1493)-((R1464-1)*(IF(Inputs!$B$38="pvp",15,MAX(0.1,Skills!D7-IF(Skills!E7=TRUE,Inputs!$B$32,0)))*(1-IF(AND(ArtifactsInput!$M$27,Inputs!$B$4="Chapter Hunt"),CHOOSE(ArtifactsInput!$N$27+1,20,24,28,32,36,40),0)/100)))))/Skills!H7,1)))/Inputs!$B$43),G1464*Q1464)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5">
      <c r="A1465">
        <f>Skills!A8</f>
        <v/>
      </c>
      <c r="B1465">
        <f>Skills!B8</f>
        <v/>
      </c>
      <c r="C1465">
        <f>Inputs!$B$3&gt;=117</f>
        <v/>
      </c>
      <c r="D1465">
        <f>IF(Skills!C8=1,60+Inputs!$B$25+Inputs!$B$29,IF(Skills!C8=2,90+Inputs!$B$26+Inputs!$B$29,IF(Skills!C8=3,120+Inputs!$B$27+Inputs!$B$29,MAX(0,(Inputs!$B$3-100)*3)+Inputs!$B$28+Inputs!$B$29)))</f>
        <v/>
      </c>
      <c r="E1465">
        <f>INDEX(FactorTable!$B$2:$Y$301, MATCH(ROUND(MIN(300,MAX(1,D1465)),0), FactorTable!$A$2:$A$301,0), Skills!M8+1)</f>
        <v/>
      </c>
      <c r="F1465">
        <f>IF(Skills!N8=TRUE,(Skills!L8/10)*(E1465/1000),Skills!L8/10)+Skills!O8</f>
        <v/>
      </c>
      <c r="G1465">
        <f>Skills!G8*IF(Skills!H8&gt;0,Skills!I8/Skills!H8,1)</f>
        <v/>
      </c>
      <c r="H1465">
        <f>1-(1-Skills!J8/100)^Skills!K8</f>
        <v/>
      </c>
      <c r="I1465" t="inlineStr">
        <is>
          <t>1</t>
        </is>
      </c>
      <c r="J1465">
        <f>((Inputs!$B$6*(1+Inputs!$B$7/100))+(((Inputs!$B$12*(1+Inputs!$B$13/100))-(Inputs!$B$12*(1+Inputs!$B$13/100)))+0.25*(Inputs!$B$14-Inputs!$B$14))*(1+Inputs!$B$7/100))*(F1465/100)</f>
        <v/>
      </c>
      <c r="K1465">
        <f>J1465*(1+((Inputs!$B$12*(1+Inputs!$B$13/100))*0.01+Inputs!$B$14*0.0025)/100)*(1+Inputs!$B$15/100)*(1+Inputs!$B$16/100)*(5000/(6000+Inputs!$B$42*(1-(100*(1-(1-(Inputs!$B$19+0)/100)*(1-CHOOSE(ArtifactsInput!$N$40+1,5,6,7,8,9,10)/100)^(ArtifactsInput!$M$40-ArtifactsInput!$M$40)))/100)))*(1+(Inputs!$B$24+((C1482=TRUE)*(F1482-Calc!F25))+B1492)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1478=TRUE)*(F1478-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1480=TRUE)*(F1480-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1470=TRUE)*F1470*IF(Inputs!$B$3&gt;=110,7,5))+((C1472=TRUE)*F1472*IF(AND(Inputs!$B$38&lt;&gt;"pvp",Inputs!$B$43&gt;0),(((R1472-1)*(Skills!T15*(1+(Inputs!$B$34+(ArtifactsInput!$M$7-ArtifactsInput!$M$7)*CHOOSE(ArtifactsInput!$N$7+1,6,7.2,8.4,9.6,10.8,12))/100))+MIN((Skills!T15*(1+(Inputs!$B$34+(ArtifactsInput!$M$7-ArtifactsInput!$M$7)*CHOOSE(ArtifactsInput!$N$7+1,6,7.2,8.4,9.6,10.8,12))/100)),MAX(0,Inputs!$B$43-((R1472-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Hunt"),CHOOSE(ArtifactsInput!$N$35+1,15,18,21,24,27,30)*(1-EXP(-(0.2*B1488)*5)),0)+IF(AND(ArtifactsInput!$M$22,Inputs!$B$4&lt;&gt;"Chapter Hunt"),CHOOSE(ArtifactsInput!$N$22+1,10,12,14,16,18,20)*((0*(((0.15*B1488*5))^0/1)+1*(((0.15*B1488*5))^1/1)+2*(((0.15*B1488*5))^2/2)+3*(((0.15*B1488*5))^3/6)+4*(((0.15*B1488*5))^4/24)+5*(((0.15*B1488*5))^5/120))/((((0.15*B1488*5))^0/1)+(((0.15*B1488*5))^1/1)+(((0.15*B1488*5))^2/2)+(((0.15*B1488*5))^3/6)+(((0.15*B1488*5))^4/24)+(((0.15*B1488*5))^5/120))),0)))/100)*I1465)</f>
        <v/>
      </c>
      <c r="L1465">
        <f>K1465*(MIN(Inputs!$B$22+((C1479=TRUE)*(F1479-Calc!F22)),(Inputs!$B$23+((C1481=TRUE)*(F1481-Calc!F24))+(IF(ArtifactsInput!$M$15,CHOOSE(ArtifactsInput!$N$15+1,25,30,35,40,45,50)/100*(Inputs!$B$11-Inputs!$B$11),0))))/100+(Inputs!$B$23+((C1481=TRUE)*(F1481-Calc!F24))+(IF(ArtifactsInput!$M$15,CHOOSE(ArtifactsInput!$N$15+1,25,30,35,40,45,50)/100*(Inputs!$B$11-Inputs!$B$11),0)))/100)/2</f>
        <v/>
      </c>
      <c r="M1465">
        <f>L1465*(1+(Inputs!$B$10+0+B1491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5">
        <f>L1465*(1-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1465*(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5">
        <f>(1-Summary!$B$11)*T1465+Summary!$B$11*V1465</f>
        <v/>
      </c>
      <c r="P1465">
        <f>IF(B1496=0,0,O1465/B1496)</f>
        <v/>
      </c>
      <c r="Q1465">
        <f>IFERROR(1/(IF(Inputs!$B$38="pvp",15,MAX(0.1,Skills!D8-IF(Skills!E8=TRUE,Inputs!$B$32,0)))*(1-IF(AND(ArtifactsInput!$M$27,Inputs!$B$4="Chapter Hunt"),CHOOSE(ArtifactsInput!$N$27+1,20,24,28,32,36,40),0)/100)),0)</f>
        <v/>
      </c>
      <c r="R1465">
        <f>IF(AND(Inputs!$B$38&lt;&gt;"pvp",Inputs!$B$43&gt;0),IF(MAX(0,Inputs!$B$43-B1493)&lt;=0,0,(INT(MAX(0,Inputs!$B$43-B1493)/(IF(Inputs!$B$38="pvp",15,MAX(0.1,Skills!D8-IF(Skills!E8=TRUE,Inputs!$B$32,0)))*(1-IF(AND(ArtifactsInput!$M$27,Inputs!$B$4="Chapter Hunt"),CHOOSE(ArtifactsInput!$N$27+1,20,24,28,32,36,40),0)/100)))+1)),0)</f>
        <v/>
      </c>
      <c r="S1465">
        <f>IFERROR(O1465/N1465,0)</f>
        <v/>
      </c>
      <c r="T1465">
        <f>IF(C1465,(H1465*N1465*IF(AND(Inputs!$B$38&lt;&gt;"pvp",Inputs!$B$43&gt;0),((Skills!G8*((R1465-1)*IF(Skills!H8&gt;0,Skills!I8/Skills!H8,1)+IF(Skills!H8&gt;0,MIN(Skills!I8,MAX(0,MAX(0,Inputs!$B$43-B1493)-((R1465-1)*(IF(Inputs!$B$38="pvp",15,MAX(0.1,Skills!D8-IF(Skills!E8=TRUE,Inputs!$B$32,0)))*(1-IF(AND(ArtifactsInput!$M$27,Inputs!$B$4="Chapter Hunt"),CHOOSE(ArtifactsInput!$N$27+1,20,24,28,32,36,40),0)/100)))))/Skills!H8,1)))/Inputs!$B$43),G1465*Q1465)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1465*(1-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1465*(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1465*(1-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1465*(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5">
        <f>IF(C1465,(H1465*N1465*IF(AND(Inputs!$B$38&lt;&gt;"pvp",Inputs!$B$43&gt;0),((Skills!G8*((R1465-1)*IF(Skills!H8&gt;0,Skills!I8/Skills!H8,1)+IF(Skills!H8&gt;0,MIN(Skills!I8,MAX(0,MAX(0,Inputs!$B$43-B1493)-((R1465-1)*(IF(Inputs!$B$38="pvp",15,MAX(0.1,Skills!D8-IF(Skills!E8=TRUE,Inputs!$B$32,0)))*(1-IF(AND(ArtifactsInput!$M$27,Inputs!$B$4="Chapter Hunt"),CHOOSE(ArtifactsInput!$N$27+1,20,24,28,32,36,40),0)/100)))))/Skills!H8,1)))/Inputs!$B$43),G1465*Q1465)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6">
      <c r="A1466">
        <f>Skills!A9</f>
        <v/>
      </c>
      <c r="B1466">
        <f>Skills!B9</f>
        <v/>
      </c>
      <c r="C1466">
        <f>Inputs!$B$3&gt;=69</f>
        <v/>
      </c>
      <c r="D1466">
        <f>IF(Skills!C9=1,60+Inputs!$B$25+Inputs!$B$29,IF(Skills!C9=2,90+Inputs!$B$26+Inputs!$B$29,IF(Skills!C9=3,120+Inputs!$B$27+Inputs!$B$29,MAX(0,(Inputs!$B$3-100)*3)+Inputs!$B$28+Inputs!$B$29)))</f>
        <v/>
      </c>
      <c r="E1466">
        <f>INDEX(FactorTable!$B$2:$Y$301, MATCH(ROUND(MIN(300,MAX(1,D1466)),0), FactorTable!$A$2:$A$301,0), Skills!M9+1)</f>
        <v/>
      </c>
      <c r="F1466">
        <f>IF(Skills!N9=TRUE,(Skills!L9/10)*(E1466/1000),Skills!L9/10)+Skills!O9</f>
        <v/>
      </c>
      <c r="G1466">
        <f>Skills!G9*IF(Skills!H9&gt;0,Skills!I9/Skills!H9,1)</f>
        <v/>
      </c>
      <c r="H1466">
        <f>1-(1-Skills!J9/100)^Skills!K9</f>
        <v/>
      </c>
      <c r="I1466" t="inlineStr">
        <is>
          <t>1</t>
        </is>
      </c>
      <c r="J1466">
        <f>((Inputs!$B$6*(1+Inputs!$B$7/100))+(((Inputs!$B$12*(1+Inputs!$B$13/100))-(Inputs!$B$12*(1+Inputs!$B$13/100)))+0.25*(Inputs!$B$14-Inputs!$B$14))*(1+Inputs!$B$7/100))*(F1466/100)</f>
        <v/>
      </c>
      <c r="K1466">
        <f>J1466*(1+((Inputs!$B$12*(1+Inputs!$B$13/100))*0.01+Inputs!$B$14*0.0025)/100)*(1+Inputs!$B$15/100)*(1+Inputs!$B$16/100)*(5000/(6000+Inputs!$B$42*(1-(100*(1-(1-(Inputs!$B$19+0)/100)*(1-CHOOSE(ArtifactsInput!$N$40+1,5,6,7,8,9,10)/100)^(ArtifactsInput!$M$40-ArtifactsInput!$M$40)))/100)))*(1+(Inputs!$B$24+((C1482=TRUE)*(F1482-Calc!F25))+B1492)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1469=TRUE,F1469,0)/100)*(1+IF(Skills!A9="ENHANCED_RAGING_BLOW",IF(Inputs!$B$3&gt;=134,MAX(0,IF(Inputs!$B$3&gt;=110,7,5)-5)*50,0),0)/100)*(1+(IF(Skills!A9="RAGING_BLOW",Inputs!$B$17+((C1478=TRUE)*(F1478-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1480=TRUE)*(F1480-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1470=TRUE)*F1470*IF(Inputs!$B$3&gt;=110,7,5))+((C1472=TRUE)*F1472*IF(AND(Inputs!$B$38&lt;&gt;"pvp",Inputs!$B$43&gt;0),(((R1472-1)*(Skills!T15*(1+(Inputs!$B$34+(ArtifactsInput!$M$7-ArtifactsInput!$M$7)*CHOOSE(ArtifactsInput!$N$7+1,6,7.2,8.4,9.6,10.8,12))/100))+MIN((Skills!T15*(1+(Inputs!$B$34+(ArtifactsInput!$M$7-ArtifactsInput!$M$7)*CHOOSE(ArtifactsInput!$N$7+1,6,7.2,8.4,9.6,10.8,12))/100)),MAX(0,Inputs!$B$43-((R1472-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Hunt"),CHOOSE(ArtifactsInput!$N$35+1,15,18,21,24,27,30)*(1-EXP(-(0.2*B1488)*5)),0)+IF(AND(ArtifactsInput!$M$22,Inputs!$B$4&lt;&gt;"Chapter Hunt"),CHOOSE(ArtifactsInput!$N$22+1,10,12,14,16,18,20)*((0*(((0.15*B1488*5))^0/1)+1*(((0.15*B1488*5))^1/1)+2*(((0.15*B1488*5))^2/2)+3*(((0.15*B1488*5))^3/6)+4*(((0.15*B1488*5))^4/24)+5*(((0.15*B1488*5))^5/120))/((((0.15*B1488*5))^0/1)+(((0.15*B1488*5))^1/1)+(((0.15*B1488*5))^2/2)+(((0.15*B1488*5))^3/6)+(((0.15*B1488*5))^4/24)+(((0.15*B1488*5))^5/120))),0)))/100)*I1466)</f>
        <v/>
      </c>
      <c r="L1466">
        <f>K1466*(MIN(Inputs!$B$22+((C1479=TRUE)*(F1479-Calc!F22)),(Inputs!$B$23+((C1481=TRUE)*(F1481-Calc!F24))+(IF(ArtifactsInput!$M$15,CHOOSE(ArtifactsInput!$N$15+1,25,30,35,40,45,50)/100*(Inputs!$B$11-Inputs!$B$11),0))))/100+(Inputs!$B$23+((C1481=TRUE)*(F1481-Calc!F24))+(IF(ArtifactsInput!$M$15,CHOOSE(ArtifactsInput!$N$15+1,25,30,35,40,45,50)/100*(Inputs!$B$11-Inputs!$B$11),0)))/100)/2</f>
        <v/>
      </c>
      <c r="M1466">
        <f>L1466*(1+(Inputs!$B$10+0+B1491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6">
        <f>L1466*(1-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1466*(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6">
        <f>(1-Summary!$B$11)*T1466+Summary!$B$11*V1466</f>
        <v/>
      </c>
      <c r="P1466">
        <f>IF(B1496=0,0,O1466/B1496)</f>
        <v/>
      </c>
      <c r="Q1466">
        <f>IFERROR(1/(IF(Inputs!$B$38="pvp",15,MAX(0.1,Skills!D9-IF(Skills!E9=TRUE,Inputs!$B$32,0)))*(1-IF(AND(ArtifactsInput!$M$27,Inputs!$B$4="Chapter Hunt"),CHOOSE(ArtifactsInput!$N$27+1,20,24,28,32,36,40),0)/100)),0)</f>
        <v/>
      </c>
      <c r="R1466">
        <f>IF(AND(Inputs!$B$38&lt;&gt;"pvp",Inputs!$B$43&gt;0),IF(MAX(0,Inputs!$B$43-B1493)&lt;=0,0,(INT(MAX(0,Inputs!$B$43-B1493)/(IF(Inputs!$B$38="pvp",15,MAX(0.1,Skills!D9-IF(Skills!E9=TRUE,Inputs!$B$32,0)))*(1-IF(AND(ArtifactsInput!$M$27,Inputs!$B$4="Chapter Hunt"),CHOOSE(ArtifactsInput!$N$27+1,20,24,28,32,36,40),0)/100)))+1)),0)</f>
        <v/>
      </c>
      <c r="S1466">
        <f>IFERROR(O1466/N1466,0)</f>
        <v/>
      </c>
      <c r="T1466">
        <f>IF(C1466,(H1466*N1466*IF(AND(Inputs!$B$38&lt;&gt;"pvp",Inputs!$B$43&gt;0),((Skills!G9*((R1466-1)*IF(Skills!H9&gt;0,Skills!I9/Skills!H9,1)+IF(Skills!H9&gt;0,MIN(Skills!I9,MAX(0,MAX(0,Inputs!$B$43-B1493)-((R1466-1)*(IF(Inputs!$B$38="pvp",15,MAX(0.1,Skills!D9-IF(Skills!E9=TRUE,Inputs!$B$32,0)))*(1-IF(AND(ArtifactsInput!$M$27,Inputs!$B$4="Chapter Hunt"),CHOOSE(ArtifactsInput!$N$27+1,20,24,28,32,36,40),0)/100)))))/Skills!H9,1)))/Inputs!$B$43),G1466*Q1466)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1466*(1-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1466*(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1466*(1-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1466*(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6">
        <f>IF(C1466,(H1466*N1466*IF(AND(Inputs!$B$38&lt;&gt;"pvp",Inputs!$B$43&gt;0),((Skills!G9*((R1466-1)*IF(Skills!H9&gt;0,Skills!I9/Skills!H9,1)+IF(Skills!H9&gt;0,MIN(Skills!I9,MAX(0,MAX(0,Inputs!$B$43-B1493)-((R1466-1)*(IF(Inputs!$B$38="pvp",15,MAX(0.1,Skills!D9-IF(Skills!E9=TRUE,Inputs!$B$32,0)))*(1-IF(AND(ArtifactsInput!$M$27,Inputs!$B$4="Chapter Hunt"),CHOOSE(ArtifactsInput!$N$27+1,20,24,28,32,36,40),0)/100)))))/Skills!H9,1)))/Inputs!$B$43),G1466*Q1466)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7">
      <c r="A1467">
        <f>Skills!A10</f>
        <v/>
      </c>
      <c r="B1467">
        <f>Skills!B10</f>
        <v/>
      </c>
      <c r="C1467">
        <f>Inputs!$B$3&gt;=63</f>
        <v/>
      </c>
      <c r="D1467">
        <f>IF(Skills!C10=1,60+Inputs!$B$25+Inputs!$B$29,IF(Skills!C10=2,90+Inputs!$B$26+Inputs!$B$29,IF(Skills!C10=3,120+Inputs!$B$27+Inputs!$B$29,MAX(0,(Inputs!$B$3-100)*3)+Inputs!$B$28+Inputs!$B$29)))</f>
        <v/>
      </c>
      <c r="E1467">
        <f>INDEX(FactorTable!$B$2:$Y$301, MATCH(ROUND(MIN(300,MAX(1,D1467)),0), FactorTable!$A$2:$A$301,0), Skills!M10+1)</f>
        <v/>
      </c>
      <c r="F1467">
        <f>IF(Skills!N10=TRUE,(Skills!L10/10)*(E1467/1000),Skills!L10/10)+Skills!O10</f>
        <v/>
      </c>
      <c r="G1467">
        <f>Skills!G10*IF(Skills!H10&gt;0,Skills!I10/Skills!H10,1)</f>
        <v/>
      </c>
      <c r="H1467">
        <f>1-(1-Skills!J10/100)^Skills!K10</f>
        <v/>
      </c>
      <c r="I1467" t="inlineStr">
        <is>
          <t>1</t>
        </is>
      </c>
      <c r="J1467">
        <f>((Inputs!$B$6*(1+Inputs!$B$7/100))+(((Inputs!$B$12*(1+Inputs!$B$13/100))-(Inputs!$B$12*(1+Inputs!$B$13/100)))+0.25*(Inputs!$B$14-Inputs!$B$14))*(1+Inputs!$B$7/100))*(F1467/100)</f>
        <v/>
      </c>
      <c r="K1467">
        <f>J1467*(1+((Inputs!$B$12*(1+Inputs!$B$13/100))*0.01+Inputs!$B$14*0.0025)/100)*(1+Inputs!$B$15/100)*(1+Inputs!$B$16/100)*(5000/(6000+Inputs!$B$42*(1-(100*(1-(1-(Inputs!$B$19+0)/100)*(1-CHOOSE(ArtifactsInput!$N$40+1,5,6,7,8,9,10)/100)^(ArtifactsInput!$M$40-ArtifactsInput!$M$40)))/100)))*(1+(Inputs!$B$24+((C1482=TRUE)*(F1482-Calc!F25))+B1492)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1469=TRUE,F1469,0)/100)*(1+IF(Skills!A10="ENHANCED_RAGING_BLOW",IF(Inputs!$B$3&gt;=134,MAX(0,IF(Inputs!$B$3&gt;=110,7,5)-5)*50,0),0)/100)*(1+(IF(Skills!A10="RAGING_BLOW",Inputs!$B$17+((C1478=TRUE)*(F1478-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1480=TRUE)*(F1480-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1470=TRUE)*F1470*IF(Inputs!$B$3&gt;=110,7,5))+((C1472=TRUE)*F1472*IF(AND(Inputs!$B$38&lt;&gt;"pvp",Inputs!$B$43&gt;0),(((R1472-1)*(Skills!T15*(1+(Inputs!$B$34+(ArtifactsInput!$M$7-ArtifactsInput!$M$7)*CHOOSE(ArtifactsInput!$N$7+1,6,7.2,8.4,9.6,10.8,12))/100))+MIN((Skills!T15*(1+(Inputs!$B$34+(ArtifactsInput!$M$7-ArtifactsInput!$M$7)*CHOOSE(ArtifactsInput!$N$7+1,6,7.2,8.4,9.6,10.8,12))/100)),MAX(0,Inputs!$B$43-((R1472-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Hunt"),CHOOSE(ArtifactsInput!$N$35+1,15,18,21,24,27,30)*(1-EXP(-(0.2*B1488)*5)),0)+IF(AND(ArtifactsInput!$M$22,Inputs!$B$4&lt;&gt;"Chapter Hunt"),CHOOSE(ArtifactsInput!$N$22+1,10,12,14,16,18,20)*((0*(((0.15*B1488*5))^0/1)+1*(((0.15*B1488*5))^1/1)+2*(((0.15*B1488*5))^2/2)+3*(((0.15*B1488*5))^3/6)+4*(((0.15*B1488*5))^4/24)+5*(((0.15*B1488*5))^5/120))/((((0.15*B1488*5))^0/1)+(((0.15*B1488*5))^1/1)+(((0.15*B1488*5))^2/2)+(((0.15*B1488*5))^3/6)+(((0.15*B1488*5))^4/24)+(((0.15*B1488*5))^5/120))),0)))/100)*I1467)</f>
        <v/>
      </c>
      <c r="L1467">
        <f>K1467*(MIN(Inputs!$B$22+((C1479=TRUE)*(F1479-Calc!F22)),(Inputs!$B$23+((C1481=TRUE)*(F1481-Calc!F24))+(IF(ArtifactsInput!$M$15,CHOOSE(ArtifactsInput!$N$15+1,25,30,35,40,45,50)/100*(Inputs!$B$11-Inputs!$B$11),0))))/100+(Inputs!$B$23+((C1481=TRUE)*(F1481-Calc!F24))+(IF(ArtifactsInput!$M$15,CHOOSE(ArtifactsInput!$N$15+1,25,30,35,40,45,50)/100*(Inputs!$B$11-Inputs!$B$11),0)))/100)/2</f>
        <v/>
      </c>
      <c r="M1467">
        <f>L1467*(1+(Inputs!$B$10+0+B1491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7">
        <f>L1467*(1-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1467*(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7">
        <f>(1-Summary!$B$11)*T1467+Summary!$B$11*V1467</f>
        <v/>
      </c>
      <c r="P1467">
        <f>IF(B1496=0,0,O1467/B1496)</f>
        <v/>
      </c>
      <c r="Q1467">
        <f>IFERROR(1/(IF(Inputs!$B$38="pvp",15,MAX(0.1,Skills!D10-IF(Skills!E10=TRUE,Inputs!$B$32,0)))*(1-IF(AND(ArtifactsInput!$M$27,Inputs!$B$4="Chapter Hunt"),CHOOSE(ArtifactsInput!$N$27+1,20,24,28,32,36,40),0)/100)),0)</f>
        <v/>
      </c>
      <c r="R1467">
        <f>IF(AND(Inputs!$B$38&lt;&gt;"pvp",Inputs!$B$43&gt;0),IF(MAX(0,Inputs!$B$43-B1493)&lt;=0,0,(INT(MAX(0,Inputs!$B$43-B1493)/(IF(Inputs!$B$38="pvp",15,MAX(0.1,Skills!D10-IF(Skills!E10=TRUE,Inputs!$B$32,0)))*(1-IF(AND(ArtifactsInput!$M$27,Inputs!$B$4="Chapter Hunt"),CHOOSE(ArtifactsInput!$N$27+1,20,24,28,32,36,40),0)/100)))+1)),0)</f>
        <v/>
      </c>
      <c r="S1467">
        <f>IFERROR(O1467/N1467,0)</f>
        <v/>
      </c>
      <c r="T1467">
        <f>IF(C1467,(H1467*N1467*IF(AND(Inputs!$B$38&lt;&gt;"pvp",Inputs!$B$43&gt;0),((Skills!G10*((R1467-1)*IF(Skills!H10&gt;0,Skills!I10/Skills!H10,1)+IF(Skills!H10&gt;0,MIN(Skills!I10,MAX(0,MAX(0,Inputs!$B$43-B1493)-((R1467-1)*(IF(Inputs!$B$38="pvp",15,MAX(0.1,Skills!D10-IF(Skills!E10=TRUE,Inputs!$B$32,0)))*(1-IF(AND(ArtifactsInput!$M$27,Inputs!$B$4="Chapter Hunt"),CHOOSE(ArtifactsInput!$N$27+1,20,24,28,32,36,40),0)/100)))))/Skills!H10,1)))/Inputs!$B$43),G1467*Q1467)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1467*(1-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1467*(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1467*(1-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1467*(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7">
        <f>IF(C1467,(H1467*N1467*IF(AND(Inputs!$B$38&lt;&gt;"pvp",Inputs!$B$43&gt;0),((Skills!G10*((R1467-1)*IF(Skills!H10&gt;0,Skills!I10/Skills!H10,1)+IF(Skills!H10&gt;0,MIN(Skills!I10,MAX(0,MAX(0,Inputs!$B$43-B1493)-((R1467-1)*(IF(Inputs!$B$38="pvp",15,MAX(0.1,Skills!D10-IF(Skills!E10=TRUE,Inputs!$B$32,0)))*(1-IF(AND(ArtifactsInput!$M$27,Inputs!$B$4="Chapter Hunt"),CHOOSE(ArtifactsInput!$N$27+1,20,24,28,32,36,40),0)/100)))))/Skills!H10,1)))/Inputs!$B$43),G1467*Q1467)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8">
      <c r="A1468">
        <f>Skills!A11</f>
        <v/>
      </c>
      <c r="B1468">
        <f>Skills!B11</f>
        <v/>
      </c>
      <c r="C1468">
        <f>Inputs!$B$3&gt;=35</f>
        <v/>
      </c>
      <c r="D1468">
        <f>IF(Skills!C11=1,60+Inputs!$B$25+Inputs!$B$29,IF(Skills!C11=2,90+Inputs!$B$26+Inputs!$B$29,IF(Skills!C11=3,120+Inputs!$B$27+Inputs!$B$29,MAX(0,(Inputs!$B$3-100)*3)+Inputs!$B$28+Inputs!$B$29)))</f>
        <v/>
      </c>
      <c r="E1468">
        <f>INDEX(FactorTable!$B$2:$Y$301, MATCH(ROUND(MIN(300,MAX(1,D1468)),0), FactorTable!$A$2:$A$301,0), Skills!M11+1)</f>
        <v/>
      </c>
      <c r="F1468">
        <f>IF(Skills!N11=TRUE,(Skills!L11/10)*(E1468/1000),Skills!L11/10)+Skills!O11</f>
        <v/>
      </c>
      <c r="G1468">
        <f>Skills!G11*IF(Skills!H11&gt;0,Skills!I11/Skills!H11,1)</f>
        <v/>
      </c>
      <c r="H1468">
        <f>1-(1-Skills!J11/100)^Skills!K11</f>
        <v/>
      </c>
      <c r="I1468" t="inlineStr">
        <is>
          <t>1</t>
        </is>
      </c>
      <c r="J1468">
        <f>((Inputs!$B$6*(1+Inputs!$B$7/100))+(((Inputs!$B$12*(1+Inputs!$B$13/100))-(Inputs!$B$12*(1+Inputs!$B$13/100)))+0.25*(Inputs!$B$14-Inputs!$B$14))*(1+Inputs!$B$7/100))*(F1468/100)</f>
        <v/>
      </c>
      <c r="K1468">
        <f>J1468*(1+((Inputs!$B$12*(1+Inputs!$B$13/100))*0.01+Inputs!$B$14*0.0025)/100)*(1+Inputs!$B$15/100)*(1+Inputs!$B$16/100)*(5000/(6000+Inputs!$B$42*(1-(100*(1-(1-(Inputs!$B$19+0)/100)*(1-CHOOSE(ArtifactsInput!$N$40+1,5,6,7,8,9,10)/100)^(ArtifactsInput!$M$40-ArtifactsInput!$M$40)))/100)))*(1+(Inputs!$B$24+((C1482=TRUE)*(F1482-Calc!F25))+B1492)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1469=TRUE,F1469,0)/100)*(1+IF(Skills!A11="ENHANCED_RAGING_BLOW",IF(Inputs!$B$3&gt;=134,MAX(0,IF(Inputs!$B$3&gt;=110,7,5)-5)*50,0),0)/100)*(1+(IF(Skills!A11="RAGING_BLOW",Inputs!$B$17+((C1478=TRUE)*(F1478-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1480=TRUE)*(F1480-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1470=TRUE)*F1470*IF(Inputs!$B$3&gt;=110,7,5))+((C1472=TRUE)*F1472*IF(AND(Inputs!$B$38&lt;&gt;"pvp",Inputs!$B$43&gt;0),(((R1472-1)*(Skills!T15*(1+(Inputs!$B$34+(ArtifactsInput!$M$7-ArtifactsInput!$M$7)*CHOOSE(ArtifactsInput!$N$7+1,6,7.2,8.4,9.6,10.8,12))/100))+MIN((Skills!T15*(1+(Inputs!$B$34+(ArtifactsInput!$M$7-ArtifactsInput!$M$7)*CHOOSE(ArtifactsInput!$N$7+1,6,7.2,8.4,9.6,10.8,12))/100)),MAX(0,Inputs!$B$43-((R1472-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Hunt"),CHOOSE(ArtifactsInput!$N$35+1,15,18,21,24,27,30)*(1-EXP(-(0.2*B1488)*5)),0)+IF(AND(ArtifactsInput!$M$22,Inputs!$B$4&lt;&gt;"Chapter Hunt"),CHOOSE(ArtifactsInput!$N$22+1,10,12,14,16,18,20)*((0*(((0.15*B1488*5))^0/1)+1*(((0.15*B1488*5))^1/1)+2*(((0.15*B1488*5))^2/2)+3*(((0.15*B1488*5))^3/6)+4*(((0.15*B1488*5))^4/24)+5*(((0.15*B1488*5))^5/120))/((((0.15*B1488*5))^0/1)+(((0.15*B1488*5))^1/1)+(((0.15*B1488*5))^2/2)+(((0.15*B1488*5))^3/6)+(((0.15*B1488*5))^4/24)+(((0.15*B1488*5))^5/120))),0)))/100)*I1468)</f>
        <v/>
      </c>
      <c r="L1468">
        <f>K1468*(MIN(Inputs!$B$22+((C1479=TRUE)*(F1479-Calc!F22)),(Inputs!$B$23+((C1481=TRUE)*(F1481-Calc!F24))+(IF(ArtifactsInput!$M$15,CHOOSE(ArtifactsInput!$N$15+1,25,30,35,40,45,50)/100*(Inputs!$B$11-Inputs!$B$11),0))))/100+(Inputs!$B$23+((C1481=TRUE)*(F1481-Calc!F24))+(IF(ArtifactsInput!$M$15,CHOOSE(ArtifactsInput!$N$15+1,25,30,35,40,45,50)/100*(Inputs!$B$11-Inputs!$B$11),0)))/100)/2</f>
        <v/>
      </c>
      <c r="M1468">
        <f>L1468*(1+(Inputs!$B$10+0+B1491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8">
        <f>L1468*(1-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1468*(MIN((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8">
        <f>(1-Summary!$B$11)*T1468+Summary!$B$11*V1468</f>
        <v/>
      </c>
      <c r="P1468">
        <f>IF(B1496=0,0,O1468/B1496)</f>
        <v/>
      </c>
      <c r="Q1468">
        <f>IFERROR(1/(IF(Inputs!$B$38="pvp",15,MAX(0.1,Skills!D11-IF(Skills!E11=TRUE,Inputs!$B$32,0)))*(1-IF(AND(ArtifactsInput!$M$27,Inputs!$B$4="Chapter Hunt"),CHOOSE(ArtifactsInput!$N$27+1,20,24,28,32,36,40),0)/100)),0)</f>
        <v/>
      </c>
      <c r="R1468">
        <f>IF(AND(Inputs!$B$38&lt;&gt;"pvp",Inputs!$B$43&gt;0),IF(MAX(0,Inputs!$B$43-B1493)&lt;=0,0,(INT(MAX(0,Inputs!$B$43-B1493)/(IF(Inputs!$B$38="pvp",15,MAX(0.1,Skills!D11-IF(Skills!E11=TRUE,Inputs!$B$32,0)))*(1-IF(AND(ArtifactsInput!$M$27,Inputs!$B$4="Chapter Hunt"),CHOOSE(ArtifactsInput!$N$27+1,20,24,28,32,36,40),0)/100)))+1)),0)</f>
        <v/>
      </c>
      <c r="S1468">
        <f>IFERROR(O1468/N1468,0)</f>
        <v/>
      </c>
      <c r="T1468">
        <f>IF(C1468,(H1468*N1468*IF(AND(Inputs!$B$38&lt;&gt;"pvp",Inputs!$B$43&gt;0),((Skills!G11*((R1468-1)*IF(Skills!H11&gt;0,Skills!I11/Skills!H11,1)+IF(Skills!H11&gt;0,MIN(Skills!I11,MAX(0,MAX(0,Inputs!$B$43-B1493)-((R1468-1)*(IF(Inputs!$B$38="pvp",15,MAX(0.1,Skills!D11-IF(Skills!E11=TRUE,Inputs!$B$32,0)))*(1-IF(AND(ArtifactsInput!$M$27,Inputs!$B$4="Chapter Hunt"),CHOOSE(ArtifactsInput!$N$27+1,20,24,28,32,36,40),0)/100)))))/Skills!H11,1)))/Inputs!$B$43),G1468*Q1468)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1468*(1-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1468*(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1468*(1-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1468*(MIN(100,(Inputs!$B$9+((C1483=TRUE)*(F1483-Calc!F26))+B1486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68">
        <f>IF(C1468,(H1468*N1468*IF(AND(Inputs!$B$38&lt;&gt;"pvp",Inputs!$B$43&gt;0),((Skills!G11*((R1468-1)*IF(Skills!H11&gt;0,Skills!I11/Skills!H11,1)+IF(Skills!H11&gt;0,MIN(Skills!I11,MAX(0,MAX(0,Inputs!$B$43-B1493)-((R1468-1)*(IF(Inputs!$B$38="pvp",15,MAX(0.1,Skills!D11-IF(Skills!E11=TRUE,Inputs!$B$32,0)))*(1-IF(AND(ArtifactsInput!$M$27,Inputs!$B$4="Chapter Hunt"),CHOOSE(ArtifactsInput!$N$27+1,20,24,28,32,36,40),0)/100)))))/Skills!H11,1)))/Inputs!$B$43),G1468*Q1468)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9">
      <c r="A1469">
        <f>Skills!A12</f>
        <v/>
      </c>
      <c r="B1469">
        <f>Skills!B12</f>
        <v/>
      </c>
      <c r="C1469">
        <f>Inputs!$B$3&gt;=100</f>
        <v/>
      </c>
      <c r="D1469">
        <f>IF(Skills!C12=1,60+Inputs!$B$25+Inputs!$B$29,IF(Skills!C12=2,90+Inputs!$B$26+Inputs!$B$29,IF(Skills!C12=3,120+Inputs!$B$27+Inputs!$B$29,MAX(0,(Inputs!$B$3-100)*3)+Inputs!$B$28+Inputs!$B$29)))</f>
        <v/>
      </c>
      <c r="E1469">
        <f>INDEX(FactorTable!$B$2:$Y$301, MATCH(ROUND(MIN(300,MAX(1,D1469)),0), FactorTable!$A$2:$A$301,0), Skills!M12+1)</f>
        <v/>
      </c>
      <c r="F1469">
        <f>IF(Skills!N12=TRUE,(Skills!L12/10)*(E1469/1000),Skills!L12/10)+Skills!O12</f>
        <v/>
      </c>
      <c r="G1469" t="inlineStr"/>
      <c r="H1469" t="inlineStr"/>
      <c r="I1469" t="inlineStr">
        <is>
          <t>1</t>
        </is>
      </c>
      <c r="J1469" t="inlineStr"/>
      <c r="K1469" t="inlineStr"/>
      <c r="L1469" t="inlineStr"/>
      <c r="M1469" t="inlineStr"/>
      <c r="N1469" t="inlineStr"/>
      <c r="O1469" t="inlineStr"/>
      <c r="P1469" t="inlineStr"/>
      <c r="Q1469" t="inlineStr"/>
      <c r="R1469" t="inlineStr"/>
      <c r="S1469" t="inlineStr"/>
    </row>
    <row r="1470">
      <c r="A1470">
        <f>Skills!A13</f>
        <v/>
      </c>
      <c r="B1470">
        <f>Skills!B13</f>
        <v/>
      </c>
      <c r="C1470">
        <f>Inputs!$B$3&gt;=45</f>
        <v/>
      </c>
      <c r="D1470">
        <f>IF(Skills!C13=1,60+Inputs!$B$25+Inputs!$B$29,IF(Skills!C13=2,90+Inputs!$B$26+Inputs!$B$29,IF(Skills!C13=3,120+Inputs!$B$27+Inputs!$B$29,MAX(0,(Inputs!$B$3-100)*3)+Inputs!$B$28+Inputs!$B$29)))</f>
        <v/>
      </c>
      <c r="E1470">
        <f>INDEX(FactorTable!$B$2:$Y$301, MATCH(ROUND(MIN(300,MAX(1,D1470)),0), FactorTable!$A$2:$A$301,0), Skills!M13+1)</f>
        <v/>
      </c>
      <c r="F1470">
        <f>IF(Skills!N13=TRUE,(Skills!L13/10)*(E1470/1000),Skills!L13/10)+Skills!O13</f>
        <v/>
      </c>
      <c r="G1470">
        <f>Skills!G13*IF(Skills!H13&gt;0,Skills!I13/Skills!H13,1)</f>
        <v/>
      </c>
      <c r="H1470">
        <f>1-(1-Skills!J13/100)^Skills!K13</f>
        <v/>
      </c>
      <c r="I1470" t="inlineStr">
        <is>
          <t>1</t>
        </is>
      </c>
      <c r="J1470" t="inlineStr"/>
      <c r="K1470" t="inlineStr"/>
      <c r="L1470" t="inlineStr"/>
      <c r="M1470" t="inlineStr"/>
      <c r="N1470" t="inlineStr"/>
      <c r="O1470">
        <f>(1-Summary!$B$11)*T1470+Summary!$B$11*V1470</f>
        <v/>
      </c>
      <c r="P1470">
        <f>IF(B1496=0,0,O1470/B1496)</f>
        <v/>
      </c>
      <c r="Q1470" t="n">
        <v>0</v>
      </c>
      <c r="R1470" t="n">
        <v>0</v>
      </c>
      <c r="S1470">
        <f>IFERROR(O1470/N1470,0)</f>
        <v/>
      </c>
      <c r="T1470" t="n">
        <v>0</v>
      </c>
      <c r="V1470" t="n">
        <v>0</v>
      </c>
    </row>
    <row r="1471">
      <c r="A1471">
        <f>Skills!A14</f>
        <v/>
      </c>
      <c r="B1471">
        <f>Skills!B14</f>
        <v/>
      </c>
      <c r="C1471">
        <f>Inputs!$B$3&gt;=75</f>
        <v/>
      </c>
      <c r="D1471">
        <f>IF(Skills!C14=1,60+Inputs!$B$25+Inputs!$B$29,IF(Skills!C14=2,90+Inputs!$B$26+Inputs!$B$29,IF(Skills!C14=3,120+Inputs!$B$27+Inputs!$B$29,MAX(0,(Inputs!$B$3-100)*3)+Inputs!$B$28+Inputs!$B$29)))</f>
        <v/>
      </c>
      <c r="E1471">
        <f>INDEX(FactorTable!$B$2:$Y$301, MATCH(ROUND(MIN(300,MAX(1,D1471)),0), FactorTable!$A$2:$A$301,0), Skills!M14+1)</f>
        <v/>
      </c>
      <c r="F1471">
        <f>IF(Skills!N14=TRUE,(Skills!L14/10)*(E1471/1000),Skills!L14/10)+Skills!O14</f>
        <v/>
      </c>
      <c r="G1471">
        <f>Skills!G14*IF(Skills!H14&gt;0,Skills!I14/Skills!H14,1)</f>
        <v/>
      </c>
      <c r="H1471">
        <f>1-(1-Skills!J14/100)^Skills!K14</f>
        <v/>
      </c>
      <c r="I1471" t="inlineStr">
        <is>
          <t>1</t>
        </is>
      </c>
      <c r="J1471" t="inlineStr"/>
      <c r="K1471" t="inlineStr"/>
      <c r="L1471" t="inlineStr"/>
      <c r="M1471" t="inlineStr"/>
      <c r="N1471" t="inlineStr"/>
      <c r="O1471">
        <f>(1-Summary!$B$11)*T1471+Summary!$B$11*V1471</f>
        <v/>
      </c>
      <c r="P1471">
        <f>IF(B1496=0,0,O1471/B1496)</f>
        <v/>
      </c>
      <c r="Q1471" t="n">
        <v>0</v>
      </c>
      <c r="R1471" t="n">
        <v>0</v>
      </c>
      <c r="S1471">
        <f>IFERROR(O1471/N1471,0)</f>
        <v/>
      </c>
      <c r="T1471" t="n">
        <v>0</v>
      </c>
      <c r="V1471" t="n">
        <v>0</v>
      </c>
    </row>
    <row r="1472">
      <c r="A1472">
        <f>Skills!A15</f>
        <v/>
      </c>
      <c r="B1472">
        <f>Skills!B15</f>
        <v/>
      </c>
      <c r="C1472">
        <f>Inputs!$B$3&gt;=40</f>
        <v/>
      </c>
      <c r="D1472">
        <f>IF(Skills!C15=1,60+Inputs!$B$25+Inputs!$B$29,IF(Skills!C15=2,90+Inputs!$B$26+Inputs!$B$29,IF(Skills!C15=3,120+Inputs!$B$27+Inputs!$B$29,MAX(0,(Inputs!$B$3-100)*3)+Inputs!$B$28+Inputs!$B$29)))</f>
        <v/>
      </c>
      <c r="E1472">
        <f>INDEX(FactorTable!$B$2:$Y$301, MATCH(ROUND(MIN(300,MAX(1,D1472)),0), FactorTable!$A$2:$A$301,0), Skills!M15+1)</f>
        <v/>
      </c>
      <c r="F1472">
        <f>IF(Skills!N15=TRUE,(Skills!L15/10)*(E1472/1000),Skills!L15/10)+Skills!O15</f>
        <v/>
      </c>
      <c r="G1472">
        <f>Skills!G15*IF(Skills!H15&gt;0,Skills!I15/Skills!H15,1)</f>
        <v/>
      </c>
      <c r="H1472">
        <f>1-(1-Skills!J15/100)^Skills!K15</f>
        <v/>
      </c>
      <c r="I1472" t="inlineStr">
        <is>
          <t>1</t>
        </is>
      </c>
      <c r="J1472" t="inlineStr"/>
      <c r="K1472" t="inlineStr"/>
      <c r="L1472" t="inlineStr"/>
      <c r="M1472" t="inlineStr"/>
      <c r="N1472" t="inlineStr"/>
      <c r="O1472">
        <f>(1-Summary!$B$11)*T1472+Summary!$B$11*V1472</f>
        <v/>
      </c>
      <c r="P1472">
        <f>IF(B1496=0,0,O1472/B1496)</f>
        <v/>
      </c>
      <c r="Q1472">
        <f>IFERROR(1/(IF(Inputs!$B$38="pvp",15,MAX(0.1,Skills!D15-IF(Skills!E15=TRUE,Inputs!$B$32,0)))*(1-IF(AND(ArtifactsInput!$M$27,Inputs!$B$4="Chapter Hunt"),CHOOSE(ArtifactsInput!$N$27+1,20,24,28,32,36,40),0)/100)),0)</f>
        <v/>
      </c>
      <c r="R1472">
        <f>IF(AND(Inputs!$B$38&lt;&gt;"pvp",Inputs!$B$43&gt;0),IF(Inputs!$B$43&lt;=0,0,(INT(Inputs!$B$43/(IF(Inputs!$B$38="pvp",15,MAX(0.1,Skills!D15-IF(Skills!E15=TRUE,Inputs!$B$32,0)))*(1-IF(AND(ArtifactsInput!$M$27,Inputs!$B$4="Chapter Hunt"),CHOOSE(ArtifactsInput!$N$27+1,20,24,28,32,36,40),0)/100)))+1)),0)</f>
        <v/>
      </c>
      <c r="S1472">
        <f>IFERROR(O1472/N1472,0)</f>
        <v/>
      </c>
      <c r="T1472" t="n">
        <v>0</v>
      </c>
      <c r="V1472" t="n">
        <v>0</v>
      </c>
    </row>
    <row r="1473">
      <c r="A1473">
        <f>Skills!A16</f>
        <v/>
      </c>
      <c r="B1473">
        <f>Skills!B16</f>
        <v/>
      </c>
      <c r="C1473">
        <f>Inputs!$B$3&gt;=66</f>
        <v/>
      </c>
      <c r="D1473">
        <f>IF(Skills!C16=1,60+Inputs!$B$25+Inputs!$B$29,IF(Skills!C16=2,90+Inputs!$B$26+Inputs!$B$29,IF(Skills!C16=3,120+Inputs!$B$27+Inputs!$B$29,MAX(0,(Inputs!$B$3-100)*3)+Inputs!$B$28+Inputs!$B$29)))</f>
        <v/>
      </c>
      <c r="E1473">
        <f>INDEX(FactorTable!$B$2:$Y$301, MATCH(ROUND(MIN(300,MAX(1,D1473)),0), FactorTable!$A$2:$A$301,0), Skills!M16+1)</f>
        <v/>
      </c>
      <c r="F1473">
        <f>IF(Skills!N16=TRUE,(Skills!L16/10)*(E1473/1000),Skills!L16/10)+Skills!O16</f>
        <v/>
      </c>
      <c r="G1473">
        <f>Skills!G16*IF(Skills!H16&gt;0,Skills!I16/Skills!H16,1)</f>
        <v/>
      </c>
      <c r="H1473">
        <f>1-(1-Skills!J16/100)^Skills!K16</f>
        <v/>
      </c>
      <c r="I1473" t="inlineStr">
        <is>
          <t>1</t>
        </is>
      </c>
      <c r="J1473" t="inlineStr"/>
      <c r="K1473" t="inlineStr"/>
      <c r="L1473" t="inlineStr"/>
      <c r="M1473" t="inlineStr"/>
      <c r="N1473" t="inlineStr"/>
      <c r="O1473">
        <f>(1-Summary!$B$11)*T1473+Summary!$B$11*V1473</f>
        <v/>
      </c>
      <c r="P1473">
        <f>IF(B1496=0,0,O1473/B1496)</f>
        <v/>
      </c>
      <c r="Q1473">
        <f>IFERROR(1/(IF(Inputs!$B$38="pvp",15,MAX(0.1,Skills!D16-IF(Skills!E16=TRUE,Inputs!$B$32,0)))*(1-IF(AND(ArtifactsInput!$M$27,Inputs!$B$4="Chapter Hunt"),CHOOSE(ArtifactsInput!$N$27+1,20,24,28,32,36,40),0)/100)),0)</f>
        <v/>
      </c>
      <c r="R1473">
        <f>IF(AND(Inputs!$B$38&lt;&gt;"pvp",Inputs!$B$43&gt;0),IF(Inputs!$B$43&lt;=0,0,(INT(Inputs!$B$43/(IF(Inputs!$B$38="pvp",15,MAX(0.1,Skills!D16-IF(Skills!E16=TRUE,Inputs!$B$32,0)))*(1-IF(AND(ArtifactsInput!$M$27,Inputs!$B$4="Chapter Hunt"),CHOOSE(ArtifactsInput!$N$27+1,20,24,28,32,36,40),0)/100)))+1)),0)</f>
        <v/>
      </c>
      <c r="S1473">
        <f>IFERROR(O1473/N1473,0)</f>
        <v/>
      </c>
      <c r="T1473" t="n">
        <v>0</v>
      </c>
      <c r="V1473" t="n">
        <v>0</v>
      </c>
    </row>
    <row r="1474">
      <c r="A1474">
        <f>Skills!A17</f>
        <v/>
      </c>
      <c r="B1474">
        <f>Skills!B17</f>
        <v/>
      </c>
      <c r="C1474">
        <f>Inputs!$B$3&gt;=115</f>
        <v/>
      </c>
      <c r="D1474">
        <f>IF(Skills!C17=1,60+Inputs!$B$25+Inputs!$B$29,IF(Skills!C17=2,90+Inputs!$B$26+Inputs!$B$29,IF(Skills!C17=3,120+Inputs!$B$27+Inputs!$B$29,MAX(0,(Inputs!$B$3-100)*3)+Inputs!$B$28+Inputs!$B$29)))</f>
        <v/>
      </c>
      <c r="E1474">
        <f>INDEX(FactorTable!$B$2:$Y$301, MATCH(ROUND(MIN(300,MAX(1,D1474)),0), FactorTable!$A$2:$A$301,0), Skills!M17+1)</f>
        <v/>
      </c>
      <c r="F1474">
        <f>IF(Skills!N17=TRUE,(Skills!L17/10)*(E1474/1000),Skills!L17/10)+Skills!O17</f>
        <v/>
      </c>
      <c r="G1474">
        <f>Skills!G17*IF(Skills!H17&gt;0,Skills!I17/Skills!H17,1)</f>
        <v/>
      </c>
      <c r="H1474">
        <f>1-(1-Skills!J17/100)^Skills!K17</f>
        <v/>
      </c>
      <c r="I1474" t="inlineStr">
        <is>
          <t>1</t>
        </is>
      </c>
      <c r="J1474" t="inlineStr"/>
      <c r="K1474" t="inlineStr"/>
      <c r="L1474" t="inlineStr"/>
      <c r="M1474" t="inlineStr"/>
      <c r="N1474" t="inlineStr"/>
      <c r="O1474">
        <f>(1-Summary!$B$11)*T1474+Summary!$B$11*V1474</f>
        <v/>
      </c>
      <c r="P1474">
        <f>IF(B1496=0,0,O1474/B1496)</f>
        <v/>
      </c>
      <c r="Q1474">
        <f>IFERROR(1/(IF(Inputs!$B$38="pvp",15,MAX(0.1,Skills!D17-IF(Skills!E17=TRUE,Inputs!$B$32,0)))*(1-IF(AND(ArtifactsInput!$M$27,Inputs!$B$4="Chapter Hunt"),CHOOSE(ArtifactsInput!$N$27+1,20,24,28,32,36,40),0)/100)),0)</f>
        <v/>
      </c>
      <c r="R1474">
        <f>IF(AND(Inputs!$B$38&lt;&gt;"pvp",Inputs!$B$43&gt;0),IF(Inputs!$B$43&lt;=0,0,(INT(Inputs!$B$43/(IF(Inputs!$B$38="pvp",15,MAX(0.1,Skills!D17-IF(Skills!E17=TRUE,Inputs!$B$32,0)))*(1-IF(AND(ArtifactsInput!$M$27,Inputs!$B$4="Chapter Hunt"),CHOOSE(ArtifactsInput!$N$27+1,20,24,28,32,36,40),0)/100)))+1)),0)</f>
        <v/>
      </c>
      <c r="S1474">
        <f>IFERROR(O1474/N1474,0)</f>
        <v/>
      </c>
      <c r="T1474" t="n">
        <v>0</v>
      </c>
      <c r="V1474" t="n">
        <v>0</v>
      </c>
    </row>
    <row r="1475">
      <c r="A1475">
        <f>Skills!A18</f>
        <v/>
      </c>
      <c r="B1475">
        <f>Skills!B18</f>
        <v/>
      </c>
      <c r="C1475">
        <f>Inputs!$B$3&gt;=115</f>
        <v/>
      </c>
      <c r="D1475">
        <f>IF(Skills!C18=1,60+Inputs!$B$25+Inputs!$B$29,IF(Skills!C18=2,90+Inputs!$B$26+Inputs!$B$29,IF(Skills!C18=3,120+Inputs!$B$27+Inputs!$B$29,MAX(0,(Inputs!$B$3-100)*3)+Inputs!$B$28+Inputs!$B$29)))</f>
        <v/>
      </c>
      <c r="E1475">
        <f>INDEX(FactorTable!$B$2:$Y$301, MATCH(ROUND(MIN(300,MAX(1,D1475)),0), FactorTable!$A$2:$A$301,0), Skills!M18+1)</f>
        <v/>
      </c>
      <c r="F1475">
        <f>IF(Skills!N18=TRUE,(Skills!L18/10)*(E1475/1000),Skills!L18/10)+Skills!O18</f>
        <v/>
      </c>
      <c r="G1475">
        <f>Skills!G18*IF(Skills!H18&gt;0,Skills!I18/Skills!H18,1)</f>
        <v/>
      </c>
      <c r="H1475">
        <f>1-(1-Skills!J18/100)^Skills!K18</f>
        <v/>
      </c>
      <c r="I1475" t="inlineStr">
        <is>
          <t>1</t>
        </is>
      </c>
      <c r="J1475" t="inlineStr"/>
      <c r="K1475" t="inlineStr"/>
      <c r="L1475" t="inlineStr"/>
      <c r="M1475" t="inlineStr"/>
      <c r="N1475" t="inlineStr"/>
      <c r="O1475">
        <f>(1-Summary!$B$11)*T1475+Summary!$B$11*V1475</f>
        <v/>
      </c>
      <c r="P1475">
        <f>IF(B1496=0,0,O1475/B1496)</f>
        <v/>
      </c>
      <c r="Q1475">
        <f>IFERROR(1/(IF(Inputs!$B$38="pvp",15,MAX(0.1,Skills!D18-IF(Skills!E18=TRUE,Inputs!$B$32,0)))*(1-IF(AND(ArtifactsInput!$M$27,Inputs!$B$4="Chapter Hunt"),CHOOSE(ArtifactsInput!$N$27+1,20,24,28,32,36,40),0)/100)),0)</f>
        <v/>
      </c>
      <c r="R1475">
        <f>IF(AND(Inputs!$B$38&lt;&gt;"pvp",Inputs!$B$43&gt;0),IF(Inputs!$B$43&lt;=0,0,(INT(Inputs!$B$43/(IF(Inputs!$B$38="pvp",15,MAX(0.1,Skills!D18-IF(Skills!E18=TRUE,Inputs!$B$32,0)))*(1-IF(AND(ArtifactsInput!$M$27,Inputs!$B$4="Chapter Hunt"),CHOOSE(ArtifactsInput!$N$27+1,20,24,28,32,36,40),0)/100)))+1)),0)</f>
        <v/>
      </c>
      <c r="S1475">
        <f>IFERROR(O1475/N1475,0)</f>
        <v/>
      </c>
      <c r="T1475" t="n">
        <v>0</v>
      </c>
      <c r="V1475" t="n">
        <v>0</v>
      </c>
    </row>
    <row r="1476">
      <c r="A1476">
        <f>Skills!A19</f>
        <v/>
      </c>
      <c r="B1476">
        <f>Skills!B19</f>
        <v/>
      </c>
      <c r="C1476">
        <f>TRUE</f>
        <v/>
      </c>
      <c r="D1476">
        <f>IF(Skills!C19=1,60+Inputs!$B$25+Inputs!$B$29,IF(Skills!C19=2,90+Inputs!$B$26+Inputs!$B$29,IF(Skills!C19=3,120+Inputs!$B$27+Inputs!$B$29,MAX(0,(Inputs!$B$3-100)*3)+Inputs!$B$28+Inputs!$B$29)))</f>
        <v/>
      </c>
      <c r="E1476">
        <f>INDEX(FactorTable!$B$2:$Y$301, MATCH(ROUND(MIN(300,MAX(1,D1476)),0), FactorTable!$A$2:$A$301,0), Skills!M19+1)</f>
        <v/>
      </c>
      <c r="F1476">
        <f>IF(Skills!N19=TRUE,(Skills!L19/10)*(E1476/1000),Skills!L19/10)+Skills!O19</f>
        <v/>
      </c>
      <c r="G1476">
        <f>Skills!G19*IF(Skills!H19&gt;0,Skills!I19/Skills!H19,1)</f>
        <v/>
      </c>
      <c r="H1476">
        <f>1-(1-Skills!J19/100)^Skills!K19</f>
        <v/>
      </c>
      <c r="I1476" t="inlineStr">
        <is>
          <t>1</t>
        </is>
      </c>
      <c r="J1476" t="inlineStr"/>
      <c r="K1476" t="inlineStr"/>
      <c r="L1476" t="inlineStr"/>
      <c r="M1476" t="inlineStr"/>
      <c r="N1476" t="inlineStr"/>
      <c r="O1476">
        <f>(1-Summary!$B$11)*T1476+Summary!$B$11*V1476</f>
        <v/>
      </c>
      <c r="P1476">
        <f>IF(B1496=0,0,O1476/B1496)</f>
        <v/>
      </c>
      <c r="Q1476">
        <f>IFERROR(1/(IF(Inputs!$B$38="pvp",15,MAX(0.1,Skills!D19-IF(Skills!E19=TRUE,Inputs!$B$32,0)))*(1-IF(AND(ArtifactsInput!$M$27,Inputs!$B$4="Chapter Hunt"),CHOOSE(ArtifactsInput!$N$27+1,20,24,28,32,36,40),0)/100)),0)</f>
        <v/>
      </c>
      <c r="R1476">
        <f>IF(AND(Inputs!$B$38&lt;&gt;"pvp",Inputs!$B$43&gt;0),IF(Inputs!$B$43&lt;=0,0,(INT(Inputs!$B$43/(IF(Inputs!$B$38="pvp",15,MAX(0.1,Skills!D19-IF(Skills!E19=TRUE,Inputs!$B$32,0)))*(1-IF(AND(ArtifactsInput!$M$27,Inputs!$B$4="Chapter Hunt"),CHOOSE(ArtifactsInput!$N$27+1,20,24,28,32,36,40),0)/100)))+1)),0)</f>
        <v/>
      </c>
      <c r="S1476">
        <f>IFERROR(O1476/N1476,0)</f>
        <v/>
      </c>
      <c r="T1476" t="n">
        <v>0</v>
      </c>
      <c r="V1476" t="n">
        <v>0</v>
      </c>
    </row>
    <row r="1477">
      <c r="A1477">
        <f>Skills!A20</f>
        <v/>
      </c>
      <c r="B1477">
        <f>Skills!B20</f>
        <v/>
      </c>
      <c r="C1477">
        <f>Inputs!$B$3&gt;=33</f>
        <v/>
      </c>
      <c r="D1477">
        <f>IF(Skills!C20=1,60+Inputs!$B$25+Inputs!$B$29,IF(Skills!C20=2,90+Inputs!$B$26+Inputs!$B$29,IF(Skills!C20=3,120+Inputs!$B$27+Inputs!$B$29,MAX(0,(Inputs!$B$3-100)*3)+Inputs!$B$28+Inputs!$B$29)))</f>
        <v/>
      </c>
      <c r="E1477">
        <f>INDEX(FactorTable!$B$2:$Y$301, MATCH(ROUND(MIN(300,MAX(1,D1477)),0), FactorTable!$A$2:$A$301,0), Skills!M20+1)</f>
        <v/>
      </c>
      <c r="F1477">
        <f>IF(Skills!N20=TRUE,(Skills!L20/10)*(E1477/1000),Skills!L20/10)+Skills!O20</f>
        <v/>
      </c>
      <c r="G1477">
        <f>Skills!G20*IF(Skills!H20&gt;0,Skills!I20/Skills!H20,1)</f>
        <v/>
      </c>
      <c r="H1477">
        <f>1-(1-Skills!J20/100)^Skills!K20</f>
        <v/>
      </c>
      <c r="I1477" t="inlineStr">
        <is>
          <t>1</t>
        </is>
      </c>
      <c r="J1477" t="inlineStr"/>
      <c r="K1477" t="inlineStr"/>
      <c r="L1477" t="inlineStr"/>
      <c r="M1477" t="inlineStr"/>
      <c r="N1477" t="inlineStr"/>
      <c r="O1477">
        <f>(1-Summary!$B$11)*T1477+Summary!$B$11*V1477</f>
        <v/>
      </c>
      <c r="P1477">
        <f>IF(B1496=0,0,O1477/B1496)</f>
        <v/>
      </c>
      <c r="Q1477" t="n">
        <v>0</v>
      </c>
      <c r="R1477" t="n">
        <v>0</v>
      </c>
      <c r="S1477">
        <f>IFERROR(O1477/N1477,0)</f>
        <v/>
      </c>
      <c r="T1477" t="n">
        <v>0</v>
      </c>
      <c r="V1477" t="n">
        <v>0</v>
      </c>
    </row>
    <row r="1478">
      <c r="A1478">
        <f>Skills!A21</f>
        <v/>
      </c>
      <c r="B1478">
        <f>Skills!B21</f>
        <v/>
      </c>
      <c r="C1478">
        <f>Inputs!$B$3&gt;=38</f>
        <v/>
      </c>
      <c r="D1478">
        <f>IF(Skills!C21=1,60+Inputs!$B$25+Inputs!$B$29,IF(Skills!C21=2,90+Inputs!$B$26+Inputs!$B$29,IF(Skills!C21=3,120+Inputs!$B$27+Inputs!$B$29,MAX(0,(Inputs!$B$3-100)*3)+Inputs!$B$28+Inputs!$B$29)))</f>
        <v/>
      </c>
      <c r="E1478">
        <f>INDEX(FactorTable!$B$2:$Y$301, MATCH(ROUND(MIN(300,MAX(1,D1478)),0), FactorTable!$A$2:$A$301,0), Skills!M21+1)</f>
        <v/>
      </c>
      <c r="F1478">
        <f>IF(Skills!N21=TRUE,(Skills!L21/10)*(E1478/1000),Skills!L21/10)+Skills!O21</f>
        <v/>
      </c>
      <c r="G1478">
        <f>Skills!G21*IF(Skills!H21&gt;0,Skills!I21/Skills!H21,1)</f>
        <v/>
      </c>
      <c r="H1478">
        <f>1-(1-Skills!J21/100)^Skills!K21</f>
        <v/>
      </c>
      <c r="I1478" t="inlineStr">
        <is>
          <t>1</t>
        </is>
      </c>
      <c r="J1478" t="inlineStr"/>
      <c r="K1478" t="inlineStr"/>
      <c r="L1478" t="inlineStr"/>
      <c r="M1478" t="inlineStr"/>
      <c r="N1478" t="inlineStr"/>
      <c r="O1478">
        <f>(1-Summary!$B$11)*T1478+Summary!$B$11*V1478</f>
        <v/>
      </c>
      <c r="P1478">
        <f>IF(B1496=0,0,O1478/B1496)</f>
        <v/>
      </c>
      <c r="Q1478" t="n">
        <v>0</v>
      </c>
      <c r="R1478" t="n">
        <v>0</v>
      </c>
      <c r="S1478">
        <f>IFERROR(O1478/N1478,0)</f>
        <v/>
      </c>
      <c r="T1478" t="n">
        <v>0</v>
      </c>
      <c r="V1478" t="n">
        <v>0</v>
      </c>
    </row>
    <row r="1479">
      <c r="A1479">
        <f>Skills!A22</f>
        <v/>
      </c>
      <c r="B1479">
        <f>Skills!B22</f>
        <v/>
      </c>
      <c r="C1479">
        <f>Inputs!$B$3&gt;=43</f>
        <v/>
      </c>
      <c r="D1479">
        <f>IF(Skills!C22=1,60+Inputs!$B$25+Inputs!$B$29,IF(Skills!C22=2,90+Inputs!$B$26+Inputs!$B$29,IF(Skills!C22=3,120+Inputs!$B$27+Inputs!$B$29,MAX(0,(Inputs!$B$3-100)*3)+Inputs!$B$28+Inputs!$B$29)))</f>
        <v/>
      </c>
      <c r="E1479">
        <f>INDEX(FactorTable!$B$2:$Y$301, MATCH(ROUND(MIN(300,MAX(1,D1479)),0), FactorTable!$A$2:$A$301,0), Skills!M22+1)</f>
        <v/>
      </c>
      <c r="F1479">
        <f>IF(Skills!N22=TRUE,(Skills!L22/10)*(E1479/1000),Skills!L22/10)+Skills!O22</f>
        <v/>
      </c>
      <c r="G1479">
        <f>Skills!G22*IF(Skills!H22&gt;0,Skills!I22/Skills!H22,1)</f>
        <v/>
      </c>
      <c r="H1479">
        <f>1-(1-Skills!J22/100)^Skills!K22</f>
        <v/>
      </c>
      <c r="I1479" t="inlineStr">
        <is>
          <t>1</t>
        </is>
      </c>
      <c r="J1479" t="inlineStr"/>
      <c r="K1479" t="inlineStr"/>
      <c r="L1479" t="inlineStr"/>
      <c r="M1479" t="inlineStr"/>
      <c r="N1479" t="inlineStr"/>
      <c r="O1479">
        <f>(1-Summary!$B$11)*T1479+Summary!$B$11*V1479</f>
        <v/>
      </c>
      <c r="P1479">
        <f>IF(B1496=0,0,O1479/B1496)</f>
        <v/>
      </c>
      <c r="Q1479" t="n">
        <v>0</v>
      </c>
      <c r="R1479" t="n">
        <v>0</v>
      </c>
      <c r="S1479">
        <f>IFERROR(O1479/N1479,0)</f>
        <v/>
      </c>
      <c r="T1479" t="n">
        <v>0</v>
      </c>
      <c r="V1479" t="n">
        <v>0</v>
      </c>
    </row>
    <row r="1480">
      <c r="A1480">
        <f>Skills!A23</f>
        <v/>
      </c>
      <c r="B1480">
        <f>Skills!B23</f>
        <v/>
      </c>
      <c r="C1480">
        <f>Inputs!$B$3&gt;=120</f>
        <v/>
      </c>
      <c r="D1480">
        <f>IF(Skills!C23=1,60+Inputs!$B$25+Inputs!$B$29,IF(Skills!C23=2,90+Inputs!$B$26+Inputs!$B$29,IF(Skills!C23=3,120+Inputs!$B$27+Inputs!$B$29,MAX(0,(Inputs!$B$3-100)*3)+Inputs!$B$28+Inputs!$B$29)))</f>
        <v/>
      </c>
      <c r="E1480">
        <f>INDEX(FactorTable!$B$2:$Y$301, MATCH(ROUND(MIN(300,MAX(1,D1480)),0), FactorTable!$A$2:$A$301,0), Skills!M23+1)</f>
        <v/>
      </c>
      <c r="F1480">
        <f>IF(Skills!N23=TRUE,(Skills!L23/10)*(E1480/1000),Skills!L23/10)+Skills!O23</f>
        <v/>
      </c>
      <c r="G1480">
        <f>Skills!G23*IF(Skills!H23&gt;0,Skills!I23/Skills!H23,1)</f>
        <v/>
      </c>
      <c r="H1480">
        <f>1-(1-Skills!J23/100)^Skills!K23</f>
        <v/>
      </c>
      <c r="I1480" t="inlineStr">
        <is>
          <t>1</t>
        </is>
      </c>
      <c r="J1480" t="inlineStr"/>
      <c r="K1480" t="inlineStr"/>
      <c r="L1480" t="inlineStr"/>
      <c r="M1480" t="inlineStr"/>
      <c r="N1480" t="inlineStr"/>
      <c r="O1480">
        <f>(1-Summary!$B$11)*T1480+Summary!$B$11*V1480</f>
        <v/>
      </c>
      <c r="P1480">
        <f>IF(B1496=0,0,O1480/B1496)</f>
        <v/>
      </c>
      <c r="Q1480" t="n">
        <v>0</v>
      </c>
      <c r="R1480" t="n">
        <v>0</v>
      </c>
      <c r="S1480">
        <f>IFERROR(O1480/N1480,0)</f>
        <v/>
      </c>
      <c r="T1480" t="n">
        <v>0</v>
      </c>
      <c r="V1480" t="n">
        <v>0</v>
      </c>
    </row>
    <row r="1481">
      <c r="A1481">
        <f>Skills!A24</f>
        <v/>
      </c>
      <c r="B1481">
        <f>Skills!B24</f>
        <v/>
      </c>
      <c r="C1481">
        <f>Inputs!$B$3&gt;=120</f>
        <v/>
      </c>
      <c r="D1481">
        <f>IF(Skills!C24=1,60+Inputs!$B$25+Inputs!$B$29,IF(Skills!C24=2,90+Inputs!$B$26+Inputs!$B$29,IF(Skills!C24=3,120+Inputs!$B$27+Inputs!$B$29,MAX(0,(Inputs!$B$3-100)*3)+Inputs!$B$28+Inputs!$B$29)))</f>
        <v/>
      </c>
      <c r="E1481">
        <f>INDEX(FactorTable!$B$2:$Y$301, MATCH(ROUND(MIN(300,MAX(1,D1481)),0), FactorTable!$A$2:$A$301,0), Skills!M24+1)</f>
        <v/>
      </c>
      <c r="F1481">
        <f>IF(Skills!N24=TRUE,(Skills!L24/10)*(E1481/1000),Skills!L24/10)+Skills!O24</f>
        <v/>
      </c>
      <c r="G1481">
        <f>Skills!G24*IF(Skills!H24&gt;0,Skills!I24/Skills!H24,1)</f>
        <v/>
      </c>
      <c r="H1481">
        <f>1-(1-Skills!J24/100)^Skills!K24</f>
        <v/>
      </c>
      <c r="I1481" t="inlineStr">
        <is>
          <t>1</t>
        </is>
      </c>
      <c r="J1481" t="inlineStr"/>
      <c r="K1481" t="inlineStr"/>
      <c r="L1481" t="inlineStr"/>
      <c r="M1481" t="inlineStr"/>
      <c r="N1481" t="inlineStr"/>
      <c r="O1481">
        <f>(1-Summary!$B$11)*T1481+Summary!$B$11*V1481</f>
        <v/>
      </c>
      <c r="P1481">
        <f>IF(B1496=0,0,O1481/B1496)</f>
        <v/>
      </c>
      <c r="Q1481" t="n">
        <v>0</v>
      </c>
      <c r="R1481" t="n">
        <v>0</v>
      </c>
      <c r="S1481">
        <f>IFERROR(O1481/N1481,0)</f>
        <v/>
      </c>
      <c r="T1481" t="n">
        <v>0</v>
      </c>
      <c r="V1481" t="n">
        <v>0</v>
      </c>
    </row>
    <row r="1482">
      <c r="A1482">
        <f>Skills!A25</f>
        <v/>
      </c>
      <c r="B1482">
        <f>Skills!B25</f>
        <v/>
      </c>
      <c r="C1482">
        <f>Inputs!$B$3&gt;=125</f>
        <v/>
      </c>
      <c r="D1482">
        <f>IF(Skills!C25=1,60+Inputs!$B$25+Inputs!$B$29,IF(Skills!C25=2,90+Inputs!$B$26+Inputs!$B$29,IF(Skills!C25=3,120+Inputs!$B$27+Inputs!$B$29,MAX(0,(Inputs!$B$3-100)*3)+Inputs!$B$28+Inputs!$B$29)))</f>
        <v/>
      </c>
      <c r="E1482">
        <f>INDEX(FactorTable!$B$2:$Y$301, MATCH(ROUND(MIN(300,MAX(1,D1482)),0), FactorTable!$A$2:$A$301,0), Skills!M25+1)</f>
        <v/>
      </c>
      <c r="F1482">
        <f>IF(Skills!N25=TRUE,(Skills!L25/10)*(E1482/1000),Skills!L25/10)+Skills!O25</f>
        <v/>
      </c>
      <c r="G1482">
        <f>Skills!G25*IF(Skills!H25&gt;0,Skills!I25/Skills!H25,1)</f>
        <v/>
      </c>
      <c r="H1482">
        <f>1-(1-Skills!J25/100)^Skills!K25</f>
        <v/>
      </c>
      <c r="I1482" t="inlineStr">
        <is>
          <t>1</t>
        </is>
      </c>
      <c r="J1482" t="inlineStr"/>
      <c r="K1482" t="inlineStr"/>
      <c r="L1482" t="inlineStr"/>
      <c r="M1482" t="inlineStr"/>
      <c r="N1482" t="inlineStr"/>
      <c r="O1482">
        <f>(1-Summary!$B$11)*T1482+Summary!$B$11*V1482</f>
        <v/>
      </c>
      <c r="P1482">
        <f>IF(B1496=0,0,O1482/B1496)</f>
        <v/>
      </c>
      <c r="Q1482" t="n">
        <v>0</v>
      </c>
      <c r="R1482" t="n">
        <v>0</v>
      </c>
      <c r="S1482">
        <f>IFERROR(O1482/N1482,0)</f>
        <v/>
      </c>
      <c r="T1482" t="n">
        <v>0</v>
      </c>
      <c r="V1482" t="n">
        <v>0</v>
      </c>
    </row>
    <row r="1483">
      <c r="A1483">
        <f>Skills!A26</f>
        <v/>
      </c>
      <c r="B1483">
        <f>Skills!B26</f>
        <v/>
      </c>
      <c r="C1483">
        <f>Inputs!$B$3&gt;=72</f>
        <v/>
      </c>
      <c r="D1483">
        <f>IF(Skills!C26=1,60+Inputs!$B$25+Inputs!$B$29,IF(Skills!C26=2,90+Inputs!$B$26+Inputs!$B$29,IF(Skills!C26=3,120+Inputs!$B$27+Inputs!$B$29,MAX(0,(Inputs!$B$3-100)*3)+Inputs!$B$28+Inputs!$B$29)))</f>
        <v/>
      </c>
      <c r="E1483">
        <f>INDEX(FactorTable!$B$2:$Y$301, MATCH(ROUND(MIN(300,MAX(1,D1483)),0), FactorTable!$A$2:$A$301,0), Skills!M26+1)</f>
        <v/>
      </c>
      <c r="F1483">
        <f>IF(Skills!N26=TRUE,(Skills!L26/10)*(E1483/1000),Skills!L26/10)+Skills!O26</f>
        <v/>
      </c>
      <c r="G1483">
        <f>Skills!G26*IF(Skills!H26&gt;0,Skills!I26/Skills!H26,1)</f>
        <v/>
      </c>
      <c r="H1483">
        <f>1-(1-Skills!J26/100)^Skills!K26</f>
        <v/>
      </c>
      <c r="I1483" t="inlineStr">
        <is>
          <t>1</t>
        </is>
      </c>
      <c r="J1483" t="inlineStr"/>
      <c r="K1483" t="inlineStr"/>
      <c r="L1483" t="inlineStr"/>
      <c r="M1483" t="inlineStr"/>
      <c r="N1483" t="inlineStr"/>
      <c r="O1483">
        <f>(1-Summary!$B$11)*T1483+Summary!$B$11*V1483</f>
        <v/>
      </c>
      <c r="P1483">
        <f>IF(B1496=0,0,O1483/B1496)</f>
        <v/>
      </c>
      <c r="Q1483" t="n">
        <v>0</v>
      </c>
      <c r="R1483" t="n">
        <v>0</v>
      </c>
      <c r="S1483">
        <f>IFERROR(O1483/N1483,0)</f>
        <v/>
      </c>
      <c r="T1483" t="n">
        <v>0</v>
      </c>
      <c r="V1483" t="n">
        <v>0</v>
      </c>
    </row>
    <row r="1485">
      <c r="A1485" t="inlineStr">
        <is>
          <t>Attack% Bucket Multiplier</t>
        </is>
      </c>
      <c r="B1485">
        <f>(1+(((C1470=TRUE)*F1470*IF(Inputs!$B$3&gt;=110,7,5))+((C1472=TRUE)*F1472*IF(AND(Inputs!$B$38&lt;&gt;"pvp",Inputs!$B$43&gt;0),(((R1472-1)*(Skills!T15*(1+(Inputs!$B$34+(ArtifactsInput!$M$7-ArtifactsInput!$M$7)*CHOOSE(ArtifactsInput!$N$7+1,6,7.2,8.4,9.6,10.8,12))/100))+MIN((Skills!T15*(1+(Inputs!$B$34+(ArtifactsInput!$M$7-ArtifactsInput!$M$7)*CHOOSE(ArtifactsInput!$N$7+1,6,7.2,8.4,9.6,10.8,12))/100)),MAX(0,Inputs!$B$43-((R1472-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86">
      <c r="A1486" t="inlineStr">
        <is>
          <t>Global Crit Rate Bonus %</t>
        </is>
      </c>
      <c r="B1486" t="n">
        <v>0</v>
      </c>
    </row>
    <row r="1487">
      <c r="A1487" t="inlineStr">
        <is>
          <t>Attack Speed Buff Bonus %</t>
        </is>
      </c>
      <c r="B1487">
        <f>((C1476=TRUE)*F1476*IF(AND(Inputs!$B$38&lt;&gt;"pvp",Inputs!$B$43&gt;0),(((R1476-1)*(Skills!T19*(1+(Inputs!$B$34+(ArtifactsInput!$M$7-ArtifactsInput!$M$7)*CHOOSE(ArtifactsInput!$N$7+1,6,7.2,8.4,9.6,10.8,12))/100))+MIN((Skills!T19*(1+(Inputs!$B$34+(ArtifactsInput!$M$7-ArtifactsInput!$M$7)*CHOOSE(ArtifactsInput!$N$7+1,6,7.2,8.4,9.6,10.8,12))/100)),MAX(0,Inputs!$B$43-((R1476-1)*Skills!D19))))/Inputs!$B$43),IF(Inputs!$B$38="pvp",MIN((Skills!T19*(1+(Inputs!$B$34+(ArtifactsInput!$M$7-ArtifactsInput!$M$7)*CHOOSE(ArtifactsInput!$N$7+1,6,7.2,8.4,9.6,10.8,12))/100)),15)/15,(Skills!T19*(1+(Inputs!$B$34+(ArtifactsInput!$M$7-ArtifactsInput!$M$7)*CHOOSE(ArtifactsInput!$N$7+1,6,7.2,8.4,9.6,10.8,12))/100))/Skills!D19)))</f>
        <v/>
      </c>
    </row>
    <row r="1488">
      <c r="A1488" t="inlineStr">
        <is>
          <t>Actions Per Second</t>
        </is>
      </c>
      <c r="B1488">
        <f>1+MIN(150,150*(1-(1-(Inputs!$B$11+((C1477=TRUE)*(F1477-Calc!F20)))/150)*(1-B1487/150)))/100</f>
        <v/>
      </c>
    </row>
    <row r="1489">
      <c r="A1489" t="inlineStr">
        <is>
          <t>Skill + Buff Cast Rate</t>
        </is>
      </c>
      <c r="B1489">
        <f>IF(AND(Inputs!$B$38&lt;&gt;"pvp",Inputs!$B$43&gt;0),SUMPRODUCT((Skills!E2:E26=TRUE)*(C1459:C1483=TRUE)*R1459:R1483*Skills!F2:F26)/Inputs!$B$43,SUMPRODUCT((Skills!E2:E26=TRUE)*(C1459:C1483=TRUE)*Q1459:Q1483*Skills!F2:F26))</f>
        <v/>
      </c>
    </row>
    <row r="1490">
      <c r="A1490" t="inlineStr">
        <is>
          <t>Raging Blow Casts Per Second</t>
        </is>
      </c>
      <c r="B1490">
        <f>MAX(0,B1488-B1489)</f>
        <v/>
      </c>
    </row>
    <row r="1491">
      <c r="A1491" t="inlineStr">
        <is>
          <t>Global Critical Damage Bonus % (Enrage)</t>
        </is>
      </c>
      <c r="B1491">
        <f>((C1475=TRUE)*F1475*IF(AND(Inputs!$B$38&lt;&gt;"pvp",Inputs!$B$43&gt;0),(((R1475-1)*(Skills!T18*(1+(Inputs!$B$34+(ArtifactsInput!$M$7-ArtifactsInput!$M$7)*CHOOSE(ArtifactsInput!$N$7+1,6,7.2,8.4,9.6,10.8,12))/100))+MIN((Skills!T18*(1+(Inputs!$B$34+(ArtifactsInput!$M$7-ArtifactsInput!$M$7)*CHOOSE(ArtifactsInput!$N$7+1,6,7.2,8.4,9.6,10.8,12))/100)),MAX(0,Inputs!$B$43-((R1475-1)*Skills!D18))))/Inputs!$B$43),IF(Inputs!$B$38="pvp",MIN((Skills!T18*(1+(Inputs!$B$34+(ArtifactsInput!$M$7-ArtifactsInput!$M$7)*CHOOSE(ArtifactsInput!$N$7+1,6,7.2,8.4,9.6,10.8,12))/100)),15)/15,(Skills!T18*(1+(Inputs!$B$34+(ArtifactsInput!$M$7-ArtifactsInput!$M$7)*CHOOSE(ArtifactsInput!$N$7+1,6,7.2,8.4,9.6,10.8,12))/100))/Skills!D18)))</f>
        <v/>
      </c>
    </row>
    <row r="1492">
      <c r="A1492" t="inlineStr">
        <is>
          <t>Global Final Damage Bonus % (Enrage + Combo Synergy)</t>
        </is>
      </c>
      <c r="B1492">
        <f>((C1474=TRUE)*F1474*IF(AND(Inputs!$B$38&lt;&gt;"pvp",Inputs!$B$43&gt;0),(((R1474-1)*(Skills!T17*(1+(Inputs!$B$34+(ArtifactsInput!$M$7-ArtifactsInput!$M$7)*CHOOSE(ArtifactsInput!$N$7+1,6,7.2,8.4,9.6,10.8,12))/100))+MIN((Skills!T17*(1+(Inputs!$B$34+(ArtifactsInput!$M$7-ArtifactsInput!$M$7)*CHOOSE(ArtifactsInput!$N$7+1,6,7.2,8.4,9.6,10.8,12))/100)),MAX(0,Inputs!$B$43-((R1474-1)*Skills!D17))))/Inputs!$B$43),IF(Inputs!$B$38="pvp",MIN((Skills!T17*(1+(Inputs!$B$34+(ArtifactsInput!$M$7-ArtifactsInput!$M$7)*CHOOSE(ArtifactsInput!$N$7+1,6,7.2,8.4,9.6,10.8,12))/100)),15)/15,(Skills!T17*(1+(Inputs!$B$34+(ArtifactsInput!$M$7-ArtifactsInput!$M$7)*CHOOSE(ArtifactsInput!$N$7+1,6,7.2,8.4,9.6,10.8,12))/100))/Skills!D17)))+((C1471=TRUE)*F1471*IF(Inputs!$B$3&gt;=110,7,5))</f>
        <v/>
      </c>
    </row>
    <row r="1493">
      <c r="A1493" t="inlineStr">
        <is>
          <t>Buff-Casting Startup Delay (s, fixed-duration only)</t>
        </is>
      </c>
      <c r="B1493">
        <f>IF(AND(Inputs!$B$38&lt;&gt;"pvp",Inputs!$B$43&gt;0),SUMPRODUCT((Skills!T2:T26&gt;0)*(Skills!E2:E26=TRUE)*(C1459:C1483=TRUE))/B1488,0)</f>
        <v/>
      </c>
    </row>
    <row r="1494">
      <c r="A1494" t="inlineStr">
        <is>
          <t>Boss-Only Total DPS (this block's swept value)</t>
        </is>
      </c>
      <c r="B1494">
        <f>SUM(T1459:T1483)</f>
        <v/>
      </c>
    </row>
    <row r="1495">
      <c r="A1495" t="inlineStr">
        <is>
          <t>Normal-Only Total DPS (this block's swept value)</t>
        </is>
      </c>
      <c r="B1495">
        <f>SUM(V1459:V1483)</f>
        <v/>
      </c>
    </row>
    <row r="1496">
      <c r="A1496" s="6" t="inlineStr">
        <is>
          <t>TOTAL DPS</t>
        </is>
      </c>
      <c r="B1496" s="6">
        <f>SUM(O1459:O1483)</f>
        <v/>
      </c>
    </row>
    <row r="1499">
      <c r="A1499" s="6" t="inlineStr">
        <is>
          <t>Stat: Clear Spring Water (Equip)</t>
        </is>
      </c>
    </row>
    <row r="1500">
      <c r="A1500" s="5" t="inlineStr">
        <is>
          <t>Key</t>
        </is>
      </c>
      <c r="B1500" s="5" t="inlineStr">
        <is>
          <t>Name</t>
        </is>
      </c>
      <c r="C1500" s="5" t="inlineStr">
        <is>
          <t>Unlocked</t>
        </is>
      </c>
      <c r="D1500" s="5" t="inlineStr">
        <is>
          <t>InputLevel</t>
        </is>
      </c>
      <c r="E1500" s="5" t="inlineStr">
        <is>
          <t>Factor</t>
        </is>
      </c>
      <c r="F1500" s="5" t="inlineStr">
        <is>
          <t>CoefficientPercent</t>
        </is>
      </c>
      <c r="G1500" s="5" t="inlineStr">
        <is>
          <t>EffectiveHits</t>
        </is>
      </c>
      <c r="H1500" s="5" t="inlineStr">
        <is>
          <t>ProcProbability</t>
        </is>
      </c>
      <c r="I1500" s="5" t="inlineStr">
        <is>
          <t>MapleHeroMultiplier</t>
        </is>
      </c>
      <c r="J1500" s="5" t="inlineStr">
        <is>
          <t>BaseDamage</t>
        </is>
      </c>
      <c r="K1500" s="5" t="inlineStr">
        <is>
          <t>BaseHitDamage</t>
        </is>
      </c>
      <c r="L1500" s="5" t="inlineStr">
        <is>
          <t>NonCritAvg</t>
        </is>
      </c>
      <c r="M1500" s="5" t="inlineStr">
        <is>
          <t>CritAvg</t>
        </is>
      </c>
      <c r="N1500" s="5" t="inlineStr">
        <is>
          <t>ExpectedDamage(perHit)</t>
        </is>
      </c>
      <c r="O1500" s="5" t="inlineStr">
        <is>
          <t>DPS</t>
        </is>
      </c>
      <c r="P1500" s="5" t="inlineStr">
        <is>
          <t>% of Total</t>
        </is>
      </c>
      <c r="Q1500" s="5" t="inlineStr">
        <is>
          <t>InvCooldown</t>
        </is>
      </c>
      <c r="R1500" s="5" t="inlineStr">
        <is>
          <t>CastsInFight</t>
        </is>
      </c>
      <c r="S1500" s="5" t="inlineStr">
        <is>
          <t>HitRate(perSec)</t>
        </is>
      </c>
      <c r="U1500" t="inlineStr">
        <is>
          <t>helpers</t>
        </is>
      </c>
    </row>
    <row r="1501">
      <c r="A1501">
        <f>Skills!A2</f>
        <v/>
      </c>
      <c r="B1501">
        <f>Skills!B2</f>
        <v/>
      </c>
      <c r="C1501">
        <f>Inputs!$B$3&gt;=100</f>
        <v/>
      </c>
      <c r="D1501" t="inlineStr"/>
      <c r="E1501" t="inlineStr"/>
      <c r="F1501">
        <f>U1503+Skills!O2</f>
        <v/>
      </c>
      <c r="G1501">
        <f>Skills!G2*IF(Skills!H2&gt;0,Skills!I2/Skills!H2,1)</f>
        <v/>
      </c>
      <c r="H1501">
        <f>1-(1-Skills!J2/100)^Skills!K2</f>
        <v/>
      </c>
      <c r="I1501" t="inlineStr">
        <is>
          <t>1</t>
        </is>
      </c>
      <c r="J1501">
        <f>((Inputs!$B$6*(1+Inputs!$B$7/100))+(((Inputs!$B$12*(1+Inputs!$B$13/100))-(Inputs!$B$12*(1+Inputs!$B$13/100)))+0.25*(Inputs!$B$14-Inputs!$B$14))*(1+Inputs!$B$7/100))*(F1501/100)</f>
        <v/>
      </c>
      <c r="K1501">
        <f>J1501*(1+((Inputs!$B$12*(1+Inputs!$B$13/100))*0.01+Inputs!$B$14*0.0025)/100)*(1+Inputs!$B$15/100)*(1+Inputs!$B$16/100)*(5000/(6000+Inputs!$B$42*(1-(100*(1-(1-(Inputs!$B$19+0)/100)*(1-CHOOSE(ArtifactsInput!$N$40+1,5,6,7,8,9,10)/100)^(ArtifactsInput!$M$40-ArtifactsInput!$M$40)))/100)))*(1+(Inputs!$B$24+((C1524=TRUE)*(F1524-Calc!F25))+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1520=TRUE)*(F1520-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1522=TRUE)*(F1522-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1512=TRUE)*F1512*IF(Inputs!$B$3&gt;=110,7,5))+((C1514=TRUE)*F1514*IF(AND(Inputs!$B$38&lt;&gt;"pvp",Inputs!$B$43&gt;0),(((R1514-1)*(Skills!T15*(1+(Inputs!$B$34+(ArtifactsInput!$M$7-ArtifactsInput!$M$7)*CHOOSE(ArtifactsInput!$N$7+1,6,7.2,8.4,9.6,10.8,12))/100))+MIN((Skills!T15*(1+(Inputs!$B$34+(ArtifactsInput!$M$7-ArtifactsInput!$M$7)*CHOOSE(ArtifactsInput!$N$7+1,6,7.2,8.4,9.6,10.8,12))/100)),MAX(0,Inputs!$B$43-((R1514-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100)*I1501)</f>
        <v/>
      </c>
      <c r="L1501">
        <f>K1501*(MIN(Inputs!$B$22+((C1521=TRUE)*(F1521-Calc!F22)),(Inputs!$B$23+((C1523=TRUE)*(F1523-Calc!F24))+(IF(ArtifactsInput!$M$15,CHOOSE(ArtifactsInput!$N$15+1,25,30,35,40,45,50)/100*(Inputs!$B$11-Inputs!$B$11),0))))/100+(Inputs!$B$23+((C1523=TRUE)*(F1523-Calc!F24))+(IF(ArtifactsInput!$M$15,CHOOSE(ArtifactsInput!$N$15+1,25,30,35,40,45,50)/100*(Inputs!$B$11-Inputs!$B$11),0)))/100)/2</f>
        <v/>
      </c>
      <c r="M1501">
        <f>L1501*(1+(Inputs!$B$10+0+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1">
        <f>L1501*(1-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1501*(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1">
        <f>(1-Summary!$B$11)*T1501+Summary!$B$11*V1501</f>
        <v/>
      </c>
      <c r="P1501">
        <f>IF(B1538=0,0,O1501/B1538)</f>
        <v/>
      </c>
      <c r="Q1501" t="n">
        <v>0</v>
      </c>
      <c r="R1501" t="n">
        <v>0</v>
      </c>
      <c r="S1501">
        <f>IFERROR(O1501/N1501,0)</f>
        <v/>
      </c>
      <c r="T1501">
        <f>IF(C1501,(Skills!G2*N1501*B1532)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1501*(1-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1501*(1-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01">
        <f>MAX(0,(Inputs!$B$3-100)*3)+Inputs!$B$28+Inputs!$B$29</f>
        <v/>
      </c>
      <c r="V1501">
        <f>IF(C1501,(Skills!G2*N1501*B1532)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2">
      <c r="A1502">
        <f>Skills!A3</f>
        <v/>
      </c>
      <c r="B1502">
        <f>Skills!B3</f>
        <v/>
      </c>
      <c r="C1502">
        <f>Inputs!$B$3&gt;=50</f>
        <v/>
      </c>
      <c r="D1502">
        <f>IF(Skills!C3=1,60+Inputs!$B$25+Inputs!$B$29,IF(Skills!C3=2,90+Inputs!$B$26+Inputs!$B$29,IF(Skills!C3=3,120+Inputs!$B$27+Inputs!$B$29,MAX(0,(Inputs!$B$3-100)*3)+Inputs!$B$28+Inputs!$B$29)))</f>
        <v/>
      </c>
      <c r="E1502">
        <f>INDEX(FactorTable!$B$2:$Y$301, MATCH(ROUND(MIN(300,MAX(1,D1502)),0), FactorTable!$A$2:$A$301,0), Skills!M3+1)</f>
        <v/>
      </c>
      <c r="F1502">
        <f>IF(Skills!N3=TRUE,(Skills!L3/10)*(E1502/1000),Skills!L3/10)+Skills!O3</f>
        <v/>
      </c>
      <c r="G1502" t="inlineStr"/>
      <c r="H1502" t="inlineStr"/>
      <c r="I1502" t="inlineStr">
        <is>
          <t>1</t>
        </is>
      </c>
      <c r="J1502" t="inlineStr"/>
      <c r="K1502" t="inlineStr"/>
      <c r="L1502" t="inlineStr"/>
      <c r="M1502" t="inlineStr"/>
      <c r="N1502" t="inlineStr"/>
      <c r="O1502" t="inlineStr"/>
      <c r="P1502" t="inlineStr"/>
      <c r="Q1502" t="inlineStr"/>
      <c r="R1502" t="inlineStr"/>
      <c r="S1502" t="inlineStr"/>
      <c r="U1502">
        <f>INDEX(FactorTable!$B$2:$Y$301, MATCH(ROUND(MIN(300,MAX(1,U1501)),0), FactorTable!$A$2:$A$301,0), 22)</f>
        <v/>
      </c>
    </row>
    <row r="1503">
      <c r="A1503">
        <f>Skills!A4</f>
        <v/>
      </c>
      <c r="B1503">
        <f>Skills!B4</f>
        <v/>
      </c>
      <c r="C1503">
        <f>Inputs!$B$3&gt;=105</f>
        <v/>
      </c>
      <c r="D1503">
        <f>IF(Skills!C4=1,60+Inputs!$B$25+Inputs!$B$29,IF(Skills!C4=2,90+Inputs!$B$26+Inputs!$B$29,IF(Skills!C4=3,120+Inputs!$B$27+Inputs!$B$29,MAX(0,(Inputs!$B$3-100)*3)+Inputs!$B$28+Inputs!$B$29)))</f>
        <v/>
      </c>
      <c r="E1503">
        <f>INDEX(FactorTable!$B$2:$Y$301, MATCH(ROUND(MIN(300,MAX(1,D1503)),0), FactorTable!$A$2:$A$301,0), Skills!M4+1)</f>
        <v/>
      </c>
      <c r="F1503">
        <f>IF(Skills!N4=TRUE,(Skills!L4/10)*(E1503/1000),Skills!L4/10)+Skills!O4</f>
        <v/>
      </c>
      <c r="G1503" t="inlineStr"/>
      <c r="H1503" t="inlineStr"/>
      <c r="I1503" t="inlineStr">
        <is>
          <t>1</t>
        </is>
      </c>
      <c r="J1503" t="inlineStr"/>
      <c r="K1503" t="inlineStr"/>
      <c r="L1503" t="inlineStr"/>
      <c r="M1503" t="inlineStr"/>
      <c r="N1503" t="inlineStr"/>
      <c r="O1503" t="inlineStr"/>
      <c r="P1503" t="inlineStr"/>
      <c r="Q1503" t="inlineStr"/>
      <c r="R1503" t="inlineStr"/>
      <c r="S1503" t="inlineStr"/>
      <c r="U1503">
        <f>290*U1502/1000</f>
        <v/>
      </c>
    </row>
    <row r="1504">
      <c r="A1504">
        <f>Skills!A5</f>
        <v/>
      </c>
      <c r="B1504">
        <f>Skills!B5</f>
        <v/>
      </c>
      <c r="C1504">
        <f>Inputs!$B$3&gt;=103</f>
        <v/>
      </c>
      <c r="D1504">
        <f>IF(Skills!C5=1,60+Inputs!$B$25+Inputs!$B$29,IF(Skills!C5=2,90+Inputs!$B$26+Inputs!$B$29,IF(Skills!C5=3,120+Inputs!$B$27+Inputs!$B$29,MAX(0,(Inputs!$B$3-100)*3)+Inputs!$B$28+Inputs!$B$29)))</f>
        <v/>
      </c>
      <c r="E1504">
        <f>INDEX(FactorTable!$B$2:$Y$301, MATCH(ROUND(MIN(300,MAX(1,D1504)),0), FactorTable!$A$2:$A$301,0), Skills!M5+1)</f>
        <v/>
      </c>
      <c r="F1504">
        <f>IF(Skills!N5=TRUE,(Skills!L5/10)*(E1504/1000),Skills!L5/10)+Skills!O5</f>
        <v/>
      </c>
      <c r="G1504">
        <f>Skills!G5*IF(Skills!H5&gt;0,Skills!I5/Skills!H5,1)</f>
        <v/>
      </c>
      <c r="H1504">
        <f>1-(1-Skills!J5/100)^Skills!K5</f>
        <v/>
      </c>
      <c r="I1504" t="inlineStr">
        <is>
          <t>1</t>
        </is>
      </c>
      <c r="J1504">
        <f>((Inputs!$B$6*(1+Inputs!$B$7/100))+(((Inputs!$B$12*(1+Inputs!$B$13/100))-(Inputs!$B$12*(1+Inputs!$B$13/100)))+0.25*(Inputs!$B$14-Inputs!$B$14))*(1+Inputs!$B$7/100))*(F1504/100)</f>
        <v/>
      </c>
      <c r="K1504">
        <f>J1504*(1+((Inputs!$B$12*(1+Inputs!$B$13/100))*0.01+Inputs!$B$14*0.0025)/100)*(1+Inputs!$B$15/100)*(1+Inputs!$B$16/100)*(5000/(6000+Inputs!$B$42*(1-(100*(1-(1-(Inputs!$B$19+0)/100)*(1-CHOOSE(ArtifactsInput!$N$40+1,5,6,7,8,9,10)/100)^(ArtifactsInput!$M$40-ArtifactsInput!$M$40)))/100)))*(1+(Inputs!$B$24+((C1524=TRUE)*(F1524-Calc!F25))+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1520=TRUE)*(F1520-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1522=TRUE)*(F1522-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1512=TRUE)*F1512*IF(Inputs!$B$3&gt;=110,7,5))+((C1514=TRUE)*F1514*IF(AND(Inputs!$B$38&lt;&gt;"pvp",Inputs!$B$43&gt;0),(((R1514-1)*(Skills!T15*(1+(Inputs!$B$34+(ArtifactsInput!$M$7-ArtifactsInput!$M$7)*CHOOSE(ArtifactsInput!$N$7+1,6,7.2,8.4,9.6,10.8,12))/100))+MIN((Skills!T15*(1+(Inputs!$B$34+(ArtifactsInput!$M$7-ArtifactsInput!$M$7)*CHOOSE(ArtifactsInput!$N$7+1,6,7.2,8.4,9.6,10.8,12))/100)),MAX(0,Inputs!$B$43-((R1514-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100)*I1504)</f>
        <v/>
      </c>
      <c r="L1504">
        <f>K1504*(MIN(Inputs!$B$22+((C1521=TRUE)*(F1521-Calc!F22)),(Inputs!$B$23+((C1523=TRUE)*(F1523-Calc!F24))+(IF(ArtifactsInput!$M$15,CHOOSE(ArtifactsInput!$N$15+1,25,30,35,40,45,50)/100*(Inputs!$B$11-Inputs!$B$11),0))))/100+(Inputs!$B$23+((C1523=TRUE)*(F1523-Calc!F24))+(IF(ArtifactsInput!$M$15,CHOOSE(ArtifactsInput!$N$15+1,25,30,35,40,45,50)/100*(Inputs!$B$11-Inputs!$B$11),0)))/100)/2</f>
        <v/>
      </c>
      <c r="M1504">
        <f>L1504*(1+(Inputs!$B$10+0+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4">
        <f>L1504*(1-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1504*(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4">
        <f>(1-Summary!$B$11)*T1504+Summary!$B$11*V1504</f>
        <v/>
      </c>
      <c r="P1504">
        <f>IF(B1538=0,0,O1504/B1538)</f>
        <v/>
      </c>
      <c r="Q1504">
        <f>IFERROR(1/(IF(Inputs!$B$38="pvp",15,MAX(0.1,Skills!D5-IF(Skills!E5=TRUE,Inputs!$B$32,0)))*(1-IF(AND(ArtifactsInput!$M$27,Inputs!$B$4="Chapter Hunt"),CHOOSE(ArtifactsInput!$N$27+1,20,24,28,32,36,40),0)/100)),0)</f>
        <v/>
      </c>
      <c r="R1504">
        <f>IF(AND(Inputs!$B$38&lt;&gt;"pvp",Inputs!$B$43&gt;0),IF(MAX(0,Inputs!$B$43-B1535)&lt;=0,0,(INT(MAX(0,Inputs!$B$43-B1535)/(IF(Inputs!$B$38="pvp",15,MAX(0.1,Skills!D5-IF(Skills!E5=TRUE,Inputs!$B$32,0)))*(1-IF(AND(ArtifactsInput!$M$27,Inputs!$B$4="Chapter Hunt"),CHOOSE(ArtifactsInput!$N$27+1,20,24,28,32,36,40),0)/100)))+1)),0)</f>
        <v/>
      </c>
      <c r="S1504">
        <f>IFERROR(O1504/N1504,0)</f>
        <v/>
      </c>
      <c r="T1504">
        <f>IF(C1504,(H1504*N1504*IF(AND(Inputs!$B$38&lt;&gt;"pvp",Inputs!$B$43&gt;0),((Skills!G5*((R1504-1)*IF(Skills!H5&gt;0,Skills!I5/Skills!H5,1)+IF(Skills!H5&gt;0,MIN(Skills!I5,MAX(0,MAX(0,Inputs!$B$43-B1535)-((R1504-1)*(IF(Inputs!$B$38="pvp",15,MAX(0.1,Skills!D5-IF(Skills!E5=TRUE,Inputs!$B$32,0)))*(1-IF(AND(ArtifactsInput!$M$27,Inputs!$B$4="Chapter Hunt"),CHOOSE(ArtifactsInput!$N$27+1,20,24,28,32,36,40),0)/100)))))/Skills!H5,1)))/Inputs!$B$43),G1504*Q1504)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1504*(1-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1504*(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1504*(1-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1504*(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4">
        <f>IF(C1504,(H1504*N1504*IF(AND(Inputs!$B$38&lt;&gt;"pvp",Inputs!$B$43&gt;0),((Skills!G5*((R1504-1)*IF(Skills!H5&gt;0,Skills!I5/Skills!H5,1)+IF(Skills!H5&gt;0,MIN(Skills!I5,MAX(0,MAX(0,Inputs!$B$43-B1535)-((R1504-1)*(IF(Inputs!$B$38="pvp",15,MAX(0.1,Skills!D5-IF(Skills!E5=TRUE,Inputs!$B$32,0)))*(1-IF(AND(ArtifactsInput!$M$27,Inputs!$B$4="Chapter Hunt"),CHOOSE(ArtifactsInput!$N$27+1,20,24,28,32,36,40),0)/100)))))/Skills!H5,1)))/Inputs!$B$43),G1504*Q1504)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5">
      <c r="A1505">
        <f>Skills!A6</f>
        <v/>
      </c>
      <c r="B1505">
        <f>Skills!B6</f>
        <v/>
      </c>
      <c r="C1505">
        <f>Inputs!$B$3&gt;=103</f>
        <v/>
      </c>
      <c r="D1505">
        <f>IF(Skills!C6=1,60+Inputs!$B$25+Inputs!$B$29,IF(Skills!C6=2,90+Inputs!$B$26+Inputs!$B$29,IF(Skills!C6=3,120+Inputs!$B$27+Inputs!$B$29,MAX(0,(Inputs!$B$3-100)*3)+Inputs!$B$28+Inputs!$B$29)))</f>
        <v/>
      </c>
      <c r="E1505">
        <f>INDEX(FactorTable!$B$2:$Y$301, MATCH(ROUND(MIN(300,MAX(1,D1505)),0), FactorTable!$A$2:$A$301,0), Skills!M6+1)</f>
        <v/>
      </c>
      <c r="F1505">
        <f>IF(Skills!N6=TRUE,(Skills!L6/10)*(E1505/1000),Skills!L6/10)+Skills!O6</f>
        <v/>
      </c>
      <c r="G1505">
        <f>Skills!G6*IF(Skills!H6&gt;0,Skills!I6/Skills!H6,1)</f>
        <v/>
      </c>
      <c r="H1505">
        <f>1-(1-Skills!J6/100)^Skills!K6</f>
        <v/>
      </c>
      <c r="I1505" t="inlineStr">
        <is>
          <t>1</t>
        </is>
      </c>
      <c r="J1505">
        <f>((Inputs!$B$6*(1+Inputs!$B$7/100))+(((Inputs!$B$12*(1+Inputs!$B$13/100))-(Inputs!$B$12*(1+Inputs!$B$13/100)))+0.25*(Inputs!$B$14-Inputs!$B$14))*(1+Inputs!$B$7/100))*(F1505/100)</f>
        <v/>
      </c>
      <c r="K1505">
        <f>J1505*(1+((Inputs!$B$12*(1+Inputs!$B$13/100))*0.01+Inputs!$B$14*0.0025)/100)*(1+Inputs!$B$15/100)*(1+Inputs!$B$16/100)*(5000/(6000+Inputs!$B$42*(1-(100*(1-(1-(Inputs!$B$19+0)/100)*(1-CHOOSE(ArtifactsInput!$N$40+1,5,6,7,8,9,10)/100)^(ArtifactsInput!$M$40-ArtifactsInput!$M$40)))/100)))*(1+(Inputs!$B$24+((C1524=TRUE)*(F1524-Calc!F25))+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1520=TRUE)*(F1520-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1522=TRUE)*(F1522-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1512=TRUE)*F1512*IF(Inputs!$B$3&gt;=110,7,5))+((C1514=TRUE)*F1514*IF(AND(Inputs!$B$38&lt;&gt;"pvp",Inputs!$B$43&gt;0),(((R1514-1)*(Skills!T15*(1+(Inputs!$B$34+(ArtifactsInput!$M$7-ArtifactsInput!$M$7)*CHOOSE(ArtifactsInput!$N$7+1,6,7.2,8.4,9.6,10.8,12))/100))+MIN((Skills!T15*(1+(Inputs!$B$34+(ArtifactsInput!$M$7-ArtifactsInput!$M$7)*CHOOSE(ArtifactsInput!$N$7+1,6,7.2,8.4,9.6,10.8,12))/100)),MAX(0,Inputs!$B$43-((R1514-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100)*I1505)</f>
        <v/>
      </c>
      <c r="L1505">
        <f>K1505*(MIN(Inputs!$B$22+((C1521=TRUE)*(F1521-Calc!F22)),(Inputs!$B$23+((C1523=TRUE)*(F1523-Calc!F24))+(IF(ArtifactsInput!$M$15,CHOOSE(ArtifactsInput!$N$15+1,25,30,35,40,45,50)/100*(Inputs!$B$11-Inputs!$B$11),0))))/100+(Inputs!$B$23+((C1523=TRUE)*(F1523-Calc!F24))+(IF(ArtifactsInput!$M$15,CHOOSE(ArtifactsInput!$N$15+1,25,30,35,40,45,50)/100*(Inputs!$B$11-Inputs!$B$11),0)))/100)/2</f>
        <v/>
      </c>
      <c r="M1505">
        <f>L1505*(1+(Inputs!$B$10+0+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5">
        <f>L1505*(1-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1505*(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5">
        <f>(1-Summary!$B$11)*T1505+Summary!$B$11*V1505</f>
        <v/>
      </c>
      <c r="P1505">
        <f>IF(B1538=0,0,O1505/B1538)</f>
        <v/>
      </c>
      <c r="Q1505">
        <f>IFERROR(1/(IF(Inputs!$B$38="pvp",15,MAX(0.1,Skills!D6-IF(Skills!E6=TRUE,Inputs!$B$32,0)))*(1-IF(AND(ArtifactsInput!$M$27,Inputs!$B$4="Chapter Hunt"),CHOOSE(ArtifactsInput!$N$27+1,20,24,28,32,36,40),0)/100)),0)</f>
        <v/>
      </c>
      <c r="R1505">
        <f>IF(AND(Inputs!$B$38&lt;&gt;"pvp",Inputs!$B$43&gt;0),IF(MAX(0,Inputs!$B$43-B1535)&lt;=0,0,(INT(MAX(0,Inputs!$B$43-B1535)/(IF(Inputs!$B$38="pvp",15,MAX(0.1,Skills!D6-IF(Skills!E6=TRUE,Inputs!$B$32,0)))*(1-IF(AND(ArtifactsInput!$M$27,Inputs!$B$4="Chapter Hunt"),CHOOSE(ArtifactsInput!$N$27+1,20,24,28,32,36,40),0)/100)))+1)),0)</f>
        <v/>
      </c>
      <c r="S1505">
        <f>IFERROR(O1505/N1505,0)</f>
        <v/>
      </c>
      <c r="T1505">
        <f>IF(C1505,(H1505*N1505*IF(AND(Inputs!$B$38&lt;&gt;"pvp",Inputs!$B$43&gt;0),((Skills!G6*((R1505-1)*IF(Skills!H6&gt;0,Skills!I6/Skills!H6,1)+IF(Skills!H6&gt;0,MIN(Skills!I6,MAX(0,MAX(0,Inputs!$B$43-B1535)-((R1505-1)*(IF(Inputs!$B$38="pvp",15,MAX(0.1,Skills!D6-IF(Skills!E6=TRUE,Inputs!$B$32,0)))*(1-IF(AND(ArtifactsInput!$M$27,Inputs!$B$4="Chapter Hunt"),CHOOSE(ArtifactsInput!$N$27+1,20,24,28,32,36,40),0)/100)))))/Skills!H6,1)))/Inputs!$B$43),G1505*Q1505)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1505*(1-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1505*(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1505*(1-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1505*(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5">
        <f>IF(C1505,(H1505*N1505*IF(AND(Inputs!$B$38&lt;&gt;"pvp",Inputs!$B$43&gt;0),((Skills!G6*((R1505-1)*IF(Skills!H6&gt;0,Skills!I6/Skills!H6,1)+IF(Skills!H6&gt;0,MIN(Skills!I6,MAX(0,MAX(0,Inputs!$B$43-B1535)-((R1505-1)*(IF(Inputs!$B$38="pvp",15,MAX(0.1,Skills!D6-IF(Skills!E6=TRUE,Inputs!$B$32,0)))*(1-IF(AND(ArtifactsInput!$M$27,Inputs!$B$4="Chapter Hunt"),CHOOSE(ArtifactsInput!$N$27+1,20,24,28,32,36,40),0)/100)))))/Skills!H6,1)))/Inputs!$B$43),G1505*Q1505)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6">
      <c r="A1506">
        <f>Skills!A7</f>
        <v/>
      </c>
      <c r="B1506">
        <f>Skills!B7</f>
        <v/>
      </c>
      <c r="C1506">
        <f>Inputs!$B$3&gt;=107</f>
        <v/>
      </c>
      <c r="D1506">
        <f>IF(Skills!C7=1,60+Inputs!$B$25+Inputs!$B$29,IF(Skills!C7=2,90+Inputs!$B$26+Inputs!$B$29,IF(Skills!C7=3,120+Inputs!$B$27+Inputs!$B$29,MAX(0,(Inputs!$B$3-100)*3)+Inputs!$B$28+Inputs!$B$29)))</f>
        <v/>
      </c>
      <c r="E1506">
        <f>INDEX(FactorTable!$B$2:$Y$301, MATCH(ROUND(MIN(300,MAX(1,D1506)),0), FactorTable!$A$2:$A$301,0), Skills!M7+1)</f>
        <v/>
      </c>
      <c r="F1506">
        <f>IF(Skills!N7=TRUE,(Skills!L7/10)*(E1506/1000),Skills!L7/10)+Skills!O7</f>
        <v/>
      </c>
      <c r="G1506">
        <f>Skills!G7*IF(Skills!H7&gt;0,Skills!I7/Skills!H7,1)</f>
        <v/>
      </c>
      <c r="H1506">
        <f>1-(1-Skills!J7/100)^Skills!K7</f>
        <v/>
      </c>
      <c r="I1506" t="inlineStr">
        <is>
          <t>1</t>
        </is>
      </c>
      <c r="J1506">
        <f>((Inputs!$B$6*(1+Inputs!$B$7/100))+(((Inputs!$B$12*(1+Inputs!$B$13/100))-(Inputs!$B$12*(1+Inputs!$B$13/100)))+0.25*(Inputs!$B$14-Inputs!$B$14))*(1+Inputs!$B$7/100))*(F1506/100)</f>
        <v/>
      </c>
      <c r="K1506">
        <f>J1506*(1+((Inputs!$B$12*(1+Inputs!$B$13/100))*0.01+Inputs!$B$14*0.0025)/100)*(1+Inputs!$B$15/100)*(1+Inputs!$B$16/100)*(5000/(6000+Inputs!$B$42*(1-(100*(1-(1-(Inputs!$B$19+0)/100)*(1-CHOOSE(ArtifactsInput!$N$40+1,5,6,7,8,9,10)/100)^(ArtifactsInput!$M$40-ArtifactsInput!$M$40)))/100)))*(1+(Inputs!$B$24+((C1524=TRUE)*(F1524-Calc!F25))+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1520=TRUE)*(F1520-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1522=TRUE)*(F1522-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1512=TRUE)*F1512*IF(Inputs!$B$3&gt;=110,7,5))+((C1514=TRUE)*F1514*IF(AND(Inputs!$B$38&lt;&gt;"pvp",Inputs!$B$43&gt;0),(((R1514-1)*(Skills!T15*(1+(Inputs!$B$34+(ArtifactsInput!$M$7-ArtifactsInput!$M$7)*CHOOSE(ArtifactsInput!$N$7+1,6,7.2,8.4,9.6,10.8,12))/100))+MIN((Skills!T15*(1+(Inputs!$B$34+(ArtifactsInput!$M$7-ArtifactsInput!$M$7)*CHOOSE(ArtifactsInput!$N$7+1,6,7.2,8.4,9.6,10.8,12))/100)),MAX(0,Inputs!$B$43-((R1514-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100)*I1506)</f>
        <v/>
      </c>
      <c r="L1506">
        <f>K1506*(MIN(Inputs!$B$22+((C1521=TRUE)*(F1521-Calc!F22)),(Inputs!$B$23+((C1523=TRUE)*(F1523-Calc!F24))+(IF(ArtifactsInput!$M$15,CHOOSE(ArtifactsInput!$N$15+1,25,30,35,40,45,50)/100*(Inputs!$B$11-Inputs!$B$11),0))))/100+(Inputs!$B$23+((C1523=TRUE)*(F1523-Calc!F24))+(IF(ArtifactsInput!$M$15,CHOOSE(ArtifactsInput!$N$15+1,25,30,35,40,45,50)/100*(Inputs!$B$11-Inputs!$B$11),0)))/100)/2</f>
        <v/>
      </c>
      <c r="M1506">
        <f>L1506*(1+(Inputs!$B$10+0+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6">
        <f>L1506*(1-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1506*(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6">
        <f>(1-Summary!$B$11)*T1506+Summary!$B$11*V1506</f>
        <v/>
      </c>
      <c r="P1506">
        <f>IF(B1538=0,0,O1506/B1538)</f>
        <v/>
      </c>
      <c r="Q1506">
        <f>IFERROR(1/(IF(Inputs!$B$38="pvp",15,MAX(0.1,Skills!D7-IF(Skills!E7=TRUE,Inputs!$B$32,0)))*(1-IF(AND(ArtifactsInput!$M$27,Inputs!$B$4="Chapter Hunt"),CHOOSE(ArtifactsInput!$N$27+1,20,24,28,32,36,40),0)/100)),0)</f>
        <v/>
      </c>
      <c r="R1506">
        <f>IF(AND(Inputs!$B$38&lt;&gt;"pvp",Inputs!$B$43&gt;0),IF(MAX(0,Inputs!$B$43-B1535)&lt;=0,0,(INT(MAX(0,Inputs!$B$43-B1535)/(IF(Inputs!$B$38="pvp",15,MAX(0.1,Skills!D7-IF(Skills!E7=TRUE,Inputs!$B$32,0)))*(1-IF(AND(ArtifactsInput!$M$27,Inputs!$B$4="Chapter Hunt"),CHOOSE(ArtifactsInput!$N$27+1,20,24,28,32,36,40),0)/100)))+1)),0)</f>
        <v/>
      </c>
      <c r="S1506">
        <f>IFERROR(O1506/N1506,0)</f>
        <v/>
      </c>
      <c r="T1506">
        <f>IF(C1506,(H1506*N1506*IF(AND(Inputs!$B$38&lt;&gt;"pvp",Inputs!$B$43&gt;0),((Skills!G7*((R1506-1)*IF(Skills!H7&gt;0,Skills!I7/Skills!H7,1)+IF(Skills!H7&gt;0,MIN(Skills!I7,MAX(0,MAX(0,Inputs!$B$43-B1535)-((R1506-1)*(IF(Inputs!$B$38="pvp",15,MAX(0.1,Skills!D7-IF(Skills!E7=TRUE,Inputs!$B$32,0)))*(1-IF(AND(ArtifactsInput!$M$27,Inputs!$B$4="Chapter Hunt"),CHOOSE(ArtifactsInput!$N$27+1,20,24,28,32,36,40),0)/100)))))/Skills!H7,1)))/Inputs!$B$43),G1506*Q1506)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1506*(1-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1506*(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1506*(1-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1506*(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6">
        <f>IF(C1506,(H1506*N1506*IF(AND(Inputs!$B$38&lt;&gt;"pvp",Inputs!$B$43&gt;0),((Skills!G7*((R1506-1)*IF(Skills!H7&gt;0,Skills!I7/Skills!H7,1)+IF(Skills!H7&gt;0,MIN(Skills!I7,MAX(0,MAX(0,Inputs!$B$43-B1535)-((R1506-1)*(IF(Inputs!$B$38="pvp",15,MAX(0.1,Skills!D7-IF(Skills!E7=TRUE,Inputs!$B$32,0)))*(1-IF(AND(ArtifactsInput!$M$27,Inputs!$B$4="Chapter Hunt"),CHOOSE(ArtifactsInput!$N$27+1,20,24,28,32,36,40),0)/100)))))/Skills!H7,1)))/Inputs!$B$43),G1506*Q1506)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7">
      <c r="A1507">
        <f>Skills!A8</f>
        <v/>
      </c>
      <c r="B1507">
        <f>Skills!B8</f>
        <v/>
      </c>
      <c r="C1507">
        <f>Inputs!$B$3&gt;=117</f>
        <v/>
      </c>
      <c r="D1507">
        <f>IF(Skills!C8=1,60+Inputs!$B$25+Inputs!$B$29,IF(Skills!C8=2,90+Inputs!$B$26+Inputs!$B$29,IF(Skills!C8=3,120+Inputs!$B$27+Inputs!$B$29,MAX(0,(Inputs!$B$3-100)*3)+Inputs!$B$28+Inputs!$B$29)))</f>
        <v/>
      </c>
      <c r="E1507">
        <f>INDEX(FactorTable!$B$2:$Y$301, MATCH(ROUND(MIN(300,MAX(1,D1507)),0), FactorTable!$A$2:$A$301,0), Skills!M8+1)</f>
        <v/>
      </c>
      <c r="F1507">
        <f>IF(Skills!N8=TRUE,(Skills!L8/10)*(E1507/1000),Skills!L8/10)+Skills!O8</f>
        <v/>
      </c>
      <c r="G1507">
        <f>Skills!G8*IF(Skills!H8&gt;0,Skills!I8/Skills!H8,1)</f>
        <v/>
      </c>
      <c r="H1507">
        <f>1-(1-Skills!J8/100)^Skills!K8</f>
        <v/>
      </c>
      <c r="I1507" t="inlineStr">
        <is>
          <t>1</t>
        </is>
      </c>
      <c r="J1507">
        <f>((Inputs!$B$6*(1+Inputs!$B$7/100))+(((Inputs!$B$12*(1+Inputs!$B$13/100))-(Inputs!$B$12*(1+Inputs!$B$13/100)))+0.25*(Inputs!$B$14-Inputs!$B$14))*(1+Inputs!$B$7/100))*(F1507/100)</f>
        <v/>
      </c>
      <c r="K1507">
        <f>J1507*(1+((Inputs!$B$12*(1+Inputs!$B$13/100))*0.01+Inputs!$B$14*0.0025)/100)*(1+Inputs!$B$15/100)*(1+Inputs!$B$16/100)*(5000/(6000+Inputs!$B$42*(1-(100*(1-(1-(Inputs!$B$19+0)/100)*(1-CHOOSE(ArtifactsInput!$N$40+1,5,6,7,8,9,10)/100)^(ArtifactsInput!$M$40-ArtifactsInput!$M$40)))/100)))*(1+(Inputs!$B$24+((C1524=TRUE)*(F1524-Calc!F25))+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1520=TRUE)*(F1520-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1522=TRUE)*(F1522-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1512=TRUE)*F1512*IF(Inputs!$B$3&gt;=110,7,5))+((C1514=TRUE)*F1514*IF(AND(Inputs!$B$38&lt;&gt;"pvp",Inputs!$B$43&gt;0),(((R1514-1)*(Skills!T15*(1+(Inputs!$B$34+(ArtifactsInput!$M$7-ArtifactsInput!$M$7)*CHOOSE(ArtifactsInput!$N$7+1,6,7.2,8.4,9.6,10.8,12))/100))+MIN((Skills!T15*(1+(Inputs!$B$34+(ArtifactsInput!$M$7-ArtifactsInput!$M$7)*CHOOSE(ArtifactsInput!$N$7+1,6,7.2,8.4,9.6,10.8,12))/100)),MAX(0,Inputs!$B$43-((R1514-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100)*I1507)</f>
        <v/>
      </c>
      <c r="L1507">
        <f>K1507*(MIN(Inputs!$B$22+((C1521=TRUE)*(F1521-Calc!F22)),(Inputs!$B$23+((C1523=TRUE)*(F1523-Calc!F24))+(IF(ArtifactsInput!$M$15,CHOOSE(ArtifactsInput!$N$15+1,25,30,35,40,45,50)/100*(Inputs!$B$11-Inputs!$B$11),0))))/100+(Inputs!$B$23+((C1523=TRUE)*(F1523-Calc!F24))+(IF(ArtifactsInput!$M$15,CHOOSE(ArtifactsInput!$N$15+1,25,30,35,40,45,50)/100*(Inputs!$B$11-Inputs!$B$11),0)))/100)/2</f>
        <v/>
      </c>
      <c r="M1507">
        <f>L1507*(1+(Inputs!$B$10+0+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7">
        <f>L1507*(1-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1507*(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7">
        <f>(1-Summary!$B$11)*T1507+Summary!$B$11*V1507</f>
        <v/>
      </c>
      <c r="P1507">
        <f>IF(B1538=0,0,O1507/B1538)</f>
        <v/>
      </c>
      <c r="Q1507">
        <f>IFERROR(1/(IF(Inputs!$B$38="pvp",15,MAX(0.1,Skills!D8-IF(Skills!E8=TRUE,Inputs!$B$32,0)))*(1-IF(AND(ArtifactsInput!$M$27,Inputs!$B$4="Chapter Hunt"),CHOOSE(ArtifactsInput!$N$27+1,20,24,28,32,36,40),0)/100)),0)</f>
        <v/>
      </c>
      <c r="R1507">
        <f>IF(AND(Inputs!$B$38&lt;&gt;"pvp",Inputs!$B$43&gt;0),IF(MAX(0,Inputs!$B$43-B1535)&lt;=0,0,(INT(MAX(0,Inputs!$B$43-B1535)/(IF(Inputs!$B$38="pvp",15,MAX(0.1,Skills!D8-IF(Skills!E8=TRUE,Inputs!$B$32,0)))*(1-IF(AND(ArtifactsInput!$M$27,Inputs!$B$4="Chapter Hunt"),CHOOSE(ArtifactsInput!$N$27+1,20,24,28,32,36,40),0)/100)))+1)),0)</f>
        <v/>
      </c>
      <c r="S1507">
        <f>IFERROR(O1507/N1507,0)</f>
        <v/>
      </c>
      <c r="T1507">
        <f>IF(C1507,(H1507*N1507*IF(AND(Inputs!$B$38&lt;&gt;"pvp",Inputs!$B$43&gt;0),((Skills!G8*((R1507-1)*IF(Skills!H8&gt;0,Skills!I8/Skills!H8,1)+IF(Skills!H8&gt;0,MIN(Skills!I8,MAX(0,MAX(0,Inputs!$B$43-B1535)-((R1507-1)*(IF(Inputs!$B$38="pvp",15,MAX(0.1,Skills!D8-IF(Skills!E8=TRUE,Inputs!$B$32,0)))*(1-IF(AND(ArtifactsInput!$M$27,Inputs!$B$4="Chapter Hunt"),CHOOSE(ArtifactsInput!$N$27+1,20,24,28,32,36,40),0)/100)))))/Skills!H8,1)))/Inputs!$B$43),G1507*Q1507)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1507*(1-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1507*(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1507*(1-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1507*(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7">
        <f>IF(C1507,(H1507*N1507*IF(AND(Inputs!$B$38&lt;&gt;"pvp",Inputs!$B$43&gt;0),((Skills!G8*((R1507-1)*IF(Skills!H8&gt;0,Skills!I8/Skills!H8,1)+IF(Skills!H8&gt;0,MIN(Skills!I8,MAX(0,MAX(0,Inputs!$B$43-B1535)-((R1507-1)*(IF(Inputs!$B$38="pvp",15,MAX(0.1,Skills!D8-IF(Skills!E8=TRUE,Inputs!$B$32,0)))*(1-IF(AND(ArtifactsInput!$M$27,Inputs!$B$4="Chapter Hunt"),CHOOSE(ArtifactsInput!$N$27+1,20,24,28,32,36,40),0)/100)))))/Skills!H8,1)))/Inputs!$B$43),G1507*Q1507)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8">
      <c r="A1508">
        <f>Skills!A9</f>
        <v/>
      </c>
      <c r="B1508">
        <f>Skills!B9</f>
        <v/>
      </c>
      <c r="C1508">
        <f>Inputs!$B$3&gt;=69</f>
        <v/>
      </c>
      <c r="D1508">
        <f>IF(Skills!C9=1,60+Inputs!$B$25+Inputs!$B$29,IF(Skills!C9=2,90+Inputs!$B$26+Inputs!$B$29,IF(Skills!C9=3,120+Inputs!$B$27+Inputs!$B$29,MAX(0,(Inputs!$B$3-100)*3)+Inputs!$B$28+Inputs!$B$29)))</f>
        <v/>
      </c>
      <c r="E1508">
        <f>INDEX(FactorTable!$B$2:$Y$301, MATCH(ROUND(MIN(300,MAX(1,D1508)),0), FactorTable!$A$2:$A$301,0), Skills!M9+1)</f>
        <v/>
      </c>
      <c r="F1508">
        <f>IF(Skills!N9=TRUE,(Skills!L9/10)*(E1508/1000),Skills!L9/10)+Skills!O9</f>
        <v/>
      </c>
      <c r="G1508">
        <f>Skills!G9*IF(Skills!H9&gt;0,Skills!I9/Skills!H9,1)</f>
        <v/>
      </c>
      <c r="H1508">
        <f>1-(1-Skills!J9/100)^Skills!K9</f>
        <v/>
      </c>
      <c r="I1508" t="inlineStr">
        <is>
          <t>1</t>
        </is>
      </c>
      <c r="J1508">
        <f>((Inputs!$B$6*(1+Inputs!$B$7/100))+(((Inputs!$B$12*(1+Inputs!$B$13/100))-(Inputs!$B$12*(1+Inputs!$B$13/100)))+0.25*(Inputs!$B$14-Inputs!$B$14))*(1+Inputs!$B$7/100))*(F1508/100)</f>
        <v/>
      </c>
      <c r="K1508">
        <f>J1508*(1+((Inputs!$B$12*(1+Inputs!$B$13/100))*0.01+Inputs!$B$14*0.0025)/100)*(1+Inputs!$B$15/100)*(1+Inputs!$B$16/100)*(5000/(6000+Inputs!$B$42*(1-(100*(1-(1-(Inputs!$B$19+0)/100)*(1-CHOOSE(ArtifactsInput!$N$40+1,5,6,7,8,9,10)/100)^(ArtifactsInput!$M$40-ArtifactsInput!$M$40)))/100)))*(1+(Inputs!$B$24+((C1524=TRUE)*(F1524-Calc!F25))+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1511=TRUE,F1511,0)/100)*(1+IF(Skills!A9="ENHANCED_RAGING_BLOW",IF(Inputs!$B$3&gt;=134,MAX(0,IF(Inputs!$B$3&gt;=110,7,5)-5)*50,0),0)/100)*(1+(IF(Skills!A9="RAGING_BLOW",Inputs!$B$17+((C1520=TRUE)*(F1520-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1522=TRUE)*(F1522-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1512=TRUE)*F1512*IF(Inputs!$B$3&gt;=110,7,5))+((C1514=TRUE)*F1514*IF(AND(Inputs!$B$38&lt;&gt;"pvp",Inputs!$B$43&gt;0),(((R1514-1)*(Skills!T15*(1+(Inputs!$B$34+(ArtifactsInput!$M$7-ArtifactsInput!$M$7)*CHOOSE(ArtifactsInput!$N$7+1,6,7.2,8.4,9.6,10.8,12))/100))+MIN((Skills!T15*(1+(Inputs!$B$34+(ArtifactsInput!$M$7-ArtifactsInput!$M$7)*CHOOSE(ArtifactsInput!$N$7+1,6,7.2,8.4,9.6,10.8,12))/100)),MAX(0,Inputs!$B$43-((R1514-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100)*I1508)</f>
        <v/>
      </c>
      <c r="L1508">
        <f>K1508*(MIN(Inputs!$B$22+((C1521=TRUE)*(F1521-Calc!F22)),(Inputs!$B$23+((C1523=TRUE)*(F1523-Calc!F24))+(IF(ArtifactsInput!$M$15,CHOOSE(ArtifactsInput!$N$15+1,25,30,35,40,45,50)/100*(Inputs!$B$11-Inputs!$B$11),0))))/100+(Inputs!$B$23+((C1523=TRUE)*(F1523-Calc!F24))+(IF(ArtifactsInput!$M$15,CHOOSE(ArtifactsInput!$N$15+1,25,30,35,40,45,50)/100*(Inputs!$B$11-Inputs!$B$11),0)))/100)/2</f>
        <v/>
      </c>
      <c r="M1508">
        <f>L1508*(1+(Inputs!$B$10+0+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8">
        <f>L1508*(1-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1508*(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8">
        <f>(1-Summary!$B$11)*T1508+Summary!$B$11*V1508</f>
        <v/>
      </c>
      <c r="P1508">
        <f>IF(B1538=0,0,O1508/B1538)</f>
        <v/>
      </c>
      <c r="Q1508">
        <f>IFERROR(1/(IF(Inputs!$B$38="pvp",15,MAX(0.1,Skills!D9-IF(Skills!E9=TRUE,Inputs!$B$32,0)))*(1-IF(AND(ArtifactsInput!$M$27,Inputs!$B$4="Chapter Hunt"),CHOOSE(ArtifactsInput!$N$27+1,20,24,28,32,36,40),0)/100)),0)</f>
        <v/>
      </c>
      <c r="R1508">
        <f>IF(AND(Inputs!$B$38&lt;&gt;"pvp",Inputs!$B$43&gt;0),IF(MAX(0,Inputs!$B$43-B1535)&lt;=0,0,(INT(MAX(0,Inputs!$B$43-B1535)/(IF(Inputs!$B$38="pvp",15,MAX(0.1,Skills!D9-IF(Skills!E9=TRUE,Inputs!$B$32,0)))*(1-IF(AND(ArtifactsInput!$M$27,Inputs!$B$4="Chapter Hunt"),CHOOSE(ArtifactsInput!$N$27+1,20,24,28,32,36,40),0)/100)))+1)),0)</f>
        <v/>
      </c>
      <c r="S1508">
        <f>IFERROR(O1508/N1508,0)</f>
        <v/>
      </c>
      <c r="T1508">
        <f>IF(C1508,(H1508*N1508*IF(AND(Inputs!$B$38&lt;&gt;"pvp",Inputs!$B$43&gt;0),((Skills!G9*((R1508-1)*IF(Skills!H9&gt;0,Skills!I9/Skills!H9,1)+IF(Skills!H9&gt;0,MIN(Skills!I9,MAX(0,MAX(0,Inputs!$B$43-B1535)-((R1508-1)*(IF(Inputs!$B$38="pvp",15,MAX(0.1,Skills!D9-IF(Skills!E9=TRUE,Inputs!$B$32,0)))*(1-IF(AND(ArtifactsInput!$M$27,Inputs!$B$4="Chapter Hunt"),CHOOSE(ArtifactsInput!$N$27+1,20,24,28,32,36,40),0)/100)))))/Skills!H9,1)))/Inputs!$B$43),G1508*Q1508)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1508*(1-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1508*(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1508*(1-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1508*(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8">
        <f>IF(C1508,(H1508*N1508*IF(AND(Inputs!$B$38&lt;&gt;"pvp",Inputs!$B$43&gt;0),((Skills!G9*((R1508-1)*IF(Skills!H9&gt;0,Skills!I9/Skills!H9,1)+IF(Skills!H9&gt;0,MIN(Skills!I9,MAX(0,MAX(0,Inputs!$B$43-B1535)-((R1508-1)*(IF(Inputs!$B$38="pvp",15,MAX(0.1,Skills!D9-IF(Skills!E9=TRUE,Inputs!$B$32,0)))*(1-IF(AND(ArtifactsInput!$M$27,Inputs!$B$4="Chapter Hunt"),CHOOSE(ArtifactsInput!$N$27+1,20,24,28,32,36,40),0)/100)))))/Skills!H9,1)))/Inputs!$B$43),G1508*Q1508)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9">
      <c r="A1509">
        <f>Skills!A10</f>
        <v/>
      </c>
      <c r="B1509">
        <f>Skills!B10</f>
        <v/>
      </c>
      <c r="C1509">
        <f>Inputs!$B$3&gt;=63</f>
        <v/>
      </c>
      <c r="D1509">
        <f>IF(Skills!C10=1,60+Inputs!$B$25+Inputs!$B$29,IF(Skills!C10=2,90+Inputs!$B$26+Inputs!$B$29,IF(Skills!C10=3,120+Inputs!$B$27+Inputs!$B$29,MAX(0,(Inputs!$B$3-100)*3)+Inputs!$B$28+Inputs!$B$29)))</f>
        <v/>
      </c>
      <c r="E1509">
        <f>INDEX(FactorTable!$B$2:$Y$301, MATCH(ROUND(MIN(300,MAX(1,D1509)),0), FactorTable!$A$2:$A$301,0), Skills!M10+1)</f>
        <v/>
      </c>
      <c r="F1509">
        <f>IF(Skills!N10=TRUE,(Skills!L10/10)*(E1509/1000),Skills!L10/10)+Skills!O10</f>
        <v/>
      </c>
      <c r="G1509">
        <f>Skills!G10*IF(Skills!H10&gt;0,Skills!I10/Skills!H10,1)</f>
        <v/>
      </c>
      <c r="H1509">
        <f>1-(1-Skills!J10/100)^Skills!K10</f>
        <v/>
      </c>
      <c r="I1509" t="inlineStr">
        <is>
          <t>1</t>
        </is>
      </c>
      <c r="J1509">
        <f>((Inputs!$B$6*(1+Inputs!$B$7/100))+(((Inputs!$B$12*(1+Inputs!$B$13/100))-(Inputs!$B$12*(1+Inputs!$B$13/100)))+0.25*(Inputs!$B$14-Inputs!$B$14))*(1+Inputs!$B$7/100))*(F1509/100)</f>
        <v/>
      </c>
      <c r="K1509">
        <f>J1509*(1+((Inputs!$B$12*(1+Inputs!$B$13/100))*0.01+Inputs!$B$14*0.0025)/100)*(1+Inputs!$B$15/100)*(1+Inputs!$B$16/100)*(5000/(6000+Inputs!$B$42*(1-(100*(1-(1-(Inputs!$B$19+0)/100)*(1-CHOOSE(ArtifactsInput!$N$40+1,5,6,7,8,9,10)/100)^(ArtifactsInput!$M$40-ArtifactsInput!$M$40)))/100)))*(1+(Inputs!$B$24+((C1524=TRUE)*(F1524-Calc!F25))+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1511=TRUE,F1511,0)/100)*(1+IF(Skills!A10="ENHANCED_RAGING_BLOW",IF(Inputs!$B$3&gt;=134,MAX(0,IF(Inputs!$B$3&gt;=110,7,5)-5)*50,0),0)/100)*(1+(IF(Skills!A10="RAGING_BLOW",Inputs!$B$17+((C1520=TRUE)*(F1520-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1522=TRUE)*(F1522-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1512=TRUE)*F1512*IF(Inputs!$B$3&gt;=110,7,5))+((C1514=TRUE)*F1514*IF(AND(Inputs!$B$38&lt;&gt;"pvp",Inputs!$B$43&gt;0),(((R1514-1)*(Skills!T15*(1+(Inputs!$B$34+(ArtifactsInput!$M$7-ArtifactsInput!$M$7)*CHOOSE(ArtifactsInput!$N$7+1,6,7.2,8.4,9.6,10.8,12))/100))+MIN((Skills!T15*(1+(Inputs!$B$34+(ArtifactsInput!$M$7-ArtifactsInput!$M$7)*CHOOSE(ArtifactsInput!$N$7+1,6,7.2,8.4,9.6,10.8,12))/100)),MAX(0,Inputs!$B$43-((R1514-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100)*I1509)</f>
        <v/>
      </c>
      <c r="L1509">
        <f>K1509*(MIN(Inputs!$B$22+((C1521=TRUE)*(F1521-Calc!F22)),(Inputs!$B$23+((C1523=TRUE)*(F1523-Calc!F24))+(IF(ArtifactsInput!$M$15,CHOOSE(ArtifactsInput!$N$15+1,25,30,35,40,45,50)/100*(Inputs!$B$11-Inputs!$B$11),0))))/100+(Inputs!$B$23+((C1523=TRUE)*(F1523-Calc!F24))+(IF(ArtifactsInput!$M$15,CHOOSE(ArtifactsInput!$N$15+1,25,30,35,40,45,50)/100*(Inputs!$B$11-Inputs!$B$11),0)))/100)/2</f>
        <v/>
      </c>
      <c r="M1509">
        <f>L1509*(1+(Inputs!$B$10+0+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9">
        <f>L1509*(1-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1509*(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9">
        <f>(1-Summary!$B$11)*T1509+Summary!$B$11*V1509</f>
        <v/>
      </c>
      <c r="P1509">
        <f>IF(B1538=0,0,O1509/B1538)</f>
        <v/>
      </c>
      <c r="Q1509">
        <f>IFERROR(1/(IF(Inputs!$B$38="pvp",15,MAX(0.1,Skills!D10-IF(Skills!E10=TRUE,Inputs!$B$32,0)))*(1-IF(AND(ArtifactsInput!$M$27,Inputs!$B$4="Chapter Hunt"),CHOOSE(ArtifactsInput!$N$27+1,20,24,28,32,36,40),0)/100)),0)</f>
        <v/>
      </c>
      <c r="R1509">
        <f>IF(AND(Inputs!$B$38&lt;&gt;"pvp",Inputs!$B$43&gt;0),IF(MAX(0,Inputs!$B$43-B1535)&lt;=0,0,(INT(MAX(0,Inputs!$B$43-B1535)/(IF(Inputs!$B$38="pvp",15,MAX(0.1,Skills!D10-IF(Skills!E10=TRUE,Inputs!$B$32,0)))*(1-IF(AND(ArtifactsInput!$M$27,Inputs!$B$4="Chapter Hunt"),CHOOSE(ArtifactsInput!$N$27+1,20,24,28,32,36,40),0)/100)))+1)),0)</f>
        <v/>
      </c>
      <c r="S1509">
        <f>IFERROR(O1509/N1509,0)</f>
        <v/>
      </c>
      <c r="T1509">
        <f>IF(C1509,(H1509*N1509*IF(AND(Inputs!$B$38&lt;&gt;"pvp",Inputs!$B$43&gt;0),((Skills!G10*((R1509-1)*IF(Skills!H10&gt;0,Skills!I10/Skills!H10,1)+IF(Skills!H10&gt;0,MIN(Skills!I10,MAX(0,MAX(0,Inputs!$B$43-B1535)-((R1509-1)*(IF(Inputs!$B$38="pvp",15,MAX(0.1,Skills!D10-IF(Skills!E10=TRUE,Inputs!$B$32,0)))*(1-IF(AND(ArtifactsInput!$M$27,Inputs!$B$4="Chapter Hunt"),CHOOSE(ArtifactsInput!$N$27+1,20,24,28,32,36,40),0)/100)))))/Skills!H10,1)))/Inputs!$B$43),G1509*Q1509)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1509*(1-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1509*(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1509*(1-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1509*(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09">
        <f>IF(C1509,(H1509*N1509*IF(AND(Inputs!$B$38&lt;&gt;"pvp",Inputs!$B$43&gt;0),((Skills!G10*((R1509-1)*IF(Skills!H10&gt;0,Skills!I10/Skills!H10,1)+IF(Skills!H10&gt;0,MIN(Skills!I10,MAX(0,MAX(0,Inputs!$B$43-B1535)-((R1509-1)*(IF(Inputs!$B$38="pvp",15,MAX(0.1,Skills!D10-IF(Skills!E10=TRUE,Inputs!$B$32,0)))*(1-IF(AND(ArtifactsInput!$M$27,Inputs!$B$4="Chapter Hunt"),CHOOSE(ArtifactsInput!$N$27+1,20,24,28,32,36,40),0)/100)))))/Skills!H10,1)))/Inputs!$B$43),G1509*Q1509)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0">
      <c r="A1510">
        <f>Skills!A11</f>
        <v/>
      </c>
      <c r="B1510">
        <f>Skills!B11</f>
        <v/>
      </c>
      <c r="C1510">
        <f>Inputs!$B$3&gt;=35</f>
        <v/>
      </c>
      <c r="D1510">
        <f>IF(Skills!C11=1,60+Inputs!$B$25+Inputs!$B$29,IF(Skills!C11=2,90+Inputs!$B$26+Inputs!$B$29,IF(Skills!C11=3,120+Inputs!$B$27+Inputs!$B$29,MAX(0,(Inputs!$B$3-100)*3)+Inputs!$B$28+Inputs!$B$29)))</f>
        <v/>
      </c>
      <c r="E1510">
        <f>INDEX(FactorTable!$B$2:$Y$301, MATCH(ROUND(MIN(300,MAX(1,D1510)),0), FactorTable!$A$2:$A$301,0), Skills!M11+1)</f>
        <v/>
      </c>
      <c r="F1510">
        <f>IF(Skills!N11=TRUE,(Skills!L11/10)*(E1510/1000),Skills!L11/10)+Skills!O11</f>
        <v/>
      </c>
      <c r="G1510">
        <f>Skills!G11*IF(Skills!H11&gt;0,Skills!I11/Skills!H11,1)</f>
        <v/>
      </c>
      <c r="H1510">
        <f>1-(1-Skills!J11/100)^Skills!K11</f>
        <v/>
      </c>
      <c r="I1510" t="inlineStr">
        <is>
          <t>1</t>
        </is>
      </c>
      <c r="J1510">
        <f>((Inputs!$B$6*(1+Inputs!$B$7/100))+(((Inputs!$B$12*(1+Inputs!$B$13/100))-(Inputs!$B$12*(1+Inputs!$B$13/100)))+0.25*(Inputs!$B$14-Inputs!$B$14))*(1+Inputs!$B$7/100))*(F1510/100)</f>
        <v/>
      </c>
      <c r="K1510">
        <f>J1510*(1+((Inputs!$B$12*(1+Inputs!$B$13/100))*0.01+Inputs!$B$14*0.0025)/100)*(1+Inputs!$B$15/100)*(1+Inputs!$B$16/100)*(5000/(6000+Inputs!$B$42*(1-(100*(1-(1-(Inputs!$B$19+0)/100)*(1-CHOOSE(ArtifactsInput!$N$40+1,5,6,7,8,9,10)/100)^(ArtifactsInput!$M$40-ArtifactsInput!$M$40)))/100)))*(1+(Inputs!$B$24+((C1524=TRUE)*(F1524-Calc!F25))+B1534)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1511=TRUE,F1511,0)/100)*(1+IF(Skills!A11="ENHANCED_RAGING_BLOW",IF(Inputs!$B$3&gt;=134,MAX(0,IF(Inputs!$B$3&gt;=110,7,5)-5)*50,0),0)/100)*(1+(IF(Skills!A11="RAGING_BLOW",Inputs!$B$17+((C1520=TRUE)*(F1520-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1522=TRUE)*(F1522-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1512=TRUE)*F1512*IF(Inputs!$B$3&gt;=110,7,5))+((C1514=TRUE)*F1514*IF(AND(Inputs!$B$38&lt;&gt;"pvp",Inputs!$B$43&gt;0),(((R1514-1)*(Skills!T15*(1+(Inputs!$B$34+(ArtifactsInput!$M$7-ArtifactsInput!$M$7)*CHOOSE(ArtifactsInput!$N$7+1,6,7.2,8.4,9.6,10.8,12))/100))+MIN((Skills!T15*(1+(Inputs!$B$34+(ArtifactsInput!$M$7-ArtifactsInput!$M$7)*CHOOSE(ArtifactsInput!$N$7+1,6,7.2,8.4,9.6,10.8,12))/100)),MAX(0,Inputs!$B$43-((R1514-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Hunt"),CHOOSE(ArtifactsInput!$N$35+1,15,18,21,24,27,30)*(1-EXP(-(0.2*B1530)*5)),0)+IF(AND(ArtifactsInput!$M$22,Inputs!$B$4&lt;&gt;"Chapter Hunt"),CHOOSE(ArtifactsInput!$N$22+1,10,12,14,16,18,20)*((0*(((0.15*B1530*5))^0/1)+1*(((0.15*B1530*5))^1/1)+2*(((0.15*B1530*5))^2/2)+3*(((0.15*B1530*5))^3/6)+4*(((0.15*B1530*5))^4/24)+5*(((0.15*B1530*5))^5/120))/((((0.15*B1530*5))^0/1)+(((0.15*B1530*5))^1/1)+(((0.15*B1530*5))^2/2)+(((0.15*B1530*5))^3/6)+(((0.15*B1530*5))^4/24)+(((0.15*B1530*5))^5/120))),0)))/100)*I1510)</f>
        <v/>
      </c>
      <c r="L1510">
        <f>K1510*(MIN(Inputs!$B$22+((C1521=TRUE)*(F1521-Calc!F22)),(Inputs!$B$23+((C1523=TRUE)*(F1523-Calc!F24))+(IF(ArtifactsInput!$M$15,CHOOSE(ArtifactsInput!$N$15+1,25,30,35,40,45,50)/100*(Inputs!$B$11-Inputs!$B$11),0))))/100+(Inputs!$B$23+((C1523=TRUE)*(F1523-Calc!F24))+(IF(ArtifactsInput!$M$15,CHOOSE(ArtifactsInput!$N$15+1,25,30,35,40,45,50)/100*(Inputs!$B$11-Inputs!$B$11),0)))/100)/2</f>
        <v/>
      </c>
      <c r="M1510">
        <f>L1510*(1+(Inputs!$B$10+0+B1533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0">
        <f>L1510*(1-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1510*(MIN((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0">
        <f>(1-Summary!$B$11)*T1510+Summary!$B$11*V1510</f>
        <v/>
      </c>
      <c r="P1510">
        <f>IF(B1538=0,0,O1510/B1538)</f>
        <v/>
      </c>
      <c r="Q1510">
        <f>IFERROR(1/(IF(Inputs!$B$38="pvp",15,MAX(0.1,Skills!D11-IF(Skills!E11=TRUE,Inputs!$B$32,0)))*(1-IF(AND(ArtifactsInput!$M$27,Inputs!$B$4="Chapter Hunt"),CHOOSE(ArtifactsInput!$N$27+1,20,24,28,32,36,40),0)/100)),0)</f>
        <v/>
      </c>
      <c r="R1510">
        <f>IF(AND(Inputs!$B$38&lt;&gt;"pvp",Inputs!$B$43&gt;0),IF(MAX(0,Inputs!$B$43-B1535)&lt;=0,0,(INT(MAX(0,Inputs!$B$43-B1535)/(IF(Inputs!$B$38="pvp",15,MAX(0.1,Skills!D11-IF(Skills!E11=TRUE,Inputs!$B$32,0)))*(1-IF(AND(ArtifactsInput!$M$27,Inputs!$B$4="Chapter Hunt"),CHOOSE(ArtifactsInput!$N$27+1,20,24,28,32,36,40),0)/100)))+1)),0)</f>
        <v/>
      </c>
      <c r="S1510">
        <f>IFERROR(O1510/N1510,0)</f>
        <v/>
      </c>
      <c r="T1510">
        <f>IF(C1510,(H1510*N1510*IF(AND(Inputs!$B$38&lt;&gt;"pvp",Inputs!$B$43&gt;0),((Skills!G11*((R1510-1)*IF(Skills!H11&gt;0,Skills!I11/Skills!H11,1)+IF(Skills!H11&gt;0,MIN(Skills!I11,MAX(0,MAX(0,Inputs!$B$43-B1535)-((R1510-1)*(IF(Inputs!$B$38="pvp",15,MAX(0.1,Skills!D11-IF(Skills!E11=TRUE,Inputs!$B$32,0)))*(1-IF(AND(ArtifactsInput!$M$27,Inputs!$B$4="Chapter Hunt"),CHOOSE(ArtifactsInput!$N$27+1,20,24,28,32,36,40),0)/100)))))/Skills!H11,1)))/Inputs!$B$43),G1510*Q1510)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1510*(1-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1510*(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1510*(1-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1510*(MIN(100,(Inputs!$B$9+((C1525=TRUE)*(F1525-Calc!F26))+B1528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0">
        <f>IF(C1510,(H1510*N1510*IF(AND(Inputs!$B$38&lt;&gt;"pvp",Inputs!$B$43&gt;0),((Skills!G11*((R1510-1)*IF(Skills!H11&gt;0,Skills!I11/Skills!H11,1)+IF(Skills!H11&gt;0,MIN(Skills!I11,MAX(0,MAX(0,Inputs!$B$43-B1535)-((R1510-1)*(IF(Inputs!$B$38="pvp",15,MAX(0.1,Skills!D11-IF(Skills!E11=TRUE,Inputs!$B$32,0)))*(1-IF(AND(ArtifactsInput!$M$27,Inputs!$B$4="Chapter Hunt"),CHOOSE(ArtifactsInput!$N$27+1,20,24,28,32,36,40),0)/100)))))/Skills!H11,1)))/Inputs!$B$43),G1510*Q1510)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1">
      <c r="A1511">
        <f>Skills!A12</f>
        <v/>
      </c>
      <c r="B1511">
        <f>Skills!B12</f>
        <v/>
      </c>
      <c r="C1511">
        <f>Inputs!$B$3&gt;=100</f>
        <v/>
      </c>
      <c r="D1511">
        <f>IF(Skills!C12=1,60+Inputs!$B$25+Inputs!$B$29,IF(Skills!C12=2,90+Inputs!$B$26+Inputs!$B$29,IF(Skills!C12=3,120+Inputs!$B$27+Inputs!$B$29,MAX(0,(Inputs!$B$3-100)*3)+Inputs!$B$28+Inputs!$B$29)))</f>
        <v/>
      </c>
      <c r="E1511">
        <f>INDEX(FactorTable!$B$2:$Y$301, MATCH(ROUND(MIN(300,MAX(1,D1511)),0), FactorTable!$A$2:$A$301,0), Skills!M12+1)</f>
        <v/>
      </c>
      <c r="F1511">
        <f>IF(Skills!N12=TRUE,(Skills!L12/10)*(E1511/1000),Skills!L12/10)+Skills!O12</f>
        <v/>
      </c>
      <c r="G1511" t="inlineStr"/>
      <c r="H1511" t="inlineStr"/>
      <c r="I1511" t="inlineStr">
        <is>
          <t>1</t>
        </is>
      </c>
      <c r="J1511" t="inlineStr"/>
      <c r="K1511" t="inlineStr"/>
      <c r="L1511" t="inlineStr"/>
      <c r="M1511" t="inlineStr"/>
      <c r="N1511" t="inlineStr"/>
      <c r="O1511" t="inlineStr"/>
      <c r="P1511" t="inlineStr"/>
      <c r="Q1511" t="inlineStr"/>
      <c r="R1511" t="inlineStr"/>
      <c r="S1511" t="inlineStr"/>
    </row>
    <row r="1512">
      <c r="A1512">
        <f>Skills!A13</f>
        <v/>
      </c>
      <c r="B1512">
        <f>Skills!B13</f>
        <v/>
      </c>
      <c r="C1512">
        <f>Inputs!$B$3&gt;=45</f>
        <v/>
      </c>
      <c r="D1512">
        <f>IF(Skills!C13=1,60+Inputs!$B$25+Inputs!$B$29,IF(Skills!C13=2,90+Inputs!$B$26+Inputs!$B$29,IF(Skills!C13=3,120+Inputs!$B$27+Inputs!$B$29,MAX(0,(Inputs!$B$3-100)*3)+Inputs!$B$28+Inputs!$B$29)))</f>
        <v/>
      </c>
      <c r="E1512">
        <f>INDEX(FactorTable!$B$2:$Y$301, MATCH(ROUND(MIN(300,MAX(1,D1512)),0), FactorTable!$A$2:$A$301,0), Skills!M13+1)</f>
        <v/>
      </c>
      <c r="F1512">
        <f>IF(Skills!N13=TRUE,(Skills!L13/10)*(E1512/1000),Skills!L13/10)+Skills!O13</f>
        <v/>
      </c>
      <c r="G1512">
        <f>Skills!G13*IF(Skills!H13&gt;0,Skills!I13/Skills!H13,1)</f>
        <v/>
      </c>
      <c r="H1512">
        <f>1-(1-Skills!J13/100)^Skills!K13</f>
        <v/>
      </c>
      <c r="I1512" t="inlineStr">
        <is>
          <t>1</t>
        </is>
      </c>
      <c r="J1512" t="inlineStr"/>
      <c r="K1512" t="inlineStr"/>
      <c r="L1512" t="inlineStr"/>
      <c r="M1512" t="inlineStr"/>
      <c r="N1512" t="inlineStr"/>
      <c r="O1512">
        <f>(1-Summary!$B$11)*T1512+Summary!$B$11*V1512</f>
        <v/>
      </c>
      <c r="P1512">
        <f>IF(B1538=0,0,O1512/B1538)</f>
        <v/>
      </c>
      <c r="Q1512" t="n">
        <v>0</v>
      </c>
      <c r="R1512" t="n">
        <v>0</v>
      </c>
      <c r="S1512">
        <f>IFERROR(O1512/N1512,0)</f>
        <v/>
      </c>
      <c r="T1512" t="n">
        <v>0</v>
      </c>
      <c r="V1512" t="n">
        <v>0</v>
      </c>
    </row>
    <row r="1513">
      <c r="A1513">
        <f>Skills!A14</f>
        <v/>
      </c>
      <c r="B1513">
        <f>Skills!B14</f>
        <v/>
      </c>
      <c r="C1513">
        <f>Inputs!$B$3&gt;=75</f>
        <v/>
      </c>
      <c r="D1513">
        <f>IF(Skills!C14=1,60+Inputs!$B$25+Inputs!$B$29,IF(Skills!C14=2,90+Inputs!$B$26+Inputs!$B$29,IF(Skills!C14=3,120+Inputs!$B$27+Inputs!$B$29,MAX(0,(Inputs!$B$3-100)*3)+Inputs!$B$28+Inputs!$B$29)))</f>
        <v/>
      </c>
      <c r="E1513">
        <f>INDEX(FactorTable!$B$2:$Y$301, MATCH(ROUND(MIN(300,MAX(1,D1513)),0), FactorTable!$A$2:$A$301,0), Skills!M14+1)</f>
        <v/>
      </c>
      <c r="F1513">
        <f>IF(Skills!N14=TRUE,(Skills!L14/10)*(E1513/1000),Skills!L14/10)+Skills!O14</f>
        <v/>
      </c>
      <c r="G1513">
        <f>Skills!G14*IF(Skills!H14&gt;0,Skills!I14/Skills!H14,1)</f>
        <v/>
      </c>
      <c r="H1513">
        <f>1-(1-Skills!J14/100)^Skills!K14</f>
        <v/>
      </c>
      <c r="I1513" t="inlineStr">
        <is>
          <t>1</t>
        </is>
      </c>
      <c r="J1513" t="inlineStr"/>
      <c r="K1513" t="inlineStr"/>
      <c r="L1513" t="inlineStr"/>
      <c r="M1513" t="inlineStr"/>
      <c r="N1513" t="inlineStr"/>
      <c r="O1513">
        <f>(1-Summary!$B$11)*T1513+Summary!$B$11*V1513</f>
        <v/>
      </c>
      <c r="P1513">
        <f>IF(B1538=0,0,O1513/B1538)</f>
        <v/>
      </c>
      <c r="Q1513" t="n">
        <v>0</v>
      </c>
      <c r="R1513" t="n">
        <v>0</v>
      </c>
      <c r="S1513">
        <f>IFERROR(O1513/N1513,0)</f>
        <v/>
      </c>
      <c r="T1513" t="n">
        <v>0</v>
      </c>
      <c r="V1513" t="n">
        <v>0</v>
      </c>
    </row>
    <row r="1514">
      <c r="A1514">
        <f>Skills!A15</f>
        <v/>
      </c>
      <c r="B1514">
        <f>Skills!B15</f>
        <v/>
      </c>
      <c r="C1514">
        <f>Inputs!$B$3&gt;=40</f>
        <v/>
      </c>
      <c r="D1514">
        <f>IF(Skills!C15=1,60+Inputs!$B$25+Inputs!$B$29,IF(Skills!C15=2,90+Inputs!$B$26+Inputs!$B$29,IF(Skills!C15=3,120+Inputs!$B$27+Inputs!$B$29,MAX(0,(Inputs!$B$3-100)*3)+Inputs!$B$28+Inputs!$B$29)))</f>
        <v/>
      </c>
      <c r="E1514">
        <f>INDEX(FactorTable!$B$2:$Y$301, MATCH(ROUND(MIN(300,MAX(1,D1514)),0), FactorTable!$A$2:$A$301,0), Skills!M15+1)</f>
        <v/>
      </c>
      <c r="F1514">
        <f>IF(Skills!N15=TRUE,(Skills!L15/10)*(E1514/1000),Skills!L15/10)+Skills!O15</f>
        <v/>
      </c>
      <c r="G1514">
        <f>Skills!G15*IF(Skills!H15&gt;0,Skills!I15/Skills!H15,1)</f>
        <v/>
      </c>
      <c r="H1514">
        <f>1-(1-Skills!J15/100)^Skills!K15</f>
        <v/>
      </c>
      <c r="I1514" t="inlineStr">
        <is>
          <t>1</t>
        </is>
      </c>
      <c r="J1514" t="inlineStr"/>
      <c r="K1514" t="inlineStr"/>
      <c r="L1514" t="inlineStr"/>
      <c r="M1514" t="inlineStr"/>
      <c r="N1514" t="inlineStr"/>
      <c r="O1514">
        <f>(1-Summary!$B$11)*T1514+Summary!$B$11*V1514</f>
        <v/>
      </c>
      <c r="P1514">
        <f>IF(B1538=0,0,O1514/B1538)</f>
        <v/>
      </c>
      <c r="Q1514">
        <f>IFERROR(1/(IF(Inputs!$B$38="pvp",15,MAX(0.1,Skills!D15-IF(Skills!E15=TRUE,Inputs!$B$32,0)))*(1-IF(AND(ArtifactsInput!$M$27,Inputs!$B$4="Chapter Hunt"),CHOOSE(ArtifactsInput!$N$27+1,20,24,28,32,36,40),0)/100)),0)</f>
        <v/>
      </c>
      <c r="R1514">
        <f>IF(AND(Inputs!$B$38&lt;&gt;"pvp",Inputs!$B$43&gt;0),IF(Inputs!$B$43&lt;=0,0,(INT(Inputs!$B$43/(IF(Inputs!$B$38="pvp",15,MAX(0.1,Skills!D15-IF(Skills!E15=TRUE,Inputs!$B$32,0)))*(1-IF(AND(ArtifactsInput!$M$27,Inputs!$B$4="Chapter Hunt"),CHOOSE(ArtifactsInput!$N$27+1,20,24,28,32,36,40),0)/100)))+1)),0)</f>
        <v/>
      </c>
      <c r="S1514">
        <f>IFERROR(O1514/N1514,0)</f>
        <v/>
      </c>
      <c r="T1514" t="n">
        <v>0</v>
      </c>
      <c r="V1514" t="n">
        <v>0</v>
      </c>
    </row>
    <row r="1515">
      <c r="A1515">
        <f>Skills!A16</f>
        <v/>
      </c>
      <c r="B1515">
        <f>Skills!B16</f>
        <v/>
      </c>
      <c r="C1515">
        <f>Inputs!$B$3&gt;=66</f>
        <v/>
      </c>
      <c r="D1515">
        <f>IF(Skills!C16=1,60+Inputs!$B$25+Inputs!$B$29,IF(Skills!C16=2,90+Inputs!$B$26+Inputs!$B$29,IF(Skills!C16=3,120+Inputs!$B$27+Inputs!$B$29,MAX(0,(Inputs!$B$3-100)*3)+Inputs!$B$28+Inputs!$B$29)))</f>
        <v/>
      </c>
      <c r="E1515">
        <f>INDEX(FactorTable!$B$2:$Y$301, MATCH(ROUND(MIN(300,MAX(1,D1515)),0), FactorTable!$A$2:$A$301,0), Skills!M16+1)</f>
        <v/>
      </c>
      <c r="F1515">
        <f>IF(Skills!N16=TRUE,(Skills!L16/10)*(E1515/1000),Skills!L16/10)+Skills!O16</f>
        <v/>
      </c>
      <c r="G1515">
        <f>Skills!G16*IF(Skills!H16&gt;0,Skills!I16/Skills!H16,1)</f>
        <v/>
      </c>
      <c r="H1515">
        <f>1-(1-Skills!J16/100)^Skills!K16</f>
        <v/>
      </c>
      <c r="I1515" t="inlineStr">
        <is>
          <t>1</t>
        </is>
      </c>
      <c r="J1515" t="inlineStr"/>
      <c r="K1515" t="inlineStr"/>
      <c r="L1515" t="inlineStr"/>
      <c r="M1515" t="inlineStr"/>
      <c r="N1515" t="inlineStr"/>
      <c r="O1515">
        <f>(1-Summary!$B$11)*T1515+Summary!$B$11*V1515</f>
        <v/>
      </c>
      <c r="P1515">
        <f>IF(B1538=0,0,O1515/B1538)</f>
        <v/>
      </c>
      <c r="Q1515">
        <f>IFERROR(1/(IF(Inputs!$B$38="pvp",15,MAX(0.1,Skills!D16-IF(Skills!E16=TRUE,Inputs!$B$32,0)))*(1-IF(AND(ArtifactsInput!$M$27,Inputs!$B$4="Chapter Hunt"),CHOOSE(ArtifactsInput!$N$27+1,20,24,28,32,36,40),0)/100)),0)</f>
        <v/>
      </c>
      <c r="R1515">
        <f>IF(AND(Inputs!$B$38&lt;&gt;"pvp",Inputs!$B$43&gt;0),IF(Inputs!$B$43&lt;=0,0,(INT(Inputs!$B$43/(IF(Inputs!$B$38="pvp",15,MAX(0.1,Skills!D16-IF(Skills!E16=TRUE,Inputs!$B$32,0)))*(1-IF(AND(ArtifactsInput!$M$27,Inputs!$B$4="Chapter Hunt"),CHOOSE(ArtifactsInput!$N$27+1,20,24,28,32,36,40),0)/100)))+1)),0)</f>
        <v/>
      </c>
      <c r="S1515">
        <f>IFERROR(O1515/N1515,0)</f>
        <v/>
      </c>
      <c r="T1515" t="n">
        <v>0</v>
      </c>
      <c r="V1515" t="n">
        <v>0</v>
      </c>
    </row>
    <row r="1516">
      <c r="A1516">
        <f>Skills!A17</f>
        <v/>
      </c>
      <c r="B1516">
        <f>Skills!B17</f>
        <v/>
      </c>
      <c r="C1516">
        <f>Inputs!$B$3&gt;=115</f>
        <v/>
      </c>
      <c r="D1516">
        <f>IF(Skills!C17=1,60+Inputs!$B$25+Inputs!$B$29,IF(Skills!C17=2,90+Inputs!$B$26+Inputs!$B$29,IF(Skills!C17=3,120+Inputs!$B$27+Inputs!$B$29,MAX(0,(Inputs!$B$3-100)*3)+Inputs!$B$28+Inputs!$B$29)))</f>
        <v/>
      </c>
      <c r="E1516">
        <f>INDEX(FactorTable!$B$2:$Y$301, MATCH(ROUND(MIN(300,MAX(1,D1516)),0), FactorTable!$A$2:$A$301,0), Skills!M17+1)</f>
        <v/>
      </c>
      <c r="F1516">
        <f>IF(Skills!N17=TRUE,(Skills!L17/10)*(E1516/1000),Skills!L17/10)+Skills!O17</f>
        <v/>
      </c>
      <c r="G1516">
        <f>Skills!G17*IF(Skills!H17&gt;0,Skills!I17/Skills!H17,1)</f>
        <v/>
      </c>
      <c r="H1516">
        <f>1-(1-Skills!J17/100)^Skills!K17</f>
        <v/>
      </c>
      <c r="I1516" t="inlineStr">
        <is>
          <t>1</t>
        </is>
      </c>
      <c r="J1516" t="inlineStr"/>
      <c r="K1516" t="inlineStr"/>
      <c r="L1516" t="inlineStr"/>
      <c r="M1516" t="inlineStr"/>
      <c r="N1516" t="inlineStr"/>
      <c r="O1516">
        <f>(1-Summary!$B$11)*T1516+Summary!$B$11*V1516</f>
        <v/>
      </c>
      <c r="P1516">
        <f>IF(B1538=0,0,O1516/B1538)</f>
        <v/>
      </c>
      <c r="Q1516">
        <f>IFERROR(1/(IF(Inputs!$B$38="pvp",15,MAX(0.1,Skills!D17-IF(Skills!E17=TRUE,Inputs!$B$32,0)))*(1-IF(AND(ArtifactsInput!$M$27,Inputs!$B$4="Chapter Hunt"),CHOOSE(ArtifactsInput!$N$27+1,20,24,28,32,36,40),0)/100)),0)</f>
        <v/>
      </c>
      <c r="R1516">
        <f>IF(AND(Inputs!$B$38&lt;&gt;"pvp",Inputs!$B$43&gt;0),IF(Inputs!$B$43&lt;=0,0,(INT(Inputs!$B$43/(IF(Inputs!$B$38="pvp",15,MAX(0.1,Skills!D17-IF(Skills!E17=TRUE,Inputs!$B$32,0)))*(1-IF(AND(ArtifactsInput!$M$27,Inputs!$B$4="Chapter Hunt"),CHOOSE(ArtifactsInput!$N$27+1,20,24,28,32,36,40),0)/100)))+1)),0)</f>
        <v/>
      </c>
      <c r="S1516">
        <f>IFERROR(O1516/N1516,0)</f>
        <v/>
      </c>
      <c r="T1516" t="n">
        <v>0</v>
      </c>
      <c r="V1516" t="n">
        <v>0</v>
      </c>
    </row>
    <row r="1517">
      <c r="A1517">
        <f>Skills!A18</f>
        <v/>
      </c>
      <c r="B1517">
        <f>Skills!B18</f>
        <v/>
      </c>
      <c r="C1517">
        <f>Inputs!$B$3&gt;=115</f>
        <v/>
      </c>
      <c r="D1517">
        <f>IF(Skills!C18=1,60+Inputs!$B$25+Inputs!$B$29,IF(Skills!C18=2,90+Inputs!$B$26+Inputs!$B$29,IF(Skills!C18=3,120+Inputs!$B$27+Inputs!$B$29,MAX(0,(Inputs!$B$3-100)*3)+Inputs!$B$28+Inputs!$B$29)))</f>
        <v/>
      </c>
      <c r="E1517">
        <f>INDEX(FactorTable!$B$2:$Y$301, MATCH(ROUND(MIN(300,MAX(1,D1517)),0), FactorTable!$A$2:$A$301,0), Skills!M18+1)</f>
        <v/>
      </c>
      <c r="F1517">
        <f>IF(Skills!N18=TRUE,(Skills!L18/10)*(E1517/1000),Skills!L18/10)+Skills!O18</f>
        <v/>
      </c>
      <c r="G1517">
        <f>Skills!G18*IF(Skills!H18&gt;0,Skills!I18/Skills!H18,1)</f>
        <v/>
      </c>
      <c r="H1517">
        <f>1-(1-Skills!J18/100)^Skills!K18</f>
        <v/>
      </c>
      <c r="I1517" t="inlineStr">
        <is>
          <t>1</t>
        </is>
      </c>
      <c r="J1517" t="inlineStr"/>
      <c r="K1517" t="inlineStr"/>
      <c r="L1517" t="inlineStr"/>
      <c r="M1517" t="inlineStr"/>
      <c r="N1517" t="inlineStr"/>
      <c r="O1517">
        <f>(1-Summary!$B$11)*T1517+Summary!$B$11*V1517</f>
        <v/>
      </c>
      <c r="P1517">
        <f>IF(B1538=0,0,O1517/B1538)</f>
        <v/>
      </c>
      <c r="Q1517">
        <f>IFERROR(1/(IF(Inputs!$B$38="pvp",15,MAX(0.1,Skills!D18-IF(Skills!E18=TRUE,Inputs!$B$32,0)))*(1-IF(AND(ArtifactsInput!$M$27,Inputs!$B$4="Chapter Hunt"),CHOOSE(ArtifactsInput!$N$27+1,20,24,28,32,36,40),0)/100)),0)</f>
        <v/>
      </c>
      <c r="R1517">
        <f>IF(AND(Inputs!$B$38&lt;&gt;"pvp",Inputs!$B$43&gt;0),IF(Inputs!$B$43&lt;=0,0,(INT(Inputs!$B$43/(IF(Inputs!$B$38="pvp",15,MAX(0.1,Skills!D18-IF(Skills!E18=TRUE,Inputs!$B$32,0)))*(1-IF(AND(ArtifactsInput!$M$27,Inputs!$B$4="Chapter Hunt"),CHOOSE(ArtifactsInput!$N$27+1,20,24,28,32,36,40),0)/100)))+1)),0)</f>
        <v/>
      </c>
      <c r="S1517">
        <f>IFERROR(O1517/N1517,0)</f>
        <v/>
      </c>
      <c r="T1517" t="n">
        <v>0</v>
      </c>
      <c r="V1517" t="n">
        <v>0</v>
      </c>
    </row>
    <row r="1518">
      <c r="A1518">
        <f>Skills!A19</f>
        <v/>
      </c>
      <c r="B1518">
        <f>Skills!B19</f>
        <v/>
      </c>
      <c r="C1518">
        <f>TRUE</f>
        <v/>
      </c>
      <c r="D1518">
        <f>IF(Skills!C19=1,60+Inputs!$B$25+Inputs!$B$29,IF(Skills!C19=2,90+Inputs!$B$26+Inputs!$B$29,IF(Skills!C19=3,120+Inputs!$B$27+Inputs!$B$29,MAX(0,(Inputs!$B$3-100)*3)+Inputs!$B$28+Inputs!$B$29)))</f>
        <v/>
      </c>
      <c r="E1518">
        <f>INDEX(FactorTable!$B$2:$Y$301, MATCH(ROUND(MIN(300,MAX(1,D1518)),0), FactorTable!$A$2:$A$301,0), Skills!M19+1)</f>
        <v/>
      </c>
      <c r="F1518">
        <f>IF(Skills!N19=TRUE,(Skills!L19/10)*(E1518/1000),Skills!L19/10)+Skills!O19</f>
        <v/>
      </c>
      <c r="G1518">
        <f>Skills!G19*IF(Skills!H19&gt;0,Skills!I19/Skills!H19,1)</f>
        <v/>
      </c>
      <c r="H1518">
        <f>1-(1-Skills!J19/100)^Skills!K19</f>
        <v/>
      </c>
      <c r="I1518" t="inlineStr">
        <is>
          <t>1</t>
        </is>
      </c>
      <c r="J1518" t="inlineStr"/>
      <c r="K1518" t="inlineStr"/>
      <c r="L1518" t="inlineStr"/>
      <c r="M1518" t="inlineStr"/>
      <c r="N1518" t="inlineStr"/>
      <c r="O1518">
        <f>(1-Summary!$B$11)*T1518+Summary!$B$11*V1518</f>
        <v/>
      </c>
      <c r="P1518">
        <f>IF(B1538=0,0,O1518/B1538)</f>
        <v/>
      </c>
      <c r="Q1518">
        <f>IFERROR(1/(IF(Inputs!$B$38="pvp",15,MAX(0.1,Skills!D19-IF(Skills!E19=TRUE,Inputs!$B$32,0)))*(1-IF(AND(ArtifactsInput!$M$27,Inputs!$B$4="Chapter Hunt"),CHOOSE(ArtifactsInput!$N$27+1,20,24,28,32,36,40),0)/100)),0)</f>
        <v/>
      </c>
      <c r="R1518">
        <f>IF(AND(Inputs!$B$38&lt;&gt;"pvp",Inputs!$B$43&gt;0),IF(Inputs!$B$43&lt;=0,0,(INT(Inputs!$B$43/(IF(Inputs!$B$38="pvp",15,MAX(0.1,Skills!D19-IF(Skills!E19=TRUE,Inputs!$B$32,0)))*(1-IF(AND(ArtifactsInput!$M$27,Inputs!$B$4="Chapter Hunt"),CHOOSE(ArtifactsInput!$N$27+1,20,24,28,32,36,40),0)/100)))+1)),0)</f>
        <v/>
      </c>
      <c r="S1518">
        <f>IFERROR(O1518/N1518,0)</f>
        <v/>
      </c>
      <c r="T1518" t="n">
        <v>0</v>
      </c>
      <c r="V1518" t="n">
        <v>0</v>
      </c>
    </row>
    <row r="1519">
      <c r="A1519">
        <f>Skills!A20</f>
        <v/>
      </c>
      <c r="B1519">
        <f>Skills!B20</f>
        <v/>
      </c>
      <c r="C1519">
        <f>Inputs!$B$3&gt;=33</f>
        <v/>
      </c>
      <c r="D1519">
        <f>IF(Skills!C20=1,60+Inputs!$B$25+Inputs!$B$29,IF(Skills!C20=2,90+Inputs!$B$26+Inputs!$B$29,IF(Skills!C20=3,120+Inputs!$B$27+Inputs!$B$29,MAX(0,(Inputs!$B$3-100)*3)+Inputs!$B$28+Inputs!$B$29)))</f>
        <v/>
      </c>
      <c r="E1519">
        <f>INDEX(FactorTable!$B$2:$Y$301, MATCH(ROUND(MIN(300,MAX(1,D1519)),0), FactorTable!$A$2:$A$301,0), Skills!M20+1)</f>
        <v/>
      </c>
      <c r="F1519">
        <f>IF(Skills!N20=TRUE,(Skills!L20/10)*(E1519/1000),Skills!L20/10)+Skills!O20</f>
        <v/>
      </c>
      <c r="G1519">
        <f>Skills!G20*IF(Skills!H20&gt;0,Skills!I20/Skills!H20,1)</f>
        <v/>
      </c>
      <c r="H1519">
        <f>1-(1-Skills!J20/100)^Skills!K20</f>
        <v/>
      </c>
      <c r="I1519" t="inlineStr">
        <is>
          <t>1</t>
        </is>
      </c>
      <c r="J1519" t="inlineStr"/>
      <c r="K1519" t="inlineStr"/>
      <c r="L1519" t="inlineStr"/>
      <c r="M1519" t="inlineStr"/>
      <c r="N1519" t="inlineStr"/>
      <c r="O1519">
        <f>(1-Summary!$B$11)*T1519+Summary!$B$11*V1519</f>
        <v/>
      </c>
      <c r="P1519">
        <f>IF(B1538=0,0,O1519/B1538)</f>
        <v/>
      </c>
      <c r="Q1519" t="n">
        <v>0</v>
      </c>
      <c r="R1519" t="n">
        <v>0</v>
      </c>
      <c r="S1519">
        <f>IFERROR(O1519/N1519,0)</f>
        <v/>
      </c>
      <c r="T1519" t="n">
        <v>0</v>
      </c>
      <c r="V1519" t="n">
        <v>0</v>
      </c>
    </row>
    <row r="1520">
      <c r="A1520">
        <f>Skills!A21</f>
        <v/>
      </c>
      <c r="B1520">
        <f>Skills!B21</f>
        <v/>
      </c>
      <c r="C1520">
        <f>Inputs!$B$3&gt;=38</f>
        <v/>
      </c>
      <c r="D1520">
        <f>IF(Skills!C21=1,60+Inputs!$B$25+Inputs!$B$29,IF(Skills!C21=2,90+Inputs!$B$26+Inputs!$B$29,IF(Skills!C21=3,120+Inputs!$B$27+Inputs!$B$29,MAX(0,(Inputs!$B$3-100)*3)+Inputs!$B$28+Inputs!$B$29)))</f>
        <v/>
      </c>
      <c r="E1520">
        <f>INDEX(FactorTable!$B$2:$Y$301, MATCH(ROUND(MIN(300,MAX(1,D1520)),0), FactorTable!$A$2:$A$301,0), Skills!M21+1)</f>
        <v/>
      </c>
      <c r="F1520">
        <f>IF(Skills!N21=TRUE,(Skills!L21/10)*(E1520/1000),Skills!L21/10)+Skills!O21</f>
        <v/>
      </c>
      <c r="G1520">
        <f>Skills!G21*IF(Skills!H21&gt;0,Skills!I21/Skills!H21,1)</f>
        <v/>
      </c>
      <c r="H1520">
        <f>1-(1-Skills!J21/100)^Skills!K21</f>
        <v/>
      </c>
      <c r="I1520" t="inlineStr">
        <is>
          <t>1</t>
        </is>
      </c>
      <c r="J1520" t="inlineStr"/>
      <c r="K1520" t="inlineStr"/>
      <c r="L1520" t="inlineStr"/>
      <c r="M1520" t="inlineStr"/>
      <c r="N1520" t="inlineStr"/>
      <c r="O1520">
        <f>(1-Summary!$B$11)*T1520+Summary!$B$11*V1520</f>
        <v/>
      </c>
      <c r="P1520">
        <f>IF(B1538=0,0,O1520/B1538)</f>
        <v/>
      </c>
      <c r="Q1520" t="n">
        <v>0</v>
      </c>
      <c r="R1520" t="n">
        <v>0</v>
      </c>
      <c r="S1520">
        <f>IFERROR(O1520/N1520,0)</f>
        <v/>
      </c>
      <c r="T1520" t="n">
        <v>0</v>
      </c>
      <c r="V1520" t="n">
        <v>0</v>
      </c>
    </row>
    <row r="1521">
      <c r="A1521">
        <f>Skills!A22</f>
        <v/>
      </c>
      <c r="B1521">
        <f>Skills!B22</f>
        <v/>
      </c>
      <c r="C1521">
        <f>Inputs!$B$3&gt;=43</f>
        <v/>
      </c>
      <c r="D1521">
        <f>IF(Skills!C22=1,60+Inputs!$B$25+Inputs!$B$29,IF(Skills!C22=2,90+Inputs!$B$26+Inputs!$B$29,IF(Skills!C22=3,120+Inputs!$B$27+Inputs!$B$29,MAX(0,(Inputs!$B$3-100)*3)+Inputs!$B$28+Inputs!$B$29)))</f>
        <v/>
      </c>
      <c r="E1521">
        <f>INDEX(FactorTable!$B$2:$Y$301, MATCH(ROUND(MIN(300,MAX(1,D1521)),0), FactorTable!$A$2:$A$301,0), Skills!M22+1)</f>
        <v/>
      </c>
      <c r="F1521">
        <f>IF(Skills!N22=TRUE,(Skills!L22/10)*(E1521/1000),Skills!L22/10)+Skills!O22</f>
        <v/>
      </c>
      <c r="G1521">
        <f>Skills!G22*IF(Skills!H22&gt;0,Skills!I22/Skills!H22,1)</f>
        <v/>
      </c>
      <c r="H1521">
        <f>1-(1-Skills!J22/100)^Skills!K22</f>
        <v/>
      </c>
      <c r="I1521" t="inlineStr">
        <is>
          <t>1</t>
        </is>
      </c>
      <c r="J1521" t="inlineStr"/>
      <c r="K1521" t="inlineStr"/>
      <c r="L1521" t="inlineStr"/>
      <c r="M1521" t="inlineStr"/>
      <c r="N1521" t="inlineStr"/>
      <c r="O1521">
        <f>(1-Summary!$B$11)*T1521+Summary!$B$11*V1521</f>
        <v/>
      </c>
      <c r="P1521">
        <f>IF(B1538=0,0,O1521/B1538)</f>
        <v/>
      </c>
      <c r="Q1521" t="n">
        <v>0</v>
      </c>
      <c r="R1521" t="n">
        <v>0</v>
      </c>
      <c r="S1521">
        <f>IFERROR(O1521/N1521,0)</f>
        <v/>
      </c>
      <c r="T1521" t="n">
        <v>0</v>
      </c>
      <c r="V1521" t="n">
        <v>0</v>
      </c>
    </row>
    <row r="1522">
      <c r="A1522">
        <f>Skills!A23</f>
        <v/>
      </c>
      <c r="B1522">
        <f>Skills!B23</f>
        <v/>
      </c>
      <c r="C1522">
        <f>Inputs!$B$3&gt;=120</f>
        <v/>
      </c>
      <c r="D1522">
        <f>IF(Skills!C23=1,60+Inputs!$B$25+Inputs!$B$29,IF(Skills!C23=2,90+Inputs!$B$26+Inputs!$B$29,IF(Skills!C23=3,120+Inputs!$B$27+Inputs!$B$29,MAX(0,(Inputs!$B$3-100)*3)+Inputs!$B$28+Inputs!$B$29)))</f>
        <v/>
      </c>
      <c r="E1522">
        <f>INDEX(FactorTable!$B$2:$Y$301, MATCH(ROUND(MIN(300,MAX(1,D1522)),0), FactorTable!$A$2:$A$301,0), Skills!M23+1)</f>
        <v/>
      </c>
      <c r="F1522">
        <f>IF(Skills!N23=TRUE,(Skills!L23/10)*(E1522/1000),Skills!L23/10)+Skills!O23</f>
        <v/>
      </c>
      <c r="G1522">
        <f>Skills!G23*IF(Skills!H23&gt;0,Skills!I23/Skills!H23,1)</f>
        <v/>
      </c>
      <c r="H1522">
        <f>1-(1-Skills!J23/100)^Skills!K23</f>
        <v/>
      </c>
      <c r="I1522" t="inlineStr">
        <is>
          <t>1</t>
        </is>
      </c>
      <c r="J1522" t="inlineStr"/>
      <c r="K1522" t="inlineStr"/>
      <c r="L1522" t="inlineStr"/>
      <c r="M1522" t="inlineStr"/>
      <c r="N1522" t="inlineStr"/>
      <c r="O1522">
        <f>(1-Summary!$B$11)*T1522+Summary!$B$11*V1522</f>
        <v/>
      </c>
      <c r="P1522">
        <f>IF(B1538=0,0,O1522/B1538)</f>
        <v/>
      </c>
      <c r="Q1522" t="n">
        <v>0</v>
      </c>
      <c r="R1522" t="n">
        <v>0</v>
      </c>
      <c r="S1522">
        <f>IFERROR(O1522/N1522,0)</f>
        <v/>
      </c>
      <c r="T1522" t="n">
        <v>0</v>
      </c>
      <c r="V1522" t="n">
        <v>0</v>
      </c>
    </row>
    <row r="1523">
      <c r="A1523">
        <f>Skills!A24</f>
        <v/>
      </c>
      <c r="B1523">
        <f>Skills!B24</f>
        <v/>
      </c>
      <c r="C1523">
        <f>Inputs!$B$3&gt;=120</f>
        <v/>
      </c>
      <c r="D1523">
        <f>IF(Skills!C24=1,60+Inputs!$B$25+Inputs!$B$29,IF(Skills!C24=2,90+Inputs!$B$26+Inputs!$B$29,IF(Skills!C24=3,120+Inputs!$B$27+Inputs!$B$29,MAX(0,(Inputs!$B$3-100)*3)+Inputs!$B$28+Inputs!$B$29)))</f>
        <v/>
      </c>
      <c r="E1523">
        <f>INDEX(FactorTable!$B$2:$Y$301, MATCH(ROUND(MIN(300,MAX(1,D1523)),0), FactorTable!$A$2:$A$301,0), Skills!M24+1)</f>
        <v/>
      </c>
      <c r="F1523">
        <f>IF(Skills!N24=TRUE,(Skills!L24/10)*(E1523/1000),Skills!L24/10)+Skills!O24</f>
        <v/>
      </c>
      <c r="G1523">
        <f>Skills!G24*IF(Skills!H24&gt;0,Skills!I24/Skills!H24,1)</f>
        <v/>
      </c>
      <c r="H1523">
        <f>1-(1-Skills!J24/100)^Skills!K24</f>
        <v/>
      </c>
      <c r="I1523" t="inlineStr">
        <is>
          <t>1</t>
        </is>
      </c>
      <c r="J1523" t="inlineStr"/>
      <c r="K1523" t="inlineStr"/>
      <c r="L1523" t="inlineStr"/>
      <c r="M1523" t="inlineStr"/>
      <c r="N1523" t="inlineStr"/>
      <c r="O1523">
        <f>(1-Summary!$B$11)*T1523+Summary!$B$11*V1523</f>
        <v/>
      </c>
      <c r="P1523">
        <f>IF(B1538=0,0,O1523/B1538)</f>
        <v/>
      </c>
      <c r="Q1523" t="n">
        <v>0</v>
      </c>
      <c r="R1523" t="n">
        <v>0</v>
      </c>
      <c r="S1523">
        <f>IFERROR(O1523/N1523,0)</f>
        <v/>
      </c>
      <c r="T1523" t="n">
        <v>0</v>
      </c>
      <c r="V1523" t="n">
        <v>0</v>
      </c>
    </row>
    <row r="1524">
      <c r="A1524">
        <f>Skills!A25</f>
        <v/>
      </c>
      <c r="B1524">
        <f>Skills!B25</f>
        <v/>
      </c>
      <c r="C1524">
        <f>Inputs!$B$3&gt;=125</f>
        <v/>
      </c>
      <c r="D1524">
        <f>IF(Skills!C25=1,60+Inputs!$B$25+Inputs!$B$29,IF(Skills!C25=2,90+Inputs!$B$26+Inputs!$B$29,IF(Skills!C25=3,120+Inputs!$B$27+Inputs!$B$29,MAX(0,(Inputs!$B$3-100)*3)+Inputs!$B$28+Inputs!$B$29)))</f>
        <v/>
      </c>
      <c r="E1524">
        <f>INDEX(FactorTable!$B$2:$Y$301, MATCH(ROUND(MIN(300,MAX(1,D1524)),0), FactorTable!$A$2:$A$301,0), Skills!M25+1)</f>
        <v/>
      </c>
      <c r="F1524">
        <f>IF(Skills!N25=TRUE,(Skills!L25/10)*(E1524/1000),Skills!L25/10)+Skills!O25</f>
        <v/>
      </c>
      <c r="G1524">
        <f>Skills!G25*IF(Skills!H25&gt;0,Skills!I25/Skills!H25,1)</f>
        <v/>
      </c>
      <c r="H1524">
        <f>1-(1-Skills!J25/100)^Skills!K25</f>
        <v/>
      </c>
      <c r="I1524" t="inlineStr">
        <is>
          <t>1</t>
        </is>
      </c>
      <c r="J1524" t="inlineStr"/>
      <c r="K1524" t="inlineStr"/>
      <c r="L1524" t="inlineStr"/>
      <c r="M1524" t="inlineStr"/>
      <c r="N1524" t="inlineStr"/>
      <c r="O1524">
        <f>(1-Summary!$B$11)*T1524+Summary!$B$11*V1524</f>
        <v/>
      </c>
      <c r="P1524">
        <f>IF(B1538=0,0,O1524/B1538)</f>
        <v/>
      </c>
      <c r="Q1524" t="n">
        <v>0</v>
      </c>
      <c r="R1524" t="n">
        <v>0</v>
      </c>
      <c r="S1524">
        <f>IFERROR(O1524/N1524,0)</f>
        <v/>
      </c>
      <c r="T1524" t="n">
        <v>0</v>
      </c>
      <c r="V1524" t="n">
        <v>0</v>
      </c>
    </row>
    <row r="1525">
      <c r="A1525">
        <f>Skills!A26</f>
        <v/>
      </c>
      <c r="B1525">
        <f>Skills!B26</f>
        <v/>
      </c>
      <c r="C1525">
        <f>Inputs!$B$3&gt;=72</f>
        <v/>
      </c>
      <c r="D1525">
        <f>IF(Skills!C26=1,60+Inputs!$B$25+Inputs!$B$29,IF(Skills!C26=2,90+Inputs!$B$26+Inputs!$B$29,IF(Skills!C26=3,120+Inputs!$B$27+Inputs!$B$29,MAX(0,(Inputs!$B$3-100)*3)+Inputs!$B$28+Inputs!$B$29)))</f>
        <v/>
      </c>
      <c r="E1525">
        <f>INDEX(FactorTable!$B$2:$Y$301, MATCH(ROUND(MIN(300,MAX(1,D1525)),0), FactorTable!$A$2:$A$301,0), Skills!M26+1)</f>
        <v/>
      </c>
      <c r="F1525">
        <f>IF(Skills!N26=TRUE,(Skills!L26/10)*(E1525/1000),Skills!L26/10)+Skills!O26</f>
        <v/>
      </c>
      <c r="G1525">
        <f>Skills!G26*IF(Skills!H26&gt;0,Skills!I26/Skills!H26,1)</f>
        <v/>
      </c>
      <c r="H1525">
        <f>1-(1-Skills!J26/100)^Skills!K26</f>
        <v/>
      </c>
      <c r="I1525" t="inlineStr">
        <is>
          <t>1</t>
        </is>
      </c>
      <c r="J1525" t="inlineStr"/>
      <c r="K1525" t="inlineStr"/>
      <c r="L1525" t="inlineStr"/>
      <c r="M1525" t="inlineStr"/>
      <c r="N1525" t="inlineStr"/>
      <c r="O1525">
        <f>(1-Summary!$B$11)*T1525+Summary!$B$11*V1525</f>
        <v/>
      </c>
      <c r="P1525">
        <f>IF(B1538=0,0,O1525/B1538)</f>
        <v/>
      </c>
      <c r="Q1525" t="n">
        <v>0</v>
      </c>
      <c r="R1525" t="n">
        <v>0</v>
      </c>
      <c r="S1525">
        <f>IFERROR(O1525/N1525,0)</f>
        <v/>
      </c>
      <c r="T1525" t="n">
        <v>0</v>
      </c>
      <c r="V1525" t="n">
        <v>0</v>
      </c>
    </row>
    <row r="1527">
      <c r="A1527" t="inlineStr">
        <is>
          <t>Attack% Bucket Multiplier</t>
        </is>
      </c>
      <c r="B1527">
        <f>(1+(((C1512=TRUE)*F1512*IF(Inputs!$B$3&gt;=110,7,5))+((C1514=TRUE)*F1514*IF(AND(Inputs!$B$38&lt;&gt;"pvp",Inputs!$B$43&gt;0),(((R1514-1)*(Skills!T15*(1+(Inputs!$B$34+(ArtifactsInput!$M$7-ArtifactsInput!$M$7)*CHOOSE(ArtifactsInput!$N$7+1,6,7.2,8.4,9.6,10.8,12))/100))+MIN((Skills!T15*(1+(Inputs!$B$34+(ArtifactsInput!$M$7-ArtifactsInput!$M$7)*CHOOSE(ArtifactsInput!$N$7+1,6,7.2,8.4,9.6,10.8,12))/100)),MAX(0,Inputs!$B$43-((R1514-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28">
      <c r="A1528" t="inlineStr">
        <is>
          <t>Global Crit Rate Bonus %</t>
        </is>
      </c>
      <c r="B1528" t="n">
        <v>0</v>
      </c>
    </row>
    <row r="1529">
      <c r="A1529" t="inlineStr">
        <is>
          <t>Attack Speed Buff Bonus %</t>
        </is>
      </c>
      <c r="B1529">
        <f>((C1518=TRUE)*F1518*IF(AND(Inputs!$B$38&lt;&gt;"pvp",Inputs!$B$43&gt;0),(((R1518-1)*(Skills!T19*(1+(Inputs!$B$34+(ArtifactsInput!$M$7-ArtifactsInput!$M$7)*CHOOSE(ArtifactsInput!$N$7+1,6,7.2,8.4,9.6,10.8,12))/100))+MIN((Skills!T19*(1+(Inputs!$B$34+(ArtifactsInput!$M$7-ArtifactsInput!$M$7)*CHOOSE(ArtifactsInput!$N$7+1,6,7.2,8.4,9.6,10.8,12))/100)),MAX(0,Inputs!$B$43-((R1518-1)*Skills!D19))))/Inputs!$B$43),IF(Inputs!$B$38="pvp",MIN((Skills!T19*(1+(Inputs!$B$34+(ArtifactsInput!$M$7-ArtifactsInput!$M$7)*CHOOSE(ArtifactsInput!$N$7+1,6,7.2,8.4,9.6,10.8,12))/100)),15)/15,(Skills!T19*(1+(Inputs!$B$34+(ArtifactsInput!$M$7-ArtifactsInput!$M$7)*CHOOSE(ArtifactsInput!$N$7+1,6,7.2,8.4,9.6,10.8,12))/100))/Skills!D19)))</f>
        <v/>
      </c>
    </row>
    <row r="1530">
      <c r="A1530" t="inlineStr">
        <is>
          <t>Actions Per Second</t>
        </is>
      </c>
      <c r="B1530">
        <f>1+MIN(150,150*(1-(1-(Inputs!$B$11+((C1519=TRUE)*(F1519-Calc!F20)))/150)*(1-B1529/150)))/100</f>
        <v/>
      </c>
    </row>
    <row r="1531">
      <c r="A1531" t="inlineStr">
        <is>
          <t>Skill + Buff Cast Rate</t>
        </is>
      </c>
      <c r="B1531">
        <f>IF(AND(Inputs!$B$38&lt;&gt;"pvp",Inputs!$B$43&gt;0),SUMPRODUCT((Skills!E2:E26=TRUE)*(C1501:C1525=TRUE)*R1501:R1525*Skills!F2:F26)/Inputs!$B$43,SUMPRODUCT((Skills!E2:E26=TRUE)*(C1501:C1525=TRUE)*Q1501:Q1525*Skills!F2:F26))</f>
        <v/>
      </c>
    </row>
    <row r="1532">
      <c r="A1532" t="inlineStr">
        <is>
          <t>Raging Blow Casts Per Second</t>
        </is>
      </c>
      <c r="B1532">
        <f>MAX(0,B1530-B1531)</f>
        <v/>
      </c>
    </row>
    <row r="1533">
      <c r="A1533" t="inlineStr">
        <is>
          <t>Global Critical Damage Bonus % (Enrage)</t>
        </is>
      </c>
      <c r="B1533">
        <f>((C1517=TRUE)*F1517*IF(AND(Inputs!$B$38&lt;&gt;"pvp",Inputs!$B$43&gt;0),(((R1517-1)*(Skills!T18*(1+(Inputs!$B$34+(ArtifactsInput!$M$7-ArtifactsInput!$M$7)*CHOOSE(ArtifactsInput!$N$7+1,6,7.2,8.4,9.6,10.8,12))/100))+MIN((Skills!T18*(1+(Inputs!$B$34+(ArtifactsInput!$M$7-ArtifactsInput!$M$7)*CHOOSE(ArtifactsInput!$N$7+1,6,7.2,8.4,9.6,10.8,12))/100)),MAX(0,Inputs!$B$43-((R1517-1)*Skills!D18))))/Inputs!$B$43),IF(Inputs!$B$38="pvp",MIN((Skills!T18*(1+(Inputs!$B$34+(ArtifactsInput!$M$7-ArtifactsInput!$M$7)*CHOOSE(ArtifactsInput!$N$7+1,6,7.2,8.4,9.6,10.8,12))/100)),15)/15,(Skills!T18*(1+(Inputs!$B$34+(ArtifactsInput!$M$7-ArtifactsInput!$M$7)*CHOOSE(ArtifactsInput!$N$7+1,6,7.2,8.4,9.6,10.8,12))/100))/Skills!D18)))</f>
        <v/>
      </c>
    </row>
    <row r="1534">
      <c r="A1534" t="inlineStr">
        <is>
          <t>Global Final Damage Bonus % (Enrage + Combo Synergy)</t>
        </is>
      </c>
      <c r="B1534">
        <f>((C1516=TRUE)*F1516*IF(AND(Inputs!$B$38&lt;&gt;"pvp",Inputs!$B$43&gt;0),(((R1516-1)*(Skills!T17*(1+(Inputs!$B$34+(ArtifactsInput!$M$7-ArtifactsInput!$M$7)*CHOOSE(ArtifactsInput!$N$7+1,6,7.2,8.4,9.6,10.8,12))/100))+MIN((Skills!T17*(1+(Inputs!$B$34+(ArtifactsInput!$M$7-ArtifactsInput!$M$7)*CHOOSE(ArtifactsInput!$N$7+1,6,7.2,8.4,9.6,10.8,12))/100)),MAX(0,Inputs!$B$43-((R1516-1)*Skills!D17))))/Inputs!$B$43),IF(Inputs!$B$38="pvp",MIN((Skills!T17*(1+(Inputs!$B$34+(ArtifactsInput!$M$7-ArtifactsInput!$M$7)*CHOOSE(ArtifactsInput!$N$7+1,6,7.2,8.4,9.6,10.8,12))/100)),15)/15,(Skills!T17*(1+(Inputs!$B$34+(ArtifactsInput!$M$7-ArtifactsInput!$M$7)*CHOOSE(ArtifactsInput!$N$7+1,6,7.2,8.4,9.6,10.8,12))/100))/Skills!D17)))+((C1513=TRUE)*F1513*IF(Inputs!$B$3&gt;=110,7,5))</f>
        <v/>
      </c>
    </row>
    <row r="1535">
      <c r="A1535" t="inlineStr">
        <is>
          <t>Buff-Casting Startup Delay (s, fixed-duration only)</t>
        </is>
      </c>
      <c r="B1535">
        <f>IF(AND(Inputs!$B$38&lt;&gt;"pvp",Inputs!$B$43&gt;0),SUMPRODUCT((Skills!T2:T26&gt;0)*(Skills!E2:E26=TRUE)*(C1501:C1525=TRUE))/B1530,0)</f>
        <v/>
      </c>
    </row>
    <row r="1536">
      <c r="A1536" t="inlineStr">
        <is>
          <t>Boss-Only Total DPS (this block's swept value)</t>
        </is>
      </c>
      <c r="B1536">
        <f>SUM(T1501:T1525)</f>
        <v/>
      </c>
    </row>
    <row r="1537">
      <c r="A1537" t="inlineStr">
        <is>
          <t>Normal-Only Total DPS (this block's swept value)</t>
        </is>
      </c>
      <c r="B1537">
        <f>SUM(V1501:V1525)</f>
        <v/>
      </c>
    </row>
    <row r="1538">
      <c r="A1538" s="6" t="inlineStr">
        <is>
          <t>TOTAL DPS</t>
        </is>
      </c>
      <c r="B1538" s="6">
        <f>SUM(O1501:O1525)</f>
        <v/>
      </c>
    </row>
    <row r="1541">
      <c r="A1541" s="6" t="inlineStr">
        <is>
          <t>Stat: Athena Pierce's Old Gloves (Equip)</t>
        </is>
      </c>
    </row>
    <row r="1542">
      <c r="A1542" s="5" t="inlineStr">
        <is>
          <t>Key</t>
        </is>
      </c>
      <c r="B1542" s="5" t="inlineStr">
        <is>
          <t>Name</t>
        </is>
      </c>
      <c r="C1542" s="5" t="inlineStr">
        <is>
          <t>Unlocked</t>
        </is>
      </c>
      <c r="D1542" s="5" t="inlineStr">
        <is>
          <t>InputLevel</t>
        </is>
      </c>
      <c r="E1542" s="5" t="inlineStr">
        <is>
          <t>Factor</t>
        </is>
      </c>
      <c r="F1542" s="5" t="inlineStr">
        <is>
          <t>CoefficientPercent</t>
        </is>
      </c>
      <c r="G1542" s="5" t="inlineStr">
        <is>
          <t>EffectiveHits</t>
        </is>
      </c>
      <c r="H1542" s="5" t="inlineStr">
        <is>
          <t>ProcProbability</t>
        </is>
      </c>
      <c r="I1542" s="5" t="inlineStr">
        <is>
          <t>MapleHeroMultiplier</t>
        </is>
      </c>
      <c r="J1542" s="5" t="inlineStr">
        <is>
          <t>BaseDamage</t>
        </is>
      </c>
      <c r="K1542" s="5" t="inlineStr">
        <is>
          <t>BaseHitDamage</t>
        </is>
      </c>
      <c r="L1542" s="5" t="inlineStr">
        <is>
          <t>NonCritAvg</t>
        </is>
      </c>
      <c r="M1542" s="5" t="inlineStr">
        <is>
          <t>CritAvg</t>
        </is>
      </c>
      <c r="N1542" s="5" t="inlineStr">
        <is>
          <t>ExpectedDamage(perHit)</t>
        </is>
      </c>
      <c r="O1542" s="5" t="inlineStr">
        <is>
          <t>DPS</t>
        </is>
      </c>
      <c r="P1542" s="5" t="inlineStr">
        <is>
          <t>% of Total</t>
        </is>
      </c>
      <c r="Q1542" s="5" t="inlineStr">
        <is>
          <t>InvCooldown</t>
        </is>
      </c>
      <c r="R1542" s="5" t="inlineStr">
        <is>
          <t>CastsInFight</t>
        </is>
      </c>
      <c r="S1542" s="5" t="inlineStr">
        <is>
          <t>HitRate(perSec)</t>
        </is>
      </c>
      <c r="U1542" t="inlineStr">
        <is>
          <t>helpers</t>
        </is>
      </c>
    </row>
    <row r="1543">
      <c r="A1543">
        <f>Skills!A2</f>
        <v/>
      </c>
      <c r="B1543">
        <f>Skills!B2</f>
        <v/>
      </c>
      <c r="C1543">
        <f>Inputs!$B$3&gt;=100</f>
        <v/>
      </c>
      <c r="D1543" t="inlineStr"/>
      <c r="E1543" t="inlineStr"/>
      <c r="F1543">
        <f>U1545+Skills!O2</f>
        <v/>
      </c>
      <c r="G1543">
        <f>Skills!G2*IF(Skills!H2&gt;0,Skills!I2/Skills!H2,1)</f>
        <v/>
      </c>
      <c r="H1543">
        <f>1-(1-Skills!J2/100)^Skills!K2</f>
        <v/>
      </c>
      <c r="I1543" t="inlineStr">
        <is>
          <t>1</t>
        </is>
      </c>
      <c r="J1543">
        <f>((Inputs!$B$6*(1+Inputs!$B$7/100))+(((Inputs!$B$12*(1+Inputs!$B$13/100))-(Inputs!$B$12*(1+Inputs!$B$13/100)))+0.25*(Inputs!$B$14-Inputs!$B$14))*(1+Inputs!$B$7/100))*(F1543/100)</f>
        <v/>
      </c>
      <c r="K1543">
        <f>J1543*(1+((Inputs!$B$12*(1+Inputs!$B$13/100))*0.01+Inputs!$B$14*0.0025)/100)*(1+Inputs!$B$15/100)*(1+Inputs!$B$16/100)*(5000/(6000+Inputs!$B$42*(1-(100*(1-(1-(Inputs!$B$19+0)/100)*(1-CHOOSE(ArtifactsInput!$N$40+1,5,6,7,8,9,10)/100)^(ArtifactsInput!$M$40-ArtifactsInput!$M$40)))/100)))*(1+(Inputs!$B$24+((C1566=TRUE)*(F1566-Calc!F25))+B1576)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1562=TRUE)*(F1562-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1564=TRUE)*(F1564-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1554=TRUE)*F1554*IF(Inputs!$B$3&gt;=110,7,5))+((C1556=TRUE)*F1556*IF(AND(Inputs!$B$38&lt;&gt;"pvp",Inputs!$B$43&gt;0),(((R1556-1)*(Skills!T15*(1+(Inputs!$B$34+(ArtifactsInput!$M$7-ArtifactsInput!$M$7)*CHOOSE(ArtifactsInput!$N$7+1,6,7.2,8.4,9.6,10.8,12))/100))+MIN((Skills!T15*(1+(Inputs!$B$34+(ArtifactsInput!$M$7-ArtifactsInput!$M$7)*CHOOSE(ArtifactsInput!$N$7+1,6,7.2,8.4,9.6,10.8,12))/100)),MAX(0,Inputs!$B$43-((R1556-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Hunt"),CHOOSE(ArtifactsInput!$N$35+1,15,18,21,24,27,30)*(1-EXP(-(0.2*B1572)*5)),0)+IF(AND(ArtifactsInput!$M$22,Inputs!$B$4&lt;&gt;"Chapter Hunt"),CHOOSE(ArtifactsInput!$N$22+1,10,12,14,16,18,20)*((0*(((0.15*B1572*5))^0/1)+1*(((0.15*B1572*5))^1/1)+2*(((0.15*B1572*5))^2/2)+3*(((0.15*B1572*5))^3/6)+4*(((0.15*B1572*5))^4/24)+5*(((0.15*B1572*5))^5/120))/((((0.15*B1572*5))^0/1)+(((0.15*B1572*5))^1/1)+(((0.15*B1572*5))^2/2)+(((0.15*B1572*5))^3/6)+(((0.15*B1572*5))^4/24)+(((0.15*B1572*5))^5/120))),0)))/100)*I1543)</f>
        <v/>
      </c>
      <c r="L1543">
        <f>K1543*(MIN(Inputs!$B$22+((C1563=TRUE)*(F1563-Calc!F22)),(Inputs!$B$23+((C1565=TRUE)*(F1565-Calc!F24))+((IF(IF(ArtifactsInput!$M$15,FALSE,TRUE),1,-1)*CHOOSE(ArtifactsInput!$N$15+1,25,30,35,40,45,50)/100*IF(IF(ArtifactsInput!$M$15,FALSE,TRUE),(Inputs!$B$11+((C1561=TRUE)*(F1561-Calc!F20))+(IF(ArtifactsInput!$M$15,FALSE,TRUE)-ArtifactsInput!$M$15)*CHOOSE(ArtifactsInput!$N$15+1,8,9.6,11.2,12.8,14.4,16)),Inputs!$B$11)))))/100+(Inputs!$B$23+((C1565=TRUE)*(F1565-Calc!F24))+((IF(IF(ArtifactsInput!$M$15,FALSE,TRUE),1,-1)*CHOOSE(ArtifactsInput!$N$15+1,25,30,35,40,45,50)/100*IF(IF(ArtifactsInput!$M$15,FALSE,TRUE),(Inputs!$B$11+((C1561=TRUE)*(F1561-Calc!F20))+(IF(ArtifactsInput!$M$15,FALSE,TRUE)-ArtifactsInput!$M$15)*CHOOSE(ArtifactsInput!$N$15+1,8,9.6,11.2,12.8,14.4,16)),Inputs!$B$11))))/100)/2</f>
        <v/>
      </c>
      <c r="M1543">
        <f>L1543*(1+(Inputs!$B$10+0+B1575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3">
        <f>L1543*(1-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1543*(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3">
        <f>(1-Summary!$B$11)*T1543+Summary!$B$11*V1543</f>
        <v/>
      </c>
      <c r="P1543">
        <f>IF(B1580=0,0,O1543/B1580)</f>
        <v/>
      </c>
      <c r="Q1543" t="n">
        <v>0</v>
      </c>
      <c r="R1543" t="n">
        <v>0</v>
      </c>
      <c r="S1543">
        <f>IFERROR(O1543/N1543,0)</f>
        <v/>
      </c>
      <c r="T1543">
        <f>IF(C1543,(Skills!G2*N1543*B1574)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1543*(1-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1543*(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1543*(1-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1543*(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43">
        <f>MAX(0,(Inputs!$B$3-100)*3)+Inputs!$B$28+Inputs!$B$29</f>
        <v/>
      </c>
      <c r="V1543">
        <f>IF(C1543,(Skills!G2*N1543*B1574)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44">
      <c r="A1544">
        <f>Skills!A3</f>
        <v/>
      </c>
      <c r="B1544">
        <f>Skills!B3</f>
        <v/>
      </c>
      <c r="C1544">
        <f>Inputs!$B$3&gt;=50</f>
        <v/>
      </c>
      <c r="D1544">
        <f>IF(Skills!C3=1,60+Inputs!$B$25+Inputs!$B$29,IF(Skills!C3=2,90+Inputs!$B$26+Inputs!$B$29,IF(Skills!C3=3,120+Inputs!$B$27+Inputs!$B$29,MAX(0,(Inputs!$B$3-100)*3)+Inputs!$B$28+Inputs!$B$29)))</f>
        <v/>
      </c>
      <c r="E1544">
        <f>INDEX(FactorTable!$B$2:$Y$301, MATCH(ROUND(MIN(300,MAX(1,D1544)),0), FactorTable!$A$2:$A$301,0), Skills!M3+1)</f>
        <v/>
      </c>
      <c r="F1544">
        <f>IF(Skills!N3=TRUE,(Skills!L3/10)*(E1544/1000),Skills!L3/10)+Skills!O3</f>
        <v/>
      </c>
      <c r="G1544" t="inlineStr"/>
      <c r="H1544" t="inlineStr"/>
      <c r="I1544" t="inlineStr">
        <is>
          <t>1</t>
        </is>
      </c>
      <c r="J1544" t="inlineStr"/>
      <c r="K1544" t="inlineStr"/>
      <c r="L1544" t="inlineStr"/>
      <c r="M1544" t="inlineStr"/>
      <c r="N1544" t="inlineStr"/>
      <c r="O1544" t="inlineStr"/>
      <c r="P1544" t="inlineStr"/>
      <c r="Q1544" t="inlineStr"/>
      <c r="R1544" t="inlineStr"/>
      <c r="S1544" t="inlineStr"/>
      <c r="U1544">
        <f>INDEX(FactorTable!$B$2:$Y$301, MATCH(ROUND(MIN(300,MAX(1,U1543)),0), FactorTable!$A$2:$A$301,0), 22)</f>
        <v/>
      </c>
    </row>
    <row r="1545">
      <c r="A1545">
        <f>Skills!A4</f>
        <v/>
      </c>
      <c r="B1545">
        <f>Skills!B4</f>
        <v/>
      </c>
      <c r="C1545">
        <f>Inputs!$B$3&gt;=105</f>
        <v/>
      </c>
      <c r="D1545">
        <f>IF(Skills!C4=1,60+Inputs!$B$25+Inputs!$B$29,IF(Skills!C4=2,90+Inputs!$B$26+Inputs!$B$29,IF(Skills!C4=3,120+Inputs!$B$27+Inputs!$B$29,MAX(0,(Inputs!$B$3-100)*3)+Inputs!$B$28+Inputs!$B$29)))</f>
        <v/>
      </c>
      <c r="E1545">
        <f>INDEX(FactorTable!$B$2:$Y$301, MATCH(ROUND(MIN(300,MAX(1,D1545)),0), FactorTable!$A$2:$A$301,0), Skills!M4+1)</f>
        <v/>
      </c>
      <c r="F1545">
        <f>IF(Skills!N4=TRUE,(Skills!L4/10)*(E1545/1000),Skills!L4/10)+Skills!O4</f>
        <v/>
      </c>
      <c r="G1545" t="inlineStr"/>
      <c r="H1545" t="inlineStr"/>
      <c r="I1545" t="inlineStr">
        <is>
          <t>1</t>
        </is>
      </c>
      <c r="J1545" t="inlineStr"/>
      <c r="K1545" t="inlineStr"/>
      <c r="L1545" t="inlineStr"/>
      <c r="M1545" t="inlineStr"/>
      <c r="N1545" t="inlineStr"/>
      <c r="O1545" t="inlineStr"/>
      <c r="P1545" t="inlineStr"/>
      <c r="Q1545" t="inlineStr"/>
      <c r="R1545" t="inlineStr"/>
      <c r="S1545" t="inlineStr"/>
      <c r="U1545">
        <f>290*U1544/1000</f>
        <v/>
      </c>
    </row>
    <row r="1546">
      <c r="A1546">
        <f>Skills!A5</f>
        <v/>
      </c>
      <c r="B1546">
        <f>Skills!B5</f>
        <v/>
      </c>
      <c r="C1546">
        <f>Inputs!$B$3&gt;=103</f>
        <v/>
      </c>
      <c r="D1546">
        <f>IF(Skills!C5=1,60+Inputs!$B$25+Inputs!$B$29,IF(Skills!C5=2,90+Inputs!$B$26+Inputs!$B$29,IF(Skills!C5=3,120+Inputs!$B$27+Inputs!$B$29,MAX(0,(Inputs!$B$3-100)*3)+Inputs!$B$28+Inputs!$B$29)))</f>
        <v/>
      </c>
      <c r="E1546">
        <f>INDEX(FactorTable!$B$2:$Y$301, MATCH(ROUND(MIN(300,MAX(1,D1546)),0), FactorTable!$A$2:$A$301,0), Skills!M5+1)</f>
        <v/>
      </c>
      <c r="F1546">
        <f>IF(Skills!N5=TRUE,(Skills!L5/10)*(E1546/1000),Skills!L5/10)+Skills!O5</f>
        <v/>
      </c>
      <c r="G1546">
        <f>Skills!G5*IF(Skills!H5&gt;0,Skills!I5/Skills!H5,1)</f>
        <v/>
      </c>
      <c r="H1546">
        <f>1-(1-Skills!J5/100)^Skills!K5</f>
        <v/>
      </c>
      <c r="I1546" t="inlineStr">
        <is>
          <t>1</t>
        </is>
      </c>
      <c r="J1546">
        <f>((Inputs!$B$6*(1+Inputs!$B$7/100))+(((Inputs!$B$12*(1+Inputs!$B$13/100))-(Inputs!$B$12*(1+Inputs!$B$13/100)))+0.25*(Inputs!$B$14-Inputs!$B$14))*(1+Inputs!$B$7/100))*(F1546/100)</f>
        <v/>
      </c>
      <c r="K1546">
        <f>J1546*(1+((Inputs!$B$12*(1+Inputs!$B$13/100))*0.01+Inputs!$B$14*0.0025)/100)*(1+Inputs!$B$15/100)*(1+Inputs!$B$16/100)*(5000/(6000+Inputs!$B$42*(1-(100*(1-(1-(Inputs!$B$19+0)/100)*(1-CHOOSE(ArtifactsInput!$N$40+1,5,6,7,8,9,10)/100)^(ArtifactsInput!$M$40-ArtifactsInput!$M$40)))/100)))*(1+(Inputs!$B$24+((C1566=TRUE)*(F1566-Calc!F25))+B1576)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1562=TRUE)*(F1562-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1564=TRUE)*(F1564-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1554=TRUE)*F1554*IF(Inputs!$B$3&gt;=110,7,5))+((C1556=TRUE)*F1556*IF(AND(Inputs!$B$38&lt;&gt;"pvp",Inputs!$B$43&gt;0),(((R1556-1)*(Skills!T15*(1+(Inputs!$B$34+(ArtifactsInput!$M$7-ArtifactsInput!$M$7)*CHOOSE(ArtifactsInput!$N$7+1,6,7.2,8.4,9.6,10.8,12))/100))+MIN((Skills!T15*(1+(Inputs!$B$34+(ArtifactsInput!$M$7-ArtifactsInput!$M$7)*CHOOSE(ArtifactsInput!$N$7+1,6,7.2,8.4,9.6,10.8,12))/100)),MAX(0,Inputs!$B$43-((R1556-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Hunt"),CHOOSE(ArtifactsInput!$N$35+1,15,18,21,24,27,30)*(1-EXP(-(0.2*B1572)*5)),0)+IF(AND(ArtifactsInput!$M$22,Inputs!$B$4&lt;&gt;"Chapter Hunt"),CHOOSE(ArtifactsInput!$N$22+1,10,12,14,16,18,20)*((0*(((0.15*B1572*5))^0/1)+1*(((0.15*B1572*5))^1/1)+2*(((0.15*B1572*5))^2/2)+3*(((0.15*B1572*5))^3/6)+4*(((0.15*B1572*5))^4/24)+5*(((0.15*B1572*5))^5/120))/((((0.15*B1572*5))^0/1)+(((0.15*B1572*5))^1/1)+(((0.15*B1572*5))^2/2)+(((0.15*B1572*5))^3/6)+(((0.15*B1572*5))^4/24)+(((0.15*B1572*5))^5/120))),0)))/100)*I1546)</f>
        <v/>
      </c>
      <c r="L1546">
        <f>K1546*(MIN(Inputs!$B$22+((C1563=TRUE)*(F1563-Calc!F22)),(Inputs!$B$23+((C1565=TRUE)*(F1565-Calc!F24))+((IF(IF(ArtifactsInput!$M$15,FALSE,TRUE),1,-1)*CHOOSE(ArtifactsInput!$N$15+1,25,30,35,40,45,50)/100*IF(IF(ArtifactsInput!$M$15,FALSE,TRUE),(Inputs!$B$11+((C1561=TRUE)*(F1561-Calc!F20))+(IF(ArtifactsInput!$M$15,FALSE,TRUE)-ArtifactsInput!$M$15)*CHOOSE(ArtifactsInput!$N$15+1,8,9.6,11.2,12.8,14.4,16)),Inputs!$B$11)))))/100+(Inputs!$B$23+((C1565=TRUE)*(F1565-Calc!F24))+((IF(IF(ArtifactsInput!$M$15,FALSE,TRUE),1,-1)*CHOOSE(ArtifactsInput!$N$15+1,25,30,35,40,45,50)/100*IF(IF(ArtifactsInput!$M$15,FALSE,TRUE),(Inputs!$B$11+((C1561=TRUE)*(F1561-Calc!F20))+(IF(ArtifactsInput!$M$15,FALSE,TRUE)-ArtifactsInput!$M$15)*CHOOSE(ArtifactsInput!$N$15+1,8,9.6,11.2,12.8,14.4,16)),Inputs!$B$11))))/100)/2</f>
        <v/>
      </c>
      <c r="M1546">
        <f>L1546*(1+(Inputs!$B$10+0+B1575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6">
        <f>L1546*(1-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1546*(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6">
        <f>(1-Summary!$B$11)*T1546+Summary!$B$11*V1546</f>
        <v/>
      </c>
      <c r="P1546">
        <f>IF(B1580=0,0,O1546/B1580)</f>
        <v/>
      </c>
      <c r="Q1546">
        <f>IFERROR(1/(IF(Inputs!$B$38="pvp",15,MAX(0.1,Skills!D5-IF(Skills!E5=TRUE,Inputs!$B$32,0)))*(1-IF(AND(ArtifactsInput!$M$27,Inputs!$B$4="Chapter Hunt"),CHOOSE(ArtifactsInput!$N$27+1,20,24,28,32,36,40),0)/100)),0)</f>
        <v/>
      </c>
      <c r="R1546">
        <f>IF(AND(Inputs!$B$38&lt;&gt;"pvp",Inputs!$B$43&gt;0),IF(MAX(0,Inputs!$B$43-B1577)&lt;=0,0,(INT(MAX(0,Inputs!$B$43-B1577)/(IF(Inputs!$B$38="pvp",15,MAX(0.1,Skills!D5-IF(Skills!E5=TRUE,Inputs!$B$32,0)))*(1-IF(AND(ArtifactsInput!$M$27,Inputs!$B$4="Chapter Hunt"),CHOOSE(ArtifactsInput!$N$27+1,20,24,28,32,36,40),0)/100)))+1)),0)</f>
        <v/>
      </c>
      <c r="S1546">
        <f>IFERROR(O1546/N1546,0)</f>
        <v/>
      </c>
      <c r="T1546">
        <f>IF(C1546,(H1546*N1546*IF(AND(Inputs!$B$38&lt;&gt;"pvp",Inputs!$B$43&gt;0),((Skills!G5*((R1546-1)*IF(Skills!H5&gt;0,Skills!I5/Skills!H5,1)+IF(Skills!H5&gt;0,MIN(Skills!I5,MAX(0,MAX(0,Inputs!$B$43-B1577)-((R1546-1)*(IF(Inputs!$B$38="pvp",15,MAX(0.1,Skills!D5-IF(Skills!E5=TRUE,Inputs!$B$32,0)))*(1-IF(AND(ArtifactsInput!$M$27,Inputs!$B$4="Chapter Hunt"),CHOOSE(ArtifactsInput!$N$27+1,20,24,28,32,36,40),0)/100)))))/Skills!H5,1)))/Inputs!$B$43),G1546*Q1546)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1546*(1-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1546*(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1546*(1-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1546*(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46">
        <f>IF(C1546,(H1546*N1546*IF(AND(Inputs!$B$38&lt;&gt;"pvp",Inputs!$B$43&gt;0),((Skills!G5*((R1546-1)*IF(Skills!H5&gt;0,Skills!I5/Skills!H5,1)+IF(Skills!H5&gt;0,MIN(Skills!I5,MAX(0,MAX(0,Inputs!$B$43-B1577)-((R1546-1)*(IF(Inputs!$B$38="pvp",15,MAX(0.1,Skills!D5-IF(Skills!E5=TRUE,Inputs!$B$32,0)))*(1-IF(AND(ArtifactsInput!$M$27,Inputs!$B$4="Chapter Hunt"),CHOOSE(ArtifactsInput!$N$27+1,20,24,28,32,36,40),0)/100)))))/Skills!H5,1)))/Inputs!$B$43),G1546*Q1546)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47">
      <c r="A1547">
        <f>Skills!A6</f>
        <v/>
      </c>
      <c r="B1547">
        <f>Skills!B6</f>
        <v/>
      </c>
      <c r="C1547">
        <f>Inputs!$B$3&gt;=103</f>
        <v/>
      </c>
      <c r="D1547">
        <f>IF(Skills!C6=1,60+Inputs!$B$25+Inputs!$B$29,IF(Skills!C6=2,90+Inputs!$B$26+Inputs!$B$29,IF(Skills!C6=3,120+Inputs!$B$27+Inputs!$B$29,MAX(0,(Inputs!$B$3-100)*3)+Inputs!$B$28+Inputs!$B$29)))</f>
        <v/>
      </c>
      <c r="E1547">
        <f>INDEX(FactorTable!$B$2:$Y$301, MATCH(ROUND(MIN(300,MAX(1,D1547)),0), FactorTable!$A$2:$A$301,0), Skills!M6+1)</f>
        <v/>
      </c>
      <c r="F1547">
        <f>IF(Skills!N6=TRUE,(Skills!L6/10)*(E1547/1000),Skills!L6/10)+Skills!O6</f>
        <v/>
      </c>
      <c r="G1547">
        <f>Skills!G6*IF(Skills!H6&gt;0,Skills!I6/Skills!H6,1)</f>
        <v/>
      </c>
      <c r="H1547">
        <f>1-(1-Skills!J6/100)^Skills!K6</f>
        <v/>
      </c>
      <c r="I1547" t="inlineStr">
        <is>
          <t>1</t>
        </is>
      </c>
      <c r="J1547">
        <f>((Inputs!$B$6*(1+Inputs!$B$7/100))+(((Inputs!$B$12*(1+Inputs!$B$13/100))-(Inputs!$B$12*(1+Inputs!$B$13/100)))+0.25*(Inputs!$B$14-Inputs!$B$14))*(1+Inputs!$B$7/100))*(F1547/100)</f>
        <v/>
      </c>
      <c r="K1547">
        <f>J1547*(1+((Inputs!$B$12*(1+Inputs!$B$13/100))*0.01+Inputs!$B$14*0.0025)/100)*(1+Inputs!$B$15/100)*(1+Inputs!$B$16/100)*(5000/(6000+Inputs!$B$42*(1-(100*(1-(1-(Inputs!$B$19+0)/100)*(1-CHOOSE(ArtifactsInput!$N$40+1,5,6,7,8,9,10)/100)^(ArtifactsInput!$M$40-ArtifactsInput!$M$40)))/100)))*(1+(Inputs!$B$24+((C1566=TRUE)*(F1566-Calc!F25))+B1576)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1562=TRUE)*(F1562-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1564=TRUE)*(F1564-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1554=TRUE)*F1554*IF(Inputs!$B$3&gt;=110,7,5))+((C1556=TRUE)*F1556*IF(AND(Inputs!$B$38&lt;&gt;"pvp",Inputs!$B$43&gt;0),(((R1556-1)*(Skills!T15*(1+(Inputs!$B$34+(ArtifactsInput!$M$7-ArtifactsInput!$M$7)*CHOOSE(ArtifactsInput!$N$7+1,6,7.2,8.4,9.6,10.8,12))/100))+MIN((Skills!T15*(1+(Inputs!$B$34+(ArtifactsInput!$M$7-ArtifactsInput!$M$7)*CHOOSE(ArtifactsInput!$N$7+1,6,7.2,8.4,9.6,10.8,12))/100)),MAX(0,Inputs!$B$43-((R1556-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Hunt"),CHOOSE(ArtifactsInput!$N$35+1,15,18,21,24,27,30)*(1-EXP(-(0.2*B1572)*5)),0)+IF(AND(ArtifactsInput!$M$22,Inputs!$B$4&lt;&gt;"Chapter Hunt"),CHOOSE(ArtifactsInput!$N$22+1,10,12,14,16,18,20)*((0*(((0.15*B1572*5))^0/1)+1*(((0.15*B1572*5))^1/1)+2*(((0.15*B1572*5))^2/2)+3*(((0.15*B1572*5))^3/6)+4*(((0.15*B1572*5))^4/24)+5*(((0.15*B1572*5))^5/120))/((((0.15*B1572*5))^0/1)+(((0.15*B1572*5))^1/1)+(((0.15*B1572*5))^2/2)+(((0.15*B1572*5))^3/6)+(((0.15*B1572*5))^4/24)+(((0.15*B1572*5))^5/120))),0)))/100)*I1547)</f>
        <v/>
      </c>
      <c r="L1547">
        <f>K1547*(MIN(Inputs!$B$22+((C1563=TRUE)*(F1563-Calc!F22)),(Inputs!$B$23+((C1565=TRUE)*(F1565-Calc!F24))+((IF(IF(ArtifactsInput!$M$15,FALSE,TRUE),1,-1)*CHOOSE(ArtifactsInput!$N$15+1,25,30,35,40,45,50)/100*IF(IF(ArtifactsInput!$M$15,FALSE,TRUE),(Inputs!$B$11+((C1561=TRUE)*(F1561-Calc!F20))+(IF(ArtifactsInput!$M$15,FALSE,TRUE)-ArtifactsInput!$M$15)*CHOOSE(ArtifactsInput!$N$15+1,8,9.6,11.2,12.8,14.4,16)),Inputs!$B$11)))))/100+(Inputs!$B$23+((C1565=TRUE)*(F1565-Calc!F24))+((IF(IF(ArtifactsInput!$M$15,FALSE,TRUE),1,-1)*CHOOSE(ArtifactsInput!$N$15+1,25,30,35,40,45,50)/100*IF(IF(ArtifactsInput!$M$15,FALSE,TRUE),(Inputs!$B$11+((C1561=TRUE)*(F1561-Calc!F20))+(IF(ArtifactsInput!$M$15,FALSE,TRUE)-ArtifactsInput!$M$15)*CHOOSE(ArtifactsInput!$N$15+1,8,9.6,11.2,12.8,14.4,16)),Inputs!$B$11))))/100)/2</f>
        <v/>
      </c>
      <c r="M1547">
        <f>L1547*(1+(Inputs!$B$10+0+B1575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7">
        <f>L1547*(1-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1547*(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7">
        <f>(1-Summary!$B$11)*T1547+Summary!$B$11*V1547</f>
        <v/>
      </c>
      <c r="P1547">
        <f>IF(B1580=0,0,O1547/B1580)</f>
        <v/>
      </c>
      <c r="Q1547">
        <f>IFERROR(1/(IF(Inputs!$B$38="pvp",15,MAX(0.1,Skills!D6-IF(Skills!E6=TRUE,Inputs!$B$32,0)))*(1-IF(AND(ArtifactsInput!$M$27,Inputs!$B$4="Chapter Hunt"),CHOOSE(ArtifactsInput!$N$27+1,20,24,28,32,36,40),0)/100)),0)</f>
        <v/>
      </c>
      <c r="R1547">
        <f>IF(AND(Inputs!$B$38&lt;&gt;"pvp",Inputs!$B$43&gt;0),IF(MAX(0,Inputs!$B$43-B1577)&lt;=0,0,(INT(MAX(0,Inputs!$B$43-B1577)/(IF(Inputs!$B$38="pvp",15,MAX(0.1,Skills!D6-IF(Skills!E6=TRUE,Inputs!$B$32,0)))*(1-IF(AND(ArtifactsInput!$M$27,Inputs!$B$4="Chapter Hunt"),CHOOSE(ArtifactsInput!$N$27+1,20,24,28,32,36,40),0)/100)))+1)),0)</f>
        <v/>
      </c>
      <c r="S1547">
        <f>IFERROR(O1547/N1547,0)</f>
        <v/>
      </c>
      <c r="T1547">
        <f>IF(C1547,(H1547*N1547*IF(AND(Inputs!$B$38&lt;&gt;"pvp",Inputs!$B$43&gt;0),((Skills!G6*((R1547-1)*IF(Skills!H6&gt;0,Skills!I6/Skills!H6,1)+IF(Skills!H6&gt;0,MIN(Skills!I6,MAX(0,MAX(0,Inputs!$B$43-B1577)-((R1547-1)*(IF(Inputs!$B$38="pvp",15,MAX(0.1,Skills!D6-IF(Skills!E6=TRUE,Inputs!$B$32,0)))*(1-IF(AND(ArtifactsInput!$M$27,Inputs!$B$4="Chapter Hunt"),CHOOSE(ArtifactsInput!$N$27+1,20,24,28,32,36,40),0)/100)))))/Skills!H6,1)))/Inputs!$B$43),G1547*Q1547)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1547*(1-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1547*(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1547*(1-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1547*(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47">
        <f>IF(C1547,(H1547*N1547*IF(AND(Inputs!$B$38&lt;&gt;"pvp",Inputs!$B$43&gt;0),((Skills!G6*((R1547-1)*IF(Skills!H6&gt;0,Skills!I6/Skills!H6,1)+IF(Skills!H6&gt;0,MIN(Skills!I6,MAX(0,MAX(0,Inputs!$B$43-B1577)-((R1547-1)*(IF(Inputs!$B$38="pvp",15,MAX(0.1,Skills!D6-IF(Skills!E6=TRUE,Inputs!$B$32,0)))*(1-IF(AND(ArtifactsInput!$M$27,Inputs!$B$4="Chapter Hunt"),CHOOSE(ArtifactsInput!$N$27+1,20,24,28,32,36,40),0)/100)))))/Skills!H6,1)))/Inputs!$B$43),G1547*Q1547)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48">
      <c r="A1548">
        <f>Skills!A7</f>
        <v/>
      </c>
      <c r="B1548">
        <f>Skills!B7</f>
        <v/>
      </c>
      <c r="C1548">
        <f>Inputs!$B$3&gt;=107</f>
        <v/>
      </c>
      <c r="D1548">
        <f>IF(Skills!C7=1,60+Inputs!$B$25+Inputs!$B$29,IF(Skills!C7=2,90+Inputs!$B$26+Inputs!$B$29,IF(Skills!C7=3,120+Inputs!$B$27+Inputs!$B$29,MAX(0,(Inputs!$B$3-100)*3)+Inputs!$B$28+Inputs!$B$29)))</f>
        <v/>
      </c>
      <c r="E1548">
        <f>INDEX(FactorTable!$B$2:$Y$301, MATCH(ROUND(MIN(300,MAX(1,D1548)),0), FactorTable!$A$2:$A$301,0), Skills!M7+1)</f>
        <v/>
      </c>
      <c r="F1548">
        <f>IF(Skills!N7=TRUE,(Skills!L7/10)*(E1548/1000),Skills!L7/10)+Skills!O7</f>
        <v/>
      </c>
      <c r="G1548">
        <f>Skills!G7*IF(Skills!H7&gt;0,Skills!I7/Skills!H7,1)</f>
        <v/>
      </c>
      <c r="H1548">
        <f>1-(1-Skills!J7/100)^Skills!K7</f>
        <v/>
      </c>
      <c r="I1548" t="inlineStr">
        <is>
          <t>1</t>
        </is>
      </c>
      <c r="J1548">
        <f>((Inputs!$B$6*(1+Inputs!$B$7/100))+(((Inputs!$B$12*(1+Inputs!$B$13/100))-(Inputs!$B$12*(1+Inputs!$B$13/100)))+0.25*(Inputs!$B$14-Inputs!$B$14))*(1+Inputs!$B$7/100))*(F1548/100)</f>
        <v/>
      </c>
      <c r="K1548">
        <f>J1548*(1+((Inputs!$B$12*(1+Inputs!$B$13/100))*0.01+Inputs!$B$14*0.0025)/100)*(1+Inputs!$B$15/100)*(1+Inputs!$B$16/100)*(5000/(6000+Inputs!$B$42*(1-(100*(1-(1-(Inputs!$B$19+0)/100)*(1-CHOOSE(ArtifactsInput!$N$40+1,5,6,7,8,9,10)/100)^(ArtifactsInput!$M$40-ArtifactsInput!$M$40)))/100)))*(1+(Inputs!$B$24+((C1566=TRUE)*(F1566-Calc!F25))+B1576)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1562=TRUE)*(F1562-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1564=TRUE)*(F1564-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1554=TRUE)*F1554*IF(Inputs!$B$3&gt;=110,7,5))+((C1556=TRUE)*F1556*IF(AND(Inputs!$B$38&lt;&gt;"pvp",Inputs!$B$43&gt;0),(((R1556-1)*(Skills!T15*(1+(Inputs!$B$34+(ArtifactsInput!$M$7-ArtifactsInput!$M$7)*CHOOSE(ArtifactsInput!$N$7+1,6,7.2,8.4,9.6,10.8,12))/100))+MIN((Skills!T15*(1+(Inputs!$B$34+(ArtifactsInput!$M$7-ArtifactsInput!$M$7)*CHOOSE(ArtifactsInput!$N$7+1,6,7.2,8.4,9.6,10.8,12))/100)),MAX(0,Inputs!$B$43-((R1556-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Hunt"),CHOOSE(ArtifactsInput!$N$35+1,15,18,21,24,27,30)*(1-EXP(-(0.2*B1572)*5)),0)+IF(AND(ArtifactsInput!$M$22,Inputs!$B$4&lt;&gt;"Chapter Hunt"),CHOOSE(ArtifactsInput!$N$22+1,10,12,14,16,18,20)*((0*(((0.15*B1572*5))^0/1)+1*(((0.15*B1572*5))^1/1)+2*(((0.15*B1572*5))^2/2)+3*(((0.15*B1572*5))^3/6)+4*(((0.15*B1572*5))^4/24)+5*(((0.15*B1572*5))^5/120))/((((0.15*B1572*5))^0/1)+(((0.15*B1572*5))^1/1)+(((0.15*B1572*5))^2/2)+(((0.15*B1572*5))^3/6)+(((0.15*B1572*5))^4/24)+(((0.15*B1572*5))^5/120))),0)))/100)*I1548)</f>
        <v/>
      </c>
      <c r="L1548">
        <f>K1548*(MIN(Inputs!$B$22+((C1563=TRUE)*(F1563-Calc!F22)),(Inputs!$B$23+((C1565=TRUE)*(F1565-Calc!F24))+((IF(IF(ArtifactsInput!$M$15,FALSE,TRUE),1,-1)*CHOOSE(ArtifactsInput!$N$15+1,25,30,35,40,45,50)/100*IF(IF(ArtifactsInput!$M$15,FALSE,TRUE),(Inputs!$B$11+((C1561=TRUE)*(F1561-Calc!F20))+(IF(ArtifactsInput!$M$15,FALSE,TRUE)-ArtifactsInput!$M$15)*CHOOSE(ArtifactsInput!$N$15+1,8,9.6,11.2,12.8,14.4,16)),Inputs!$B$11)))))/100+(Inputs!$B$23+((C1565=TRUE)*(F1565-Calc!F24))+((IF(IF(ArtifactsInput!$M$15,FALSE,TRUE),1,-1)*CHOOSE(ArtifactsInput!$N$15+1,25,30,35,40,45,50)/100*IF(IF(ArtifactsInput!$M$15,FALSE,TRUE),(Inputs!$B$11+((C1561=TRUE)*(F1561-Calc!F20))+(IF(ArtifactsInput!$M$15,FALSE,TRUE)-ArtifactsInput!$M$15)*CHOOSE(ArtifactsInput!$N$15+1,8,9.6,11.2,12.8,14.4,16)),Inputs!$B$11))))/100)/2</f>
        <v/>
      </c>
      <c r="M1548">
        <f>L1548*(1+(Inputs!$B$10+0+B1575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8">
        <f>L1548*(1-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1548*(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8">
        <f>(1-Summary!$B$11)*T1548+Summary!$B$11*V1548</f>
        <v/>
      </c>
      <c r="P1548">
        <f>IF(B1580=0,0,O1548/B1580)</f>
        <v/>
      </c>
      <c r="Q1548">
        <f>IFERROR(1/(IF(Inputs!$B$38="pvp",15,MAX(0.1,Skills!D7-IF(Skills!E7=TRUE,Inputs!$B$32,0)))*(1-IF(AND(ArtifactsInput!$M$27,Inputs!$B$4="Chapter Hunt"),CHOOSE(ArtifactsInput!$N$27+1,20,24,28,32,36,40),0)/100)),0)</f>
        <v/>
      </c>
      <c r="R1548">
        <f>IF(AND(Inputs!$B$38&lt;&gt;"pvp",Inputs!$B$43&gt;0),IF(MAX(0,Inputs!$B$43-B1577)&lt;=0,0,(INT(MAX(0,Inputs!$B$43-B1577)/(IF(Inputs!$B$38="pvp",15,MAX(0.1,Skills!D7-IF(Skills!E7=TRUE,Inputs!$B$32,0)))*(1-IF(AND(ArtifactsInput!$M$27,Inputs!$B$4="Chapter Hunt"),CHOOSE(ArtifactsInput!$N$27+1,20,24,28,32,36,40),0)/100)))+1)),0)</f>
        <v/>
      </c>
      <c r="S1548">
        <f>IFERROR(O1548/N1548,0)</f>
        <v/>
      </c>
      <c r="T1548">
        <f>IF(C1548,(H1548*N1548*IF(AND(Inputs!$B$38&lt;&gt;"pvp",Inputs!$B$43&gt;0),((Skills!G7*((R1548-1)*IF(Skills!H7&gt;0,Skills!I7/Skills!H7,1)+IF(Skills!H7&gt;0,MIN(Skills!I7,MAX(0,MAX(0,Inputs!$B$43-B1577)-((R1548-1)*(IF(Inputs!$B$38="pvp",15,MAX(0.1,Skills!D7-IF(Skills!E7=TRUE,Inputs!$B$32,0)))*(1-IF(AND(ArtifactsInput!$M$27,Inputs!$B$4="Chapter Hunt"),CHOOSE(ArtifactsInput!$N$27+1,20,24,28,32,36,40),0)/100)))))/Skills!H7,1)))/Inputs!$B$43),G1548*Q1548)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1548*(1-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1548*(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1548*(1-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1548*(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48">
        <f>IF(C1548,(H1548*N1548*IF(AND(Inputs!$B$38&lt;&gt;"pvp",Inputs!$B$43&gt;0),((Skills!G7*((R1548-1)*IF(Skills!H7&gt;0,Skills!I7/Skills!H7,1)+IF(Skills!H7&gt;0,MIN(Skills!I7,MAX(0,MAX(0,Inputs!$B$43-B1577)-((R1548-1)*(IF(Inputs!$B$38="pvp",15,MAX(0.1,Skills!D7-IF(Skills!E7=TRUE,Inputs!$B$32,0)))*(1-IF(AND(ArtifactsInput!$M$27,Inputs!$B$4="Chapter Hunt"),CHOOSE(ArtifactsInput!$N$27+1,20,24,28,32,36,40),0)/100)))))/Skills!H7,1)))/Inputs!$B$43),G1548*Q1548)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49">
      <c r="A1549">
        <f>Skills!A8</f>
        <v/>
      </c>
      <c r="B1549">
        <f>Skills!B8</f>
        <v/>
      </c>
      <c r="C1549">
        <f>Inputs!$B$3&gt;=117</f>
        <v/>
      </c>
      <c r="D1549">
        <f>IF(Skills!C8=1,60+Inputs!$B$25+Inputs!$B$29,IF(Skills!C8=2,90+Inputs!$B$26+Inputs!$B$29,IF(Skills!C8=3,120+Inputs!$B$27+Inputs!$B$29,MAX(0,(Inputs!$B$3-100)*3)+Inputs!$B$28+Inputs!$B$29)))</f>
        <v/>
      </c>
      <c r="E1549">
        <f>INDEX(FactorTable!$B$2:$Y$301, MATCH(ROUND(MIN(300,MAX(1,D1549)),0), FactorTable!$A$2:$A$301,0), Skills!M8+1)</f>
        <v/>
      </c>
      <c r="F1549">
        <f>IF(Skills!N8=TRUE,(Skills!L8/10)*(E1549/1000),Skills!L8/10)+Skills!O8</f>
        <v/>
      </c>
      <c r="G1549">
        <f>Skills!G8*IF(Skills!H8&gt;0,Skills!I8/Skills!H8,1)</f>
        <v/>
      </c>
      <c r="H1549">
        <f>1-(1-Skills!J8/100)^Skills!K8</f>
        <v/>
      </c>
      <c r="I1549" t="inlineStr">
        <is>
          <t>1</t>
        </is>
      </c>
      <c r="J1549">
        <f>((Inputs!$B$6*(1+Inputs!$B$7/100))+(((Inputs!$B$12*(1+Inputs!$B$13/100))-(Inputs!$B$12*(1+Inputs!$B$13/100)))+0.25*(Inputs!$B$14-Inputs!$B$14))*(1+Inputs!$B$7/100))*(F1549/100)</f>
        <v/>
      </c>
      <c r="K1549">
        <f>J1549*(1+((Inputs!$B$12*(1+Inputs!$B$13/100))*0.01+Inputs!$B$14*0.0025)/100)*(1+Inputs!$B$15/100)*(1+Inputs!$B$16/100)*(5000/(6000+Inputs!$B$42*(1-(100*(1-(1-(Inputs!$B$19+0)/100)*(1-CHOOSE(ArtifactsInput!$N$40+1,5,6,7,8,9,10)/100)^(ArtifactsInput!$M$40-ArtifactsInput!$M$40)))/100)))*(1+(Inputs!$B$24+((C1566=TRUE)*(F1566-Calc!F25))+B1576)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1562=TRUE)*(F1562-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1564=TRUE)*(F1564-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1554=TRUE)*F1554*IF(Inputs!$B$3&gt;=110,7,5))+((C1556=TRUE)*F1556*IF(AND(Inputs!$B$38&lt;&gt;"pvp",Inputs!$B$43&gt;0),(((R1556-1)*(Skills!T15*(1+(Inputs!$B$34+(ArtifactsInput!$M$7-ArtifactsInput!$M$7)*CHOOSE(ArtifactsInput!$N$7+1,6,7.2,8.4,9.6,10.8,12))/100))+MIN((Skills!T15*(1+(Inputs!$B$34+(ArtifactsInput!$M$7-ArtifactsInput!$M$7)*CHOOSE(ArtifactsInput!$N$7+1,6,7.2,8.4,9.6,10.8,12))/100)),MAX(0,Inputs!$B$43-((R1556-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Hunt"),CHOOSE(ArtifactsInput!$N$35+1,15,18,21,24,27,30)*(1-EXP(-(0.2*B1572)*5)),0)+IF(AND(ArtifactsInput!$M$22,Inputs!$B$4&lt;&gt;"Chapter Hunt"),CHOOSE(ArtifactsInput!$N$22+1,10,12,14,16,18,20)*((0*(((0.15*B1572*5))^0/1)+1*(((0.15*B1572*5))^1/1)+2*(((0.15*B1572*5))^2/2)+3*(((0.15*B1572*5))^3/6)+4*(((0.15*B1572*5))^4/24)+5*(((0.15*B1572*5))^5/120))/((((0.15*B1572*5))^0/1)+(((0.15*B1572*5))^1/1)+(((0.15*B1572*5))^2/2)+(((0.15*B1572*5))^3/6)+(((0.15*B1572*5))^4/24)+(((0.15*B1572*5))^5/120))),0)))/100)*I1549)</f>
        <v/>
      </c>
      <c r="L1549">
        <f>K1549*(MIN(Inputs!$B$22+((C1563=TRUE)*(F1563-Calc!F22)),(Inputs!$B$23+((C1565=TRUE)*(F1565-Calc!F24))+((IF(IF(ArtifactsInput!$M$15,FALSE,TRUE),1,-1)*CHOOSE(ArtifactsInput!$N$15+1,25,30,35,40,45,50)/100*IF(IF(ArtifactsInput!$M$15,FALSE,TRUE),(Inputs!$B$11+((C1561=TRUE)*(F1561-Calc!F20))+(IF(ArtifactsInput!$M$15,FALSE,TRUE)-ArtifactsInput!$M$15)*CHOOSE(ArtifactsInput!$N$15+1,8,9.6,11.2,12.8,14.4,16)),Inputs!$B$11)))))/100+(Inputs!$B$23+((C1565=TRUE)*(F1565-Calc!F24))+((IF(IF(ArtifactsInput!$M$15,FALSE,TRUE),1,-1)*CHOOSE(ArtifactsInput!$N$15+1,25,30,35,40,45,50)/100*IF(IF(ArtifactsInput!$M$15,FALSE,TRUE),(Inputs!$B$11+((C1561=TRUE)*(F1561-Calc!F20))+(IF(ArtifactsInput!$M$15,FALSE,TRUE)-ArtifactsInput!$M$15)*CHOOSE(ArtifactsInput!$N$15+1,8,9.6,11.2,12.8,14.4,16)),Inputs!$B$11))))/100)/2</f>
        <v/>
      </c>
      <c r="M1549">
        <f>L1549*(1+(Inputs!$B$10+0+B1575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9">
        <f>L1549*(1-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1549*(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9">
        <f>(1-Summary!$B$11)*T1549+Summary!$B$11*V1549</f>
        <v/>
      </c>
      <c r="P1549">
        <f>IF(B1580=0,0,O1549/B1580)</f>
        <v/>
      </c>
      <c r="Q1549">
        <f>IFERROR(1/(IF(Inputs!$B$38="pvp",15,MAX(0.1,Skills!D8-IF(Skills!E8=TRUE,Inputs!$B$32,0)))*(1-IF(AND(ArtifactsInput!$M$27,Inputs!$B$4="Chapter Hunt"),CHOOSE(ArtifactsInput!$N$27+1,20,24,28,32,36,40),0)/100)),0)</f>
        <v/>
      </c>
      <c r="R1549">
        <f>IF(AND(Inputs!$B$38&lt;&gt;"pvp",Inputs!$B$43&gt;0),IF(MAX(0,Inputs!$B$43-B1577)&lt;=0,0,(INT(MAX(0,Inputs!$B$43-B1577)/(IF(Inputs!$B$38="pvp",15,MAX(0.1,Skills!D8-IF(Skills!E8=TRUE,Inputs!$B$32,0)))*(1-IF(AND(ArtifactsInput!$M$27,Inputs!$B$4="Chapter Hunt"),CHOOSE(ArtifactsInput!$N$27+1,20,24,28,32,36,40),0)/100)))+1)),0)</f>
        <v/>
      </c>
      <c r="S1549">
        <f>IFERROR(O1549/N1549,0)</f>
        <v/>
      </c>
      <c r="T1549">
        <f>IF(C1549,(H1549*N1549*IF(AND(Inputs!$B$38&lt;&gt;"pvp",Inputs!$B$43&gt;0),((Skills!G8*((R1549-1)*IF(Skills!H8&gt;0,Skills!I8/Skills!H8,1)+IF(Skills!H8&gt;0,MIN(Skills!I8,MAX(0,MAX(0,Inputs!$B$43-B1577)-((R1549-1)*(IF(Inputs!$B$38="pvp",15,MAX(0.1,Skills!D8-IF(Skills!E8=TRUE,Inputs!$B$32,0)))*(1-IF(AND(ArtifactsInput!$M$27,Inputs!$B$4="Chapter Hunt"),CHOOSE(ArtifactsInput!$N$27+1,20,24,28,32,36,40),0)/100)))))/Skills!H8,1)))/Inputs!$B$43),G1549*Q1549)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1549*(1-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1549*(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1549*(1-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1549*(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49">
        <f>IF(C1549,(H1549*N1549*IF(AND(Inputs!$B$38&lt;&gt;"pvp",Inputs!$B$43&gt;0),((Skills!G8*((R1549-1)*IF(Skills!H8&gt;0,Skills!I8/Skills!H8,1)+IF(Skills!H8&gt;0,MIN(Skills!I8,MAX(0,MAX(0,Inputs!$B$43-B1577)-((R1549-1)*(IF(Inputs!$B$38="pvp",15,MAX(0.1,Skills!D8-IF(Skills!E8=TRUE,Inputs!$B$32,0)))*(1-IF(AND(ArtifactsInput!$M$27,Inputs!$B$4="Chapter Hunt"),CHOOSE(ArtifactsInput!$N$27+1,20,24,28,32,36,40),0)/100)))))/Skills!H8,1)))/Inputs!$B$43),G1549*Q1549)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0">
      <c r="A1550">
        <f>Skills!A9</f>
        <v/>
      </c>
      <c r="B1550">
        <f>Skills!B9</f>
        <v/>
      </c>
      <c r="C1550">
        <f>Inputs!$B$3&gt;=69</f>
        <v/>
      </c>
      <c r="D1550">
        <f>IF(Skills!C9=1,60+Inputs!$B$25+Inputs!$B$29,IF(Skills!C9=2,90+Inputs!$B$26+Inputs!$B$29,IF(Skills!C9=3,120+Inputs!$B$27+Inputs!$B$29,MAX(0,(Inputs!$B$3-100)*3)+Inputs!$B$28+Inputs!$B$29)))</f>
        <v/>
      </c>
      <c r="E1550">
        <f>INDEX(FactorTable!$B$2:$Y$301, MATCH(ROUND(MIN(300,MAX(1,D1550)),0), FactorTable!$A$2:$A$301,0), Skills!M9+1)</f>
        <v/>
      </c>
      <c r="F1550">
        <f>IF(Skills!N9=TRUE,(Skills!L9/10)*(E1550/1000),Skills!L9/10)+Skills!O9</f>
        <v/>
      </c>
      <c r="G1550">
        <f>Skills!G9*IF(Skills!H9&gt;0,Skills!I9/Skills!H9,1)</f>
        <v/>
      </c>
      <c r="H1550">
        <f>1-(1-Skills!J9/100)^Skills!K9</f>
        <v/>
      </c>
      <c r="I1550" t="inlineStr">
        <is>
          <t>1</t>
        </is>
      </c>
      <c r="J1550">
        <f>((Inputs!$B$6*(1+Inputs!$B$7/100))+(((Inputs!$B$12*(1+Inputs!$B$13/100))-(Inputs!$B$12*(1+Inputs!$B$13/100)))+0.25*(Inputs!$B$14-Inputs!$B$14))*(1+Inputs!$B$7/100))*(F1550/100)</f>
        <v/>
      </c>
      <c r="K1550">
        <f>J1550*(1+((Inputs!$B$12*(1+Inputs!$B$13/100))*0.01+Inputs!$B$14*0.0025)/100)*(1+Inputs!$B$15/100)*(1+Inputs!$B$16/100)*(5000/(6000+Inputs!$B$42*(1-(100*(1-(1-(Inputs!$B$19+0)/100)*(1-CHOOSE(ArtifactsInput!$N$40+1,5,6,7,8,9,10)/100)^(ArtifactsInput!$M$40-ArtifactsInput!$M$40)))/100)))*(1+(Inputs!$B$24+((C1566=TRUE)*(F1566-Calc!F25))+B1576)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1553=TRUE,F1553,0)/100)*(1+IF(Skills!A9="ENHANCED_RAGING_BLOW",IF(Inputs!$B$3&gt;=134,MAX(0,IF(Inputs!$B$3&gt;=110,7,5)-5)*50,0),0)/100)*(1+(IF(Skills!A9="RAGING_BLOW",Inputs!$B$17+((C1562=TRUE)*(F1562-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1564=TRUE)*(F1564-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1554=TRUE)*F1554*IF(Inputs!$B$3&gt;=110,7,5))+((C1556=TRUE)*F1556*IF(AND(Inputs!$B$38&lt;&gt;"pvp",Inputs!$B$43&gt;0),(((R1556-1)*(Skills!T15*(1+(Inputs!$B$34+(ArtifactsInput!$M$7-ArtifactsInput!$M$7)*CHOOSE(ArtifactsInput!$N$7+1,6,7.2,8.4,9.6,10.8,12))/100))+MIN((Skills!T15*(1+(Inputs!$B$34+(ArtifactsInput!$M$7-ArtifactsInput!$M$7)*CHOOSE(ArtifactsInput!$N$7+1,6,7.2,8.4,9.6,10.8,12))/100)),MAX(0,Inputs!$B$43-((R1556-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Hunt"),CHOOSE(ArtifactsInput!$N$35+1,15,18,21,24,27,30)*(1-EXP(-(0.2*B1572)*5)),0)+IF(AND(ArtifactsInput!$M$22,Inputs!$B$4&lt;&gt;"Chapter Hunt"),CHOOSE(ArtifactsInput!$N$22+1,10,12,14,16,18,20)*((0*(((0.15*B1572*5))^0/1)+1*(((0.15*B1572*5))^1/1)+2*(((0.15*B1572*5))^2/2)+3*(((0.15*B1572*5))^3/6)+4*(((0.15*B1572*5))^4/24)+5*(((0.15*B1572*5))^5/120))/((((0.15*B1572*5))^0/1)+(((0.15*B1572*5))^1/1)+(((0.15*B1572*5))^2/2)+(((0.15*B1572*5))^3/6)+(((0.15*B1572*5))^4/24)+(((0.15*B1572*5))^5/120))),0)))/100)*I1550)</f>
        <v/>
      </c>
      <c r="L1550">
        <f>K1550*(MIN(Inputs!$B$22+((C1563=TRUE)*(F1563-Calc!F22)),(Inputs!$B$23+((C1565=TRUE)*(F1565-Calc!F24))+((IF(IF(ArtifactsInput!$M$15,FALSE,TRUE),1,-1)*CHOOSE(ArtifactsInput!$N$15+1,25,30,35,40,45,50)/100*IF(IF(ArtifactsInput!$M$15,FALSE,TRUE),(Inputs!$B$11+((C1561=TRUE)*(F1561-Calc!F20))+(IF(ArtifactsInput!$M$15,FALSE,TRUE)-ArtifactsInput!$M$15)*CHOOSE(ArtifactsInput!$N$15+1,8,9.6,11.2,12.8,14.4,16)),Inputs!$B$11)))))/100+(Inputs!$B$23+((C1565=TRUE)*(F1565-Calc!F24))+((IF(IF(ArtifactsInput!$M$15,FALSE,TRUE),1,-1)*CHOOSE(ArtifactsInput!$N$15+1,25,30,35,40,45,50)/100*IF(IF(ArtifactsInput!$M$15,FALSE,TRUE),(Inputs!$B$11+((C1561=TRUE)*(F1561-Calc!F20))+(IF(ArtifactsInput!$M$15,FALSE,TRUE)-ArtifactsInput!$M$15)*CHOOSE(ArtifactsInput!$N$15+1,8,9.6,11.2,12.8,14.4,16)),Inputs!$B$11))))/100)/2</f>
        <v/>
      </c>
      <c r="M1550">
        <f>L1550*(1+(Inputs!$B$10+0+B1575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0">
        <f>L1550*(1-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1550*(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0">
        <f>(1-Summary!$B$11)*T1550+Summary!$B$11*V1550</f>
        <v/>
      </c>
      <c r="P1550">
        <f>IF(B1580=0,0,O1550/B1580)</f>
        <v/>
      </c>
      <c r="Q1550">
        <f>IFERROR(1/(IF(Inputs!$B$38="pvp",15,MAX(0.1,Skills!D9-IF(Skills!E9=TRUE,Inputs!$B$32,0)))*(1-IF(AND(ArtifactsInput!$M$27,Inputs!$B$4="Chapter Hunt"),CHOOSE(ArtifactsInput!$N$27+1,20,24,28,32,36,40),0)/100)),0)</f>
        <v/>
      </c>
      <c r="R1550">
        <f>IF(AND(Inputs!$B$38&lt;&gt;"pvp",Inputs!$B$43&gt;0),IF(MAX(0,Inputs!$B$43-B1577)&lt;=0,0,(INT(MAX(0,Inputs!$B$43-B1577)/(IF(Inputs!$B$38="pvp",15,MAX(0.1,Skills!D9-IF(Skills!E9=TRUE,Inputs!$B$32,0)))*(1-IF(AND(ArtifactsInput!$M$27,Inputs!$B$4="Chapter Hunt"),CHOOSE(ArtifactsInput!$N$27+1,20,24,28,32,36,40),0)/100)))+1)),0)</f>
        <v/>
      </c>
      <c r="S1550">
        <f>IFERROR(O1550/N1550,0)</f>
        <v/>
      </c>
      <c r="T1550">
        <f>IF(C1550,(H1550*N1550*IF(AND(Inputs!$B$38&lt;&gt;"pvp",Inputs!$B$43&gt;0),((Skills!G9*((R1550-1)*IF(Skills!H9&gt;0,Skills!I9/Skills!H9,1)+IF(Skills!H9&gt;0,MIN(Skills!I9,MAX(0,MAX(0,Inputs!$B$43-B1577)-((R1550-1)*(IF(Inputs!$B$38="pvp",15,MAX(0.1,Skills!D9-IF(Skills!E9=TRUE,Inputs!$B$32,0)))*(1-IF(AND(ArtifactsInput!$M$27,Inputs!$B$4="Chapter Hunt"),CHOOSE(ArtifactsInput!$N$27+1,20,24,28,32,36,40),0)/100)))))/Skills!H9,1)))/Inputs!$B$43),G1550*Q1550)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1550*(1-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1550*(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1550*(1-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1550*(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0">
        <f>IF(C1550,(H1550*N1550*IF(AND(Inputs!$B$38&lt;&gt;"pvp",Inputs!$B$43&gt;0),((Skills!G9*((R1550-1)*IF(Skills!H9&gt;0,Skills!I9/Skills!H9,1)+IF(Skills!H9&gt;0,MIN(Skills!I9,MAX(0,MAX(0,Inputs!$B$43-B1577)-((R1550-1)*(IF(Inputs!$B$38="pvp",15,MAX(0.1,Skills!D9-IF(Skills!E9=TRUE,Inputs!$B$32,0)))*(1-IF(AND(ArtifactsInput!$M$27,Inputs!$B$4="Chapter Hunt"),CHOOSE(ArtifactsInput!$N$27+1,20,24,28,32,36,40),0)/100)))))/Skills!H9,1)))/Inputs!$B$43),G1550*Q1550)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1">
      <c r="A1551">
        <f>Skills!A10</f>
        <v/>
      </c>
      <c r="B1551">
        <f>Skills!B10</f>
        <v/>
      </c>
      <c r="C1551">
        <f>Inputs!$B$3&gt;=63</f>
        <v/>
      </c>
      <c r="D1551">
        <f>IF(Skills!C10=1,60+Inputs!$B$25+Inputs!$B$29,IF(Skills!C10=2,90+Inputs!$B$26+Inputs!$B$29,IF(Skills!C10=3,120+Inputs!$B$27+Inputs!$B$29,MAX(0,(Inputs!$B$3-100)*3)+Inputs!$B$28+Inputs!$B$29)))</f>
        <v/>
      </c>
      <c r="E1551">
        <f>INDEX(FactorTable!$B$2:$Y$301, MATCH(ROUND(MIN(300,MAX(1,D1551)),0), FactorTable!$A$2:$A$301,0), Skills!M10+1)</f>
        <v/>
      </c>
      <c r="F1551">
        <f>IF(Skills!N10=TRUE,(Skills!L10/10)*(E1551/1000),Skills!L10/10)+Skills!O10</f>
        <v/>
      </c>
      <c r="G1551">
        <f>Skills!G10*IF(Skills!H10&gt;0,Skills!I10/Skills!H10,1)</f>
        <v/>
      </c>
      <c r="H1551">
        <f>1-(1-Skills!J10/100)^Skills!K10</f>
        <v/>
      </c>
      <c r="I1551" t="inlineStr">
        <is>
          <t>1</t>
        </is>
      </c>
      <c r="J1551">
        <f>((Inputs!$B$6*(1+Inputs!$B$7/100))+(((Inputs!$B$12*(1+Inputs!$B$13/100))-(Inputs!$B$12*(1+Inputs!$B$13/100)))+0.25*(Inputs!$B$14-Inputs!$B$14))*(1+Inputs!$B$7/100))*(F1551/100)</f>
        <v/>
      </c>
      <c r="K1551">
        <f>J1551*(1+((Inputs!$B$12*(1+Inputs!$B$13/100))*0.01+Inputs!$B$14*0.0025)/100)*(1+Inputs!$B$15/100)*(1+Inputs!$B$16/100)*(5000/(6000+Inputs!$B$42*(1-(100*(1-(1-(Inputs!$B$19+0)/100)*(1-CHOOSE(ArtifactsInput!$N$40+1,5,6,7,8,9,10)/100)^(ArtifactsInput!$M$40-ArtifactsInput!$M$40)))/100)))*(1+(Inputs!$B$24+((C1566=TRUE)*(F1566-Calc!F25))+B1576)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1553=TRUE,F1553,0)/100)*(1+IF(Skills!A10="ENHANCED_RAGING_BLOW",IF(Inputs!$B$3&gt;=134,MAX(0,IF(Inputs!$B$3&gt;=110,7,5)-5)*50,0),0)/100)*(1+(IF(Skills!A10="RAGING_BLOW",Inputs!$B$17+((C1562=TRUE)*(F1562-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1564=TRUE)*(F1564-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1554=TRUE)*F1554*IF(Inputs!$B$3&gt;=110,7,5))+((C1556=TRUE)*F1556*IF(AND(Inputs!$B$38&lt;&gt;"pvp",Inputs!$B$43&gt;0),(((R1556-1)*(Skills!T15*(1+(Inputs!$B$34+(ArtifactsInput!$M$7-ArtifactsInput!$M$7)*CHOOSE(ArtifactsInput!$N$7+1,6,7.2,8.4,9.6,10.8,12))/100))+MIN((Skills!T15*(1+(Inputs!$B$34+(ArtifactsInput!$M$7-ArtifactsInput!$M$7)*CHOOSE(ArtifactsInput!$N$7+1,6,7.2,8.4,9.6,10.8,12))/100)),MAX(0,Inputs!$B$43-((R1556-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Hunt"),CHOOSE(ArtifactsInput!$N$35+1,15,18,21,24,27,30)*(1-EXP(-(0.2*B1572)*5)),0)+IF(AND(ArtifactsInput!$M$22,Inputs!$B$4&lt;&gt;"Chapter Hunt"),CHOOSE(ArtifactsInput!$N$22+1,10,12,14,16,18,20)*((0*(((0.15*B1572*5))^0/1)+1*(((0.15*B1572*5))^1/1)+2*(((0.15*B1572*5))^2/2)+3*(((0.15*B1572*5))^3/6)+4*(((0.15*B1572*5))^4/24)+5*(((0.15*B1572*5))^5/120))/((((0.15*B1572*5))^0/1)+(((0.15*B1572*5))^1/1)+(((0.15*B1572*5))^2/2)+(((0.15*B1572*5))^3/6)+(((0.15*B1572*5))^4/24)+(((0.15*B1572*5))^5/120))),0)))/100)*I1551)</f>
        <v/>
      </c>
      <c r="L1551">
        <f>K1551*(MIN(Inputs!$B$22+((C1563=TRUE)*(F1563-Calc!F22)),(Inputs!$B$23+((C1565=TRUE)*(F1565-Calc!F24))+((IF(IF(ArtifactsInput!$M$15,FALSE,TRUE),1,-1)*CHOOSE(ArtifactsInput!$N$15+1,25,30,35,40,45,50)/100*IF(IF(ArtifactsInput!$M$15,FALSE,TRUE),(Inputs!$B$11+((C1561=TRUE)*(F1561-Calc!F20))+(IF(ArtifactsInput!$M$15,FALSE,TRUE)-ArtifactsInput!$M$15)*CHOOSE(ArtifactsInput!$N$15+1,8,9.6,11.2,12.8,14.4,16)),Inputs!$B$11)))))/100+(Inputs!$B$23+((C1565=TRUE)*(F1565-Calc!F24))+((IF(IF(ArtifactsInput!$M$15,FALSE,TRUE),1,-1)*CHOOSE(ArtifactsInput!$N$15+1,25,30,35,40,45,50)/100*IF(IF(ArtifactsInput!$M$15,FALSE,TRUE),(Inputs!$B$11+((C1561=TRUE)*(F1561-Calc!F20))+(IF(ArtifactsInput!$M$15,FALSE,TRUE)-ArtifactsInput!$M$15)*CHOOSE(ArtifactsInput!$N$15+1,8,9.6,11.2,12.8,14.4,16)),Inputs!$B$11))))/100)/2</f>
        <v/>
      </c>
      <c r="M1551">
        <f>L1551*(1+(Inputs!$B$10+0+B1575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1">
        <f>L1551*(1-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1551*(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1">
        <f>(1-Summary!$B$11)*T1551+Summary!$B$11*V1551</f>
        <v/>
      </c>
      <c r="P1551">
        <f>IF(B1580=0,0,O1551/B1580)</f>
        <v/>
      </c>
      <c r="Q1551">
        <f>IFERROR(1/(IF(Inputs!$B$38="pvp",15,MAX(0.1,Skills!D10-IF(Skills!E10=TRUE,Inputs!$B$32,0)))*(1-IF(AND(ArtifactsInput!$M$27,Inputs!$B$4="Chapter Hunt"),CHOOSE(ArtifactsInput!$N$27+1,20,24,28,32,36,40),0)/100)),0)</f>
        <v/>
      </c>
      <c r="R1551">
        <f>IF(AND(Inputs!$B$38&lt;&gt;"pvp",Inputs!$B$43&gt;0),IF(MAX(0,Inputs!$B$43-B1577)&lt;=0,0,(INT(MAX(0,Inputs!$B$43-B1577)/(IF(Inputs!$B$38="pvp",15,MAX(0.1,Skills!D10-IF(Skills!E10=TRUE,Inputs!$B$32,0)))*(1-IF(AND(ArtifactsInput!$M$27,Inputs!$B$4="Chapter Hunt"),CHOOSE(ArtifactsInput!$N$27+1,20,24,28,32,36,40),0)/100)))+1)),0)</f>
        <v/>
      </c>
      <c r="S1551">
        <f>IFERROR(O1551/N1551,0)</f>
        <v/>
      </c>
      <c r="T1551">
        <f>IF(C1551,(H1551*N1551*IF(AND(Inputs!$B$38&lt;&gt;"pvp",Inputs!$B$43&gt;0),((Skills!G10*((R1551-1)*IF(Skills!H10&gt;0,Skills!I10/Skills!H10,1)+IF(Skills!H10&gt;0,MIN(Skills!I10,MAX(0,MAX(0,Inputs!$B$43-B1577)-((R1551-1)*(IF(Inputs!$B$38="pvp",15,MAX(0.1,Skills!D10-IF(Skills!E10=TRUE,Inputs!$B$32,0)))*(1-IF(AND(ArtifactsInput!$M$27,Inputs!$B$4="Chapter Hunt"),CHOOSE(ArtifactsInput!$N$27+1,20,24,28,32,36,40),0)/100)))))/Skills!H10,1)))/Inputs!$B$43),G1551*Q1551)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1551*(1-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1551*(1-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1">
        <f>IF(C1551,(H1551*N1551*IF(AND(Inputs!$B$38&lt;&gt;"pvp",Inputs!$B$43&gt;0),((Skills!G10*((R1551-1)*IF(Skills!H10&gt;0,Skills!I10/Skills!H10,1)+IF(Skills!H10&gt;0,MIN(Skills!I10,MAX(0,MAX(0,Inputs!$B$43-B1577)-((R1551-1)*(IF(Inputs!$B$38="pvp",15,MAX(0.1,Skills!D10-IF(Skills!E10=TRUE,Inputs!$B$32,0)))*(1-IF(AND(ArtifactsInput!$M$27,Inputs!$B$4="Chapter Hunt"),CHOOSE(ArtifactsInput!$N$27+1,20,24,28,32,36,40),0)/100)))))/Skills!H10,1)))/Inputs!$B$43),G1551*Q1551)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2">
      <c r="A1552">
        <f>Skills!A11</f>
        <v/>
      </c>
      <c r="B1552">
        <f>Skills!B11</f>
        <v/>
      </c>
      <c r="C1552">
        <f>Inputs!$B$3&gt;=35</f>
        <v/>
      </c>
      <c r="D1552">
        <f>IF(Skills!C11=1,60+Inputs!$B$25+Inputs!$B$29,IF(Skills!C11=2,90+Inputs!$B$26+Inputs!$B$29,IF(Skills!C11=3,120+Inputs!$B$27+Inputs!$B$29,MAX(0,(Inputs!$B$3-100)*3)+Inputs!$B$28+Inputs!$B$29)))</f>
        <v/>
      </c>
      <c r="E1552">
        <f>INDEX(FactorTable!$B$2:$Y$301, MATCH(ROUND(MIN(300,MAX(1,D1552)),0), FactorTable!$A$2:$A$301,0), Skills!M11+1)</f>
        <v/>
      </c>
      <c r="F1552">
        <f>IF(Skills!N11=TRUE,(Skills!L11/10)*(E1552/1000),Skills!L11/10)+Skills!O11</f>
        <v/>
      </c>
      <c r="G1552">
        <f>Skills!G11*IF(Skills!H11&gt;0,Skills!I11/Skills!H11,1)</f>
        <v/>
      </c>
      <c r="H1552">
        <f>1-(1-Skills!J11/100)^Skills!K11</f>
        <v/>
      </c>
      <c r="I1552" t="inlineStr">
        <is>
          <t>1</t>
        </is>
      </c>
      <c r="J1552">
        <f>((Inputs!$B$6*(1+Inputs!$B$7/100))+(((Inputs!$B$12*(1+Inputs!$B$13/100))-(Inputs!$B$12*(1+Inputs!$B$13/100)))+0.25*(Inputs!$B$14-Inputs!$B$14))*(1+Inputs!$B$7/100))*(F1552/100)</f>
        <v/>
      </c>
      <c r="K1552">
        <f>J1552*(1+((Inputs!$B$12*(1+Inputs!$B$13/100))*0.01+Inputs!$B$14*0.0025)/100)*(1+Inputs!$B$15/100)*(1+Inputs!$B$16/100)*(5000/(6000+Inputs!$B$42*(1-(100*(1-(1-(Inputs!$B$19+0)/100)*(1-CHOOSE(ArtifactsInput!$N$40+1,5,6,7,8,9,10)/100)^(ArtifactsInput!$M$40-ArtifactsInput!$M$40)))/100)))*(1+(Inputs!$B$24+((C1566=TRUE)*(F1566-Calc!F25))+B1576)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1553=TRUE,F1553,0)/100)*(1+IF(Skills!A11="ENHANCED_RAGING_BLOW",IF(Inputs!$B$3&gt;=134,MAX(0,IF(Inputs!$B$3&gt;=110,7,5)-5)*50,0),0)/100)*(1+(IF(Skills!A11="RAGING_BLOW",Inputs!$B$17+((C1562=TRUE)*(F1562-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1564=TRUE)*(F1564-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1554=TRUE)*F1554*IF(Inputs!$B$3&gt;=110,7,5))+((C1556=TRUE)*F1556*IF(AND(Inputs!$B$38&lt;&gt;"pvp",Inputs!$B$43&gt;0),(((R1556-1)*(Skills!T15*(1+(Inputs!$B$34+(ArtifactsInput!$M$7-ArtifactsInput!$M$7)*CHOOSE(ArtifactsInput!$N$7+1,6,7.2,8.4,9.6,10.8,12))/100))+MIN((Skills!T15*(1+(Inputs!$B$34+(ArtifactsInput!$M$7-ArtifactsInput!$M$7)*CHOOSE(ArtifactsInput!$N$7+1,6,7.2,8.4,9.6,10.8,12))/100)),MAX(0,Inputs!$B$43-((R1556-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Hunt"),CHOOSE(ArtifactsInput!$N$35+1,15,18,21,24,27,30)*(1-EXP(-(0.2*B1572)*5)),0)+IF(AND(ArtifactsInput!$M$22,Inputs!$B$4&lt;&gt;"Chapter Hunt"),CHOOSE(ArtifactsInput!$N$22+1,10,12,14,16,18,20)*((0*(((0.15*B1572*5))^0/1)+1*(((0.15*B1572*5))^1/1)+2*(((0.15*B1572*5))^2/2)+3*(((0.15*B1572*5))^3/6)+4*(((0.15*B1572*5))^4/24)+5*(((0.15*B1572*5))^5/120))/((((0.15*B1572*5))^0/1)+(((0.15*B1572*5))^1/1)+(((0.15*B1572*5))^2/2)+(((0.15*B1572*5))^3/6)+(((0.15*B1572*5))^4/24)+(((0.15*B1572*5))^5/120))),0)))/100)*I1552)</f>
        <v/>
      </c>
      <c r="L1552">
        <f>K1552*(MIN(Inputs!$B$22+((C1563=TRUE)*(F1563-Calc!F22)),(Inputs!$B$23+((C1565=TRUE)*(F1565-Calc!F24))+((IF(IF(ArtifactsInput!$M$15,FALSE,TRUE),1,-1)*CHOOSE(ArtifactsInput!$N$15+1,25,30,35,40,45,50)/100*IF(IF(ArtifactsInput!$M$15,FALSE,TRUE),(Inputs!$B$11+((C1561=TRUE)*(F1561-Calc!F20))+(IF(ArtifactsInput!$M$15,FALSE,TRUE)-ArtifactsInput!$M$15)*CHOOSE(ArtifactsInput!$N$15+1,8,9.6,11.2,12.8,14.4,16)),Inputs!$B$11)))))/100+(Inputs!$B$23+((C1565=TRUE)*(F1565-Calc!F24))+((IF(IF(ArtifactsInput!$M$15,FALSE,TRUE),1,-1)*CHOOSE(ArtifactsInput!$N$15+1,25,30,35,40,45,50)/100*IF(IF(ArtifactsInput!$M$15,FALSE,TRUE),(Inputs!$B$11+((C1561=TRUE)*(F1561-Calc!F20))+(IF(ArtifactsInput!$M$15,FALSE,TRUE)-ArtifactsInput!$M$15)*CHOOSE(ArtifactsInput!$N$15+1,8,9.6,11.2,12.8,14.4,16)),Inputs!$B$11))))/100)/2</f>
        <v/>
      </c>
      <c r="M1552">
        <f>L1552*(1+(Inputs!$B$10+0+B1575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2">
        <f>L1552*(1-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1552*(MIN((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2">
        <f>(1-Summary!$B$11)*T1552+Summary!$B$11*V1552</f>
        <v/>
      </c>
      <c r="P1552">
        <f>IF(B1580=0,0,O1552/B1580)</f>
        <v/>
      </c>
      <c r="Q1552">
        <f>IFERROR(1/(IF(Inputs!$B$38="pvp",15,MAX(0.1,Skills!D11-IF(Skills!E11=TRUE,Inputs!$B$32,0)))*(1-IF(AND(ArtifactsInput!$M$27,Inputs!$B$4="Chapter Hunt"),CHOOSE(ArtifactsInput!$N$27+1,20,24,28,32,36,40),0)/100)),0)</f>
        <v/>
      </c>
      <c r="R1552">
        <f>IF(AND(Inputs!$B$38&lt;&gt;"pvp",Inputs!$B$43&gt;0),IF(MAX(0,Inputs!$B$43-B1577)&lt;=0,0,(INT(MAX(0,Inputs!$B$43-B1577)/(IF(Inputs!$B$38="pvp",15,MAX(0.1,Skills!D11-IF(Skills!E11=TRUE,Inputs!$B$32,0)))*(1-IF(AND(ArtifactsInput!$M$27,Inputs!$B$4="Chapter Hunt"),CHOOSE(ArtifactsInput!$N$27+1,20,24,28,32,36,40),0)/100)))+1)),0)</f>
        <v/>
      </c>
      <c r="S1552">
        <f>IFERROR(O1552/N1552,0)</f>
        <v/>
      </c>
      <c r="T1552">
        <f>IF(C1552,(H1552*N1552*IF(AND(Inputs!$B$38&lt;&gt;"pvp",Inputs!$B$43&gt;0),((Skills!G11*((R1552-1)*IF(Skills!H11&gt;0,Skills!I11/Skills!H11,1)+IF(Skills!H11&gt;0,MIN(Skills!I11,MAX(0,MAX(0,Inputs!$B$43-B1577)-((R1552-1)*(IF(Inputs!$B$38="pvp",15,MAX(0.1,Skills!D11-IF(Skills!E11=TRUE,Inputs!$B$32,0)))*(1-IF(AND(ArtifactsInput!$M$27,Inputs!$B$4="Chapter Hunt"),CHOOSE(ArtifactsInput!$N$27+1,20,24,28,32,36,40),0)/100)))))/Skills!H11,1)))/Inputs!$B$43),G1552*Q1552)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1552*(1-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1552*(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1552*(1-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1552*(MIN(100,(Inputs!$B$9+((C1567=TRUE)*(F1567-Calc!F26))+B1570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2">
        <f>IF(C1552,(H1552*N1552*IF(AND(Inputs!$B$38&lt;&gt;"pvp",Inputs!$B$43&gt;0),((Skills!G11*((R1552-1)*IF(Skills!H11&gt;0,Skills!I11/Skills!H11,1)+IF(Skills!H11&gt;0,MIN(Skills!I11,MAX(0,MAX(0,Inputs!$B$43-B1577)-((R1552-1)*(IF(Inputs!$B$38="pvp",15,MAX(0.1,Skills!D11-IF(Skills!E11=TRUE,Inputs!$B$32,0)))*(1-IF(AND(ArtifactsInput!$M$27,Inputs!$B$4="Chapter Hunt"),CHOOSE(ArtifactsInput!$N$27+1,20,24,28,32,36,40),0)/100)))))/Skills!H11,1)))/Inputs!$B$43),G1552*Q1552)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3">
      <c r="A1553">
        <f>Skills!A12</f>
        <v/>
      </c>
      <c r="B1553">
        <f>Skills!B12</f>
        <v/>
      </c>
      <c r="C1553">
        <f>Inputs!$B$3&gt;=100</f>
        <v/>
      </c>
      <c r="D1553">
        <f>IF(Skills!C12=1,60+Inputs!$B$25+Inputs!$B$29,IF(Skills!C12=2,90+Inputs!$B$26+Inputs!$B$29,IF(Skills!C12=3,120+Inputs!$B$27+Inputs!$B$29,MAX(0,(Inputs!$B$3-100)*3)+Inputs!$B$28+Inputs!$B$29)))</f>
        <v/>
      </c>
      <c r="E1553">
        <f>INDEX(FactorTable!$B$2:$Y$301, MATCH(ROUND(MIN(300,MAX(1,D1553)),0), FactorTable!$A$2:$A$301,0), Skills!M12+1)</f>
        <v/>
      </c>
      <c r="F1553">
        <f>IF(Skills!N12=TRUE,(Skills!L12/10)*(E1553/1000),Skills!L12/10)+Skills!O12</f>
        <v/>
      </c>
      <c r="G1553" t="inlineStr"/>
      <c r="H1553" t="inlineStr"/>
      <c r="I1553" t="inlineStr">
        <is>
          <t>1</t>
        </is>
      </c>
      <c r="J1553" t="inlineStr"/>
      <c r="K1553" t="inlineStr"/>
      <c r="L1553" t="inlineStr"/>
      <c r="M1553" t="inlineStr"/>
      <c r="N1553" t="inlineStr"/>
      <c r="O1553" t="inlineStr"/>
      <c r="P1553" t="inlineStr"/>
      <c r="Q1553" t="inlineStr"/>
      <c r="R1553" t="inlineStr"/>
      <c r="S1553" t="inlineStr"/>
    </row>
    <row r="1554">
      <c r="A1554">
        <f>Skills!A13</f>
        <v/>
      </c>
      <c r="B1554">
        <f>Skills!B13</f>
        <v/>
      </c>
      <c r="C1554">
        <f>Inputs!$B$3&gt;=45</f>
        <v/>
      </c>
      <c r="D1554">
        <f>IF(Skills!C13=1,60+Inputs!$B$25+Inputs!$B$29,IF(Skills!C13=2,90+Inputs!$B$26+Inputs!$B$29,IF(Skills!C13=3,120+Inputs!$B$27+Inputs!$B$29,MAX(0,(Inputs!$B$3-100)*3)+Inputs!$B$28+Inputs!$B$29)))</f>
        <v/>
      </c>
      <c r="E1554">
        <f>INDEX(FactorTable!$B$2:$Y$301, MATCH(ROUND(MIN(300,MAX(1,D1554)),0), FactorTable!$A$2:$A$301,0), Skills!M13+1)</f>
        <v/>
      </c>
      <c r="F1554">
        <f>IF(Skills!N13=TRUE,(Skills!L13/10)*(E1554/1000),Skills!L13/10)+Skills!O13</f>
        <v/>
      </c>
      <c r="G1554">
        <f>Skills!G13*IF(Skills!H13&gt;0,Skills!I13/Skills!H13,1)</f>
        <v/>
      </c>
      <c r="H1554">
        <f>1-(1-Skills!J13/100)^Skills!K13</f>
        <v/>
      </c>
      <c r="I1554" t="inlineStr">
        <is>
          <t>1</t>
        </is>
      </c>
      <c r="J1554" t="inlineStr"/>
      <c r="K1554" t="inlineStr"/>
      <c r="L1554" t="inlineStr"/>
      <c r="M1554" t="inlineStr"/>
      <c r="N1554" t="inlineStr"/>
      <c r="O1554">
        <f>(1-Summary!$B$11)*T1554+Summary!$B$11*V1554</f>
        <v/>
      </c>
      <c r="P1554">
        <f>IF(B1580=0,0,O1554/B1580)</f>
        <v/>
      </c>
      <c r="Q1554" t="n">
        <v>0</v>
      </c>
      <c r="R1554" t="n">
        <v>0</v>
      </c>
      <c r="S1554">
        <f>IFERROR(O1554/N1554,0)</f>
        <v/>
      </c>
      <c r="T1554" t="n">
        <v>0</v>
      </c>
      <c r="V1554" t="n">
        <v>0</v>
      </c>
    </row>
    <row r="1555">
      <c r="A1555">
        <f>Skills!A14</f>
        <v/>
      </c>
      <c r="B1555">
        <f>Skills!B14</f>
        <v/>
      </c>
      <c r="C1555">
        <f>Inputs!$B$3&gt;=75</f>
        <v/>
      </c>
      <c r="D1555">
        <f>IF(Skills!C14=1,60+Inputs!$B$25+Inputs!$B$29,IF(Skills!C14=2,90+Inputs!$B$26+Inputs!$B$29,IF(Skills!C14=3,120+Inputs!$B$27+Inputs!$B$29,MAX(0,(Inputs!$B$3-100)*3)+Inputs!$B$28+Inputs!$B$29)))</f>
        <v/>
      </c>
      <c r="E1555">
        <f>INDEX(FactorTable!$B$2:$Y$301, MATCH(ROUND(MIN(300,MAX(1,D1555)),0), FactorTable!$A$2:$A$301,0), Skills!M14+1)</f>
        <v/>
      </c>
      <c r="F1555">
        <f>IF(Skills!N14=TRUE,(Skills!L14/10)*(E1555/1000),Skills!L14/10)+Skills!O14</f>
        <v/>
      </c>
      <c r="G1555">
        <f>Skills!G14*IF(Skills!H14&gt;0,Skills!I14/Skills!H14,1)</f>
        <v/>
      </c>
      <c r="H1555">
        <f>1-(1-Skills!J14/100)^Skills!K14</f>
        <v/>
      </c>
      <c r="I1555" t="inlineStr">
        <is>
          <t>1</t>
        </is>
      </c>
      <c r="J1555" t="inlineStr"/>
      <c r="K1555" t="inlineStr"/>
      <c r="L1555" t="inlineStr"/>
      <c r="M1555" t="inlineStr"/>
      <c r="N1555" t="inlineStr"/>
      <c r="O1555">
        <f>(1-Summary!$B$11)*T1555+Summary!$B$11*V1555</f>
        <v/>
      </c>
      <c r="P1555">
        <f>IF(B1580=0,0,O1555/B1580)</f>
        <v/>
      </c>
      <c r="Q1555" t="n">
        <v>0</v>
      </c>
      <c r="R1555" t="n">
        <v>0</v>
      </c>
      <c r="S1555">
        <f>IFERROR(O1555/N1555,0)</f>
        <v/>
      </c>
      <c r="T1555" t="n">
        <v>0</v>
      </c>
      <c r="V1555" t="n">
        <v>0</v>
      </c>
    </row>
    <row r="1556">
      <c r="A1556">
        <f>Skills!A15</f>
        <v/>
      </c>
      <c r="B1556">
        <f>Skills!B15</f>
        <v/>
      </c>
      <c r="C1556">
        <f>Inputs!$B$3&gt;=40</f>
        <v/>
      </c>
      <c r="D1556">
        <f>IF(Skills!C15=1,60+Inputs!$B$25+Inputs!$B$29,IF(Skills!C15=2,90+Inputs!$B$26+Inputs!$B$29,IF(Skills!C15=3,120+Inputs!$B$27+Inputs!$B$29,MAX(0,(Inputs!$B$3-100)*3)+Inputs!$B$28+Inputs!$B$29)))</f>
        <v/>
      </c>
      <c r="E1556">
        <f>INDEX(FactorTable!$B$2:$Y$301, MATCH(ROUND(MIN(300,MAX(1,D1556)),0), FactorTable!$A$2:$A$301,0), Skills!M15+1)</f>
        <v/>
      </c>
      <c r="F1556">
        <f>IF(Skills!N15=TRUE,(Skills!L15/10)*(E1556/1000),Skills!L15/10)+Skills!O15</f>
        <v/>
      </c>
      <c r="G1556">
        <f>Skills!G15*IF(Skills!H15&gt;0,Skills!I15/Skills!H15,1)</f>
        <v/>
      </c>
      <c r="H1556">
        <f>1-(1-Skills!J15/100)^Skills!K15</f>
        <v/>
      </c>
      <c r="I1556" t="inlineStr">
        <is>
          <t>1</t>
        </is>
      </c>
      <c r="J1556" t="inlineStr"/>
      <c r="K1556" t="inlineStr"/>
      <c r="L1556" t="inlineStr"/>
      <c r="M1556" t="inlineStr"/>
      <c r="N1556" t="inlineStr"/>
      <c r="O1556">
        <f>(1-Summary!$B$11)*T1556+Summary!$B$11*V1556</f>
        <v/>
      </c>
      <c r="P1556">
        <f>IF(B1580=0,0,O1556/B1580)</f>
        <v/>
      </c>
      <c r="Q1556">
        <f>IFERROR(1/(IF(Inputs!$B$38="pvp",15,MAX(0.1,Skills!D15-IF(Skills!E15=TRUE,Inputs!$B$32,0)))*(1-IF(AND(ArtifactsInput!$M$27,Inputs!$B$4="Chapter Hunt"),CHOOSE(ArtifactsInput!$N$27+1,20,24,28,32,36,40),0)/100)),0)</f>
        <v/>
      </c>
      <c r="R1556">
        <f>IF(AND(Inputs!$B$38&lt;&gt;"pvp",Inputs!$B$43&gt;0),IF(Inputs!$B$43&lt;=0,0,(INT(Inputs!$B$43/(IF(Inputs!$B$38="pvp",15,MAX(0.1,Skills!D15-IF(Skills!E15=TRUE,Inputs!$B$32,0)))*(1-IF(AND(ArtifactsInput!$M$27,Inputs!$B$4="Chapter Hunt"),CHOOSE(ArtifactsInput!$N$27+1,20,24,28,32,36,40),0)/100)))+1)),0)</f>
        <v/>
      </c>
      <c r="S1556">
        <f>IFERROR(O1556/N1556,0)</f>
        <v/>
      </c>
      <c r="T1556" t="n">
        <v>0</v>
      </c>
      <c r="V1556" t="n">
        <v>0</v>
      </c>
    </row>
    <row r="1557">
      <c r="A1557">
        <f>Skills!A16</f>
        <v/>
      </c>
      <c r="B1557">
        <f>Skills!B16</f>
        <v/>
      </c>
      <c r="C1557">
        <f>Inputs!$B$3&gt;=66</f>
        <v/>
      </c>
      <c r="D1557">
        <f>IF(Skills!C16=1,60+Inputs!$B$25+Inputs!$B$29,IF(Skills!C16=2,90+Inputs!$B$26+Inputs!$B$29,IF(Skills!C16=3,120+Inputs!$B$27+Inputs!$B$29,MAX(0,(Inputs!$B$3-100)*3)+Inputs!$B$28+Inputs!$B$29)))</f>
        <v/>
      </c>
      <c r="E1557">
        <f>INDEX(FactorTable!$B$2:$Y$301, MATCH(ROUND(MIN(300,MAX(1,D1557)),0), FactorTable!$A$2:$A$301,0), Skills!M16+1)</f>
        <v/>
      </c>
      <c r="F1557">
        <f>IF(Skills!N16=TRUE,(Skills!L16/10)*(E1557/1000),Skills!L16/10)+Skills!O16</f>
        <v/>
      </c>
      <c r="G1557">
        <f>Skills!G16*IF(Skills!H16&gt;0,Skills!I16/Skills!H16,1)</f>
        <v/>
      </c>
      <c r="H1557">
        <f>1-(1-Skills!J16/100)^Skills!K16</f>
        <v/>
      </c>
      <c r="I1557" t="inlineStr">
        <is>
          <t>1</t>
        </is>
      </c>
      <c r="J1557" t="inlineStr"/>
      <c r="K1557" t="inlineStr"/>
      <c r="L1557" t="inlineStr"/>
      <c r="M1557" t="inlineStr"/>
      <c r="N1557" t="inlineStr"/>
      <c r="O1557">
        <f>(1-Summary!$B$11)*T1557+Summary!$B$11*V1557</f>
        <v/>
      </c>
      <c r="P1557">
        <f>IF(B1580=0,0,O1557/B1580)</f>
        <v/>
      </c>
      <c r="Q1557">
        <f>IFERROR(1/(IF(Inputs!$B$38="pvp",15,MAX(0.1,Skills!D16-IF(Skills!E16=TRUE,Inputs!$B$32,0)))*(1-IF(AND(ArtifactsInput!$M$27,Inputs!$B$4="Chapter Hunt"),CHOOSE(ArtifactsInput!$N$27+1,20,24,28,32,36,40),0)/100)),0)</f>
        <v/>
      </c>
      <c r="R1557">
        <f>IF(AND(Inputs!$B$38&lt;&gt;"pvp",Inputs!$B$43&gt;0),IF(Inputs!$B$43&lt;=0,0,(INT(Inputs!$B$43/(IF(Inputs!$B$38="pvp",15,MAX(0.1,Skills!D16-IF(Skills!E16=TRUE,Inputs!$B$32,0)))*(1-IF(AND(ArtifactsInput!$M$27,Inputs!$B$4="Chapter Hunt"),CHOOSE(ArtifactsInput!$N$27+1,20,24,28,32,36,40),0)/100)))+1)),0)</f>
        <v/>
      </c>
      <c r="S1557">
        <f>IFERROR(O1557/N1557,0)</f>
        <v/>
      </c>
      <c r="T1557" t="n">
        <v>0</v>
      </c>
      <c r="V1557" t="n">
        <v>0</v>
      </c>
    </row>
    <row r="1558">
      <c r="A1558">
        <f>Skills!A17</f>
        <v/>
      </c>
      <c r="B1558">
        <f>Skills!B17</f>
        <v/>
      </c>
      <c r="C1558">
        <f>Inputs!$B$3&gt;=115</f>
        <v/>
      </c>
      <c r="D1558">
        <f>IF(Skills!C17=1,60+Inputs!$B$25+Inputs!$B$29,IF(Skills!C17=2,90+Inputs!$B$26+Inputs!$B$29,IF(Skills!C17=3,120+Inputs!$B$27+Inputs!$B$29,MAX(0,(Inputs!$B$3-100)*3)+Inputs!$B$28+Inputs!$B$29)))</f>
        <v/>
      </c>
      <c r="E1558">
        <f>INDEX(FactorTable!$B$2:$Y$301, MATCH(ROUND(MIN(300,MAX(1,D1558)),0), FactorTable!$A$2:$A$301,0), Skills!M17+1)</f>
        <v/>
      </c>
      <c r="F1558">
        <f>IF(Skills!N17=TRUE,(Skills!L17/10)*(E1558/1000),Skills!L17/10)+Skills!O17</f>
        <v/>
      </c>
      <c r="G1558">
        <f>Skills!G17*IF(Skills!H17&gt;0,Skills!I17/Skills!H17,1)</f>
        <v/>
      </c>
      <c r="H1558">
        <f>1-(1-Skills!J17/100)^Skills!K17</f>
        <v/>
      </c>
      <c r="I1558" t="inlineStr">
        <is>
          <t>1</t>
        </is>
      </c>
      <c r="J1558" t="inlineStr"/>
      <c r="K1558" t="inlineStr"/>
      <c r="L1558" t="inlineStr"/>
      <c r="M1558" t="inlineStr"/>
      <c r="N1558" t="inlineStr"/>
      <c r="O1558">
        <f>(1-Summary!$B$11)*T1558+Summary!$B$11*V1558</f>
        <v/>
      </c>
      <c r="P1558">
        <f>IF(B1580=0,0,O1558/B1580)</f>
        <v/>
      </c>
      <c r="Q1558">
        <f>IFERROR(1/(IF(Inputs!$B$38="pvp",15,MAX(0.1,Skills!D17-IF(Skills!E17=TRUE,Inputs!$B$32,0)))*(1-IF(AND(ArtifactsInput!$M$27,Inputs!$B$4="Chapter Hunt"),CHOOSE(ArtifactsInput!$N$27+1,20,24,28,32,36,40),0)/100)),0)</f>
        <v/>
      </c>
      <c r="R1558">
        <f>IF(AND(Inputs!$B$38&lt;&gt;"pvp",Inputs!$B$43&gt;0),IF(Inputs!$B$43&lt;=0,0,(INT(Inputs!$B$43/(IF(Inputs!$B$38="pvp",15,MAX(0.1,Skills!D17-IF(Skills!E17=TRUE,Inputs!$B$32,0)))*(1-IF(AND(ArtifactsInput!$M$27,Inputs!$B$4="Chapter Hunt"),CHOOSE(ArtifactsInput!$N$27+1,20,24,28,32,36,40),0)/100)))+1)),0)</f>
        <v/>
      </c>
      <c r="S1558">
        <f>IFERROR(O1558/N1558,0)</f>
        <v/>
      </c>
      <c r="T1558" t="n">
        <v>0</v>
      </c>
      <c r="V1558" t="n">
        <v>0</v>
      </c>
    </row>
    <row r="1559">
      <c r="A1559">
        <f>Skills!A18</f>
        <v/>
      </c>
      <c r="B1559">
        <f>Skills!B18</f>
        <v/>
      </c>
      <c r="C1559">
        <f>Inputs!$B$3&gt;=115</f>
        <v/>
      </c>
      <c r="D1559">
        <f>IF(Skills!C18=1,60+Inputs!$B$25+Inputs!$B$29,IF(Skills!C18=2,90+Inputs!$B$26+Inputs!$B$29,IF(Skills!C18=3,120+Inputs!$B$27+Inputs!$B$29,MAX(0,(Inputs!$B$3-100)*3)+Inputs!$B$28+Inputs!$B$29)))</f>
        <v/>
      </c>
      <c r="E1559">
        <f>INDEX(FactorTable!$B$2:$Y$301, MATCH(ROUND(MIN(300,MAX(1,D1559)),0), FactorTable!$A$2:$A$301,0), Skills!M18+1)</f>
        <v/>
      </c>
      <c r="F1559">
        <f>IF(Skills!N18=TRUE,(Skills!L18/10)*(E1559/1000),Skills!L18/10)+Skills!O18</f>
        <v/>
      </c>
      <c r="G1559">
        <f>Skills!G18*IF(Skills!H18&gt;0,Skills!I18/Skills!H18,1)</f>
        <v/>
      </c>
      <c r="H1559">
        <f>1-(1-Skills!J18/100)^Skills!K18</f>
        <v/>
      </c>
      <c r="I1559" t="inlineStr">
        <is>
          <t>1</t>
        </is>
      </c>
      <c r="J1559" t="inlineStr"/>
      <c r="K1559" t="inlineStr"/>
      <c r="L1559" t="inlineStr"/>
      <c r="M1559" t="inlineStr"/>
      <c r="N1559" t="inlineStr"/>
      <c r="O1559">
        <f>(1-Summary!$B$11)*T1559+Summary!$B$11*V1559</f>
        <v/>
      </c>
      <c r="P1559">
        <f>IF(B1580=0,0,O1559/B1580)</f>
        <v/>
      </c>
      <c r="Q1559">
        <f>IFERROR(1/(IF(Inputs!$B$38="pvp",15,MAX(0.1,Skills!D18-IF(Skills!E18=TRUE,Inputs!$B$32,0)))*(1-IF(AND(ArtifactsInput!$M$27,Inputs!$B$4="Chapter Hunt"),CHOOSE(ArtifactsInput!$N$27+1,20,24,28,32,36,40),0)/100)),0)</f>
        <v/>
      </c>
      <c r="R1559">
        <f>IF(AND(Inputs!$B$38&lt;&gt;"pvp",Inputs!$B$43&gt;0),IF(Inputs!$B$43&lt;=0,0,(INT(Inputs!$B$43/(IF(Inputs!$B$38="pvp",15,MAX(0.1,Skills!D18-IF(Skills!E18=TRUE,Inputs!$B$32,0)))*(1-IF(AND(ArtifactsInput!$M$27,Inputs!$B$4="Chapter Hunt"),CHOOSE(ArtifactsInput!$N$27+1,20,24,28,32,36,40),0)/100)))+1)),0)</f>
        <v/>
      </c>
      <c r="S1559">
        <f>IFERROR(O1559/N1559,0)</f>
        <v/>
      </c>
      <c r="T1559" t="n">
        <v>0</v>
      </c>
      <c r="V1559" t="n">
        <v>0</v>
      </c>
    </row>
    <row r="1560">
      <c r="A1560">
        <f>Skills!A19</f>
        <v/>
      </c>
      <c r="B1560">
        <f>Skills!B19</f>
        <v/>
      </c>
      <c r="C1560">
        <f>TRUE</f>
        <v/>
      </c>
      <c r="D1560">
        <f>IF(Skills!C19=1,60+Inputs!$B$25+Inputs!$B$29,IF(Skills!C19=2,90+Inputs!$B$26+Inputs!$B$29,IF(Skills!C19=3,120+Inputs!$B$27+Inputs!$B$29,MAX(0,(Inputs!$B$3-100)*3)+Inputs!$B$28+Inputs!$B$29)))</f>
        <v/>
      </c>
      <c r="E1560">
        <f>INDEX(FactorTable!$B$2:$Y$301, MATCH(ROUND(MIN(300,MAX(1,D1560)),0), FactorTable!$A$2:$A$301,0), Skills!M19+1)</f>
        <v/>
      </c>
      <c r="F1560">
        <f>IF(Skills!N19=TRUE,(Skills!L19/10)*(E1560/1000),Skills!L19/10)+Skills!O19</f>
        <v/>
      </c>
      <c r="G1560">
        <f>Skills!G19*IF(Skills!H19&gt;0,Skills!I19/Skills!H19,1)</f>
        <v/>
      </c>
      <c r="H1560">
        <f>1-(1-Skills!J19/100)^Skills!K19</f>
        <v/>
      </c>
      <c r="I1560" t="inlineStr">
        <is>
          <t>1</t>
        </is>
      </c>
      <c r="J1560" t="inlineStr"/>
      <c r="K1560" t="inlineStr"/>
      <c r="L1560" t="inlineStr"/>
      <c r="M1560" t="inlineStr"/>
      <c r="N1560" t="inlineStr"/>
      <c r="O1560">
        <f>(1-Summary!$B$11)*T1560+Summary!$B$11*V1560</f>
        <v/>
      </c>
      <c r="P1560">
        <f>IF(B1580=0,0,O1560/B1580)</f>
        <v/>
      </c>
      <c r="Q1560">
        <f>IFERROR(1/(IF(Inputs!$B$38="pvp",15,MAX(0.1,Skills!D19-IF(Skills!E19=TRUE,Inputs!$B$32,0)))*(1-IF(AND(ArtifactsInput!$M$27,Inputs!$B$4="Chapter Hunt"),CHOOSE(ArtifactsInput!$N$27+1,20,24,28,32,36,40),0)/100)),0)</f>
        <v/>
      </c>
      <c r="R1560">
        <f>IF(AND(Inputs!$B$38&lt;&gt;"pvp",Inputs!$B$43&gt;0),IF(Inputs!$B$43&lt;=0,0,(INT(Inputs!$B$43/(IF(Inputs!$B$38="pvp",15,MAX(0.1,Skills!D19-IF(Skills!E19=TRUE,Inputs!$B$32,0)))*(1-IF(AND(ArtifactsInput!$M$27,Inputs!$B$4="Chapter Hunt"),CHOOSE(ArtifactsInput!$N$27+1,20,24,28,32,36,40),0)/100)))+1)),0)</f>
        <v/>
      </c>
      <c r="S1560">
        <f>IFERROR(O1560/N1560,0)</f>
        <v/>
      </c>
      <c r="T1560" t="n">
        <v>0</v>
      </c>
      <c r="V1560" t="n">
        <v>0</v>
      </c>
    </row>
    <row r="1561">
      <c r="A1561">
        <f>Skills!A20</f>
        <v/>
      </c>
      <c r="B1561">
        <f>Skills!B20</f>
        <v/>
      </c>
      <c r="C1561">
        <f>Inputs!$B$3&gt;=33</f>
        <v/>
      </c>
      <c r="D1561">
        <f>IF(Skills!C20=1,60+Inputs!$B$25+Inputs!$B$29,IF(Skills!C20=2,90+Inputs!$B$26+Inputs!$B$29,IF(Skills!C20=3,120+Inputs!$B$27+Inputs!$B$29,MAX(0,(Inputs!$B$3-100)*3)+Inputs!$B$28+Inputs!$B$29)))</f>
        <v/>
      </c>
      <c r="E1561">
        <f>INDEX(FactorTable!$B$2:$Y$301, MATCH(ROUND(MIN(300,MAX(1,D1561)),0), FactorTable!$A$2:$A$301,0), Skills!M20+1)</f>
        <v/>
      </c>
      <c r="F1561">
        <f>IF(Skills!N20=TRUE,(Skills!L20/10)*(E1561/1000),Skills!L20/10)+Skills!O20</f>
        <v/>
      </c>
      <c r="G1561">
        <f>Skills!G20*IF(Skills!H20&gt;0,Skills!I20/Skills!H20,1)</f>
        <v/>
      </c>
      <c r="H1561">
        <f>1-(1-Skills!J20/100)^Skills!K20</f>
        <v/>
      </c>
      <c r="I1561" t="inlineStr">
        <is>
          <t>1</t>
        </is>
      </c>
      <c r="J1561" t="inlineStr"/>
      <c r="K1561" t="inlineStr"/>
      <c r="L1561" t="inlineStr"/>
      <c r="M1561" t="inlineStr"/>
      <c r="N1561" t="inlineStr"/>
      <c r="O1561">
        <f>(1-Summary!$B$11)*T1561+Summary!$B$11*V1561</f>
        <v/>
      </c>
      <c r="P1561">
        <f>IF(B1580=0,0,O1561/B1580)</f>
        <v/>
      </c>
      <c r="Q1561" t="n">
        <v>0</v>
      </c>
      <c r="R1561" t="n">
        <v>0</v>
      </c>
      <c r="S1561">
        <f>IFERROR(O1561/N1561,0)</f>
        <v/>
      </c>
      <c r="T1561" t="n">
        <v>0</v>
      </c>
      <c r="V1561" t="n">
        <v>0</v>
      </c>
    </row>
    <row r="1562">
      <c r="A1562">
        <f>Skills!A21</f>
        <v/>
      </c>
      <c r="B1562">
        <f>Skills!B21</f>
        <v/>
      </c>
      <c r="C1562">
        <f>Inputs!$B$3&gt;=38</f>
        <v/>
      </c>
      <c r="D1562">
        <f>IF(Skills!C21=1,60+Inputs!$B$25+Inputs!$B$29,IF(Skills!C21=2,90+Inputs!$B$26+Inputs!$B$29,IF(Skills!C21=3,120+Inputs!$B$27+Inputs!$B$29,MAX(0,(Inputs!$B$3-100)*3)+Inputs!$B$28+Inputs!$B$29)))</f>
        <v/>
      </c>
      <c r="E1562">
        <f>INDEX(FactorTable!$B$2:$Y$301, MATCH(ROUND(MIN(300,MAX(1,D1562)),0), FactorTable!$A$2:$A$301,0), Skills!M21+1)</f>
        <v/>
      </c>
      <c r="F1562">
        <f>IF(Skills!N21=TRUE,(Skills!L21/10)*(E1562/1000),Skills!L21/10)+Skills!O21</f>
        <v/>
      </c>
      <c r="G1562">
        <f>Skills!G21*IF(Skills!H21&gt;0,Skills!I21/Skills!H21,1)</f>
        <v/>
      </c>
      <c r="H1562">
        <f>1-(1-Skills!J21/100)^Skills!K21</f>
        <v/>
      </c>
      <c r="I1562" t="inlineStr">
        <is>
          <t>1</t>
        </is>
      </c>
      <c r="J1562" t="inlineStr"/>
      <c r="K1562" t="inlineStr"/>
      <c r="L1562" t="inlineStr"/>
      <c r="M1562" t="inlineStr"/>
      <c r="N1562" t="inlineStr"/>
      <c r="O1562">
        <f>(1-Summary!$B$11)*T1562+Summary!$B$11*V1562</f>
        <v/>
      </c>
      <c r="P1562">
        <f>IF(B1580=0,0,O1562/B1580)</f>
        <v/>
      </c>
      <c r="Q1562" t="n">
        <v>0</v>
      </c>
      <c r="R1562" t="n">
        <v>0</v>
      </c>
      <c r="S1562">
        <f>IFERROR(O1562/N1562,0)</f>
        <v/>
      </c>
      <c r="T1562" t="n">
        <v>0</v>
      </c>
      <c r="V1562" t="n">
        <v>0</v>
      </c>
    </row>
    <row r="1563">
      <c r="A1563">
        <f>Skills!A22</f>
        <v/>
      </c>
      <c r="B1563">
        <f>Skills!B22</f>
        <v/>
      </c>
      <c r="C1563">
        <f>Inputs!$B$3&gt;=43</f>
        <v/>
      </c>
      <c r="D1563">
        <f>IF(Skills!C22=1,60+Inputs!$B$25+Inputs!$B$29,IF(Skills!C22=2,90+Inputs!$B$26+Inputs!$B$29,IF(Skills!C22=3,120+Inputs!$B$27+Inputs!$B$29,MAX(0,(Inputs!$B$3-100)*3)+Inputs!$B$28+Inputs!$B$29)))</f>
        <v/>
      </c>
      <c r="E1563">
        <f>INDEX(FactorTable!$B$2:$Y$301, MATCH(ROUND(MIN(300,MAX(1,D1563)),0), FactorTable!$A$2:$A$301,0), Skills!M22+1)</f>
        <v/>
      </c>
      <c r="F1563">
        <f>IF(Skills!N22=TRUE,(Skills!L22/10)*(E1563/1000),Skills!L22/10)+Skills!O22</f>
        <v/>
      </c>
      <c r="G1563">
        <f>Skills!G22*IF(Skills!H22&gt;0,Skills!I22/Skills!H22,1)</f>
        <v/>
      </c>
      <c r="H1563">
        <f>1-(1-Skills!J22/100)^Skills!K22</f>
        <v/>
      </c>
      <c r="I1563" t="inlineStr">
        <is>
          <t>1</t>
        </is>
      </c>
      <c r="J1563" t="inlineStr"/>
      <c r="K1563" t="inlineStr"/>
      <c r="L1563" t="inlineStr"/>
      <c r="M1563" t="inlineStr"/>
      <c r="N1563" t="inlineStr"/>
      <c r="O1563">
        <f>(1-Summary!$B$11)*T1563+Summary!$B$11*V1563</f>
        <v/>
      </c>
      <c r="P1563">
        <f>IF(B1580=0,0,O1563/B1580)</f>
        <v/>
      </c>
      <c r="Q1563" t="n">
        <v>0</v>
      </c>
      <c r="R1563" t="n">
        <v>0</v>
      </c>
      <c r="S1563">
        <f>IFERROR(O1563/N1563,0)</f>
        <v/>
      </c>
      <c r="T1563" t="n">
        <v>0</v>
      </c>
      <c r="V1563" t="n">
        <v>0</v>
      </c>
    </row>
    <row r="1564">
      <c r="A1564">
        <f>Skills!A23</f>
        <v/>
      </c>
      <c r="B1564">
        <f>Skills!B23</f>
        <v/>
      </c>
      <c r="C1564">
        <f>Inputs!$B$3&gt;=120</f>
        <v/>
      </c>
      <c r="D1564">
        <f>IF(Skills!C23=1,60+Inputs!$B$25+Inputs!$B$29,IF(Skills!C23=2,90+Inputs!$B$26+Inputs!$B$29,IF(Skills!C23=3,120+Inputs!$B$27+Inputs!$B$29,MAX(0,(Inputs!$B$3-100)*3)+Inputs!$B$28+Inputs!$B$29)))</f>
        <v/>
      </c>
      <c r="E1564">
        <f>INDEX(FactorTable!$B$2:$Y$301, MATCH(ROUND(MIN(300,MAX(1,D1564)),0), FactorTable!$A$2:$A$301,0), Skills!M23+1)</f>
        <v/>
      </c>
      <c r="F1564">
        <f>IF(Skills!N23=TRUE,(Skills!L23/10)*(E1564/1000),Skills!L23/10)+Skills!O23</f>
        <v/>
      </c>
      <c r="G1564">
        <f>Skills!G23*IF(Skills!H23&gt;0,Skills!I23/Skills!H23,1)</f>
        <v/>
      </c>
      <c r="H1564">
        <f>1-(1-Skills!J23/100)^Skills!K23</f>
        <v/>
      </c>
      <c r="I1564" t="inlineStr">
        <is>
          <t>1</t>
        </is>
      </c>
      <c r="J1564" t="inlineStr"/>
      <c r="K1564" t="inlineStr"/>
      <c r="L1564" t="inlineStr"/>
      <c r="M1564" t="inlineStr"/>
      <c r="N1564" t="inlineStr"/>
      <c r="O1564">
        <f>(1-Summary!$B$11)*T1564+Summary!$B$11*V1564</f>
        <v/>
      </c>
      <c r="P1564">
        <f>IF(B1580=0,0,O1564/B1580)</f>
        <v/>
      </c>
      <c r="Q1564" t="n">
        <v>0</v>
      </c>
      <c r="R1564" t="n">
        <v>0</v>
      </c>
      <c r="S1564">
        <f>IFERROR(O1564/N1564,0)</f>
        <v/>
      </c>
      <c r="T1564" t="n">
        <v>0</v>
      </c>
      <c r="V1564" t="n">
        <v>0</v>
      </c>
    </row>
    <row r="1565">
      <c r="A1565">
        <f>Skills!A24</f>
        <v/>
      </c>
      <c r="B1565">
        <f>Skills!B24</f>
        <v/>
      </c>
      <c r="C1565">
        <f>Inputs!$B$3&gt;=120</f>
        <v/>
      </c>
      <c r="D1565">
        <f>IF(Skills!C24=1,60+Inputs!$B$25+Inputs!$B$29,IF(Skills!C24=2,90+Inputs!$B$26+Inputs!$B$29,IF(Skills!C24=3,120+Inputs!$B$27+Inputs!$B$29,MAX(0,(Inputs!$B$3-100)*3)+Inputs!$B$28+Inputs!$B$29)))</f>
        <v/>
      </c>
      <c r="E1565">
        <f>INDEX(FactorTable!$B$2:$Y$301, MATCH(ROUND(MIN(300,MAX(1,D1565)),0), FactorTable!$A$2:$A$301,0), Skills!M24+1)</f>
        <v/>
      </c>
      <c r="F1565">
        <f>IF(Skills!N24=TRUE,(Skills!L24/10)*(E1565/1000),Skills!L24/10)+Skills!O24</f>
        <v/>
      </c>
      <c r="G1565">
        <f>Skills!G24*IF(Skills!H24&gt;0,Skills!I24/Skills!H24,1)</f>
        <v/>
      </c>
      <c r="H1565">
        <f>1-(1-Skills!J24/100)^Skills!K24</f>
        <v/>
      </c>
      <c r="I1565" t="inlineStr">
        <is>
          <t>1</t>
        </is>
      </c>
      <c r="J1565" t="inlineStr"/>
      <c r="K1565" t="inlineStr"/>
      <c r="L1565" t="inlineStr"/>
      <c r="M1565" t="inlineStr"/>
      <c r="N1565" t="inlineStr"/>
      <c r="O1565">
        <f>(1-Summary!$B$11)*T1565+Summary!$B$11*V1565</f>
        <v/>
      </c>
      <c r="P1565">
        <f>IF(B1580=0,0,O1565/B1580)</f>
        <v/>
      </c>
      <c r="Q1565" t="n">
        <v>0</v>
      </c>
      <c r="R1565" t="n">
        <v>0</v>
      </c>
      <c r="S1565">
        <f>IFERROR(O1565/N1565,0)</f>
        <v/>
      </c>
      <c r="T1565" t="n">
        <v>0</v>
      </c>
      <c r="V1565" t="n">
        <v>0</v>
      </c>
    </row>
    <row r="1566">
      <c r="A1566">
        <f>Skills!A25</f>
        <v/>
      </c>
      <c r="B1566">
        <f>Skills!B25</f>
        <v/>
      </c>
      <c r="C1566">
        <f>Inputs!$B$3&gt;=125</f>
        <v/>
      </c>
      <c r="D1566">
        <f>IF(Skills!C25=1,60+Inputs!$B$25+Inputs!$B$29,IF(Skills!C25=2,90+Inputs!$B$26+Inputs!$B$29,IF(Skills!C25=3,120+Inputs!$B$27+Inputs!$B$29,MAX(0,(Inputs!$B$3-100)*3)+Inputs!$B$28+Inputs!$B$29)))</f>
        <v/>
      </c>
      <c r="E1566">
        <f>INDEX(FactorTable!$B$2:$Y$301, MATCH(ROUND(MIN(300,MAX(1,D1566)),0), FactorTable!$A$2:$A$301,0), Skills!M25+1)</f>
        <v/>
      </c>
      <c r="F1566">
        <f>IF(Skills!N25=TRUE,(Skills!L25/10)*(E1566/1000),Skills!L25/10)+Skills!O25</f>
        <v/>
      </c>
      <c r="G1566">
        <f>Skills!G25*IF(Skills!H25&gt;0,Skills!I25/Skills!H25,1)</f>
        <v/>
      </c>
      <c r="H1566">
        <f>1-(1-Skills!J25/100)^Skills!K25</f>
        <v/>
      </c>
      <c r="I1566" t="inlineStr">
        <is>
          <t>1</t>
        </is>
      </c>
      <c r="J1566" t="inlineStr"/>
      <c r="K1566" t="inlineStr"/>
      <c r="L1566" t="inlineStr"/>
      <c r="M1566" t="inlineStr"/>
      <c r="N1566" t="inlineStr"/>
      <c r="O1566">
        <f>(1-Summary!$B$11)*T1566+Summary!$B$11*V1566</f>
        <v/>
      </c>
      <c r="P1566">
        <f>IF(B1580=0,0,O1566/B1580)</f>
        <v/>
      </c>
      <c r="Q1566" t="n">
        <v>0</v>
      </c>
      <c r="R1566" t="n">
        <v>0</v>
      </c>
      <c r="S1566">
        <f>IFERROR(O1566/N1566,0)</f>
        <v/>
      </c>
      <c r="T1566" t="n">
        <v>0</v>
      </c>
      <c r="V1566" t="n">
        <v>0</v>
      </c>
    </row>
    <row r="1567">
      <c r="A1567">
        <f>Skills!A26</f>
        <v/>
      </c>
      <c r="B1567">
        <f>Skills!B26</f>
        <v/>
      </c>
      <c r="C1567">
        <f>Inputs!$B$3&gt;=72</f>
        <v/>
      </c>
      <c r="D1567">
        <f>IF(Skills!C26=1,60+Inputs!$B$25+Inputs!$B$29,IF(Skills!C26=2,90+Inputs!$B$26+Inputs!$B$29,IF(Skills!C26=3,120+Inputs!$B$27+Inputs!$B$29,MAX(0,(Inputs!$B$3-100)*3)+Inputs!$B$28+Inputs!$B$29)))</f>
        <v/>
      </c>
      <c r="E1567">
        <f>INDEX(FactorTable!$B$2:$Y$301, MATCH(ROUND(MIN(300,MAX(1,D1567)),0), FactorTable!$A$2:$A$301,0), Skills!M26+1)</f>
        <v/>
      </c>
      <c r="F1567">
        <f>IF(Skills!N26=TRUE,(Skills!L26/10)*(E1567/1000),Skills!L26/10)+Skills!O26</f>
        <v/>
      </c>
      <c r="G1567">
        <f>Skills!G26*IF(Skills!H26&gt;0,Skills!I26/Skills!H26,1)</f>
        <v/>
      </c>
      <c r="H1567">
        <f>1-(1-Skills!J26/100)^Skills!K26</f>
        <v/>
      </c>
      <c r="I1567" t="inlineStr">
        <is>
          <t>1</t>
        </is>
      </c>
      <c r="J1567" t="inlineStr"/>
      <c r="K1567" t="inlineStr"/>
      <c r="L1567" t="inlineStr"/>
      <c r="M1567" t="inlineStr"/>
      <c r="N1567" t="inlineStr"/>
      <c r="O1567">
        <f>(1-Summary!$B$11)*T1567+Summary!$B$11*V1567</f>
        <v/>
      </c>
      <c r="P1567">
        <f>IF(B1580=0,0,O1567/B1580)</f>
        <v/>
      </c>
      <c r="Q1567" t="n">
        <v>0</v>
      </c>
      <c r="R1567" t="n">
        <v>0</v>
      </c>
      <c r="S1567">
        <f>IFERROR(O1567/N1567,0)</f>
        <v/>
      </c>
      <c r="T1567" t="n">
        <v>0</v>
      </c>
      <c r="V1567" t="n">
        <v>0</v>
      </c>
    </row>
    <row r="1569">
      <c r="A1569" t="inlineStr">
        <is>
          <t>Attack% Bucket Multiplier</t>
        </is>
      </c>
      <c r="B1569">
        <f>(1+(((C1554=TRUE)*F1554*IF(Inputs!$B$3&gt;=110,7,5))+((C1556=TRUE)*F1556*IF(AND(Inputs!$B$38&lt;&gt;"pvp",Inputs!$B$43&gt;0),(((R1556-1)*(Skills!T15*(1+(Inputs!$B$34+(ArtifactsInput!$M$7-ArtifactsInput!$M$7)*CHOOSE(ArtifactsInput!$N$7+1,6,7.2,8.4,9.6,10.8,12))/100))+MIN((Skills!T15*(1+(Inputs!$B$34+(ArtifactsInput!$M$7-ArtifactsInput!$M$7)*CHOOSE(ArtifactsInput!$N$7+1,6,7.2,8.4,9.6,10.8,12))/100)),MAX(0,Inputs!$B$43-((R1556-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70">
      <c r="A1570" t="inlineStr">
        <is>
          <t>Global Crit Rate Bonus %</t>
        </is>
      </c>
      <c r="B1570" t="n">
        <v>0</v>
      </c>
    </row>
    <row r="1571">
      <c r="A1571" t="inlineStr">
        <is>
          <t>Attack Speed Buff Bonus %</t>
        </is>
      </c>
      <c r="B1571">
        <f>((C1560=TRUE)*F1560*IF(AND(Inputs!$B$38&lt;&gt;"pvp",Inputs!$B$43&gt;0),(((R1560-1)*(Skills!T19*(1+(Inputs!$B$34+(ArtifactsInput!$M$7-ArtifactsInput!$M$7)*CHOOSE(ArtifactsInput!$N$7+1,6,7.2,8.4,9.6,10.8,12))/100))+MIN((Skills!T19*(1+(Inputs!$B$34+(ArtifactsInput!$M$7-ArtifactsInput!$M$7)*CHOOSE(ArtifactsInput!$N$7+1,6,7.2,8.4,9.6,10.8,12))/100)),MAX(0,Inputs!$B$43-((R1560-1)*Skills!D19))))/Inputs!$B$43),IF(Inputs!$B$38="pvp",MIN((Skills!T19*(1+(Inputs!$B$34+(ArtifactsInput!$M$7-ArtifactsInput!$M$7)*CHOOSE(ArtifactsInput!$N$7+1,6,7.2,8.4,9.6,10.8,12))/100)),15)/15,(Skills!T19*(1+(Inputs!$B$34+(ArtifactsInput!$M$7-ArtifactsInput!$M$7)*CHOOSE(ArtifactsInput!$N$7+1,6,7.2,8.4,9.6,10.8,12))/100))/Skills!D19)))</f>
        <v/>
      </c>
    </row>
    <row r="1572">
      <c r="A1572" t="inlineStr">
        <is>
          <t>Actions Per Second</t>
        </is>
      </c>
      <c r="B1572">
        <f>1+MIN(150,150*(1-(1-(Inputs!$B$11+((C1561=TRUE)*(F1561-Calc!F20)))/150)*(1-B1571/150)))/100</f>
        <v/>
      </c>
    </row>
    <row r="1573">
      <c r="A1573" t="inlineStr">
        <is>
          <t>Skill + Buff Cast Rate</t>
        </is>
      </c>
      <c r="B1573">
        <f>IF(AND(Inputs!$B$38&lt;&gt;"pvp",Inputs!$B$43&gt;0),SUMPRODUCT((Skills!E2:E26=TRUE)*(C1543:C1567=TRUE)*R1543:R1567*Skills!F2:F26)/Inputs!$B$43,SUMPRODUCT((Skills!E2:E26=TRUE)*(C1543:C1567=TRUE)*Q1543:Q1567*Skills!F2:F26))</f>
        <v/>
      </c>
    </row>
    <row r="1574">
      <c r="A1574" t="inlineStr">
        <is>
          <t>Raging Blow Casts Per Second</t>
        </is>
      </c>
      <c r="B1574">
        <f>MAX(0,B1572-B1573)</f>
        <v/>
      </c>
    </row>
    <row r="1575">
      <c r="A1575" t="inlineStr">
        <is>
          <t>Global Critical Damage Bonus % (Enrage)</t>
        </is>
      </c>
      <c r="B1575">
        <f>((C1559=TRUE)*F1559*IF(AND(Inputs!$B$38&lt;&gt;"pvp",Inputs!$B$43&gt;0),(((R1559-1)*(Skills!T18*(1+(Inputs!$B$34+(ArtifactsInput!$M$7-ArtifactsInput!$M$7)*CHOOSE(ArtifactsInput!$N$7+1,6,7.2,8.4,9.6,10.8,12))/100))+MIN((Skills!T18*(1+(Inputs!$B$34+(ArtifactsInput!$M$7-ArtifactsInput!$M$7)*CHOOSE(ArtifactsInput!$N$7+1,6,7.2,8.4,9.6,10.8,12))/100)),MAX(0,Inputs!$B$43-((R1559-1)*Skills!D18))))/Inputs!$B$43),IF(Inputs!$B$38="pvp",MIN((Skills!T18*(1+(Inputs!$B$34+(ArtifactsInput!$M$7-ArtifactsInput!$M$7)*CHOOSE(ArtifactsInput!$N$7+1,6,7.2,8.4,9.6,10.8,12))/100)),15)/15,(Skills!T18*(1+(Inputs!$B$34+(ArtifactsInput!$M$7-ArtifactsInput!$M$7)*CHOOSE(ArtifactsInput!$N$7+1,6,7.2,8.4,9.6,10.8,12))/100))/Skills!D18)))</f>
        <v/>
      </c>
    </row>
    <row r="1576">
      <c r="A1576" t="inlineStr">
        <is>
          <t>Global Final Damage Bonus % (Enrage + Combo Synergy)</t>
        </is>
      </c>
      <c r="B1576">
        <f>((C1558=TRUE)*F1558*IF(AND(Inputs!$B$38&lt;&gt;"pvp",Inputs!$B$43&gt;0),(((R1558-1)*(Skills!T17*(1+(Inputs!$B$34+(ArtifactsInput!$M$7-ArtifactsInput!$M$7)*CHOOSE(ArtifactsInput!$N$7+1,6,7.2,8.4,9.6,10.8,12))/100))+MIN((Skills!T17*(1+(Inputs!$B$34+(ArtifactsInput!$M$7-ArtifactsInput!$M$7)*CHOOSE(ArtifactsInput!$N$7+1,6,7.2,8.4,9.6,10.8,12))/100)),MAX(0,Inputs!$B$43-((R1558-1)*Skills!D17))))/Inputs!$B$43),IF(Inputs!$B$38="pvp",MIN((Skills!T17*(1+(Inputs!$B$34+(ArtifactsInput!$M$7-ArtifactsInput!$M$7)*CHOOSE(ArtifactsInput!$N$7+1,6,7.2,8.4,9.6,10.8,12))/100)),15)/15,(Skills!T17*(1+(Inputs!$B$34+(ArtifactsInput!$M$7-ArtifactsInput!$M$7)*CHOOSE(ArtifactsInput!$N$7+1,6,7.2,8.4,9.6,10.8,12))/100))/Skills!D17)))+((C1555=TRUE)*F1555*IF(Inputs!$B$3&gt;=110,7,5))</f>
        <v/>
      </c>
    </row>
    <row r="1577">
      <c r="A1577" t="inlineStr">
        <is>
          <t>Buff-Casting Startup Delay (s, fixed-duration only)</t>
        </is>
      </c>
      <c r="B1577">
        <f>IF(AND(Inputs!$B$38&lt;&gt;"pvp",Inputs!$B$43&gt;0),SUMPRODUCT((Skills!T2:T26&gt;0)*(Skills!E2:E26=TRUE)*(C1543:C1567=TRUE))/B1572,0)</f>
        <v/>
      </c>
    </row>
    <row r="1578">
      <c r="A1578" t="inlineStr">
        <is>
          <t>Boss-Only Total DPS (this block's swept value)</t>
        </is>
      </c>
      <c r="B1578">
        <f>SUM(T1543:T1567)</f>
        <v/>
      </c>
    </row>
    <row r="1579">
      <c r="A1579" t="inlineStr">
        <is>
          <t>Normal-Only Total DPS (this block's swept value)</t>
        </is>
      </c>
      <c r="B1579">
        <f>SUM(V1543:V1567)</f>
        <v/>
      </c>
    </row>
    <row r="1580">
      <c r="A1580" s="6" t="inlineStr">
        <is>
          <t>TOTAL DPS</t>
        </is>
      </c>
      <c r="B1580" s="6">
        <f>SUM(O1543:O1567)</f>
        <v/>
      </c>
    </row>
    <row r="1583">
      <c r="A1583" s="6" t="inlineStr">
        <is>
          <t>Stat: Zakum's Stone Piece (Equip)</t>
        </is>
      </c>
    </row>
    <row r="1584">
      <c r="A1584" s="5" t="inlineStr">
        <is>
          <t>Key</t>
        </is>
      </c>
      <c r="B1584" s="5" t="inlineStr">
        <is>
          <t>Name</t>
        </is>
      </c>
      <c r="C1584" s="5" t="inlineStr">
        <is>
          <t>Unlocked</t>
        </is>
      </c>
      <c r="D1584" s="5" t="inlineStr">
        <is>
          <t>InputLevel</t>
        </is>
      </c>
      <c r="E1584" s="5" t="inlineStr">
        <is>
          <t>Factor</t>
        </is>
      </c>
      <c r="F1584" s="5" t="inlineStr">
        <is>
          <t>CoefficientPercent</t>
        </is>
      </c>
      <c r="G1584" s="5" t="inlineStr">
        <is>
          <t>EffectiveHits</t>
        </is>
      </c>
      <c r="H1584" s="5" t="inlineStr">
        <is>
          <t>ProcProbability</t>
        </is>
      </c>
      <c r="I1584" s="5" t="inlineStr">
        <is>
          <t>MapleHeroMultiplier</t>
        </is>
      </c>
      <c r="J1584" s="5" t="inlineStr">
        <is>
          <t>BaseDamage</t>
        </is>
      </c>
      <c r="K1584" s="5" t="inlineStr">
        <is>
          <t>BaseHitDamage</t>
        </is>
      </c>
      <c r="L1584" s="5" t="inlineStr">
        <is>
          <t>NonCritAvg</t>
        </is>
      </c>
      <c r="M1584" s="5" t="inlineStr">
        <is>
          <t>CritAvg</t>
        </is>
      </c>
      <c r="N1584" s="5" t="inlineStr">
        <is>
          <t>ExpectedDamage(perHit)</t>
        </is>
      </c>
      <c r="O1584" s="5" t="inlineStr">
        <is>
          <t>DPS</t>
        </is>
      </c>
      <c r="P1584" s="5" t="inlineStr">
        <is>
          <t>% of Total</t>
        </is>
      </c>
      <c r="Q1584" s="5" t="inlineStr">
        <is>
          <t>InvCooldown</t>
        </is>
      </c>
      <c r="R1584" s="5" t="inlineStr">
        <is>
          <t>CastsInFight</t>
        </is>
      </c>
      <c r="S1584" s="5" t="inlineStr">
        <is>
          <t>HitRate(perSec)</t>
        </is>
      </c>
      <c r="U1584" t="inlineStr">
        <is>
          <t>helpers</t>
        </is>
      </c>
    </row>
    <row r="1585">
      <c r="A1585">
        <f>Skills!A2</f>
        <v/>
      </c>
      <c r="B1585">
        <f>Skills!B2</f>
        <v/>
      </c>
      <c r="C1585">
        <f>Inputs!$B$3&gt;=100</f>
        <v/>
      </c>
      <c r="D1585" t="inlineStr"/>
      <c r="E1585" t="inlineStr"/>
      <c r="F1585">
        <f>U1587+Skills!O2</f>
        <v/>
      </c>
      <c r="G1585">
        <f>Skills!G2*IF(Skills!H2&gt;0,Skills!I2/Skills!H2,1)</f>
        <v/>
      </c>
      <c r="H1585">
        <f>1-(1-Skills!J2/100)^Skills!K2</f>
        <v/>
      </c>
      <c r="I1585" t="inlineStr">
        <is>
          <t>1</t>
        </is>
      </c>
      <c r="J1585">
        <f>((Inputs!$B$6*(1+Inputs!$B$7/100))+(((Inputs!$B$12*(1+Inputs!$B$13/100))-(Inputs!$B$12*(1+Inputs!$B$13/100)))+0.25*(Inputs!$B$14-Inputs!$B$14))*(1+Inputs!$B$7/100))*(F1585/100)</f>
        <v/>
      </c>
      <c r="K1585">
        <f>J1585*(1+((Inputs!$B$12*(1+Inputs!$B$13/100))*0.01+Inputs!$B$14*0.0025)/100)*(1+Inputs!$B$15/100)*(1+Inputs!$B$16/100)*(5000/(6000+Inputs!$B$42*(1-(100*(1-(1-(Inputs!$B$19+0)/100)*(1-CHOOSE(ArtifactsInput!$N$40+1,5,6,7,8,9,10)/100)^(ArtifactsInput!$M$40-ArtifactsInput!$M$40)))/100)))*(1+(Inputs!$B$24+((C1608=TRUE)*(F1608-Calc!F25))+B1618)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1604=TRUE)*(F1604-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1606=TRUE)*(F1606-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1596=TRUE)*F1596*IF(Inputs!$B$3&gt;=110,7,5))+((C1598=TRUE)*F1598*IF(AND(Inputs!$B$38&lt;&gt;"pvp",Inputs!$B$43&gt;0),(((R1598-1)*(Skills!T15*(1+(Inputs!$B$34+(ArtifactsInput!$M$7-ArtifactsInput!$M$7)*CHOOSE(ArtifactsInput!$N$7+1,6,7.2,8.4,9.6,10.8,12))/100))+MIN((Skills!T15*(1+(Inputs!$B$34+(ArtifactsInput!$M$7-ArtifactsInput!$M$7)*CHOOSE(ArtifactsInput!$N$7+1,6,7.2,8.4,9.6,10.8,12))/100)),MAX(0,Inputs!$B$43-((R1598-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Hunt"),CHOOSE(ArtifactsInput!$N$35+1,15,18,21,24,27,30)*(1-EXP(-(0.2*B1614)*5)),0)+IF(AND(ArtifactsInput!$M$22,Inputs!$B$4&lt;&gt;"Chapter Hunt"),CHOOSE(ArtifactsInput!$N$22+1,10,12,14,16,18,20)*((0*(((0.15*B1614*5))^0/1)+1*(((0.15*B1614*5))^1/1)+2*(((0.15*B1614*5))^2/2)+3*(((0.15*B1614*5))^3/6)+4*(((0.15*B1614*5))^4/24)+5*(((0.15*B1614*5))^5/120))/((((0.15*B1614*5))^0/1)+(((0.15*B1614*5))^1/1)+(((0.15*B1614*5))^2/2)+(((0.15*B1614*5))^3/6)+(((0.15*B1614*5))^4/24)+(((0.15*B1614*5))^5/120))),0)))/100)*I1585)</f>
        <v/>
      </c>
      <c r="L1585">
        <f>K1585*(MIN(Inputs!$B$22+((C1605=TRUE)*(F1605-Calc!F22)),(Inputs!$B$23+((C1607=TRUE)*(F1607-Calc!F24))+(IF(ArtifactsInput!$M$15,CHOOSE(ArtifactsInput!$N$15+1,25,30,35,40,45,50)/100*(Inputs!$B$11-Inputs!$B$11),0))))/100+(Inputs!$B$23+((C1607=TRUE)*(F1607-Calc!F24))+(IF(ArtifactsInput!$M$15,CHOOSE(ArtifactsInput!$N$15+1,25,30,35,40,45,50)/100*(Inputs!$B$11-Inputs!$B$11),0)))/100)/2</f>
        <v/>
      </c>
      <c r="M1585">
        <f>L1585*(1+(Inputs!$B$10+0+B1617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5">
        <f>L1585*(1-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1585*(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5">
        <f>(1-Summary!$B$11)*T1585+Summary!$B$11*V1585</f>
        <v/>
      </c>
      <c r="P1585">
        <f>IF(B1622=0,0,O1585/B1622)</f>
        <v/>
      </c>
      <c r="Q1585" t="n">
        <v>0</v>
      </c>
      <c r="R1585" t="n">
        <v>0</v>
      </c>
      <c r="S1585">
        <f>IFERROR(O1585/N1585,0)</f>
        <v/>
      </c>
      <c r="T1585">
        <f>IF(C1585,(Skills!G2*N1585*B1616)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1585*(1-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1585*(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1585*(1-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1585*(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85">
        <f>MAX(0,(Inputs!$B$3-100)*3)+Inputs!$B$28+Inputs!$B$29</f>
        <v/>
      </c>
      <c r="V1585">
        <f>IF(C1585,(Skills!G2*N1585*B1616)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6">
      <c r="A1586">
        <f>Skills!A3</f>
        <v/>
      </c>
      <c r="B1586">
        <f>Skills!B3</f>
        <v/>
      </c>
      <c r="C1586">
        <f>Inputs!$B$3&gt;=50</f>
        <v/>
      </c>
      <c r="D1586">
        <f>IF(Skills!C3=1,60+Inputs!$B$25+Inputs!$B$29,IF(Skills!C3=2,90+Inputs!$B$26+Inputs!$B$29,IF(Skills!C3=3,120+Inputs!$B$27+Inputs!$B$29,MAX(0,(Inputs!$B$3-100)*3)+Inputs!$B$28+Inputs!$B$29)))</f>
        <v/>
      </c>
      <c r="E1586">
        <f>INDEX(FactorTable!$B$2:$Y$301, MATCH(ROUND(MIN(300,MAX(1,D1586)),0), FactorTable!$A$2:$A$301,0), Skills!M3+1)</f>
        <v/>
      </c>
      <c r="F1586">
        <f>IF(Skills!N3=TRUE,(Skills!L3/10)*(E1586/1000),Skills!L3/10)+Skills!O3</f>
        <v/>
      </c>
      <c r="G1586" t="inlineStr"/>
      <c r="H1586" t="inlineStr"/>
      <c r="I1586" t="inlineStr">
        <is>
          <t>1</t>
        </is>
      </c>
      <c r="J1586" t="inlineStr"/>
      <c r="K1586" t="inlineStr"/>
      <c r="L1586" t="inlineStr"/>
      <c r="M1586" t="inlineStr"/>
      <c r="N1586" t="inlineStr"/>
      <c r="O1586" t="inlineStr"/>
      <c r="P1586" t="inlineStr"/>
      <c r="Q1586" t="inlineStr"/>
      <c r="R1586" t="inlineStr"/>
      <c r="S1586" t="inlineStr"/>
      <c r="U1586">
        <f>INDEX(FactorTable!$B$2:$Y$301, MATCH(ROUND(MIN(300,MAX(1,U1585)),0), FactorTable!$A$2:$A$301,0), 22)</f>
        <v/>
      </c>
    </row>
    <row r="1587">
      <c r="A1587">
        <f>Skills!A4</f>
        <v/>
      </c>
      <c r="B1587">
        <f>Skills!B4</f>
        <v/>
      </c>
      <c r="C1587">
        <f>Inputs!$B$3&gt;=105</f>
        <v/>
      </c>
      <c r="D1587">
        <f>IF(Skills!C4=1,60+Inputs!$B$25+Inputs!$B$29,IF(Skills!C4=2,90+Inputs!$B$26+Inputs!$B$29,IF(Skills!C4=3,120+Inputs!$B$27+Inputs!$B$29,MAX(0,(Inputs!$B$3-100)*3)+Inputs!$B$28+Inputs!$B$29)))</f>
        <v/>
      </c>
      <c r="E1587">
        <f>INDEX(FactorTable!$B$2:$Y$301, MATCH(ROUND(MIN(300,MAX(1,D1587)),0), FactorTable!$A$2:$A$301,0), Skills!M4+1)</f>
        <v/>
      </c>
      <c r="F1587">
        <f>IF(Skills!N4=TRUE,(Skills!L4/10)*(E1587/1000),Skills!L4/10)+Skills!O4</f>
        <v/>
      </c>
      <c r="G1587" t="inlineStr"/>
      <c r="H1587" t="inlineStr"/>
      <c r="I1587" t="inlineStr">
        <is>
          <t>1</t>
        </is>
      </c>
      <c r="J1587" t="inlineStr"/>
      <c r="K1587" t="inlineStr"/>
      <c r="L1587" t="inlineStr"/>
      <c r="M1587" t="inlineStr"/>
      <c r="N1587" t="inlineStr"/>
      <c r="O1587" t="inlineStr"/>
      <c r="P1587" t="inlineStr"/>
      <c r="Q1587" t="inlineStr"/>
      <c r="R1587" t="inlineStr"/>
      <c r="S1587" t="inlineStr"/>
      <c r="U1587">
        <f>290*U1586/1000</f>
        <v/>
      </c>
    </row>
    <row r="1588">
      <c r="A1588">
        <f>Skills!A5</f>
        <v/>
      </c>
      <c r="B1588">
        <f>Skills!B5</f>
        <v/>
      </c>
      <c r="C1588">
        <f>Inputs!$B$3&gt;=103</f>
        <v/>
      </c>
      <c r="D1588">
        <f>IF(Skills!C5=1,60+Inputs!$B$25+Inputs!$B$29,IF(Skills!C5=2,90+Inputs!$B$26+Inputs!$B$29,IF(Skills!C5=3,120+Inputs!$B$27+Inputs!$B$29,MAX(0,(Inputs!$B$3-100)*3)+Inputs!$B$28+Inputs!$B$29)))</f>
        <v/>
      </c>
      <c r="E1588">
        <f>INDEX(FactorTable!$B$2:$Y$301, MATCH(ROUND(MIN(300,MAX(1,D1588)),0), FactorTable!$A$2:$A$301,0), Skills!M5+1)</f>
        <v/>
      </c>
      <c r="F1588">
        <f>IF(Skills!N5=TRUE,(Skills!L5/10)*(E1588/1000),Skills!L5/10)+Skills!O5</f>
        <v/>
      </c>
      <c r="G1588">
        <f>Skills!G5*IF(Skills!H5&gt;0,Skills!I5/Skills!H5,1)</f>
        <v/>
      </c>
      <c r="H1588">
        <f>1-(1-Skills!J5/100)^Skills!K5</f>
        <v/>
      </c>
      <c r="I1588" t="inlineStr">
        <is>
          <t>1</t>
        </is>
      </c>
      <c r="J1588">
        <f>((Inputs!$B$6*(1+Inputs!$B$7/100))+(((Inputs!$B$12*(1+Inputs!$B$13/100))-(Inputs!$B$12*(1+Inputs!$B$13/100)))+0.25*(Inputs!$B$14-Inputs!$B$14))*(1+Inputs!$B$7/100))*(F1588/100)</f>
        <v/>
      </c>
      <c r="K1588">
        <f>J1588*(1+((Inputs!$B$12*(1+Inputs!$B$13/100))*0.01+Inputs!$B$14*0.0025)/100)*(1+Inputs!$B$15/100)*(1+Inputs!$B$16/100)*(5000/(6000+Inputs!$B$42*(1-(100*(1-(1-(Inputs!$B$19+0)/100)*(1-CHOOSE(ArtifactsInput!$N$40+1,5,6,7,8,9,10)/100)^(ArtifactsInput!$M$40-ArtifactsInput!$M$40)))/100)))*(1+(Inputs!$B$24+((C1608=TRUE)*(F1608-Calc!F25))+B1618)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1604=TRUE)*(F1604-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1606=TRUE)*(F1606-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1596=TRUE)*F1596*IF(Inputs!$B$3&gt;=110,7,5))+((C1598=TRUE)*F1598*IF(AND(Inputs!$B$38&lt;&gt;"pvp",Inputs!$B$43&gt;0),(((R1598-1)*(Skills!T15*(1+(Inputs!$B$34+(ArtifactsInput!$M$7-ArtifactsInput!$M$7)*CHOOSE(ArtifactsInput!$N$7+1,6,7.2,8.4,9.6,10.8,12))/100))+MIN((Skills!T15*(1+(Inputs!$B$34+(ArtifactsInput!$M$7-ArtifactsInput!$M$7)*CHOOSE(ArtifactsInput!$N$7+1,6,7.2,8.4,9.6,10.8,12))/100)),MAX(0,Inputs!$B$43-((R1598-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Hunt"),CHOOSE(ArtifactsInput!$N$35+1,15,18,21,24,27,30)*(1-EXP(-(0.2*B1614)*5)),0)+IF(AND(ArtifactsInput!$M$22,Inputs!$B$4&lt;&gt;"Chapter Hunt"),CHOOSE(ArtifactsInput!$N$22+1,10,12,14,16,18,20)*((0*(((0.15*B1614*5))^0/1)+1*(((0.15*B1614*5))^1/1)+2*(((0.15*B1614*5))^2/2)+3*(((0.15*B1614*5))^3/6)+4*(((0.15*B1614*5))^4/24)+5*(((0.15*B1614*5))^5/120))/((((0.15*B1614*5))^0/1)+(((0.15*B1614*5))^1/1)+(((0.15*B1614*5))^2/2)+(((0.15*B1614*5))^3/6)+(((0.15*B1614*5))^4/24)+(((0.15*B1614*5))^5/120))),0)))/100)*I1588)</f>
        <v/>
      </c>
      <c r="L1588">
        <f>K1588*(MIN(Inputs!$B$22+((C1605=TRUE)*(F1605-Calc!F22)),(Inputs!$B$23+((C1607=TRUE)*(F1607-Calc!F24))+(IF(ArtifactsInput!$M$15,CHOOSE(ArtifactsInput!$N$15+1,25,30,35,40,45,50)/100*(Inputs!$B$11-Inputs!$B$11),0))))/100+(Inputs!$B$23+((C1607=TRUE)*(F1607-Calc!F24))+(IF(ArtifactsInput!$M$15,CHOOSE(ArtifactsInput!$N$15+1,25,30,35,40,45,50)/100*(Inputs!$B$11-Inputs!$B$11),0)))/100)/2</f>
        <v/>
      </c>
      <c r="M1588">
        <f>L1588*(1+(Inputs!$B$10+0+B1617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8">
        <f>L1588*(1-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1588*(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8">
        <f>(1-Summary!$B$11)*T1588+Summary!$B$11*V1588</f>
        <v/>
      </c>
      <c r="P1588">
        <f>IF(B1622=0,0,O1588/B1622)</f>
        <v/>
      </c>
      <c r="Q1588">
        <f>IFERROR(1/(IF(Inputs!$B$38="pvp",15,MAX(0.1,Skills!D5-IF(Skills!E5=TRUE,Inputs!$B$32,0)))*(1-IF(AND(ArtifactsInput!$M$27,Inputs!$B$4="Chapter Hunt"),CHOOSE(ArtifactsInput!$N$27+1,20,24,28,32,36,40),0)/100)),0)</f>
        <v/>
      </c>
      <c r="R1588">
        <f>IF(AND(Inputs!$B$38&lt;&gt;"pvp",Inputs!$B$43&gt;0),IF(MAX(0,Inputs!$B$43-B1619)&lt;=0,0,(INT(MAX(0,Inputs!$B$43-B1619)/(IF(Inputs!$B$38="pvp",15,MAX(0.1,Skills!D5-IF(Skills!E5=TRUE,Inputs!$B$32,0)))*(1-IF(AND(ArtifactsInput!$M$27,Inputs!$B$4="Chapter Hunt"),CHOOSE(ArtifactsInput!$N$27+1,20,24,28,32,36,40),0)/100)))+1)),0)</f>
        <v/>
      </c>
      <c r="S1588">
        <f>IFERROR(O1588/N1588,0)</f>
        <v/>
      </c>
      <c r="T1588">
        <f>IF(C1588,(H1588*N1588*IF(AND(Inputs!$B$38&lt;&gt;"pvp",Inputs!$B$43&gt;0),((Skills!G5*((R1588-1)*IF(Skills!H5&gt;0,Skills!I5/Skills!H5,1)+IF(Skills!H5&gt;0,MIN(Skills!I5,MAX(0,MAX(0,Inputs!$B$43-B1619)-((R1588-1)*(IF(Inputs!$B$38="pvp",15,MAX(0.1,Skills!D5-IF(Skills!E5=TRUE,Inputs!$B$32,0)))*(1-IF(AND(ArtifactsInput!$M$27,Inputs!$B$4="Chapter Hunt"),CHOOSE(ArtifactsInput!$N$27+1,20,24,28,32,36,40),0)/100)))))/Skills!H5,1)))/Inputs!$B$43),G1588*Q1588)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1588*(1-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1588*(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1588*(1-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1588*(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88">
        <f>IF(C1588,(H1588*N1588*IF(AND(Inputs!$B$38&lt;&gt;"pvp",Inputs!$B$43&gt;0),((Skills!G5*((R1588-1)*IF(Skills!H5&gt;0,Skills!I5/Skills!H5,1)+IF(Skills!H5&gt;0,MIN(Skills!I5,MAX(0,MAX(0,Inputs!$B$43-B1619)-((R1588-1)*(IF(Inputs!$B$38="pvp",15,MAX(0.1,Skills!D5-IF(Skills!E5=TRUE,Inputs!$B$32,0)))*(1-IF(AND(ArtifactsInput!$M$27,Inputs!$B$4="Chapter Hunt"),CHOOSE(ArtifactsInput!$N$27+1,20,24,28,32,36,40),0)/100)))))/Skills!H5,1)))/Inputs!$B$43),G1588*Q1588)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9">
      <c r="A1589">
        <f>Skills!A6</f>
        <v/>
      </c>
      <c r="B1589">
        <f>Skills!B6</f>
        <v/>
      </c>
      <c r="C1589">
        <f>Inputs!$B$3&gt;=103</f>
        <v/>
      </c>
      <c r="D1589">
        <f>IF(Skills!C6=1,60+Inputs!$B$25+Inputs!$B$29,IF(Skills!C6=2,90+Inputs!$B$26+Inputs!$B$29,IF(Skills!C6=3,120+Inputs!$B$27+Inputs!$B$29,MAX(0,(Inputs!$B$3-100)*3)+Inputs!$B$28+Inputs!$B$29)))</f>
        <v/>
      </c>
      <c r="E1589">
        <f>INDEX(FactorTable!$B$2:$Y$301, MATCH(ROUND(MIN(300,MAX(1,D1589)),0), FactorTable!$A$2:$A$301,0), Skills!M6+1)</f>
        <v/>
      </c>
      <c r="F1589">
        <f>IF(Skills!N6=TRUE,(Skills!L6/10)*(E1589/1000),Skills!L6/10)+Skills!O6</f>
        <v/>
      </c>
      <c r="G1589">
        <f>Skills!G6*IF(Skills!H6&gt;0,Skills!I6/Skills!H6,1)</f>
        <v/>
      </c>
      <c r="H1589">
        <f>1-(1-Skills!J6/100)^Skills!K6</f>
        <v/>
      </c>
      <c r="I1589" t="inlineStr">
        <is>
          <t>1</t>
        </is>
      </c>
      <c r="J1589">
        <f>((Inputs!$B$6*(1+Inputs!$B$7/100))+(((Inputs!$B$12*(1+Inputs!$B$13/100))-(Inputs!$B$12*(1+Inputs!$B$13/100)))+0.25*(Inputs!$B$14-Inputs!$B$14))*(1+Inputs!$B$7/100))*(F1589/100)</f>
        <v/>
      </c>
      <c r="K1589">
        <f>J1589*(1+((Inputs!$B$12*(1+Inputs!$B$13/100))*0.01+Inputs!$B$14*0.0025)/100)*(1+Inputs!$B$15/100)*(1+Inputs!$B$16/100)*(5000/(6000+Inputs!$B$42*(1-(100*(1-(1-(Inputs!$B$19+0)/100)*(1-CHOOSE(ArtifactsInput!$N$40+1,5,6,7,8,9,10)/100)^(ArtifactsInput!$M$40-ArtifactsInput!$M$40)))/100)))*(1+(Inputs!$B$24+((C1608=TRUE)*(F1608-Calc!F25))+B1618)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1604=TRUE)*(F1604-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1606=TRUE)*(F1606-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1596=TRUE)*F1596*IF(Inputs!$B$3&gt;=110,7,5))+((C1598=TRUE)*F1598*IF(AND(Inputs!$B$38&lt;&gt;"pvp",Inputs!$B$43&gt;0),(((R1598-1)*(Skills!T15*(1+(Inputs!$B$34+(ArtifactsInput!$M$7-ArtifactsInput!$M$7)*CHOOSE(ArtifactsInput!$N$7+1,6,7.2,8.4,9.6,10.8,12))/100))+MIN((Skills!T15*(1+(Inputs!$B$34+(ArtifactsInput!$M$7-ArtifactsInput!$M$7)*CHOOSE(ArtifactsInput!$N$7+1,6,7.2,8.4,9.6,10.8,12))/100)),MAX(0,Inputs!$B$43-((R1598-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Hunt"),CHOOSE(ArtifactsInput!$N$35+1,15,18,21,24,27,30)*(1-EXP(-(0.2*B1614)*5)),0)+IF(AND(ArtifactsInput!$M$22,Inputs!$B$4&lt;&gt;"Chapter Hunt"),CHOOSE(ArtifactsInput!$N$22+1,10,12,14,16,18,20)*((0*(((0.15*B1614*5))^0/1)+1*(((0.15*B1614*5))^1/1)+2*(((0.15*B1614*5))^2/2)+3*(((0.15*B1614*5))^3/6)+4*(((0.15*B1614*5))^4/24)+5*(((0.15*B1614*5))^5/120))/((((0.15*B1614*5))^0/1)+(((0.15*B1614*5))^1/1)+(((0.15*B1614*5))^2/2)+(((0.15*B1614*5))^3/6)+(((0.15*B1614*5))^4/24)+(((0.15*B1614*5))^5/120))),0)))/100)*I1589)</f>
        <v/>
      </c>
      <c r="L1589">
        <f>K1589*(MIN(Inputs!$B$22+((C1605=TRUE)*(F1605-Calc!F22)),(Inputs!$B$23+((C1607=TRUE)*(F1607-Calc!F24))+(IF(ArtifactsInput!$M$15,CHOOSE(ArtifactsInput!$N$15+1,25,30,35,40,45,50)/100*(Inputs!$B$11-Inputs!$B$11),0))))/100+(Inputs!$B$23+((C1607=TRUE)*(F1607-Calc!F24))+(IF(ArtifactsInput!$M$15,CHOOSE(ArtifactsInput!$N$15+1,25,30,35,40,45,50)/100*(Inputs!$B$11-Inputs!$B$11),0)))/100)/2</f>
        <v/>
      </c>
      <c r="M1589">
        <f>L1589*(1+(Inputs!$B$10+0+B1617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9">
        <f>L1589*(1-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1589*(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9">
        <f>(1-Summary!$B$11)*T1589+Summary!$B$11*V1589</f>
        <v/>
      </c>
      <c r="P1589">
        <f>IF(B1622=0,0,O1589/B1622)</f>
        <v/>
      </c>
      <c r="Q1589">
        <f>IFERROR(1/(IF(Inputs!$B$38="pvp",15,MAX(0.1,Skills!D6-IF(Skills!E6=TRUE,Inputs!$B$32,0)))*(1-IF(AND(ArtifactsInput!$M$27,Inputs!$B$4="Chapter Hunt"),CHOOSE(ArtifactsInput!$N$27+1,20,24,28,32,36,40),0)/100)),0)</f>
        <v/>
      </c>
      <c r="R1589">
        <f>IF(AND(Inputs!$B$38&lt;&gt;"pvp",Inputs!$B$43&gt;0),IF(MAX(0,Inputs!$B$43-B1619)&lt;=0,0,(INT(MAX(0,Inputs!$B$43-B1619)/(IF(Inputs!$B$38="pvp",15,MAX(0.1,Skills!D6-IF(Skills!E6=TRUE,Inputs!$B$32,0)))*(1-IF(AND(ArtifactsInput!$M$27,Inputs!$B$4="Chapter Hunt"),CHOOSE(ArtifactsInput!$N$27+1,20,24,28,32,36,40),0)/100)))+1)),0)</f>
        <v/>
      </c>
      <c r="S1589">
        <f>IFERROR(O1589/N1589,0)</f>
        <v/>
      </c>
      <c r="T1589">
        <f>IF(C1589,(H1589*N1589*IF(AND(Inputs!$B$38&lt;&gt;"pvp",Inputs!$B$43&gt;0),((Skills!G6*((R1589-1)*IF(Skills!H6&gt;0,Skills!I6/Skills!H6,1)+IF(Skills!H6&gt;0,MIN(Skills!I6,MAX(0,MAX(0,Inputs!$B$43-B1619)-((R1589-1)*(IF(Inputs!$B$38="pvp",15,MAX(0.1,Skills!D6-IF(Skills!E6=TRUE,Inputs!$B$32,0)))*(1-IF(AND(ArtifactsInput!$M$27,Inputs!$B$4="Chapter Hunt"),CHOOSE(ArtifactsInput!$N$27+1,20,24,28,32,36,40),0)/100)))))/Skills!H6,1)))/Inputs!$B$43),G1589*Q1589)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1589*(1-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1589*(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1589*(1-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1589*(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89">
        <f>IF(C1589,(H1589*N1589*IF(AND(Inputs!$B$38&lt;&gt;"pvp",Inputs!$B$43&gt;0),((Skills!G6*((R1589-1)*IF(Skills!H6&gt;0,Skills!I6/Skills!H6,1)+IF(Skills!H6&gt;0,MIN(Skills!I6,MAX(0,MAX(0,Inputs!$B$43-B1619)-((R1589-1)*(IF(Inputs!$B$38="pvp",15,MAX(0.1,Skills!D6-IF(Skills!E6=TRUE,Inputs!$B$32,0)))*(1-IF(AND(ArtifactsInput!$M$27,Inputs!$B$4="Chapter Hunt"),CHOOSE(ArtifactsInput!$N$27+1,20,24,28,32,36,40),0)/100)))))/Skills!H6,1)))/Inputs!$B$43),G1589*Q1589)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0">
      <c r="A1590">
        <f>Skills!A7</f>
        <v/>
      </c>
      <c r="B1590">
        <f>Skills!B7</f>
        <v/>
      </c>
      <c r="C1590">
        <f>Inputs!$B$3&gt;=107</f>
        <v/>
      </c>
      <c r="D1590">
        <f>IF(Skills!C7=1,60+Inputs!$B$25+Inputs!$B$29,IF(Skills!C7=2,90+Inputs!$B$26+Inputs!$B$29,IF(Skills!C7=3,120+Inputs!$B$27+Inputs!$B$29,MAX(0,(Inputs!$B$3-100)*3)+Inputs!$B$28+Inputs!$B$29)))</f>
        <v/>
      </c>
      <c r="E1590">
        <f>INDEX(FactorTable!$B$2:$Y$301, MATCH(ROUND(MIN(300,MAX(1,D1590)),0), FactorTable!$A$2:$A$301,0), Skills!M7+1)</f>
        <v/>
      </c>
      <c r="F1590">
        <f>IF(Skills!N7=TRUE,(Skills!L7/10)*(E1590/1000),Skills!L7/10)+Skills!O7</f>
        <v/>
      </c>
      <c r="G1590">
        <f>Skills!G7*IF(Skills!H7&gt;0,Skills!I7/Skills!H7,1)</f>
        <v/>
      </c>
      <c r="H1590">
        <f>1-(1-Skills!J7/100)^Skills!K7</f>
        <v/>
      </c>
      <c r="I1590" t="inlineStr">
        <is>
          <t>1</t>
        </is>
      </c>
      <c r="J1590">
        <f>((Inputs!$B$6*(1+Inputs!$B$7/100))+(((Inputs!$B$12*(1+Inputs!$B$13/100))-(Inputs!$B$12*(1+Inputs!$B$13/100)))+0.25*(Inputs!$B$14-Inputs!$B$14))*(1+Inputs!$B$7/100))*(F1590/100)</f>
        <v/>
      </c>
      <c r="K1590">
        <f>J1590*(1+((Inputs!$B$12*(1+Inputs!$B$13/100))*0.01+Inputs!$B$14*0.0025)/100)*(1+Inputs!$B$15/100)*(1+Inputs!$B$16/100)*(5000/(6000+Inputs!$B$42*(1-(100*(1-(1-(Inputs!$B$19+0)/100)*(1-CHOOSE(ArtifactsInput!$N$40+1,5,6,7,8,9,10)/100)^(ArtifactsInput!$M$40-ArtifactsInput!$M$40)))/100)))*(1+(Inputs!$B$24+((C1608=TRUE)*(F1608-Calc!F25))+B1618)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1604=TRUE)*(F1604-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1606=TRUE)*(F1606-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1596=TRUE)*F1596*IF(Inputs!$B$3&gt;=110,7,5))+((C1598=TRUE)*F1598*IF(AND(Inputs!$B$38&lt;&gt;"pvp",Inputs!$B$43&gt;0),(((R1598-1)*(Skills!T15*(1+(Inputs!$B$34+(ArtifactsInput!$M$7-ArtifactsInput!$M$7)*CHOOSE(ArtifactsInput!$N$7+1,6,7.2,8.4,9.6,10.8,12))/100))+MIN((Skills!T15*(1+(Inputs!$B$34+(ArtifactsInput!$M$7-ArtifactsInput!$M$7)*CHOOSE(ArtifactsInput!$N$7+1,6,7.2,8.4,9.6,10.8,12))/100)),MAX(0,Inputs!$B$43-((R1598-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Hunt"),CHOOSE(ArtifactsInput!$N$35+1,15,18,21,24,27,30)*(1-EXP(-(0.2*B1614)*5)),0)+IF(AND(ArtifactsInput!$M$22,Inputs!$B$4&lt;&gt;"Chapter Hunt"),CHOOSE(ArtifactsInput!$N$22+1,10,12,14,16,18,20)*((0*(((0.15*B1614*5))^0/1)+1*(((0.15*B1614*5))^1/1)+2*(((0.15*B1614*5))^2/2)+3*(((0.15*B1614*5))^3/6)+4*(((0.15*B1614*5))^4/24)+5*(((0.15*B1614*5))^5/120))/((((0.15*B1614*5))^0/1)+(((0.15*B1614*5))^1/1)+(((0.15*B1614*5))^2/2)+(((0.15*B1614*5))^3/6)+(((0.15*B1614*5))^4/24)+(((0.15*B1614*5))^5/120))),0)))/100)*I1590)</f>
        <v/>
      </c>
      <c r="L1590">
        <f>K1590*(MIN(Inputs!$B$22+((C1605=TRUE)*(F1605-Calc!F22)),(Inputs!$B$23+((C1607=TRUE)*(F1607-Calc!F24))+(IF(ArtifactsInput!$M$15,CHOOSE(ArtifactsInput!$N$15+1,25,30,35,40,45,50)/100*(Inputs!$B$11-Inputs!$B$11),0))))/100+(Inputs!$B$23+((C1607=TRUE)*(F1607-Calc!F24))+(IF(ArtifactsInput!$M$15,CHOOSE(ArtifactsInput!$N$15+1,25,30,35,40,45,50)/100*(Inputs!$B$11-Inputs!$B$11),0)))/100)/2</f>
        <v/>
      </c>
      <c r="M1590">
        <f>L1590*(1+(Inputs!$B$10+0+B1617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0">
        <f>L1590*(1-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1590*(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0">
        <f>(1-Summary!$B$11)*T1590+Summary!$B$11*V1590</f>
        <v/>
      </c>
      <c r="P1590">
        <f>IF(B1622=0,0,O1590/B1622)</f>
        <v/>
      </c>
      <c r="Q1590">
        <f>IFERROR(1/(IF(Inputs!$B$38="pvp",15,MAX(0.1,Skills!D7-IF(Skills!E7=TRUE,Inputs!$B$32,0)))*(1-IF(AND(ArtifactsInput!$M$27,Inputs!$B$4="Chapter Hunt"),CHOOSE(ArtifactsInput!$N$27+1,20,24,28,32,36,40),0)/100)),0)</f>
        <v/>
      </c>
      <c r="R1590">
        <f>IF(AND(Inputs!$B$38&lt;&gt;"pvp",Inputs!$B$43&gt;0),IF(MAX(0,Inputs!$B$43-B1619)&lt;=0,0,(INT(MAX(0,Inputs!$B$43-B1619)/(IF(Inputs!$B$38="pvp",15,MAX(0.1,Skills!D7-IF(Skills!E7=TRUE,Inputs!$B$32,0)))*(1-IF(AND(ArtifactsInput!$M$27,Inputs!$B$4="Chapter Hunt"),CHOOSE(ArtifactsInput!$N$27+1,20,24,28,32,36,40),0)/100)))+1)),0)</f>
        <v/>
      </c>
      <c r="S1590">
        <f>IFERROR(O1590/N1590,0)</f>
        <v/>
      </c>
      <c r="T1590">
        <f>IF(C1590,(H1590*N1590*IF(AND(Inputs!$B$38&lt;&gt;"pvp",Inputs!$B$43&gt;0),((Skills!G7*((R1590-1)*IF(Skills!H7&gt;0,Skills!I7/Skills!H7,1)+IF(Skills!H7&gt;0,MIN(Skills!I7,MAX(0,MAX(0,Inputs!$B$43-B1619)-((R1590-1)*(IF(Inputs!$B$38="pvp",15,MAX(0.1,Skills!D7-IF(Skills!E7=TRUE,Inputs!$B$32,0)))*(1-IF(AND(ArtifactsInput!$M$27,Inputs!$B$4="Chapter Hunt"),CHOOSE(ArtifactsInput!$N$27+1,20,24,28,32,36,40),0)/100)))))/Skills!H7,1)))/Inputs!$B$43),G1590*Q1590)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1590*(1-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1590*(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1590*(1-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1590*(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0">
        <f>IF(C1590,(H1590*N1590*IF(AND(Inputs!$B$38&lt;&gt;"pvp",Inputs!$B$43&gt;0),((Skills!G7*((R1590-1)*IF(Skills!H7&gt;0,Skills!I7/Skills!H7,1)+IF(Skills!H7&gt;0,MIN(Skills!I7,MAX(0,MAX(0,Inputs!$B$43-B1619)-((R1590-1)*(IF(Inputs!$B$38="pvp",15,MAX(0.1,Skills!D7-IF(Skills!E7=TRUE,Inputs!$B$32,0)))*(1-IF(AND(ArtifactsInput!$M$27,Inputs!$B$4="Chapter Hunt"),CHOOSE(ArtifactsInput!$N$27+1,20,24,28,32,36,40),0)/100)))))/Skills!H7,1)))/Inputs!$B$43),G1590*Q1590)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1">
      <c r="A1591">
        <f>Skills!A8</f>
        <v/>
      </c>
      <c r="B1591">
        <f>Skills!B8</f>
        <v/>
      </c>
      <c r="C1591">
        <f>Inputs!$B$3&gt;=117</f>
        <v/>
      </c>
      <c r="D1591">
        <f>IF(Skills!C8=1,60+Inputs!$B$25+Inputs!$B$29,IF(Skills!C8=2,90+Inputs!$B$26+Inputs!$B$29,IF(Skills!C8=3,120+Inputs!$B$27+Inputs!$B$29,MAX(0,(Inputs!$B$3-100)*3)+Inputs!$B$28+Inputs!$B$29)))</f>
        <v/>
      </c>
      <c r="E1591">
        <f>INDEX(FactorTable!$B$2:$Y$301, MATCH(ROUND(MIN(300,MAX(1,D1591)),0), FactorTable!$A$2:$A$301,0), Skills!M8+1)</f>
        <v/>
      </c>
      <c r="F1591">
        <f>IF(Skills!N8=TRUE,(Skills!L8/10)*(E1591/1000),Skills!L8/10)+Skills!O8</f>
        <v/>
      </c>
      <c r="G1591">
        <f>Skills!G8*IF(Skills!H8&gt;0,Skills!I8/Skills!H8,1)</f>
        <v/>
      </c>
      <c r="H1591">
        <f>1-(1-Skills!J8/100)^Skills!K8</f>
        <v/>
      </c>
      <c r="I1591" t="inlineStr">
        <is>
          <t>1</t>
        </is>
      </c>
      <c r="J1591">
        <f>((Inputs!$B$6*(1+Inputs!$B$7/100))+(((Inputs!$B$12*(1+Inputs!$B$13/100))-(Inputs!$B$12*(1+Inputs!$B$13/100)))+0.25*(Inputs!$B$14-Inputs!$B$14))*(1+Inputs!$B$7/100))*(F1591/100)</f>
        <v/>
      </c>
      <c r="K1591">
        <f>J1591*(1+((Inputs!$B$12*(1+Inputs!$B$13/100))*0.01+Inputs!$B$14*0.0025)/100)*(1+Inputs!$B$15/100)*(1+Inputs!$B$16/100)*(5000/(6000+Inputs!$B$42*(1-(100*(1-(1-(Inputs!$B$19+0)/100)*(1-CHOOSE(ArtifactsInput!$N$40+1,5,6,7,8,9,10)/100)^(ArtifactsInput!$M$40-ArtifactsInput!$M$40)))/100)))*(1+(Inputs!$B$24+((C1608=TRUE)*(F1608-Calc!F25))+B1618)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1604=TRUE)*(F1604-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1606=TRUE)*(F1606-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1596=TRUE)*F1596*IF(Inputs!$B$3&gt;=110,7,5))+((C1598=TRUE)*F1598*IF(AND(Inputs!$B$38&lt;&gt;"pvp",Inputs!$B$43&gt;0),(((R1598-1)*(Skills!T15*(1+(Inputs!$B$34+(ArtifactsInput!$M$7-ArtifactsInput!$M$7)*CHOOSE(ArtifactsInput!$N$7+1,6,7.2,8.4,9.6,10.8,12))/100))+MIN((Skills!T15*(1+(Inputs!$B$34+(ArtifactsInput!$M$7-ArtifactsInput!$M$7)*CHOOSE(ArtifactsInput!$N$7+1,6,7.2,8.4,9.6,10.8,12))/100)),MAX(0,Inputs!$B$43-((R1598-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Hunt"),CHOOSE(ArtifactsInput!$N$35+1,15,18,21,24,27,30)*(1-EXP(-(0.2*B1614)*5)),0)+IF(AND(ArtifactsInput!$M$22,Inputs!$B$4&lt;&gt;"Chapter Hunt"),CHOOSE(ArtifactsInput!$N$22+1,10,12,14,16,18,20)*((0*(((0.15*B1614*5))^0/1)+1*(((0.15*B1614*5))^1/1)+2*(((0.15*B1614*5))^2/2)+3*(((0.15*B1614*5))^3/6)+4*(((0.15*B1614*5))^4/24)+5*(((0.15*B1614*5))^5/120))/((((0.15*B1614*5))^0/1)+(((0.15*B1614*5))^1/1)+(((0.15*B1614*5))^2/2)+(((0.15*B1614*5))^3/6)+(((0.15*B1614*5))^4/24)+(((0.15*B1614*5))^5/120))),0)))/100)*I1591)</f>
        <v/>
      </c>
      <c r="L1591">
        <f>K1591*(MIN(Inputs!$B$22+((C1605=TRUE)*(F1605-Calc!F22)),(Inputs!$B$23+((C1607=TRUE)*(F1607-Calc!F24))+(IF(ArtifactsInput!$M$15,CHOOSE(ArtifactsInput!$N$15+1,25,30,35,40,45,50)/100*(Inputs!$B$11-Inputs!$B$11),0))))/100+(Inputs!$B$23+((C1607=TRUE)*(F1607-Calc!F24))+(IF(ArtifactsInput!$M$15,CHOOSE(ArtifactsInput!$N$15+1,25,30,35,40,45,50)/100*(Inputs!$B$11-Inputs!$B$11),0)))/100)/2</f>
        <v/>
      </c>
      <c r="M1591">
        <f>L1591*(1+(Inputs!$B$10+0+B1617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1">
        <f>L1591*(1-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1591*(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1">
        <f>(1-Summary!$B$11)*T1591+Summary!$B$11*V1591</f>
        <v/>
      </c>
      <c r="P1591">
        <f>IF(B1622=0,0,O1591/B1622)</f>
        <v/>
      </c>
      <c r="Q1591">
        <f>IFERROR(1/(IF(Inputs!$B$38="pvp",15,MAX(0.1,Skills!D8-IF(Skills!E8=TRUE,Inputs!$B$32,0)))*(1-IF(AND(ArtifactsInput!$M$27,Inputs!$B$4="Chapter Hunt"),CHOOSE(ArtifactsInput!$N$27+1,20,24,28,32,36,40),0)/100)),0)</f>
        <v/>
      </c>
      <c r="R1591">
        <f>IF(AND(Inputs!$B$38&lt;&gt;"pvp",Inputs!$B$43&gt;0),IF(MAX(0,Inputs!$B$43-B1619)&lt;=0,0,(INT(MAX(0,Inputs!$B$43-B1619)/(IF(Inputs!$B$38="pvp",15,MAX(0.1,Skills!D8-IF(Skills!E8=TRUE,Inputs!$B$32,0)))*(1-IF(AND(ArtifactsInput!$M$27,Inputs!$B$4="Chapter Hunt"),CHOOSE(ArtifactsInput!$N$27+1,20,24,28,32,36,40),0)/100)))+1)),0)</f>
        <v/>
      </c>
      <c r="S1591">
        <f>IFERROR(O1591/N1591,0)</f>
        <v/>
      </c>
      <c r="T1591">
        <f>IF(C1591,(H1591*N1591*IF(AND(Inputs!$B$38&lt;&gt;"pvp",Inputs!$B$43&gt;0),((Skills!G8*((R1591-1)*IF(Skills!H8&gt;0,Skills!I8/Skills!H8,1)+IF(Skills!H8&gt;0,MIN(Skills!I8,MAX(0,MAX(0,Inputs!$B$43-B1619)-((R1591-1)*(IF(Inputs!$B$38="pvp",15,MAX(0.1,Skills!D8-IF(Skills!E8=TRUE,Inputs!$B$32,0)))*(1-IF(AND(ArtifactsInput!$M$27,Inputs!$B$4="Chapter Hunt"),CHOOSE(ArtifactsInput!$N$27+1,20,24,28,32,36,40),0)/100)))))/Skills!H8,1)))/Inputs!$B$43),G1591*Q1591)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1591*(1-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1591*(1-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1">
        <f>IF(C1591,(H1591*N1591*IF(AND(Inputs!$B$38&lt;&gt;"pvp",Inputs!$B$43&gt;0),((Skills!G8*((R1591-1)*IF(Skills!H8&gt;0,Skills!I8/Skills!H8,1)+IF(Skills!H8&gt;0,MIN(Skills!I8,MAX(0,MAX(0,Inputs!$B$43-B1619)-((R1591-1)*(IF(Inputs!$B$38="pvp",15,MAX(0.1,Skills!D8-IF(Skills!E8=TRUE,Inputs!$B$32,0)))*(1-IF(AND(ArtifactsInput!$M$27,Inputs!$B$4="Chapter Hunt"),CHOOSE(ArtifactsInput!$N$27+1,20,24,28,32,36,40),0)/100)))))/Skills!H8,1)))/Inputs!$B$43),G1591*Q1591)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2">
      <c r="A1592">
        <f>Skills!A9</f>
        <v/>
      </c>
      <c r="B1592">
        <f>Skills!B9</f>
        <v/>
      </c>
      <c r="C1592">
        <f>Inputs!$B$3&gt;=69</f>
        <v/>
      </c>
      <c r="D1592">
        <f>IF(Skills!C9=1,60+Inputs!$B$25+Inputs!$B$29,IF(Skills!C9=2,90+Inputs!$B$26+Inputs!$B$29,IF(Skills!C9=3,120+Inputs!$B$27+Inputs!$B$29,MAX(0,(Inputs!$B$3-100)*3)+Inputs!$B$28+Inputs!$B$29)))</f>
        <v/>
      </c>
      <c r="E1592">
        <f>INDEX(FactorTable!$B$2:$Y$301, MATCH(ROUND(MIN(300,MAX(1,D1592)),0), FactorTable!$A$2:$A$301,0), Skills!M9+1)</f>
        <v/>
      </c>
      <c r="F1592">
        <f>IF(Skills!N9=TRUE,(Skills!L9/10)*(E1592/1000),Skills!L9/10)+Skills!O9</f>
        <v/>
      </c>
      <c r="G1592">
        <f>Skills!G9*IF(Skills!H9&gt;0,Skills!I9/Skills!H9,1)</f>
        <v/>
      </c>
      <c r="H1592">
        <f>1-(1-Skills!J9/100)^Skills!K9</f>
        <v/>
      </c>
      <c r="I1592" t="inlineStr">
        <is>
          <t>1</t>
        </is>
      </c>
      <c r="J1592">
        <f>((Inputs!$B$6*(1+Inputs!$B$7/100))+(((Inputs!$B$12*(1+Inputs!$B$13/100))-(Inputs!$B$12*(1+Inputs!$B$13/100)))+0.25*(Inputs!$B$14-Inputs!$B$14))*(1+Inputs!$B$7/100))*(F1592/100)</f>
        <v/>
      </c>
      <c r="K1592">
        <f>J1592*(1+((Inputs!$B$12*(1+Inputs!$B$13/100))*0.01+Inputs!$B$14*0.0025)/100)*(1+Inputs!$B$15/100)*(1+Inputs!$B$16/100)*(5000/(6000+Inputs!$B$42*(1-(100*(1-(1-(Inputs!$B$19+0)/100)*(1-CHOOSE(ArtifactsInput!$N$40+1,5,6,7,8,9,10)/100)^(ArtifactsInput!$M$40-ArtifactsInput!$M$40)))/100)))*(1+(Inputs!$B$24+((C1608=TRUE)*(F1608-Calc!F25))+B1618)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1595=TRUE,F1595,0)/100)*(1+IF(Skills!A9="ENHANCED_RAGING_BLOW",IF(Inputs!$B$3&gt;=134,MAX(0,IF(Inputs!$B$3&gt;=110,7,5)-5)*50,0),0)/100)*(1+(IF(Skills!A9="RAGING_BLOW",Inputs!$B$17+((C1604=TRUE)*(F1604-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1606=TRUE)*(F1606-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1596=TRUE)*F1596*IF(Inputs!$B$3&gt;=110,7,5))+((C1598=TRUE)*F1598*IF(AND(Inputs!$B$38&lt;&gt;"pvp",Inputs!$B$43&gt;0),(((R1598-1)*(Skills!T15*(1+(Inputs!$B$34+(ArtifactsInput!$M$7-ArtifactsInput!$M$7)*CHOOSE(ArtifactsInput!$N$7+1,6,7.2,8.4,9.6,10.8,12))/100))+MIN((Skills!T15*(1+(Inputs!$B$34+(ArtifactsInput!$M$7-ArtifactsInput!$M$7)*CHOOSE(ArtifactsInput!$N$7+1,6,7.2,8.4,9.6,10.8,12))/100)),MAX(0,Inputs!$B$43-((R1598-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Hunt"),CHOOSE(ArtifactsInput!$N$35+1,15,18,21,24,27,30)*(1-EXP(-(0.2*B1614)*5)),0)+IF(AND(ArtifactsInput!$M$22,Inputs!$B$4&lt;&gt;"Chapter Hunt"),CHOOSE(ArtifactsInput!$N$22+1,10,12,14,16,18,20)*((0*(((0.15*B1614*5))^0/1)+1*(((0.15*B1614*5))^1/1)+2*(((0.15*B1614*5))^2/2)+3*(((0.15*B1614*5))^3/6)+4*(((0.15*B1614*5))^4/24)+5*(((0.15*B1614*5))^5/120))/((((0.15*B1614*5))^0/1)+(((0.15*B1614*5))^1/1)+(((0.15*B1614*5))^2/2)+(((0.15*B1614*5))^3/6)+(((0.15*B1614*5))^4/24)+(((0.15*B1614*5))^5/120))),0)))/100)*I1592)</f>
        <v/>
      </c>
      <c r="L1592">
        <f>K1592*(MIN(Inputs!$B$22+((C1605=TRUE)*(F1605-Calc!F22)),(Inputs!$B$23+((C1607=TRUE)*(F1607-Calc!F24))+(IF(ArtifactsInput!$M$15,CHOOSE(ArtifactsInput!$N$15+1,25,30,35,40,45,50)/100*(Inputs!$B$11-Inputs!$B$11),0))))/100+(Inputs!$B$23+((C1607=TRUE)*(F1607-Calc!F24))+(IF(ArtifactsInput!$M$15,CHOOSE(ArtifactsInput!$N$15+1,25,30,35,40,45,50)/100*(Inputs!$B$11-Inputs!$B$11),0)))/100)/2</f>
        <v/>
      </c>
      <c r="M1592">
        <f>L1592*(1+(Inputs!$B$10+0+B1617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2">
        <f>L1592*(1-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1592*(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2">
        <f>(1-Summary!$B$11)*T1592+Summary!$B$11*V1592</f>
        <v/>
      </c>
      <c r="P1592">
        <f>IF(B1622=0,0,O1592/B1622)</f>
        <v/>
      </c>
      <c r="Q1592">
        <f>IFERROR(1/(IF(Inputs!$B$38="pvp",15,MAX(0.1,Skills!D9-IF(Skills!E9=TRUE,Inputs!$B$32,0)))*(1-IF(AND(ArtifactsInput!$M$27,Inputs!$B$4="Chapter Hunt"),CHOOSE(ArtifactsInput!$N$27+1,20,24,28,32,36,40),0)/100)),0)</f>
        <v/>
      </c>
      <c r="R1592">
        <f>IF(AND(Inputs!$B$38&lt;&gt;"pvp",Inputs!$B$43&gt;0),IF(MAX(0,Inputs!$B$43-B1619)&lt;=0,0,(INT(MAX(0,Inputs!$B$43-B1619)/(IF(Inputs!$B$38="pvp",15,MAX(0.1,Skills!D9-IF(Skills!E9=TRUE,Inputs!$B$32,0)))*(1-IF(AND(ArtifactsInput!$M$27,Inputs!$B$4="Chapter Hunt"),CHOOSE(ArtifactsInput!$N$27+1,20,24,28,32,36,40),0)/100)))+1)),0)</f>
        <v/>
      </c>
      <c r="S1592">
        <f>IFERROR(O1592/N1592,0)</f>
        <v/>
      </c>
      <c r="T1592">
        <f>IF(C1592,(H1592*N1592*IF(AND(Inputs!$B$38&lt;&gt;"pvp",Inputs!$B$43&gt;0),((Skills!G9*((R1592-1)*IF(Skills!H9&gt;0,Skills!I9/Skills!H9,1)+IF(Skills!H9&gt;0,MIN(Skills!I9,MAX(0,MAX(0,Inputs!$B$43-B1619)-((R1592-1)*(IF(Inputs!$B$38="pvp",15,MAX(0.1,Skills!D9-IF(Skills!E9=TRUE,Inputs!$B$32,0)))*(1-IF(AND(ArtifactsInput!$M$27,Inputs!$B$4="Chapter Hunt"),CHOOSE(ArtifactsInput!$N$27+1,20,24,28,32,36,40),0)/100)))))/Skills!H9,1)))/Inputs!$B$43),G1592*Q1592)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1592*(1-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1592*(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1592*(1-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1592*(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2">
        <f>IF(C1592,(H1592*N1592*IF(AND(Inputs!$B$38&lt;&gt;"pvp",Inputs!$B$43&gt;0),((Skills!G9*((R1592-1)*IF(Skills!H9&gt;0,Skills!I9/Skills!H9,1)+IF(Skills!H9&gt;0,MIN(Skills!I9,MAX(0,MAX(0,Inputs!$B$43-B1619)-((R1592-1)*(IF(Inputs!$B$38="pvp",15,MAX(0.1,Skills!D9-IF(Skills!E9=TRUE,Inputs!$B$32,0)))*(1-IF(AND(ArtifactsInput!$M$27,Inputs!$B$4="Chapter Hunt"),CHOOSE(ArtifactsInput!$N$27+1,20,24,28,32,36,40),0)/100)))))/Skills!H9,1)))/Inputs!$B$43),G1592*Q1592)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3">
      <c r="A1593">
        <f>Skills!A10</f>
        <v/>
      </c>
      <c r="B1593">
        <f>Skills!B10</f>
        <v/>
      </c>
      <c r="C1593">
        <f>Inputs!$B$3&gt;=63</f>
        <v/>
      </c>
      <c r="D1593">
        <f>IF(Skills!C10=1,60+Inputs!$B$25+Inputs!$B$29,IF(Skills!C10=2,90+Inputs!$B$26+Inputs!$B$29,IF(Skills!C10=3,120+Inputs!$B$27+Inputs!$B$29,MAX(0,(Inputs!$B$3-100)*3)+Inputs!$B$28+Inputs!$B$29)))</f>
        <v/>
      </c>
      <c r="E1593">
        <f>INDEX(FactorTable!$B$2:$Y$301, MATCH(ROUND(MIN(300,MAX(1,D1593)),0), FactorTable!$A$2:$A$301,0), Skills!M10+1)</f>
        <v/>
      </c>
      <c r="F1593">
        <f>IF(Skills!N10=TRUE,(Skills!L10/10)*(E1593/1000),Skills!L10/10)+Skills!O10</f>
        <v/>
      </c>
      <c r="G1593">
        <f>Skills!G10*IF(Skills!H10&gt;0,Skills!I10/Skills!H10,1)</f>
        <v/>
      </c>
      <c r="H1593">
        <f>1-(1-Skills!J10/100)^Skills!K10</f>
        <v/>
      </c>
      <c r="I1593" t="inlineStr">
        <is>
          <t>1</t>
        </is>
      </c>
      <c r="J1593">
        <f>((Inputs!$B$6*(1+Inputs!$B$7/100))+(((Inputs!$B$12*(1+Inputs!$B$13/100))-(Inputs!$B$12*(1+Inputs!$B$13/100)))+0.25*(Inputs!$B$14-Inputs!$B$14))*(1+Inputs!$B$7/100))*(F1593/100)</f>
        <v/>
      </c>
      <c r="K1593">
        <f>J1593*(1+((Inputs!$B$12*(1+Inputs!$B$13/100))*0.01+Inputs!$B$14*0.0025)/100)*(1+Inputs!$B$15/100)*(1+Inputs!$B$16/100)*(5000/(6000+Inputs!$B$42*(1-(100*(1-(1-(Inputs!$B$19+0)/100)*(1-CHOOSE(ArtifactsInput!$N$40+1,5,6,7,8,9,10)/100)^(ArtifactsInput!$M$40-ArtifactsInput!$M$40)))/100)))*(1+(Inputs!$B$24+((C1608=TRUE)*(F1608-Calc!F25))+B1618)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1595=TRUE,F1595,0)/100)*(1+IF(Skills!A10="ENHANCED_RAGING_BLOW",IF(Inputs!$B$3&gt;=134,MAX(0,IF(Inputs!$B$3&gt;=110,7,5)-5)*50,0),0)/100)*(1+(IF(Skills!A10="RAGING_BLOW",Inputs!$B$17+((C1604=TRUE)*(F1604-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1606=TRUE)*(F1606-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1596=TRUE)*F1596*IF(Inputs!$B$3&gt;=110,7,5))+((C1598=TRUE)*F1598*IF(AND(Inputs!$B$38&lt;&gt;"pvp",Inputs!$B$43&gt;0),(((R1598-1)*(Skills!T15*(1+(Inputs!$B$34+(ArtifactsInput!$M$7-ArtifactsInput!$M$7)*CHOOSE(ArtifactsInput!$N$7+1,6,7.2,8.4,9.6,10.8,12))/100))+MIN((Skills!T15*(1+(Inputs!$B$34+(ArtifactsInput!$M$7-ArtifactsInput!$M$7)*CHOOSE(ArtifactsInput!$N$7+1,6,7.2,8.4,9.6,10.8,12))/100)),MAX(0,Inputs!$B$43-((R1598-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Hunt"),CHOOSE(ArtifactsInput!$N$35+1,15,18,21,24,27,30)*(1-EXP(-(0.2*B1614)*5)),0)+IF(AND(ArtifactsInput!$M$22,Inputs!$B$4&lt;&gt;"Chapter Hunt"),CHOOSE(ArtifactsInput!$N$22+1,10,12,14,16,18,20)*((0*(((0.15*B1614*5))^0/1)+1*(((0.15*B1614*5))^1/1)+2*(((0.15*B1614*5))^2/2)+3*(((0.15*B1614*5))^3/6)+4*(((0.15*B1614*5))^4/24)+5*(((0.15*B1614*5))^5/120))/((((0.15*B1614*5))^0/1)+(((0.15*B1614*5))^1/1)+(((0.15*B1614*5))^2/2)+(((0.15*B1614*5))^3/6)+(((0.15*B1614*5))^4/24)+(((0.15*B1614*5))^5/120))),0)))/100)*I1593)</f>
        <v/>
      </c>
      <c r="L1593">
        <f>K1593*(MIN(Inputs!$B$22+((C1605=TRUE)*(F1605-Calc!F22)),(Inputs!$B$23+((C1607=TRUE)*(F1607-Calc!F24))+(IF(ArtifactsInput!$M$15,CHOOSE(ArtifactsInput!$N$15+1,25,30,35,40,45,50)/100*(Inputs!$B$11-Inputs!$B$11),0))))/100+(Inputs!$B$23+((C1607=TRUE)*(F1607-Calc!F24))+(IF(ArtifactsInput!$M$15,CHOOSE(ArtifactsInput!$N$15+1,25,30,35,40,45,50)/100*(Inputs!$B$11-Inputs!$B$11),0)))/100)/2</f>
        <v/>
      </c>
      <c r="M1593">
        <f>L1593*(1+(Inputs!$B$10+0+B1617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3">
        <f>L1593*(1-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1593*(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3">
        <f>(1-Summary!$B$11)*T1593+Summary!$B$11*V1593</f>
        <v/>
      </c>
      <c r="P1593">
        <f>IF(B1622=0,0,O1593/B1622)</f>
        <v/>
      </c>
      <c r="Q1593">
        <f>IFERROR(1/(IF(Inputs!$B$38="pvp",15,MAX(0.1,Skills!D10-IF(Skills!E10=TRUE,Inputs!$B$32,0)))*(1-IF(AND(ArtifactsInput!$M$27,Inputs!$B$4="Chapter Hunt"),CHOOSE(ArtifactsInput!$N$27+1,20,24,28,32,36,40),0)/100)),0)</f>
        <v/>
      </c>
      <c r="R1593">
        <f>IF(AND(Inputs!$B$38&lt;&gt;"pvp",Inputs!$B$43&gt;0),IF(MAX(0,Inputs!$B$43-B1619)&lt;=0,0,(INT(MAX(0,Inputs!$B$43-B1619)/(IF(Inputs!$B$38="pvp",15,MAX(0.1,Skills!D10-IF(Skills!E10=TRUE,Inputs!$B$32,0)))*(1-IF(AND(ArtifactsInput!$M$27,Inputs!$B$4="Chapter Hunt"),CHOOSE(ArtifactsInput!$N$27+1,20,24,28,32,36,40),0)/100)))+1)),0)</f>
        <v/>
      </c>
      <c r="S1593">
        <f>IFERROR(O1593/N1593,0)</f>
        <v/>
      </c>
      <c r="T1593">
        <f>IF(C1593,(H1593*N1593*IF(AND(Inputs!$B$38&lt;&gt;"pvp",Inputs!$B$43&gt;0),((Skills!G10*((R1593-1)*IF(Skills!H10&gt;0,Skills!I10/Skills!H10,1)+IF(Skills!H10&gt;0,MIN(Skills!I10,MAX(0,MAX(0,Inputs!$B$43-B1619)-((R1593-1)*(IF(Inputs!$B$38="pvp",15,MAX(0.1,Skills!D10-IF(Skills!E10=TRUE,Inputs!$B$32,0)))*(1-IF(AND(ArtifactsInput!$M$27,Inputs!$B$4="Chapter Hunt"),CHOOSE(ArtifactsInput!$N$27+1,20,24,28,32,36,40),0)/100)))))/Skills!H10,1)))/Inputs!$B$43),G1593*Q1593)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1593*(1-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1593*(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1593*(1-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1593*(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3">
        <f>IF(C1593,(H1593*N1593*IF(AND(Inputs!$B$38&lt;&gt;"pvp",Inputs!$B$43&gt;0),((Skills!G10*((R1593-1)*IF(Skills!H10&gt;0,Skills!I10/Skills!H10,1)+IF(Skills!H10&gt;0,MIN(Skills!I10,MAX(0,MAX(0,Inputs!$B$43-B1619)-((R1593-1)*(IF(Inputs!$B$38="pvp",15,MAX(0.1,Skills!D10-IF(Skills!E10=TRUE,Inputs!$B$32,0)))*(1-IF(AND(ArtifactsInput!$M$27,Inputs!$B$4="Chapter Hunt"),CHOOSE(ArtifactsInput!$N$27+1,20,24,28,32,36,40),0)/100)))))/Skills!H10,1)))/Inputs!$B$43),G1593*Q1593)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4">
      <c r="A1594">
        <f>Skills!A11</f>
        <v/>
      </c>
      <c r="B1594">
        <f>Skills!B11</f>
        <v/>
      </c>
      <c r="C1594">
        <f>Inputs!$B$3&gt;=35</f>
        <v/>
      </c>
      <c r="D1594">
        <f>IF(Skills!C11=1,60+Inputs!$B$25+Inputs!$B$29,IF(Skills!C11=2,90+Inputs!$B$26+Inputs!$B$29,IF(Skills!C11=3,120+Inputs!$B$27+Inputs!$B$29,MAX(0,(Inputs!$B$3-100)*3)+Inputs!$B$28+Inputs!$B$29)))</f>
        <v/>
      </c>
      <c r="E1594">
        <f>INDEX(FactorTable!$B$2:$Y$301, MATCH(ROUND(MIN(300,MAX(1,D1594)),0), FactorTable!$A$2:$A$301,0), Skills!M11+1)</f>
        <v/>
      </c>
      <c r="F1594">
        <f>IF(Skills!N11=TRUE,(Skills!L11/10)*(E1594/1000),Skills!L11/10)+Skills!O11</f>
        <v/>
      </c>
      <c r="G1594">
        <f>Skills!G11*IF(Skills!H11&gt;0,Skills!I11/Skills!H11,1)</f>
        <v/>
      </c>
      <c r="H1594">
        <f>1-(1-Skills!J11/100)^Skills!K11</f>
        <v/>
      </c>
      <c r="I1594" t="inlineStr">
        <is>
          <t>1</t>
        </is>
      </c>
      <c r="J1594">
        <f>((Inputs!$B$6*(1+Inputs!$B$7/100))+(((Inputs!$B$12*(1+Inputs!$B$13/100))-(Inputs!$B$12*(1+Inputs!$B$13/100)))+0.25*(Inputs!$B$14-Inputs!$B$14))*(1+Inputs!$B$7/100))*(F1594/100)</f>
        <v/>
      </c>
      <c r="K1594">
        <f>J1594*(1+((Inputs!$B$12*(1+Inputs!$B$13/100))*0.01+Inputs!$B$14*0.0025)/100)*(1+Inputs!$B$15/100)*(1+Inputs!$B$16/100)*(5000/(6000+Inputs!$B$42*(1-(100*(1-(1-(Inputs!$B$19+0)/100)*(1-CHOOSE(ArtifactsInput!$N$40+1,5,6,7,8,9,10)/100)^(ArtifactsInput!$M$40-ArtifactsInput!$M$40)))/100)))*(1+(Inputs!$B$24+((C1608=TRUE)*(F1608-Calc!F25))+B1618)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1595=TRUE,F1595,0)/100)*(1+IF(Skills!A11="ENHANCED_RAGING_BLOW",IF(Inputs!$B$3&gt;=134,MAX(0,IF(Inputs!$B$3&gt;=110,7,5)-5)*50,0),0)/100)*(1+(IF(Skills!A11="RAGING_BLOW",Inputs!$B$17+((C1604=TRUE)*(F1604-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1606=TRUE)*(F1606-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1596=TRUE)*F1596*IF(Inputs!$B$3&gt;=110,7,5))+((C1598=TRUE)*F1598*IF(AND(Inputs!$B$38&lt;&gt;"pvp",Inputs!$B$43&gt;0),(((R1598-1)*(Skills!T15*(1+(Inputs!$B$34+(ArtifactsInput!$M$7-ArtifactsInput!$M$7)*CHOOSE(ArtifactsInput!$N$7+1,6,7.2,8.4,9.6,10.8,12))/100))+MIN((Skills!T15*(1+(Inputs!$B$34+(ArtifactsInput!$M$7-ArtifactsInput!$M$7)*CHOOSE(ArtifactsInput!$N$7+1,6,7.2,8.4,9.6,10.8,12))/100)),MAX(0,Inputs!$B$43-((R1598-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Hunt"),CHOOSE(ArtifactsInput!$N$35+1,15,18,21,24,27,30)*(1-EXP(-(0.2*B1614)*5)),0)+IF(AND(ArtifactsInput!$M$22,Inputs!$B$4&lt;&gt;"Chapter Hunt"),CHOOSE(ArtifactsInput!$N$22+1,10,12,14,16,18,20)*((0*(((0.15*B1614*5))^0/1)+1*(((0.15*B1614*5))^1/1)+2*(((0.15*B1614*5))^2/2)+3*(((0.15*B1614*5))^3/6)+4*(((0.15*B1614*5))^4/24)+5*(((0.15*B1614*5))^5/120))/((((0.15*B1614*5))^0/1)+(((0.15*B1614*5))^1/1)+(((0.15*B1614*5))^2/2)+(((0.15*B1614*5))^3/6)+(((0.15*B1614*5))^4/24)+(((0.15*B1614*5))^5/120))),0)))/100)*I1594)</f>
        <v/>
      </c>
      <c r="L1594">
        <f>K1594*(MIN(Inputs!$B$22+((C1605=TRUE)*(F1605-Calc!F22)),(Inputs!$B$23+((C1607=TRUE)*(F1607-Calc!F24))+(IF(ArtifactsInput!$M$15,CHOOSE(ArtifactsInput!$N$15+1,25,30,35,40,45,50)/100*(Inputs!$B$11-Inputs!$B$11),0))))/100+(Inputs!$B$23+((C1607=TRUE)*(F1607-Calc!F24))+(IF(ArtifactsInput!$M$15,CHOOSE(ArtifactsInput!$N$15+1,25,30,35,40,45,50)/100*(Inputs!$B$11-Inputs!$B$11),0)))/100)/2</f>
        <v/>
      </c>
      <c r="M1594">
        <f>L1594*(1+(Inputs!$B$10+0+B1617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4">
        <f>L1594*(1-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1594*(MIN((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4">
        <f>(1-Summary!$B$11)*T1594+Summary!$B$11*V1594</f>
        <v/>
      </c>
      <c r="P1594">
        <f>IF(B1622=0,0,O1594/B1622)</f>
        <v/>
      </c>
      <c r="Q1594">
        <f>IFERROR(1/(IF(Inputs!$B$38="pvp",15,MAX(0.1,Skills!D11-IF(Skills!E11=TRUE,Inputs!$B$32,0)))*(1-IF(AND(ArtifactsInput!$M$27,Inputs!$B$4="Chapter Hunt"),CHOOSE(ArtifactsInput!$N$27+1,20,24,28,32,36,40),0)/100)),0)</f>
        <v/>
      </c>
      <c r="R1594">
        <f>IF(AND(Inputs!$B$38&lt;&gt;"pvp",Inputs!$B$43&gt;0),IF(MAX(0,Inputs!$B$43-B1619)&lt;=0,0,(INT(MAX(0,Inputs!$B$43-B1619)/(IF(Inputs!$B$38="pvp",15,MAX(0.1,Skills!D11-IF(Skills!E11=TRUE,Inputs!$B$32,0)))*(1-IF(AND(ArtifactsInput!$M$27,Inputs!$B$4="Chapter Hunt"),CHOOSE(ArtifactsInput!$N$27+1,20,24,28,32,36,40),0)/100)))+1)),0)</f>
        <v/>
      </c>
      <c r="S1594">
        <f>IFERROR(O1594/N1594,0)</f>
        <v/>
      </c>
      <c r="T1594">
        <f>IF(C1594,(H1594*N1594*IF(AND(Inputs!$B$38&lt;&gt;"pvp",Inputs!$B$43&gt;0),((Skills!G11*((R1594-1)*IF(Skills!H11&gt;0,Skills!I11/Skills!H11,1)+IF(Skills!H11&gt;0,MIN(Skills!I11,MAX(0,MAX(0,Inputs!$B$43-B1619)-((R1594-1)*(IF(Inputs!$B$38="pvp",15,MAX(0.1,Skills!D11-IF(Skills!E11=TRUE,Inputs!$B$32,0)))*(1-IF(AND(ArtifactsInput!$M$27,Inputs!$B$4="Chapter Hunt"),CHOOSE(ArtifactsInput!$N$27+1,20,24,28,32,36,40),0)/100)))))/Skills!H11,1)))/Inputs!$B$43),G1594*Q1594)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1594*(1-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1594*(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1594*(1-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1594*(MIN(100,(Inputs!$B$9+((C1609=TRUE)*(F1609-Calc!F26))+B1612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4">
        <f>IF(C1594,(H1594*N1594*IF(AND(Inputs!$B$38&lt;&gt;"pvp",Inputs!$B$43&gt;0),((Skills!G11*((R1594-1)*IF(Skills!H11&gt;0,Skills!I11/Skills!H11,1)+IF(Skills!H11&gt;0,MIN(Skills!I11,MAX(0,MAX(0,Inputs!$B$43-B1619)-((R1594-1)*(IF(Inputs!$B$38="pvp",15,MAX(0.1,Skills!D11-IF(Skills!E11=TRUE,Inputs!$B$32,0)))*(1-IF(AND(ArtifactsInput!$M$27,Inputs!$B$4="Chapter Hunt"),CHOOSE(ArtifactsInput!$N$27+1,20,24,28,32,36,40),0)/100)))))/Skills!H11,1)))/Inputs!$B$43),G1594*Q1594)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5">
      <c r="A1595">
        <f>Skills!A12</f>
        <v/>
      </c>
      <c r="B1595">
        <f>Skills!B12</f>
        <v/>
      </c>
      <c r="C1595">
        <f>Inputs!$B$3&gt;=100</f>
        <v/>
      </c>
      <c r="D1595">
        <f>IF(Skills!C12=1,60+Inputs!$B$25+Inputs!$B$29,IF(Skills!C12=2,90+Inputs!$B$26+Inputs!$B$29,IF(Skills!C12=3,120+Inputs!$B$27+Inputs!$B$29,MAX(0,(Inputs!$B$3-100)*3)+Inputs!$B$28+Inputs!$B$29)))</f>
        <v/>
      </c>
      <c r="E1595">
        <f>INDEX(FactorTable!$B$2:$Y$301, MATCH(ROUND(MIN(300,MAX(1,D1595)),0), FactorTable!$A$2:$A$301,0), Skills!M12+1)</f>
        <v/>
      </c>
      <c r="F1595">
        <f>IF(Skills!N12=TRUE,(Skills!L12/10)*(E1595/1000),Skills!L12/10)+Skills!O12</f>
        <v/>
      </c>
      <c r="G1595" t="inlineStr"/>
      <c r="H1595" t="inlineStr"/>
      <c r="I1595" t="inlineStr">
        <is>
          <t>1</t>
        </is>
      </c>
      <c r="J1595" t="inlineStr"/>
      <c r="K1595" t="inlineStr"/>
      <c r="L1595" t="inlineStr"/>
      <c r="M1595" t="inlineStr"/>
      <c r="N1595" t="inlineStr"/>
      <c r="O1595" t="inlineStr"/>
      <c r="P1595" t="inlineStr"/>
      <c r="Q1595" t="inlineStr"/>
      <c r="R1595" t="inlineStr"/>
      <c r="S1595" t="inlineStr"/>
    </row>
    <row r="1596">
      <c r="A1596">
        <f>Skills!A13</f>
        <v/>
      </c>
      <c r="B1596">
        <f>Skills!B13</f>
        <v/>
      </c>
      <c r="C1596">
        <f>Inputs!$B$3&gt;=45</f>
        <v/>
      </c>
      <c r="D1596">
        <f>IF(Skills!C13=1,60+Inputs!$B$25+Inputs!$B$29,IF(Skills!C13=2,90+Inputs!$B$26+Inputs!$B$29,IF(Skills!C13=3,120+Inputs!$B$27+Inputs!$B$29,MAX(0,(Inputs!$B$3-100)*3)+Inputs!$B$28+Inputs!$B$29)))</f>
        <v/>
      </c>
      <c r="E1596">
        <f>INDEX(FactorTable!$B$2:$Y$301, MATCH(ROUND(MIN(300,MAX(1,D1596)),0), FactorTable!$A$2:$A$301,0), Skills!M13+1)</f>
        <v/>
      </c>
      <c r="F1596">
        <f>IF(Skills!N13=TRUE,(Skills!L13/10)*(E1596/1000),Skills!L13/10)+Skills!O13</f>
        <v/>
      </c>
      <c r="G1596">
        <f>Skills!G13*IF(Skills!H13&gt;0,Skills!I13/Skills!H13,1)</f>
        <v/>
      </c>
      <c r="H1596">
        <f>1-(1-Skills!J13/100)^Skills!K13</f>
        <v/>
      </c>
      <c r="I1596" t="inlineStr">
        <is>
          <t>1</t>
        </is>
      </c>
      <c r="J1596" t="inlineStr"/>
      <c r="K1596" t="inlineStr"/>
      <c r="L1596" t="inlineStr"/>
      <c r="M1596" t="inlineStr"/>
      <c r="N1596" t="inlineStr"/>
      <c r="O1596">
        <f>(1-Summary!$B$11)*T1596+Summary!$B$11*V1596</f>
        <v/>
      </c>
      <c r="P1596">
        <f>IF(B1622=0,0,O1596/B1622)</f>
        <v/>
      </c>
      <c r="Q1596" t="n">
        <v>0</v>
      </c>
      <c r="R1596" t="n">
        <v>0</v>
      </c>
      <c r="S1596">
        <f>IFERROR(O1596/N1596,0)</f>
        <v/>
      </c>
      <c r="T1596" t="n">
        <v>0</v>
      </c>
      <c r="V1596" t="n">
        <v>0</v>
      </c>
    </row>
    <row r="1597">
      <c r="A1597">
        <f>Skills!A14</f>
        <v/>
      </c>
      <c r="B1597">
        <f>Skills!B14</f>
        <v/>
      </c>
      <c r="C1597">
        <f>Inputs!$B$3&gt;=75</f>
        <v/>
      </c>
      <c r="D1597">
        <f>IF(Skills!C14=1,60+Inputs!$B$25+Inputs!$B$29,IF(Skills!C14=2,90+Inputs!$B$26+Inputs!$B$29,IF(Skills!C14=3,120+Inputs!$B$27+Inputs!$B$29,MAX(0,(Inputs!$B$3-100)*3)+Inputs!$B$28+Inputs!$B$29)))</f>
        <v/>
      </c>
      <c r="E1597">
        <f>INDEX(FactorTable!$B$2:$Y$301, MATCH(ROUND(MIN(300,MAX(1,D1597)),0), FactorTable!$A$2:$A$301,0), Skills!M14+1)</f>
        <v/>
      </c>
      <c r="F1597">
        <f>IF(Skills!N14=TRUE,(Skills!L14/10)*(E1597/1000),Skills!L14/10)+Skills!O14</f>
        <v/>
      </c>
      <c r="G1597">
        <f>Skills!G14*IF(Skills!H14&gt;0,Skills!I14/Skills!H14,1)</f>
        <v/>
      </c>
      <c r="H1597">
        <f>1-(1-Skills!J14/100)^Skills!K14</f>
        <v/>
      </c>
      <c r="I1597" t="inlineStr">
        <is>
          <t>1</t>
        </is>
      </c>
      <c r="J1597" t="inlineStr"/>
      <c r="K1597" t="inlineStr"/>
      <c r="L1597" t="inlineStr"/>
      <c r="M1597" t="inlineStr"/>
      <c r="N1597" t="inlineStr"/>
      <c r="O1597">
        <f>(1-Summary!$B$11)*T1597+Summary!$B$11*V1597</f>
        <v/>
      </c>
      <c r="P1597">
        <f>IF(B1622=0,0,O1597/B1622)</f>
        <v/>
      </c>
      <c r="Q1597" t="n">
        <v>0</v>
      </c>
      <c r="R1597" t="n">
        <v>0</v>
      </c>
      <c r="S1597">
        <f>IFERROR(O1597/N1597,0)</f>
        <v/>
      </c>
      <c r="T1597" t="n">
        <v>0</v>
      </c>
      <c r="V1597" t="n">
        <v>0</v>
      </c>
    </row>
    <row r="1598">
      <c r="A1598">
        <f>Skills!A15</f>
        <v/>
      </c>
      <c r="B1598">
        <f>Skills!B15</f>
        <v/>
      </c>
      <c r="C1598">
        <f>Inputs!$B$3&gt;=40</f>
        <v/>
      </c>
      <c r="D1598">
        <f>IF(Skills!C15=1,60+Inputs!$B$25+Inputs!$B$29,IF(Skills!C15=2,90+Inputs!$B$26+Inputs!$B$29,IF(Skills!C15=3,120+Inputs!$B$27+Inputs!$B$29,MAX(0,(Inputs!$B$3-100)*3)+Inputs!$B$28+Inputs!$B$29)))</f>
        <v/>
      </c>
      <c r="E1598">
        <f>INDEX(FactorTable!$B$2:$Y$301, MATCH(ROUND(MIN(300,MAX(1,D1598)),0), FactorTable!$A$2:$A$301,0), Skills!M15+1)</f>
        <v/>
      </c>
      <c r="F1598">
        <f>IF(Skills!N15=TRUE,(Skills!L15/10)*(E1598/1000),Skills!L15/10)+Skills!O15</f>
        <v/>
      </c>
      <c r="G1598">
        <f>Skills!G15*IF(Skills!H15&gt;0,Skills!I15/Skills!H15,1)</f>
        <v/>
      </c>
      <c r="H1598">
        <f>1-(1-Skills!J15/100)^Skills!K15</f>
        <v/>
      </c>
      <c r="I1598" t="inlineStr">
        <is>
          <t>1</t>
        </is>
      </c>
      <c r="J1598" t="inlineStr"/>
      <c r="K1598" t="inlineStr"/>
      <c r="L1598" t="inlineStr"/>
      <c r="M1598" t="inlineStr"/>
      <c r="N1598" t="inlineStr"/>
      <c r="O1598">
        <f>(1-Summary!$B$11)*T1598+Summary!$B$11*V1598</f>
        <v/>
      </c>
      <c r="P1598">
        <f>IF(B1622=0,0,O1598/B1622)</f>
        <v/>
      </c>
      <c r="Q1598">
        <f>IFERROR(1/(IF(Inputs!$B$38="pvp",15,MAX(0.1,Skills!D15-IF(Skills!E15=TRUE,Inputs!$B$32,0)))*(1-IF(AND(ArtifactsInput!$M$27,Inputs!$B$4="Chapter Hunt"),CHOOSE(ArtifactsInput!$N$27+1,20,24,28,32,36,40),0)/100)),0)</f>
        <v/>
      </c>
      <c r="R1598">
        <f>IF(AND(Inputs!$B$38&lt;&gt;"pvp",Inputs!$B$43&gt;0),IF(Inputs!$B$43&lt;=0,0,(INT(Inputs!$B$43/(IF(Inputs!$B$38="pvp",15,MAX(0.1,Skills!D15-IF(Skills!E15=TRUE,Inputs!$B$32,0)))*(1-IF(AND(ArtifactsInput!$M$27,Inputs!$B$4="Chapter Hunt"),CHOOSE(ArtifactsInput!$N$27+1,20,24,28,32,36,40),0)/100)))+1)),0)</f>
        <v/>
      </c>
      <c r="S1598">
        <f>IFERROR(O1598/N1598,0)</f>
        <v/>
      </c>
      <c r="T1598" t="n">
        <v>0</v>
      </c>
      <c r="V1598" t="n">
        <v>0</v>
      </c>
    </row>
    <row r="1599">
      <c r="A1599">
        <f>Skills!A16</f>
        <v/>
      </c>
      <c r="B1599">
        <f>Skills!B16</f>
        <v/>
      </c>
      <c r="C1599">
        <f>Inputs!$B$3&gt;=66</f>
        <v/>
      </c>
      <c r="D1599">
        <f>IF(Skills!C16=1,60+Inputs!$B$25+Inputs!$B$29,IF(Skills!C16=2,90+Inputs!$B$26+Inputs!$B$29,IF(Skills!C16=3,120+Inputs!$B$27+Inputs!$B$29,MAX(0,(Inputs!$B$3-100)*3)+Inputs!$B$28+Inputs!$B$29)))</f>
        <v/>
      </c>
      <c r="E1599">
        <f>INDEX(FactorTable!$B$2:$Y$301, MATCH(ROUND(MIN(300,MAX(1,D1599)),0), FactorTable!$A$2:$A$301,0), Skills!M16+1)</f>
        <v/>
      </c>
      <c r="F1599">
        <f>IF(Skills!N16=TRUE,(Skills!L16/10)*(E1599/1000),Skills!L16/10)+Skills!O16</f>
        <v/>
      </c>
      <c r="G1599">
        <f>Skills!G16*IF(Skills!H16&gt;0,Skills!I16/Skills!H16,1)</f>
        <v/>
      </c>
      <c r="H1599">
        <f>1-(1-Skills!J16/100)^Skills!K16</f>
        <v/>
      </c>
      <c r="I1599" t="inlineStr">
        <is>
          <t>1</t>
        </is>
      </c>
      <c r="J1599" t="inlineStr"/>
      <c r="K1599" t="inlineStr"/>
      <c r="L1599" t="inlineStr"/>
      <c r="M1599" t="inlineStr"/>
      <c r="N1599" t="inlineStr"/>
      <c r="O1599">
        <f>(1-Summary!$B$11)*T1599+Summary!$B$11*V1599</f>
        <v/>
      </c>
      <c r="P1599">
        <f>IF(B1622=0,0,O1599/B1622)</f>
        <v/>
      </c>
      <c r="Q1599">
        <f>IFERROR(1/(IF(Inputs!$B$38="pvp",15,MAX(0.1,Skills!D16-IF(Skills!E16=TRUE,Inputs!$B$32,0)))*(1-IF(AND(ArtifactsInput!$M$27,Inputs!$B$4="Chapter Hunt"),CHOOSE(ArtifactsInput!$N$27+1,20,24,28,32,36,40),0)/100)),0)</f>
        <v/>
      </c>
      <c r="R1599">
        <f>IF(AND(Inputs!$B$38&lt;&gt;"pvp",Inputs!$B$43&gt;0),IF(Inputs!$B$43&lt;=0,0,(INT(Inputs!$B$43/(IF(Inputs!$B$38="pvp",15,MAX(0.1,Skills!D16-IF(Skills!E16=TRUE,Inputs!$B$32,0)))*(1-IF(AND(ArtifactsInput!$M$27,Inputs!$B$4="Chapter Hunt"),CHOOSE(ArtifactsInput!$N$27+1,20,24,28,32,36,40),0)/100)))+1)),0)</f>
        <v/>
      </c>
      <c r="S1599">
        <f>IFERROR(O1599/N1599,0)</f>
        <v/>
      </c>
      <c r="T1599" t="n">
        <v>0</v>
      </c>
      <c r="V1599" t="n">
        <v>0</v>
      </c>
    </row>
    <row r="1600">
      <c r="A1600">
        <f>Skills!A17</f>
        <v/>
      </c>
      <c r="B1600">
        <f>Skills!B17</f>
        <v/>
      </c>
      <c r="C1600">
        <f>Inputs!$B$3&gt;=115</f>
        <v/>
      </c>
      <c r="D1600">
        <f>IF(Skills!C17=1,60+Inputs!$B$25+Inputs!$B$29,IF(Skills!C17=2,90+Inputs!$B$26+Inputs!$B$29,IF(Skills!C17=3,120+Inputs!$B$27+Inputs!$B$29,MAX(0,(Inputs!$B$3-100)*3)+Inputs!$B$28+Inputs!$B$29)))</f>
        <v/>
      </c>
      <c r="E1600">
        <f>INDEX(FactorTable!$B$2:$Y$301, MATCH(ROUND(MIN(300,MAX(1,D1600)),0), FactorTable!$A$2:$A$301,0), Skills!M17+1)</f>
        <v/>
      </c>
      <c r="F1600">
        <f>IF(Skills!N17=TRUE,(Skills!L17/10)*(E1600/1000),Skills!L17/10)+Skills!O17</f>
        <v/>
      </c>
      <c r="G1600">
        <f>Skills!G17*IF(Skills!H17&gt;0,Skills!I17/Skills!H17,1)</f>
        <v/>
      </c>
      <c r="H1600">
        <f>1-(1-Skills!J17/100)^Skills!K17</f>
        <v/>
      </c>
      <c r="I1600" t="inlineStr">
        <is>
          <t>1</t>
        </is>
      </c>
      <c r="J1600" t="inlineStr"/>
      <c r="K1600" t="inlineStr"/>
      <c r="L1600" t="inlineStr"/>
      <c r="M1600" t="inlineStr"/>
      <c r="N1600" t="inlineStr"/>
      <c r="O1600">
        <f>(1-Summary!$B$11)*T1600+Summary!$B$11*V1600</f>
        <v/>
      </c>
      <c r="P1600">
        <f>IF(B1622=0,0,O1600/B1622)</f>
        <v/>
      </c>
      <c r="Q1600">
        <f>IFERROR(1/(IF(Inputs!$B$38="pvp",15,MAX(0.1,Skills!D17-IF(Skills!E17=TRUE,Inputs!$B$32,0)))*(1-IF(AND(ArtifactsInput!$M$27,Inputs!$B$4="Chapter Hunt"),CHOOSE(ArtifactsInput!$N$27+1,20,24,28,32,36,40),0)/100)),0)</f>
        <v/>
      </c>
      <c r="R1600">
        <f>IF(AND(Inputs!$B$38&lt;&gt;"pvp",Inputs!$B$43&gt;0),IF(Inputs!$B$43&lt;=0,0,(INT(Inputs!$B$43/(IF(Inputs!$B$38="pvp",15,MAX(0.1,Skills!D17-IF(Skills!E17=TRUE,Inputs!$B$32,0)))*(1-IF(AND(ArtifactsInput!$M$27,Inputs!$B$4="Chapter Hunt"),CHOOSE(ArtifactsInput!$N$27+1,20,24,28,32,36,40),0)/100)))+1)),0)</f>
        <v/>
      </c>
      <c r="S1600">
        <f>IFERROR(O1600/N1600,0)</f>
        <v/>
      </c>
      <c r="T1600" t="n">
        <v>0</v>
      </c>
      <c r="V1600" t="n">
        <v>0</v>
      </c>
    </row>
    <row r="1601">
      <c r="A1601">
        <f>Skills!A18</f>
        <v/>
      </c>
      <c r="B1601">
        <f>Skills!B18</f>
        <v/>
      </c>
      <c r="C1601">
        <f>Inputs!$B$3&gt;=115</f>
        <v/>
      </c>
      <c r="D1601">
        <f>IF(Skills!C18=1,60+Inputs!$B$25+Inputs!$B$29,IF(Skills!C18=2,90+Inputs!$B$26+Inputs!$B$29,IF(Skills!C18=3,120+Inputs!$B$27+Inputs!$B$29,MAX(0,(Inputs!$B$3-100)*3)+Inputs!$B$28+Inputs!$B$29)))</f>
        <v/>
      </c>
      <c r="E1601">
        <f>INDEX(FactorTable!$B$2:$Y$301, MATCH(ROUND(MIN(300,MAX(1,D1601)),0), FactorTable!$A$2:$A$301,0), Skills!M18+1)</f>
        <v/>
      </c>
      <c r="F1601">
        <f>IF(Skills!N18=TRUE,(Skills!L18/10)*(E1601/1000),Skills!L18/10)+Skills!O18</f>
        <v/>
      </c>
      <c r="G1601">
        <f>Skills!G18*IF(Skills!H18&gt;0,Skills!I18/Skills!H18,1)</f>
        <v/>
      </c>
      <c r="H1601">
        <f>1-(1-Skills!J18/100)^Skills!K18</f>
        <v/>
      </c>
      <c r="I1601" t="inlineStr">
        <is>
          <t>1</t>
        </is>
      </c>
      <c r="J1601" t="inlineStr"/>
      <c r="K1601" t="inlineStr"/>
      <c r="L1601" t="inlineStr"/>
      <c r="M1601" t="inlineStr"/>
      <c r="N1601" t="inlineStr"/>
      <c r="O1601">
        <f>(1-Summary!$B$11)*T1601+Summary!$B$11*V1601</f>
        <v/>
      </c>
      <c r="P1601">
        <f>IF(B1622=0,0,O1601/B1622)</f>
        <v/>
      </c>
      <c r="Q1601">
        <f>IFERROR(1/(IF(Inputs!$B$38="pvp",15,MAX(0.1,Skills!D18-IF(Skills!E18=TRUE,Inputs!$B$32,0)))*(1-IF(AND(ArtifactsInput!$M$27,Inputs!$B$4="Chapter Hunt"),CHOOSE(ArtifactsInput!$N$27+1,20,24,28,32,36,40),0)/100)),0)</f>
        <v/>
      </c>
      <c r="R1601">
        <f>IF(AND(Inputs!$B$38&lt;&gt;"pvp",Inputs!$B$43&gt;0),IF(Inputs!$B$43&lt;=0,0,(INT(Inputs!$B$43/(IF(Inputs!$B$38="pvp",15,MAX(0.1,Skills!D18-IF(Skills!E18=TRUE,Inputs!$B$32,0)))*(1-IF(AND(ArtifactsInput!$M$27,Inputs!$B$4="Chapter Hunt"),CHOOSE(ArtifactsInput!$N$27+1,20,24,28,32,36,40),0)/100)))+1)),0)</f>
        <v/>
      </c>
      <c r="S1601">
        <f>IFERROR(O1601/N1601,0)</f>
        <v/>
      </c>
      <c r="T1601" t="n">
        <v>0</v>
      </c>
      <c r="V1601" t="n">
        <v>0</v>
      </c>
    </row>
    <row r="1602">
      <c r="A1602">
        <f>Skills!A19</f>
        <v/>
      </c>
      <c r="B1602">
        <f>Skills!B19</f>
        <v/>
      </c>
      <c r="C1602">
        <f>TRUE</f>
        <v/>
      </c>
      <c r="D1602">
        <f>IF(Skills!C19=1,60+Inputs!$B$25+Inputs!$B$29,IF(Skills!C19=2,90+Inputs!$B$26+Inputs!$B$29,IF(Skills!C19=3,120+Inputs!$B$27+Inputs!$B$29,MAX(0,(Inputs!$B$3-100)*3)+Inputs!$B$28+Inputs!$B$29)))</f>
        <v/>
      </c>
      <c r="E1602">
        <f>INDEX(FactorTable!$B$2:$Y$301, MATCH(ROUND(MIN(300,MAX(1,D1602)),0), FactorTable!$A$2:$A$301,0), Skills!M19+1)</f>
        <v/>
      </c>
      <c r="F1602">
        <f>IF(Skills!N19=TRUE,(Skills!L19/10)*(E1602/1000),Skills!L19/10)+Skills!O19</f>
        <v/>
      </c>
      <c r="G1602">
        <f>Skills!G19*IF(Skills!H19&gt;0,Skills!I19/Skills!H19,1)</f>
        <v/>
      </c>
      <c r="H1602">
        <f>1-(1-Skills!J19/100)^Skills!K19</f>
        <v/>
      </c>
      <c r="I1602" t="inlineStr">
        <is>
          <t>1</t>
        </is>
      </c>
      <c r="J1602" t="inlineStr"/>
      <c r="K1602" t="inlineStr"/>
      <c r="L1602" t="inlineStr"/>
      <c r="M1602" t="inlineStr"/>
      <c r="N1602" t="inlineStr"/>
      <c r="O1602">
        <f>(1-Summary!$B$11)*T1602+Summary!$B$11*V1602</f>
        <v/>
      </c>
      <c r="P1602">
        <f>IF(B1622=0,0,O1602/B1622)</f>
        <v/>
      </c>
      <c r="Q1602">
        <f>IFERROR(1/(IF(Inputs!$B$38="pvp",15,MAX(0.1,Skills!D19-IF(Skills!E19=TRUE,Inputs!$B$32,0)))*(1-IF(AND(ArtifactsInput!$M$27,Inputs!$B$4="Chapter Hunt"),CHOOSE(ArtifactsInput!$N$27+1,20,24,28,32,36,40),0)/100)),0)</f>
        <v/>
      </c>
      <c r="R1602">
        <f>IF(AND(Inputs!$B$38&lt;&gt;"pvp",Inputs!$B$43&gt;0),IF(Inputs!$B$43&lt;=0,0,(INT(Inputs!$B$43/(IF(Inputs!$B$38="pvp",15,MAX(0.1,Skills!D19-IF(Skills!E19=TRUE,Inputs!$B$32,0)))*(1-IF(AND(ArtifactsInput!$M$27,Inputs!$B$4="Chapter Hunt"),CHOOSE(ArtifactsInput!$N$27+1,20,24,28,32,36,40),0)/100)))+1)),0)</f>
        <v/>
      </c>
      <c r="S1602">
        <f>IFERROR(O1602/N1602,0)</f>
        <v/>
      </c>
      <c r="T1602" t="n">
        <v>0</v>
      </c>
      <c r="V1602" t="n">
        <v>0</v>
      </c>
    </row>
    <row r="1603">
      <c r="A1603">
        <f>Skills!A20</f>
        <v/>
      </c>
      <c r="B1603">
        <f>Skills!B20</f>
        <v/>
      </c>
      <c r="C1603">
        <f>Inputs!$B$3&gt;=33</f>
        <v/>
      </c>
      <c r="D1603">
        <f>IF(Skills!C20=1,60+Inputs!$B$25+Inputs!$B$29,IF(Skills!C20=2,90+Inputs!$B$26+Inputs!$B$29,IF(Skills!C20=3,120+Inputs!$B$27+Inputs!$B$29,MAX(0,(Inputs!$B$3-100)*3)+Inputs!$B$28+Inputs!$B$29)))</f>
        <v/>
      </c>
      <c r="E1603">
        <f>INDEX(FactorTable!$B$2:$Y$301, MATCH(ROUND(MIN(300,MAX(1,D1603)),0), FactorTable!$A$2:$A$301,0), Skills!M20+1)</f>
        <v/>
      </c>
      <c r="F1603">
        <f>IF(Skills!N20=TRUE,(Skills!L20/10)*(E1603/1000),Skills!L20/10)+Skills!O20</f>
        <v/>
      </c>
      <c r="G1603">
        <f>Skills!G20*IF(Skills!H20&gt;0,Skills!I20/Skills!H20,1)</f>
        <v/>
      </c>
      <c r="H1603">
        <f>1-(1-Skills!J20/100)^Skills!K20</f>
        <v/>
      </c>
      <c r="I1603" t="inlineStr">
        <is>
          <t>1</t>
        </is>
      </c>
      <c r="J1603" t="inlineStr"/>
      <c r="K1603" t="inlineStr"/>
      <c r="L1603" t="inlineStr"/>
      <c r="M1603" t="inlineStr"/>
      <c r="N1603" t="inlineStr"/>
      <c r="O1603">
        <f>(1-Summary!$B$11)*T1603+Summary!$B$11*V1603</f>
        <v/>
      </c>
      <c r="P1603">
        <f>IF(B1622=0,0,O1603/B1622)</f>
        <v/>
      </c>
      <c r="Q1603" t="n">
        <v>0</v>
      </c>
      <c r="R1603" t="n">
        <v>0</v>
      </c>
      <c r="S1603">
        <f>IFERROR(O1603/N1603,0)</f>
        <v/>
      </c>
      <c r="T1603" t="n">
        <v>0</v>
      </c>
      <c r="V1603" t="n">
        <v>0</v>
      </c>
    </row>
    <row r="1604">
      <c r="A1604">
        <f>Skills!A21</f>
        <v/>
      </c>
      <c r="B1604">
        <f>Skills!B21</f>
        <v/>
      </c>
      <c r="C1604">
        <f>Inputs!$B$3&gt;=38</f>
        <v/>
      </c>
      <c r="D1604">
        <f>IF(Skills!C21=1,60+Inputs!$B$25+Inputs!$B$29,IF(Skills!C21=2,90+Inputs!$B$26+Inputs!$B$29,IF(Skills!C21=3,120+Inputs!$B$27+Inputs!$B$29,MAX(0,(Inputs!$B$3-100)*3)+Inputs!$B$28+Inputs!$B$29)))</f>
        <v/>
      </c>
      <c r="E1604">
        <f>INDEX(FactorTable!$B$2:$Y$301, MATCH(ROUND(MIN(300,MAX(1,D1604)),0), FactorTable!$A$2:$A$301,0), Skills!M21+1)</f>
        <v/>
      </c>
      <c r="F1604">
        <f>IF(Skills!N21=TRUE,(Skills!L21/10)*(E1604/1000),Skills!L21/10)+Skills!O21</f>
        <v/>
      </c>
      <c r="G1604">
        <f>Skills!G21*IF(Skills!H21&gt;0,Skills!I21/Skills!H21,1)</f>
        <v/>
      </c>
      <c r="H1604">
        <f>1-(1-Skills!J21/100)^Skills!K21</f>
        <v/>
      </c>
      <c r="I1604" t="inlineStr">
        <is>
          <t>1</t>
        </is>
      </c>
      <c r="J1604" t="inlineStr"/>
      <c r="K1604" t="inlineStr"/>
      <c r="L1604" t="inlineStr"/>
      <c r="M1604" t="inlineStr"/>
      <c r="N1604" t="inlineStr"/>
      <c r="O1604">
        <f>(1-Summary!$B$11)*T1604+Summary!$B$11*V1604</f>
        <v/>
      </c>
      <c r="P1604">
        <f>IF(B1622=0,0,O1604/B1622)</f>
        <v/>
      </c>
      <c r="Q1604" t="n">
        <v>0</v>
      </c>
      <c r="R1604" t="n">
        <v>0</v>
      </c>
      <c r="S1604">
        <f>IFERROR(O1604/N1604,0)</f>
        <v/>
      </c>
      <c r="T1604" t="n">
        <v>0</v>
      </c>
      <c r="V1604" t="n">
        <v>0</v>
      </c>
    </row>
    <row r="1605">
      <c r="A1605">
        <f>Skills!A22</f>
        <v/>
      </c>
      <c r="B1605">
        <f>Skills!B22</f>
        <v/>
      </c>
      <c r="C1605">
        <f>Inputs!$B$3&gt;=43</f>
        <v/>
      </c>
      <c r="D1605">
        <f>IF(Skills!C22=1,60+Inputs!$B$25+Inputs!$B$29,IF(Skills!C22=2,90+Inputs!$B$26+Inputs!$B$29,IF(Skills!C22=3,120+Inputs!$B$27+Inputs!$B$29,MAX(0,(Inputs!$B$3-100)*3)+Inputs!$B$28+Inputs!$B$29)))</f>
        <v/>
      </c>
      <c r="E1605">
        <f>INDEX(FactorTable!$B$2:$Y$301, MATCH(ROUND(MIN(300,MAX(1,D1605)),0), FactorTable!$A$2:$A$301,0), Skills!M22+1)</f>
        <v/>
      </c>
      <c r="F1605">
        <f>IF(Skills!N22=TRUE,(Skills!L22/10)*(E1605/1000),Skills!L22/10)+Skills!O22</f>
        <v/>
      </c>
      <c r="G1605">
        <f>Skills!G22*IF(Skills!H22&gt;0,Skills!I22/Skills!H22,1)</f>
        <v/>
      </c>
      <c r="H1605">
        <f>1-(1-Skills!J22/100)^Skills!K22</f>
        <v/>
      </c>
      <c r="I1605" t="inlineStr">
        <is>
          <t>1</t>
        </is>
      </c>
      <c r="J1605" t="inlineStr"/>
      <c r="K1605" t="inlineStr"/>
      <c r="L1605" t="inlineStr"/>
      <c r="M1605" t="inlineStr"/>
      <c r="N1605" t="inlineStr"/>
      <c r="O1605">
        <f>(1-Summary!$B$11)*T1605+Summary!$B$11*V1605</f>
        <v/>
      </c>
      <c r="P1605">
        <f>IF(B1622=0,0,O1605/B1622)</f>
        <v/>
      </c>
      <c r="Q1605" t="n">
        <v>0</v>
      </c>
      <c r="R1605" t="n">
        <v>0</v>
      </c>
      <c r="S1605">
        <f>IFERROR(O1605/N1605,0)</f>
        <v/>
      </c>
      <c r="T1605" t="n">
        <v>0</v>
      </c>
      <c r="V1605" t="n">
        <v>0</v>
      </c>
    </row>
    <row r="1606">
      <c r="A1606">
        <f>Skills!A23</f>
        <v/>
      </c>
      <c r="B1606">
        <f>Skills!B23</f>
        <v/>
      </c>
      <c r="C1606">
        <f>Inputs!$B$3&gt;=120</f>
        <v/>
      </c>
      <c r="D1606">
        <f>IF(Skills!C23=1,60+Inputs!$B$25+Inputs!$B$29,IF(Skills!C23=2,90+Inputs!$B$26+Inputs!$B$29,IF(Skills!C23=3,120+Inputs!$B$27+Inputs!$B$29,MAX(0,(Inputs!$B$3-100)*3)+Inputs!$B$28+Inputs!$B$29)))</f>
        <v/>
      </c>
      <c r="E1606">
        <f>INDEX(FactorTable!$B$2:$Y$301, MATCH(ROUND(MIN(300,MAX(1,D1606)),0), FactorTable!$A$2:$A$301,0), Skills!M23+1)</f>
        <v/>
      </c>
      <c r="F1606">
        <f>IF(Skills!N23=TRUE,(Skills!L23/10)*(E1606/1000),Skills!L23/10)+Skills!O23</f>
        <v/>
      </c>
      <c r="G1606">
        <f>Skills!G23*IF(Skills!H23&gt;0,Skills!I23/Skills!H23,1)</f>
        <v/>
      </c>
      <c r="H1606">
        <f>1-(1-Skills!J23/100)^Skills!K23</f>
        <v/>
      </c>
      <c r="I1606" t="inlineStr">
        <is>
          <t>1</t>
        </is>
      </c>
      <c r="J1606" t="inlineStr"/>
      <c r="K1606" t="inlineStr"/>
      <c r="L1606" t="inlineStr"/>
      <c r="M1606" t="inlineStr"/>
      <c r="N1606" t="inlineStr"/>
      <c r="O1606">
        <f>(1-Summary!$B$11)*T1606+Summary!$B$11*V1606</f>
        <v/>
      </c>
      <c r="P1606">
        <f>IF(B1622=0,0,O1606/B1622)</f>
        <v/>
      </c>
      <c r="Q1606" t="n">
        <v>0</v>
      </c>
      <c r="R1606" t="n">
        <v>0</v>
      </c>
      <c r="S1606">
        <f>IFERROR(O1606/N1606,0)</f>
        <v/>
      </c>
      <c r="T1606" t="n">
        <v>0</v>
      </c>
      <c r="V1606" t="n">
        <v>0</v>
      </c>
    </row>
    <row r="1607">
      <c r="A1607">
        <f>Skills!A24</f>
        <v/>
      </c>
      <c r="B1607">
        <f>Skills!B24</f>
        <v/>
      </c>
      <c r="C1607">
        <f>Inputs!$B$3&gt;=120</f>
        <v/>
      </c>
      <c r="D1607">
        <f>IF(Skills!C24=1,60+Inputs!$B$25+Inputs!$B$29,IF(Skills!C24=2,90+Inputs!$B$26+Inputs!$B$29,IF(Skills!C24=3,120+Inputs!$B$27+Inputs!$B$29,MAX(0,(Inputs!$B$3-100)*3)+Inputs!$B$28+Inputs!$B$29)))</f>
        <v/>
      </c>
      <c r="E1607">
        <f>INDEX(FactorTable!$B$2:$Y$301, MATCH(ROUND(MIN(300,MAX(1,D1607)),0), FactorTable!$A$2:$A$301,0), Skills!M24+1)</f>
        <v/>
      </c>
      <c r="F1607">
        <f>IF(Skills!N24=TRUE,(Skills!L24/10)*(E1607/1000),Skills!L24/10)+Skills!O24</f>
        <v/>
      </c>
      <c r="G1607">
        <f>Skills!G24*IF(Skills!H24&gt;0,Skills!I24/Skills!H24,1)</f>
        <v/>
      </c>
      <c r="H1607">
        <f>1-(1-Skills!J24/100)^Skills!K24</f>
        <v/>
      </c>
      <c r="I1607" t="inlineStr">
        <is>
          <t>1</t>
        </is>
      </c>
      <c r="J1607" t="inlineStr"/>
      <c r="K1607" t="inlineStr"/>
      <c r="L1607" t="inlineStr"/>
      <c r="M1607" t="inlineStr"/>
      <c r="N1607" t="inlineStr"/>
      <c r="O1607">
        <f>(1-Summary!$B$11)*T1607+Summary!$B$11*V1607</f>
        <v/>
      </c>
      <c r="P1607">
        <f>IF(B1622=0,0,O1607/B1622)</f>
        <v/>
      </c>
      <c r="Q1607" t="n">
        <v>0</v>
      </c>
      <c r="R1607" t="n">
        <v>0</v>
      </c>
      <c r="S1607">
        <f>IFERROR(O1607/N1607,0)</f>
        <v/>
      </c>
      <c r="T1607" t="n">
        <v>0</v>
      </c>
      <c r="V1607" t="n">
        <v>0</v>
      </c>
    </row>
    <row r="1608">
      <c r="A1608">
        <f>Skills!A25</f>
        <v/>
      </c>
      <c r="B1608">
        <f>Skills!B25</f>
        <v/>
      </c>
      <c r="C1608">
        <f>Inputs!$B$3&gt;=125</f>
        <v/>
      </c>
      <c r="D1608">
        <f>IF(Skills!C25=1,60+Inputs!$B$25+Inputs!$B$29,IF(Skills!C25=2,90+Inputs!$B$26+Inputs!$B$29,IF(Skills!C25=3,120+Inputs!$B$27+Inputs!$B$29,MAX(0,(Inputs!$B$3-100)*3)+Inputs!$B$28+Inputs!$B$29)))</f>
        <v/>
      </c>
      <c r="E1608">
        <f>INDEX(FactorTable!$B$2:$Y$301, MATCH(ROUND(MIN(300,MAX(1,D1608)),0), FactorTable!$A$2:$A$301,0), Skills!M25+1)</f>
        <v/>
      </c>
      <c r="F1608">
        <f>IF(Skills!N25=TRUE,(Skills!L25/10)*(E1608/1000),Skills!L25/10)+Skills!O25</f>
        <v/>
      </c>
      <c r="G1608">
        <f>Skills!G25*IF(Skills!H25&gt;0,Skills!I25/Skills!H25,1)</f>
        <v/>
      </c>
      <c r="H1608">
        <f>1-(1-Skills!J25/100)^Skills!K25</f>
        <v/>
      </c>
      <c r="I1608" t="inlineStr">
        <is>
          <t>1</t>
        </is>
      </c>
      <c r="J1608" t="inlineStr"/>
      <c r="K1608" t="inlineStr"/>
      <c r="L1608" t="inlineStr"/>
      <c r="M1608" t="inlineStr"/>
      <c r="N1608" t="inlineStr"/>
      <c r="O1608">
        <f>(1-Summary!$B$11)*T1608+Summary!$B$11*V1608</f>
        <v/>
      </c>
      <c r="P1608">
        <f>IF(B1622=0,0,O1608/B1622)</f>
        <v/>
      </c>
      <c r="Q1608" t="n">
        <v>0</v>
      </c>
      <c r="R1608" t="n">
        <v>0</v>
      </c>
      <c r="S1608">
        <f>IFERROR(O1608/N1608,0)</f>
        <v/>
      </c>
      <c r="T1608" t="n">
        <v>0</v>
      </c>
      <c r="V1608" t="n">
        <v>0</v>
      </c>
    </row>
    <row r="1609">
      <c r="A1609">
        <f>Skills!A26</f>
        <v/>
      </c>
      <c r="B1609">
        <f>Skills!B26</f>
        <v/>
      </c>
      <c r="C1609">
        <f>Inputs!$B$3&gt;=72</f>
        <v/>
      </c>
      <c r="D1609">
        <f>IF(Skills!C26=1,60+Inputs!$B$25+Inputs!$B$29,IF(Skills!C26=2,90+Inputs!$B$26+Inputs!$B$29,IF(Skills!C26=3,120+Inputs!$B$27+Inputs!$B$29,MAX(0,(Inputs!$B$3-100)*3)+Inputs!$B$28+Inputs!$B$29)))</f>
        <v/>
      </c>
      <c r="E1609">
        <f>INDEX(FactorTable!$B$2:$Y$301, MATCH(ROUND(MIN(300,MAX(1,D1609)),0), FactorTable!$A$2:$A$301,0), Skills!M26+1)</f>
        <v/>
      </c>
      <c r="F1609">
        <f>IF(Skills!N26=TRUE,(Skills!L26/10)*(E1609/1000),Skills!L26/10)+Skills!O26</f>
        <v/>
      </c>
      <c r="G1609">
        <f>Skills!G26*IF(Skills!H26&gt;0,Skills!I26/Skills!H26,1)</f>
        <v/>
      </c>
      <c r="H1609">
        <f>1-(1-Skills!J26/100)^Skills!K26</f>
        <v/>
      </c>
      <c r="I1609" t="inlineStr">
        <is>
          <t>1</t>
        </is>
      </c>
      <c r="J1609" t="inlineStr"/>
      <c r="K1609" t="inlineStr"/>
      <c r="L1609" t="inlineStr"/>
      <c r="M1609" t="inlineStr"/>
      <c r="N1609" t="inlineStr"/>
      <c r="O1609">
        <f>(1-Summary!$B$11)*T1609+Summary!$B$11*V1609</f>
        <v/>
      </c>
      <c r="P1609">
        <f>IF(B1622=0,0,O1609/B1622)</f>
        <v/>
      </c>
      <c r="Q1609" t="n">
        <v>0</v>
      </c>
      <c r="R1609" t="n">
        <v>0</v>
      </c>
      <c r="S1609">
        <f>IFERROR(O1609/N1609,0)</f>
        <v/>
      </c>
      <c r="T1609" t="n">
        <v>0</v>
      </c>
      <c r="V1609" t="n">
        <v>0</v>
      </c>
    </row>
    <row r="1611">
      <c r="A1611" t="inlineStr">
        <is>
          <t>Attack% Bucket Multiplier</t>
        </is>
      </c>
      <c r="B1611">
        <f>(1+(((C1596=TRUE)*F1596*IF(Inputs!$B$3&gt;=110,7,5))+((C1598=TRUE)*F1598*IF(AND(Inputs!$B$38&lt;&gt;"pvp",Inputs!$B$43&gt;0),(((R1598-1)*(Skills!T15*(1+(Inputs!$B$34+(ArtifactsInput!$M$7-ArtifactsInput!$M$7)*CHOOSE(ArtifactsInput!$N$7+1,6,7.2,8.4,9.6,10.8,12))/100))+MIN((Skills!T15*(1+(Inputs!$B$34+(ArtifactsInput!$M$7-ArtifactsInput!$M$7)*CHOOSE(ArtifactsInput!$N$7+1,6,7.2,8.4,9.6,10.8,12))/100)),MAX(0,Inputs!$B$43-((R1598-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12">
      <c r="A1612" t="inlineStr">
        <is>
          <t>Global Crit Rate Bonus %</t>
        </is>
      </c>
      <c r="B1612" t="n">
        <v>0</v>
      </c>
    </row>
    <row r="1613">
      <c r="A1613" t="inlineStr">
        <is>
          <t>Attack Speed Buff Bonus %</t>
        </is>
      </c>
      <c r="B1613">
        <f>((C1602=TRUE)*F1602*IF(AND(Inputs!$B$38&lt;&gt;"pvp",Inputs!$B$43&gt;0),(((R1602-1)*(Skills!T19*(1+(Inputs!$B$34+(ArtifactsInput!$M$7-ArtifactsInput!$M$7)*CHOOSE(ArtifactsInput!$N$7+1,6,7.2,8.4,9.6,10.8,12))/100))+MIN((Skills!T19*(1+(Inputs!$B$34+(ArtifactsInput!$M$7-ArtifactsInput!$M$7)*CHOOSE(ArtifactsInput!$N$7+1,6,7.2,8.4,9.6,10.8,12))/100)),MAX(0,Inputs!$B$43-((R1602-1)*Skills!D19))))/Inputs!$B$43),IF(Inputs!$B$38="pvp",MIN((Skills!T19*(1+(Inputs!$B$34+(ArtifactsInput!$M$7-ArtifactsInput!$M$7)*CHOOSE(ArtifactsInput!$N$7+1,6,7.2,8.4,9.6,10.8,12))/100)),15)/15,(Skills!T19*(1+(Inputs!$B$34+(ArtifactsInput!$M$7-ArtifactsInput!$M$7)*CHOOSE(ArtifactsInput!$N$7+1,6,7.2,8.4,9.6,10.8,12))/100))/Skills!D19)))</f>
        <v/>
      </c>
    </row>
    <row r="1614">
      <c r="A1614" t="inlineStr">
        <is>
          <t>Actions Per Second</t>
        </is>
      </c>
      <c r="B1614">
        <f>1+MIN(150,150*(1-(1-(Inputs!$B$11+((C1603=TRUE)*(F1603-Calc!F20)))/150)*(1-B1613/150)))/100</f>
        <v/>
      </c>
    </row>
    <row r="1615">
      <c r="A1615" t="inlineStr">
        <is>
          <t>Skill + Buff Cast Rate</t>
        </is>
      </c>
      <c r="B1615">
        <f>IF(AND(Inputs!$B$38&lt;&gt;"pvp",Inputs!$B$43&gt;0),SUMPRODUCT((Skills!E2:E26=TRUE)*(C1585:C1609=TRUE)*R1585:R1609*Skills!F2:F26)/Inputs!$B$43,SUMPRODUCT((Skills!E2:E26=TRUE)*(C1585:C1609=TRUE)*Q1585:Q1609*Skills!F2:F26))</f>
        <v/>
      </c>
    </row>
    <row r="1616">
      <c r="A1616" t="inlineStr">
        <is>
          <t>Raging Blow Casts Per Second</t>
        </is>
      </c>
      <c r="B1616">
        <f>MAX(0,B1614-B1615)</f>
        <v/>
      </c>
    </row>
    <row r="1617">
      <c r="A1617" t="inlineStr">
        <is>
          <t>Global Critical Damage Bonus % (Enrage)</t>
        </is>
      </c>
      <c r="B1617">
        <f>((C1601=TRUE)*F1601*IF(AND(Inputs!$B$38&lt;&gt;"pvp",Inputs!$B$43&gt;0),(((R1601-1)*(Skills!T18*(1+(Inputs!$B$34+(ArtifactsInput!$M$7-ArtifactsInput!$M$7)*CHOOSE(ArtifactsInput!$N$7+1,6,7.2,8.4,9.6,10.8,12))/100))+MIN((Skills!T18*(1+(Inputs!$B$34+(ArtifactsInput!$M$7-ArtifactsInput!$M$7)*CHOOSE(ArtifactsInput!$N$7+1,6,7.2,8.4,9.6,10.8,12))/100)),MAX(0,Inputs!$B$43-((R1601-1)*Skills!D18))))/Inputs!$B$43),IF(Inputs!$B$38="pvp",MIN((Skills!T18*(1+(Inputs!$B$34+(ArtifactsInput!$M$7-ArtifactsInput!$M$7)*CHOOSE(ArtifactsInput!$N$7+1,6,7.2,8.4,9.6,10.8,12))/100)),15)/15,(Skills!T18*(1+(Inputs!$B$34+(ArtifactsInput!$M$7-ArtifactsInput!$M$7)*CHOOSE(ArtifactsInput!$N$7+1,6,7.2,8.4,9.6,10.8,12))/100))/Skills!D18)))</f>
        <v/>
      </c>
    </row>
    <row r="1618">
      <c r="A1618" t="inlineStr">
        <is>
          <t>Global Final Damage Bonus % (Enrage + Combo Synergy)</t>
        </is>
      </c>
      <c r="B1618">
        <f>((C1600=TRUE)*F1600*IF(AND(Inputs!$B$38&lt;&gt;"pvp",Inputs!$B$43&gt;0),(((R1600-1)*(Skills!T17*(1+(Inputs!$B$34+(ArtifactsInput!$M$7-ArtifactsInput!$M$7)*CHOOSE(ArtifactsInput!$N$7+1,6,7.2,8.4,9.6,10.8,12))/100))+MIN((Skills!T17*(1+(Inputs!$B$34+(ArtifactsInput!$M$7-ArtifactsInput!$M$7)*CHOOSE(ArtifactsInput!$N$7+1,6,7.2,8.4,9.6,10.8,12))/100)),MAX(0,Inputs!$B$43-((R1600-1)*Skills!D17))))/Inputs!$B$43),IF(Inputs!$B$38="pvp",MIN((Skills!T17*(1+(Inputs!$B$34+(ArtifactsInput!$M$7-ArtifactsInput!$M$7)*CHOOSE(ArtifactsInput!$N$7+1,6,7.2,8.4,9.6,10.8,12))/100)),15)/15,(Skills!T17*(1+(Inputs!$B$34+(ArtifactsInput!$M$7-ArtifactsInput!$M$7)*CHOOSE(ArtifactsInput!$N$7+1,6,7.2,8.4,9.6,10.8,12))/100))/Skills!D17)))+((C1597=TRUE)*F1597*IF(Inputs!$B$3&gt;=110,7,5))</f>
        <v/>
      </c>
    </row>
    <row r="1619">
      <c r="A1619" t="inlineStr">
        <is>
          <t>Buff-Casting Startup Delay (s, fixed-duration only)</t>
        </is>
      </c>
      <c r="B1619">
        <f>IF(AND(Inputs!$B$38&lt;&gt;"pvp",Inputs!$B$43&gt;0),SUMPRODUCT((Skills!T2:T26&gt;0)*(Skills!E2:E26=TRUE)*(C1585:C1609=TRUE))/B1614,0)</f>
        <v/>
      </c>
    </row>
    <row r="1620">
      <c r="A1620" t="inlineStr">
        <is>
          <t>Boss-Only Total DPS (this block's swept value)</t>
        </is>
      </c>
      <c r="B1620">
        <f>SUM(T1585:T1609)</f>
        <v/>
      </c>
    </row>
    <row r="1621">
      <c r="A1621" t="inlineStr">
        <is>
          <t>Normal-Only Total DPS (this block's swept value)</t>
        </is>
      </c>
      <c r="B1621">
        <f>SUM(V1585:V1609)</f>
        <v/>
      </c>
    </row>
    <row r="1622">
      <c r="A1622" s="6" t="inlineStr">
        <is>
          <t>TOTAL DPS</t>
        </is>
      </c>
      <c r="B1622" s="6">
        <f>SUM(O1585:O1609)</f>
        <v/>
      </c>
    </row>
    <row r="1625">
      <c r="A1625" s="6" t="inlineStr">
        <is>
          <t>Stat: Horntail's Scale (Equip)</t>
        </is>
      </c>
    </row>
    <row r="1626">
      <c r="A1626" s="5" t="inlineStr">
        <is>
          <t>Key</t>
        </is>
      </c>
      <c r="B1626" s="5" t="inlineStr">
        <is>
          <t>Name</t>
        </is>
      </c>
      <c r="C1626" s="5" t="inlineStr">
        <is>
          <t>Unlocked</t>
        </is>
      </c>
      <c r="D1626" s="5" t="inlineStr">
        <is>
          <t>InputLevel</t>
        </is>
      </c>
      <c r="E1626" s="5" t="inlineStr">
        <is>
          <t>Factor</t>
        </is>
      </c>
      <c r="F1626" s="5" t="inlineStr">
        <is>
          <t>CoefficientPercent</t>
        </is>
      </c>
      <c r="G1626" s="5" t="inlineStr">
        <is>
          <t>EffectiveHits</t>
        </is>
      </c>
      <c r="H1626" s="5" t="inlineStr">
        <is>
          <t>ProcProbability</t>
        </is>
      </c>
      <c r="I1626" s="5" t="inlineStr">
        <is>
          <t>MapleHeroMultiplier</t>
        </is>
      </c>
      <c r="J1626" s="5" t="inlineStr">
        <is>
          <t>BaseDamage</t>
        </is>
      </c>
      <c r="K1626" s="5" t="inlineStr">
        <is>
          <t>BaseHitDamage</t>
        </is>
      </c>
      <c r="L1626" s="5" t="inlineStr">
        <is>
          <t>NonCritAvg</t>
        </is>
      </c>
      <c r="M1626" s="5" t="inlineStr">
        <is>
          <t>CritAvg</t>
        </is>
      </c>
      <c r="N1626" s="5" t="inlineStr">
        <is>
          <t>ExpectedDamage(perHit)</t>
        </is>
      </c>
      <c r="O1626" s="5" t="inlineStr">
        <is>
          <t>DPS</t>
        </is>
      </c>
      <c r="P1626" s="5" t="inlineStr">
        <is>
          <t>% of Total</t>
        </is>
      </c>
      <c r="Q1626" s="5" t="inlineStr">
        <is>
          <t>InvCooldown</t>
        </is>
      </c>
      <c r="R1626" s="5" t="inlineStr">
        <is>
          <t>CastsInFight</t>
        </is>
      </c>
      <c r="S1626" s="5" t="inlineStr">
        <is>
          <t>HitRate(perSec)</t>
        </is>
      </c>
      <c r="U1626" t="inlineStr">
        <is>
          <t>helpers</t>
        </is>
      </c>
    </row>
    <row r="1627">
      <c r="A1627">
        <f>Skills!A2</f>
        <v/>
      </c>
      <c r="B1627">
        <f>Skills!B2</f>
        <v/>
      </c>
      <c r="C1627">
        <f>Inputs!$B$3&gt;=100</f>
        <v/>
      </c>
      <c r="D1627" t="inlineStr"/>
      <c r="E1627" t="inlineStr"/>
      <c r="F1627">
        <f>U1629+Skills!O2</f>
        <v/>
      </c>
      <c r="G1627">
        <f>Skills!G2*IF(Skills!H2&gt;0,Skills!I2/Skills!H2,1)</f>
        <v/>
      </c>
      <c r="H1627">
        <f>1-(1-Skills!J2/100)^Skills!K2</f>
        <v/>
      </c>
      <c r="I1627" t="inlineStr">
        <is>
          <t>1</t>
        </is>
      </c>
      <c r="J1627">
        <f>((Inputs!$B$6*(1+Inputs!$B$7/100))+(((Inputs!$B$12*(1+Inputs!$B$13/100))-(Inputs!$B$12*(1+Inputs!$B$13/100)))+0.25*(Inputs!$B$14-Inputs!$B$14))*(1+Inputs!$B$7/100))*(F1627/100)</f>
        <v/>
      </c>
      <c r="K1627">
        <f>J1627*(1+((Inputs!$B$12*(1+Inputs!$B$13/100))*0.01+Inputs!$B$14*0.0025)/100)*(1+Inputs!$B$15/100)*(1+Inputs!$B$16/100)*(5000/(6000+Inputs!$B$42*(1-(100*(1-(1-(Inputs!$B$19+0)/100)*(1-CHOOSE(ArtifactsInput!$N$40+1,5,6,7,8,9,10)/100)^(ArtifactsInput!$M$40-ArtifactsInput!$M$40)))/100)))*(1+(Inputs!$B$24+((C1650=TRUE)*(F1650-Calc!F25))+B1660)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1646=TRUE)*(F1646-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1648=TRUE)*(F1648-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1638=TRUE)*F1638*IF(Inputs!$B$3&gt;=110,7,5))+((C1640=TRUE)*F1640*IF(AND(Inputs!$B$38&lt;&gt;"pvp",Inputs!$B$43&gt;0),(((R1640-1)*(Skills!T15*(1+(Inputs!$B$34+(ArtifactsInput!$M$7-ArtifactsInput!$M$7)*CHOOSE(ArtifactsInput!$N$7+1,6,7.2,8.4,9.6,10.8,12))/100))+MIN((Skills!T15*(1+(Inputs!$B$34+(ArtifactsInput!$M$7-ArtifactsInput!$M$7)*CHOOSE(ArtifactsInput!$N$7+1,6,7.2,8.4,9.6,10.8,12))/100)),MAX(0,Inputs!$B$43-((R1640-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Hunt"),CHOOSE(ArtifactsInput!$N$35+1,15,18,21,24,27,30)*(1-EXP(-(0.2*B1656)*5)),0)+IF(AND(ArtifactsInput!$M$22,Inputs!$B$4&lt;&gt;"Chapter Hunt"),CHOOSE(ArtifactsInput!$N$22+1,10,12,14,16,18,20)*((0*(((0.15*B1656*5))^0/1)+1*(((0.15*B1656*5))^1/1)+2*(((0.15*B1656*5))^2/2)+3*(((0.15*B1656*5))^3/6)+4*(((0.15*B1656*5))^4/24)+5*(((0.15*B1656*5))^5/120))/((((0.15*B1656*5))^0/1)+(((0.15*B1656*5))^1/1)+(((0.15*B1656*5))^2/2)+(((0.15*B1656*5))^3/6)+(((0.15*B1656*5))^4/24)+(((0.15*B1656*5))^5/120))),0)))/100)*I1627)</f>
        <v/>
      </c>
      <c r="L1627">
        <f>K1627*(MIN(Inputs!$B$22+((C1647=TRUE)*(F1647-Calc!F22)),(Inputs!$B$23+((C1649=TRUE)*(F1649-Calc!F24))+(IF(ArtifactsInput!$M$15,CHOOSE(ArtifactsInput!$N$15+1,25,30,35,40,45,50)/100*(Inputs!$B$11-Inputs!$B$11),0))))/100+(Inputs!$B$23+((C1649=TRUE)*(F1649-Calc!F24))+(IF(ArtifactsInput!$M$15,CHOOSE(ArtifactsInput!$N$15+1,25,30,35,40,45,50)/100*(Inputs!$B$11-Inputs!$B$11),0)))/100)/2</f>
        <v/>
      </c>
      <c r="M1627">
        <f>L1627*(1+(Inputs!$B$10+0+B1659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7">
        <f>L1627*(1-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1627*(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7">
        <f>(1-Summary!$B$11)*T1627+Summary!$B$11*V1627</f>
        <v/>
      </c>
      <c r="P1627">
        <f>IF(B1664=0,0,O1627/B1664)</f>
        <v/>
      </c>
      <c r="Q1627" t="n">
        <v>0</v>
      </c>
      <c r="R1627" t="n">
        <v>0</v>
      </c>
      <c r="S1627">
        <f>IFERROR(O1627/N1627,0)</f>
        <v/>
      </c>
      <c r="T1627">
        <f>IF(C1627,(Skills!G2*N1627*B1658)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1627*(1-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1627*(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1627*(1-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1627*(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27">
        <f>MAX(0,(Inputs!$B$3-100)*3)+Inputs!$B$28+Inputs!$B$29</f>
        <v/>
      </c>
      <c r="V1627">
        <f>IF(C1627,(Skills!G2*N1627*B1658)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8">
      <c r="A1628">
        <f>Skills!A3</f>
        <v/>
      </c>
      <c r="B1628">
        <f>Skills!B3</f>
        <v/>
      </c>
      <c r="C1628">
        <f>Inputs!$B$3&gt;=50</f>
        <v/>
      </c>
      <c r="D1628">
        <f>IF(Skills!C3=1,60+Inputs!$B$25+Inputs!$B$29,IF(Skills!C3=2,90+Inputs!$B$26+Inputs!$B$29,IF(Skills!C3=3,120+Inputs!$B$27+Inputs!$B$29,MAX(0,(Inputs!$B$3-100)*3)+Inputs!$B$28+Inputs!$B$29)))</f>
        <v/>
      </c>
      <c r="E1628">
        <f>INDEX(FactorTable!$B$2:$Y$301, MATCH(ROUND(MIN(300,MAX(1,D1628)),0), FactorTable!$A$2:$A$301,0), Skills!M3+1)</f>
        <v/>
      </c>
      <c r="F1628">
        <f>IF(Skills!N3=TRUE,(Skills!L3/10)*(E1628/1000),Skills!L3/10)+Skills!O3</f>
        <v/>
      </c>
      <c r="G1628" t="inlineStr"/>
      <c r="H1628" t="inlineStr"/>
      <c r="I1628" t="inlineStr">
        <is>
          <t>1</t>
        </is>
      </c>
      <c r="J1628" t="inlineStr"/>
      <c r="K1628" t="inlineStr"/>
      <c r="L1628" t="inlineStr"/>
      <c r="M1628" t="inlineStr"/>
      <c r="N1628" t="inlineStr"/>
      <c r="O1628" t="inlineStr"/>
      <c r="P1628" t="inlineStr"/>
      <c r="Q1628" t="inlineStr"/>
      <c r="R1628" t="inlineStr"/>
      <c r="S1628" t="inlineStr"/>
      <c r="U1628">
        <f>INDEX(FactorTable!$B$2:$Y$301, MATCH(ROUND(MIN(300,MAX(1,U1627)),0), FactorTable!$A$2:$A$301,0), 22)</f>
        <v/>
      </c>
    </row>
    <row r="1629">
      <c r="A1629">
        <f>Skills!A4</f>
        <v/>
      </c>
      <c r="B1629">
        <f>Skills!B4</f>
        <v/>
      </c>
      <c r="C1629">
        <f>Inputs!$B$3&gt;=105</f>
        <v/>
      </c>
      <c r="D1629">
        <f>IF(Skills!C4=1,60+Inputs!$B$25+Inputs!$B$29,IF(Skills!C4=2,90+Inputs!$B$26+Inputs!$B$29,IF(Skills!C4=3,120+Inputs!$B$27+Inputs!$B$29,MAX(0,(Inputs!$B$3-100)*3)+Inputs!$B$28+Inputs!$B$29)))</f>
        <v/>
      </c>
      <c r="E1629">
        <f>INDEX(FactorTable!$B$2:$Y$301, MATCH(ROUND(MIN(300,MAX(1,D1629)),0), FactorTable!$A$2:$A$301,0), Skills!M4+1)</f>
        <v/>
      </c>
      <c r="F1629">
        <f>IF(Skills!N4=TRUE,(Skills!L4/10)*(E1629/1000),Skills!L4/10)+Skills!O4</f>
        <v/>
      </c>
      <c r="G1629" t="inlineStr"/>
      <c r="H1629" t="inlineStr"/>
      <c r="I1629" t="inlineStr">
        <is>
          <t>1</t>
        </is>
      </c>
      <c r="J1629" t="inlineStr"/>
      <c r="K1629" t="inlineStr"/>
      <c r="L1629" t="inlineStr"/>
      <c r="M1629" t="inlineStr"/>
      <c r="N1629" t="inlineStr"/>
      <c r="O1629" t="inlineStr"/>
      <c r="P1629" t="inlineStr"/>
      <c r="Q1629" t="inlineStr"/>
      <c r="R1629" t="inlineStr"/>
      <c r="S1629" t="inlineStr"/>
      <c r="U1629">
        <f>290*U1628/1000</f>
        <v/>
      </c>
    </row>
    <row r="1630">
      <c r="A1630">
        <f>Skills!A5</f>
        <v/>
      </c>
      <c r="B1630">
        <f>Skills!B5</f>
        <v/>
      </c>
      <c r="C1630">
        <f>Inputs!$B$3&gt;=103</f>
        <v/>
      </c>
      <c r="D1630">
        <f>IF(Skills!C5=1,60+Inputs!$B$25+Inputs!$B$29,IF(Skills!C5=2,90+Inputs!$B$26+Inputs!$B$29,IF(Skills!C5=3,120+Inputs!$B$27+Inputs!$B$29,MAX(0,(Inputs!$B$3-100)*3)+Inputs!$B$28+Inputs!$B$29)))</f>
        <v/>
      </c>
      <c r="E1630">
        <f>INDEX(FactorTable!$B$2:$Y$301, MATCH(ROUND(MIN(300,MAX(1,D1630)),0), FactorTable!$A$2:$A$301,0), Skills!M5+1)</f>
        <v/>
      </c>
      <c r="F1630">
        <f>IF(Skills!N5=TRUE,(Skills!L5/10)*(E1630/1000),Skills!L5/10)+Skills!O5</f>
        <v/>
      </c>
      <c r="G1630">
        <f>Skills!G5*IF(Skills!H5&gt;0,Skills!I5/Skills!H5,1)</f>
        <v/>
      </c>
      <c r="H1630">
        <f>1-(1-Skills!J5/100)^Skills!K5</f>
        <v/>
      </c>
      <c r="I1630" t="inlineStr">
        <is>
          <t>1</t>
        </is>
      </c>
      <c r="J1630">
        <f>((Inputs!$B$6*(1+Inputs!$B$7/100))+(((Inputs!$B$12*(1+Inputs!$B$13/100))-(Inputs!$B$12*(1+Inputs!$B$13/100)))+0.25*(Inputs!$B$14-Inputs!$B$14))*(1+Inputs!$B$7/100))*(F1630/100)</f>
        <v/>
      </c>
      <c r="K1630">
        <f>J1630*(1+((Inputs!$B$12*(1+Inputs!$B$13/100))*0.01+Inputs!$B$14*0.0025)/100)*(1+Inputs!$B$15/100)*(1+Inputs!$B$16/100)*(5000/(6000+Inputs!$B$42*(1-(100*(1-(1-(Inputs!$B$19+0)/100)*(1-CHOOSE(ArtifactsInput!$N$40+1,5,6,7,8,9,10)/100)^(ArtifactsInput!$M$40-ArtifactsInput!$M$40)))/100)))*(1+(Inputs!$B$24+((C1650=TRUE)*(F1650-Calc!F25))+B1660)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1646=TRUE)*(F1646-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1648=TRUE)*(F1648-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1638=TRUE)*F1638*IF(Inputs!$B$3&gt;=110,7,5))+((C1640=TRUE)*F1640*IF(AND(Inputs!$B$38&lt;&gt;"pvp",Inputs!$B$43&gt;0),(((R1640-1)*(Skills!T15*(1+(Inputs!$B$34+(ArtifactsInput!$M$7-ArtifactsInput!$M$7)*CHOOSE(ArtifactsInput!$N$7+1,6,7.2,8.4,9.6,10.8,12))/100))+MIN((Skills!T15*(1+(Inputs!$B$34+(ArtifactsInput!$M$7-ArtifactsInput!$M$7)*CHOOSE(ArtifactsInput!$N$7+1,6,7.2,8.4,9.6,10.8,12))/100)),MAX(0,Inputs!$B$43-((R1640-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Hunt"),CHOOSE(ArtifactsInput!$N$35+1,15,18,21,24,27,30)*(1-EXP(-(0.2*B1656)*5)),0)+IF(AND(ArtifactsInput!$M$22,Inputs!$B$4&lt;&gt;"Chapter Hunt"),CHOOSE(ArtifactsInput!$N$22+1,10,12,14,16,18,20)*((0*(((0.15*B1656*5))^0/1)+1*(((0.15*B1656*5))^1/1)+2*(((0.15*B1656*5))^2/2)+3*(((0.15*B1656*5))^3/6)+4*(((0.15*B1656*5))^4/24)+5*(((0.15*B1656*5))^5/120))/((((0.15*B1656*5))^0/1)+(((0.15*B1656*5))^1/1)+(((0.15*B1656*5))^2/2)+(((0.15*B1656*5))^3/6)+(((0.15*B1656*5))^4/24)+(((0.15*B1656*5))^5/120))),0)))/100)*I1630)</f>
        <v/>
      </c>
      <c r="L1630">
        <f>K1630*(MIN(Inputs!$B$22+((C1647=TRUE)*(F1647-Calc!F22)),(Inputs!$B$23+((C1649=TRUE)*(F1649-Calc!F24))+(IF(ArtifactsInput!$M$15,CHOOSE(ArtifactsInput!$N$15+1,25,30,35,40,45,50)/100*(Inputs!$B$11-Inputs!$B$11),0))))/100+(Inputs!$B$23+((C1649=TRUE)*(F1649-Calc!F24))+(IF(ArtifactsInput!$M$15,CHOOSE(ArtifactsInput!$N$15+1,25,30,35,40,45,50)/100*(Inputs!$B$11-Inputs!$B$11),0)))/100)/2</f>
        <v/>
      </c>
      <c r="M1630">
        <f>L1630*(1+(Inputs!$B$10+0+B1659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0">
        <f>L1630*(1-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1630*(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0">
        <f>(1-Summary!$B$11)*T1630+Summary!$B$11*V1630</f>
        <v/>
      </c>
      <c r="P1630">
        <f>IF(B1664=0,0,O1630/B1664)</f>
        <v/>
      </c>
      <c r="Q1630">
        <f>IFERROR(1/(IF(Inputs!$B$38="pvp",15,MAX(0.1,Skills!D5-IF(Skills!E5=TRUE,Inputs!$B$32,0)))*(1-IF(AND(ArtifactsInput!$M$27,Inputs!$B$4="Chapter Hunt"),CHOOSE(ArtifactsInput!$N$27+1,20,24,28,32,36,40),0)/100)),0)</f>
        <v/>
      </c>
      <c r="R1630">
        <f>IF(AND(Inputs!$B$38&lt;&gt;"pvp",Inputs!$B$43&gt;0),IF(MAX(0,Inputs!$B$43-B1661)&lt;=0,0,(INT(MAX(0,Inputs!$B$43-B1661)/(IF(Inputs!$B$38="pvp",15,MAX(0.1,Skills!D5-IF(Skills!E5=TRUE,Inputs!$B$32,0)))*(1-IF(AND(ArtifactsInput!$M$27,Inputs!$B$4="Chapter Hunt"),CHOOSE(ArtifactsInput!$N$27+1,20,24,28,32,36,40),0)/100)))+1)),0)</f>
        <v/>
      </c>
      <c r="S1630">
        <f>IFERROR(O1630/N1630,0)</f>
        <v/>
      </c>
      <c r="T1630">
        <f>IF(C1630,(H1630*N1630*IF(AND(Inputs!$B$38&lt;&gt;"pvp",Inputs!$B$43&gt;0),((Skills!G5*((R1630-1)*IF(Skills!H5&gt;0,Skills!I5/Skills!H5,1)+IF(Skills!H5&gt;0,MIN(Skills!I5,MAX(0,MAX(0,Inputs!$B$43-B1661)-((R1630-1)*(IF(Inputs!$B$38="pvp",15,MAX(0.1,Skills!D5-IF(Skills!E5=TRUE,Inputs!$B$32,0)))*(1-IF(AND(ArtifactsInput!$M$27,Inputs!$B$4="Chapter Hunt"),CHOOSE(ArtifactsInput!$N$27+1,20,24,28,32,36,40),0)/100)))))/Skills!H5,1)))/Inputs!$B$43),G1630*Q1630)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1630*(1-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1630*(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1630*(1-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1630*(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0">
        <f>IF(C1630,(H1630*N1630*IF(AND(Inputs!$B$38&lt;&gt;"pvp",Inputs!$B$43&gt;0),((Skills!G5*((R1630-1)*IF(Skills!H5&gt;0,Skills!I5/Skills!H5,1)+IF(Skills!H5&gt;0,MIN(Skills!I5,MAX(0,MAX(0,Inputs!$B$43-B1661)-((R1630-1)*(IF(Inputs!$B$38="pvp",15,MAX(0.1,Skills!D5-IF(Skills!E5=TRUE,Inputs!$B$32,0)))*(1-IF(AND(ArtifactsInput!$M$27,Inputs!$B$4="Chapter Hunt"),CHOOSE(ArtifactsInput!$N$27+1,20,24,28,32,36,40),0)/100)))))/Skills!H5,1)))/Inputs!$B$43),G1630*Q1630)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1">
      <c r="A1631">
        <f>Skills!A6</f>
        <v/>
      </c>
      <c r="B1631">
        <f>Skills!B6</f>
        <v/>
      </c>
      <c r="C1631">
        <f>Inputs!$B$3&gt;=103</f>
        <v/>
      </c>
      <c r="D1631">
        <f>IF(Skills!C6=1,60+Inputs!$B$25+Inputs!$B$29,IF(Skills!C6=2,90+Inputs!$B$26+Inputs!$B$29,IF(Skills!C6=3,120+Inputs!$B$27+Inputs!$B$29,MAX(0,(Inputs!$B$3-100)*3)+Inputs!$B$28+Inputs!$B$29)))</f>
        <v/>
      </c>
      <c r="E1631">
        <f>INDEX(FactorTable!$B$2:$Y$301, MATCH(ROUND(MIN(300,MAX(1,D1631)),0), FactorTable!$A$2:$A$301,0), Skills!M6+1)</f>
        <v/>
      </c>
      <c r="F1631">
        <f>IF(Skills!N6=TRUE,(Skills!L6/10)*(E1631/1000),Skills!L6/10)+Skills!O6</f>
        <v/>
      </c>
      <c r="G1631">
        <f>Skills!G6*IF(Skills!H6&gt;0,Skills!I6/Skills!H6,1)</f>
        <v/>
      </c>
      <c r="H1631">
        <f>1-(1-Skills!J6/100)^Skills!K6</f>
        <v/>
      </c>
      <c r="I1631" t="inlineStr">
        <is>
          <t>1</t>
        </is>
      </c>
      <c r="J1631">
        <f>((Inputs!$B$6*(1+Inputs!$B$7/100))+(((Inputs!$B$12*(1+Inputs!$B$13/100))-(Inputs!$B$12*(1+Inputs!$B$13/100)))+0.25*(Inputs!$B$14-Inputs!$B$14))*(1+Inputs!$B$7/100))*(F1631/100)</f>
        <v/>
      </c>
      <c r="K1631">
        <f>J1631*(1+((Inputs!$B$12*(1+Inputs!$B$13/100))*0.01+Inputs!$B$14*0.0025)/100)*(1+Inputs!$B$15/100)*(1+Inputs!$B$16/100)*(5000/(6000+Inputs!$B$42*(1-(100*(1-(1-(Inputs!$B$19+0)/100)*(1-CHOOSE(ArtifactsInput!$N$40+1,5,6,7,8,9,10)/100)^(ArtifactsInput!$M$40-ArtifactsInput!$M$40)))/100)))*(1+(Inputs!$B$24+((C1650=TRUE)*(F1650-Calc!F25))+B1660)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1646=TRUE)*(F1646-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1648=TRUE)*(F1648-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1638=TRUE)*F1638*IF(Inputs!$B$3&gt;=110,7,5))+((C1640=TRUE)*F1640*IF(AND(Inputs!$B$38&lt;&gt;"pvp",Inputs!$B$43&gt;0),(((R1640-1)*(Skills!T15*(1+(Inputs!$B$34+(ArtifactsInput!$M$7-ArtifactsInput!$M$7)*CHOOSE(ArtifactsInput!$N$7+1,6,7.2,8.4,9.6,10.8,12))/100))+MIN((Skills!T15*(1+(Inputs!$B$34+(ArtifactsInput!$M$7-ArtifactsInput!$M$7)*CHOOSE(ArtifactsInput!$N$7+1,6,7.2,8.4,9.6,10.8,12))/100)),MAX(0,Inputs!$B$43-((R1640-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Hunt"),CHOOSE(ArtifactsInput!$N$35+1,15,18,21,24,27,30)*(1-EXP(-(0.2*B1656)*5)),0)+IF(AND(ArtifactsInput!$M$22,Inputs!$B$4&lt;&gt;"Chapter Hunt"),CHOOSE(ArtifactsInput!$N$22+1,10,12,14,16,18,20)*((0*(((0.15*B1656*5))^0/1)+1*(((0.15*B1656*5))^1/1)+2*(((0.15*B1656*5))^2/2)+3*(((0.15*B1656*5))^3/6)+4*(((0.15*B1656*5))^4/24)+5*(((0.15*B1656*5))^5/120))/((((0.15*B1656*5))^0/1)+(((0.15*B1656*5))^1/1)+(((0.15*B1656*5))^2/2)+(((0.15*B1656*5))^3/6)+(((0.15*B1656*5))^4/24)+(((0.15*B1656*5))^5/120))),0)))/100)*I1631)</f>
        <v/>
      </c>
      <c r="L1631">
        <f>K1631*(MIN(Inputs!$B$22+((C1647=TRUE)*(F1647-Calc!F22)),(Inputs!$B$23+((C1649=TRUE)*(F1649-Calc!F24))+(IF(ArtifactsInput!$M$15,CHOOSE(ArtifactsInput!$N$15+1,25,30,35,40,45,50)/100*(Inputs!$B$11-Inputs!$B$11),0))))/100+(Inputs!$B$23+((C1649=TRUE)*(F1649-Calc!F24))+(IF(ArtifactsInput!$M$15,CHOOSE(ArtifactsInput!$N$15+1,25,30,35,40,45,50)/100*(Inputs!$B$11-Inputs!$B$11),0)))/100)/2</f>
        <v/>
      </c>
      <c r="M1631">
        <f>L1631*(1+(Inputs!$B$10+0+B1659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1">
        <f>L1631*(1-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1631*(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1">
        <f>(1-Summary!$B$11)*T1631+Summary!$B$11*V1631</f>
        <v/>
      </c>
      <c r="P1631">
        <f>IF(B1664=0,0,O1631/B1664)</f>
        <v/>
      </c>
      <c r="Q1631">
        <f>IFERROR(1/(IF(Inputs!$B$38="pvp",15,MAX(0.1,Skills!D6-IF(Skills!E6=TRUE,Inputs!$B$32,0)))*(1-IF(AND(ArtifactsInput!$M$27,Inputs!$B$4="Chapter Hunt"),CHOOSE(ArtifactsInput!$N$27+1,20,24,28,32,36,40),0)/100)),0)</f>
        <v/>
      </c>
      <c r="R1631">
        <f>IF(AND(Inputs!$B$38&lt;&gt;"pvp",Inputs!$B$43&gt;0),IF(MAX(0,Inputs!$B$43-B1661)&lt;=0,0,(INT(MAX(0,Inputs!$B$43-B1661)/(IF(Inputs!$B$38="pvp",15,MAX(0.1,Skills!D6-IF(Skills!E6=TRUE,Inputs!$B$32,0)))*(1-IF(AND(ArtifactsInput!$M$27,Inputs!$B$4="Chapter Hunt"),CHOOSE(ArtifactsInput!$N$27+1,20,24,28,32,36,40),0)/100)))+1)),0)</f>
        <v/>
      </c>
      <c r="S1631">
        <f>IFERROR(O1631/N1631,0)</f>
        <v/>
      </c>
      <c r="T1631">
        <f>IF(C1631,(H1631*N1631*IF(AND(Inputs!$B$38&lt;&gt;"pvp",Inputs!$B$43&gt;0),((Skills!G6*((R1631-1)*IF(Skills!H6&gt;0,Skills!I6/Skills!H6,1)+IF(Skills!H6&gt;0,MIN(Skills!I6,MAX(0,MAX(0,Inputs!$B$43-B1661)-((R1631-1)*(IF(Inputs!$B$38="pvp",15,MAX(0.1,Skills!D6-IF(Skills!E6=TRUE,Inputs!$B$32,0)))*(1-IF(AND(ArtifactsInput!$M$27,Inputs!$B$4="Chapter Hunt"),CHOOSE(ArtifactsInput!$N$27+1,20,24,28,32,36,40),0)/100)))))/Skills!H6,1)))/Inputs!$B$43),G1631*Q1631)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1631*(1-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1631*(1-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1">
        <f>IF(C1631,(H1631*N1631*IF(AND(Inputs!$B$38&lt;&gt;"pvp",Inputs!$B$43&gt;0),((Skills!G6*((R1631-1)*IF(Skills!H6&gt;0,Skills!I6/Skills!H6,1)+IF(Skills!H6&gt;0,MIN(Skills!I6,MAX(0,MAX(0,Inputs!$B$43-B1661)-((R1631-1)*(IF(Inputs!$B$38="pvp",15,MAX(0.1,Skills!D6-IF(Skills!E6=TRUE,Inputs!$B$32,0)))*(1-IF(AND(ArtifactsInput!$M$27,Inputs!$B$4="Chapter Hunt"),CHOOSE(ArtifactsInput!$N$27+1,20,24,28,32,36,40),0)/100)))))/Skills!H6,1)))/Inputs!$B$43),G1631*Q1631)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2">
      <c r="A1632">
        <f>Skills!A7</f>
        <v/>
      </c>
      <c r="B1632">
        <f>Skills!B7</f>
        <v/>
      </c>
      <c r="C1632">
        <f>Inputs!$B$3&gt;=107</f>
        <v/>
      </c>
      <c r="D1632">
        <f>IF(Skills!C7=1,60+Inputs!$B$25+Inputs!$B$29,IF(Skills!C7=2,90+Inputs!$B$26+Inputs!$B$29,IF(Skills!C7=3,120+Inputs!$B$27+Inputs!$B$29,MAX(0,(Inputs!$B$3-100)*3)+Inputs!$B$28+Inputs!$B$29)))</f>
        <v/>
      </c>
      <c r="E1632">
        <f>INDEX(FactorTable!$B$2:$Y$301, MATCH(ROUND(MIN(300,MAX(1,D1632)),0), FactorTable!$A$2:$A$301,0), Skills!M7+1)</f>
        <v/>
      </c>
      <c r="F1632">
        <f>IF(Skills!N7=TRUE,(Skills!L7/10)*(E1632/1000),Skills!L7/10)+Skills!O7</f>
        <v/>
      </c>
      <c r="G1632">
        <f>Skills!G7*IF(Skills!H7&gt;0,Skills!I7/Skills!H7,1)</f>
        <v/>
      </c>
      <c r="H1632">
        <f>1-(1-Skills!J7/100)^Skills!K7</f>
        <v/>
      </c>
      <c r="I1632" t="inlineStr">
        <is>
          <t>1</t>
        </is>
      </c>
      <c r="J1632">
        <f>((Inputs!$B$6*(1+Inputs!$B$7/100))+(((Inputs!$B$12*(1+Inputs!$B$13/100))-(Inputs!$B$12*(1+Inputs!$B$13/100)))+0.25*(Inputs!$B$14-Inputs!$B$14))*(1+Inputs!$B$7/100))*(F1632/100)</f>
        <v/>
      </c>
      <c r="K1632">
        <f>J1632*(1+((Inputs!$B$12*(1+Inputs!$B$13/100))*0.01+Inputs!$B$14*0.0025)/100)*(1+Inputs!$B$15/100)*(1+Inputs!$B$16/100)*(5000/(6000+Inputs!$B$42*(1-(100*(1-(1-(Inputs!$B$19+0)/100)*(1-CHOOSE(ArtifactsInput!$N$40+1,5,6,7,8,9,10)/100)^(ArtifactsInput!$M$40-ArtifactsInput!$M$40)))/100)))*(1+(Inputs!$B$24+((C1650=TRUE)*(F1650-Calc!F25))+B1660)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1646=TRUE)*(F1646-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1648=TRUE)*(F1648-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1638=TRUE)*F1638*IF(Inputs!$B$3&gt;=110,7,5))+((C1640=TRUE)*F1640*IF(AND(Inputs!$B$38&lt;&gt;"pvp",Inputs!$B$43&gt;0),(((R1640-1)*(Skills!T15*(1+(Inputs!$B$34+(ArtifactsInput!$M$7-ArtifactsInput!$M$7)*CHOOSE(ArtifactsInput!$N$7+1,6,7.2,8.4,9.6,10.8,12))/100))+MIN((Skills!T15*(1+(Inputs!$B$34+(ArtifactsInput!$M$7-ArtifactsInput!$M$7)*CHOOSE(ArtifactsInput!$N$7+1,6,7.2,8.4,9.6,10.8,12))/100)),MAX(0,Inputs!$B$43-((R1640-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Hunt"),CHOOSE(ArtifactsInput!$N$35+1,15,18,21,24,27,30)*(1-EXP(-(0.2*B1656)*5)),0)+IF(AND(ArtifactsInput!$M$22,Inputs!$B$4&lt;&gt;"Chapter Hunt"),CHOOSE(ArtifactsInput!$N$22+1,10,12,14,16,18,20)*((0*(((0.15*B1656*5))^0/1)+1*(((0.15*B1656*5))^1/1)+2*(((0.15*B1656*5))^2/2)+3*(((0.15*B1656*5))^3/6)+4*(((0.15*B1656*5))^4/24)+5*(((0.15*B1656*5))^5/120))/((((0.15*B1656*5))^0/1)+(((0.15*B1656*5))^1/1)+(((0.15*B1656*5))^2/2)+(((0.15*B1656*5))^3/6)+(((0.15*B1656*5))^4/24)+(((0.15*B1656*5))^5/120))),0)))/100)*I1632)</f>
        <v/>
      </c>
      <c r="L1632">
        <f>K1632*(MIN(Inputs!$B$22+((C1647=TRUE)*(F1647-Calc!F22)),(Inputs!$B$23+((C1649=TRUE)*(F1649-Calc!F24))+(IF(ArtifactsInput!$M$15,CHOOSE(ArtifactsInput!$N$15+1,25,30,35,40,45,50)/100*(Inputs!$B$11-Inputs!$B$11),0))))/100+(Inputs!$B$23+((C1649=TRUE)*(F1649-Calc!F24))+(IF(ArtifactsInput!$M$15,CHOOSE(ArtifactsInput!$N$15+1,25,30,35,40,45,50)/100*(Inputs!$B$11-Inputs!$B$11),0)))/100)/2</f>
        <v/>
      </c>
      <c r="M1632">
        <f>L1632*(1+(Inputs!$B$10+0+B1659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2">
        <f>L1632*(1-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1632*(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2">
        <f>(1-Summary!$B$11)*T1632+Summary!$B$11*V1632</f>
        <v/>
      </c>
      <c r="P1632">
        <f>IF(B1664=0,0,O1632/B1664)</f>
        <v/>
      </c>
      <c r="Q1632">
        <f>IFERROR(1/(IF(Inputs!$B$38="pvp",15,MAX(0.1,Skills!D7-IF(Skills!E7=TRUE,Inputs!$B$32,0)))*(1-IF(AND(ArtifactsInput!$M$27,Inputs!$B$4="Chapter Hunt"),CHOOSE(ArtifactsInput!$N$27+1,20,24,28,32,36,40),0)/100)),0)</f>
        <v/>
      </c>
      <c r="R1632">
        <f>IF(AND(Inputs!$B$38&lt;&gt;"pvp",Inputs!$B$43&gt;0),IF(MAX(0,Inputs!$B$43-B1661)&lt;=0,0,(INT(MAX(0,Inputs!$B$43-B1661)/(IF(Inputs!$B$38="pvp",15,MAX(0.1,Skills!D7-IF(Skills!E7=TRUE,Inputs!$B$32,0)))*(1-IF(AND(ArtifactsInput!$M$27,Inputs!$B$4="Chapter Hunt"),CHOOSE(ArtifactsInput!$N$27+1,20,24,28,32,36,40),0)/100)))+1)),0)</f>
        <v/>
      </c>
      <c r="S1632">
        <f>IFERROR(O1632/N1632,0)</f>
        <v/>
      </c>
      <c r="T1632">
        <f>IF(C1632,(H1632*N1632*IF(AND(Inputs!$B$38&lt;&gt;"pvp",Inputs!$B$43&gt;0),((Skills!G7*((R1632-1)*IF(Skills!H7&gt;0,Skills!I7/Skills!H7,1)+IF(Skills!H7&gt;0,MIN(Skills!I7,MAX(0,MAX(0,Inputs!$B$43-B1661)-((R1632-1)*(IF(Inputs!$B$38="pvp",15,MAX(0.1,Skills!D7-IF(Skills!E7=TRUE,Inputs!$B$32,0)))*(1-IF(AND(ArtifactsInput!$M$27,Inputs!$B$4="Chapter Hunt"),CHOOSE(ArtifactsInput!$N$27+1,20,24,28,32,36,40),0)/100)))))/Skills!H7,1)))/Inputs!$B$43),G1632*Q1632)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1632*(1-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1632*(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1632*(1-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1632*(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2">
        <f>IF(C1632,(H1632*N1632*IF(AND(Inputs!$B$38&lt;&gt;"pvp",Inputs!$B$43&gt;0),((Skills!G7*((R1632-1)*IF(Skills!H7&gt;0,Skills!I7/Skills!H7,1)+IF(Skills!H7&gt;0,MIN(Skills!I7,MAX(0,MAX(0,Inputs!$B$43-B1661)-((R1632-1)*(IF(Inputs!$B$38="pvp",15,MAX(0.1,Skills!D7-IF(Skills!E7=TRUE,Inputs!$B$32,0)))*(1-IF(AND(ArtifactsInput!$M$27,Inputs!$B$4="Chapter Hunt"),CHOOSE(ArtifactsInput!$N$27+1,20,24,28,32,36,40),0)/100)))))/Skills!H7,1)))/Inputs!$B$43),G1632*Q1632)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3">
      <c r="A1633">
        <f>Skills!A8</f>
        <v/>
      </c>
      <c r="B1633">
        <f>Skills!B8</f>
        <v/>
      </c>
      <c r="C1633">
        <f>Inputs!$B$3&gt;=117</f>
        <v/>
      </c>
      <c r="D1633">
        <f>IF(Skills!C8=1,60+Inputs!$B$25+Inputs!$B$29,IF(Skills!C8=2,90+Inputs!$B$26+Inputs!$B$29,IF(Skills!C8=3,120+Inputs!$B$27+Inputs!$B$29,MAX(0,(Inputs!$B$3-100)*3)+Inputs!$B$28+Inputs!$B$29)))</f>
        <v/>
      </c>
      <c r="E1633">
        <f>INDEX(FactorTable!$B$2:$Y$301, MATCH(ROUND(MIN(300,MAX(1,D1633)),0), FactorTable!$A$2:$A$301,0), Skills!M8+1)</f>
        <v/>
      </c>
      <c r="F1633">
        <f>IF(Skills!N8=TRUE,(Skills!L8/10)*(E1633/1000),Skills!L8/10)+Skills!O8</f>
        <v/>
      </c>
      <c r="G1633">
        <f>Skills!G8*IF(Skills!H8&gt;0,Skills!I8/Skills!H8,1)</f>
        <v/>
      </c>
      <c r="H1633">
        <f>1-(1-Skills!J8/100)^Skills!K8</f>
        <v/>
      </c>
      <c r="I1633" t="inlineStr">
        <is>
          <t>1</t>
        </is>
      </c>
      <c r="J1633">
        <f>((Inputs!$B$6*(1+Inputs!$B$7/100))+(((Inputs!$B$12*(1+Inputs!$B$13/100))-(Inputs!$B$12*(1+Inputs!$B$13/100)))+0.25*(Inputs!$B$14-Inputs!$B$14))*(1+Inputs!$B$7/100))*(F1633/100)</f>
        <v/>
      </c>
      <c r="K1633">
        <f>J1633*(1+((Inputs!$B$12*(1+Inputs!$B$13/100))*0.01+Inputs!$B$14*0.0025)/100)*(1+Inputs!$B$15/100)*(1+Inputs!$B$16/100)*(5000/(6000+Inputs!$B$42*(1-(100*(1-(1-(Inputs!$B$19+0)/100)*(1-CHOOSE(ArtifactsInput!$N$40+1,5,6,7,8,9,10)/100)^(ArtifactsInput!$M$40-ArtifactsInput!$M$40)))/100)))*(1+(Inputs!$B$24+((C1650=TRUE)*(F1650-Calc!F25))+B1660)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1646=TRUE)*(F1646-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1648=TRUE)*(F1648-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1638=TRUE)*F1638*IF(Inputs!$B$3&gt;=110,7,5))+((C1640=TRUE)*F1640*IF(AND(Inputs!$B$38&lt;&gt;"pvp",Inputs!$B$43&gt;0),(((R1640-1)*(Skills!T15*(1+(Inputs!$B$34+(ArtifactsInput!$M$7-ArtifactsInput!$M$7)*CHOOSE(ArtifactsInput!$N$7+1,6,7.2,8.4,9.6,10.8,12))/100))+MIN((Skills!T15*(1+(Inputs!$B$34+(ArtifactsInput!$M$7-ArtifactsInput!$M$7)*CHOOSE(ArtifactsInput!$N$7+1,6,7.2,8.4,9.6,10.8,12))/100)),MAX(0,Inputs!$B$43-((R1640-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Hunt"),CHOOSE(ArtifactsInput!$N$35+1,15,18,21,24,27,30)*(1-EXP(-(0.2*B1656)*5)),0)+IF(AND(ArtifactsInput!$M$22,Inputs!$B$4&lt;&gt;"Chapter Hunt"),CHOOSE(ArtifactsInput!$N$22+1,10,12,14,16,18,20)*((0*(((0.15*B1656*5))^0/1)+1*(((0.15*B1656*5))^1/1)+2*(((0.15*B1656*5))^2/2)+3*(((0.15*B1656*5))^3/6)+4*(((0.15*B1656*5))^4/24)+5*(((0.15*B1656*5))^5/120))/((((0.15*B1656*5))^0/1)+(((0.15*B1656*5))^1/1)+(((0.15*B1656*5))^2/2)+(((0.15*B1656*5))^3/6)+(((0.15*B1656*5))^4/24)+(((0.15*B1656*5))^5/120))),0)))/100)*I1633)</f>
        <v/>
      </c>
      <c r="L1633">
        <f>K1633*(MIN(Inputs!$B$22+((C1647=TRUE)*(F1647-Calc!F22)),(Inputs!$B$23+((C1649=TRUE)*(F1649-Calc!F24))+(IF(ArtifactsInput!$M$15,CHOOSE(ArtifactsInput!$N$15+1,25,30,35,40,45,50)/100*(Inputs!$B$11-Inputs!$B$11),0))))/100+(Inputs!$B$23+((C1649=TRUE)*(F1649-Calc!F24))+(IF(ArtifactsInput!$M$15,CHOOSE(ArtifactsInput!$N$15+1,25,30,35,40,45,50)/100*(Inputs!$B$11-Inputs!$B$11),0)))/100)/2</f>
        <v/>
      </c>
      <c r="M1633">
        <f>L1633*(1+(Inputs!$B$10+0+B1659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3">
        <f>L1633*(1-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1633*(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3">
        <f>(1-Summary!$B$11)*T1633+Summary!$B$11*V1633</f>
        <v/>
      </c>
      <c r="P1633">
        <f>IF(B1664=0,0,O1633/B1664)</f>
        <v/>
      </c>
      <c r="Q1633">
        <f>IFERROR(1/(IF(Inputs!$B$38="pvp",15,MAX(0.1,Skills!D8-IF(Skills!E8=TRUE,Inputs!$B$32,0)))*(1-IF(AND(ArtifactsInput!$M$27,Inputs!$B$4="Chapter Hunt"),CHOOSE(ArtifactsInput!$N$27+1,20,24,28,32,36,40),0)/100)),0)</f>
        <v/>
      </c>
      <c r="R1633">
        <f>IF(AND(Inputs!$B$38&lt;&gt;"pvp",Inputs!$B$43&gt;0),IF(MAX(0,Inputs!$B$43-B1661)&lt;=0,0,(INT(MAX(0,Inputs!$B$43-B1661)/(IF(Inputs!$B$38="pvp",15,MAX(0.1,Skills!D8-IF(Skills!E8=TRUE,Inputs!$B$32,0)))*(1-IF(AND(ArtifactsInput!$M$27,Inputs!$B$4="Chapter Hunt"),CHOOSE(ArtifactsInput!$N$27+1,20,24,28,32,36,40),0)/100)))+1)),0)</f>
        <v/>
      </c>
      <c r="S1633">
        <f>IFERROR(O1633/N1633,0)</f>
        <v/>
      </c>
      <c r="T1633">
        <f>IF(C1633,(H1633*N1633*IF(AND(Inputs!$B$38&lt;&gt;"pvp",Inputs!$B$43&gt;0),((Skills!G8*((R1633-1)*IF(Skills!H8&gt;0,Skills!I8/Skills!H8,1)+IF(Skills!H8&gt;0,MIN(Skills!I8,MAX(0,MAX(0,Inputs!$B$43-B1661)-((R1633-1)*(IF(Inputs!$B$38="pvp",15,MAX(0.1,Skills!D8-IF(Skills!E8=TRUE,Inputs!$B$32,0)))*(1-IF(AND(ArtifactsInput!$M$27,Inputs!$B$4="Chapter Hunt"),CHOOSE(ArtifactsInput!$N$27+1,20,24,28,32,36,40),0)/100)))))/Skills!H8,1)))/Inputs!$B$43),G1633*Q1633)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1633*(1-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1633*(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1633*(1-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1633*(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3">
        <f>IF(C1633,(H1633*N1633*IF(AND(Inputs!$B$38&lt;&gt;"pvp",Inputs!$B$43&gt;0),((Skills!G8*((R1633-1)*IF(Skills!H8&gt;0,Skills!I8/Skills!H8,1)+IF(Skills!H8&gt;0,MIN(Skills!I8,MAX(0,MAX(0,Inputs!$B$43-B1661)-((R1633-1)*(IF(Inputs!$B$38="pvp",15,MAX(0.1,Skills!D8-IF(Skills!E8=TRUE,Inputs!$B$32,0)))*(1-IF(AND(ArtifactsInput!$M$27,Inputs!$B$4="Chapter Hunt"),CHOOSE(ArtifactsInput!$N$27+1,20,24,28,32,36,40),0)/100)))))/Skills!H8,1)))/Inputs!$B$43),G1633*Q1633)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4">
      <c r="A1634">
        <f>Skills!A9</f>
        <v/>
      </c>
      <c r="B1634">
        <f>Skills!B9</f>
        <v/>
      </c>
      <c r="C1634">
        <f>Inputs!$B$3&gt;=69</f>
        <v/>
      </c>
      <c r="D1634">
        <f>IF(Skills!C9=1,60+Inputs!$B$25+Inputs!$B$29,IF(Skills!C9=2,90+Inputs!$B$26+Inputs!$B$29,IF(Skills!C9=3,120+Inputs!$B$27+Inputs!$B$29,MAX(0,(Inputs!$B$3-100)*3)+Inputs!$B$28+Inputs!$B$29)))</f>
        <v/>
      </c>
      <c r="E1634">
        <f>INDEX(FactorTable!$B$2:$Y$301, MATCH(ROUND(MIN(300,MAX(1,D1634)),0), FactorTable!$A$2:$A$301,0), Skills!M9+1)</f>
        <v/>
      </c>
      <c r="F1634">
        <f>IF(Skills!N9=TRUE,(Skills!L9/10)*(E1634/1000),Skills!L9/10)+Skills!O9</f>
        <v/>
      </c>
      <c r="G1634">
        <f>Skills!G9*IF(Skills!H9&gt;0,Skills!I9/Skills!H9,1)</f>
        <v/>
      </c>
      <c r="H1634">
        <f>1-(1-Skills!J9/100)^Skills!K9</f>
        <v/>
      </c>
      <c r="I1634" t="inlineStr">
        <is>
          <t>1</t>
        </is>
      </c>
      <c r="J1634">
        <f>((Inputs!$B$6*(1+Inputs!$B$7/100))+(((Inputs!$B$12*(1+Inputs!$B$13/100))-(Inputs!$B$12*(1+Inputs!$B$13/100)))+0.25*(Inputs!$B$14-Inputs!$B$14))*(1+Inputs!$B$7/100))*(F1634/100)</f>
        <v/>
      </c>
      <c r="K1634">
        <f>J1634*(1+((Inputs!$B$12*(1+Inputs!$B$13/100))*0.01+Inputs!$B$14*0.0025)/100)*(1+Inputs!$B$15/100)*(1+Inputs!$B$16/100)*(5000/(6000+Inputs!$B$42*(1-(100*(1-(1-(Inputs!$B$19+0)/100)*(1-CHOOSE(ArtifactsInput!$N$40+1,5,6,7,8,9,10)/100)^(ArtifactsInput!$M$40-ArtifactsInput!$M$40)))/100)))*(1+(Inputs!$B$24+((C1650=TRUE)*(F1650-Calc!F25))+B1660)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1637=TRUE,F1637,0)/100)*(1+IF(Skills!A9="ENHANCED_RAGING_BLOW",IF(Inputs!$B$3&gt;=134,MAX(0,IF(Inputs!$B$3&gt;=110,7,5)-5)*50,0),0)/100)*(1+(IF(Skills!A9="RAGING_BLOW",Inputs!$B$17+((C1646=TRUE)*(F1646-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1648=TRUE)*(F1648-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1638=TRUE)*F1638*IF(Inputs!$B$3&gt;=110,7,5))+((C1640=TRUE)*F1640*IF(AND(Inputs!$B$38&lt;&gt;"pvp",Inputs!$B$43&gt;0),(((R1640-1)*(Skills!T15*(1+(Inputs!$B$34+(ArtifactsInput!$M$7-ArtifactsInput!$M$7)*CHOOSE(ArtifactsInput!$N$7+1,6,7.2,8.4,9.6,10.8,12))/100))+MIN((Skills!T15*(1+(Inputs!$B$34+(ArtifactsInput!$M$7-ArtifactsInput!$M$7)*CHOOSE(ArtifactsInput!$N$7+1,6,7.2,8.4,9.6,10.8,12))/100)),MAX(0,Inputs!$B$43-((R1640-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Hunt"),CHOOSE(ArtifactsInput!$N$35+1,15,18,21,24,27,30)*(1-EXP(-(0.2*B1656)*5)),0)+IF(AND(ArtifactsInput!$M$22,Inputs!$B$4&lt;&gt;"Chapter Hunt"),CHOOSE(ArtifactsInput!$N$22+1,10,12,14,16,18,20)*((0*(((0.15*B1656*5))^0/1)+1*(((0.15*B1656*5))^1/1)+2*(((0.15*B1656*5))^2/2)+3*(((0.15*B1656*5))^3/6)+4*(((0.15*B1656*5))^4/24)+5*(((0.15*B1656*5))^5/120))/((((0.15*B1656*5))^0/1)+(((0.15*B1656*5))^1/1)+(((0.15*B1656*5))^2/2)+(((0.15*B1656*5))^3/6)+(((0.15*B1656*5))^4/24)+(((0.15*B1656*5))^5/120))),0)))/100)*I1634)</f>
        <v/>
      </c>
      <c r="L1634">
        <f>K1634*(MIN(Inputs!$B$22+((C1647=TRUE)*(F1647-Calc!F22)),(Inputs!$B$23+((C1649=TRUE)*(F1649-Calc!F24))+(IF(ArtifactsInput!$M$15,CHOOSE(ArtifactsInput!$N$15+1,25,30,35,40,45,50)/100*(Inputs!$B$11-Inputs!$B$11),0))))/100+(Inputs!$B$23+((C1649=TRUE)*(F1649-Calc!F24))+(IF(ArtifactsInput!$M$15,CHOOSE(ArtifactsInput!$N$15+1,25,30,35,40,45,50)/100*(Inputs!$B$11-Inputs!$B$11),0)))/100)/2</f>
        <v/>
      </c>
      <c r="M1634">
        <f>L1634*(1+(Inputs!$B$10+0+B1659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4">
        <f>L1634*(1-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1634*(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4">
        <f>(1-Summary!$B$11)*T1634+Summary!$B$11*V1634</f>
        <v/>
      </c>
      <c r="P1634">
        <f>IF(B1664=0,0,O1634/B1664)</f>
        <v/>
      </c>
      <c r="Q1634">
        <f>IFERROR(1/(IF(Inputs!$B$38="pvp",15,MAX(0.1,Skills!D9-IF(Skills!E9=TRUE,Inputs!$B$32,0)))*(1-IF(AND(ArtifactsInput!$M$27,Inputs!$B$4="Chapter Hunt"),CHOOSE(ArtifactsInput!$N$27+1,20,24,28,32,36,40),0)/100)),0)</f>
        <v/>
      </c>
      <c r="R1634">
        <f>IF(AND(Inputs!$B$38&lt;&gt;"pvp",Inputs!$B$43&gt;0),IF(MAX(0,Inputs!$B$43-B1661)&lt;=0,0,(INT(MAX(0,Inputs!$B$43-B1661)/(IF(Inputs!$B$38="pvp",15,MAX(0.1,Skills!D9-IF(Skills!E9=TRUE,Inputs!$B$32,0)))*(1-IF(AND(ArtifactsInput!$M$27,Inputs!$B$4="Chapter Hunt"),CHOOSE(ArtifactsInput!$N$27+1,20,24,28,32,36,40),0)/100)))+1)),0)</f>
        <v/>
      </c>
      <c r="S1634">
        <f>IFERROR(O1634/N1634,0)</f>
        <v/>
      </c>
      <c r="T1634">
        <f>IF(C1634,(H1634*N1634*IF(AND(Inputs!$B$38&lt;&gt;"pvp",Inputs!$B$43&gt;0),((Skills!G9*((R1634-1)*IF(Skills!H9&gt;0,Skills!I9/Skills!H9,1)+IF(Skills!H9&gt;0,MIN(Skills!I9,MAX(0,MAX(0,Inputs!$B$43-B1661)-((R1634-1)*(IF(Inputs!$B$38="pvp",15,MAX(0.1,Skills!D9-IF(Skills!E9=TRUE,Inputs!$B$32,0)))*(1-IF(AND(ArtifactsInput!$M$27,Inputs!$B$4="Chapter Hunt"),CHOOSE(ArtifactsInput!$N$27+1,20,24,28,32,36,40),0)/100)))))/Skills!H9,1)))/Inputs!$B$43),G1634*Q1634)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1634*(1-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1634*(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1634*(1-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1634*(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4">
        <f>IF(C1634,(H1634*N1634*IF(AND(Inputs!$B$38&lt;&gt;"pvp",Inputs!$B$43&gt;0),((Skills!G9*((R1634-1)*IF(Skills!H9&gt;0,Skills!I9/Skills!H9,1)+IF(Skills!H9&gt;0,MIN(Skills!I9,MAX(0,MAX(0,Inputs!$B$43-B1661)-((R1634-1)*(IF(Inputs!$B$38="pvp",15,MAX(0.1,Skills!D9-IF(Skills!E9=TRUE,Inputs!$B$32,0)))*(1-IF(AND(ArtifactsInput!$M$27,Inputs!$B$4="Chapter Hunt"),CHOOSE(ArtifactsInput!$N$27+1,20,24,28,32,36,40),0)/100)))))/Skills!H9,1)))/Inputs!$B$43),G1634*Q1634)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5">
      <c r="A1635">
        <f>Skills!A10</f>
        <v/>
      </c>
      <c r="B1635">
        <f>Skills!B10</f>
        <v/>
      </c>
      <c r="C1635">
        <f>Inputs!$B$3&gt;=63</f>
        <v/>
      </c>
      <c r="D1635">
        <f>IF(Skills!C10=1,60+Inputs!$B$25+Inputs!$B$29,IF(Skills!C10=2,90+Inputs!$B$26+Inputs!$B$29,IF(Skills!C10=3,120+Inputs!$B$27+Inputs!$B$29,MAX(0,(Inputs!$B$3-100)*3)+Inputs!$B$28+Inputs!$B$29)))</f>
        <v/>
      </c>
      <c r="E1635">
        <f>INDEX(FactorTable!$B$2:$Y$301, MATCH(ROUND(MIN(300,MAX(1,D1635)),0), FactorTable!$A$2:$A$301,0), Skills!M10+1)</f>
        <v/>
      </c>
      <c r="F1635">
        <f>IF(Skills!N10=TRUE,(Skills!L10/10)*(E1635/1000),Skills!L10/10)+Skills!O10</f>
        <v/>
      </c>
      <c r="G1635">
        <f>Skills!G10*IF(Skills!H10&gt;0,Skills!I10/Skills!H10,1)</f>
        <v/>
      </c>
      <c r="H1635">
        <f>1-(1-Skills!J10/100)^Skills!K10</f>
        <v/>
      </c>
      <c r="I1635" t="inlineStr">
        <is>
          <t>1</t>
        </is>
      </c>
      <c r="J1635">
        <f>((Inputs!$B$6*(1+Inputs!$B$7/100))+(((Inputs!$B$12*(1+Inputs!$B$13/100))-(Inputs!$B$12*(1+Inputs!$B$13/100)))+0.25*(Inputs!$B$14-Inputs!$B$14))*(1+Inputs!$B$7/100))*(F1635/100)</f>
        <v/>
      </c>
      <c r="K1635">
        <f>J1635*(1+((Inputs!$B$12*(1+Inputs!$B$13/100))*0.01+Inputs!$B$14*0.0025)/100)*(1+Inputs!$B$15/100)*(1+Inputs!$B$16/100)*(5000/(6000+Inputs!$B$42*(1-(100*(1-(1-(Inputs!$B$19+0)/100)*(1-CHOOSE(ArtifactsInput!$N$40+1,5,6,7,8,9,10)/100)^(ArtifactsInput!$M$40-ArtifactsInput!$M$40)))/100)))*(1+(Inputs!$B$24+((C1650=TRUE)*(F1650-Calc!F25))+B1660)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1637=TRUE,F1637,0)/100)*(1+IF(Skills!A10="ENHANCED_RAGING_BLOW",IF(Inputs!$B$3&gt;=134,MAX(0,IF(Inputs!$B$3&gt;=110,7,5)-5)*50,0),0)/100)*(1+(IF(Skills!A10="RAGING_BLOW",Inputs!$B$17+((C1646=TRUE)*(F1646-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1648=TRUE)*(F1648-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1638=TRUE)*F1638*IF(Inputs!$B$3&gt;=110,7,5))+((C1640=TRUE)*F1640*IF(AND(Inputs!$B$38&lt;&gt;"pvp",Inputs!$B$43&gt;0),(((R1640-1)*(Skills!T15*(1+(Inputs!$B$34+(ArtifactsInput!$M$7-ArtifactsInput!$M$7)*CHOOSE(ArtifactsInput!$N$7+1,6,7.2,8.4,9.6,10.8,12))/100))+MIN((Skills!T15*(1+(Inputs!$B$34+(ArtifactsInput!$M$7-ArtifactsInput!$M$7)*CHOOSE(ArtifactsInput!$N$7+1,6,7.2,8.4,9.6,10.8,12))/100)),MAX(0,Inputs!$B$43-((R1640-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Hunt"),CHOOSE(ArtifactsInput!$N$35+1,15,18,21,24,27,30)*(1-EXP(-(0.2*B1656)*5)),0)+IF(AND(ArtifactsInput!$M$22,Inputs!$B$4&lt;&gt;"Chapter Hunt"),CHOOSE(ArtifactsInput!$N$22+1,10,12,14,16,18,20)*((0*(((0.15*B1656*5))^0/1)+1*(((0.15*B1656*5))^1/1)+2*(((0.15*B1656*5))^2/2)+3*(((0.15*B1656*5))^3/6)+4*(((0.15*B1656*5))^4/24)+5*(((0.15*B1656*5))^5/120))/((((0.15*B1656*5))^0/1)+(((0.15*B1656*5))^1/1)+(((0.15*B1656*5))^2/2)+(((0.15*B1656*5))^3/6)+(((0.15*B1656*5))^4/24)+(((0.15*B1656*5))^5/120))),0)))/100)*I1635)</f>
        <v/>
      </c>
      <c r="L1635">
        <f>K1635*(MIN(Inputs!$B$22+((C1647=TRUE)*(F1647-Calc!F22)),(Inputs!$B$23+((C1649=TRUE)*(F1649-Calc!F24))+(IF(ArtifactsInput!$M$15,CHOOSE(ArtifactsInput!$N$15+1,25,30,35,40,45,50)/100*(Inputs!$B$11-Inputs!$B$11),0))))/100+(Inputs!$B$23+((C1649=TRUE)*(F1649-Calc!F24))+(IF(ArtifactsInput!$M$15,CHOOSE(ArtifactsInput!$N$15+1,25,30,35,40,45,50)/100*(Inputs!$B$11-Inputs!$B$11),0)))/100)/2</f>
        <v/>
      </c>
      <c r="M1635">
        <f>L1635*(1+(Inputs!$B$10+0+B1659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5">
        <f>L1635*(1-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1635*(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5">
        <f>(1-Summary!$B$11)*T1635+Summary!$B$11*V1635</f>
        <v/>
      </c>
      <c r="P1635">
        <f>IF(B1664=0,0,O1635/B1664)</f>
        <v/>
      </c>
      <c r="Q1635">
        <f>IFERROR(1/(IF(Inputs!$B$38="pvp",15,MAX(0.1,Skills!D10-IF(Skills!E10=TRUE,Inputs!$B$32,0)))*(1-IF(AND(ArtifactsInput!$M$27,Inputs!$B$4="Chapter Hunt"),CHOOSE(ArtifactsInput!$N$27+1,20,24,28,32,36,40),0)/100)),0)</f>
        <v/>
      </c>
      <c r="R1635">
        <f>IF(AND(Inputs!$B$38&lt;&gt;"pvp",Inputs!$B$43&gt;0),IF(MAX(0,Inputs!$B$43-B1661)&lt;=0,0,(INT(MAX(0,Inputs!$B$43-B1661)/(IF(Inputs!$B$38="pvp",15,MAX(0.1,Skills!D10-IF(Skills!E10=TRUE,Inputs!$B$32,0)))*(1-IF(AND(ArtifactsInput!$M$27,Inputs!$B$4="Chapter Hunt"),CHOOSE(ArtifactsInput!$N$27+1,20,24,28,32,36,40),0)/100)))+1)),0)</f>
        <v/>
      </c>
      <c r="S1635">
        <f>IFERROR(O1635/N1635,0)</f>
        <v/>
      </c>
      <c r="T1635">
        <f>IF(C1635,(H1635*N1635*IF(AND(Inputs!$B$38&lt;&gt;"pvp",Inputs!$B$43&gt;0),((Skills!G10*((R1635-1)*IF(Skills!H10&gt;0,Skills!I10/Skills!H10,1)+IF(Skills!H10&gt;0,MIN(Skills!I10,MAX(0,MAX(0,Inputs!$B$43-B1661)-((R1635-1)*(IF(Inputs!$B$38="pvp",15,MAX(0.1,Skills!D10-IF(Skills!E10=TRUE,Inputs!$B$32,0)))*(1-IF(AND(ArtifactsInput!$M$27,Inputs!$B$4="Chapter Hunt"),CHOOSE(ArtifactsInput!$N$27+1,20,24,28,32,36,40),0)/100)))))/Skills!H10,1)))/Inputs!$B$43),G1635*Q1635)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1635*(1-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1635*(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1635*(1-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1635*(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5">
        <f>IF(C1635,(H1635*N1635*IF(AND(Inputs!$B$38&lt;&gt;"pvp",Inputs!$B$43&gt;0),((Skills!G10*((R1635-1)*IF(Skills!H10&gt;0,Skills!I10/Skills!H10,1)+IF(Skills!H10&gt;0,MIN(Skills!I10,MAX(0,MAX(0,Inputs!$B$43-B1661)-((R1635-1)*(IF(Inputs!$B$38="pvp",15,MAX(0.1,Skills!D10-IF(Skills!E10=TRUE,Inputs!$B$32,0)))*(1-IF(AND(ArtifactsInput!$M$27,Inputs!$B$4="Chapter Hunt"),CHOOSE(ArtifactsInput!$N$27+1,20,24,28,32,36,40),0)/100)))))/Skills!H10,1)))/Inputs!$B$43),G1635*Q1635)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6">
      <c r="A1636">
        <f>Skills!A11</f>
        <v/>
      </c>
      <c r="B1636">
        <f>Skills!B11</f>
        <v/>
      </c>
      <c r="C1636">
        <f>Inputs!$B$3&gt;=35</f>
        <v/>
      </c>
      <c r="D1636">
        <f>IF(Skills!C11=1,60+Inputs!$B$25+Inputs!$B$29,IF(Skills!C11=2,90+Inputs!$B$26+Inputs!$B$29,IF(Skills!C11=3,120+Inputs!$B$27+Inputs!$B$29,MAX(0,(Inputs!$B$3-100)*3)+Inputs!$B$28+Inputs!$B$29)))</f>
        <v/>
      </c>
      <c r="E1636">
        <f>INDEX(FactorTable!$B$2:$Y$301, MATCH(ROUND(MIN(300,MAX(1,D1636)),0), FactorTable!$A$2:$A$301,0), Skills!M11+1)</f>
        <v/>
      </c>
      <c r="F1636">
        <f>IF(Skills!N11=TRUE,(Skills!L11/10)*(E1636/1000),Skills!L11/10)+Skills!O11</f>
        <v/>
      </c>
      <c r="G1636">
        <f>Skills!G11*IF(Skills!H11&gt;0,Skills!I11/Skills!H11,1)</f>
        <v/>
      </c>
      <c r="H1636">
        <f>1-(1-Skills!J11/100)^Skills!K11</f>
        <v/>
      </c>
      <c r="I1636" t="inlineStr">
        <is>
          <t>1</t>
        </is>
      </c>
      <c r="J1636">
        <f>((Inputs!$B$6*(1+Inputs!$B$7/100))+(((Inputs!$B$12*(1+Inputs!$B$13/100))-(Inputs!$B$12*(1+Inputs!$B$13/100)))+0.25*(Inputs!$B$14-Inputs!$B$14))*(1+Inputs!$B$7/100))*(F1636/100)</f>
        <v/>
      </c>
      <c r="K1636">
        <f>J1636*(1+((Inputs!$B$12*(1+Inputs!$B$13/100))*0.01+Inputs!$B$14*0.0025)/100)*(1+Inputs!$B$15/100)*(1+Inputs!$B$16/100)*(5000/(6000+Inputs!$B$42*(1-(100*(1-(1-(Inputs!$B$19+0)/100)*(1-CHOOSE(ArtifactsInput!$N$40+1,5,6,7,8,9,10)/100)^(ArtifactsInput!$M$40-ArtifactsInput!$M$40)))/100)))*(1+(Inputs!$B$24+((C1650=TRUE)*(F1650-Calc!F25))+B1660)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1637=TRUE,F1637,0)/100)*(1+IF(Skills!A11="ENHANCED_RAGING_BLOW",IF(Inputs!$B$3&gt;=134,MAX(0,IF(Inputs!$B$3&gt;=110,7,5)-5)*50,0),0)/100)*(1+(IF(Skills!A11="RAGING_BLOW",Inputs!$B$17+((C1646=TRUE)*(F1646-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1648=TRUE)*(F1648-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1638=TRUE)*F1638*IF(Inputs!$B$3&gt;=110,7,5))+((C1640=TRUE)*F1640*IF(AND(Inputs!$B$38&lt;&gt;"pvp",Inputs!$B$43&gt;0),(((R1640-1)*(Skills!T15*(1+(Inputs!$B$34+(ArtifactsInput!$M$7-ArtifactsInput!$M$7)*CHOOSE(ArtifactsInput!$N$7+1,6,7.2,8.4,9.6,10.8,12))/100))+MIN((Skills!T15*(1+(Inputs!$B$34+(ArtifactsInput!$M$7-ArtifactsInput!$M$7)*CHOOSE(ArtifactsInput!$N$7+1,6,7.2,8.4,9.6,10.8,12))/100)),MAX(0,Inputs!$B$43-((R1640-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Hunt"),CHOOSE(ArtifactsInput!$N$35+1,15,18,21,24,27,30)*(1-EXP(-(0.2*B1656)*5)),0)+IF(AND(ArtifactsInput!$M$22,Inputs!$B$4&lt;&gt;"Chapter Hunt"),CHOOSE(ArtifactsInput!$N$22+1,10,12,14,16,18,20)*((0*(((0.15*B1656*5))^0/1)+1*(((0.15*B1656*5))^1/1)+2*(((0.15*B1656*5))^2/2)+3*(((0.15*B1656*5))^3/6)+4*(((0.15*B1656*5))^4/24)+5*(((0.15*B1656*5))^5/120))/((((0.15*B1656*5))^0/1)+(((0.15*B1656*5))^1/1)+(((0.15*B1656*5))^2/2)+(((0.15*B1656*5))^3/6)+(((0.15*B1656*5))^4/24)+(((0.15*B1656*5))^5/120))),0)))/100)*I1636)</f>
        <v/>
      </c>
      <c r="L1636">
        <f>K1636*(MIN(Inputs!$B$22+((C1647=TRUE)*(F1647-Calc!F22)),(Inputs!$B$23+((C1649=TRUE)*(F1649-Calc!F24))+(IF(ArtifactsInput!$M$15,CHOOSE(ArtifactsInput!$N$15+1,25,30,35,40,45,50)/100*(Inputs!$B$11-Inputs!$B$11),0))))/100+(Inputs!$B$23+((C1649=TRUE)*(F1649-Calc!F24))+(IF(ArtifactsInput!$M$15,CHOOSE(ArtifactsInput!$N$15+1,25,30,35,40,45,50)/100*(Inputs!$B$11-Inputs!$B$11),0)))/100)/2</f>
        <v/>
      </c>
      <c r="M1636">
        <f>L1636*(1+(Inputs!$B$10+0+B1659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6">
        <f>L1636*(1-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1636*(MIN((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6">
        <f>(1-Summary!$B$11)*T1636+Summary!$B$11*V1636</f>
        <v/>
      </c>
      <c r="P1636">
        <f>IF(B1664=0,0,O1636/B1664)</f>
        <v/>
      </c>
      <c r="Q1636">
        <f>IFERROR(1/(IF(Inputs!$B$38="pvp",15,MAX(0.1,Skills!D11-IF(Skills!E11=TRUE,Inputs!$B$32,0)))*(1-IF(AND(ArtifactsInput!$M$27,Inputs!$B$4="Chapter Hunt"),CHOOSE(ArtifactsInput!$N$27+1,20,24,28,32,36,40),0)/100)),0)</f>
        <v/>
      </c>
      <c r="R1636">
        <f>IF(AND(Inputs!$B$38&lt;&gt;"pvp",Inputs!$B$43&gt;0),IF(MAX(0,Inputs!$B$43-B1661)&lt;=0,0,(INT(MAX(0,Inputs!$B$43-B1661)/(IF(Inputs!$B$38="pvp",15,MAX(0.1,Skills!D11-IF(Skills!E11=TRUE,Inputs!$B$32,0)))*(1-IF(AND(ArtifactsInput!$M$27,Inputs!$B$4="Chapter Hunt"),CHOOSE(ArtifactsInput!$N$27+1,20,24,28,32,36,40),0)/100)))+1)),0)</f>
        <v/>
      </c>
      <c r="S1636">
        <f>IFERROR(O1636/N1636,0)</f>
        <v/>
      </c>
      <c r="T1636">
        <f>IF(C1636,(H1636*N1636*IF(AND(Inputs!$B$38&lt;&gt;"pvp",Inputs!$B$43&gt;0),((Skills!G11*((R1636-1)*IF(Skills!H11&gt;0,Skills!I11/Skills!H11,1)+IF(Skills!H11&gt;0,MIN(Skills!I11,MAX(0,MAX(0,Inputs!$B$43-B1661)-((R1636-1)*(IF(Inputs!$B$38="pvp",15,MAX(0.1,Skills!D11-IF(Skills!E11=TRUE,Inputs!$B$32,0)))*(1-IF(AND(ArtifactsInput!$M$27,Inputs!$B$4="Chapter Hunt"),CHOOSE(ArtifactsInput!$N$27+1,20,24,28,32,36,40),0)/100)))))/Skills!H11,1)))/Inputs!$B$43),G1636*Q1636)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1636*(1-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1636*(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1636*(1-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1636*(MIN(100,(Inputs!$B$9+((C1651=TRUE)*(F1651-Calc!F26))+B1654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6">
        <f>IF(C1636,(H1636*N1636*IF(AND(Inputs!$B$38&lt;&gt;"pvp",Inputs!$B$43&gt;0),((Skills!G11*((R1636-1)*IF(Skills!H11&gt;0,Skills!I11/Skills!H11,1)+IF(Skills!H11&gt;0,MIN(Skills!I11,MAX(0,MAX(0,Inputs!$B$43-B1661)-((R1636-1)*(IF(Inputs!$B$38="pvp",15,MAX(0.1,Skills!D11-IF(Skills!E11=TRUE,Inputs!$B$32,0)))*(1-IF(AND(ArtifactsInput!$M$27,Inputs!$B$4="Chapter Hunt"),CHOOSE(ArtifactsInput!$N$27+1,20,24,28,32,36,40),0)/100)))))/Skills!H11,1)))/Inputs!$B$43),G1636*Q1636)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7">
      <c r="A1637">
        <f>Skills!A12</f>
        <v/>
      </c>
      <c r="B1637">
        <f>Skills!B12</f>
        <v/>
      </c>
      <c r="C1637">
        <f>Inputs!$B$3&gt;=100</f>
        <v/>
      </c>
      <c r="D1637">
        <f>IF(Skills!C12=1,60+Inputs!$B$25+Inputs!$B$29,IF(Skills!C12=2,90+Inputs!$B$26+Inputs!$B$29,IF(Skills!C12=3,120+Inputs!$B$27+Inputs!$B$29,MAX(0,(Inputs!$B$3-100)*3)+Inputs!$B$28+Inputs!$B$29)))</f>
        <v/>
      </c>
      <c r="E1637">
        <f>INDEX(FactorTable!$B$2:$Y$301, MATCH(ROUND(MIN(300,MAX(1,D1637)),0), FactorTable!$A$2:$A$301,0), Skills!M12+1)</f>
        <v/>
      </c>
      <c r="F1637">
        <f>IF(Skills!N12=TRUE,(Skills!L12/10)*(E1637/1000),Skills!L12/10)+Skills!O12</f>
        <v/>
      </c>
      <c r="G1637" t="inlineStr"/>
      <c r="H1637" t="inlineStr"/>
      <c r="I1637" t="inlineStr">
        <is>
          <t>1</t>
        </is>
      </c>
      <c r="J1637" t="inlineStr"/>
      <c r="K1637" t="inlineStr"/>
      <c r="L1637" t="inlineStr"/>
      <c r="M1637" t="inlineStr"/>
      <c r="N1637" t="inlineStr"/>
      <c r="O1637" t="inlineStr"/>
      <c r="P1637" t="inlineStr"/>
      <c r="Q1637" t="inlineStr"/>
      <c r="R1637" t="inlineStr"/>
      <c r="S1637" t="inlineStr"/>
    </row>
    <row r="1638">
      <c r="A1638">
        <f>Skills!A13</f>
        <v/>
      </c>
      <c r="B1638">
        <f>Skills!B13</f>
        <v/>
      </c>
      <c r="C1638">
        <f>Inputs!$B$3&gt;=45</f>
        <v/>
      </c>
      <c r="D1638">
        <f>IF(Skills!C13=1,60+Inputs!$B$25+Inputs!$B$29,IF(Skills!C13=2,90+Inputs!$B$26+Inputs!$B$29,IF(Skills!C13=3,120+Inputs!$B$27+Inputs!$B$29,MAX(0,(Inputs!$B$3-100)*3)+Inputs!$B$28+Inputs!$B$29)))</f>
        <v/>
      </c>
      <c r="E1638">
        <f>INDEX(FactorTable!$B$2:$Y$301, MATCH(ROUND(MIN(300,MAX(1,D1638)),0), FactorTable!$A$2:$A$301,0), Skills!M13+1)</f>
        <v/>
      </c>
      <c r="F1638">
        <f>IF(Skills!N13=TRUE,(Skills!L13/10)*(E1638/1000),Skills!L13/10)+Skills!O13</f>
        <v/>
      </c>
      <c r="G1638">
        <f>Skills!G13*IF(Skills!H13&gt;0,Skills!I13/Skills!H13,1)</f>
        <v/>
      </c>
      <c r="H1638">
        <f>1-(1-Skills!J13/100)^Skills!K13</f>
        <v/>
      </c>
      <c r="I1638" t="inlineStr">
        <is>
          <t>1</t>
        </is>
      </c>
      <c r="J1638" t="inlineStr"/>
      <c r="K1638" t="inlineStr"/>
      <c r="L1638" t="inlineStr"/>
      <c r="M1638" t="inlineStr"/>
      <c r="N1638" t="inlineStr"/>
      <c r="O1638">
        <f>(1-Summary!$B$11)*T1638+Summary!$B$11*V1638</f>
        <v/>
      </c>
      <c r="P1638">
        <f>IF(B1664=0,0,O1638/B1664)</f>
        <v/>
      </c>
      <c r="Q1638" t="n">
        <v>0</v>
      </c>
      <c r="R1638" t="n">
        <v>0</v>
      </c>
      <c r="S1638">
        <f>IFERROR(O1638/N1638,0)</f>
        <v/>
      </c>
      <c r="T1638" t="n">
        <v>0</v>
      </c>
      <c r="V1638" t="n">
        <v>0</v>
      </c>
    </row>
    <row r="1639">
      <c r="A1639">
        <f>Skills!A14</f>
        <v/>
      </c>
      <c r="B1639">
        <f>Skills!B14</f>
        <v/>
      </c>
      <c r="C1639">
        <f>Inputs!$B$3&gt;=75</f>
        <v/>
      </c>
      <c r="D1639">
        <f>IF(Skills!C14=1,60+Inputs!$B$25+Inputs!$B$29,IF(Skills!C14=2,90+Inputs!$B$26+Inputs!$B$29,IF(Skills!C14=3,120+Inputs!$B$27+Inputs!$B$29,MAX(0,(Inputs!$B$3-100)*3)+Inputs!$B$28+Inputs!$B$29)))</f>
        <v/>
      </c>
      <c r="E1639">
        <f>INDEX(FactorTable!$B$2:$Y$301, MATCH(ROUND(MIN(300,MAX(1,D1639)),0), FactorTable!$A$2:$A$301,0), Skills!M14+1)</f>
        <v/>
      </c>
      <c r="F1639">
        <f>IF(Skills!N14=TRUE,(Skills!L14/10)*(E1639/1000),Skills!L14/10)+Skills!O14</f>
        <v/>
      </c>
      <c r="G1639">
        <f>Skills!G14*IF(Skills!H14&gt;0,Skills!I14/Skills!H14,1)</f>
        <v/>
      </c>
      <c r="H1639">
        <f>1-(1-Skills!J14/100)^Skills!K14</f>
        <v/>
      </c>
      <c r="I1639" t="inlineStr">
        <is>
          <t>1</t>
        </is>
      </c>
      <c r="J1639" t="inlineStr"/>
      <c r="K1639" t="inlineStr"/>
      <c r="L1639" t="inlineStr"/>
      <c r="M1639" t="inlineStr"/>
      <c r="N1639" t="inlineStr"/>
      <c r="O1639">
        <f>(1-Summary!$B$11)*T1639+Summary!$B$11*V1639</f>
        <v/>
      </c>
      <c r="P1639">
        <f>IF(B1664=0,0,O1639/B1664)</f>
        <v/>
      </c>
      <c r="Q1639" t="n">
        <v>0</v>
      </c>
      <c r="R1639" t="n">
        <v>0</v>
      </c>
      <c r="S1639">
        <f>IFERROR(O1639/N1639,0)</f>
        <v/>
      </c>
      <c r="T1639" t="n">
        <v>0</v>
      </c>
      <c r="V1639" t="n">
        <v>0</v>
      </c>
    </row>
    <row r="1640">
      <c r="A1640">
        <f>Skills!A15</f>
        <v/>
      </c>
      <c r="B1640">
        <f>Skills!B15</f>
        <v/>
      </c>
      <c r="C1640">
        <f>Inputs!$B$3&gt;=40</f>
        <v/>
      </c>
      <c r="D1640">
        <f>IF(Skills!C15=1,60+Inputs!$B$25+Inputs!$B$29,IF(Skills!C15=2,90+Inputs!$B$26+Inputs!$B$29,IF(Skills!C15=3,120+Inputs!$B$27+Inputs!$B$29,MAX(0,(Inputs!$B$3-100)*3)+Inputs!$B$28+Inputs!$B$29)))</f>
        <v/>
      </c>
      <c r="E1640">
        <f>INDEX(FactorTable!$B$2:$Y$301, MATCH(ROUND(MIN(300,MAX(1,D1640)),0), FactorTable!$A$2:$A$301,0), Skills!M15+1)</f>
        <v/>
      </c>
      <c r="F1640">
        <f>IF(Skills!N15=TRUE,(Skills!L15/10)*(E1640/1000),Skills!L15/10)+Skills!O15</f>
        <v/>
      </c>
      <c r="G1640">
        <f>Skills!G15*IF(Skills!H15&gt;0,Skills!I15/Skills!H15,1)</f>
        <v/>
      </c>
      <c r="H1640">
        <f>1-(1-Skills!J15/100)^Skills!K15</f>
        <v/>
      </c>
      <c r="I1640" t="inlineStr">
        <is>
          <t>1</t>
        </is>
      </c>
      <c r="J1640" t="inlineStr"/>
      <c r="K1640" t="inlineStr"/>
      <c r="L1640" t="inlineStr"/>
      <c r="M1640" t="inlineStr"/>
      <c r="N1640" t="inlineStr"/>
      <c r="O1640">
        <f>(1-Summary!$B$11)*T1640+Summary!$B$11*V1640</f>
        <v/>
      </c>
      <c r="P1640">
        <f>IF(B1664=0,0,O1640/B1664)</f>
        <v/>
      </c>
      <c r="Q1640">
        <f>IFERROR(1/(IF(Inputs!$B$38="pvp",15,MAX(0.1,Skills!D15-IF(Skills!E15=TRUE,Inputs!$B$32,0)))*(1-IF(AND(ArtifactsInput!$M$27,Inputs!$B$4="Chapter Hunt"),CHOOSE(ArtifactsInput!$N$27+1,20,24,28,32,36,40),0)/100)),0)</f>
        <v/>
      </c>
      <c r="R1640">
        <f>IF(AND(Inputs!$B$38&lt;&gt;"pvp",Inputs!$B$43&gt;0),IF(Inputs!$B$43&lt;=0,0,(INT(Inputs!$B$43/(IF(Inputs!$B$38="pvp",15,MAX(0.1,Skills!D15-IF(Skills!E15=TRUE,Inputs!$B$32,0)))*(1-IF(AND(ArtifactsInput!$M$27,Inputs!$B$4="Chapter Hunt"),CHOOSE(ArtifactsInput!$N$27+1,20,24,28,32,36,40),0)/100)))+1)),0)</f>
        <v/>
      </c>
      <c r="S1640">
        <f>IFERROR(O1640/N1640,0)</f>
        <v/>
      </c>
      <c r="T1640" t="n">
        <v>0</v>
      </c>
      <c r="V1640" t="n">
        <v>0</v>
      </c>
    </row>
    <row r="1641">
      <c r="A1641">
        <f>Skills!A16</f>
        <v/>
      </c>
      <c r="B1641">
        <f>Skills!B16</f>
        <v/>
      </c>
      <c r="C1641">
        <f>Inputs!$B$3&gt;=66</f>
        <v/>
      </c>
      <c r="D1641">
        <f>IF(Skills!C16=1,60+Inputs!$B$25+Inputs!$B$29,IF(Skills!C16=2,90+Inputs!$B$26+Inputs!$B$29,IF(Skills!C16=3,120+Inputs!$B$27+Inputs!$B$29,MAX(0,(Inputs!$B$3-100)*3)+Inputs!$B$28+Inputs!$B$29)))</f>
        <v/>
      </c>
      <c r="E1641">
        <f>INDEX(FactorTable!$B$2:$Y$301, MATCH(ROUND(MIN(300,MAX(1,D1641)),0), FactorTable!$A$2:$A$301,0), Skills!M16+1)</f>
        <v/>
      </c>
      <c r="F1641">
        <f>IF(Skills!N16=TRUE,(Skills!L16/10)*(E1641/1000),Skills!L16/10)+Skills!O16</f>
        <v/>
      </c>
      <c r="G1641">
        <f>Skills!G16*IF(Skills!H16&gt;0,Skills!I16/Skills!H16,1)</f>
        <v/>
      </c>
      <c r="H1641">
        <f>1-(1-Skills!J16/100)^Skills!K16</f>
        <v/>
      </c>
      <c r="I1641" t="inlineStr">
        <is>
          <t>1</t>
        </is>
      </c>
      <c r="J1641" t="inlineStr"/>
      <c r="K1641" t="inlineStr"/>
      <c r="L1641" t="inlineStr"/>
      <c r="M1641" t="inlineStr"/>
      <c r="N1641" t="inlineStr"/>
      <c r="O1641">
        <f>(1-Summary!$B$11)*T1641+Summary!$B$11*V1641</f>
        <v/>
      </c>
      <c r="P1641">
        <f>IF(B1664=0,0,O1641/B1664)</f>
        <v/>
      </c>
      <c r="Q1641">
        <f>IFERROR(1/(IF(Inputs!$B$38="pvp",15,MAX(0.1,Skills!D16-IF(Skills!E16=TRUE,Inputs!$B$32,0)))*(1-IF(AND(ArtifactsInput!$M$27,Inputs!$B$4="Chapter Hunt"),CHOOSE(ArtifactsInput!$N$27+1,20,24,28,32,36,40),0)/100)),0)</f>
        <v/>
      </c>
      <c r="R1641">
        <f>IF(AND(Inputs!$B$38&lt;&gt;"pvp",Inputs!$B$43&gt;0),IF(Inputs!$B$43&lt;=0,0,(INT(Inputs!$B$43/(IF(Inputs!$B$38="pvp",15,MAX(0.1,Skills!D16-IF(Skills!E16=TRUE,Inputs!$B$32,0)))*(1-IF(AND(ArtifactsInput!$M$27,Inputs!$B$4="Chapter Hunt"),CHOOSE(ArtifactsInput!$N$27+1,20,24,28,32,36,40),0)/100)))+1)),0)</f>
        <v/>
      </c>
      <c r="S1641">
        <f>IFERROR(O1641/N1641,0)</f>
        <v/>
      </c>
      <c r="T1641" t="n">
        <v>0</v>
      </c>
      <c r="V1641" t="n">
        <v>0</v>
      </c>
    </row>
    <row r="1642">
      <c r="A1642">
        <f>Skills!A17</f>
        <v/>
      </c>
      <c r="B1642">
        <f>Skills!B17</f>
        <v/>
      </c>
      <c r="C1642">
        <f>Inputs!$B$3&gt;=115</f>
        <v/>
      </c>
      <c r="D1642">
        <f>IF(Skills!C17=1,60+Inputs!$B$25+Inputs!$B$29,IF(Skills!C17=2,90+Inputs!$B$26+Inputs!$B$29,IF(Skills!C17=3,120+Inputs!$B$27+Inputs!$B$29,MAX(0,(Inputs!$B$3-100)*3)+Inputs!$B$28+Inputs!$B$29)))</f>
        <v/>
      </c>
      <c r="E1642">
        <f>INDEX(FactorTable!$B$2:$Y$301, MATCH(ROUND(MIN(300,MAX(1,D1642)),0), FactorTable!$A$2:$A$301,0), Skills!M17+1)</f>
        <v/>
      </c>
      <c r="F1642">
        <f>IF(Skills!N17=TRUE,(Skills!L17/10)*(E1642/1000),Skills!L17/10)+Skills!O17</f>
        <v/>
      </c>
      <c r="G1642">
        <f>Skills!G17*IF(Skills!H17&gt;0,Skills!I17/Skills!H17,1)</f>
        <v/>
      </c>
      <c r="H1642">
        <f>1-(1-Skills!J17/100)^Skills!K17</f>
        <v/>
      </c>
      <c r="I1642" t="inlineStr">
        <is>
          <t>1</t>
        </is>
      </c>
      <c r="J1642" t="inlineStr"/>
      <c r="K1642" t="inlineStr"/>
      <c r="L1642" t="inlineStr"/>
      <c r="M1642" t="inlineStr"/>
      <c r="N1642" t="inlineStr"/>
      <c r="O1642">
        <f>(1-Summary!$B$11)*T1642+Summary!$B$11*V1642</f>
        <v/>
      </c>
      <c r="P1642">
        <f>IF(B1664=0,0,O1642/B1664)</f>
        <v/>
      </c>
      <c r="Q1642">
        <f>IFERROR(1/(IF(Inputs!$B$38="pvp",15,MAX(0.1,Skills!D17-IF(Skills!E17=TRUE,Inputs!$B$32,0)))*(1-IF(AND(ArtifactsInput!$M$27,Inputs!$B$4="Chapter Hunt"),CHOOSE(ArtifactsInput!$N$27+1,20,24,28,32,36,40),0)/100)),0)</f>
        <v/>
      </c>
      <c r="R1642">
        <f>IF(AND(Inputs!$B$38&lt;&gt;"pvp",Inputs!$B$43&gt;0),IF(Inputs!$B$43&lt;=0,0,(INT(Inputs!$B$43/(IF(Inputs!$B$38="pvp",15,MAX(0.1,Skills!D17-IF(Skills!E17=TRUE,Inputs!$B$32,0)))*(1-IF(AND(ArtifactsInput!$M$27,Inputs!$B$4="Chapter Hunt"),CHOOSE(ArtifactsInput!$N$27+1,20,24,28,32,36,40),0)/100)))+1)),0)</f>
        <v/>
      </c>
      <c r="S1642">
        <f>IFERROR(O1642/N1642,0)</f>
        <v/>
      </c>
      <c r="T1642" t="n">
        <v>0</v>
      </c>
      <c r="V1642" t="n">
        <v>0</v>
      </c>
    </row>
    <row r="1643">
      <c r="A1643">
        <f>Skills!A18</f>
        <v/>
      </c>
      <c r="B1643">
        <f>Skills!B18</f>
        <v/>
      </c>
      <c r="C1643">
        <f>Inputs!$B$3&gt;=115</f>
        <v/>
      </c>
      <c r="D1643">
        <f>IF(Skills!C18=1,60+Inputs!$B$25+Inputs!$B$29,IF(Skills!C18=2,90+Inputs!$B$26+Inputs!$B$29,IF(Skills!C18=3,120+Inputs!$B$27+Inputs!$B$29,MAX(0,(Inputs!$B$3-100)*3)+Inputs!$B$28+Inputs!$B$29)))</f>
        <v/>
      </c>
      <c r="E1643">
        <f>INDEX(FactorTable!$B$2:$Y$301, MATCH(ROUND(MIN(300,MAX(1,D1643)),0), FactorTable!$A$2:$A$301,0), Skills!M18+1)</f>
        <v/>
      </c>
      <c r="F1643">
        <f>IF(Skills!N18=TRUE,(Skills!L18/10)*(E1643/1000),Skills!L18/10)+Skills!O18</f>
        <v/>
      </c>
      <c r="G1643">
        <f>Skills!G18*IF(Skills!H18&gt;0,Skills!I18/Skills!H18,1)</f>
        <v/>
      </c>
      <c r="H1643">
        <f>1-(1-Skills!J18/100)^Skills!K18</f>
        <v/>
      </c>
      <c r="I1643" t="inlineStr">
        <is>
          <t>1</t>
        </is>
      </c>
      <c r="J1643" t="inlineStr"/>
      <c r="K1643" t="inlineStr"/>
      <c r="L1643" t="inlineStr"/>
      <c r="M1643" t="inlineStr"/>
      <c r="N1643" t="inlineStr"/>
      <c r="O1643">
        <f>(1-Summary!$B$11)*T1643+Summary!$B$11*V1643</f>
        <v/>
      </c>
      <c r="P1643">
        <f>IF(B1664=0,0,O1643/B1664)</f>
        <v/>
      </c>
      <c r="Q1643">
        <f>IFERROR(1/(IF(Inputs!$B$38="pvp",15,MAX(0.1,Skills!D18-IF(Skills!E18=TRUE,Inputs!$B$32,0)))*(1-IF(AND(ArtifactsInput!$M$27,Inputs!$B$4="Chapter Hunt"),CHOOSE(ArtifactsInput!$N$27+1,20,24,28,32,36,40),0)/100)),0)</f>
        <v/>
      </c>
      <c r="R1643">
        <f>IF(AND(Inputs!$B$38&lt;&gt;"pvp",Inputs!$B$43&gt;0),IF(Inputs!$B$43&lt;=0,0,(INT(Inputs!$B$43/(IF(Inputs!$B$38="pvp",15,MAX(0.1,Skills!D18-IF(Skills!E18=TRUE,Inputs!$B$32,0)))*(1-IF(AND(ArtifactsInput!$M$27,Inputs!$B$4="Chapter Hunt"),CHOOSE(ArtifactsInput!$N$27+1,20,24,28,32,36,40),0)/100)))+1)),0)</f>
        <v/>
      </c>
      <c r="S1643">
        <f>IFERROR(O1643/N1643,0)</f>
        <v/>
      </c>
      <c r="T1643" t="n">
        <v>0</v>
      </c>
      <c r="V1643" t="n">
        <v>0</v>
      </c>
    </row>
    <row r="1644">
      <c r="A1644">
        <f>Skills!A19</f>
        <v/>
      </c>
      <c r="B1644">
        <f>Skills!B19</f>
        <v/>
      </c>
      <c r="C1644">
        <f>TRUE</f>
        <v/>
      </c>
      <c r="D1644">
        <f>IF(Skills!C19=1,60+Inputs!$B$25+Inputs!$B$29,IF(Skills!C19=2,90+Inputs!$B$26+Inputs!$B$29,IF(Skills!C19=3,120+Inputs!$B$27+Inputs!$B$29,MAX(0,(Inputs!$B$3-100)*3)+Inputs!$B$28+Inputs!$B$29)))</f>
        <v/>
      </c>
      <c r="E1644">
        <f>INDEX(FactorTable!$B$2:$Y$301, MATCH(ROUND(MIN(300,MAX(1,D1644)),0), FactorTable!$A$2:$A$301,0), Skills!M19+1)</f>
        <v/>
      </c>
      <c r="F1644">
        <f>IF(Skills!N19=TRUE,(Skills!L19/10)*(E1644/1000),Skills!L19/10)+Skills!O19</f>
        <v/>
      </c>
      <c r="G1644">
        <f>Skills!G19*IF(Skills!H19&gt;0,Skills!I19/Skills!H19,1)</f>
        <v/>
      </c>
      <c r="H1644">
        <f>1-(1-Skills!J19/100)^Skills!K19</f>
        <v/>
      </c>
      <c r="I1644" t="inlineStr">
        <is>
          <t>1</t>
        </is>
      </c>
      <c r="J1644" t="inlineStr"/>
      <c r="K1644" t="inlineStr"/>
      <c r="L1644" t="inlineStr"/>
      <c r="M1644" t="inlineStr"/>
      <c r="N1644" t="inlineStr"/>
      <c r="O1644">
        <f>(1-Summary!$B$11)*T1644+Summary!$B$11*V1644</f>
        <v/>
      </c>
      <c r="P1644">
        <f>IF(B1664=0,0,O1644/B1664)</f>
        <v/>
      </c>
      <c r="Q1644">
        <f>IFERROR(1/(IF(Inputs!$B$38="pvp",15,MAX(0.1,Skills!D19-IF(Skills!E19=TRUE,Inputs!$B$32,0)))*(1-IF(AND(ArtifactsInput!$M$27,Inputs!$B$4="Chapter Hunt"),CHOOSE(ArtifactsInput!$N$27+1,20,24,28,32,36,40),0)/100)),0)</f>
        <v/>
      </c>
      <c r="R1644">
        <f>IF(AND(Inputs!$B$38&lt;&gt;"pvp",Inputs!$B$43&gt;0),IF(Inputs!$B$43&lt;=0,0,(INT(Inputs!$B$43/(IF(Inputs!$B$38="pvp",15,MAX(0.1,Skills!D19-IF(Skills!E19=TRUE,Inputs!$B$32,0)))*(1-IF(AND(ArtifactsInput!$M$27,Inputs!$B$4="Chapter Hunt"),CHOOSE(ArtifactsInput!$N$27+1,20,24,28,32,36,40),0)/100)))+1)),0)</f>
        <v/>
      </c>
      <c r="S1644">
        <f>IFERROR(O1644/N1644,0)</f>
        <v/>
      </c>
      <c r="T1644" t="n">
        <v>0</v>
      </c>
      <c r="V1644" t="n">
        <v>0</v>
      </c>
    </row>
    <row r="1645">
      <c r="A1645">
        <f>Skills!A20</f>
        <v/>
      </c>
      <c r="B1645">
        <f>Skills!B20</f>
        <v/>
      </c>
      <c r="C1645">
        <f>Inputs!$B$3&gt;=33</f>
        <v/>
      </c>
      <c r="D1645">
        <f>IF(Skills!C20=1,60+Inputs!$B$25+Inputs!$B$29,IF(Skills!C20=2,90+Inputs!$B$26+Inputs!$B$29,IF(Skills!C20=3,120+Inputs!$B$27+Inputs!$B$29,MAX(0,(Inputs!$B$3-100)*3)+Inputs!$B$28+Inputs!$B$29)))</f>
        <v/>
      </c>
      <c r="E1645">
        <f>INDEX(FactorTable!$B$2:$Y$301, MATCH(ROUND(MIN(300,MAX(1,D1645)),0), FactorTable!$A$2:$A$301,0), Skills!M20+1)</f>
        <v/>
      </c>
      <c r="F1645">
        <f>IF(Skills!N20=TRUE,(Skills!L20/10)*(E1645/1000),Skills!L20/10)+Skills!O20</f>
        <v/>
      </c>
      <c r="G1645">
        <f>Skills!G20*IF(Skills!H20&gt;0,Skills!I20/Skills!H20,1)</f>
        <v/>
      </c>
      <c r="H1645">
        <f>1-(1-Skills!J20/100)^Skills!K20</f>
        <v/>
      </c>
      <c r="I1645" t="inlineStr">
        <is>
          <t>1</t>
        </is>
      </c>
      <c r="J1645" t="inlineStr"/>
      <c r="K1645" t="inlineStr"/>
      <c r="L1645" t="inlineStr"/>
      <c r="M1645" t="inlineStr"/>
      <c r="N1645" t="inlineStr"/>
      <c r="O1645">
        <f>(1-Summary!$B$11)*T1645+Summary!$B$11*V1645</f>
        <v/>
      </c>
      <c r="P1645">
        <f>IF(B1664=0,0,O1645/B1664)</f>
        <v/>
      </c>
      <c r="Q1645" t="n">
        <v>0</v>
      </c>
      <c r="R1645" t="n">
        <v>0</v>
      </c>
      <c r="S1645">
        <f>IFERROR(O1645/N1645,0)</f>
        <v/>
      </c>
      <c r="T1645" t="n">
        <v>0</v>
      </c>
      <c r="V1645" t="n">
        <v>0</v>
      </c>
    </row>
    <row r="1646">
      <c r="A1646">
        <f>Skills!A21</f>
        <v/>
      </c>
      <c r="B1646">
        <f>Skills!B21</f>
        <v/>
      </c>
      <c r="C1646">
        <f>Inputs!$B$3&gt;=38</f>
        <v/>
      </c>
      <c r="D1646">
        <f>IF(Skills!C21=1,60+Inputs!$B$25+Inputs!$B$29,IF(Skills!C21=2,90+Inputs!$B$26+Inputs!$B$29,IF(Skills!C21=3,120+Inputs!$B$27+Inputs!$B$29,MAX(0,(Inputs!$B$3-100)*3)+Inputs!$B$28+Inputs!$B$29)))</f>
        <v/>
      </c>
      <c r="E1646">
        <f>INDEX(FactorTable!$B$2:$Y$301, MATCH(ROUND(MIN(300,MAX(1,D1646)),0), FactorTable!$A$2:$A$301,0), Skills!M21+1)</f>
        <v/>
      </c>
      <c r="F1646">
        <f>IF(Skills!N21=TRUE,(Skills!L21/10)*(E1646/1000),Skills!L21/10)+Skills!O21</f>
        <v/>
      </c>
      <c r="G1646">
        <f>Skills!G21*IF(Skills!H21&gt;0,Skills!I21/Skills!H21,1)</f>
        <v/>
      </c>
      <c r="H1646">
        <f>1-(1-Skills!J21/100)^Skills!K21</f>
        <v/>
      </c>
      <c r="I1646" t="inlineStr">
        <is>
          <t>1</t>
        </is>
      </c>
      <c r="J1646" t="inlineStr"/>
      <c r="K1646" t="inlineStr"/>
      <c r="L1646" t="inlineStr"/>
      <c r="M1646" t="inlineStr"/>
      <c r="N1646" t="inlineStr"/>
      <c r="O1646">
        <f>(1-Summary!$B$11)*T1646+Summary!$B$11*V1646</f>
        <v/>
      </c>
      <c r="P1646">
        <f>IF(B1664=0,0,O1646/B1664)</f>
        <v/>
      </c>
      <c r="Q1646" t="n">
        <v>0</v>
      </c>
      <c r="R1646" t="n">
        <v>0</v>
      </c>
      <c r="S1646">
        <f>IFERROR(O1646/N1646,0)</f>
        <v/>
      </c>
      <c r="T1646" t="n">
        <v>0</v>
      </c>
      <c r="V1646" t="n">
        <v>0</v>
      </c>
    </row>
    <row r="1647">
      <c r="A1647">
        <f>Skills!A22</f>
        <v/>
      </c>
      <c r="B1647">
        <f>Skills!B22</f>
        <v/>
      </c>
      <c r="C1647">
        <f>Inputs!$B$3&gt;=43</f>
        <v/>
      </c>
      <c r="D1647">
        <f>IF(Skills!C22=1,60+Inputs!$B$25+Inputs!$B$29,IF(Skills!C22=2,90+Inputs!$B$26+Inputs!$B$29,IF(Skills!C22=3,120+Inputs!$B$27+Inputs!$B$29,MAX(0,(Inputs!$B$3-100)*3)+Inputs!$B$28+Inputs!$B$29)))</f>
        <v/>
      </c>
      <c r="E1647">
        <f>INDEX(FactorTable!$B$2:$Y$301, MATCH(ROUND(MIN(300,MAX(1,D1647)),0), FactorTable!$A$2:$A$301,0), Skills!M22+1)</f>
        <v/>
      </c>
      <c r="F1647">
        <f>IF(Skills!N22=TRUE,(Skills!L22/10)*(E1647/1000),Skills!L22/10)+Skills!O22</f>
        <v/>
      </c>
      <c r="G1647">
        <f>Skills!G22*IF(Skills!H22&gt;0,Skills!I22/Skills!H22,1)</f>
        <v/>
      </c>
      <c r="H1647">
        <f>1-(1-Skills!J22/100)^Skills!K22</f>
        <v/>
      </c>
      <c r="I1647" t="inlineStr">
        <is>
          <t>1</t>
        </is>
      </c>
      <c r="J1647" t="inlineStr"/>
      <c r="K1647" t="inlineStr"/>
      <c r="L1647" t="inlineStr"/>
      <c r="M1647" t="inlineStr"/>
      <c r="N1647" t="inlineStr"/>
      <c r="O1647">
        <f>(1-Summary!$B$11)*T1647+Summary!$B$11*V1647</f>
        <v/>
      </c>
      <c r="P1647">
        <f>IF(B1664=0,0,O1647/B1664)</f>
        <v/>
      </c>
      <c r="Q1647" t="n">
        <v>0</v>
      </c>
      <c r="R1647" t="n">
        <v>0</v>
      </c>
      <c r="S1647">
        <f>IFERROR(O1647/N1647,0)</f>
        <v/>
      </c>
      <c r="T1647" t="n">
        <v>0</v>
      </c>
      <c r="V1647" t="n">
        <v>0</v>
      </c>
    </row>
    <row r="1648">
      <c r="A1648">
        <f>Skills!A23</f>
        <v/>
      </c>
      <c r="B1648">
        <f>Skills!B23</f>
        <v/>
      </c>
      <c r="C1648">
        <f>Inputs!$B$3&gt;=120</f>
        <v/>
      </c>
      <c r="D1648">
        <f>IF(Skills!C23=1,60+Inputs!$B$25+Inputs!$B$29,IF(Skills!C23=2,90+Inputs!$B$26+Inputs!$B$29,IF(Skills!C23=3,120+Inputs!$B$27+Inputs!$B$29,MAX(0,(Inputs!$B$3-100)*3)+Inputs!$B$28+Inputs!$B$29)))</f>
        <v/>
      </c>
      <c r="E1648">
        <f>INDEX(FactorTable!$B$2:$Y$301, MATCH(ROUND(MIN(300,MAX(1,D1648)),0), FactorTable!$A$2:$A$301,0), Skills!M23+1)</f>
        <v/>
      </c>
      <c r="F1648">
        <f>IF(Skills!N23=TRUE,(Skills!L23/10)*(E1648/1000),Skills!L23/10)+Skills!O23</f>
        <v/>
      </c>
      <c r="G1648">
        <f>Skills!G23*IF(Skills!H23&gt;0,Skills!I23/Skills!H23,1)</f>
        <v/>
      </c>
      <c r="H1648">
        <f>1-(1-Skills!J23/100)^Skills!K23</f>
        <v/>
      </c>
      <c r="I1648" t="inlineStr">
        <is>
          <t>1</t>
        </is>
      </c>
      <c r="J1648" t="inlineStr"/>
      <c r="K1648" t="inlineStr"/>
      <c r="L1648" t="inlineStr"/>
      <c r="M1648" t="inlineStr"/>
      <c r="N1648" t="inlineStr"/>
      <c r="O1648">
        <f>(1-Summary!$B$11)*T1648+Summary!$B$11*V1648</f>
        <v/>
      </c>
      <c r="P1648">
        <f>IF(B1664=0,0,O1648/B1664)</f>
        <v/>
      </c>
      <c r="Q1648" t="n">
        <v>0</v>
      </c>
      <c r="R1648" t="n">
        <v>0</v>
      </c>
      <c r="S1648">
        <f>IFERROR(O1648/N1648,0)</f>
        <v/>
      </c>
      <c r="T1648" t="n">
        <v>0</v>
      </c>
      <c r="V1648" t="n">
        <v>0</v>
      </c>
    </row>
    <row r="1649">
      <c r="A1649">
        <f>Skills!A24</f>
        <v/>
      </c>
      <c r="B1649">
        <f>Skills!B24</f>
        <v/>
      </c>
      <c r="C1649">
        <f>Inputs!$B$3&gt;=120</f>
        <v/>
      </c>
      <c r="D1649">
        <f>IF(Skills!C24=1,60+Inputs!$B$25+Inputs!$B$29,IF(Skills!C24=2,90+Inputs!$B$26+Inputs!$B$29,IF(Skills!C24=3,120+Inputs!$B$27+Inputs!$B$29,MAX(0,(Inputs!$B$3-100)*3)+Inputs!$B$28+Inputs!$B$29)))</f>
        <v/>
      </c>
      <c r="E1649">
        <f>INDEX(FactorTable!$B$2:$Y$301, MATCH(ROUND(MIN(300,MAX(1,D1649)),0), FactorTable!$A$2:$A$301,0), Skills!M24+1)</f>
        <v/>
      </c>
      <c r="F1649">
        <f>IF(Skills!N24=TRUE,(Skills!L24/10)*(E1649/1000),Skills!L24/10)+Skills!O24</f>
        <v/>
      </c>
      <c r="G1649">
        <f>Skills!G24*IF(Skills!H24&gt;0,Skills!I24/Skills!H24,1)</f>
        <v/>
      </c>
      <c r="H1649">
        <f>1-(1-Skills!J24/100)^Skills!K24</f>
        <v/>
      </c>
      <c r="I1649" t="inlineStr">
        <is>
          <t>1</t>
        </is>
      </c>
      <c r="J1649" t="inlineStr"/>
      <c r="K1649" t="inlineStr"/>
      <c r="L1649" t="inlineStr"/>
      <c r="M1649" t="inlineStr"/>
      <c r="N1649" t="inlineStr"/>
      <c r="O1649">
        <f>(1-Summary!$B$11)*T1649+Summary!$B$11*V1649</f>
        <v/>
      </c>
      <c r="P1649">
        <f>IF(B1664=0,0,O1649/B1664)</f>
        <v/>
      </c>
      <c r="Q1649" t="n">
        <v>0</v>
      </c>
      <c r="R1649" t="n">
        <v>0</v>
      </c>
      <c r="S1649">
        <f>IFERROR(O1649/N1649,0)</f>
        <v/>
      </c>
      <c r="T1649" t="n">
        <v>0</v>
      </c>
      <c r="V1649" t="n">
        <v>0</v>
      </c>
    </row>
    <row r="1650">
      <c r="A1650">
        <f>Skills!A25</f>
        <v/>
      </c>
      <c r="B1650">
        <f>Skills!B25</f>
        <v/>
      </c>
      <c r="C1650">
        <f>Inputs!$B$3&gt;=125</f>
        <v/>
      </c>
      <c r="D1650">
        <f>IF(Skills!C25=1,60+Inputs!$B$25+Inputs!$B$29,IF(Skills!C25=2,90+Inputs!$B$26+Inputs!$B$29,IF(Skills!C25=3,120+Inputs!$B$27+Inputs!$B$29,MAX(0,(Inputs!$B$3-100)*3)+Inputs!$B$28+Inputs!$B$29)))</f>
        <v/>
      </c>
      <c r="E1650">
        <f>INDEX(FactorTable!$B$2:$Y$301, MATCH(ROUND(MIN(300,MAX(1,D1650)),0), FactorTable!$A$2:$A$301,0), Skills!M25+1)</f>
        <v/>
      </c>
      <c r="F1650">
        <f>IF(Skills!N25=TRUE,(Skills!L25/10)*(E1650/1000),Skills!L25/10)+Skills!O25</f>
        <v/>
      </c>
      <c r="G1650">
        <f>Skills!G25*IF(Skills!H25&gt;0,Skills!I25/Skills!H25,1)</f>
        <v/>
      </c>
      <c r="H1650">
        <f>1-(1-Skills!J25/100)^Skills!K25</f>
        <v/>
      </c>
      <c r="I1650" t="inlineStr">
        <is>
          <t>1</t>
        </is>
      </c>
      <c r="J1650" t="inlineStr"/>
      <c r="K1650" t="inlineStr"/>
      <c r="L1650" t="inlineStr"/>
      <c r="M1650" t="inlineStr"/>
      <c r="N1650" t="inlineStr"/>
      <c r="O1650">
        <f>(1-Summary!$B$11)*T1650+Summary!$B$11*V1650</f>
        <v/>
      </c>
      <c r="P1650">
        <f>IF(B1664=0,0,O1650/B1664)</f>
        <v/>
      </c>
      <c r="Q1650" t="n">
        <v>0</v>
      </c>
      <c r="R1650" t="n">
        <v>0</v>
      </c>
      <c r="S1650">
        <f>IFERROR(O1650/N1650,0)</f>
        <v/>
      </c>
      <c r="T1650" t="n">
        <v>0</v>
      </c>
      <c r="V1650" t="n">
        <v>0</v>
      </c>
    </row>
    <row r="1651">
      <c r="A1651">
        <f>Skills!A26</f>
        <v/>
      </c>
      <c r="B1651">
        <f>Skills!B26</f>
        <v/>
      </c>
      <c r="C1651">
        <f>Inputs!$B$3&gt;=72</f>
        <v/>
      </c>
      <c r="D1651">
        <f>IF(Skills!C26=1,60+Inputs!$B$25+Inputs!$B$29,IF(Skills!C26=2,90+Inputs!$B$26+Inputs!$B$29,IF(Skills!C26=3,120+Inputs!$B$27+Inputs!$B$29,MAX(0,(Inputs!$B$3-100)*3)+Inputs!$B$28+Inputs!$B$29)))</f>
        <v/>
      </c>
      <c r="E1651">
        <f>INDEX(FactorTable!$B$2:$Y$301, MATCH(ROUND(MIN(300,MAX(1,D1651)),0), FactorTable!$A$2:$A$301,0), Skills!M26+1)</f>
        <v/>
      </c>
      <c r="F1651">
        <f>IF(Skills!N26=TRUE,(Skills!L26/10)*(E1651/1000),Skills!L26/10)+Skills!O26</f>
        <v/>
      </c>
      <c r="G1651">
        <f>Skills!G26*IF(Skills!H26&gt;0,Skills!I26/Skills!H26,1)</f>
        <v/>
      </c>
      <c r="H1651">
        <f>1-(1-Skills!J26/100)^Skills!K26</f>
        <v/>
      </c>
      <c r="I1651" t="inlineStr">
        <is>
          <t>1</t>
        </is>
      </c>
      <c r="J1651" t="inlineStr"/>
      <c r="K1651" t="inlineStr"/>
      <c r="L1651" t="inlineStr"/>
      <c r="M1651" t="inlineStr"/>
      <c r="N1651" t="inlineStr"/>
      <c r="O1651">
        <f>(1-Summary!$B$11)*T1651+Summary!$B$11*V1651</f>
        <v/>
      </c>
      <c r="P1651">
        <f>IF(B1664=0,0,O1651/B1664)</f>
        <v/>
      </c>
      <c r="Q1651" t="n">
        <v>0</v>
      </c>
      <c r="R1651" t="n">
        <v>0</v>
      </c>
      <c r="S1651">
        <f>IFERROR(O1651/N1651,0)</f>
        <v/>
      </c>
      <c r="T1651" t="n">
        <v>0</v>
      </c>
      <c r="V1651" t="n">
        <v>0</v>
      </c>
    </row>
    <row r="1653">
      <c r="A1653" t="inlineStr">
        <is>
          <t>Attack% Bucket Multiplier</t>
        </is>
      </c>
      <c r="B1653">
        <f>(1+(((C1638=TRUE)*F1638*IF(Inputs!$B$3&gt;=110,7,5))+((C1640=TRUE)*F1640*IF(AND(Inputs!$B$38&lt;&gt;"pvp",Inputs!$B$43&gt;0),(((R1640-1)*(Skills!T15*(1+(Inputs!$B$34+(ArtifactsInput!$M$7-ArtifactsInput!$M$7)*CHOOSE(ArtifactsInput!$N$7+1,6,7.2,8.4,9.6,10.8,12))/100))+MIN((Skills!T15*(1+(Inputs!$B$34+(ArtifactsInput!$M$7-ArtifactsInput!$M$7)*CHOOSE(ArtifactsInput!$N$7+1,6,7.2,8.4,9.6,10.8,12))/100)),MAX(0,Inputs!$B$43-((R1640-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54">
      <c r="A1654" t="inlineStr">
        <is>
          <t>Global Crit Rate Bonus %</t>
        </is>
      </c>
      <c r="B1654" t="n">
        <v>0</v>
      </c>
    </row>
    <row r="1655">
      <c r="A1655" t="inlineStr">
        <is>
          <t>Attack Speed Buff Bonus %</t>
        </is>
      </c>
      <c r="B1655">
        <f>((C1644=TRUE)*F1644*IF(AND(Inputs!$B$38&lt;&gt;"pvp",Inputs!$B$43&gt;0),(((R1644-1)*(Skills!T19*(1+(Inputs!$B$34+(ArtifactsInput!$M$7-ArtifactsInput!$M$7)*CHOOSE(ArtifactsInput!$N$7+1,6,7.2,8.4,9.6,10.8,12))/100))+MIN((Skills!T19*(1+(Inputs!$B$34+(ArtifactsInput!$M$7-ArtifactsInput!$M$7)*CHOOSE(ArtifactsInput!$N$7+1,6,7.2,8.4,9.6,10.8,12))/100)),MAX(0,Inputs!$B$43-((R1644-1)*Skills!D19))))/Inputs!$B$43),IF(Inputs!$B$38="pvp",MIN((Skills!T19*(1+(Inputs!$B$34+(ArtifactsInput!$M$7-ArtifactsInput!$M$7)*CHOOSE(ArtifactsInput!$N$7+1,6,7.2,8.4,9.6,10.8,12))/100)),15)/15,(Skills!T19*(1+(Inputs!$B$34+(ArtifactsInput!$M$7-ArtifactsInput!$M$7)*CHOOSE(ArtifactsInput!$N$7+1,6,7.2,8.4,9.6,10.8,12))/100))/Skills!D19)))</f>
        <v/>
      </c>
    </row>
    <row r="1656">
      <c r="A1656" t="inlineStr">
        <is>
          <t>Actions Per Second</t>
        </is>
      </c>
      <c r="B1656">
        <f>1+MIN(150,150*(1-(1-(Inputs!$B$11+((C1645=TRUE)*(F1645-Calc!F20)))/150)*(1-B1655/150)))/100</f>
        <v/>
      </c>
    </row>
    <row r="1657">
      <c r="A1657" t="inlineStr">
        <is>
          <t>Skill + Buff Cast Rate</t>
        </is>
      </c>
      <c r="B1657">
        <f>IF(AND(Inputs!$B$38&lt;&gt;"pvp",Inputs!$B$43&gt;0),SUMPRODUCT((Skills!E2:E26=TRUE)*(C1627:C1651=TRUE)*R1627:R1651*Skills!F2:F26)/Inputs!$B$43,SUMPRODUCT((Skills!E2:E26=TRUE)*(C1627:C1651=TRUE)*Q1627:Q1651*Skills!F2:F26))</f>
        <v/>
      </c>
    </row>
    <row r="1658">
      <c r="A1658" t="inlineStr">
        <is>
          <t>Raging Blow Casts Per Second</t>
        </is>
      </c>
      <c r="B1658">
        <f>MAX(0,B1656-B1657)</f>
        <v/>
      </c>
    </row>
    <row r="1659">
      <c r="A1659" t="inlineStr">
        <is>
          <t>Global Critical Damage Bonus % (Enrage)</t>
        </is>
      </c>
      <c r="B1659">
        <f>((C1643=TRUE)*F1643*IF(AND(Inputs!$B$38&lt;&gt;"pvp",Inputs!$B$43&gt;0),(((R1643-1)*(Skills!T18*(1+(Inputs!$B$34+(ArtifactsInput!$M$7-ArtifactsInput!$M$7)*CHOOSE(ArtifactsInput!$N$7+1,6,7.2,8.4,9.6,10.8,12))/100))+MIN((Skills!T18*(1+(Inputs!$B$34+(ArtifactsInput!$M$7-ArtifactsInput!$M$7)*CHOOSE(ArtifactsInput!$N$7+1,6,7.2,8.4,9.6,10.8,12))/100)),MAX(0,Inputs!$B$43-((R1643-1)*Skills!D18))))/Inputs!$B$43),IF(Inputs!$B$38="pvp",MIN((Skills!T18*(1+(Inputs!$B$34+(ArtifactsInput!$M$7-ArtifactsInput!$M$7)*CHOOSE(ArtifactsInput!$N$7+1,6,7.2,8.4,9.6,10.8,12))/100)),15)/15,(Skills!T18*(1+(Inputs!$B$34+(ArtifactsInput!$M$7-ArtifactsInput!$M$7)*CHOOSE(ArtifactsInput!$N$7+1,6,7.2,8.4,9.6,10.8,12))/100))/Skills!D18)))</f>
        <v/>
      </c>
    </row>
    <row r="1660">
      <c r="A1660" t="inlineStr">
        <is>
          <t>Global Final Damage Bonus % (Enrage + Combo Synergy)</t>
        </is>
      </c>
      <c r="B1660">
        <f>((C1642=TRUE)*F1642*IF(AND(Inputs!$B$38&lt;&gt;"pvp",Inputs!$B$43&gt;0),(((R1642-1)*(Skills!T17*(1+(Inputs!$B$34+(ArtifactsInput!$M$7-ArtifactsInput!$M$7)*CHOOSE(ArtifactsInput!$N$7+1,6,7.2,8.4,9.6,10.8,12))/100))+MIN((Skills!T17*(1+(Inputs!$B$34+(ArtifactsInput!$M$7-ArtifactsInput!$M$7)*CHOOSE(ArtifactsInput!$N$7+1,6,7.2,8.4,9.6,10.8,12))/100)),MAX(0,Inputs!$B$43-((R1642-1)*Skills!D17))))/Inputs!$B$43),IF(Inputs!$B$38="pvp",MIN((Skills!T17*(1+(Inputs!$B$34+(ArtifactsInput!$M$7-ArtifactsInput!$M$7)*CHOOSE(ArtifactsInput!$N$7+1,6,7.2,8.4,9.6,10.8,12))/100)),15)/15,(Skills!T17*(1+(Inputs!$B$34+(ArtifactsInput!$M$7-ArtifactsInput!$M$7)*CHOOSE(ArtifactsInput!$N$7+1,6,7.2,8.4,9.6,10.8,12))/100))/Skills!D17)))+((C1639=TRUE)*F1639*IF(Inputs!$B$3&gt;=110,7,5))</f>
        <v/>
      </c>
    </row>
    <row r="1661">
      <c r="A1661" t="inlineStr">
        <is>
          <t>Buff-Casting Startup Delay (s, fixed-duration only)</t>
        </is>
      </c>
      <c r="B1661">
        <f>IF(AND(Inputs!$B$38&lt;&gt;"pvp",Inputs!$B$43&gt;0),SUMPRODUCT((Skills!T2:T26&gt;0)*(Skills!E2:E26=TRUE)*(C1627:C1651=TRUE))/B1656,0)</f>
        <v/>
      </c>
    </row>
    <row r="1662">
      <c r="A1662" t="inlineStr">
        <is>
          <t>Boss-Only Total DPS (this block's swept value)</t>
        </is>
      </c>
      <c r="B1662">
        <f>SUM(T1627:T1651)</f>
        <v/>
      </c>
    </row>
    <row r="1663">
      <c r="A1663" t="inlineStr">
        <is>
          <t>Normal-Only Total DPS (this block's swept value)</t>
        </is>
      </c>
      <c r="B1663">
        <f>SUM(V1627:V1651)</f>
        <v/>
      </c>
    </row>
    <row r="1664">
      <c r="A1664" s="6" t="inlineStr">
        <is>
          <t>TOTAL DPS</t>
        </is>
      </c>
      <c r="B1664" s="6">
        <f>SUM(O1627:O1651)</f>
        <v/>
      </c>
    </row>
    <row r="1667">
      <c r="A1667" s="6" t="inlineStr">
        <is>
          <t>Stat: Pink Bean's Giant Rib (Equip)</t>
        </is>
      </c>
    </row>
    <row r="1668">
      <c r="A1668" s="5" t="inlineStr">
        <is>
          <t>Key</t>
        </is>
      </c>
      <c r="B1668" s="5" t="inlineStr">
        <is>
          <t>Name</t>
        </is>
      </c>
      <c r="C1668" s="5" t="inlineStr">
        <is>
          <t>Unlocked</t>
        </is>
      </c>
      <c r="D1668" s="5" t="inlineStr">
        <is>
          <t>InputLevel</t>
        </is>
      </c>
      <c r="E1668" s="5" t="inlineStr">
        <is>
          <t>Factor</t>
        </is>
      </c>
      <c r="F1668" s="5" t="inlineStr">
        <is>
          <t>CoefficientPercent</t>
        </is>
      </c>
      <c r="G1668" s="5" t="inlineStr">
        <is>
          <t>EffectiveHits</t>
        </is>
      </c>
      <c r="H1668" s="5" t="inlineStr">
        <is>
          <t>ProcProbability</t>
        </is>
      </c>
      <c r="I1668" s="5" t="inlineStr">
        <is>
          <t>MapleHeroMultiplier</t>
        </is>
      </c>
      <c r="J1668" s="5" t="inlineStr">
        <is>
          <t>BaseDamage</t>
        </is>
      </c>
      <c r="K1668" s="5" t="inlineStr">
        <is>
          <t>BaseHitDamage</t>
        </is>
      </c>
      <c r="L1668" s="5" t="inlineStr">
        <is>
          <t>NonCritAvg</t>
        </is>
      </c>
      <c r="M1668" s="5" t="inlineStr">
        <is>
          <t>CritAvg</t>
        </is>
      </c>
      <c r="N1668" s="5" t="inlineStr">
        <is>
          <t>ExpectedDamage(perHit)</t>
        </is>
      </c>
      <c r="O1668" s="5" t="inlineStr">
        <is>
          <t>DPS</t>
        </is>
      </c>
      <c r="P1668" s="5" t="inlineStr">
        <is>
          <t>% of Total</t>
        </is>
      </c>
      <c r="Q1668" s="5" t="inlineStr">
        <is>
          <t>InvCooldown</t>
        </is>
      </c>
      <c r="R1668" s="5" t="inlineStr">
        <is>
          <t>CastsInFight</t>
        </is>
      </c>
      <c r="S1668" s="5" t="inlineStr">
        <is>
          <t>HitRate(perSec)</t>
        </is>
      </c>
      <c r="U1668" t="inlineStr">
        <is>
          <t>helpers</t>
        </is>
      </c>
    </row>
    <row r="1669">
      <c r="A1669">
        <f>Skills!A2</f>
        <v/>
      </c>
      <c r="B1669">
        <f>Skills!B2</f>
        <v/>
      </c>
      <c r="C1669">
        <f>Inputs!$B$3&gt;=100</f>
        <v/>
      </c>
      <c r="D1669" t="inlineStr"/>
      <c r="E1669" t="inlineStr"/>
      <c r="F1669">
        <f>U1671+Skills!O2</f>
        <v/>
      </c>
      <c r="G1669">
        <f>Skills!G2*IF(Skills!H2&gt;0,Skills!I2/Skills!H2,1)</f>
        <v/>
      </c>
      <c r="H1669">
        <f>1-(1-Skills!J2/100)^Skills!K2</f>
        <v/>
      </c>
      <c r="I1669" t="inlineStr">
        <is>
          <t>1</t>
        </is>
      </c>
      <c r="J1669">
        <f>((Inputs!$B$6*(1+Inputs!$B$7/100))+(((Inputs!$B$12*(1+Inputs!$B$13/100))-(Inputs!$B$12*(1+Inputs!$B$13/100)))+0.25*(Inputs!$B$14-Inputs!$B$14))*(1+Inputs!$B$7/100))*(F1669/100)</f>
        <v/>
      </c>
      <c r="K1669">
        <f>J1669*(1+((Inputs!$B$12*(1+Inputs!$B$13/100))*0.01+Inputs!$B$14*0.0025)/100)*(1+Inputs!$B$15/100)*(1+Inputs!$B$16/100)*(5000/(6000+Inputs!$B$42*(1-(100*(1-(1-(Inputs!$B$19+0)/100)*(1-CHOOSE(ArtifactsInput!$N$40+1,5,6,7,8,9,10)/100)^(ArtifactsInput!$M$40-ArtifactsInput!$M$40)))/100)))*(1+(Inputs!$B$24+((C1692=TRUE)*(F1692-Calc!F25))+B1702)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1688=TRUE)*(F1688-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1690=TRUE)*(F1690-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1680=TRUE)*F1680*IF(Inputs!$B$3&gt;=110,7,5))+((C1682=TRUE)*F1682*IF(AND(Inputs!$B$38&lt;&gt;"pvp",Inputs!$B$43&gt;0),(((R1682-1)*(Skills!T15*(1+(Inputs!$B$34+(ArtifactsInput!$M$7-ArtifactsInput!$M$7)*CHOOSE(ArtifactsInput!$N$7+1,6,7.2,8.4,9.6,10.8,12))/100))+MIN((Skills!T15*(1+(Inputs!$B$34+(ArtifactsInput!$M$7-ArtifactsInput!$M$7)*CHOOSE(ArtifactsInput!$N$7+1,6,7.2,8.4,9.6,10.8,12))/100)),MAX(0,Inputs!$B$43-((R1682-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Hunt"),CHOOSE(ArtifactsInput!$N$35+1,15,18,21,24,27,30)*(1-EXP(-(0.2*B1698)*5)),0)+IF(AND(ArtifactsInput!$M$22,Inputs!$B$4&lt;&gt;"Chapter Hunt"),CHOOSE(ArtifactsInput!$N$22+1,10,12,14,16,18,20)*((0*(((0.15*B1698*5))^0/1)+1*(((0.15*B1698*5))^1/1)+2*(((0.15*B1698*5))^2/2)+3*(((0.15*B1698*5))^3/6)+4*(((0.15*B1698*5))^4/24)+5*(((0.15*B1698*5))^5/120))/((((0.15*B1698*5))^0/1)+(((0.15*B1698*5))^1/1)+(((0.15*B1698*5))^2/2)+(((0.15*B1698*5))^3/6)+(((0.15*B1698*5))^4/24)+(((0.15*B1698*5))^5/120))),0)))/100)*I1669)</f>
        <v/>
      </c>
      <c r="L1669">
        <f>K1669*(MIN(Inputs!$B$22+((C1689=TRUE)*(F1689-Calc!F22)),(Inputs!$B$23+((C1691=TRUE)*(F1691-Calc!F24))+(IF(ArtifactsInput!$M$15,CHOOSE(ArtifactsInput!$N$15+1,25,30,35,40,45,50)/100*(Inputs!$B$11-Inputs!$B$11),0))))/100+(Inputs!$B$23+((C1691=TRUE)*(F1691-Calc!F24))+(IF(ArtifactsInput!$M$15,CHOOSE(ArtifactsInput!$N$15+1,25,30,35,40,45,50)/100*(Inputs!$B$11-Inputs!$B$11),0)))/100)/2</f>
        <v/>
      </c>
      <c r="M1669">
        <f>L1669*(1+(Inputs!$B$10+0+B1701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9">
        <f>L1669*(1-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1669*(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9">
        <f>(1-Summary!$B$11)*T1669+Summary!$B$11*V1669</f>
        <v/>
      </c>
      <c r="P1669">
        <f>IF(B1706=0,0,O1669/B1706)</f>
        <v/>
      </c>
      <c r="Q1669" t="n">
        <v>0</v>
      </c>
      <c r="R1669" t="n">
        <v>0</v>
      </c>
      <c r="S1669">
        <f>IFERROR(O1669/N1669,0)</f>
        <v/>
      </c>
      <c r="T1669">
        <f>IF(C1669,(Skills!G2*N1669*B1700)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1669*(1-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1669*(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1669*(1-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1669*(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69">
        <f>MAX(0,(Inputs!$B$3-100)*3)+Inputs!$B$28+Inputs!$B$29</f>
        <v/>
      </c>
      <c r="V1669">
        <f>IF(C1669,(Skills!G2*N1669*B1700)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0">
      <c r="A1670">
        <f>Skills!A3</f>
        <v/>
      </c>
      <c r="B1670">
        <f>Skills!B3</f>
        <v/>
      </c>
      <c r="C1670">
        <f>Inputs!$B$3&gt;=50</f>
        <v/>
      </c>
      <c r="D1670">
        <f>IF(Skills!C3=1,60+Inputs!$B$25+Inputs!$B$29,IF(Skills!C3=2,90+Inputs!$B$26+Inputs!$B$29,IF(Skills!C3=3,120+Inputs!$B$27+Inputs!$B$29,MAX(0,(Inputs!$B$3-100)*3)+Inputs!$B$28+Inputs!$B$29)))</f>
        <v/>
      </c>
      <c r="E1670">
        <f>INDEX(FactorTable!$B$2:$Y$301, MATCH(ROUND(MIN(300,MAX(1,D1670)),0), FactorTable!$A$2:$A$301,0), Skills!M3+1)</f>
        <v/>
      </c>
      <c r="F1670">
        <f>IF(Skills!N3=TRUE,(Skills!L3/10)*(E1670/1000),Skills!L3/10)+Skills!O3</f>
        <v/>
      </c>
      <c r="G1670" t="inlineStr"/>
      <c r="H1670" t="inlineStr"/>
      <c r="I1670" t="inlineStr">
        <is>
          <t>1</t>
        </is>
      </c>
      <c r="J1670" t="inlineStr"/>
      <c r="K1670" t="inlineStr"/>
      <c r="L1670" t="inlineStr"/>
      <c r="M1670" t="inlineStr"/>
      <c r="N1670" t="inlineStr"/>
      <c r="O1670" t="inlineStr"/>
      <c r="P1670" t="inlineStr"/>
      <c r="Q1670" t="inlineStr"/>
      <c r="R1670" t="inlineStr"/>
      <c r="S1670" t="inlineStr"/>
      <c r="U1670">
        <f>INDEX(FactorTable!$B$2:$Y$301, MATCH(ROUND(MIN(300,MAX(1,U1669)),0), FactorTable!$A$2:$A$301,0), 22)</f>
        <v/>
      </c>
    </row>
    <row r="1671">
      <c r="A1671">
        <f>Skills!A4</f>
        <v/>
      </c>
      <c r="B1671">
        <f>Skills!B4</f>
        <v/>
      </c>
      <c r="C1671">
        <f>Inputs!$B$3&gt;=105</f>
        <v/>
      </c>
      <c r="D1671">
        <f>IF(Skills!C4=1,60+Inputs!$B$25+Inputs!$B$29,IF(Skills!C4=2,90+Inputs!$B$26+Inputs!$B$29,IF(Skills!C4=3,120+Inputs!$B$27+Inputs!$B$29,MAX(0,(Inputs!$B$3-100)*3)+Inputs!$B$28+Inputs!$B$29)))</f>
        <v/>
      </c>
      <c r="E1671">
        <f>INDEX(FactorTable!$B$2:$Y$301, MATCH(ROUND(MIN(300,MAX(1,D1671)),0), FactorTable!$A$2:$A$301,0), Skills!M4+1)</f>
        <v/>
      </c>
      <c r="F1671">
        <f>IF(Skills!N4=TRUE,(Skills!L4/10)*(E1671/1000),Skills!L4/10)+Skills!O4</f>
        <v/>
      </c>
      <c r="G1671" t="inlineStr"/>
      <c r="H1671" t="inlineStr"/>
      <c r="I1671" t="inlineStr">
        <is>
          <t>1</t>
        </is>
      </c>
      <c r="J1671" t="inlineStr"/>
      <c r="K1671" t="inlineStr"/>
      <c r="L1671" t="inlineStr"/>
      <c r="M1671" t="inlineStr"/>
      <c r="N1671" t="inlineStr"/>
      <c r="O1671" t="inlineStr"/>
      <c r="P1671" t="inlineStr"/>
      <c r="Q1671" t="inlineStr"/>
      <c r="R1671" t="inlineStr"/>
      <c r="S1671" t="inlineStr"/>
      <c r="U1671">
        <f>290*U1670/1000</f>
        <v/>
      </c>
    </row>
    <row r="1672">
      <c r="A1672">
        <f>Skills!A5</f>
        <v/>
      </c>
      <c r="B1672">
        <f>Skills!B5</f>
        <v/>
      </c>
      <c r="C1672">
        <f>Inputs!$B$3&gt;=103</f>
        <v/>
      </c>
      <c r="D1672">
        <f>IF(Skills!C5=1,60+Inputs!$B$25+Inputs!$B$29,IF(Skills!C5=2,90+Inputs!$B$26+Inputs!$B$29,IF(Skills!C5=3,120+Inputs!$B$27+Inputs!$B$29,MAX(0,(Inputs!$B$3-100)*3)+Inputs!$B$28+Inputs!$B$29)))</f>
        <v/>
      </c>
      <c r="E1672">
        <f>INDEX(FactorTable!$B$2:$Y$301, MATCH(ROUND(MIN(300,MAX(1,D1672)),0), FactorTable!$A$2:$A$301,0), Skills!M5+1)</f>
        <v/>
      </c>
      <c r="F1672">
        <f>IF(Skills!N5=TRUE,(Skills!L5/10)*(E1672/1000),Skills!L5/10)+Skills!O5</f>
        <v/>
      </c>
      <c r="G1672">
        <f>Skills!G5*IF(Skills!H5&gt;0,Skills!I5/Skills!H5,1)</f>
        <v/>
      </c>
      <c r="H1672">
        <f>1-(1-Skills!J5/100)^Skills!K5</f>
        <v/>
      </c>
      <c r="I1672" t="inlineStr">
        <is>
          <t>1</t>
        </is>
      </c>
      <c r="J1672">
        <f>((Inputs!$B$6*(1+Inputs!$B$7/100))+(((Inputs!$B$12*(1+Inputs!$B$13/100))-(Inputs!$B$12*(1+Inputs!$B$13/100)))+0.25*(Inputs!$B$14-Inputs!$B$14))*(1+Inputs!$B$7/100))*(F1672/100)</f>
        <v/>
      </c>
      <c r="K1672">
        <f>J1672*(1+((Inputs!$B$12*(1+Inputs!$B$13/100))*0.01+Inputs!$B$14*0.0025)/100)*(1+Inputs!$B$15/100)*(1+Inputs!$B$16/100)*(5000/(6000+Inputs!$B$42*(1-(100*(1-(1-(Inputs!$B$19+0)/100)*(1-CHOOSE(ArtifactsInput!$N$40+1,5,6,7,8,9,10)/100)^(ArtifactsInput!$M$40-ArtifactsInput!$M$40)))/100)))*(1+(Inputs!$B$24+((C1692=TRUE)*(F1692-Calc!F25))+B1702)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1688=TRUE)*(F1688-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1690=TRUE)*(F1690-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1680=TRUE)*F1680*IF(Inputs!$B$3&gt;=110,7,5))+((C1682=TRUE)*F1682*IF(AND(Inputs!$B$38&lt;&gt;"pvp",Inputs!$B$43&gt;0),(((R1682-1)*(Skills!T15*(1+(Inputs!$B$34+(ArtifactsInput!$M$7-ArtifactsInput!$M$7)*CHOOSE(ArtifactsInput!$N$7+1,6,7.2,8.4,9.6,10.8,12))/100))+MIN((Skills!T15*(1+(Inputs!$B$34+(ArtifactsInput!$M$7-ArtifactsInput!$M$7)*CHOOSE(ArtifactsInput!$N$7+1,6,7.2,8.4,9.6,10.8,12))/100)),MAX(0,Inputs!$B$43-((R1682-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Hunt"),CHOOSE(ArtifactsInput!$N$35+1,15,18,21,24,27,30)*(1-EXP(-(0.2*B1698)*5)),0)+IF(AND(ArtifactsInput!$M$22,Inputs!$B$4&lt;&gt;"Chapter Hunt"),CHOOSE(ArtifactsInput!$N$22+1,10,12,14,16,18,20)*((0*(((0.15*B1698*5))^0/1)+1*(((0.15*B1698*5))^1/1)+2*(((0.15*B1698*5))^2/2)+3*(((0.15*B1698*5))^3/6)+4*(((0.15*B1698*5))^4/24)+5*(((0.15*B1698*5))^5/120))/((((0.15*B1698*5))^0/1)+(((0.15*B1698*5))^1/1)+(((0.15*B1698*5))^2/2)+(((0.15*B1698*5))^3/6)+(((0.15*B1698*5))^4/24)+(((0.15*B1698*5))^5/120))),0)))/100)*I1672)</f>
        <v/>
      </c>
      <c r="L1672">
        <f>K1672*(MIN(Inputs!$B$22+((C1689=TRUE)*(F1689-Calc!F22)),(Inputs!$B$23+((C1691=TRUE)*(F1691-Calc!F24))+(IF(ArtifactsInput!$M$15,CHOOSE(ArtifactsInput!$N$15+1,25,30,35,40,45,50)/100*(Inputs!$B$11-Inputs!$B$11),0))))/100+(Inputs!$B$23+((C1691=TRUE)*(F1691-Calc!F24))+(IF(ArtifactsInput!$M$15,CHOOSE(ArtifactsInput!$N$15+1,25,30,35,40,45,50)/100*(Inputs!$B$11-Inputs!$B$11),0)))/100)/2</f>
        <v/>
      </c>
      <c r="M1672">
        <f>L1672*(1+(Inputs!$B$10+0+B1701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2">
        <f>L1672*(1-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1672*(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2">
        <f>(1-Summary!$B$11)*T1672+Summary!$B$11*V1672</f>
        <v/>
      </c>
      <c r="P1672">
        <f>IF(B1706=0,0,O1672/B1706)</f>
        <v/>
      </c>
      <c r="Q1672">
        <f>IFERROR(1/(IF(Inputs!$B$38="pvp",15,MAX(0.1,Skills!D5-IF(Skills!E5=TRUE,Inputs!$B$32,0)))*(1-IF(AND(ArtifactsInput!$M$27,Inputs!$B$4="Chapter Hunt"),CHOOSE(ArtifactsInput!$N$27+1,20,24,28,32,36,40),0)/100)),0)</f>
        <v/>
      </c>
      <c r="R1672">
        <f>IF(AND(Inputs!$B$38&lt;&gt;"pvp",Inputs!$B$43&gt;0),IF(MAX(0,Inputs!$B$43-B1703)&lt;=0,0,(INT(MAX(0,Inputs!$B$43-B1703)/(IF(Inputs!$B$38="pvp",15,MAX(0.1,Skills!D5-IF(Skills!E5=TRUE,Inputs!$B$32,0)))*(1-IF(AND(ArtifactsInput!$M$27,Inputs!$B$4="Chapter Hunt"),CHOOSE(ArtifactsInput!$N$27+1,20,24,28,32,36,40),0)/100)))+1)),0)</f>
        <v/>
      </c>
      <c r="S1672">
        <f>IFERROR(O1672/N1672,0)</f>
        <v/>
      </c>
      <c r="T1672">
        <f>IF(C1672,(H1672*N1672*IF(AND(Inputs!$B$38&lt;&gt;"pvp",Inputs!$B$43&gt;0),((Skills!G5*((R1672-1)*IF(Skills!H5&gt;0,Skills!I5/Skills!H5,1)+IF(Skills!H5&gt;0,MIN(Skills!I5,MAX(0,MAX(0,Inputs!$B$43-B1703)-((R1672-1)*(IF(Inputs!$B$38="pvp",15,MAX(0.1,Skills!D5-IF(Skills!E5=TRUE,Inputs!$B$32,0)))*(1-IF(AND(ArtifactsInput!$M$27,Inputs!$B$4="Chapter Hunt"),CHOOSE(ArtifactsInput!$N$27+1,20,24,28,32,36,40),0)/100)))))/Skills!H5,1)))/Inputs!$B$43),G1672*Q1672)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1672*(1-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1672*(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1672*(1-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1672*(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2">
        <f>IF(C1672,(H1672*N1672*IF(AND(Inputs!$B$38&lt;&gt;"pvp",Inputs!$B$43&gt;0),((Skills!G5*((R1672-1)*IF(Skills!H5&gt;0,Skills!I5/Skills!H5,1)+IF(Skills!H5&gt;0,MIN(Skills!I5,MAX(0,MAX(0,Inputs!$B$43-B1703)-((R1672-1)*(IF(Inputs!$B$38="pvp",15,MAX(0.1,Skills!D5-IF(Skills!E5=TRUE,Inputs!$B$32,0)))*(1-IF(AND(ArtifactsInput!$M$27,Inputs!$B$4="Chapter Hunt"),CHOOSE(ArtifactsInput!$N$27+1,20,24,28,32,36,40),0)/100)))))/Skills!H5,1)))/Inputs!$B$43),G1672*Q1672)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3">
      <c r="A1673">
        <f>Skills!A6</f>
        <v/>
      </c>
      <c r="B1673">
        <f>Skills!B6</f>
        <v/>
      </c>
      <c r="C1673">
        <f>Inputs!$B$3&gt;=103</f>
        <v/>
      </c>
      <c r="D1673">
        <f>IF(Skills!C6=1,60+Inputs!$B$25+Inputs!$B$29,IF(Skills!C6=2,90+Inputs!$B$26+Inputs!$B$29,IF(Skills!C6=3,120+Inputs!$B$27+Inputs!$B$29,MAX(0,(Inputs!$B$3-100)*3)+Inputs!$B$28+Inputs!$B$29)))</f>
        <v/>
      </c>
      <c r="E1673">
        <f>INDEX(FactorTable!$B$2:$Y$301, MATCH(ROUND(MIN(300,MAX(1,D1673)),0), FactorTable!$A$2:$A$301,0), Skills!M6+1)</f>
        <v/>
      </c>
      <c r="F1673">
        <f>IF(Skills!N6=TRUE,(Skills!L6/10)*(E1673/1000),Skills!L6/10)+Skills!O6</f>
        <v/>
      </c>
      <c r="G1673">
        <f>Skills!G6*IF(Skills!H6&gt;0,Skills!I6/Skills!H6,1)</f>
        <v/>
      </c>
      <c r="H1673">
        <f>1-(1-Skills!J6/100)^Skills!K6</f>
        <v/>
      </c>
      <c r="I1673" t="inlineStr">
        <is>
          <t>1</t>
        </is>
      </c>
      <c r="J1673">
        <f>((Inputs!$B$6*(1+Inputs!$B$7/100))+(((Inputs!$B$12*(1+Inputs!$B$13/100))-(Inputs!$B$12*(1+Inputs!$B$13/100)))+0.25*(Inputs!$B$14-Inputs!$B$14))*(1+Inputs!$B$7/100))*(F1673/100)</f>
        <v/>
      </c>
      <c r="K1673">
        <f>J1673*(1+((Inputs!$B$12*(1+Inputs!$B$13/100))*0.01+Inputs!$B$14*0.0025)/100)*(1+Inputs!$B$15/100)*(1+Inputs!$B$16/100)*(5000/(6000+Inputs!$B$42*(1-(100*(1-(1-(Inputs!$B$19+0)/100)*(1-CHOOSE(ArtifactsInput!$N$40+1,5,6,7,8,9,10)/100)^(ArtifactsInput!$M$40-ArtifactsInput!$M$40)))/100)))*(1+(Inputs!$B$24+((C1692=TRUE)*(F1692-Calc!F25))+B1702)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1688=TRUE)*(F1688-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1690=TRUE)*(F1690-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1680=TRUE)*F1680*IF(Inputs!$B$3&gt;=110,7,5))+((C1682=TRUE)*F1682*IF(AND(Inputs!$B$38&lt;&gt;"pvp",Inputs!$B$43&gt;0),(((R1682-1)*(Skills!T15*(1+(Inputs!$B$34+(ArtifactsInput!$M$7-ArtifactsInput!$M$7)*CHOOSE(ArtifactsInput!$N$7+1,6,7.2,8.4,9.6,10.8,12))/100))+MIN((Skills!T15*(1+(Inputs!$B$34+(ArtifactsInput!$M$7-ArtifactsInput!$M$7)*CHOOSE(ArtifactsInput!$N$7+1,6,7.2,8.4,9.6,10.8,12))/100)),MAX(0,Inputs!$B$43-((R1682-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Hunt"),CHOOSE(ArtifactsInput!$N$35+1,15,18,21,24,27,30)*(1-EXP(-(0.2*B1698)*5)),0)+IF(AND(ArtifactsInput!$M$22,Inputs!$B$4&lt;&gt;"Chapter Hunt"),CHOOSE(ArtifactsInput!$N$22+1,10,12,14,16,18,20)*((0*(((0.15*B1698*5))^0/1)+1*(((0.15*B1698*5))^1/1)+2*(((0.15*B1698*5))^2/2)+3*(((0.15*B1698*5))^3/6)+4*(((0.15*B1698*5))^4/24)+5*(((0.15*B1698*5))^5/120))/((((0.15*B1698*5))^0/1)+(((0.15*B1698*5))^1/1)+(((0.15*B1698*5))^2/2)+(((0.15*B1698*5))^3/6)+(((0.15*B1698*5))^4/24)+(((0.15*B1698*5))^5/120))),0)))/100)*I1673)</f>
        <v/>
      </c>
      <c r="L1673">
        <f>K1673*(MIN(Inputs!$B$22+((C1689=TRUE)*(F1689-Calc!F22)),(Inputs!$B$23+((C1691=TRUE)*(F1691-Calc!F24))+(IF(ArtifactsInput!$M$15,CHOOSE(ArtifactsInput!$N$15+1,25,30,35,40,45,50)/100*(Inputs!$B$11-Inputs!$B$11),0))))/100+(Inputs!$B$23+((C1691=TRUE)*(F1691-Calc!F24))+(IF(ArtifactsInput!$M$15,CHOOSE(ArtifactsInput!$N$15+1,25,30,35,40,45,50)/100*(Inputs!$B$11-Inputs!$B$11),0)))/100)/2</f>
        <v/>
      </c>
      <c r="M1673">
        <f>L1673*(1+(Inputs!$B$10+0+B1701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3">
        <f>L1673*(1-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1673*(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3">
        <f>(1-Summary!$B$11)*T1673+Summary!$B$11*V1673</f>
        <v/>
      </c>
      <c r="P1673">
        <f>IF(B1706=0,0,O1673/B1706)</f>
        <v/>
      </c>
      <c r="Q1673">
        <f>IFERROR(1/(IF(Inputs!$B$38="pvp",15,MAX(0.1,Skills!D6-IF(Skills!E6=TRUE,Inputs!$B$32,0)))*(1-IF(AND(ArtifactsInput!$M$27,Inputs!$B$4="Chapter Hunt"),CHOOSE(ArtifactsInput!$N$27+1,20,24,28,32,36,40),0)/100)),0)</f>
        <v/>
      </c>
      <c r="R1673">
        <f>IF(AND(Inputs!$B$38&lt;&gt;"pvp",Inputs!$B$43&gt;0),IF(MAX(0,Inputs!$B$43-B1703)&lt;=0,0,(INT(MAX(0,Inputs!$B$43-B1703)/(IF(Inputs!$B$38="pvp",15,MAX(0.1,Skills!D6-IF(Skills!E6=TRUE,Inputs!$B$32,0)))*(1-IF(AND(ArtifactsInput!$M$27,Inputs!$B$4="Chapter Hunt"),CHOOSE(ArtifactsInput!$N$27+1,20,24,28,32,36,40),0)/100)))+1)),0)</f>
        <v/>
      </c>
      <c r="S1673">
        <f>IFERROR(O1673/N1673,0)</f>
        <v/>
      </c>
      <c r="T1673">
        <f>IF(C1673,(H1673*N1673*IF(AND(Inputs!$B$38&lt;&gt;"pvp",Inputs!$B$43&gt;0),((Skills!G6*((R1673-1)*IF(Skills!H6&gt;0,Skills!I6/Skills!H6,1)+IF(Skills!H6&gt;0,MIN(Skills!I6,MAX(0,MAX(0,Inputs!$B$43-B1703)-((R1673-1)*(IF(Inputs!$B$38="pvp",15,MAX(0.1,Skills!D6-IF(Skills!E6=TRUE,Inputs!$B$32,0)))*(1-IF(AND(ArtifactsInput!$M$27,Inputs!$B$4="Chapter Hunt"),CHOOSE(ArtifactsInput!$N$27+1,20,24,28,32,36,40),0)/100)))))/Skills!H6,1)))/Inputs!$B$43),G1673*Q1673)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1673*(1-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1673*(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1673*(1-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1673*(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3">
        <f>IF(C1673,(H1673*N1673*IF(AND(Inputs!$B$38&lt;&gt;"pvp",Inputs!$B$43&gt;0),((Skills!G6*((R1673-1)*IF(Skills!H6&gt;0,Skills!I6/Skills!H6,1)+IF(Skills!H6&gt;0,MIN(Skills!I6,MAX(0,MAX(0,Inputs!$B$43-B1703)-((R1673-1)*(IF(Inputs!$B$38="pvp",15,MAX(0.1,Skills!D6-IF(Skills!E6=TRUE,Inputs!$B$32,0)))*(1-IF(AND(ArtifactsInput!$M$27,Inputs!$B$4="Chapter Hunt"),CHOOSE(ArtifactsInput!$N$27+1,20,24,28,32,36,40),0)/100)))))/Skills!H6,1)))/Inputs!$B$43),G1673*Q1673)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4">
      <c r="A1674">
        <f>Skills!A7</f>
        <v/>
      </c>
      <c r="B1674">
        <f>Skills!B7</f>
        <v/>
      </c>
      <c r="C1674">
        <f>Inputs!$B$3&gt;=107</f>
        <v/>
      </c>
      <c r="D1674">
        <f>IF(Skills!C7=1,60+Inputs!$B$25+Inputs!$B$29,IF(Skills!C7=2,90+Inputs!$B$26+Inputs!$B$29,IF(Skills!C7=3,120+Inputs!$B$27+Inputs!$B$29,MAX(0,(Inputs!$B$3-100)*3)+Inputs!$B$28+Inputs!$B$29)))</f>
        <v/>
      </c>
      <c r="E1674">
        <f>INDEX(FactorTable!$B$2:$Y$301, MATCH(ROUND(MIN(300,MAX(1,D1674)),0), FactorTable!$A$2:$A$301,0), Skills!M7+1)</f>
        <v/>
      </c>
      <c r="F1674">
        <f>IF(Skills!N7=TRUE,(Skills!L7/10)*(E1674/1000),Skills!L7/10)+Skills!O7</f>
        <v/>
      </c>
      <c r="G1674">
        <f>Skills!G7*IF(Skills!H7&gt;0,Skills!I7/Skills!H7,1)</f>
        <v/>
      </c>
      <c r="H1674">
        <f>1-(1-Skills!J7/100)^Skills!K7</f>
        <v/>
      </c>
      <c r="I1674" t="inlineStr">
        <is>
          <t>1</t>
        </is>
      </c>
      <c r="J1674">
        <f>((Inputs!$B$6*(1+Inputs!$B$7/100))+(((Inputs!$B$12*(1+Inputs!$B$13/100))-(Inputs!$B$12*(1+Inputs!$B$13/100)))+0.25*(Inputs!$B$14-Inputs!$B$14))*(1+Inputs!$B$7/100))*(F1674/100)</f>
        <v/>
      </c>
      <c r="K1674">
        <f>J1674*(1+((Inputs!$B$12*(1+Inputs!$B$13/100))*0.01+Inputs!$B$14*0.0025)/100)*(1+Inputs!$B$15/100)*(1+Inputs!$B$16/100)*(5000/(6000+Inputs!$B$42*(1-(100*(1-(1-(Inputs!$B$19+0)/100)*(1-CHOOSE(ArtifactsInput!$N$40+1,5,6,7,8,9,10)/100)^(ArtifactsInput!$M$40-ArtifactsInput!$M$40)))/100)))*(1+(Inputs!$B$24+((C1692=TRUE)*(F1692-Calc!F25))+B1702)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1688=TRUE)*(F1688-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1690=TRUE)*(F1690-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1680=TRUE)*F1680*IF(Inputs!$B$3&gt;=110,7,5))+((C1682=TRUE)*F1682*IF(AND(Inputs!$B$38&lt;&gt;"pvp",Inputs!$B$43&gt;0),(((R1682-1)*(Skills!T15*(1+(Inputs!$B$34+(ArtifactsInput!$M$7-ArtifactsInput!$M$7)*CHOOSE(ArtifactsInput!$N$7+1,6,7.2,8.4,9.6,10.8,12))/100))+MIN((Skills!T15*(1+(Inputs!$B$34+(ArtifactsInput!$M$7-ArtifactsInput!$M$7)*CHOOSE(ArtifactsInput!$N$7+1,6,7.2,8.4,9.6,10.8,12))/100)),MAX(0,Inputs!$B$43-((R1682-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Hunt"),CHOOSE(ArtifactsInput!$N$35+1,15,18,21,24,27,30)*(1-EXP(-(0.2*B1698)*5)),0)+IF(AND(ArtifactsInput!$M$22,Inputs!$B$4&lt;&gt;"Chapter Hunt"),CHOOSE(ArtifactsInput!$N$22+1,10,12,14,16,18,20)*((0*(((0.15*B1698*5))^0/1)+1*(((0.15*B1698*5))^1/1)+2*(((0.15*B1698*5))^2/2)+3*(((0.15*B1698*5))^3/6)+4*(((0.15*B1698*5))^4/24)+5*(((0.15*B1698*5))^5/120))/((((0.15*B1698*5))^0/1)+(((0.15*B1698*5))^1/1)+(((0.15*B1698*5))^2/2)+(((0.15*B1698*5))^3/6)+(((0.15*B1698*5))^4/24)+(((0.15*B1698*5))^5/120))),0)))/100)*I1674)</f>
        <v/>
      </c>
      <c r="L1674">
        <f>K1674*(MIN(Inputs!$B$22+((C1689=TRUE)*(F1689-Calc!F22)),(Inputs!$B$23+((C1691=TRUE)*(F1691-Calc!F24))+(IF(ArtifactsInput!$M$15,CHOOSE(ArtifactsInput!$N$15+1,25,30,35,40,45,50)/100*(Inputs!$B$11-Inputs!$B$11),0))))/100+(Inputs!$B$23+((C1691=TRUE)*(F1691-Calc!F24))+(IF(ArtifactsInput!$M$15,CHOOSE(ArtifactsInput!$N$15+1,25,30,35,40,45,50)/100*(Inputs!$B$11-Inputs!$B$11),0)))/100)/2</f>
        <v/>
      </c>
      <c r="M1674">
        <f>L1674*(1+(Inputs!$B$10+0+B1701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4">
        <f>L1674*(1-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1674*(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4">
        <f>(1-Summary!$B$11)*T1674+Summary!$B$11*V1674</f>
        <v/>
      </c>
      <c r="P1674">
        <f>IF(B1706=0,0,O1674/B1706)</f>
        <v/>
      </c>
      <c r="Q1674">
        <f>IFERROR(1/(IF(Inputs!$B$38="pvp",15,MAX(0.1,Skills!D7-IF(Skills!E7=TRUE,Inputs!$B$32,0)))*(1-IF(AND(ArtifactsInput!$M$27,Inputs!$B$4="Chapter Hunt"),CHOOSE(ArtifactsInput!$N$27+1,20,24,28,32,36,40),0)/100)),0)</f>
        <v/>
      </c>
      <c r="R1674">
        <f>IF(AND(Inputs!$B$38&lt;&gt;"pvp",Inputs!$B$43&gt;0),IF(MAX(0,Inputs!$B$43-B1703)&lt;=0,0,(INT(MAX(0,Inputs!$B$43-B1703)/(IF(Inputs!$B$38="pvp",15,MAX(0.1,Skills!D7-IF(Skills!E7=TRUE,Inputs!$B$32,0)))*(1-IF(AND(ArtifactsInput!$M$27,Inputs!$B$4="Chapter Hunt"),CHOOSE(ArtifactsInput!$N$27+1,20,24,28,32,36,40),0)/100)))+1)),0)</f>
        <v/>
      </c>
      <c r="S1674">
        <f>IFERROR(O1674/N1674,0)</f>
        <v/>
      </c>
      <c r="T1674">
        <f>IF(C1674,(H1674*N1674*IF(AND(Inputs!$B$38&lt;&gt;"pvp",Inputs!$B$43&gt;0),((Skills!G7*((R1674-1)*IF(Skills!H7&gt;0,Skills!I7/Skills!H7,1)+IF(Skills!H7&gt;0,MIN(Skills!I7,MAX(0,MAX(0,Inputs!$B$43-B1703)-((R1674-1)*(IF(Inputs!$B$38="pvp",15,MAX(0.1,Skills!D7-IF(Skills!E7=TRUE,Inputs!$B$32,0)))*(1-IF(AND(ArtifactsInput!$M$27,Inputs!$B$4="Chapter Hunt"),CHOOSE(ArtifactsInput!$N$27+1,20,24,28,32,36,40),0)/100)))))/Skills!H7,1)))/Inputs!$B$43),G1674*Q1674)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1674*(1-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1674*(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1674*(1-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1674*(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4">
        <f>IF(C1674,(H1674*N1674*IF(AND(Inputs!$B$38&lt;&gt;"pvp",Inputs!$B$43&gt;0),((Skills!G7*((R1674-1)*IF(Skills!H7&gt;0,Skills!I7/Skills!H7,1)+IF(Skills!H7&gt;0,MIN(Skills!I7,MAX(0,MAX(0,Inputs!$B$43-B1703)-((R1674-1)*(IF(Inputs!$B$38="pvp",15,MAX(0.1,Skills!D7-IF(Skills!E7=TRUE,Inputs!$B$32,0)))*(1-IF(AND(ArtifactsInput!$M$27,Inputs!$B$4="Chapter Hunt"),CHOOSE(ArtifactsInput!$N$27+1,20,24,28,32,36,40),0)/100)))))/Skills!H7,1)))/Inputs!$B$43),G1674*Q1674)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5">
      <c r="A1675">
        <f>Skills!A8</f>
        <v/>
      </c>
      <c r="B1675">
        <f>Skills!B8</f>
        <v/>
      </c>
      <c r="C1675">
        <f>Inputs!$B$3&gt;=117</f>
        <v/>
      </c>
      <c r="D1675">
        <f>IF(Skills!C8=1,60+Inputs!$B$25+Inputs!$B$29,IF(Skills!C8=2,90+Inputs!$B$26+Inputs!$B$29,IF(Skills!C8=3,120+Inputs!$B$27+Inputs!$B$29,MAX(0,(Inputs!$B$3-100)*3)+Inputs!$B$28+Inputs!$B$29)))</f>
        <v/>
      </c>
      <c r="E1675">
        <f>INDEX(FactorTable!$B$2:$Y$301, MATCH(ROUND(MIN(300,MAX(1,D1675)),0), FactorTable!$A$2:$A$301,0), Skills!M8+1)</f>
        <v/>
      </c>
      <c r="F1675">
        <f>IF(Skills!N8=TRUE,(Skills!L8/10)*(E1675/1000),Skills!L8/10)+Skills!O8</f>
        <v/>
      </c>
      <c r="G1675">
        <f>Skills!G8*IF(Skills!H8&gt;0,Skills!I8/Skills!H8,1)</f>
        <v/>
      </c>
      <c r="H1675">
        <f>1-(1-Skills!J8/100)^Skills!K8</f>
        <v/>
      </c>
      <c r="I1675" t="inlineStr">
        <is>
          <t>1</t>
        </is>
      </c>
      <c r="J1675">
        <f>((Inputs!$B$6*(1+Inputs!$B$7/100))+(((Inputs!$B$12*(1+Inputs!$B$13/100))-(Inputs!$B$12*(1+Inputs!$B$13/100)))+0.25*(Inputs!$B$14-Inputs!$B$14))*(1+Inputs!$B$7/100))*(F1675/100)</f>
        <v/>
      </c>
      <c r="K1675">
        <f>J1675*(1+((Inputs!$B$12*(1+Inputs!$B$13/100))*0.01+Inputs!$B$14*0.0025)/100)*(1+Inputs!$B$15/100)*(1+Inputs!$B$16/100)*(5000/(6000+Inputs!$B$42*(1-(100*(1-(1-(Inputs!$B$19+0)/100)*(1-CHOOSE(ArtifactsInput!$N$40+1,5,6,7,8,9,10)/100)^(ArtifactsInput!$M$40-ArtifactsInput!$M$40)))/100)))*(1+(Inputs!$B$24+((C1692=TRUE)*(F1692-Calc!F25))+B1702)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1688=TRUE)*(F1688-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1690=TRUE)*(F1690-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1680=TRUE)*F1680*IF(Inputs!$B$3&gt;=110,7,5))+((C1682=TRUE)*F1682*IF(AND(Inputs!$B$38&lt;&gt;"pvp",Inputs!$B$43&gt;0),(((R1682-1)*(Skills!T15*(1+(Inputs!$B$34+(ArtifactsInput!$M$7-ArtifactsInput!$M$7)*CHOOSE(ArtifactsInput!$N$7+1,6,7.2,8.4,9.6,10.8,12))/100))+MIN((Skills!T15*(1+(Inputs!$B$34+(ArtifactsInput!$M$7-ArtifactsInput!$M$7)*CHOOSE(ArtifactsInput!$N$7+1,6,7.2,8.4,9.6,10.8,12))/100)),MAX(0,Inputs!$B$43-((R1682-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Hunt"),CHOOSE(ArtifactsInput!$N$35+1,15,18,21,24,27,30)*(1-EXP(-(0.2*B1698)*5)),0)+IF(AND(ArtifactsInput!$M$22,Inputs!$B$4&lt;&gt;"Chapter Hunt"),CHOOSE(ArtifactsInput!$N$22+1,10,12,14,16,18,20)*((0*(((0.15*B1698*5))^0/1)+1*(((0.15*B1698*5))^1/1)+2*(((0.15*B1698*5))^2/2)+3*(((0.15*B1698*5))^3/6)+4*(((0.15*B1698*5))^4/24)+5*(((0.15*B1698*5))^5/120))/((((0.15*B1698*5))^0/1)+(((0.15*B1698*5))^1/1)+(((0.15*B1698*5))^2/2)+(((0.15*B1698*5))^3/6)+(((0.15*B1698*5))^4/24)+(((0.15*B1698*5))^5/120))),0)))/100)*I1675)</f>
        <v/>
      </c>
      <c r="L1675">
        <f>K1675*(MIN(Inputs!$B$22+((C1689=TRUE)*(F1689-Calc!F22)),(Inputs!$B$23+((C1691=TRUE)*(F1691-Calc!F24))+(IF(ArtifactsInput!$M$15,CHOOSE(ArtifactsInput!$N$15+1,25,30,35,40,45,50)/100*(Inputs!$B$11-Inputs!$B$11),0))))/100+(Inputs!$B$23+((C1691=TRUE)*(F1691-Calc!F24))+(IF(ArtifactsInput!$M$15,CHOOSE(ArtifactsInput!$N$15+1,25,30,35,40,45,50)/100*(Inputs!$B$11-Inputs!$B$11),0)))/100)/2</f>
        <v/>
      </c>
      <c r="M1675">
        <f>L1675*(1+(Inputs!$B$10+0+B1701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5">
        <f>L1675*(1-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1675*(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5">
        <f>(1-Summary!$B$11)*T1675+Summary!$B$11*V1675</f>
        <v/>
      </c>
      <c r="P1675">
        <f>IF(B1706=0,0,O1675/B1706)</f>
        <v/>
      </c>
      <c r="Q1675">
        <f>IFERROR(1/(IF(Inputs!$B$38="pvp",15,MAX(0.1,Skills!D8-IF(Skills!E8=TRUE,Inputs!$B$32,0)))*(1-IF(AND(ArtifactsInput!$M$27,Inputs!$B$4="Chapter Hunt"),CHOOSE(ArtifactsInput!$N$27+1,20,24,28,32,36,40),0)/100)),0)</f>
        <v/>
      </c>
      <c r="R1675">
        <f>IF(AND(Inputs!$B$38&lt;&gt;"pvp",Inputs!$B$43&gt;0),IF(MAX(0,Inputs!$B$43-B1703)&lt;=0,0,(INT(MAX(0,Inputs!$B$43-B1703)/(IF(Inputs!$B$38="pvp",15,MAX(0.1,Skills!D8-IF(Skills!E8=TRUE,Inputs!$B$32,0)))*(1-IF(AND(ArtifactsInput!$M$27,Inputs!$B$4="Chapter Hunt"),CHOOSE(ArtifactsInput!$N$27+1,20,24,28,32,36,40),0)/100)))+1)),0)</f>
        <v/>
      </c>
      <c r="S1675">
        <f>IFERROR(O1675/N1675,0)</f>
        <v/>
      </c>
      <c r="T1675">
        <f>IF(C1675,(H1675*N1675*IF(AND(Inputs!$B$38&lt;&gt;"pvp",Inputs!$B$43&gt;0),((Skills!G8*((R1675-1)*IF(Skills!H8&gt;0,Skills!I8/Skills!H8,1)+IF(Skills!H8&gt;0,MIN(Skills!I8,MAX(0,MAX(0,Inputs!$B$43-B1703)-((R1675-1)*(IF(Inputs!$B$38="pvp",15,MAX(0.1,Skills!D8-IF(Skills!E8=TRUE,Inputs!$B$32,0)))*(1-IF(AND(ArtifactsInput!$M$27,Inputs!$B$4="Chapter Hunt"),CHOOSE(ArtifactsInput!$N$27+1,20,24,28,32,36,40),0)/100)))))/Skills!H8,1)))/Inputs!$B$43),G1675*Q1675)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1675*(1-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1675*(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1675*(1-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1675*(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5">
        <f>IF(C1675,(H1675*N1675*IF(AND(Inputs!$B$38&lt;&gt;"pvp",Inputs!$B$43&gt;0),((Skills!G8*((R1675-1)*IF(Skills!H8&gt;0,Skills!I8/Skills!H8,1)+IF(Skills!H8&gt;0,MIN(Skills!I8,MAX(0,MAX(0,Inputs!$B$43-B1703)-((R1675-1)*(IF(Inputs!$B$38="pvp",15,MAX(0.1,Skills!D8-IF(Skills!E8=TRUE,Inputs!$B$32,0)))*(1-IF(AND(ArtifactsInput!$M$27,Inputs!$B$4="Chapter Hunt"),CHOOSE(ArtifactsInput!$N$27+1,20,24,28,32,36,40),0)/100)))))/Skills!H8,1)))/Inputs!$B$43),G1675*Q1675)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6">
      <c r="A1676">
        <f>Skills!A9</f>
        <v/>
      </c>
      <c r="B1676">
        <f>Skills!B9</f>
        <v/>
      </c>
      <c r="C1676">
        <f>Inputs!$B$3&gt;=69</f>
        <v/>
      </c>
      <c r="D1676">
        <f>IF(Skills!C9=1,60+Inputs!$B$25+Inputs!$B$29,IF(Skills!C9=2,90+Inputs!$B$26+Inputs!$B$29,IF(Skills!C9=3,120+Inputs!$B$27+Inputs!$B$29,MAX(0,(Inputs!$B$3-100)*3)+Inputs!$B$28+Inputs!$B$29)))</f>
        <v/>
      </c>
      <c r="E1676">
        <f>INDEX(FactorTable!$B$2:$Y$301, MATCH(ROUND(MIN(300,MAX(1,D1676)),0), FactorTable!$A$2:$A$301,0), Skills!M9+1)</f>
        <v/>
      </c>
      <c r="F1676">
        <f>IF(Skills!N9=TRUE,(Skills!L9/10)*(E1676/1000),Skills!L9/10)+Skills!O9</f>
        <v/>
      </c>
      <c r="G1676">
        <f>Skills!G9*IF(Skills!H9&gt;0,Skills!I9/Skills!H9,1)</f>
        <v/>
      </c>
      <c r="H1676">
        <f>1-(1-Skills!J9/100)^Skills!K9</f>
        <v/>
      </c>
      <c r="I1676" t="inlineStr">
        <is>
          <t>1</t>
        </is>
      </c>
      <c r="J1676">
        <f>((Inputs!$B$6*(1+Inputs!$B$7/100))+(((Inputs!$B$12*(1+Inputs!$B$13/100))-(Inputs!$B$12*(1+Inputs!$B$13/100)))+0.25*(Inputs!$B$14-Inputs!$B$14))*(1+Inputs!$B$7/100))*(F1676/100)</f>
        <v/>
      </c>
      <c r="K1676">
        <f>J1676*(1+((Inputs!$B$12*(1+Inputs!$B$13/100))*0.01+Inputs!$B$14*0.0025)/100)*(1+Inputs!$B$15/100)*(1+Inputs!$B$16/100)*(5000/(6000+Inputs!$B$42*(1-(100*(1-(1-(Inputs!$B$19+0)/100)*(1-CHOOSE(ArtifactsInput!$N$40+1,5,6,7,8,9,10)/100)^(ArtifactsInput!$M$40-ArtifactsInput!$M$40)))/100)))*(1+(Inputs!$B$24+((C1692=TRUE)*(F1692-Calc!F25))+B1702)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1679=TRUE,F1679,0)/100)*(1+IF(Skills!A9="ENHANCED_RAGING_BLOW",IF(Inputs!$B$3&gt;=134,MAX(0,IF(Inputs!$B$3&gt;=110,7,5)-5)*50,0),0)/100)*(1+(IF(Skills!A9="RAGING_BLOW",Inputs!$B$17+((C1688=TRUE)*(F1688-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1690=TRUE)*(F1690-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1680=TRUE)*F1680*IF(Inputs!$B$3&gt;=110,7,5))+((C1682=TRUE)*F1682*IF(AND(Inputs!$B$38&lt;&gt;"pvp",Inputs!$B$43&gt;0),(((R1682-1)*(Skills!T15*(1+(Inputs!$B$34+(ArtifactsInput!$M$7-ArtifactsInput!$M$7)*CHOOSE(ArtifactsInput!$N$7+1,6,7.2,8.4,9.6,10.8,12))/100))+MIN((Skills!T15*(1+(Inputs!$B$34+(ArtifactsInput!$M$7-ArtifactsInput!$M$7)*CHOOSE(ArtifactsInput!$N$7+1,6,7.2,8.4,9.6,10.8,12))/100)),MAX(0,Inputs!$B$43-((R1682-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Hunt"),CHOOSE(ArtifactsInput!$N$35+1,15,18,21,24,27,30)*(1-EXP(-(0.2*B1698)*5)),0)+IF(AND(ArtifactsInput!$M$22,Inputs!$B$4&lt;&gt;"Chapter Hunt"),CHOOSE(ArtifactsInput!$N$22+1,10,12,14,16,18,20)*((0*(((0.15*B1698*5))^0/1)+1*(((0.15*B1698*5))^1/1)+2*(((0.15*B1698*5))^2/2)+3*(((0.15*B1698*5))^3/6)+4*(((0.15*B1698*5))^4/24)+5*(((0.15*B1698*5))^5/120))/((((0.15*B1698*5))^0/1)+(((0.15*B1698*5))^1/1)+(((0.15*B1698*5))^2/2)+(((0.15*B1698*5))^3/6)+(((0.15*B1698*5))^4/24)+(((0.15*B1698*5))^5/120))),0)))/100)*I1676)</f>
        <v/>
      </c>
      <c r="L1676">
        <f>K1676*(MIN(Inputs!$B$22+((C1689=TRUE)*(F1689-Calc!F22)),(Inputs!$B$23+((C1691=TRUE)*(F1691-Calc!F24))+(IF(ArtifactsInput!$M$15,CHOOSE(ArtifactsInput!$N$15+1,25,30,35,40,45,50)/100*(Inputs!$B$11-Inputs!$B$11),0))))/100+(Inputs!$B$23+((C1691=TRUE)*(F1691-Calc!F24))+(IF(ArtifactsInput!$M$15,CHOOSE(ArtifactsInput!$N$15+1,25,30,35,40,45,50)/100*(Inputs!$B$11-Inputs!$B$11),0)))/100)/2</f>
        <v/>
      </c>
      <c r="M1676">
        <f>L1676*(1+(Inputs!$B$10+0+B1701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6">
        <f>L1676*(1-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1676*(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6">
        <f>(1-Summary!$B$11)*T1676+Summary!$B$11*V1676</f>
        <v/>
      </c>
      <c r="P1676">
        <f>IF(B1706=0,0,O1676/B1706)</f>
        <v/>
      </c>
      <c r="Q1676">
        <f>IFERROR(1/(IF(Inputs!$B$38="pvp",15,MAX(0.1,Skills!D9-IF(Skills!E9=TRUE,Inputs!$B$32,0)))*(1-IF(AND(ArtifactsInput!$M$27,Inputs!$B$4="Chapter Hunt"),CHOOSE(ArtifactsInput!$N$27+1,20,24,28,32,36,40),0)/100)),0)</f>
        <v/>
      </c>
      <c r="R1676">
        <f>IF(AND(Inputs!$B$38&lt;&gt;"pvp",Inputs!$B$43&gt;0),IF(MAX(0,Inputs!$B$43-B1703)&lt;=0,0,(INT(MAX(0,Inputs!$B$43-B1703)/(IF(Inputs!$B$38="pvp",15,MAX(0.1,Skills!D9-IF(Skills!E9=TRUE,Inputs!$B$32,0)))*(1-IF(AND(ArtifactsInput!$M$27,Inputs!$B$4="Chapter Hunt"),CHOOSE(ArtifactsInput!$N$27+1,20,24,28,32,36,40),0)/100)))+1)),0)</f>
        <v/>
      </c>
      <c r="S1676">
        <f>IFERROR(O1676/N1676,0)</f>
        <v/>
      </c>
      <c r="T1676">
        <f>IF(C1676,(H1676*N1676*IF(AND(Inputs!$B$38&lt;&gt;"pvp",Inputs!$B$43&gt;0),((Skills!G9*((R1676-1)*IF(Skills!H9&gt;0,Skills!I9/Skills!H9,1)+IF(Skills!H9&gt;0,MIN(Skills!I9,MAX(0,MAX(0,Inputs!$B$43-B1703)-((R1676-1)*(IF(Inputs!$B$38="pvp",15,MAX(0.1,Skills!D9-IF(Skills!E9=TRUE,Inputs!$B$32,0)))*(1-IF(AND(ArtifactsInput!$M$27,Inputs!$B$4="Chapter Hunt"),CHOOSE(ArtifactsInput!$N$27+1,20,24,28,32,36,40),0)/100)))))/Skills!H9,1)))/Inputs!$B$43),G1676*Q1676)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1676*(1-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1676*(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1676*(1-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1676*(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6">
        <f>IF(C1676,(H1676*N1676*IF(AND(Inputs!$B$38&lt;&gt;"pvp",Inputs!$B$43&gt;0),((Skills!G9*((R1676-1)*IF(Skills!H9&gt;0,Skills!I9/Skills!H9,1)+IF(Skills!H9&gt;0,MIN(Skills!I9,MAX(0,MAX(0,Inputs!$B$43-B1703)-((R1676-1)*(IF(Inputs!$B$38="pvp",15,MAX(0.1,Skills!D9-IF(Skills!E9=TRUE,Inputs!$B$32,0)))*(1-IF(AND(ArtifactsInput!$M$27,Inputs!$B$4="Chapter Hunt"),CHOOSE(ArtifactsInput!$N$27+1,20,24,28,32,36,40),0)/100)))))/Skills!H9,1)))/Inputs!$B$43),G1676*Q1676)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7">
      <c r="A1677">
        <f>Skills!A10</f>
        <v/>
      </c>
      <c r="B1677">
        <f>Skills!B10</f>
        <v/>
      </c>
      <c r="C1677">
        <f>Inputs!$B$3&gt;=63</f>
        <v/>
      </c>
      <c r="D1677">
        <f>IF(Skills!C10=1,60+Inputs!$B$25+Inputs!$B$29,IF(Skills!C10=2,90+Inputs!$B$26+Inputs!$B$29,IF(Skills!C10=3,120+Inputs!$B$27+Inputs!$B$29,MAX(0,(Inputs!$B$3-100)*3)+Inputs!$B$28+Inputs!$B$29)))</f>
        <v/>
      </c>
      <c r="E1677">
        <f>INDEX(FactorTable!$B$2:$Y$301, MATCH(ROUND(MIN(300,MAX(1,D1677)),0), FactorTable!$A$2:$A$301,0), Skills!M10+1)</f>
        <v/>
      </c>
      <c r="F1677">
        <f>IF(Skills!N10=TRUE,(Skills!L10/10)*(E1677/1000),Skills!L10/10)+Skills!O10</f>
        <v/>
      </c>
      <c r="G1677">
        <f>Skills!G10*IF(Skills!H10&gt;0,Skills!I10/Skills!H10,1)</f>
        <v/>
      </c>
      <c r="H1677">
        <f>1-(1-Skills!J10/100)^Skills!K10</f>
        <v/>
      </c>
      <c r="I1677" t="inlineStr">
        <is>
          <t>1</t>
        </is>
      </c>
      <c r="J1677">
        <f>((Inputs!$B$6*(1+Inputs!$B$7/100))+(((Inputs!$B$12*(1+Inputs!$B$13/100))-(Inputs!$B$12*(1+Inputs!$B$13/100)))+0.25*(Inputs!$B$14-Inputs!$B$14))*(1+Inputs!$B$7/100))*(F1677/100)</f>
        <v/>
      </c>
      <c r="K1677">
        <f>J1677*(1+((Inputs!$B$12*(1+Inputs!$B$13/100))*0.01+Inputs!$B$14*0.0025)/100)*(1+Inputs!$B$15/100)*(1+Inputs!$B$16/100)*(5000/(6000+Inputs!$B$42*(1-(100*(1-(1-(Inputs!$B$19+0)/100)*(1-CHOOSE(ArtifactsInput!$N$40+1,5,6,7,8,9,10)/100)^(ArtifactsInput!$M$40-ArtifactsInput!$M$40)))/100)))*(1+(Inputs!$B$24+((C1692=TRUE)*(F1692-Calc!F25))+B1702)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1679=TRUE,F1679,0)/100)*(1+IF(Skills!A10="ENHANCED_RAGING_BLOW",IF(Inputs!$B$3&gt;=134,MAX(0,IF(Inputs!$B$3&gt;=110,7,5)-5)*50,0),0)/100)*(1+(IF(Skills!A10="RAGING_BLOW",Inputs!$B$17+((C1688=TRUE)*(F1688-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1690=TRUE)*(F1690-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1680=TRUE)*F1680*IF(Inputs!$B$3&gt;=110,7,5))+((C1682=TRUE)*F1682*IF(AND(Inputs!$B$38&lt;&gt;"pvp",Inputs!$B$43&gt;0),(((R1682-1)*(Skills!T15*(1+(Inputs!$B$34+(ArtifactsInput!$M$7-ArtifactsInput!$M$7)*CHOOSE(ArtifactsInput!$N$7+1,6,7.2,8.4,9.6,10.8,12))/100))+MIN((Skills!T15*(1+(Inputs!$B$34+(ArtifactsInput!$M$7-ArtifactsInput!$M$7)*CHOOSE(ArtifactsInput!$N$7+1,6,7.2,8.4,9.6,10.8,12))/100)),MAX(0,Inputs!$B$43-((R1682-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Hunt"),CHOOSE(ArtifactsInput!$N$35+1,15,18,21,24,27,30)*(1-EXP(-(0.2*B1698)*5)),0)+IF(AND(ArtifactsInput!$M$22,Inputs!$B$4&lt;&gt;"Chapter Hunt"),CHOOSE(ArtifactsInput!$N$22+1,10,12,14,16,18,20)*((0*(((0.15*B1698*5))^0/1)+1*(((0.15*B1698*5))^1/1)+2*(((0.15*B1698*5))^2/2)+3*(((0.15*B1698*5))^3/6)+4*(((0.15*B1698*5))^4/24)+5*(((0.15*B1698*5))^5/120))/((((0.15*B1698*5))^0/1)+(((0.15*B1698*5))^1/1)+(((0.15*B1698*5))^2/2)+(((0.15*B1698*5))^3/6)+(((0.15*B1698*5))^4/24)+(((0.15*B1698*5))^5/120))),0)))/100)*I1677)</f>
        <v/>
      </c>
      <c r="L1677">
        <f>K1677*(MIN(Inputs!$B$22+((C1689=TRUE)*(F1689-Calc!F22)),(Inputs!$B$23+((C1691=TRUE)*(F1691-Calc!F24))+(IF(ArtifactsInput!$M$15,CHOOSE(ArtifactsInput!$N$15+1,25,30,35,40,45,50)/100*(Inputs!$B$11-Inputs!$B$11),0))))/100+(Inputs!$B$23+((C1691=TRUE)*(F1691-Calc!F24))+(IF(ArtifactsInput!$M$15,CHOOSE(ArtifactsInput!$N$15+1,25,30,35,40,45,50)/100*(Inputs!$B$11-Inputs!$B$11),0)))/100)/2</f>
        <v/>
      </c>
      <c r="M1677">
        <f>L1677*(1+(Inputs!$B$10+0+B1701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7">
        <f>L1677*(1-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1677*(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7">
        <f>(1-Summary!$B$11)*T1677+Summary!$B$11*V1677</f>
        <v/>
      </c>
      <c r="P1677">
        <f>IF(B1706=0,0,O1677/B1706)</f>
        <v/>
      </c>
      <c r="Q1677">
        <f>IFERROR(1/(IF(Inputs!$B$38="pvp",15,MAX(0.1,Skills!D10-IF(Skills!E10=TRUE,Inputs!$B$32,0)))*(1-IF(AND(ArtifactsInput!$M$27,Inputs!$B$4="Chapter Hunt"),CHOOSE(ArtifactsInput!$N$27+1,20,24,28,32,36,40),0)/100)),0)</f>
        <v/>
      </c>
      <c r="R1677">
        <f>IF(AND(Inputs!$B$38&lt;&gt;"pvp",Inputs!$B$43&gt;0),IF(MAX(0,Inputs!$B$43-B1703)&lt;=0,0,(INT(MAX(0,Inputs!$B$43-B1703)/(IF(Inputs!$B$38="pvp",15,MAX(0.1,Skills!D10-IF(Skills!E10=TRUE,Inputs!$B$32,0)))*(1-IF(AND(ArtifactsInput!$M$27,Inputs!$B$4="Chapter Hunt"),CHOOSE(ArtifactsInput!$N$27+1,20,24,28,32,36,40),0)/100)))+1)),0)</f>
        <v/>
      </c>
      <c r="S1677">
        <f>IFERROR(O1677/N1677,0)</f>
        <v/>
      </c>
      <c r="T1677">
        <f>IF(C1677,(H1677*N1677*IF(AND(Inputs!$B$38&lt;&gt;"pvp",Inputs!$B$43&gt;0),((Skills!G10*((R1677-1)*IF(Skills!H10&gt;0,Skills!I10/Skills!H10,1)+IF(Skills!H10&gt;0,MIN(Skills!I10,MAX(0,MAX(0,Inputs!$B$43-B1703)-((R1677-1)*(IF(Inputs!$B$38="pvp",15,MAX(0.1,Skills!D10-IF(Skills!E10=TRUE,Inputs!$B$32,0)))*(1-IF(AND(ArtifactsInput!$M$27,Inputs!$B$4="Chapter Hunt"),CHOOSE(ArtifactsInput!$N$27+1,20,24,28,32,36,40),0)/100)))))/Skills!H10,1)))/Inputs!$B$43),G1677*Q1677)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1677*(1-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1677*(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1677*(1-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1677*(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7">
        <f>IF(C1677,(H1677*N1677*IF(AND(Inputs!$B$38&lt;&gt;"pvp",Inputs!$B$43&gt;0),((Skills!G10*((R1677-1)*IF(Skills!H10&gt;0,Skills!I10/Skills!H10,1)+IF(Skills!H10&gt;0,MIN(Skills!I10,MAX(0,MAX(0,Inputs!$B$43-B1703)-((R1677-1)*(IF(Inputs!$B$38="pvp",15,MAX(0.1,Skills!D10-IF(Skills!E10=TRUE,Inputs!$B$32,0)))*(1-IF(AND(ArtifactsInput!$M$27,Inputs!$B$4="Chapter Hunt"),CHOOSE(ArtifactsInput!$N$27+1,20,24,28,32,36,40),0)/100)))))/Skills!H10,1)))/Inputs!$B$43),G1677*Q1677)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8">
      <c r="A1678">
        <f>Skills!A11</f>
        <v/>
      </c>
      <c r="B1678">
        <f>Skills!B11</f>
        <v/>
      </c>
      <c r="C1678">
        <f>Inputs!$B$3&gt;=35</f>
        <v/>
      </c>
      <c r="D1678">
        <f>IF(Skills!C11=1,60+Inputs!$B$25+Inputs!$B$29,IF(Skills!C11=2,90+Inputs!$B$26+Inputs!$B$29,IF(Skills!C11=3,120+Inputs!$B$27+Inputs!$B$29,MAX(0,(Inputs!$B$3-100)*3)+Inputs!$B$28+Inputs!$B$29)))</f>
        <v/>
      </c>
      <c r="E1678">
        <f>INDEX(FactorTable!$B$2:$Y$301, MATCH(ROUND(MIN(300,MAX(1,D1678)),0), FactorTable!$A$2:$A$301,0), Skills!M11+1)</f>
        <v/>
      </c>
      <c r="F1678">
        <f>IF(Skills!N11=TRUE,(Skills!L11/10)*(E1678/1000),Skills!L11/10)+Skills!O11</f>
        <v/>
      </c>
      <c r="G1678">
        <f>Skills!G11*IF(Skills!H11&gt;0,Skills!I11/Skills!H11,1)</f>
        <v/>
      </c>
      <c r="H1678">
        <f>1-(1-Skills!J11/100)^Skills!K11</f>
        <v/>
      </c>
      <c r="I1678" t="inlineStr">
        <is>
          <t>1</t>
        </is>
      </c>
      <c r="J1678">
        <f>((Inputs!$B$6*(1+Inputs!$B$7/100))+(((Inputs!$B$12*(1+Inputs!$B$13/100))-(Inputs!$B$12*(1+Inputs!$B$13/100)))+0.25*(Inputs!$B$14-Inputs!$B$14))*(1+Inputs!$B$7/100))*(F1678/100)</f>
        <v/>
      </c>
      <c r="K1678">
        <f>J1678*(1+((Inputs!$B$12*(1+Inputs!$B$13/100))*0.01+Inputs!$B$14*0.0025)/100)*(1+Inputs!$B$15/100)*(1+Inputs!$B$16/100)*(5000/(6000+Inputs!$B$42*(1-(100*(1-(1-(Inputs!$B$19+0)/100)*(1-CHOOSE(ArtifactsInput!$N$40+1,5,6,7,8,9,10)/100)^(ArtifactsInput!$M$40-ArtifactsInput!$M$40)))/100)))*(1+(Inputs!$B$24+((C1692=TRUE)*(F1692-Calc!F25))+B1702)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1679=TRUE,F1679,0)/100)*(1+IF(Skills!A11="ENHANCED_RAGING_BLOW",IF(Inputs!$B$3&gt;=134,MAX(0,IF(Inputs!$B$3&gt;=110,7,5)-5)*50,0),0)/100)*(1+(IF(Skills!A11="RAGING_BLOW",Inputs!$B$17+((C1688=TRUE)*(F1688-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1690=TRUE)*(F1690-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1680=TRUE)*F1680*IF(Inputs!$B$3&gt;=110,7,5))+((C1682=TRUE)*F1682*IF(AND(Inputs!$B$38&lt;&gt;"pvp",Inputs!$B$43&gt;0),(((R1682-1)*(Skills!T15*(1+(Inputs!$B$34+(ArtifactsInput!$M$7-ArtifactsInput!$M$7)*CHOOSE(ArtifactsInput!$N$7+1,6,7.2,8.4,9.6,10.8,12))/100))+MIN((Skills!T15*(1+(Inputs!$B$34+(ArtifactsInput!$M$7-ArtifactsInput!$M$7)*CHOOSE(ArtifactsInput!$N$7+1,6,7.2,8.4,9.6,10.8,12))/100)),MAX(0,Inputs!$B$43-((R1682-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Hunt"),CHOOSE(ArtifactsInput!$N$35+1,15,18,21,24,27,30)*(1-EXP(-(0.2*B1698)*5)),0)+IF(AND(ArtifactsInput!$M$22,Inputs!$B$4&lt;&gt;"Chapter Hunt"),CHOOSE(ArtifactsInput!$N$22+1,10,12,14,16,18,20)*((0*(((0.15*B1698*5))^0/1)+1*(((0.15*B1698*5))^1/1)+2*(((0.15*B1698*5))^2/2)+3*(((0.15*B1698*5))^3/6)+4*(((0.15*B1698*5))^4/24)+5*(((0.15*B1698*5))^5/120))/((((0.15*B1698*5))^0/1)+(((0.15*B1698*5))^1/1)+(((0.15*B1698*5))^2/2)+(((0.15*B1698*5))^3/6)+(((0.15*B1698*5))^4/24)+(((0.15*B1698*5))^5/120))),0)))/100)*I1678)</f>
        <v/>
      </c>
      <c r="L1678">
        <f>K1678*(MIN(Inputs!$B$22+((C1689=TRUE)*(F1689-Calc!F22)),(Inputs!$B$23+((C1691=TRUE)*(F1691-Calc!F24))+(IF(ArtifactsInput!$M$15,CHOOSE(ArtifactsInput!$N$15+1,25,30,35,40,45,50)/100*(Inputs!$B$11-Inputs!$B$11),0))))/100+(Inputs!$B$23+((C1691=TRUE)*(F1691-Calc!F24))+(IF(ArtifactsInput!$M$15,CHOOSE(ArtifactsInput!$N$15+1,25,30,35,40,45,50)/100*(Inputs!$B$11-Inputs!$B$11),0)))/100)/2</f>
        <v/>
      </c>
      <c r="M1678">
        <f>L1678*(1+(Inputs!$B$10+0+B1701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8">
        <f>L1678*(1-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1678*(MIN((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8">
        <f>(1-Summary!$B$11)*T1678+Summary!$B$11*V1678</f>
        <v/>
      </c>
      <c r="P1678">
        <f>IF(B1706=0,0,O1678/B1706)</f>
        <v/>
      </c>
      <c r="Q1678">
        <f>IFERROR(1/(IF(Inputs!$B$38="pvp",15,MAX(0.1,Skills!D11-IF(Skills!E11=TRUE,Inputs!$B$32,0)))*(1-IF(AND(ArtifactsInput!$M$27,Inputs!$B$4="Chapter Hunt"),CHOOSE(ArtifactsInput!$N$27+1,20,24,28,32,36,40),0)/100)),0)</f>
        <v/>
      </c>
      <c r="R1678">
        <f>IF(AND(Inputs!$B$38&lt;&gt;"pvp",Inputs!$B$43&gt;0),IF(MAX(0,Inputs!$B$43-B1703)&lt;=0,0,(INT(MAX(0,Inputs!$B$43-B1703)/(IF(Inputs!$B$38="pvp",15,MAX(0.1,Skills!D11-IF(Skills!E11=TRUE,Inputs!$B$32,0)))*(1-IF(AND(ArtifactsInput!$M$27,Inputs!$B$4="Chapter Hunt"),CHOOSE(ArtifactsInput!$N$27+1,20,24,28,32,36,40),0)/100)))+1)),0)</f>
        <v/>
      </c>
      <c r="S1678">
        <f>IFERROR(O1678/N1678,0)</f>
        <v/>
      </c>
      <c r="T1678">
        <f>IF(C1678,(H1678*N1678*IF(AND(Inputs!$B$38&lt;&gt;"pvp",Inputs!$B$43&gt;0),((Skills!G11*((R1678-1)*IF(Skills!H11&gt;0,Skills!I11/Skills!H11,1)+IF(Skills!H11&gt;0,MIN(Skills!I11,MAX(0,MAX(0,Inputs!$B$43-B1703)-((R1678-1)*(IF(Inputs!$B$38="pvp",15,MAX(0.1,Skills!D11-IF(Skills!E11=TRUE,Inputs!$B$32,0)))*(1-IF(AND(ArtifactsInput!$M$27,Inputs!$B$4="Chapter Hunt"),CHOOSE(ArtifactsInput!$N$27+1,20,24,28,32,36,40),0)/100)))))/Skills!H11,1)))/Inputs!$B$43),G1678*Q1678)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1678*(1-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1678*(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1678*(1-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1678*(MIN(100,(Inputs!$B$9+((C1693=TRUE)*(F1693-Calc!F26))+B1696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8">
        <f>IF(C1678,(H1678*N1678*IF(AND(Inputs!$B$38&lt;&gt;"pvp",Inputs!$B$43&gt;0),((Skills!G11*((R1678-1)*IF(Skills!H11&gt;0,Skills!I11/Skills!H11,1)+IF(Skills!H11&gt;0,MIN(Skills!I11,MAX(0,MAX(0,Inputs!$B$43-B1703)-((R1678-1)*(IF(Inputs!$B$38="pvp",15,MAX(0.1,Skills!D11-IF(Skills!E11=TRUE,Inputs!$B$32,0)))*(1-IF(AND(ArtifactsInput!$M$27,Inputs!$B$4="Chapter Hunt"),CHOOSE(ArtifactsInput!$N$27+1,20,24,28,32,36,40),0)/100)))))/Skills!H11,1)))/Inputs!$B$43),G1678*Q1678)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9">
      <c r="A1679">
        <f>Skills!A12</f>
        <v/>
      </c>
      <c r="B1679">
        <f>Skills!B12</f>
        <v/>
      </c>
      <c r="C1679">
        <f>Inputs!$B$3&gt;=100</f>
        <v/>
      </c>
      <c r="D1679">
        <f>IF(Skills!C12=1,60+Inputs!$B$25+Inputs!$B$29,IF(Skills!C12=2,90+Inputs!$B$26+Inputs!$B$29,IF(Skills!C12=3,120+Inputs!$B$27+Inputs!$B$29,MAX(0,(Inputs!$B$3-100)*3)+Inputs!$B$28+Inputs!$B$29)))</f>
        <v/>
      </c>
      <c r="E1679">
        <f>INDEX(FactorTable!$B$2:$Y$301, MATCH(ROUND(MIN(300,MAX(1,D1679)),0), FactorTable!$A$2:$A$301,0), Skills!M12+1)</f>
        <v/>
      </c>
      <c r="F1679">
        <f>IF(Skills!N12=TRUE,(Skills!L12/10)*(E1679/1000),Skills!L12/10)+Skills!O12</f>
        <v/>
      </c>
      <c r="G1679" t="inlineStr"/>
      <c r="H1679" t="inlineStr"/>
      <c r="I1679" t="inlineStr">
        <is>
          <t>1</t>
        </is>
      </c>
      <c r="J1679" t="inlineStr"/>
      <c r="K1679" t="inlineStr"/>
      <c r="L1679" t="inlineStr"/>
      <c r="M1679" t="inlineStr"/>
      <c r="N1679" t="inlineStr"/>
      <c r="O1679" t="inlineStr"/>
      <c r="P1679" t="inlineStr"/>
      <c r="Q1679" t="inlineStr"/>
      <c r="R1679" t="inlineStr"/>
      <c r="S1679" t="inlineStr"/>
    </row>
    <row r="1680">
      <c r="A1680">
        <f>Skills!A13</f>
        <v/>
      </c>
      <c r="B1680">
        <f>Skills!B13</f>
        <v/>
      </c>
      <c r="C1680">
        <f>Inputs!$B$3&gt;=45</f>
        <v/>
      </c>
      <c r="D1680">
        <f>IF(Skills!C13=1,60+Inputs!$B$25+Inputs!$B$29,IF(Skills!C13=2,90+Inputs!$B$26+Inputs!$B$29,IF(Skills!C13=3,120+Inputs!$B$27+Inputs!$B$29,MAX(0,(Inputs!$B$3-100)*3)+Inputs!$B$28+Inputs!$B$29)))</f>
        <v/>
      </c>
      <c r="E1680">
        <f>INDEX(FactorTable!$B$2:$Y$301, MATCH(ROUND(MIN(300,MAX(1,D1680)),0), FactorTable!$A$2:$A$301,0), Skills!M13+1)</f>
        <v/>
      </c>
      <c r="F1680">
        <f>IF(Skills!N13=TRUE,(Skills!L13/10)*(E1680/1000),Skills!L13/10)+Skills!O13</f>
        <v/>
      </c>
      <c r="G1680">
        <f>Skills!G13*IF(Skills!H13&gt;0,Skills!I13/Skills!H13,1)</f>
        <v/>
      </c>
      <c r="H1680">
        <f>1-(1-Skills!J13/100)^Skills!K13</f>
        <v/>
      </c>
      <c r="I1680" t="inlineStr">
        <is>
          <t>1</t>
        </is>
      </c>
      <c r="J1680" t="inlineStr"/>
      <c r="K1680" t="inlineStr"/>
      <c r="L1680" t="inlineStr"/>
      <c r="M1680" t="inlineStr"/>
      <c r="N1680" t="inlineStr"/>
      <c r="O1680">
        <f>(1-Summary!$B$11)*T1680+Summary!$B$11*V1680</f>
        <v/>
      </c>
      <c r="P1680">
        <f>IF(B1706=0,0,O1680/B1706)</f>
        <v/>
      </c>
      <c r="Q1680" t="n">
        <v>0</v>
      </c>
      <c r="R1680" t="n">
        <v>0</v>
      </c>
      <c r="S1680">
        <f>IFERROR(O1680/N1680,0)</f>
        <v/>
      </c>
      <c r="T1680" t="n">
        <v>0</v>
      </c>
      <c r="V1680" t="n">
        <v>0</v>
      </c>
    </row>
    <row r="1681">
      <c r="A1681">
        <f>Skills!A14</f>
        <v/>
      </c>
      <c r="B1681">
        <f>Skills!B14</f>
        <v/>
      </c>
      <c r="C1681">
        <f>Inputs!$B$3&gt;=75</f>
        <v/>
      </c>
      <c r="D1681">
        <f>IF(Skills!C14=1,60+Inputs!$B$25+Inputs!$B$29,IF(Skills!C14=2,90+Inputs!$B$26+Inputs!$B$29,IF(Skills!C14=3,120+Inputs!$B$27+Inputs!$B$29,MAX(0,(Inputs!$B$3-100)*3)+Inputs!$B$28+Inputs!$B$29)))</f>
        <v/>
      </c>
      <c r="E1681">
        <f>INDEX(FactorTable!$B$2:$Y$301, MATCH(ROUND(MIN(300,MAX(1,D1681)),0), FactorTable!$A$2:$A$301,0), Skills!M14+1)</f>
        <v/>
      </c>
      <c r="F1681">
        <f>IF(Skills!N14=TRUE,(Skills!L14/10)*(E1681/1000),Skills!L14/10)+Skills!O14</f>
        <v/>
      </c>
      <c r="G1681">
        <f>Skills!G14*IF(Skills!H14&gt;0,Skills!I14/Skills!H14,1)</f>
        <v/>
      </c>
      <c r="H1681">
        <f>1-(1-Skills!J14/100)^Skills!K14</f>
        <v/>
      </c>
      <c r="I1681" t="inlineStr">
        <is>
          <t>1</t>
        </is>
      </c>
      <c r="J1681" t="inlineStr"/>
      <c r="K1681" t="inlineStr"/>
      <c r="L1681" t="inlineStr"/>
      <c r="M1681" t="inlineStr"/>
      <c r="N1681" t="inlineStr"/>
      <c r="O1681">
        <f>(1-Summary!$B$11)*T1681+Summary!$B$11*V1681</f>
        <v/>
      </c>
      <c r="P1681">
        <f>IF(B1706=0,0,O1681/B1706)</f>
        <v/>
      </c>
      <c r="Q1681" t="n">
        <v>0</v>
      </c>
      <c r="R1681" t="n">
        <v>0</v>
      </c>
      <c r="S1681">
        <f>IFERROR(O1681/N1681,0)</f>
        <v/>
      </c>
      <c r="T1681" t="n">
        <v>0</v>
      </c>
      <c r="V1681" t="n">
        <v>0</v>
      </c>
    </row>
    <row r="1682">
      <c r="A1682">
        <f>Skills!A15</f>
        <v/>
      </c>
      <c r="B1682">
        <f>Skills!B15</f>
        <v/>
      </c>
      <c r="C1682">
        <f>Inputs!$B$3&gt;=40</f>
        <v/>
      </c>
      <c r="D1682">
        <f>IF(Skills!C15=1,60+Inputs!$B$25+Inputs!$B$29,IF(Skills!C15=2,90+Inputs!$B$26+Inputs!$B$29,IF(Skills!C15=3,120+Inputs!$B$27+Inputs!$B$29,MAX(0,(Inputs!$B$3-100)*3)+Inputs!$B$28+Inputs!$B$29)))</f>
        <v/>
      </c>
      <c r="E1682">
        <f>INDEX(FactorTable!$B$2:$Y$301, MATCH(ROUND(MIN(300,MAX(1,D1682)),0), FactorTable!$A$2:$A$301,0), Skills!M15+1)</f>
        <v/>
      </c>
      <c r="F1682">
        <f>IF(Skills!N15=TRUE,(Skills!L15/10)*(E1682/1000),Skills!L15/10)+Skills!O15</f>
        <v/>
      </c>
      <c r="G1682">
        <f>Skills!G15*IF(Skills!H15&gt;0,Skills!I15/Skills!H15,1)</f>
        <v/>
      </c>
      <c r="H1682">
        <f>1-(1-Skills!J15/100)^Skills!K15</f>
        <v/>
      </c>
      <c r="I1682" t="inlineStr">
        <is>
          <t>1</t>
        </is>
      </c>
      <c r="J1682" t="inlineStr"/>
      <c r="K1682" t="inlineStr"/>
      <c r="L1682" t="inlineStr"/>
      <c r="M1682" t="inlineStr"/>
      <c r="N1682" t="inlineStr"/>
      <c r="O1682">
        <f>(1-Summary!$B$11)*T1682+Summary!$B$11*V1682</f>
        <v/>
      </c>
      <c r="P1682">
        <f>IF(B1706=0,0,O1682/B1706)</f>
        <v/>
      </c>
      <c r="Q1682">
        <f>IFERROR(1/(IF(Inputs!$B$38="pvp",15,MAX(0.1,Skills!D15-IF(Skills!E15=TRUE,Inputs!$B$32,0)))*(1-IF(AND(ArtifactsInput!$M$27,Inputs!$B$4="Chapter Hunt"),CHOOSE(ArtifactsInput!$N$27+1,20,24,28,32,36,40),0)/100)),0)</f>
        <v/>
      </c>
      <c r="R1682">
        <f>IF(AND(Inputs!$B$38&lt;&gt;"pvp",Inputs!$B$43&gt;0),IF(Inputs!$B$43&lt;=0,0,(INT(Inputs!$B$43/(IF(Inputs!$B$38="pvp",15,MAX(0.1,Skills!D15-IF(Skills!E15=TRUE,Inputs!$B$32,0)))*(1-IF(AND(ArtifactsInput!$M$27,Inputs!$B$4="Chapter Hunt"),CHOOSE(ArtifactsInput!$N$27+1,20,24,28,32,36,40),0)/100)))+1)),0)</f>
        <v/>
      </c>
      <c r="S1682">
        <f>IFERROR(O1682/N1682,0)</f>
        <v/>
      </c>
      <c r="T1682" t="n">
        <v>0</v>
      </c>
      <c r="V1682" t="n">
        <v>0</v>
      </c>
    </row>
    <row r="1683">
      <c r="A1683">
        <f>Skills!A16</f>
        <v/>
      </c>
      <c r="B1683">
        <f>Skills!B16</f>
        <v/>
      </c>
      <c r="C1683">
        <f>Inputs!$B$3&gt;=66</f>
        <v/>
      </c>
      <c r="D1683">
        <f>IF(Skills!C16=1,60+Inputs!$B$25+Inputs!$B$29,IF(Skills!C16=2,90+Inputs!$B$26+Inputs!$B$29,IF(Skills!C16=3,120+Inputs!$B$27+Inputs!$B$29,MAX(0,(Inputs!$B$3-100)*3)+Inputs!$B$28+Inputs!$B$29)))</f>
        <v/>
      </c>
      <c r="E1683">
        <f>INDEX(FactorTable!$B$2:$Y$301, MATCH(ROUND(MIN(300,MAX(1,D1683)),0), FactorTable!$A$2:$A$301,0), Skills!M16+1)</f>
        <v/>
      </c>
      <c r="F1683">
        <f>IF(Skills!N16=TRUE,(Skills!L16/10)*(E1683/1000),Skills!L16/10)+Skills!O16</f>
        <v/>
      </c>
      <c r="G1683">
        <f>Skills!G16*IF(Skills!H16&gt;0,Skills!I16/Skills!H16,1)</f>
        <v/>
      </c>
      <c r="H1683">
        <f>1-(1-Skills!J16/100)^Skills!K16</f>
        <v/>
      </c>
      <c r="I1683" t="inlineStr">
        <is>
          <t>1</t>
        </is>
      </c>
      <c r="J1683" t="inlineStr"/>
      <c r="K1683" t="inlineStr"/>
      <c r="L1683" t="inlineStr"/>
      <c r="M1683" t="inlineStr"/>
      <c r="N1683" t="inlineStr"/>
      <c r="O1683">
        <f>(1-Summary!$B$11)*T1683+Summary!$B$11*V1683</f>
        <v/>
      </c>
      <c r="P1683">
        <f>IF(B1706=0,0,O1683/B1706)</f>
        <v/>
      </c>
      <c r="Q1683">
        <f>IFERROR(1/(IF(Inputs!$B$38="pvp",15,MAX(0.1,Skills!D16-IF(Skills!E16=TRUE,Inputs!$B$32,0)))*(1-IF(AND(ArtifactsInput!$M$27,Inputs!$B$4="Chapter Hunt"),CHOOSE(ArtifactsInput!$N$27+1,20,24,28,32,36,40),0)/100)),0)</f>
        <v/>
      </c>
      <c r="R1683">
        <f>IF(AND(Inputs!$B$38&lt;&gt;"pvp",Inputs!$B$43&gt;0),IF(Inputs!$B$43&lt;=0,0,(INT(Inputs!$B$43/(IF(Inputs!$B$38="pvp",15,MAX(0.1,Skills!D16-IF(Skills!E16=TRUE,Inputs!$B$32,0)))*(1-IF(AND(ArtifactsInput!$M$27,Inputs!$B$4="Chapter Hunt"),CHOOSE(ArtifactsInput!$N$27+1,20,24,28,32,36,40),0)/100)))+1)),0)</f>
        <v/>
      </c>
      <c r="S1683">
        <f>IFERROR(O1683/N1683,0)</f>
        <v/>
      </c>
      <c r="T1683" t="n">
        <v>0</v>
      </c>
      <c r="V1683" t="n">
        <v>0</v>
      </c>
    </row>
    <row r="1684">
      <c r="A1684">
        <f>Skills!A17</f>
        <v/>
      </c>
      <c r="B1684">
        <f>Skills!B17</f>
        <v/>
      </c>
      <c r="C1684">
        <f>Inputs!$B$3&gt;=115</f>
        <v/>
      </c>
      <c r="D1684">
        <f>IF(Skills!C17=1,60+Inputs!$B$25+Inputs!$B$29,IF(Skills!C17=2,90+Inputs!$B$26+Inputs!$B$29,IF(Skills!C17=3,120+Inputs!$B$27+Inputs!$B$29,MAX(0,(Inputs!$B$3-100)*3)+Inputs!$B$28+Inputs!$B$29)))</f>
        <v/>
      </c>
      <c r="E1684">
        <f>INDEX(FactorTable!$B$2:$Y$301, MATCH(ROUND(MIN(300,MAX(1,D1684)),0), FactorTable!$A$2:$A$301,0), Skills!M17+1)</f>
        <v/>
      </c>
      <c r="F1684">
        <f>IF(Skills!N17=TRUE,(Skills!L17/10)*(E1684/1000),Skills!L17/10)+Skills!O17</f>
        <v/>
      </c>
      <c r="G1684">
        <f>Skills!G17*IF(Skills!H17&gt;0,Skills!I17/Skills!H17,1)</f>
        <v/>
      </c>
      <c r="H1684">
        <f>1-(1-Skills!J17/100)^Skills!K17</f>
        <v/>
      </c>
      <c r="I1684" t="inlineStr">
        <is>
          <t>1</t>
        </is>
      </c>
      <c r="J1684" t="inlineStr"/>
      <c r="K1684" t="inlineStr"/>
      <c r="L1684" t="inlineStr"/>
      <c r="M1684" t="inlineStr"/>
      <c r="N1684" t="inlineStr"/>
      <c r="O1684">
        <f>(1-Summary!$B$11)*T1684+Summary!$B$11*V1684</f>
        <v/>
      </c>
      <c r="P1684">
        <f>IF(B1706=0,0,O1684/B1706)</f>
        <v/>
      </c>
      <c r="Q1684">
        <f>IFERROR(1/(IF(Inputs!$B$38="pvp",15,MAX(0.1,Skills!D17-IF(Skills!E17=TRUE,Inputs!$B$32,0)))*(1-IF(AND(ArtifactsInput!$M$27,Inputs!$B$4="Chapter Hunt"),CHOOSE(ArtifactsInput!$N$27+1,20,24,28,32,36,40),0)/100)),0)</f>
        <v/>
      </c>
      <c r="R1684">
        <f>IF(AND(Inputs!$B$38&lt;&gt;"pvp",Inputs!$B$43&gt;0),IF(Inputs!$B$43&lt;=0,0,(INT(Inputs!$B$43/(IF(Inputs!$B$38="pvp",15,MAX(0.1,Skills!D17-IF(Skills!E17=TRUE,Inputs!$B$32,0)))*(1-IF(AND(ArtifactsInput!$M$27,Inputs!$B$4="Chapter Hunt"),CHOOSE(ArtifactsInput!$N$27+1,20,24,28,32,36,40),0)/100)))+1)),0)</f>
        <v/>
      </c>
      <c r="S1684">
        <f>IFERROR(O1684/N1684,0)</f>
        <v/>
      </c>
      <c r="T1684" t="n">
        <v>0</v>
      </c>
      <c r="V1684" t="n">
        <v>0</v>
      </c>
    </row>
    <row r="1685">
      <c r="A1685">
        <f>Skills!A18</f>
        <v/>
      </c>
      <c r="B1685">
        <f>Skills!B18</f>
        <v/>
      </c>
      <c r="C1685">
        <f>Inputs!$B$3&gt;=115</f>
        <v/>
      </c>
      <c r="D1685">
        <f>IF(Skills!C18=1,60+Inputs!$B$25+Inputs!$B$29,IF(Skills!C18=2,90+Inputs!$B$26+Inputs!$B$29,IF(Skills!C18=3,120+Inputs!$B$27+Inputs!$B$29,MAX(0,(Inputs!$B$3-100)*3)+Inputs!$B$28+Inputs!$B$29)))</f>
        <v/>
      </c>
      <c r="E1685">
        <f>INDEX(FactorTable!$B$2:$Y$301, MATCH(ROUND(MIN(300,MAX(1,D1685)),0), FactorTable!$A$2:$A$301,0), Skills!M18+1)</f>
        <v/>
      </c>
      <c r="F1685">
        <f>IF(Skills!N18=TRUE,(Skills!L18/10)*(E1685/1000),Skills!L18/10)+Skills!O18</f>
        <v/>
      </c>
      <c r="G1685">
        <f>Skills!G18*IF(Skills!H18&gt;0,Skills!I18/Skills!H18,1)</f>
        <v/>
      </c>
      <c r="H1685">
        <f>1-(1-Skills!J18/100)^Skills!K18</f>
        <v/>
      </c>
      <c r="I1685" t="inlineStr">
        <is>
          <t>1</t>
        </is>
      </c>
      <c r="J1685" t="inlineStr"/>
      <c r="K1685" t="inlineStr"/>
      <c r="L1685" t="inlineStr"/>
      <c r="M1685" t="inlineStr"/>
      <c r="N1685" t="inlineStr"/>
      <c r="O1685">
        <f>(1-Summary!$B$11)*T1685+Summary!$B$11*V1685</f>
        <v/>
      </c>
      <c r="P1685">
        <f>IF(B1706=0,0,O1685/B1706)</f>
        <v/>
      </c>
      <c r="Q1685">
        <f>IFERROR(1/(IF(Inputs!$B$38="pvp",15,MAX(0.1,Skills!D18-IF(Skills!E18=TRUE,Inputs!$B$32,0)))*(1-IF(AND(ArtifactsInput!$M$27,Inputs!$B$4="Chapter Hunt"),CHOOSE(ArtifactsInput!$N$27+1,20,24,28,32,36,40),0)/100)),0)</f>
        <v/>
      </c>
      <c r="R1685">
        <f>IF(AND(Inputs!$B$38&lt;&gt;"pvp",Inputs!$B$43&gt;0),IF(Inputs!$B$43&lt;=0,0,(INT(Inputs!$B$43/(IF(Inputs!$B$38="pvp",15,MAX(0.1,Skills!D18-IF(Skills!E18=TRUE,Inputs!$B$32,0)))*(1-IF(AND(ArtifactsInput!$M$27,Inputs!$B$4="Chapter Hunt"),CHOOSE(ArtifactsInput!$N$27+1,20,24,28,32,36,40),0)/100)))+1)),0)</f>
        <v/>
      </c>
      <c r="S1685">
        <f>IFERROR(O1685/N1685,0)</f>
        <v/>
      </c>
      <c r="T1685" t="n">
        <v>0</v>
      </c>
      <c r="V1685" t="n">
        <v>0</v>
      </c>
    </row>
    <row r="1686">
      <c r="A1686">
        <f>Skills!A19</f>
        <v/>
      </c>
      <c r="B1686">
        <f>Skills!B19</f>
        <v/>
      </c>
      <c r="C1686">
        <f>TRUE</f>
        <v/>
      </c>
      <c r="D1686">
        <f>IF(Skills!C19=1,60+Inputs!$B$25+Inputs!$B$29,IF(Skills!C19=2,90+Inputs!$B$26+Inputs!$B$29,IF(Skills!C19=3,120+Inputs!$B$27+Inputs!$B$29,MAX(0,(Inputs!$B$3-100)*3)+Inputs!$B$28+Inputs!$B$29)))</f>
        <v/>
      </c>
      <c r="E1686">
        <f>INDEX(FactorTable!$B$2:$Y$301, MATCH(ROUND(MIN(300,MAX(1,D1686)),0), FactorTable!$A$2:$A$301,0), Skills!M19+1)</f>
        <v/>
      </c>
      <c r="F1686">
        <f>IF(Skills!N19=TRUE,(Skills!L19/10)*(E1686/1000),Skills!L19/10)+Skills!O19</f>
        <v/>
      </c>
      <c r="G1686">
        <f>Skills!G19*IF(Skills!H19&gt;0,Skills!I19/Skills!H19,1)</f>
        <v/>
      </c>
      <c r="H1686">
        <f>1-(1-Skills!J19/100)^Skills!K19</f>
        <v/>
      </c>
      <c r="I1686" t="inlineStr">
        <is>
          <t>1</t>
        </is>
      </c>
      <c r="J1686" t="inlineStr"/>
      <c r="K1686" t="inlineStr"/>
      <c r="L1686" t="inlineStr"/>
      <c r="M1686" t="inlineStr"/>
      <c r="N1686" t="inlineStr"/>
      <c r="O1686">
        <f>(1-Summary!$B$11)*T1686+Summary!$B$11*V1686</f>
        <v/>
      </c>
      <c r="P1686">
        <f>IF(B1706=0,0,O1686/B1706)</f>
        <v/>
      </c>
      <c r="Q1686">
        <f>IFERROR(1/(IF(Inputs!$B$38="pvp",15,MAX(0.1,Skills!D19-IF(Skills!E19=TRUE,Inputs!$B$32,0)))*(1-IF(AND(ArtifactsInput!$M$27,Inputs!$B$4="Chapter Hunt"),CHOOSE(ArtifactsInput!$N$27+1,20,24,28,32,36,40),0)/100)),0)</f>
        <v/>
      </c>
      <c r="R1686">
        <f>IF(AND(Inputs!$B$38&lt;&gt;"pvp",Inputs!$B$43&gt;0),IF(Inputs!$B$43&lt;=0,0,(INT(Inputs!$B$43/(IF(Inputs!$B$38="pvp",15,MAX(0.1,Skills!D19-IF(Skills!E19=TRUE,Inputs!$B$32,0)))*(1-IF(AND(ArtifactsInput!$M$27,Inputs!$B$4="Chapter Hunt"),CHOOSE(ArtifactsInput!$N$27+1,20,24,28,32,36,40),0)/100)))+1)),0)</f>
        <v/>
      </c>
      <c r="S1686">
        <f>IFERROR(O1686/N1686,0)</f>
        <v/>
      </c>
      <c r="T1686" t="n">
        <v>0</v>
      </c>
      <c r="V1686" t="n">
        <v>0</v>
      </c>
    </row>
    <row r="1687">
      <c r="A1687">
        <f>Skills!A20</f>
        <v/>
      </c>
      <c r="B1687">
        <f>Skills!B20</f>
        <v/>
      </c>
      <c r="C1687">
        <f>Inputs!$B$3&gt;=33</f>
        <v/>
      </c>
      <c r="D1687">
        <f>IF(Skills!C20=1,60+Inputs!$B$25+Inputs!$B$29,IF(Skills!C20=2,90+Inputs!$B$26+Inputs!$B$29,IF(Skills!C20=3,120+Inputs!$B$27+Inputs!$B$29,MAX(0,(Inputs!$B$3-100)*3)+Inputs!$B$28+Inputs!$B$29)))</f>
        <v/>
      </c>
      <c r="E1687">
        <f>INDEX(FactorTable!$B$2:$Y$301, MATCH(ROUND(MIN(300,MAX(1,D1687)),0), FactorTable!$A$2:$A$301,0), Skills!M20+1)</f>
        <v/>
      </c>
      <c r="F1687">
        <f>IF(Skills!N20=TRUE,(Skills!L20/10)*(E1687/1000),Skills!L20/10)+Skills!O20</f>
        <v/>
      </c>
      <c r="G1687">
        <f>Skills!G20*IF(Skills!H20&gt;0,Skills!I20/Skills!H20,1)</f>
        <v/>
      </c>
      <c r="H1687">
        <f>1-(1-Skills!J20/100)^Skills!K20</f>
        <v/>
      </c>
      <c r="I1687" t="inlineStr">
        <is>
          <t>1</t>
        </is>
      </c>
      <c r="J1687" t="inlineStr"/>
      <c r="K1687" t="inlineStr"/>
      <c r="L1687" t="inlineStr"/>
      <c r="M1687" t="inlineStr"/>
      <c r="N1687" t="inlineStr"/>
      <c r="O1687">
        <f>(1-Summary!$B$11)*T1687+Summary!$B$11*V1687</f>
        <v/>
      </c>
      <c r="P1687">
        <f>IF(B1706=0,0,O1687/B1706)</f>
        <v/>
      </c>
      <c r="Q1687" t="n">
        <v>0</v>
      </c>
      <c r="R1687" t="n">
        <v>0</v>
      </c>
      <c r="S1687">
        <f>IFERROR(O1687/N1687,0)</f>
        <v/>
      </c>
      <c r="T1687" t="n">
        <v>0</v>
      </c>
      <c r="V1687" t="n">
        <v>0</v>
      </c>
    </row>
    <row r="1688">
      <c r="A1688">
        <f>Skills!A21</f>
        <v/>
      </c>
      <c r="B1688">
        <f>Skills!B21</f>
        <v/>
      </c>
      <c r="C1688">
        <f>Inputs!$B$3&gt;=38</f>
        <v/>
      </c>
      <c r="D1688">
        <f>IF(Skills!C21=1,60+Inputs!$B$25+Inputs!$B$29,IF(Skills!C21=2,90+Inputs!$B$26+Inputs!$B$29,IF(Skills!C21=3,120+Inputs!$B$27+Inputs!$B$29,MAX(0,(Inputs!$B$3-100)*3)+Inputs!$B$28+Inputs!$B$29)))</f>
        <v/>
      </c>
      <c r="E1688">
        <f>INDEX(FactorTable!$B$2:$Y$301, MATCH(ROUND(MIN(300,MAX(1,D1688)),0), FactorTable!$A$2:$A$301,0), Skills!M21+1)</f>
        <v/>
      </c>
      <c r="F1688">
        <f>IF(Skills!N21=TRUE,(Skills!L21/10)*(E1688/1000),Skills!L21/10)+Skills!O21</f>
        <v/>
      </c>
      <c r="G1688">
        <f>Skills!G21*IF(Skills!H21&gt;0,Skills!I21/Skills!H21,1)</f>
        <v/>
      </c>
      <c r="H1688">
        <f>1-(1-Skills!J21/100)^Skills!K21</f>
        <v/>
      </c>
      <c r="I1688" t="inlineStr">
        <is>
          <t>1</t>
        </is>
      </c>
      <c r="J1688" t="inlineStr"/>
      <c r="K1688" t="inlineStr"/>
      <c r="L1688" t="inlineStr"/>
      <c r="M1688" t="inlineStr"/>
      <c r="N1688" t="inlineStr"/>
      <c r="O1688">
        <f>(1-Summary!$B$11)*T1688+Summary!$B$11*V1688</f>
        <v/>
      </c>
      <c r="P1688">
        <f>IF(B1706=0,0,O1688/B1706)</f>
        <v/>
      </c>
      <c r="Q1688" t="n">
        <v>0</v>
      </c>
      <c r="R1688" t="n">
        <v>0</v>
      </c>
      <c r="S1688">
        <f>IFERROR(O1688/N1688,0)</f>
        <v/>
      </c>
      <c r="T1688" t="n">
        <v>0</v>
      </c>
      <c r="V1688" t="n">
        <v>0</v>
      </c>
    </row>
    <row r="1689">
      <c r="A1689">
        <f>Skills!A22</f>
        <v/>
      </c>
      <c r="B1689">
        <f>Skills!B22</f>
        <v/>
      </c>
      <c r="C1689">
        <f>Inputs!$B$3&gt;=43</f>
        <v/>
      </c>
      <c r="D1689">
        <f>IF(Skills!C22=1,60+Inputs!$B$25+Inputs!$B$29,IF(Skills!C22=2,90+Inputs!$B$26+Inputs!$B$29,IF(Skills!C22=3,120+Inputs!$B$27+Inputs!$B$29,MAX(0,(Inputs!$B$3-100)*3)+Inputs!$B$28+Inputs!$B$29)))</f>
        <v/>
      </c>
      <c r="E1689">
        <f>INDEX(FactorTable!$B$2:$Y$301, MATCH(ROUND(MIN(300,MAX(1,D1689)),0), FactorTable!$A$2:$A$301,0), Skills!M22+1)</f>
        <v/>
      </c>
      <c r="F1689">
        <f>IF(Skills!N22=TRUE,(Skills!L22/10)*(E1689/1000),Skills!L22/10)+Skills!O22</f>
        <v/>
      </c>
      <c r="G1689">
        <f>Skills!G22*IF(Skills!H22&gt;0,Skills!I22/Skills!H22,1)</f>
        <v/>
      </c>
      <c r="H1689">
        <f>1-(1-Skills!J22/100)^Skills!K22</f>
        <v/>
      </c>
      <c r="I1689" t="inlineStr">
        <is>
          <t>1</t>
        </is>
      </c>
      <c r="J1689" t="inlineStr"/>
      <c r="K1689" t="inlineStr"/>
      <c r="L1689" t="inlineStr"/>
      <c r="M1689" t="inlineStr"/>
      <c r="N1689" t="inlineStr"/>
      <c r="O1689">
        <f>(1-Summary!$B$11)*T1689+Summary!$B$11*V1689</f>
        <v/>
      </c>
      <c r="P1689">
        <f>IF(B1706=0,0,O1689/B1706)</f>
        <v/>
      </c>
      <c r="Q1689" t="n">
        <v>0</v>
      </c>
      <c r="R1689" t="n">
        <v>0</v>
      </c>
      <c r="S1689">
        <f>IFERROR(O1689/N1689,0)</f>
        <v/>
      </c>
      <c r="T1689" t="n">
        <v>0</v>
      </c>
      <c r="V1689" t="n">
        <v>0</v>
      </c>
    </row>
    <row r="1690">
      <c r="A1690">
        <f>Skills!A23</f>
        <v/>
      </c>
      <c r="B1690">
        <f>Skills!B23</f>
        <v/>
      </c>
      <c r="C1690">
        <f>Inputs!$B$3&gt;=120</f>
        <v/>
      </c>
      <c r="D1690">
        <f>IF(Skills!C23=1,60+Inputs!$B$25+Inputs!$B$29,IF(Skills!C23=2,90+Inputs!$B$26+Inputs!$B$29,IF(Skills!C23=3,120+Inputs!$B$27+Inputs!$B$29,MAX(0,(Inputs!$B$3-100)*3)+Inputs!$B$28+Inputs!$B$29)))</f>
        <v/>
      </c>
      <c r="E1690">
        <f>INDEX(FactorTable!$B$2:$Y$301, MATCH(ROUND(MIN(300,MAX(1,D1690)),0), FactorTable!$A$2:$A$301,0), Skills!M23+1)</f>
        <v/>
      </c>
      <c r="F1690">
        <f>IF(Skills!N23=TRUE,(Skills!L23/10)*(E1690/1000),Skills!L23/10)+Skills!O23</f>
        <v/>
      </c>
      <c r="G1690">
        <f>Skills!G23*IF(Skills!H23&gt;0,Skills!I23/Skills!H23,1)</f>
        <v/>
      </c>
      <c r="H1690">
        <f>1-(1-Skills!J23/100)^Skills!K23</f>
        <v/>
      </c>
      <c r="I1690" t="inlineStr">
        <is>
          <t>1</t>
        </is>
      </c>
      <c r="J1690" t="inlineStr"/>
      <c r="K1690" t="inlineStr"/>
      <c r="L1690" t="inlineStr"/>
      <c r="M1690" t="inlineStr"/>
      <c r="N1690" t="inlineStr"/>
      <c r="O1690">
        <f>(1-Summary!$B$11)*T1690+Summary!$B$11*V1690</f>
        <v/>
      </c>
      <c r="P1690">
        <f>IF(B1706=0,0,O1690/B1706)</f>
        <v/>
      </c>
      <c r="Q1690" t="n">
        <v>0</v>
      </c>
      <c r="R1690" t="n">
        <v>0</v>
      </c>
      <c r="S1690">
        <f>IFERROR(O1690/N1690,0)</f>
        <v/>
      </c>
      <c r="T1690" t="n">
        <v>0</v>
      </c>
      <c r="V1690" t="n">
        <v>0</v>
      </c>
    </row>
    <row r="1691">
      <c r="A1691">
        <f>Skills!A24</f>
        <v/>
      </c>
      <c r="B1691">
        <f>Skills!B24</f>
        <v/>
      </c>
      <c r="C1691">
        <f>Inputs!$B$3&gt;=120</f>
        <v/>
      </c>
      <c r="D1691">
        <f>IF(Skills!C24=1,60+Inputs!$B$25+Inputs!$B$29,IF(Skills!C24=2,90+Inputs!$B$26+Inputs!$B$29,IF(Skills!C24=3,120+Inputs!$B$27+Inputs!$B$29,MAX(0,(Inputs!$B$3-100)*3)+Inputs!$B$28+Inputs!$B$29)))</f>
        <v/>
      </c>
      <c r="E1691">
        <f>INDEX(FactorTable!$B$2:$Y$301, MATCH(ROUND(MIN(300,MAX(1,D1691)),0), FactorTable!$A$2:$A$301,0), Skills!M24+1)</f>
        <v/>
      </c>
      <c r="F1691">
        <f>IF(Skills!N24=TRUE,(Skills!L24/10)*(E1691/1000),Skills!L24/10)+Skills!O24</f>
        <v/>
      </c>
      <c r="G1691">
        <f>Skills!G24*IF(Skills!H24&gt;0,Skills!I24/Skills!H24,1)</f>
        <v/>
      </c>
      <c r="H1691">
        <f>1-(1-Skills!J24/100)^Skills!K24</f>
        <v/>
      </c>
      <c r="I1691" t="inlineStr">
        <is>
          <t>1</t>
        </is>
      </c>
      <c r="J1691" t="inlineStr"/>
      <c r="K1691" t="inlineStr"/>
      <c r="L1691" t="inlineStr"/>
      <c r="M1691" t="inlineStr"/>
      <c r="N1691" t="inlineStr"/>
      <c r="O1691">
        <f>(1-Summary!$B$11)*T1691+Summary!$B$11*V1691</f>
        <v/>
      </c>
      <c r="P1691">
        <f>IF(B1706=0,0,O1691/B1706)</f>
        <v/>
      </c>
      <c r="Q1691" t="n">
        <v>0</v>
      </c>
      <c r="R1691" t="n">
        <v>0</v>
      </c>
      <c r="S1691">
        <f>IFERROR(O1691/N1691,0)</f>
        <v/>
      </c>
      <c r="T1691" t="n">
        <v>0</v>
      </c>
      <c r="V1691" t="n">
        <v>0</v>
      </c>
    </row>
    <row r="1692">
      <c r="A1692">
        <f>Skills!A25</f>
        <v/>
      </c>
      <c r="B1692">
        <f>Skills!B25</f>
        <v/>
      </c>
      <c r="C1692">
        <f>Inputs!$B$3&gt;=125</f>
        <v/>
      </c>
      <c r="D1692">
        <f>IF(Skills!C25=1,60+Inputs!$B$25+Inputs!$B$29,IF(Skills!C25=2,90+Inputs!$B$26+Inputs!$B$29,IF(Skills!C25=3,120+Inputs!$B$27+Inputs!$B$29,MAX(0,(Inputs!$B$3-100)*3)+Inputs!$B$28+Inputs!$B$29)))</f>
        <v/>
      </c>
      <c r="E1692">
        <f>INDEX(FactorTable!$B$2:$Y$301, MATCH(ROUND(MIN(300,MAX(1,D1692)),0), FactorTable!$A$2:$A$301,0), Skills!M25+1)</f>
        <v/>
      </c>
      <c r="F1692">
        <f>IF(Skills!N25=TRUE,(Skills!L25/10)*(E1692/1000),Skills!L25/10)+Skills!O25</f>
        <v/>
      </c>
      <c r="G1692">
        <f>Skills!G25*IF(Skills!H25&gt;0,Skills!I25/Skills!H25,1)</f>
        <v/>
      </c>
      <c r="H1692">
        <f>1-(1-Skills!J25/100)^Skills!K25</f>
        <v/>
      </c>
      <c r="I1692" t="inlineStr">
        <is>
          <t>1</t>
        </is>
      </c>
      <c r="J1692" t="inlineStr"/>
      <c r="K1692" t="inlineStr"/>
      <c r="L1692" t="inlineStr"/>
      <c r="M1692" t="inlineStr"/>
      <c r="N1692" t="inlineStr"/>
      <c r="O1692">
        <f>(1-Summary!$B$11)*T1692+Summary!$B$11*V1692</f>
        <v/>
      </c>
      <c r="P1692">
        <f>IF(B1706=0,0,O1692/B1706)</f>
        <v/>
      </c>
      <c r="Q1692" t="n">
        <v>0</v>
      </c>
      <c r="R1692" t="n">
        <v>0</v>
      </c>
      <c r="S1692">
        <f>IFERROR(O1692/N1692,0)</f>
        <v/>
      </c>
      <c r="T1692" t="n">
        <v>0</v>
      </c>
      <c r="V1692" t="n">
        <v>0</v>
      </c>
    </row>
    <row r="1693">
      <c r="A1693">
        <f>Skills!A26</f>
        <v/>
      </c>
      <c r="B1693">
        <f>Skills!B26</f>
        <v/>
      </c>
      <c r="C1693">
        <f>Inputs!$B$3&gt;=72</f>
        <v/>
      </c>
      <c r="D1693">
        <f>IF(Skills!C26=1,60+Inputs!$B$25+Inputs!$B$29,IF(Skills!C26=2,90+Inputs!$B$26+Inputs!$B$29,IF(Skills!C26=3,120+Inputs!$B$27+Inputs!$B$29,MAX(0,(Inputs!$B$3-100)*3)+Inputs!$B$28+Inputs!$B$29)))</f>
        <v/>
      </c>
      <c r="E1693">
        <f>INDEX(FactorTable!$B$2:$Y$301, MATCH(ROUND(MIN(300,MAX(1,D1693)),0), FactorTable!$A$2:$A$301,0), Skills!M26+1)</f>
        <v/>
      </c>
      <c r="F1693">
        <f>IF(Skills!N26=TRUE,(Skills!L26/10)*(E1693/1000),Skills!L26/10)+Skills!O26</f>
        <v/>
      </c>
      <c r="G1693">
        <f>Skills!G26*IF(Skills!H26&gt;0,Skills!I26/Skills!H26,1)</f>
        <v/>
      </c>
      <c r="H1693">
        <f>1-(1-Skills!J26/100)^Skills!K26</f>
        <v/>
      </c>
      <c r="I1693" t="inlineStr">
        <is>
          <t>1</t>
        </is>
      </c>
      <c r="J1693" t="inlineStr"/>
      <c r="K1693" t="inlineStr"/>
      <c r="L1693" t="inlineStr"/>
      <c r="M1693" t="inlineStr"/>
      <c r="N1693" t="inlineStr"/>
      <c r="O1693">
        <f>(1-Summary!$B$11)*T1693+Summary!$B$11*V1693</f>
        <v/>
      </c>
      <c r="P1693">
        <f>IF(B1706=0,0,O1693/B1706)</f>
        <v/>
      </c>
      <c r="Q1693" t="n">
        <v>0</v>
      </c>
      <c r="R1693" t="n">
        <v>0</v>
      </c>
      <c r="S1693">
        <f>IFERROR(O1693/N1693,0)</f>
        <v/>
      </c>
      <c r="T1693" t="n">
        <v>0</v>
      </c>
      <c r="V1693" t="n">
        <v>0</v>
      </c>
    </row>
    <row r="1695">
      <c r="A1695" t="inlineStr">
        <is>
          <t>Attack% Bucket Multiplier</t>
        </is>
      </c>
      <c r="B1695">
        <f>(1+(((C1680=TRUE)*F1680*IF(Inputs!$B$3&gt;=110,7,5))+((C1682=TRUE)*F1682*IF(AND(Inputs!$B$38&lt;&gt;"pvp",Inputs!$B$43&gt;0),(((R1682-1)*(Skills!T15*(1+(Inputs!$B$34+(ArtifactsInput!$M$7-ArtifactsInput!$M$7)*CHOOSE(ArtifactsInput!$N$7+1,6,7.2,8.4,9.6,10.8,12))/100))+MIN((Skills!T15*(1+(Inputs!$B$34+(ArtifactsInput!$M$7-ArtifactsInput!$M$7)*CHOOSE(ArtifactsInput!$N$7+1,6,7.2,8.4,9.6,10.8,12))/100)),MAX(0,Inputs!$B$43-((R1682-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96">
      <c r="A1696" t="inlineStr">
        <is>
          <t>Global Crit Rate Bonus %</t>
        </is>
      </c>
      <c r="B1696" t="n">
        <v>0</v>
      </c>
    </row>
    <row r="1697">
      <c r="A1697" t="inlineStr">
        <is>
          <t>Attack Speed Buff Bonus %</t>
        </is>
      </c>
      <c r="B1697">
        <f>((C1686=TRUE)*F1686*IF(AND(Inputs!$B$38&lt;&gt;"pvp",Inputs!$B$43&gt;0),(((R1686-1)*(Skills!T19*(1+(Inputs!$B$34+(ArtifactsInput!$M$7-ArtifactsInput!$M$7)*CHOOSE(ArtifactsInput!$N$7+1,6,7.2,8.4,9.6,10.8,12))/100))+MIN((Skills!T19*(1+(Inputs!$B$34+(ArtifactsInput!$M$7-ArtifactsInput!$M$7)*CHOOSE(ArtifactsInput!$N$7+1,6,7.2,8.4,9.6,10.8,12))/100)),MAX(0,Inputs!$B$43-((R1686-1)*Skills!D19))))/Inputs!$B$43),IF(Inputs!$B$38="pvp",MIN((Skills!T19*(1+(Inputs!$B$34+(ArtifactsInput!$M$7-ArtifactsInput!$M$7)*CHOOSE(ArtifactsInput!$N$7+1,6,7.2,8.4,9.6,10.8,12))/100)),15)/15,(Skills!T19*(1+(Inputs!$B$34+(ArtifactsInput!$M$7-ArtifactsInput!$M$7)*CHOOSE(ArtifactsInput!$N$7+1,6,7.2,8.4,9.6,10.8,12))/100))/Skills!D19)))</f>
        <v/>
      </c>
    </row>
    <row r="1698">
      <c r="A1698" t="inlineStr">
        <is>
          <t>Actions Per Second</t>
        </is>
      </c>
      <c r="B1698">
        <f>1+MIN(150,150*(1-(1-(Inputs!$B$11+((C1687=TRUE)*(F1687-Calc!F20)))/150)*(1-B1697/150)))/100</f>
        <v/>
      </c>
    </row>
    <row r="1699">
      <c r="A1699" t="inlineStr">
        <is>
          <t>Skill + Buff Cast Rate</t>
        </is>
      </c>
      <c r="B1699">
        <f>IF(AND(Inputs!$B$38&lt;&gt;"pvp",Inputs!$B$43&gt;0),SUMPRODUCT((Skills!E2:E26=TRUE)*(C1669:C1693=TRUE)*R1669:R1693*Skills!F2:F26)/Inputs!$B$43,SUMPRODUCT((Skills!E2:E26=TRUE)*(C1669:C1693=TRUE)*Q1669:Q1693*Skills!F2:F26))</f>
        <v/>
      </c>
    </row>
    <row r="1700">
      <c r="A1700" t="inlineStr">
        <is>
          <t>Raging Blow Casts Per Second</t>
        </is>
      </c>
      <c r="B1700">
        <f>MAX(0,B1698-B1699)</f>
        <v/>
      </c>
    </row>
    <row r="1701">
      <c r="A1701" t="inlineStr">
        <is>
          <t>Global Critical Damage Bonus % (Enrage)</t>
        </is>
      </c>
      <c r="B1701">
        <f>((C1685=TRUE)*F1685*IF(AND(Inputs!$B$38&lt;&gt;"pvp",Inputs!$B$43&gt;0),(((R1685-1)*(Skills!T18*(1+(Inputs!$B$34+(ArtifactsInput!$M$7-ArtifactsInput!$M$7)*CHOOSE(ArtifactsInput!$N$7+1,6,7.2,8.4,9.6,10.8,12))/100))+MIN((Skills!T18*(1+(Inputs!$B$34+(ArtifactsInput!$M$7-ArtifactsInput!$M$7)*CHOOSE(ArtifactsInput!$N$7+1,6,7.2,8.4,9.6,10.8,12))/100)),MAX(0,Inputs!$B$43-((R1685-1)*Skills!D18))))/Inputs!$B$43),IF(Inputs!$B$38="pvp",MIN((Skills!T18*(1+(Inputs!$B$34+(ArtifactsInput!$M$7-ArtifactsInput!$M$7)*CHOOSE(ArtifactsInput!$N$7+1,6,7.2,8.4,9.6,10.8,12))/100)),15)/15,(Skills!T18*(1+(Inputs!$B$34+(ArtifactsInput!$M$7-ArtifactsInput!$M$7)*CHOOSE(ArtifactsInput!$N$7+1,6,7.2,8.4,9.6,10.8,12))/100))/Skills!D18)))</f>
        <v/>
      </c>
    </row>
    <row r="1702">
      <c r="A1702" t="inlineStr">
        <is>
          <t>Global Final Damage Bonus % (Enrage + Combo Synergy)</t>
        </is>
      </c>
      <c r="B1702">
        <f>((C1684=TRUE)*F1684*IF(AND(Inputs!$B$38&lt;&gt;"pvp",Inputs!$B$43&gt;0),(((R1684-1)*(Skills!T17*(1+(Inputs!$B$34+(ArtifactsInput!$M$7-ArtifactsInput!$M$7)*CHOOSE(ArtifactsInput!$N$7+1,6,7.2,8.4,9.6,10.8,12))/100))+MIN((Skills!T17*(1+(Inputs!$B$34+(ArtifactsInput!$M$7-ArtifactsInput!$M$7)*CHOOSE(ArtifactsInput!$N$7+1,6,7.2,8.4,9.6,10.8,12))/100)),MAX(0,Inputs!$B$43-((R1684-1)*Skills!D17))))/Inputs!$B$43),IF(Inputs!$B$38="pvp",MIN((Skills!T17*(1+(Inputs!$B$34+(ArtifactsInput!$M$7-ArtifactsInput!$M$7)*CHOOSE(ArtifactsInput!$N$7+1,6,7.2,8.4,9.6,10.8,12))/100)),15)/15,(Skills!T17*(1+(Inputs!$B$34+(ArtifactsInput!$M$7-ArtifactsInput!$M$7)*CHOOSE(ArtifactsInput!$N$7+1,6,7.2,8.4,9.6,10.8,12))/100))/Skills!D17)))+((C1681=TRUE)*F1681*IF(Inputs!$B$3&gt;=110,7,5))</f>
        <v/>
      </c>
    </row>
    <row r="1703">
      <c r="A1703" t="inlineStr">
        <is>
          <t>Buff-Casting Startup Delay (s, fixed-duration only)</t>
        </is>
      </c>
      <c r="B1703">
        <f>IF(AND(Inputs!$B$38&lt;&gt;"pvp",Inputs!$B$43&gt;0),SUMPRODUCT((Skills!T2:T26&gt;0)*(Skills!E2:E26=TRUE)*(C1669:C1693=TRUE))/B1698,0)</f>
        <v/>
      </c>
    </row>
    <row r="1704">
      <c r="A1704" t="inlineStr">
        <is>
          <t>Boss-Only Total DPS (this block's swept value)</t>
        </is>
      </c>
      <c r="B1704">
        <f>SUM(T1669:T1693)</f>
        <v/>
      </c>
    </row>
    <row r="1705">
      <c r="A1705" t="inlineStr">
        <is>
          <t>Normal-Only Total DPS (this block's swept value)</t>
        </is>
      </c>
      <c r="B1705">
        <f>SUM(V1669:V1693)</f>
        <v/>
      </c>
    </row>
    <row r="1706">
      <c r="A1706" s="6" t="inlineStr">
        <is>
          <t>TOTAL DPS</t>
        </is>
      </c>
      <c r="B1706" s="6">
        <f>SUM(O1669:O1693)</f>
        <v/>
      </c>
    </row>
    <row r="1709">
      <c r="A1709" s="6" t="inlineStr">
        <is>
          <t>Stat: Chalice (Equip)</t>
        </is>
      </c>
    </row>
    <row r="1710">
      <c r="A1710" s="5" t="inlineStr">
        <is>
          <t>Key</t>
        </is>
      </c>
      <c r="B1710" s="5" t="inlineStr">
        <is>
          <t>Name</t>
        </is>
      </c>
      <c r="C1710" s="5" t="inlineStr">
        <is>
          <t>Unlocked</t>
        </is>
      </c>
      <c r="D1710" s="5" t="inlineStr">
        <is>
          <t>InputLevel</t>
        </is>
      </c>
      <c r="E1710" s="5" t="inlineStr">
        <is>
          <t>Factor</t>
        </is>
      </c>
      <c r="F1710" s="5" t="inlineStr">
        <is>
          <t>CoefficientPercent</t>
        </is>
      </c>
      <c r="G1710" s="5" t="inlineStr">
        <is>
          <t>EffectiveHits</t>
        </is>
      </c>
      <c r="H1710" s="5" t="inlineStr">
        <is>
          <t>ProcProbability</t>
        </is>
      </c>
      <c r="I1710" s="5" t="inlineStr">
        <is>
          <t>MapleHeroMultiplier</t>
        </is>
      </c>
      <c r="J1710" s="5" t="inlineStr">
        <is>
          <t>BaseDamage</t>
        </is>
      </c>
      <c r="K1710" s="5" t="inlineStr">
        <is>
          <t>BaseHitDamage</t>
        </is>
      </c>
      <c r="L1710" s="5" t="inlineStr">
        <is>
          <t>NonCritAvg</t>
        </is>
      </c>
      <c r="M1710" s="5" t="inlineStr">
        <is>
          <t>CritAvg</t>
        </is>
      </c>
      <c r="N1710" s="5" t="inlineStr">
        <is>
          <t>ExpectedDamage(perHit)</t>
        </is>
      </c>
      <c r="O1710" s="5" t="inlineStr">
        <is>
          <t>DPS</t>
        </is>
      </c>
      <c r="P1710" s="5" t="inlineStr">
        <is>
          <t>% of Total</t>
        </is>
      </c>
      <c r="Q1710" s="5" t="inlineStr">
        <is>
          <t>InvCooldown</t>
        </is>
      </c>
      <c r="R1710" s="5" t="inlineStr">
        <is>
          <t>CastsInFight</t>
        </is>
      </c>
      <c r="S1710" s="5" t="inlineStr">
        <is>
          <t>HitRate(perSec)</t>
        </is>
      </c>
      <c r="U1710" t="inlineStr">
        <is>
          <t>helpers</t>
        </is>
      </c>
    </row>
    <row r="1711">
      <c r="A1711">
        <f>Skills!A2</f>
        <v/>
      </c>
      <c r="B1711">
        <f>Skills!B2</f>
        <v/>
      </c>
      <c r="C1711">
        <f>Inputs!$B$3&gt;=100</f>
        <v/>
      </c>
      <c r="D1711" t="inlineStr"/>
      <c r="E1711" t="inlineStr"/>
      <c r="F1711">
        <f>U1713+Skills!O2</f>
        <v/>
      </c>
      <c r="G1711">
        <f>Skills!G2*IF(Skills!H2&gt;0,Skills!I2/Skills!H2,1)</f>
        <v/>
      </c>
      <c r="H1711">
        <f>1-(1-Skills!J2/100)^Skills!K2</f>
        <v/>
      </c>
      <c r="I1711" t="inlineStr">
        <is>
          <t>1</t>
        </is>
      </c>
      <c r="J1711">
        <f>((Inputs!$B$6*(1+Inputs!$B$7/100))+(((Inputs!$B$12*(1+Inputs!$B$13/100))-(Inputs!$B$12*(1+Inputs!$B$13/100)))+0.25*(Inputs!$B$14-Inputs!$B$14))*(1+Inputs!$B$7/100))*(F1711/100)</f>
        <v/>
      </c>
      <c r="K1711">
        <f>J1711*(1+((Inputs!$B$12*(1+Inputs!$B$13/100))*0.01+Inputs!$B$14*0.0025)/100)*(1+Inputs!$B$15/100)*(1+Inputs!$B$16/100)*(5000/(6000+Inputs!$B$42*(1-(100*(1-(1-(Inputs!$B$19+0)/100)*(1-CHOOSE(ArtifactsInput!$N$40+1,5,6,7,8,9,10)/100)^(ArtifactsInput!$M$40-ArtifactsInput!$M$40)))/100)))*(1+(Inputs!$B$24+((C1734=TRUE)*(F1734-Calc!F25))+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1730=TRUE)*(F1730-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1732=TRUE)*(F1732-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1722=TRUE)*F1722*IF(Inputs!$B$3&gt;=110,7,5))+((C1724=TRUE)*F1724*IF(AND(Inputs!$B$38&lt;&gt;"pvp",Inputs!$B$43&gt;0),(((R1724-1)*(Skills!T15*(1+(Inputs!$B$34+(ArtifactsInput!$M$7-ArtifactsInput!$M$7)*CHOOSE(ArtifactsInput!$N$7+1,6,7.2,8.4,9.6,10.8,12))/100))+MIN((Skills!T15*(1+(Inputs!$B$34+(ArtifactsInput!$M$7-ArtifactsInput!$M$7)*CHOOSE(ArtifactsInput!$N$7+1,6,7.2,8.4,9.6,10.8,12))/100)),MAX(0,Inputs!$B$43-((R1724-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I1711)</f>
        <v/>
      </c>
      <c r="L1711">
        <f>K1711*(MIN(Inputs!$B$22+((C1731=TRUE)*(F1731-Calc!F22)),(Inputs!$B$23+((C1733=TRUE)*(F1733-Calc!F24))+(IF(ArtifactsInput!$M$15,CHOOSE(ArtifactsInput!$N$15+1,25,30,35,40,45,50)/100*(Inputs!$B$11-Inputs!$B$11),0))))/100+(Inputs!$B$23+((C1733=TRUE)*(F1733-Calc!F24))+(IF(ArtifactsInput!$M$15,CHOOSE(ArtifactsInput!$N$15+1,25,30,35,40,45,50)/100*(Inputs!$B$11-Inputs!$B$11),0)))/100)/2</f>
        <v/>
      </c>
      <c r="M1711">
        <f>L1711*(1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1">
        <f>L1711*(1-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1711*(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1">
        <f>(1-Summary!$B$11)*T1711+Summary!$B$11*V1711</f>
        <v/>
      </c>
      <c r="P1711">
        <f>IF(B1748=0,0,O1711/B1748)</f>
        <v/>
      </c>
      <c r="Q1711" t="n">
        <v>0</v>
      </c>
      <c r="R1711" t="n">
        <v>0</v>
      </c>
      <c r="S1711">
        <f>IFERROR(O1711/N1711,0)</f>
        <v/>
      </c>
      <c r="T1711">
        <f>IF(C1711,(Skills!G2*N1711*B1742)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1711*(1-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1711*(1-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1">
        <f>MAX(0,(Inputs!$B$3-100)*3)+Inputs!$B$28+Inputs!$B$29</f>
        <v/>
      </c>
      <c r="V1711">
        <f>IF(C1711,(Skills!G2*N1711*B1742)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2">
      <c r="A1712">
        <f>Skills!A3</f>
        <v/>
      </c>
      <c r="B1712">
        <f>Skills!B3</f>
        <v/>
      </c>
      <c r="C1712">
        <f>Inputs!$B$3&gt;=50</f>
        <v/>
      </c>
      <c r="D1712">
        <f>IF(Skills!C3=1,60+Inputs!$B$25+Inputs!$B$29,IF(Skills!C3=2,90+Inputs!$B$26+Inputs!$B$29,IF(Skills!C3=3,120+Inputs!$B$27+Inputs!$B$29,MAX(0,(Inputs!$B$3-100)*3)+Inputs!$B$28+Inputs!$B$29)))</f>
        <v/>
      </c>
      <c r="E1712">
        <f>INDEX(FactorTable!$B$2:$Y$301, MATCH(ROUND(MIN(300,MAX(1,D1712)),0), FactorTable!$A$2:$A$301,0), Skills!M3+1)</f>
        <v/>
      </c>
      <c r="F1712">
        <f>IF(Skills!N3=TRUE,(Skills!L3/10)*(E1712/1000),Skills!L3/10)+Skills!O3</f>
        <v/>
      </c>
      <c r="G1712" t="inlineStr"/>
      <c r="H1712" t="inlineStr"/>
      <c r="I1712" t="inlineStr">
        <is>
          <t>1</t>
        </is>
      </c>
      <c r="J1712" t="inlineStr"/>
      <c r="K1712" t="inlineStr"/>
      <c r="L1712" t="inlineStr"/>
      <c r="M1712" t="inlineStr"/>
      <c r="N1712" t="inlineStr"/>
      <c r="O1712" t="inlineStr"/>
      <c r="P1712" t="inlineStr"/>
      <c r="Q1712" t="inlineStr"/>
      <c r="R1712" t="inlineStr"/>
      <c r="S1712" t="inlineStr"/>
      <c r="U1712">
        <f>INDEX(FactorTable!$B$2:$Y$301, MATCH(ROUND(MIN(300,MAX(1,U1711)),0), FactorTable!$A$2:$A$301,0), 22)</f>
        <v/>
      </c>
    </row>
    <row r="1713">
      <c r="A1713">
        <f>Skills!A4</f>
        <v/>
      </c>
      <c r="B1713">
        <f>Skills!B4</f>
        <v/>
      </c>
      <c r="C1713">
        <f>Inputs!$B$3&gt;=105</f>
        <v/>
      </c>
      <c r="D1713">
        <f>IF(Skills!C4=1,60+Inputs!$B$25+Inputs!$B$29,IF(Skills!C4=2,90+Inputs!$B$26+Inputs!$B$29,IF(Skills!C4=3,120+Inputs!$B$27+Inputs!$B$29,MAX(0,(Inputs!$B$3-100)*3)+Inputs!$B$28+Inputs!$B$29)))</f>
        <v/>
      </c>
      <c r="E1713">
        <f>INDEX(FactorTable!$B$2:$Y$301, MATCH(ROUND(MIN(300,MAX(1,D1713)),0), FactorTable!$A$2:$A$301,0), Skills!M4+1)</f>
        <v/>
      </c>
      <c r="F1713">
        <f>IF(Skills!N4=TRUE,(Skills!L4/10)*(E1713/1000),Skills!L4/10)+Skills!O4</f>
        <v/>
      </c>
      <c r="G1713" t="inlineStr"/>
      <c r="H1713" t="inlineStr"/>
      <c r="I1713" t="inlineStr">
        <is>
          <t>1</t>
        </is>
      </c>
      <c r="J1713" t="inlineStr"/>
      <c r="K1713" t="inlineStr"/>
      <c r="L1713" t="inlineStr"/>
      <c r="M1713" t="inlineStr"/>
      <c r="N1713" t="inlineStr"/>
      <c r="O1713" t="inlineStr"/>
      <c r="P1713" t="inlineStr"/>
      <c r="Q1713" t="inlineStr"/>
      <c r="R1713" t="inlineStr"/>
      <c r="S1713" t="inlineStr"/>
      <c r="U1713">
        <f>290*U1712/1000</f>
        <v/>
      </c>
    </row>
    <row r="1714">
      <c r="A1714">
        <f>Skills!A5</f>
        <v/>
      </c>
      <c r="B1714">
        <f>Skills!B5</f>
        <v/>
      </c>
      <c r="C1714">
        <f>Inputs!$B$3&gt;=103</f>
        <v/>
      </c>
      <c r="D1714">
        <f>IF(Skills!C5=1,60+Inputs!$B$25+Inputs!$B$29,IF(Skills!C5=2,90+Inputs!$B$26+Inputs!$B$29,IF(Skills!C5=3,120+Inputs!$B$27+Inputs!$B$29,MAX(0,(Inputs!$B$3-100)*3)+Inputs!$B$28+Inputs!$B$29)))</f>
        <v/>
      </c>
      <c r="E1714">
        <f>INDEX(FactorTable!$B$2:$Y$301, MATCH(ROUND(MIN(300,MAX(1,D1714)),0), FactorTable!$A$2:$A$301,0), Skills!M5+1)</f>
        <v/>
      </c>
      <c r="F1714">
        <f>IF(Skills!N5=TRUE,(Skills!L5/10)*(E1714/1000),Skills!L5/10)+Skills!O5</f>
        <v/>
      </c>
      <c r="G1714">
        <f>Skills!G5*IF(Skills!H5&gt;0,Skills!I5/Skills!H5,1)</f>
        <v/>
      </c>
      <c r="H1714">
        <f>1-(1-Skills!J5/100)^Skills!K5</f>
        <v/>
      </c>
      <c r="I1714" t="inlineStr">
        <is>
          <t>1</t>
        </is>
      </c>
      <c r="J1714">
        <f>((Inputs!$B$6*(1+Inputs!$B$7/100))+(((Inputs!$B$12*(1+Inputs!$B$13/100))-(Inputs!$B$12*(1+Inputs!$B$13/100)))+0.25*(Inputs!$B$14-Inputs!$B$14))*(1+Inputs!$B$7/100))*(F1714/100)</f>
        <v/>
      </c>
      <c r="K1714">
        <f>J1714*(1+((Inputs!$B$12*(1+Inputs!$B$13/100))*0.01+Inputs!$B$14*0.0025)/100)*(1+Inputs!$B$15/100)*(1+Inputs!$B$16/100)*(5000/(6000+Inputs!$B$42*(1-(100*(1-(1-(Inputs!$B$19+0)/100)*(1-CHOOSE(ArtifactsInput!$N$40+1,5,6,7,8,9,10)/100)^(ArtifactsInput!$M$40-ArtifactsInput!$M$40)))/100)))*(1+(Inputs!$B$24+((C1734=TRUE)*(F1734-Calc!F25))+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1730=TRUE)*(F1730-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1732=TRUE)*(F1732-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1722=TRUE)*F1722*IF(Inputs!$B$3&gt;=110,7,5))+((C1724=TRUE)*F1724*IF(AND(Inputs!$B$38&lt;&gt;"pvp",Inputs!$B$43&gt;0),(((R1724-1)*(Skills!T15*(1+(Inputs!$B$34+(ArtifactsInput!$M$7-ArtifactsInput!$M$7)*CHOOSE(ArtifactsInput!$N$7+1,6,7.2,8.4,9.6,10.8,12))/100))+MIN((Skills!T15*(1+(Inputs!$B$34+(ArtifactsInput!$M$7-ArtifactsInput!$M$7)*CHOOSE(ArtifactsInput!$N$7+1,6,7.2,8.4,9.6,10.8,12))/100)),MAX(0,Inputs!$B$43-((R1724-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I1714)</f>
        <v/>
      </c>
      <c r="L1714">
        <f>K1714*(MIN(Inputs!$B$22+((C1731=TRUE)*(F1731-Calc!F22)),(Inputs!$B$23+((C1733=TRUE)*(F1733-Calc!F24))+(IF(ArtifactsInput!$M$15,CHOOSE(ArtifactsInput!$N$15+1,25,30,35,40,45,50)/100*(Inputs!$B$11-Inputs!$B$11),0))))/100+(Inputs!$B$23+((C1733=TRUE)*(F1733-Calc!F24))+(IF(ArtifactsInput!$M$15,CHOOSE(ArtifactsInput!$N$15+1,25,30,35,40,45,50)/100*(Inputs!$B$11-Inputs!$B$11),0)))/100)/2</f>
        <v/>
      </c>
      <c r="M1714">
        <f>L1714*(1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4">
        <f>L1714*(1-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1714*(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4">
        <f>(1-Summary!$B$11)*T1714+Summary!$B$11*V1714</f>
        <v/>
      </c>
      <c r="P1714">
        <f>IF(B1748=0,0,O1714/B1748)</f>
        <v/>
      </c>
      <c r="Q1714">
        <f>IFERROR(1/(IF(Inputs!$B$38="pvp",15,MAX(0.1,Skills!D5-IF(Skills!E5=TRUE,Inputs!$B$32,0)))*(1-IF(AND(ArtifactsInput!$M$27,Inputs!$B$4="Chapter Hunt"),CHOOSE(ArtifactsInput!$N$27+1,20,24,28,32,36,40),0)/100)),0)</f>
        <v/>
      </c>
      <c r="R1714">
        <f>IF(AND(Inputs!$B$38&lt;&gt;"pvp",Inputs!$B$43&gt;0),IF(MAX(0,Inputs!$B$43-B1745)&lt;=0,0,(INT(MAX(0,Inputs!$B$43-B1745)/(IF(Inputs!$B$38="pvp",15,MAX(0.1,Skills!D5-IF(Skills!E5=TRUE,Inputs!$B$32,0)))*(1-IF(AND(ArtifactsInput!$M$27,Inputs!$B$4="Chapter Hunt"),CHOOSE(ArtifactsInput!$N$27+1,20,24,28,32,36,40),0)/100)))+1)),0)</f>
        <v/>
      </c>
      <c r="S1714">
        <f>IFERROR(O1714/N1714,0)</f>
        <v/>
      </c>
      <c r="T1714">
        <f>IF(C1714,(H1714*N1714*IF(AND(Inputs!$B$38&lt;&gt;"pvp",Inputs!$B$43&gt;0),((Skills!G5*((R1714-1)*IF(Skills!H5&gt;0,Skills!I5/Skills!H5,1)+IF(Skills!H5&gt;0,MIN(Skills!I5,MAX(0,MAX(0,Inputs!$B$43-B1745)-((R1714-1)*(IF(Inputs!$B$38="pvp",15,MAX(0.1,Skills!D5-IF(Skills!E5=TRUE,Inputs!$B$32,0)))*(1-IF(AND(ArtifactsInput!$M$27,Inputs!$B$4="Chapter Hunt"),CHOOSE(ArtifactsInput!$N$27+1,20,24,28,32,36,40),0)/100)))))/Skills!H5,1)))/Inputs!$B$43),G1714*Q1714)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1714*(1-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1714*(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1714*(1-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1714*(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4">
        <f>IF(C1714,(H1714*N1714*IF(AND(Inputs!$B$38&lt;&gt;"pvp",Inputs!$B$43&gt;0),((Skills!G5*((R1714-1)*IF(Skills!H5&gt;0,Skills!I5/Skills!H5,1)+IF(Skills!H5&gt;0,MIN(Skills!I5,MAX(0,MAX(0,Inputs!$B$43-B1745)-((R1714-1)*(IF(Inputs!$B$38="pvp",15,MAX(0.1,Skills!D5-IF(Skills!E5=TRUE,Inputs!$B$32,0)))*(1-IF(AND(ArtifactsInput!$M$27,Inputs!$B$4="Chapter Hunt"),CHOOSE(ArtifactsInput!$N$27+1,20,24,28,32,36,40),0)/100)))))/Skills!H5,1)))/Inputs!$B$43),G1714*Q1714)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5">
      <c r="A1715">
        <f>Skills!A6</f>
        <v/>
      </c>
      <c r="B1715">
        <f>Skills!B6</f>
        <v/>
      </c>
      <c r="C1715">
        <f>Inputs!$B$3&gt;=103</f>
        <v/>
      </c>
      <c r="D1715">
        <f>IF(Skills!C6=1,60+Inputs!$B$25+Inputs!$B$29,IF(Skills!C6=2,90+Inputs!$B$26+Inputs!$B$29,IF(Skills!C6=3,120+Inputs!$B$27+Inputs!$B$29,MAX(0,(Inputs!$B$3-100)*3)+Inputs!$B$28+Inputs!$B$29)))</f>
        <v/>
      </c>
      <c r="E1715">
        <f>INDEX(FactorTable!$B$2:$Y$301, MATCH(ROUND(MIN(300,MAX(1,D1715)),0), FactorTable!$A$2:$A$301,0), Skills!M6+1)</f>
        <v/>
      </c>
      <c r="F1715">
        <f>IF(Skills!N6=TRUE,(Skills!L6/10)*(E1715/1000),Skills!L6/10)+Skills!O6</f>
        <v/>
      </c>
      <c r="G1715">
        <f>Skills!G6*IF(Skills!H6&gt;0,Skills!I6/Skills!H6,1)</f>
        <v/>
      </c>
      <c r="H1715">
        <f>1-(1-Skills!J6/100)^Skills!K6</f>
        <v/>
      </c>
      <c r="I1715" t="inlineStr">
        <is>
          <t>1</t>
        </is>
      </c>
      <c r="J1715">
        <f>((Inputs!$B$6*(1+Inputs!$B$7/100))+(((Inputs!$B$12*(1+Inputs!$B$13/100))-(Inputs!$B$12*(1+Inputs!$B$13/100)))+0.25*(Inputs!$B$14-Inputs!$B$14))*(1+Inputs!$B$7/100))*(F1715/100)</f>
        <v/>
      </c>
      <c r="K1715">
        <f>J1715*(1+((Inputs!$B$12*(1+Inputs!$B$13/100))*0.01+Inputs!$B$14*0.0025)/100)*(1+Inputs!$B$15/100)*(1+Inputs!$B$16/100)*(5000/(6000+Inputs!$B$42*(1-(100*(1-(1-(Inputs!$B$19+0)/100)*(1-CHOOSE(ArtifactsInput!$N$40+1,5,6,7,8,9,10)/100)^(ArtifactsInput!$M$40-ArtifactsInput!$M$40)))/100)))*(1+(Inputs!$B$24+((C1734=TRUE)*(F1734-Calc!F25))+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1730=TRUE)*(F1730-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1732=TRUE)*(F1732-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1722=TRUE)*F1722*IF(Inputs!$B$3&gt;=110,7,5))+((C1724=TRUE)*F1724*IF(AND(Inputs!$B$38&lt;&gt;"pvp",Inputs!$B$43&gt;0),(((R1724-1)*(Skills!T15*(1+(Inputs!$B$34+(ArtifactsInput!$M$7-ArtifactsInput!$M$7)*CHOOSE(ArtifactsInput!$N$7+1,6,7.2,8.4,9.6,10.8,12))/100))+MIN((Skills!T15*(1+(Inputs!$B$34+(ArtifactsInput!$M$7-ArtifactsInput!$M$7)*CHOOSE(ArtifactsInput!$N$7+1,6,7.2,8.4,9.6,10.8,12))/100)),MAX(0,Inputs!$B$43-((R1724-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I1715)</f>
        <v/>
      </c>
      <c r="L1715">
        <f>K1715*(MIN(Inputs!$B$22+((C1731=TRUE)*(F1731-Calc!F22)),(Inputs!$B$23+((C1733=TRUE)*(F1733-Calc!F24))+(IF(ArtifactsInput!$M$15,CHOOSE(ArtifactsInput!$N$15+1,25,30,35,40,45,50)/100*(Inputs!$B$11-Inputs!$B$11),0))))/100+(Inputs!$B$23+((C1733=TRUE)*(F1733-Calc!F24))+(IF(ArtifactsInput!$M$15,CHOOSE(ArtifactsInput!$N$15+1,25,30,35,40,45,50)/100*(Inputs!$B$11-Inputs!$B$11),0)))/100)/2</f>
        <v/>
      </c>
      <c r="M1715">
        <f>L1715*(1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5">
        <f>L1715*(1-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1715*(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5">
        <f>(1-Summary!$B$11)*T1715+Summary!$B$11*V1715</f>
        <v/>
      </c>
      <c r="P1715">
        <f>IF(B1748=0,0,O1715/B1748)</f>
        <v/>
      </c>
      <c r="Q1715">
        <f>IFERROR(1/(IF(Inputs!$B$38="pvp",15,MAX(0.1,Skills!D6-IF(Skills!E6=TRUE,Inputs!$B$32,0)))*(1-IF(AND(ArtifactsInput!$M$27,Inputs!$B$4="Chapter Hunt"),CHOOSE(ArtifactsInput!$N$27+1,20,24,28,32,36,40),0)/100)),0)</f>
        <v/>
      </c>
      <c r="R1715">
        <f>IF(AND(Inputs!$B$38&lt;&gt;"pvp",Inputs!$B$43&gt;0),IF(MAX(0,Inputs!$B$43-B1745)&lt;=0,0,(INT(MAX(0,Inputs!$B$43-B1745)/(IF(Inputs!$B$38="pvp",15,MAX(0.1,Skills!D6-IF(Skills!E6=TRUE,Inputs!$B$32,0)))*(1-IF(AND(ArtifactsInput!$M$27,Inputs!$B$4="Chapter Hunt"),CHOOSE(ArtifactsInput!$N$27+1,20,24,28,32,36,40),0)/100)))+1)),0)</f>
        <v/>
      </c>
      <c r="S1715">
        <f>IFERROR(O1715/N1715,0)</f>
        <v/>
      </c>
      <c r="T1715">
        <f>IF(C1715,(H1715*N1715*IF(AND(Inputs!$B$38&lt;&gt;"pvp",Inputs!$B$43&gt;0),((Skills!G6*((R1715-1)*IF(Skills!H6&gt;0,Skills!I6/Skills!H6,1)+IF(Skills!H6&gt;0,MIN(Skills!I6,MAX(0,MAX(0,Inputs!$B$43-B1745)-((R1715-1)*(IF(Inputs!$B$38="pvp",15,MAX(0.1,Skills!D6-IF(Skills!E6=TRUE,Inputs!$B$32,0)))*(1-IF(AND(ArtifactsInput!$M$27,Inputs!$B$4="Chapter Hunt"),CHOOSE(ArtifactsInput!$N$27+1,20,24,28,32,36,40),0)/100)))))/Skills!H6,1)))/Inputs!$B$43),G1715*Q1715)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1715*(1-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1715*(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1715*(1-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1715*(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5">
        <f>IF(C1715,(H1715*N1715*IF(AND(Inputs!$B$38&lt;&gt;"pvp",Inputs!$B$43&gt;0),((Skills!G6*((R1715-1)*IF(Skills!H6&gt;0,Skills!I6/Skills!H6,1)+IF(Skills!H6&gt;0,MIN(Skills!I6,MAX(0,MAX(0,Inputs!$B$43-B1745)-((R1715-1)*(IF(Inputs!$B$38="pvp",15,MAX(0.1,Skills!D6-IF(Skills!E6=TRUE,Inputs!$B$32,0)))*(1-IF(AND(ArtifactsInput!$M$27,Inputs!$B$4="Chapter Hunt"),CHOOSE(ArtifactsInput!$N$27+1,20,24,28,32,36,40),0)/100)))))/Skills!H6,1)))/Inputs!$B$43),G1715*Q1715)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6">
      <c r="A1716">
        <f>Skills!A7</f>
        <v/>
      </c>
      <c r="B1716">
        <f>Skills!B7</f>
        <v/>
      </c>
      <c r="C1716">
        <f>Inputs!$B$3&gt;=107</f>
        <v/>
      </c>
      <c r="D1716">
        <f>IF(Skills!C7=1,60+Inputs!$B$25+Inputs!$B$29,IF(Skills!C7=2,90+Inputs!$B$26+Inputs!$B$29,IF(Skills!C7=3,120+Inputs!$B$27+Inputs!$B$29,MAX(0,(Inputs!$B$3-100)*3)+Inputs!$B$28+Inputs!$B$29)))</f>
        <v/>
      </c>
      <c r="E1716">
        <f>INDEX(FactorTable!$B$2:$Y$301, MATCH(ROUND(MIN(300,MAX(1,D1716)),0), FactorTable!$A$2:$A$301,0), Skills!M7+1)</f>
        <v/>
      </c>
      <c r="F1716">
        <f>IF(Skills!N7=TRUE,(Skills!L7/10)*(E1716/1000),Skills!L7/10)+Skills!O7</f>
        <v/>
      </c>
      <c r="G1716">
        <f>Skills!G7*IF(Skills!H7&gt;0,Skills!I7/Skills!H7,1)</f>
        <v/>
      </c>
      <c r="H1716">
        <f>1-(1-Skills!J7/100)^Skills!K7</f>
        <v/>
      </c>
      <c r="I1716" t="inlineStr">
        <is>
          <t>1</t>
        </is>
      </c>
      <c r="J1716">
        <f>((Inputs!$B$6*(1+Inputs!$B$7/100))+(((Inputs!$B$12*(1+Inputs!$B$13/100))-(Inputs!$B$12*(1+Inputs!$B$13/100)))+0.25*(Inputs!$B$14-Inputs!$B$14))*(1+Inputs!$B$7/100))*(F1716/100)</f>
        <v/>
      </c>
      <c r="K1716">
        <f>J1716*(1+((Inputs!$B$12*(1+Inputs!$B$13/100))*0.01+Inputs!$B$14*0.0025)/100)*(1+Inputs!$B$15/100)*(1+Inputs!$B$16/100)*(5000/(6000+Inputs!$B$42*(1-(100*(1-(1-(Inputs!$B$19+0)/100)*(1-CHOOSE(ArtifactsInput!$N$40+1,5,6,7,8,9,10)/100)^(ArtifactsInput!$M$40-ArtifactsInput!$M$40)))/100)))*(1+(Inputs!$B$24+((C1734=TRUE)*(F1734-Calc!F25))+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1730=TRUE)*(F1730-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1732=TRUE)*(F1732-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1722=TRUE)*F1722*IF(Inputs!$B$3&gt;=110,7,5))+((C1724=TRUE)*F1724*IF(AND(Inputs!$B$38&lt;&gt;"pvp",Inputs!$B$43&gt;0),(((R1724-1)*(Skills!T15*(1+(Inputs!$B$34+(ArtifactsInput!$M$7-ArtifactsInput!$M$7)*CHOOSE(ArtifactsInput!$N$7+1,6,7.2,8.4,9.6,10.8,12))/100))+MIN((Skills!T15*(1+(Inputs!$B$34+(ArtifactsInput!$M$7-ArtifactsInput!$M$7)*CHOOSE(ArtifactsInput!$N$7+1,6,7.2,8.4,9.6,10.8,12))/100)),MAX(0,Inputs!$B$43-((R1724-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I1716)</f>
        <v/>
      </c>
      <c r="L1716">
        <f>K1716*(MIN(Inputs!$B$22+((C1731=TRUE)*(F1731-Calc!F22)),(Inputs!$B$23+((C1733=TRUE)*(F1733-Calc!F24))+(IF(ArtifactsInput!$M$15,CHOOSE(ArtifactsInput!$N$15+1,25,30,35,40,45,50)/100*(Inputs!$B$11-Inputs!$B$11),0))))/100+(Inputs!$B$23+((C1733=TRUE)*(F1733-Calc!F24))+(IF(ArtifactsInput!$M$15,CHOOSE(ArtifactsInput!$N$15+1,25,30,35,40,45,50)/100*(Inputs!$B$11-Inputs!$B$11),0)))/100)/2</f>
        <v/>
      </c>
      <c r="M1716">
        <f>L1716*(1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6">
        <f>L1716*(1-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1716*(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6">
        <f>(1-Summary!$B$11)*T1716+Summary!$B$11*V1716</f>
        <v/>
      </c>
      <c r="P1716">
        <f>IF(B1748=0,0,O1716/B1748)</f>
        <v/>
      </c>
      <c r="Q1716">
        <f>IFERROR(1/(IF(Inputs!$B$38="pvp",15,MAX(0.1,Skills!D7-IF(Skills!E7=TRUE,Inputs!$B$32,0)))*(1-IF(AND(ArtifactsInput!$M$27,Inputs!$B$4="Chapter Hunt"),CHOOSE(ArtifactsInput!$N$27+1,20,24,28,32,36,40),0)/100)),0)</f>
        <v/>
      </c>
      <c r="R1716">
        <f>IF(AND(Inputs!$B$38&lt;&gt;"pvp",Inputs!$B$43&gt;0),IF(MAX(0,Inputs!$B$43-B1745)&lt;=0,0,(INT(MAX(0,Inputs!$B$43-B1745)/(IF(Inputs!$B$38="pvp",15,MAX(0.1,Skills!D7-IF(Skills!E7=TRUE,Inputs!$B$32,0)))*(1-IF(AND(ArtifactsInput!$M$27,Inputs!$B$4="Chapter Hunt"),CHOOSE(ArtifactsInput!$N$27+1,20,24,28,32,36,40),0)/100)))+1)),0)</f>
        <v/>
      </c>
      <c r="S1716">
        <f>IFERROR(O1716/N1716,0)</f>
        <v/>
      </c>
      <c r="T1716">
        <f>IF(C1716,(H1716*N1716*IF(AND(Inputs!$B$38&lt;&gt;"pvp",Inputs!$B$43&gt;0),((Skills!G7*((R1716-1)*IF(Skills!H7&gt;0,Skills!I7/Skills!H7,1)+IF(Skills!H7&gt;0,MIN(Skills!I7,MAX(0,MAX(0,Inputs!$B$43-B1745)-((R1716-1)*(IF(Inputs!$B$38="pvp",15,MAX(0.1,Skills!D7-IF(Skills!E7=TRUE,Inputs!$B$32,0)))*(1-IF(AND(ArtifactsInput!$M$27,Inputs!$B$4="Chapter Hunt"),CHOOSE(ArtifactsInput!$N$27+1,20,24,28,32,36,40),0)/100)))))/Skills!H7,1)))/Inputs!$B$43),G1716*Q1716)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1716*(1-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1716*(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1716*(1-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1716*(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6">
        <f>IF(C1716,(H1716*N1716*IF(AND(Inputs!$B$38&lt;&gt;"pvp",Inputs!$B$43&gt;0),((Skills!G7*((R1716-1)*IF(Skills!H7&gt;0,Skills!I7/Skills!H7,1)+IF(Skills!H7&gt;0,MIN(Skills!I7,MAX(0,MAX(0,Inputs!$B$43-B1745)-((R1716-1)*(IF(Inputs!$B$38="pvp",15,MAX(0.1,Skills!D7-IF(Skills!E7=TRUE,Inputs!$B$32,0)))*(1-IF(AND(ArtifactsInput!$M$27,Inputs!$B$4="Chapter Hunt"),CHOOSE(ArtifactsInput!$N$27+1,20,24,28,32,36,40),0)/100)))))/Skills!H7,1)))/Inputs!$B$43),G1716*Q1716)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7">
      <c r="A1717">
        <f>Skills!A8</f>
        <v/>
      </c>
      <c r="B1717">
        <f>Skills!B8</f>
        <v/>
      </c>
      <c r="C1717">
        <f>Inputs!$B$3&gt;=117</f>
        <v/>
      </c>
      <c r="D1717">
        <f>IF(Skills!C8=1,60+Inputs!$B$25+Inputs!$B$29,IF(Skills!C8=2,90+Inputs!$B$26+Inputs!$B$29,IF(Skills!C8=3,120+Inputs!$B$27+Inputs!$B$29,MAX(0,(Inputs!$B$3-100)*3)+Inputs!$B$28+Inputs!$B$29)))</f>
        <v/>
      </c>
      <c r="E1717">
        <f>INDEX(FactorTable!$B$2:$Y$301, MATCH(ROUND(MIN(300,MAX(1,D1717)),0), FactorTable!$A$2:$A$301,0), Skills!M8+1)</f>
        <v/>
      </c>
      <c r="F1717">
        <f>IF(Skills!N8=TRUE,(Skills!L8/10)*(E1717/1000),Skills!L8/10)+Skills!O8</f>
        <v/>
      </c>
      <c r="G1717">
        <f>Skills!G8*IF(Skills!H8&gt;0,Skills!I8/Skills!H8,1)</f>
        <v/>
      </c>
      <c r="H1717">
        <f>1-(1-Skills!J8/100)^Skills!K8</f>
        <v/>
      </c>
      <c r="I1717" t="inlineStr">
        <is>
          <t>1</t>
        </is>
      </c>
      <c r="J1717">
        <f>((Inputs!$B$6*(1+Inputs!$B$7/100))+(((Inputs!$B$12*(1+Inputs!$B$13/100))-(Inputs!$B$12*(1+Inputs!$B$13/100)))+0.25*(Inputs!$B$14-Inputs!$B$14))*(1+Inputs!$B$7/100))*(F1717/100)</f>
        <v/>
      </c>
      <c r="K1717">
        <f>J1717*(1+((Inputs!$B$12*(1+Inputs!$B$13/100))*0.01+Inputs!$B$14*0.0025)/100)*(1+Inputs!$B$15/100)*(1+Inputs!$B$16/100)*(5000/(6000+Inputs!$B$42*(1-(100*(1-(1-(Inputs!$B$19+0)/100)*(1-CHOOSE(ArtifactsInput!$N$40+1,5,6,7,8,9,10)/100)^(ArtifactsInput!$M$40-ArtifactsInput!$M$40)))/100)))*(1+(Inputs!$B$24+((C1734=TRUE)*(F1734-Calc!F25))+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1730=TRUE)*(F1730-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1732=TRUE)*(F1732-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1722=TRUE)*F1722*IF(Inputs!$B$3&gt;=110,7,5))+((C1724=TRUE)*F1724*IF(AND(Inputs!$B$38&lt;&gt;"pvp",Inputs!$B$43&gt;0),(((R1724-1)*(Skills!T15*(1+(Inputs!$B$34+(ArtifactsInput!$M$7-ArtifactsInput!$M$7)*CHOOSE(ArtifactsInput!$N$7+1,6,7.2,8.4,9.6,10.8,12))/100))+MIN((Skills!T15*(1+(Inputs!$B$34+(ArtifactsInput!$M$7-ArtifactsInput!$M$7)*CHOOSE(ArtifactsInput!$N$7+1,6,7.2,8.4,9.6,10.8,12))/100)),MAX(0,Inputs!$B$43-((R1724-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I1717)</f>
        <v/>
      </c>
      <c r="L1717">
        <f>K1717*(MIN(Inputs!$B$22+((C1731=TRUE)*(F1731-Calc!F22)),(Inputs!$B$23+((C1733=TRUE)*(F1733-Calc!F24))+(IF(ArtifactsInput!$M$15,CHOOSE(ArtifactsInput!$N$15+1,25,30,35,40,45,50)/100*(Inputs!$B$11-Inputs!$B$11),0))))/100+(Inputs!$B$23+((C1733=TRUE)*(F1733-Calc!F24))+(IF(ArtifactsInput!$M$15,CHOOSE(ArtifactsInput!$N$15+1,25,30,35,40,45,50)/100*(Inputs!$B$11-Inputs!$B$11),0)))/100)/2</f>
        <v/>
      </c>
      <c r="M1717">
        <f>L1717*(1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7">
        <f>L1717*(1-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1717*(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7">
        <f>(1-Summary!$B$11)*T1717+Summary!$B$11*V1717</f>
        <v/>
      </c>
      <c r="P1717">
        <f>IF(B1748=0,0,O1717/B1748)</f>
        <v/>
      </c>
      <c r="Q1717">
        <f>IFERROR(1/(IF(Inputs!$B$38="pvp",15,MAX(0.1,Skills!D8-IF(Skills!E8=TRUE,Inputs!$B$32,0)))*(1-IF(AND(ArtifactsInput!$M$27,Inputs!$B$4="Chapter Hunt"),CHOOSE(ArtifactsInput!$N$27+1,20,24,28,32,36,40),0)/100)),0)</f>
        <v/>
      </c>
      <c r="R1717">
        <f>IF(AND(Inputs!$B$38&lt;&gt;"pvp",Inputs!$B$43&gt;0),IF(MAX(0,Inputs!$B$43-B1745)&lt;=0,0,(INT(MAX(0,Inputs!$B$43-B1745)/(IF(Inputs!$B$38="pvp",15,MAX(0.1,Skills!D8-IF(Skills!E8=TRUE,Inputs!$B$32,0)))*(1-IF(AND(ArtifactsInput!$M$27,Inputs!$B$4="Chapter Hunt"),CHOOSE(ArtifactsInput!$N$27+1,20,24,28,32,36,40),0)/100)))+1)),0)</f>
        <v/>
      </c>
      <c r="S1717">
        <f>IFERROR(O1717/N1717,0)</f>
        <v/>
      </c>
      <c r="T1717">
        <f>IF(C1717,(H1717*N1717*IF(AND(Inputs!$B$38&lt;&gt;"pvp",Inputs!$B$43&gt;0),((Skills!G8*((R1717-1)*IF(Skills!H8&gt;0,Skills!I8/Skills!H8,1)+IF(Skills!H8&gt;0,MIN(Skills!I8,MAX(0,MAX(0,Inputs!$B$43-B1745)-((R1717-1)*(IF(Inputs!$B$38="pvp",15,MAX(0.1,Skills!D8-IF(Skills!E8=TRUE,Inputs!$B$32,0)))*(1-IF(AND(ArtifactsInput!$M$27,Inputs!$B$4="Chapter Hunt"),CHOOSE(ArtifactsInput!$N$27+1,20,24,28,32,36,40),0)/100)))))/Skills!H8,1)))/Inputs!$B$43),G1717*Q1717)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1717*(1-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1717*(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1717*(1-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1717*(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7">
        <f>IF(C1717,(H1717*N1717*IF(AND(Inputs!$B$38&lt;&gt;"pvp",Inputs!$B$43&gt;0),((Skills!G8*((R1717-1)*IF(Skills!H8&gt;0,Skills!I8/Skills!H8,1)+IF(Skills!H8&gt;0,MIN(Skills!I8,MAX(0,MAX(0,Inputs!$B$43-B1745)-((R1717-1)*(IF(Inputs!$B$38="pvp",15,MAX(0.1,Skills!D8-IF(Skills!E8=TRUE,Inputs!$B$32,0)))*(1-IF(AND(ArtifactsInput!$M$27,Inputs!$B$4="Chapter Hunt"),CHOOSE(ArtifactsInput!$N$27+1,20,24,28,32,36,40),0)/100)))))/Skills!H8,1)))/Inputs!$B$43),G1717*Q1717)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8">
      <c r="A1718">
        <f>Skills!A9</f>
        <v/>
      </c>
      <c r="B1718">
        <f>Skills!B9</f>
        <v/>
      </c>
      <c r="C1718">
        <f>Inputs!$B$3&gt;=69</f>
        <v/>
      </c>
      <c r="D1718">
        <f>IF(Skills!C9=1,60+Inputs!$B$25+Inputs!$B$29,IF(Skills!C9=2,90+Inputs!$B$26+Inputs!$B$29,IF(Skills!C9=3,120+Inputs!$B$27+Inputs!$B$29,MAX(0,(Inputs!$B$3-100)*3)+Inputs!$B$28+Inputs!$B$29)))</f>
        <v/>
      </c>
      <c r="E1718">
        <f>INDEX(FactorTable!$B$2:$Y$301, MATCH(ROUND(MIN(300,MAX(1,D1718)),0), FactorTable!$A$2:$A$301,0), Skills!M9+1)</f>
        <v/>
      </c>
      <c r="F1718">
        <f>IF(Skills!N9=TRUE,(Skills!L9/10)*(E1718/1000),Skills!L9/10)+Skills!O9</f>
        <v/>
      </c>
      <c r="G1718">
        <f>Skills!G9*IF(Skills!H9&gt;0,Skills!I9/Skills!H9,1)</f>
        <v/>
      </c>
      <c r="H1718">
        <f>1-(1-Skills!J9/100)^Skills!K9</f>
        <v/>
      </c>
      <c r="I1718" t="inlineStr">
        <is>
          <t>1</t>
        </is>
      </c>
      <c r="J1718">
        <f>((Inputs!$B$6*(1+Inputs!$B$7/100))+(((Inputs!$B$12*(1+Inputs!$B$13/100))-(Inputs!$B$12*(1+Inputs!$B$13/100)))+0.25*(Inputs!$B$14-Inputs!$B$14))*(1+Inputs!$B$7/100))*(F1718/100)</f>
        <v/>
      </c>
      <c r="K1718">
        <f>J1718*(1+((Inputs!$B$12*(1+Inputs!$B$13/100))*0.01+Inputs!$B$14*0.0025)/100)*(1+Inputs!$B$15/100)*(1+Inputs!$B$16/100)*(5000/(6000+Inputs!$B$42*(1-(100*(1-(1-(Inputs!$B$19+0)/100)*(1-CHOOSE(ArtifactsInput!$N$40+1,5,6,7,8,9,10)/100)^(ArtifactsInput!$M$40-ArtifactsInput!$M$40)))/100)))*(1+(Inputs!$B$24+((C1734=TRUE)*(F1734-Calc!F25))+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1721=TRUE,F1721,0)/100)*(1+IF(Skills!A9="ENHANCED_RAGING_BLOW",IF(Inputs!$B$3&gt;=134,MAX(0,IF(Inputs!$B$3&gt;=110,7,5)-5)*50,0),0)/100)*(1+(IF(Skills!A9="RAGING_BLOW",Inputs!$B$17+((C1730=TRUE)*(F1730-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1732=TRUE)*(F1732-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1722=TRUE)*F1722*IF(Inputs!$B$3&gt;=110,7,5))+((C1724=TRUE)*F1724*IF(AND(Inputs!$B$38&lt;&gt;"pvp",Inputs!$B$43&gt;0),(((R1724-1)*(Skills!T15*(1+(Inputs!$B$34+(ArtifactsInput!$M$7-ArtifactsInput!$M$7)*CHOOSE(ArtifactsInput!$N$7+1,6,7.2,8.4,9.6,10.8,12))/100))+MIN((Skills!T15*(1+(Inputs!$B$34+(ArtifactsInput!$M$7-ArtifactsInput!$M$7)*CHOOSE(ArtifactsInput!$N$7+1,6,7.2,8.4,9.6,10.8,12))/100)),MAX(0,Inputs!$B$43-((R1724-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I1718)</f>
        <v/>
      </c>
      <c r="L1718">
        <f>K1718*(MIN(Inputs!$B$22+((C1731=TRUE)*(F1731-Calc!F22)),(Inputs!$B$23+((C1733=TRUE)*(F1733-Calc!F24))+(IF(ArtifactsInput!$M$15,CHOOSE(ArtifactsInput!$N$15+1,25,30,35,40,45,50)/100*(Inputs!$B$11-Inputs!$B$11),0))))/100+(Inputs!$B$23+((C1733=TRUE)*(F1733-Calc!F24))+(IF(ArtifactsInput!$M$15,CHOOSE(ArtifactsInput!$N$15+1,25,30,35,40,45,50)/100*(Inputs!$B$11-Inputs!$B$11),0)))/100)/2</f>
        <v/>
      </c>
      <c r="M1718">
        <f>L1718*(1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8">
        <f>L1718*(1-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1718*(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8">
        <f>(1-Summary!$B$11)*T1718+Summary!$B$11*V1718</f>
        <v/>
      </c>
      <c r="P1718">
        <f>IF(B1748=0,0,O1718/B1748)</f>
        <v/>
      </c>
      <c r="Q1718">
        <f>IFERROR(1/(IF(Inputs!$B$38="pvp",15,MAX(0.1,Skills!D9-IF(Skills!E9=TRUE,Inputs!$B$32,0)))*(1-IF(AND(ArtifactsInput!$M$27,Inputs!$B$4="Chapter Hunt"),CHOOSE(ArtifactsInput!$N$27+1,20,24,28,32,36,40),0)/100)),0)</f>
        <v/>
      </c>
      <c r="R1718">
        <f>IF(AND(Inputs!$B$38&lt;&gt;"pvp",Inputs!$B$43&gt;0),IF(MAX(0,Inputs!$B$43-B1745)&lt;=0,0,(INT(MAX(0,Inputs!$B$43-B1745)/(IF(Inputs!$B$38="pvp",15,MAX(0.1,Skills!D9-IF(Skills!E9=TRUE,Inputs!$B$32,0)))*(1-IF(AND(ArtifactsInput!$M$27,Inputs!$B$4="Chapter Hunt"),CHOOSE(ArtifactsInput!$N$27+1,20,24,28,32,36,40),0)/100)))+1)),0)</f>
        <v/>
      </c>
      <c r="S1718">
        <f>IFERROR(O1718/N1718,0)</f>
        <v/>
      </c>
      <c r="T1718">
        <f>IF(C1718,(H1718*N1718*IF(AND(Inputs!$B$38&lt;&gt;"pvp",Inputs!$B$43&gt;0),((Skills!G9*((R1718-1)*IF(Skills!H9&gt;0,Skills!I9/Skills!H9,1)+IF(Skills!H9&gt;0,MIN(Skills!I9,MAX(0,MAX(0,Inputs!$B$43-B1745)-((R1718-1)*(IF(Inputs!$B$38="pvp",15,MAX(0.1,Skills!D9-IF(Skills!E9=TRUE,Inputs!$B$32,0)))*(1-IF(AND(ArtifactsInput!$M$27,Inputs!$B$4="Chapter Hunt"),CHOOSE(ArtifactsInput!$N$27+1,20,24,28,32,36,40),0)/100)))))/Skills!H9,1)))/Inputs!$B$43),G1718*Q1718)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1718*(1-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1718*(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1718*(1-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1718*(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8">
        <f>IF(C1718,(H1718*N1718*IF(AND(Inputs!$B$38&lt;&gt;"pvp",Inputs!$B$43&gt;0),((Skills!G9*((R1718-1)*IF(Skills!H9&gt;0,Skills!I9/Skills!H9,1)+IF(Skills!H9&gt;0,MIN(Skills!I9,MAX(0,MAX(0,Inputs!$B$43-B1745)-((R1718-1)*(IF(Inputs!$B$38="pvp",15,MAX(0.1,Skills!D9-IF(Skills!E9=TRUE,Inputs!$B$32,0)))*(1-IF(AND(ArtifactsInput!$M$27,Inputs!$B$4="Chapter Hunt"),CHOOSE(ArtifactsInput!$N$27+1,20,24,28,32,36,40),0)/100)))))/Skills!H9,1)))/Inputs!$B$43),G1718*Q1718)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9">
      <c r="A1719">
        <f>Skills!A10</f>
        <v/>
      </c>
      <c r="B1719">
        <f>Skills!B10</f>
        <v/>
      </c>
      <c r="C1719">
        <f>Inputs!$B$3&gt;=63</f>
        <v/>
      </c>
      <c r="D1719">
        <f>IF(Skills!C10=1,60+Inputs!$B$25+Inputs!$B$29,IF(Skills!C10=2,90+Inputs!$B$26+Inputs!$B$29,IF(Skills!C10=3,120+Inputs!$B$27+Inputs!$B$29,MAX(0,(Inputs!$B$3-100)*3)+Inputs!$B$28+Inputs!$B$29)))</f>
        <v/>
      </c>
      <c r="E1719">
        <f>INDEX(FactorTable!$B$2:$Y$301, MATCH(ROUND(MIN(300,MAX(1,D1719)),0), FactorTable!$A$2:$A$301,0), Skills!M10+1)</f>
        <v/>
      </c>
      <c r="F1719">
        <f>IF(Skills!N10=TRUE,(Skills!L10/10)*(E1719/1000),Skills!L10/10)+Skills!O10</f>
        <v/>
      </c>
      <c r="G1719">
        <f>Skills!G10*IF(Skills!H10&gt;0,Skills!I10/Skills!H10,1)</f>
        <v/>
      </c>
      <c r="H1719">
        <f>1-(1-Skills!J10/100)^Skills!K10</f>
        <v/>
      </c>
      <c r="I1719" t="inlineStr">
        <is>
          <t>1</t>
        </is>
      </c>
      <c r="J1719">
        <f>((Inputs!$B$6*(1+Inputs!$B$7/100))+(((Inputs!$B$12*(1+Inputs!$B$13/100))-(Inputs!$B$12*(1+Inputs!$B$13/100)))+0.25*(Inputs!$B$14-Inputs!$B$14))*(1+Inputs!$B$7/100))*(F1719/100)</f>
        <v/>
      </c>
      <c r="K1719">
        <f>J1719*(1+((Inputs!$B$12*(1+Inputs!$B$13/100))*0.01+Inputs!$B$14*0.0025)/100)*(1+Inputs!$B$15/100)*(1+Inputs!$B$16/100)*(5000/(6000+Inputs!$B$42*(1-(100*(1-(1-(Inputs!$B$19+0)/100)*(1-CHOOSE(ArtifactsInput!$N$40+1,5,6,7,8,9,10)/100)^(ArtifactsInput!$M$40-ArtifactsInput!$M$40)))/100)))*(1+(Inputs!$B$24+((C1734=TRUE)*(F1734-Calc!F25))+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1721=TRUE,F1721,0)/100)*(1+IF(Skills!A10="ENHANCED_RAGING_BLOW",IF(Inputs!$B$3&gt;=134,MAX(0,IF(Inputs!$B$3&gt;=110,7,5)-5)*50,0),0)/100)*(1+(IF(Skills!A10="RAGING_BLOW",Inputs!$B$17+((C1730=TRUE)*(F1730-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1732=TRUE)*(F1732-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1722=TRUE)*F1722*IF(Inputs!$B$3&gt;=110,7,5))+((C1724=TRUE)*F1724*IF(AND(Inputs!$B$38&lt;&gt;"pvp",Inputs!$B$43&gt;0),(((R1724-1)*(Skills!T15*(1+(Inputs!$B$34+(ArtifactsInput!$M$7-ArtifactsInput!$M$7)*CHOOSE(ArtifactsInput!$N$7+1,6,7.2,8.4,9.6,10.8,12))/100))+MIN((Skills!T15*(1+(Inputs!$B$34+(ArtifactsInput!$M$7-ArtifactsInput!$M$7)*CHOOSE(ArtifactsInput!$N$7+1,6,7.2,8.4,9.6,10.8,12))/100)),MAX(0,Inputs!$B$43-((R1724-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I1719)</f>
        <v/>
      </c>
      <c r="L1719">
        <f>K1719*(MIN(Inputs!$B$22+((C1731=TRUE)*(F1731-Calc!F22)),(Inputs!$B$23+((C1733=TRUE)*(F1733-Calc!F24))+(IF(ArtifactsInput!$M$15,CHOOSE(ArtifactsInput!$N$15+1,25,30,35,40,45,50)/100*(Inputs!$B$11-Inputs!$B$11),0))))/100+(Inputs!$B$23+((C1733=TRUE)*(F1733-Calc!F24))+(IF(ArtifactsInput!$M$15,CHOOSE(ArtifactsInput!$N$15+1,25,30,35,40,45,50)/100*(Inputs!$B$11-Inputs!$B$11),0)))/100)/2</f>
        <v/>
      </c>
      <c r="M1719">
        <f>L1719*(1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9">
        <f>L1719*(1-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1719*(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9">
        <f>(1-Summary!$B$11)*T1719+Summary!$B$11*V1719</f>
        <v/>
      </c>
      <c r="P1719">
        <f>IF(B1748=0,0,O1719/B1748)</f>
        <v/>
      </c>
      <c r="Q1719">
        <f>IFERROR(1/(IF(Inputs!$B$38="pvp",15,MAX(0.1,Skills!D10-IF(Skills!E10=TRUE,Inputs!$B$32,0)))*(1-IF(AND(ArtifactsInput!$M$27,Inputs!$B$4="Chapter Hunt"),CHOOSE(ArtifactsInput!$N$27+1,20,24,28,32,36,40),0)/100)),0)</f>
        <v/>
      </c>
      <c r="R1719">
        <f>IF(AND(Inputs!$B$38&lt;&gt;"pvp",Inputs!$B$43&gt;0),IF(MAX(0,Inputs!$B$43-B1745)&lt;=0,0,(INT(MAX(0,Inputs!$B$43-B1745)/(IF(Inputs!$B$38="pvp",15,MAX(0.1,Skills!D10-IF(Skills!E10=TRUE,Inputs!$B$32,0)))*(1-IF(AND(ArtifactsInput!$M$27,Inputs!$B$4="Chapter Hunt"),CHOOSE(ArtifactsInput!$N$27+1,20,24,28,32,36,40),0)/100)))+1)),0)</f>
        <v/>
      </c>
      <c r="S1719">
        <f>IFERROR(O1719/N1719,0)</f>
        <v/>
      </c>
      <c r="T1719">
        <f>IF(C1719,(H1719*N1719*IF(AND(Inputs!$B$38&lt;&gt;"pvp",Inputs!$B$43&gt;0),((Skills!G10*((R1719-1)*IF(Skills!H10&gt;0,Skills!I10/Skills!H10,1)+IF(Skills!H10&gt;0,MIN(Skills!I10,MAX(0,MAX(0,Inputs!$B$43-B1745)-((R1719-1)*(IF(Inputs!$B$38="pvp",15,MAX(0.1,Skills!D10-IF(Skills!E10=TRUE,Inputs!$B$32,0)))*(1-IF(AND(ArtifactsInput!$M$27,Inputs!$B$4="Chapter Hunt"),CHOOSE(ArtifactsInput!$N$27+1,20,24,28,32,36,40),0)/100)))))/Skills!H10,1)))/Inputs!$B$43),G1719*Q1719)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1719*(1-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1719*(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1719*(1-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1719*(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9">
        <f>IF(C1719,(H1719*N1719*IF(AND(Inputs!$B$38&lt;&gt;"pvp",Inputs!$B$43&gt;0),((Skills!G10*((R1719-1)*IF(Skills!H10&gt;0,Skills!I10/Skills!H10,1)+IF(Skills!H10&gt;0,MIN(Skills!I10,MAX(0,MAX(0,Inputs!$B$43-B1745)-((R1719-1)*(IF(Inputs!$B$38="pvp",15,MAX(0.1,Skills!D10-IF(Skills!E10=TRUE,Inputs!$B$32,0)))*(1-IF(AND(ArtifactsInput!$M$27,Inputs!$B$4="Chapter Hunt"),CHOOSE(ArtifactsInput!$N$27+1,20,24,28,32,36,40),0)/100)))))/Skills!H10,1)))/Inputs!$B$43),G1719*Q1719)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0">
      <c r="A1720">
        <f>Skills!A11</f>
        <v/>
      </c>
      <c r="B1720">
        <f>Skills!B11</f>
        <v/>
      </c>
      <c r="C1720">
        <f>Inputs!$B$3&gt;=35</f>
        <v/>
      </c>
      <c r="D1720">
        <f>IF(Skills!C11=1,60+Inputs!$B$25+Inputs!$B$29,IF(Skills!C11=2,90+Inputs!$B$26+Inputs!$B$29,IF(Skills!C11=3,120+Inputs!$B$27+Inputs!$B$29,MAX(0,(Inputs!$B$3-100)*3)+Inputs!$B$28+Inputs!$B$29)))</f>
        <v/>
      </c>
      <c r="E1720">
        <f>INDEX(FactorTable!$B$2:$Y$301, MATCH(ROUND(MIN(300,MAX(1,D1720)),0), FactorTable!$A$2:$A$301,0), Skills!M11+1)</f>
        <v/>
      </c>
      <c r="F1720">
        <f>IF(Skills!N11=TRUE,(Skills!L11/10)*(E1720/1000),Skills!L11/10)+Skills!O11</f>
        <v/>
      </c>
      <c r="G1720">
        <f>Skills!G11*IF(Skills!H11&gt;0,Skills!I11/Skills!H11,1)</f>
        <v/>
      </c>
      <c r="H1720">
        <f>1-(1-Skills!J11/100)^Skills!K11</f>
        <v/>
      </c>
      <c r="I1720" t="inlineStr">
        <is>
          <t>1</t>
        </is>
      </c>
      <c r="J1720">
        <f>((Inputs!$B$6*(1+Inputs!$B$7/100))+(((Inputs!$B$12*(1+Inputs!$B$13/100))-(Inputs!$B$12*(1+Inputs!$B$13/100)))+0.25*(Inputs!$B$14-Inputs!$B$14))*(1+Inputs!$B$7/100))*(F1720/100)</f>
        <v/>
      </c>
      <c r="K1720">
        <f>J1720*(1+((Inputs!$B$12*(1+Inputs!$B$13/100))*0.01+Inputs!$B$14*0.0025)/100)*(1+Inputs!$B$15/100)*(1+Inputs!$B$16/100)*(5000/(6000+Inputs!$B$42*(1-(100*(1-(1-(Inputs!$B$19+0)/100)*(1-CHOOSE(ArtifactsInput!$N$40+1,5,6,7,8,9,10)/100)^(ArtifactsInput!$M$40-ArtifactsInput!$M$40)))/100)))*(1+(Inputs!$B$24+((C1734=TRUE)*(F1734-Calc!F25))+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1721=TRUE,F1721,0)/100)*(1+IF(Skills!A11="ENHANCED_RAGING_BLOW",IF(Inputs!$B$3&gt;=134,MAX(0,IF(Inputs!$B$3&gt;=110,7,5)-5)*50,0),0)/100)*(1+(IF(Skills!A11="RAGING_BLOW",Inputs!$B$17+((C1730=TRUE)*(F1730-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1732=TRUE)*(F1732-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1722=TRUE)*F1722*IF(Inputs!$B$3&gt;=110,7,5))+((C1724=TRUE)*F1724*IF(AND(Inputs!$B$38&lt;&gt;"pvp",Inputs!$B$43&gt;0),(((R1724-1)*(Skills!T15*(1+(Inputs!$B$34+(ArtifactsInput!$M$7-ArtifactsInput!$M$7)*CHOOSE(ArtifactsInput!$N$7+1,6,7.2,8.4,9.6,10.8,12))/100))+MIN((Skills!T15*(1+(Inputs!$B$34+(ArtifactsInput!$M$7-ArtifactsInput!$M$7)*CHOOSE(ArtifactsInput!$N$7+1,6,7.2,8.4,9.6,10.8,12))/100)),MAX(0,Inputs!$B$43-((R1724-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I1720)</f>
        <v/>
      </c>
      <c r="L1720">
        <f>K1720*(MIN(Inputs!$B$22+((C1731=TRUE)*(F1731-Calc!F22)),(Inputs!$B$23+((C1733=TRUE)*(F1733-Calc!F24))+(IF(ArtifactsInput!$M$15,CHOOSE(ArtifactsInput!$N$15+1,25,30,35,40,45,50)/100*(Inputs!$B$11-Inputs!$B$11),0))))/100+(Inputs!$B$23+((C1733=TRUE)*(F1733-Calc!F24))+(IF(ArtifactsInput!$M$15,CHOOSE(ArtifactsInput!$N$15+1,25,30,35,40,45,50)/100*(Inputs!$B$11-Inputs!$B$11),0)))/100)/2</f>
        <v/>
      </c>
      <c r="M1720">
        <f>L1720*(1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0">
        <f>L1720*(1-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1720*(MIN((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0">
        <f>(1-Summary!$B$11)*T1720+Summary!$B$11*V1720</f>
        <v/>
      </c>
      <c r="P1720">
        <f>IF(B1748=0,0,O1720/B1748)</f>
        <v/>
      </c>
      <c r="Q1720">
        <f>IFERROR(1/(IF(Inputs!$B$38="pvp",15,MAX(0.1,Skills!D11-IF(Skills!E11=TRUE,Inputs!$B$32,0)))*(1-IF(AND(ArtifactsInput!$M$27,Inputs!$B$4="Chapter Hunt"),CHOOSE(ArtifactsInput!$N$27+1,20,24,28,32,36,40),0)/100)),0)</f>
        <v/>
      </c>
      <c r="R1720">
        <f>IF(AND(Inputs!$B$38&lt;&gt;"pvp",Inputs!$B$43&gt;0),IF(MAX(0,Inputs!$B$43-B1745)&lt;=0,0,(INT(MAX(0,Inputs!$B$43-B1745)/(IF(Inputs!$B$38="pvp",15,MAX(0.1,Skills!D11-IF(Skills!E11=TRUE,Inputs!$B$32,0)))*(1-IF(AND(ArtifactsInput!$M$27,Inputs!$B$4="Chapter Hunt"),CHOOSE(ArtifactsInput!$N$27+1,20,24,28,32,36,40),0)/100)))+1)),0)</f>
        <v/>
      </c>
      <c r="S1720">
        <f>IFERROR(O1720/N1720,0)</f>
        <v/>
      </c>
      <c r="T1720">
        <f>IF(C1720,(H1720*N1720*IF(AND(Inputs!$B$38&lt;&gt;"pvp",Inputs!$B$43&gt;0),((Skills!G11*((R1720-1)*IF(Skills!H11&gt;0,Skills!I11/Skills!H11,1)+IF(Skills!H11&gt;0,MIN(Skills!I11,MAX(0,MAX(0,Inputs!$B$43-B1745)-((R1720-1)*(IF(Inputs!$B$38="pvp",15,MAX(0.1,Skills!D11-IF(Skills!E11=TRUE,Inputs!$B$32,0)))*(1-IF(AND(ArtifactsInput!$M$27,Inputs!$B$4="Chapter Hunt"),CHOOSE(ArtifactsInput!$N$27+1,20,24,28,32,36,40),0)/100)))))/Skills!H11,1)))/Inputs!$B$43),G1720*Q1720)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1720*(1-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1720*(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1720*(1-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1720*(MIN(100,(Inputs!$B$9+((C1735=TRUE)*(F1735-Calc!F26))+B1738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0">
        <f>IF(C1720,(H1720*N1720*IF(AND(Inputs!$B$38&lt;&gt;"pvp",Inputs!$B$43&gt;0),((Skills!G11*((R1720-1)*IF(Skills!H11&gt;0,Skills!I11/Skills!H11,1)+IF(Skills!H11&gt;0,MIN(Skills!I11,MAX(0,MAX(0,Inputs!$B$43-B1745)-((R1720-1)*(IF(Inputs!$B$38="pvp",15,MAX(0.1,Skills!D11-IF(Skills!E11=TRUE,Inputs!$B$32,0)))*(1-IF(AND(ArtifactsInput!$M$27,Inputs!$B$4="Chapter Hunt"),CHOOSE(ArtifactsInput!$N$27+1,20,24,28,32,36,40),0)/100)))))/Skills!H11,1)))/Inputs!$B$43),G1720*Q1720)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1">
      <c r="A1721">
        <f>Skills!A12</f>
        <v/>
      </c>
      <c r="B1721">
        <f>Skills!B12</f>
        <v/>
      </c>
      <c r="C1721">
        <f>Inputs!$B$3&gt;=100</f>
        <v/>
      </c>
      <c r="D1721">
        <f>IF(Skills!C12=1,60+Inputs!$B$25+Inputs!$B$29,IF(Skills!C12=2,90+Inputs!$B$26+Inputs!$B$29,IF(Skills!C12=3,120+Inputs!$B$27+Inputs!$B$29,MAX(0,(Inputs!$B$3-100)*3)+Inputs!$B$28+Inputs!$B$29)))</f>
        <v/>
      </c>
      <c r="E1721">
        <f>INDEX(FactorTable!$B$2:$Y$301, MATCH(ROUND(MIN(300,MAX(1,D1721)),0), FactorTable!$A$2:$A$301,0), Skills!M12+1)</f>
        <v/>
      </c>
      <c r="F1721">
        <f>IF(Skills!N12=TRUE,(Skills!L12/10)*(E1721/1000),Skills!L12/10)+Skills!O12</f>
        <v/>
      </c>
      <c r="G1721" t="inlineStr"/>
      <c r="H1721" t="inlineStr"/>
      <c r="I1721" t="inlineStr">
        <is>
          <t>1</t>
        </is>
      </c>
      <c r="J1721" t="inlineStr"/>
      <c r="K1721" t="inlineStr"/>
      <c r="L1721" t="inlineStr"/>
      <c r="M1721" t="inlineStr"/>
      <c r="N1721" t="inlineStr"/>
      <c r="O1721" t="inlineStr"/>
      <c r="P1721" t="inlineStr"/>
      <c r="Q1721" t="inlineStr"/>
      <c r="R1721" t="inlineStr"/>
      <c r="S1721" t="inlineStr"/>
    </row>
    <row r="1722">
      <c r="A1722">
        <f>Skills!A13</f>
        <v/>
      </c>
      <c r="B1722">
        <f>Skills!B13</f>
        <v/>
      </c>
      <c r="C1722">
        <f>Inputs!$B$3&gt;=45</f>
        <v/>
      </c>
      <c r="D1722">
        <f>IF(Skills!C13=1,60+Inputs!$B$25+Inputs!$B$29,IF(Skills!C13=2,90+Inputs!$B$26+Inputs!$B$29,IF(Skills!C13=3,120+Inputs!$B$27+Inputs!$B$29,MAX(0,(Inputs!$B$3-100)*3)+Inputs!$B$28+Inputs!$B$29)))</f>
        <v/>
      </c>
      <c r="E1722">
        <f>INDEX(FactorTable!$B$2:$Y$301, MATCH(ROUND(MIN(300,MAX(1,D1722)),0), FactorTable!$A$2:$A$301,0), Skills!M13+1)</f>
        <v/>
      </c>
      <c r="F1722">
        <f>IF(Skills!N13=TRUE,(Skills!L13/10)*(E1722/1000),Skills!L13/10)+Skills!O13</f>
        <v/>
      </c>
      <c r="G1722">
        <f>Skills!G13*IF(Skills!H13&gt;0,Skills!I13/Skills!H13,1)</f>
        <v/>
      </c>
      <c r="H1722">
        <f>1-(1-Skills!J13/100)^Skills!K13</f>
        <v/>
      </c>
      <c r="I1722" t="inlineStr">
        <is>
          <t>1</t>
        </is>
      </c>
      <c r="J1722" t="inlineStr"/>
      <c r="K1722" t="inlineStr"/>
      <c r="L1722" t="inlineStr"/>
      <c r="M1722" t="inlineStr"/>
      <c r="N1722" t="inlineStr"/>
      <c r="O1722">
        <f>(1-Summary!$B$11)*T1722+Summary!$B$11*V1722</f>
        <v/>
      </c>
      <c r="P1722">
        <f>IF(B1748=0,0,O1722/B1748)</f>
        <v/>
      </c>
      <c r="Q1722" t="n">
        <v>0</v>
      </c>
      <c r="R1722" t="n">
        <v>0</v>
      </c>
      <c r="S1722">
        <f>IFERROR(O1722/N1722,0)</f>
        <v/>
      </c>
      <c r="T1722" t="n">
        <v>0</v>
      </c>
      <c r="V1722" t="n">
        <v>0</v>
      </c>
    </row>
    <row r="1723">
      <c r="A1723">
        <f>Skills!A14</f>
        <v/>
      </c>
      <c r="B1723">
        <f>Skills!B14</f>
        <v/>
      </c>
      <c r="C1723">
        <f>Inputs!$B$3&gt;=75</f>
        <v/>
      </c>
      <c r="D1723">
        <f>IF(Skills!C14=1,60+Inputs!$B$25+Inputs!$B$29,IF(Skills!C14=2,90+Inputs!$B$26+Inputs!$B$29,IF(Skills!C14=3,120+Inputs!$B$27+Inputs!$B$29,MAX(0,(Inputs!$B$3-100)*3)+Inputs!$B$28+Inputs!$B$29)))</f>
        <v/>
      </c>
      <c r="E1723">
        <f>INDEX(FactorTable!$B$2:$Y$301, MATCH(ROUND(MIN(300,MAX(1,D1723)),0), FactorTable!$A$2:$A$301,0), Skills!M14+1)</f>
        <v/>
      </c>
      <c r="F1723">
        <f>IF(Skills!N14=TRUE,(Skills!L14/10)*(E1723/1000),Skills!L14/10)+Skills!O14</f>
        <v/>
      </c>
      <c r="G1723">
        <f>Skills!G14*IF(Skills!H14&gt;0,Skills!I14/Skills!H14,1)</f>
        <v/>
      </c>
      <c r="H1723">
        <f>1-(1-Skills!J14/100)^Skills!K14</f>
        <v/>
      </c>
      <c r="I1723" t="inlineStr">
        <is>
          <t>1</t>
        </is>
      </c>
      <c r="J1723" t="inlineStr"/>
      <c r="K1723" t="inlineStr"/>
      <c r="L1723" t="inlineStr"/>
      <c r="M1723" t="inlineStr"/>
      <c r="N1723" t="inlineStr"/>
      <c r="O1723">
        <f>(1-Summary!$B$11)*T1723+Summary!$B$11*V1723</f>
        <v/>
      </c>
      <c r="P1723">
        <f>IF(B1748=0,0,O1723/B1748)</f>
        <v/>
      </c>
      <c r="Q1723" t="n">
        <v>0</v>
      </c>
      <c r="R1723" t="n">
        <v>0</v>
      </c>
      <c r="S1723">
        <f>IFERROR(O1723/N1723,0)</f>
        <v/>
      </c>
      <c r="T1723" t="n">
        <v>0</v>
      </c>
      <c r="V1723" t="n">
        <v>0</v>
      </c>
    </row>
    <row r="1724">
      <c r="A1724">
        <f>Skills!A15</f>
        <v/>
      </c>
      <c r="B1724">
        <f>Skills!B15</f>
        <v/>
      </c>
      <c r="C1724">
        <f>Inputs!$B$3&gt;=40</f>
        <v/>
      </c>
      <c r="D1724">
        <f>IF(Skills!C15=1,60+Inputs!$B$25+Inputs!$B$29,IF(Skills!C15=2,90+Inputs!$B$26+Inputs!$B$29,IF(Skills!C15=3,120+Inputs!$B$27+Inputs!$B$29,MAX(0,(Inputs!$B$3-100)*3)+Inputs!$B$28+Inputs!$B$29)))</f>
        <v/>
      </c>
      <c r="E1724">
        <f>INDEX(FactorTable!$B$2:$Y$301, MATCH(ROUND(MIN(300,MAX(1,D1724)),0), FactorTable!$A$2:$A$301,0), Skills!M15+1)</f>
        <v/>
      </c>
      <c r="F1724">
        <f>IF(Skills!N15=TRUE,(Skills!L15/10)*(E1724/1000),Skills!L15/10)+Skills!O15</f>
        <v/>
      </c>
      <c r="G1724">
        <f>Skills!G15*IF(Skills!H15&gt;0,Skills!I15/Skills!H15,1)</f>
        <v/>
      </c>
      <c r="H1724">
        <f>1-(1-Skills!J15/100)^Skills!K15</f>
        <v/>
      </c>
      <c r="I1724" t="inlineStr">
        <is>
          <t>1</t>
        </is>
      </c>
      <c r="J1724" t="inlineStr"/>
      <c r="K1724" t="inlineStr"/>
      <c r="L1724" t="inlineStr"/>
      <c r="M1724" t="inlineStr"/>
      <c r="N1724" t="inlineStr"/>
      <c r="O1724">
        <f>(1-Summary!$B$11)*T1724+Summary!$B$11*V1724</f>
        <v/>
      </c>
      <c r="P1724">
        <f>IF(B1748=0,0,O1724/B1748)</f>
        <v/>
      </c>
      <c r="Q1724">
        <f>IFERROR(1/(IF(Inputs!$B$38="pvp",15,MAX(0.1,Skills!D15-IF(Skills!E15=TRUE,Inputs!$B$32,0)))*(1-IF(AND(ArtifactsInput!$M$27,Inputs!$B$4="Chapter Hunt"),CHOOSE(ArtifactsInput!$N$27+1,20,24,28,32,36,40),0)/100)),0)</f>
        <v/>
      </c>
      <c r="R1724">
        <f>IF(AND(Inputs!$B$38&lt;&gt;"pvp",Inputs!$B$43&gt;0),IF(Inputs!$B$43&lt;=0,0,(INT(Inputs!$B$43/(IF(Inputs!$B$38="pvp",15,MAX(0.1,Skills!D15-IF(Skills!E15=TRUE,Inputs!$B$32,0)))*(1-IF(AND(ArtifactsInput!$M$27,Inputs!$B$4="Chapter Hunt"),CHOOSE(ArtifactsInput!$N$27+1,20,24,28,32,36,40),0)/100)))+1)),0)</f>
        <v/>
      </c>
      <c r="S1724">
        <f>IFERROR(O1724/N1724,0)</f>
        <v/>
      </c>
      <c r="T1724" t="n">
        <v>0</v>
      </c>
      <c r="V1724" t="n">
        <v>0</v>
      </c>
    </row>
    <row r="1725">
      <c r="A1725">
        <f>Skills!A16</f>
        <v/>
      </c>
      <c r="B1725">
        <f>Skills!B16</f>
        <v/>
      </c>
      <c r="C1725">
        <f>Inputs!$B$3&gt;=66</f>
        <v/>
      </c>
      <c r="D1725">
        <f>IF(Skills!C16=1,60+Inputs!$B$25+Inputs!$B$29,IF(Skills!C16=2,90+Inputs!$B$26+Inputs!$B$29,IF(Skills!C16=3,120+Inputs!$B$27+Inputs!$B$29,MAX(0,(Inputs!$B$3-100)*3)+Inputs!$B$28+Inputs!$B$29)))</f>
        <v/>
      </c>
      <c r="E1725">
        <f>INDEX(FactorTable!$B$2:$Y$301, MATCH(ROUND(MIN(300,MAX(1,D1725)),0), FactorTable!$A$2:$A$301,0), Skills!M16+1)</f>
        <v/>
      </c>
      <c r="F1725">
        <f>IF(Skills!N16=TRUE,(Skills!L16/10)*(E1725/1000),Skills!L16/10)+Skills!O16</f>
        <v/>
      </c>
      <c r="G1725">
        <f>Skills!G16*IF(Skills!H16&gt;0,Skills!I16/Skills!H16,1)</f>
        <v/>
      </c>
      <c r="H1725">
        <f>1-(1-Skills!J16/100)^Skills!K16</f>
        <v/>
      </c>
      <c r="I1725" t="inlineStr">
        <is>
          <t>1</t>
        </is>
      </c>
      <c r="J1725" t="inlineStr"/>
      <c r="K1725" t="inlineStr"/>
      <c r="L1725" t="inlineStr"/>
      <c r="M1725" t="inlineStr"/>
      <c r="N1725" t="inlineStr"/>
      <c r="O1725">
        <f>(1-Summary!$B$11)*T1725+Summary!$B$11*V1725</f>
        <v/>
      </c>
      <c r="P1725">
        <f>IF(B1748=0,0,O1725/B1748)</f>
        <v/>
      </c>
      <c r="Q1725">
        <f>IFERROR(1/(IF(Inputs!$B$38="pvp",15,MAX(0.1,Skills!D16-IF(Skills!E16=TRUE,Inputs!$B$32,0)))*(1-IF(AND(ArtifactsInput!$M$27,Inputs!$B$4="Chapter Hunt"),CHOOSE(ArtifactsInput!$N$27+1,20,24,28,32,36,40),0)/100)),0)</f>
        <v/>
      </c>
      <c r="R1725">
        <f>IF(AND(Inputs!$B$38&lt;&gt;"pvp",Inputs!$B$43&gt;0),IF(Inputs!$B$43&lt;=0,0,(INT(Inputs!$B$43/(IF(Inputs!$B$38="pvp",15,MAX(0.1,Skills!D16-IF(Skills!E16=TRUE,Inputs!$B$32,0)))*(1-IF(AND(ArtifactsInput!$M$27,Inputs!$B$4="Chapter Hunt"),CHOOSE(ArtifactsInput!$N$27+1,20,24,28,32,36,40),0)/100)))+1)),0)</f>
        <v/>
      </c>
      <c r="S1725">
        <f>IFERROR(O1725/N1725,0)</f>
        <v/>
      </c>
      <c r="T1725" t="n">
        <v>0</v>
      </c>
      <c r="V1725" t="n">
        <v>0</v>
      </c>
    </row>
    <row r="1726">
      <c r="A1726">
        <f>Skills!A17</f>
        <v/>
      </c>
      <c r="B1726">
        <f>Skills!B17</f>
        <v/>
      </c>
      <c r="C1726">
        <f>Inputs!$B$3&gt;=115</f>
        <v/>
      </c>
      <c r="D1726">
        <f>IF(Skills!C17=1,60+Inputs!$B$25+Inputs!$B$29,IF(Skills!C17=2,90+Inputs!$B$26+Inputs!$B$29,IF(Skills!C17=3,120+Inputs!$B$27+Inputs!$B$29,MAX(0,(Inputs!$B$3-100)*3)+Inputs!$B$28+Inputs!$B$29)))</f>
        <v/>
      </c>
      <c r="E1726">
        <f>INDEX(FactorTable!$B$2:$Y$301, MATCH(ROUND(MIN(300,MAX(1,D1726)),0), FactorTable!$A$2:$A$301,0), Skills!M17+1)</f>
        <v/>
      </c>
      <c r="F1726">
        <f>IF(Skills!N17=TRUE,(Skills!L17/10)*(E1726/1000),Skills!L17/10)+Skills!O17</f>
        <v/>
      </c>
      <c r="G1726">
        <f>Skills!G17*IF(Skills!H17&gt;0,Skills!I17/Skills!H17,1)</f>
        <v/>
      </c>
      <c r="H1726">
        <f>1-(1-Skills!J17/100)^Skills!K17</f>
        <v/>
      </c>
      <c r="I1726" t="inlineStr">
        <is>
          <t>1</t>
        </is>
      </c>
      <c r="J1726" t="inlineStr"/>
      <c r="K1726" t="inlineStr"/>
      <c r="L1726" t="inlineStr"/>
      <c r="M1726" t="inlineStr"/>
      <c r="N1726" t="inlineStr"/>
      <c r="O1726">
        <f>(1-Summary!$B$11)*T1726+Summary!$B$11*V1726</f>
        <v/>
      </c>
      <c r="P1726">
        <f>IF(B1748=0,0,O1726/B1748)</f>
        <v/>
      </c>
      <c r="Q1726">
        <f>IFERROR(1/(IF(Inputs!$B$38="pvp",15,MAX(0.1,Skills!D17-IF(Skills!E17=TRUE,Inputs!$B$32,0)))*(1-IF(AND(ArtifactsInput!$M$27,Inputs!$B$4="Chapter Hunt"),CHOOSE(ArtifactsInput!$N$27+1,20,24,28,32,36,40),0)/100)),0)</f>
        <v/>
      </c>
      <c r="R1726">
        <f>IF(AND(Inputs!$B$38&lt;&gt;"pvp",Inputs!$B$43&gt;0),IF(Inputs!$B$43&lt;=0,0,(INT(Inputs!$B$43/(IF(Inputs!$B$38="pvp",15,MAX(0.1,Skills!D17-IF(Skills!E17=TRUE,Inputs!$B$32,0)))*(1-IF(AND(ArtifactsInput!$M$27,Inputs!$B$4="Chapter Hunt"),CHOOSE(ArtifactsInput!$N$27+1,20,24,28,32,36,40),0)/100)))+1)),0)</f>
        <v/>
      </c>
      <c r="S1726">
        <f>IFERROR(O1726/N1726,0)</f>
        <v/>
      </c>
      <c r="T1726" t="n">
        <v>0</v>
      </c>
      <c r="V1726" t="n">
        <v>0</v>
      </c>
    </row>
    <row r="1727">
      <c r="A1727">
        <f>Skills!A18</f>
        <v/>
      </c>
      <c r="B1727">
        <f>Skills!B18</f>
        <v/>
      </c>
      <c r="C1727">
        <f>Inputs!$B$3&gt;=115</f>
        <v/>
      </c>
      <c r="D1727">
        <f>IF(Skills!C18=1,60+Inputs!$B$25+Inputs!$B$29,IF(Skills!C18=2,90+Inputs!$B$26+Inputs!$B$29,IF(Skills!C18=3,120+Inputs!$B$27+Inputs!$B$29,MAX(0,(Inputs!$B$3-100)*3)+Inputs!$B$28+Inputs!$B$29)))</f>
        <v/>
      </c>
      <c r="E1727">
        <f>INDEX(FactorTable!$B$2:$Y$301, MATCH(ROUND(MIN(300,MAX(1,D1727)),0), FactorTable!$A$2:$A$301,0), Skills!M18+1)</f>
        <v/>
      </c>
      <c r="F1727">
        <f>IF(Skills!N18=TRUE,(Skills!L18/10)*(E1727/1000),Skills!L18/10)+Skills!O18</f>
        <v/>
      </c>
      <c r="G1727">
        <f>Skills!G18*IF(Skills!H18&gt;0,Skills!I18/Skills!H18,1)</f>
        <v/>
      </c>
      <c r="H1727">
        <f>1-(1-Skills!J18/100)^Skills!K18</f>
        <v/>
      </c>
      <c r="I1727" t="inlineStr">
        <is>
          <t>1</t>
        </is>
      </c>
      <c r="J1727" t="inlineStr"/>
      <c r="K1727" t="inlineStr"/>
      <c r="L1727" t="inlineStr"/>
      <c r="M1727" t="inlineStr"/>
      <c r="N1727" t="inlineStr"/>
      <c r="O1727">
        <f>(1-Summary!$B$11)*T1727+Summary!$B$11*V1727</f>
        <v/>
      </c>
      <c r="P1727">
        <f>IF(B1748=0,0,O1727/B1748)</f>
        <v/>
      </c>
      <c r="Q1727">
        <f>IFERROR(1/(IF(Inputs!$B$38="pvp",15,MAX(0.1,Skills!D18-IF(Skills!E18=TRUE,Inputs!$B$32,0)))*(1-IF(AND(ArtifactsInput!$M$27,Inputs!$B$4="Chapter Hunt"),CHOOSE(ArtifactsInput!$N$27+1,20,24,28,32,36,40),0)/100)),0)</f>
        <v/>
      </c>
      <c r="R1727">
        <f>IF(AND(Inputs!$B$38&lt;&gt;"pvp",Inputs!$B$43&gt;0),IF(Inputs!$B$43&lt;=0,0,(INT(Inputs!$B$43/(IF(Inputs!$B$38="pvp",15,MAX(0.1,Skills!D18-IF(Skills!E18=TRUE,Inputs!$B$32,0)))*(1-IF(AND(ArtifactsInput!$M$27,Inputs!$B$4="Chapter Hunt"),CHOOSE(ArtifactsInput!$N$27+1,20,24,28,32,36,40),0)/100)))+1)),0)</f>
        <v/>
      </c>
      <c r="S1727">
        <f>IFERROR(O1727/N1727,0)</f>
        <v/>
      </c>
      <c r="T1727" t="n">
        <v>0</v>
      </c>
      <c r="V1727" t="n">
        <v>0</v>
      </c>
    </row>
    <row r="1728">
      <c r="A1728">
        <f>Skills!A19</f>
        <v/>
      </c>
      <c r="B1728">
        <f>Skills!B19</f>
        <v/>
      </c>
      <c r="C1728">
        <f>TRUE</f>
        <v/>
      </c>
      <c r="D1728">
        <f>IF(Skills!C19=1,60+Inputs!$B$25+Inputs!$B$29,IF(Skills!C19=2,90+Inputs!$B$26+Inputs!$B$29,IF(Skills!C19=3,120+Inputs!$B$27+Inputs!$B$29,MAX(0,(Inputs!$B$3-100)*3)+Inputs!$B$28+Inputs!$B$29)))</f>
        <v/>
      </c>
      <c r="E1728">
        <f>INDEX(FactorTable!$B$2:$Y$301, MATCH(ROUND(MIN(300,MAX(1,D1728)),0), FactorTable!$A$2:$A$301,0), Skills!M19+1)</f>
        <v/>
      </c>
      <c r="F1728">
        <f>IF(Skills!N19=TRUE,(Skills!L19/10)*(E1728/1000),Skills!L19/10)+Skills!O19</f>
        <v/>
      </c>
      <c r="G1728">
        <f>Skills!G19*IF(Skills!H19&gt;0,Skills!I19/Skills!H19,1)</f>
        <v/>
      </c>
      <c r="H1728">
        <f>1-(1-Skills!J19/100)^Skills!K19</f>
        <v/>
      </c>
      <c r="I1728" t="inlineStr">
        <is>
          <t>1</t>
        </is>
      </c>
      <c r="J1728" t="inlineStr"/>
      <c r="K1728" t="inlineStr"/>
      <c r="L1728" t="inlineStr"/>
      <c r="M1728" t="inlineStr"/>
      <c r="N1728" t="inlineStr"/>
      <c r="O1728">
        <f>(1-Summary!$B$11)*T1728+Summary!$B$11*V1728</f>
        <v/>
      </c>
      <c r="P1728">
        <f>IF(B1748=0,0,O1728/B1748)</f>
        <v/>
      </c>
      <c r="Q1728">
        <f>IFERROR(1/(IF(Inputs!$B$38="pvp",15,MAX(0.1,Skills!D19-IF(Skills!E19=TRUE,Inputs!$B$32,0)))*(1-IF(AND(ArtifactsInput!$M$27,Inputs!$B$4="Chapter Hunt"),CHOOSE(ArtifactsInput!$N$27+1,20,24,28,32,36,40),0)/100)),0)</f>
        <v/>
      </c>
      <c r="R1728">
        <f>IF(AND(Inputs!$B$38&lt;&gt;"pvp",Inputs!$B$43&gt;0),IF(Inputs!$B$43&lt;=0,0,(INT(Inputs!$B$43/(IF(Inputs!$B$38="pvp",15,MAX(0.1,Skills!D19-IF(Skills!E19=TRUE,Inputs!$B$32,0)))*(1-IF(AND(ArtifactsInput!$M$27,Inputs!$B$4="Chapter Hunt"),CHOOSE(ArtifactsInput!$N$27+1,20,24,28,32,36,40),0)/100)))+1)),0)</f>
        <v/>
      </c>
      <c r="S1728">
        <f>IFERROR(O1728/N1728,0)</f>
        <v/>
      </c>
      <c r="T1728" t="n">
        <v>0</v>
      </c>
      <c r="V1728" t="n">
        <v>0</v>
      </c>
    </row>
    <row r="1729">
      <c r="A1729">
        <f>Skills!A20</f>
        <v/>
      </c>
      <c r="B1729">
        <f>Skills!B20</f>
        <v/>
      </c>
      <c r="C1729">
        <f>Inputs!$B$3&gt;=33</f>
        <v/>
      </c>
      <c r="D1729">
        <f>IF(Skills!C20=1,60+Inputs!$B$25+Inputs!$B$29,IF(Skills!C20=2,90+Inputs!$B$26+Inputs!$B$29,IF(Skills!C20=3,120+Inputs!$B$27+Inputs!$B$29,MAX(0,(Inputs!$B$3-100)*3)+Inputs!$B$28+Inputs!$B$29)))</f>
        <v/>
      </c>
      <c r="E1729">
        <f>INDEX(FactorTable!$B$2:$Y$301, MATCH(ROUND(MIN(300,MAX(1,D1729)),0), FactorTable!$A$2:$A$301,0), Skills!M20+1)</f>
        <v/>
      </c>
      <c r="F1729">
        <f>IF(Skills!N20=TRUE,(Skills!L20/10)*(E1729/1000),Skills!L20/10)+Skills!O20</f>
        <v/>
      </c>
      <c r="G1729">
        <f>Skills!G20*IF(Skills!H20&gt;0,Skills!I20/Skills!H20,1)</f>
        <v/>
      </c>
      <c r="H1729">
        <f>1-(1-Skills!J20/100)^Skills!K20</f>
        <v/>
      </c>
      <c r="I1729" t="inlineStr">
        <is>
          <t>1</t>
        </is>
      </c>
      <c r="J1729" t="inlineStr"/>
      <c r="K1729" t="inlineStr"/>
      <c r="L1729" t="inlineStr"/>
      <c r="M1729" t="inlineStr"/>
      <c r="N1729" t="inlineStr"/>
      <c r="O1729">
        <f>(1-Summary!$B$11)*T1729+Summary!$B$11*V1729</f>
        <v/>
      </c>
      <c r="P1729">
        <f>IF(B1748=0,0,O1729/B1748)</f>
        <v/>
      </c>
      <c r="Q1729" t="n">
        <v>0</v>
      </c>
      <c r="R1729" t="n">
        <v>0</v>
      </c>
      <c r="S1729">
        <f>IFERROR(O1729/N1729,0)</f>
        <v/>
      </c>
      <c r="T1729" t="n">
        <v>0</v>
      </c>
      <c r="V1729" t="n">
        <v>0</v>
      </c>
    </row>
    <row r="1730">
      <c r="A1730">
        <f>Skills!A21</f>
        <v/>
      </c>
      <c r="B1730">
        <f>Skills!B21</f>
        <v/>
      </c>
      <c r="C1730">
        <f>Inputs!$B$3&gt;=38</f>
        <v/>
      </c>
      <c r="D1730">
        <f>IF(Skills!C21=1,60+Inputs!$B$25+Inputs!$B$29,IF(Skills!C21=2,90+Inputs!$B$26+Inputs!$B$29,IF(Skills!C21=3,120+Inputs!$B$27+Inputs!$B$29,MAX(0,(Inputs!$B$3-100)*3)+Inputs!$B$28+Inputs!$B$29)))</f>
        <v/>
      </c>
      <c r="E1730">
        <f>INDEX(FactorTable!$B$2:$Y$301, MATCH(ROUND(MIN(300,MAX(1,D1730)),0), FactorTable!$A$2:$A$301,0), Skills!M21+1)</f>
        <v/>
      </c>
      <c r="F1730">
        <f>IF(Skills!N21=TRUE,(Skills!L21/10)*(E1730/1000),Skills!L21/10)+Skills!O21</f>
        <v/>
      </c>
      <c r="G1730">
        <f>Skills!G21*IF(Skills!H21&gt;0,Skills!I21/Skills!H21,1)</f>
        <v/>
      </c>
      <c r="H1730">
        <f>1-(1-Skills!J21/100)^Skills!K21</f>
        <v/>
      </c>
      <c r="I1730" t="inlineStr">
        <is>
          <t>1</t>
        </is>
      </c>
      <c r="J1730" t="inlineStr"/>
      <c r="K1730" t="inlineStr"/>
      <c r="L1730" t="inlineStr"/>
      <c r="M1730" t="inlineStr"/>
      <c r="N1730" t="inlineStr"/>
      <c r="O1730">
        <f>(1-Summary!$B$11)*T1730+Summary!$B$11*V1730</f>
        <v/>
      </c>
      <c r="P1730">
        <f>IF(B1748=0,0,O1730/B1748)</f>
        <v/>
      </c>
      <c r="Q1730" t="n">
        <v>0</v>
      </c>
      <c r="R1730" t="n">
        <v>0</v>
      </c>
      <c r="S1730">
        <f>IFERROR(O1730/N1730,0)</f>
        <v/>
      </c>
      <c r="T1730" t="n">
        <v>0</v>
      </c>
      <c r="V1730" t="n">
        <v>0</v>
      </c>
    </row>
    <row r="1731">
      <c r="A1731">
        <f>Skills!A22</f>
        <v/>
      </c>
      <c r="B1731">
        <f>Skills!B22</f>
        <v/>
      </c>
      <c r="C1731">
        <f>Inputs!$B$3&gt;=43</f>
        <v/>
      </c>
      <c r="D1731">
        <f>IF(Skills!C22=1,60+Inputs!$B$25+Inputs!$B$29,IF(Skills!C22=2,90+Inputs!$B$26+Inputs!$B$29,IF(Skills!C22=3,120+Inputs!$B$27+Inputs!$B$29,MAX(0,(Inputs!$B$3-100)*3)+Inputs!$B$28+Inputs!$B$29)))</f>
        <v/>
      </c>
      <c r="E1731">
        <f>INDEX(FactorTable!$B$2:$Y$301, MATCH(ROUND(MIN(300,MAX(1,D1731)),0), FactorTable!$A$2:$A$301,0), Skills!M22+1)</f>
        <v/>
      </c>
      <c r="F1731">
        <f>IF(Skills!N22=TRUE,(Skills!L22/10)*(E1731/1000),Skills!L22/10)+Skills!O22</f>
        <v/>
      </c>
      <c r="G1731">
        <f>Skills!G22*IF(Skills!H22&gt;0,Skills!I22/Skills!H22,1)</f>
        <v/>
      </c>
      <c r="H1731">
        <f>1-(1-Skills!J22/100)^Skills!K22</f>
        <v/>
      </c>
      <c r="I1731" t="inlineStr">
        <is>
          <t>1</t>
        </is>
      </c>
      <c r="J1731" t="inlineStr"/>
      <c r="K1731" t="inlineStr"/>
      <c r="L1731" t="inlineStr"/>
      <c r="M1731" t="inlineStr"/>
      <c r="N1731" t="inlineStr"/>
      <c r="O1731">
        <f>(1-Summary!$B$11)*T1731+Summary!$B$11*V1731</f>
        <v/>
      </c>
      <c r="P1731">
        <f>IF(B1748=0,0,O1731/B1748)</f>
        <v/>
      </c>
      <c r="Q1731" t="n">
        <v>0</v>
      </c>
      <c r="R1731" t="n">
        <v>0</v>
      </c>
      <c r="S1731">
        <f>IFERROR(O1731/N1731,0)</f>
        <v/>
      </c>
      <c r="T1731" t="n">
        <v>0</v>
      </c>
      <c r="V1731" t="n">
        <v>0</v>
      </c>
    </row>
    <row r="1732">
      <c r="A1732">
        <f>Skills!A23</f>
        <v/>
      </c>
      <c r="B1732">
        <f>Skills!B23</f>
        <v/>
      </c>
      <c r="C1732">
        <f>Inputs!$B$3&gt;=120</f>
        <v/>
      </c>
      <c r="D1732">
        <f>IF(Skills!C23=1,60+Inputs!$B$25+Inputs!$B$29,IF(Skills!C23=2,90+Inputs!$B$26+Inputs!$B$29,IF(Skills!C23=3,120+Inputs!$B$27+Inputs!$B$29,MAX(0,(Inputs!$B$3-100)*3)+Inputs!$B$28+Inputs!$B$29)))</f>
        <v/>
      </c>
      <c r="E1732">
        <f>INDEX(FactorTable!$B$2:$Y$301, MATCH(ROUND(MIN(300,MAX(1,D1732)),0), FactorTable!$A$2:$A$301,0), Skills!M23+1)</f>
        <v/>
      </c>
      <c r="F1732">
        <f>IF(Skills!N23=TRUE,(Skills!L23/10)*(E1732/1000),Skills!L23/10)+Skills!O23</f>
        <v/>
      </c>
      <c r="G1732">
        <f>Skills!G23*IF(Skills!H23&gt;0,Skills!I23/Skills!H23,1)</f>
        <v/>
      </c>
      <c r="H1732">
        <f>1-(1-Skills!J23/100)^Skills!K23</f>
        <v/>
      </c>
      <c r="I1732" t="inlineStr">
        <is>
          <t>1</t>
        </is>
      </c>
      <c r="J1732" t="inlineStr"/>
      <c r="K1732" t="inlineStr"/>
      <c r="L1732" t="inlineStr"/>
      <c r="M1732" t="inlineStr"/>
      <c r="N1732" t="inlineStr"/>
      <c r="O1732">
        <f>(1-Summary!$B$11)*T1732+Summary!$B$11*V1732</f>
        <v/>
      </c>
      <c r="P1732">
        <f>IF(B1748=0,0,O1732/B1748)</f>
        <v/>
      </c>
      <c r="Q1732" t="n">
        <v>0</v>
      </c>
      <c r="R1732" t="n">
        <v>0</v>
      </c>
      <c r="S1732">
        <f>IFERROR(O1732/N1732,0)</f>
        <v/>
      </c>
      <c r="T1732" t="n">
        <v>0</v>
      </c>
      <c r="V1732" t="n">
        <v>0</v>
      </c>
    </row>
    <row r="1733">
      <c r="A1733">
        <f>Skills!A24</f>
        <v/>
      </c>
      <c r="B1733">
        <f>Skills!B24</f>
        <v/>
      </c>
      <c r="C1733">
        <f>Inputs!$B$3&gt;=120</f>
        <v/>
      </c>
      <c r="D1733">
        <f>IF(Skills!C24=1,60+Inputs!$B$25+Inputs!$B$29,IF(Skills!C24=2,90+Inputs!$B$26+Inputs!$B$29,IF(Skills!C24=3,120+Inputs!$B$27+Inputs!$B$29,MAX(0,(Inputs!$B$3-100)*3)+Inputs!$B$28+Inputs!$B$29)))</f>
        <v/>
      </c>
      <c r="E1733">
        <f>INDEX(FactorTable!$B$2:$Y$301, MATCH(ROUND(MIN(300,MAX(1,D1733)),0), FactorTable!$A$2:$A$301,0), Skills!M24+1)</f>
        <v/>
      </c>
      <c r="F1733">
        <f>IF(Skills!N24=TRUE,(Skills!L24/10)*(E1733/1000),Skills!L24/10)+Skills!O24</f>
        <v/>
      </c>
      <c r="G1733">
        <f>Skills!G24*IF(Skills!H24&gt;0,Skills!I24/Skills!H24,1)</f>
        <v/>
      </c>
      <c r="H1733">
        <f>1-(1-Skills!J24/100)^Skills!K24</f>
        <v/>
      </c>
      <c r="I1733" t="inlineStr">
        <is>
          <t>1</t>
        </is>
      </c>
      <c r="J1733" t="inlineStr"/>
      <c r="K1733" t="inlineStr"/>
      <c r="L1733" t="inlineStr"/>
      <c r="M1733" t="inlineStr"/>
      <c r="N1733" t="inlineStr"/>
      <c r="O1733">
        <f>(1-Summary!$B$11)*T1733+Summary!$B$11*V1733</f>
        <v/>
      </c>
      <c r="P1733">
        <f>IF(B1748=0,0,O1733/B1748)</f>
        <v/>
      </c>
      <c r="Q1733" t="n">
        <v>0</v>
      </c>
      <c r="R1733" t="n">
        <v>0</v>
      </c>
      <c r="S1733">
        <f>IFERROR(O1733/N1733,0)</f>
        <v/>
      </c>
      <c r="T1733" t="n">
        <v>0</v>
      </c>
      <c r="V1733" t="n">
        <v>0</v>
      </c>
    </row>
    <row r="1734">
      <c r="A1734">
        <f>Skills!A25</f>
        <v/>
      </c>
      <c r="B1734">
        <f>Skills!B25</f>
        <v/>
      </c>
      <c r="C1734">
        <f>Inputs!$B$3&gt;=125</f>
        <v/>
      </c>
      <c r="D1734">
        <f>IF(Skills!C25=1,60+Inputs!$B$25+Inputs!$B$29,IF(Skills!C25=2,90+Inputs!$B$26+Inputs!$B$29,IF(Skills!C25=3,120+Inputs!$B$27+Inputs!$B$29,MAX(0,(Inputs!$B$3-100)*3)+Inputs!$B$28+Inputs!$B$29)))</f>
        <v/>
      </c>
      <c r="E1734">
        <f>INDEX(FactorTable!$B$2:$Y$301, MATCH(ROUND(MIN(300,MAX(1,D1734)),0), FactorTable!$A$2:$A$301,0), Skills!M25+1)</f>
        <v/>
      </c>
      <c r="F1734">
        <f>IF(Skills!N25=TRUE,(Skills!L25/10)*(E1734/1000),Skills!L25/10)+Skills!O25</f>
        <v/>
      </c>
      <c r="G1734">
        <f>Skills!G25*IF(Skills!H25&gt;0,Skills!I25/Skills!H25,1)</f>
        <v/>
      </c>
      <c r="H1734">
        <f>1-(1-Skills!J25/100)^Skills!K25</f>
        <v/>
      </c>
      <c r="I1734" t="inlineStr">
        <is>
          <t>1</t>
        </is>
      </c>
      <c r="J1734" t="inlineStr"/>
      <c r="K1734" t="inlineStr"/>
      <c r="L1734" t="inlineStr"/>
      <c r="M1734" t="inlineStr"/>
      <c r="N1734" t="inlineStr"/>
      <c r="O1734">
        <f>(1-Summary!$B$11)*T1734+Summary!$B$11*V1734</f>
        <v/>
      </c>
      <c r="P1734">
        <f>IF(B1748=0,0,O1734/B1748)</f>
        <v/>
      </c>
      <c r="Q1734" t="n">
        <v>0</v>
      </c>
      <c r="R1734" t="n">
        <v>0</v>
      </c>
      <c r="S1734">
        <f>IFERROR(O1734/N1734,0)</f>
        <v/>
      </c>
      <c r="T1734" t="n">
        <v>0</v>
      </c>
      <c r="V1734" t="n">
        <v>0</v>
      </c>
    </row>
    <row r="1735">
      <c r="A1735">
        <f>Skills!A26</f>
        <v/>
      </c>
      <c r="B1735">
        <f>Skills!B26</f>
        <v/>
      </c>
      <c r="C1735">
        <f>Inputs!$B$3&gt;=72</f>
        <v/>
      </c>
      <c r="D1735">
        <f>IF(Skills!C26=1,60+Inputs!$B$25+Inputs!$B$29,IF(Skills!C26=2,90+Inputs!$B$26+Inputs!$B$29,IF(Skills!C26=3,120+Inputs!$B$27+Inputs!$B$29,MAX(0,(Inputs!$B$3-100)*3)+Inputs!$B$28+Inputs!$B$29)))</f>
        <v/>
      </c>
      <c r="E1735">
        <f>INDEX(FactorTable!$B$2:$Y$301, MATCH(ROUND(MIN(300,MAX(1,D1735)),0), FactorTable!$A$2:$A$301,0), Skills!M26+1)</f>
        <v/>
      </c>
      <c r="F1735">
        <f>IF(Skills!N26=TRUE,(Skills!L26/10)*(E1735/1000),Skills!L26/10)+Skills!O26</f>
        <v/>
      </c>
      <c r="G1735">
        <f>Skills!G26*IF(Skills!H26&gt;0,Skills!I26/Skills!H26,1)</f>
        <v/>
      </c>
      <c r="H1735">
        <f>1-(1-Skills!J26/100)^Skills!K26</f>
        <v/>
      </c>
      <c r="I1735" t="inlineStr">
        <is>
          <t>1</t>
        </is>
      </c>
      <c r="J1735" t="inlineStr"/>
      <c r="K1735" t="inlineStr"/>
      <c r="L1735" t="inlineStr"/>
      <c r="M1735" t="inlineStr"/>
      <c r="N1735" t="inlineStr"/>
      <c r="O1735">
        <f>(1-Summary!$B$11)*T1735+Summary!$B$11*V1735</f>
        <v/>
      </c>
      <c r="P1735">
        <f>IF(B1748=0,0,O1735/B1748)</f>
        <v/>
      </c>
      <c r="Q1735" t="n">
        <v>0</v>
      </c>
      <c r="R1735" t="n">
        <v>0</v>
      </c>
      <c r="S1735">
        <f>IFERROR(O1735/N1735,0)</f>
        <v/>
      </c>
      <c r="T1735" t="n">
        <v>0</v>
      </c>
      <c r="V1735" t="n">
        <v>0</v>
      </c>
    </row>
    <row r="1737">
      <c r="A1737" t="inlineStr">
        <is>
          <t>Attack% Bucket Multiplier</t>
        </is>
      </c>
      <c r="B1737">
        <f>(1+(((C1722=TRUE)*F1722*IF(Inputs!$B$3&gt;=110,7,5))+((C1724=TRUE)*F1724*IF(AND(Inputs!$B$38&lt;&gt;"pvp",Inputs!$B$43&gt;0),(((R1724-1)*(Skills!T15*(1+(Inputs!$B$34+(ArtifactsInput!$M$7-ArtifactsInput!$M$7)*CHOOSE(ArtifactsInput!$N$7+1,6,7.2,8.4,9.6,10.8,12))/100))+MIN((Skills!T15*(1+(Inputs!$B$34+(ArtifactsInput!$M$7-ArtifactsInput!$M$7)*CHOOSE(ArtifactsInput!$N$7+1,6,7.2,8.4,9.6,10.8,12))/100)),MAX(0,Inputs!$B$43-((R1724-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38">
      <c r="A1738" t="inlineStr">
        <is>
          <t>Global Crit Rate Bonus %</t>
        </is>
      </c>
      <c r="B1738" t="n">
        <v>0</v>
      </c>
    </row>
    <row r="1739">
      <c r="A1739" t="inlineStr">
        <is>
          <t>Attack Speed Buff Bonus %</t>
        </is>
      </c>
      <c r="B1739">
        <f>((C1728=TRUE)*F1728*IF(AND(Inputs!$B$38&lt;&gt;"pvp",Inputs!$B$43&gt;0),(((R1728-1)*(Skills!T19*(1+(Inputs!$B$34+(ArtifactsInput!$M$7-ArtifactsInput!$M$7)*CHOOSE(ArtifactsInput!$N$7+1,6,7.2,8.4,9.6,10.8,12))/100))+MIN((Skills!T19*(1+(Inputs!$B$34+(ArtifactsInput!$M$7-ArtifactsInput!$M$7)*CHOOSE(ArtifactsInput!$N$7+1,6,7.2,8.4,9.6,10.8,12))/100)),MAX(0,Inputs!$B$43-((R1728-1)*Skills!D19))))/Inputs!$B$43),IF(Inputs!$B$38="pvp",MIN((Skills!T19*(1+(Inputs!$B$34+(ArtifactsInput!$M$7-ArtifactsInput!$M$7)*CHOOSE(ArtifactsInput!$N$7+1,6,7.2,8.4,9.6,10.8,12))/100)),15)/15,(Skills!T19*(1+(Inputs!$B$34+(ArtifactsInput!$M$7-ArtifactsInput!$M$7)*CHOOSE(ArtifactsInput!$N$7+1,6,7.2,8.4,9.6,10.8,12))/100))/Skills!D19)))</f>
        <v/>
      </c>
    </row>
    <row r="1740">
      <c r="A1740" t="inlineStr">
        <is>
          <t>Actions Per Second</t>
        </is>
      </c>
      <c r="B1740">
        <f>1+MIN(150,150*(1-(1-(Inputs!$B$11+((C1729=TRUE)*(F1729-Calc!F20)))/150)*(1-B1739/150)))/100</f>
        <v/>
      </c>
    </row>
    <row r="1741">
      <c r="A1741" t="inlineStr">
        <is>
          <t>Skill + Buff Cast Rate</t>
        </is>
      </c>
      <c r="B1741">
        <f>IF(AND(Inputs!$B$38&lt;&gt;"pvp",Inputs!$B$43&gt;0),SUMPRODUCT((Skills!E2:E26=TRUE)*(C1711:C1735=TRUE)*R1711:R1735*Skills!F2:F26)/Inputs!$B$43,SUMPRODUCT((Skills!E2:E26=TRUE)*(C1711:C1735=TRUE)*Q1711:Q1735*Skills!F2:F26))</f>
        <v/>
      </c>
    </row>
    <row r="1742">
      <c r="A1742" t="inlineStr">
        <is>
          <t>Raging Blow Casts Per Second</t>
        </is>
      </c>
      <c r="B1742">
        <f>MAX(0,B1740-B1741)</f>
        <v/>
      </c>
    </row>
    <row r="1743">
      <c r="A1743" t="inlineStr">
        <is>
          <t>Global Critical Damage Bonus % (Enrage)</t>
        </is>
      </c>
      <c r="B1743">
        <f>((C1727=TRUE)*F1727*IF(AND(Inputs!$B$38&lt;&gt;"pvp",Inputs!$B$43&gt;0),(((R1727-1)*(Skills!T18*(1+(Inputs!$B$34+(ArtifactsInput!$M$7-ArtifactsInput!$M$7)*CHOOSE(ArtifactsInput!$N$7+1,6,7.2,8.4,9.6,10.8,12))/100))+MIN((Skills!T18*(1+(Inputs!$B$34+(ArtifactsInput!$M$7-ArtifactsInput!$M$7)*CHOOSE(ArtifactsInput!$N$7+1,6,7.2,8.4,9.6,10.8,12))/100)),MAX(0,Inputs!$B$43-((R1727-1)*Skills!D18))))/Inputs!$B$43),IF(Inputs!$B$38="pvp",MIN((Skills!T18*(1+(Inputs!$B$34+(ArtifactsInput!$M$7-ArtifactsInput!$M$7)*CHOOSE(ArtifactsInput!$N$7+1,6,7.2,8.4,9.6,10.8,12))/100)),15)/15,(Skills!T18*(1+(Inputs!$B$34+(ArtifactsInput!$M$7-ArtifactsInput!$M$7)*CHOOSE(ArtifactsInput!$N$7+1,6,7.2,8.4,9.6,10.8,12))/100))/Skills!D18)))</f>
        <v/>
      </c>
    </row>
    <row r="1744">
      <c r="A1744" t="inlineStr">
        <is>
          <t>Global Final Damage Bonus % (Enrage + Combo Synergy)</t>
        </is>
      </c>
      <c r="B1744">
        <f>((C1726=TRUE)*F1726*IF(AND(Inputs!$B$38&lt;&gt;"pvp",Inputs!$B$43&gt;0),(((R1726-1)*(Skills!T17*(1+(Inputs!$B$34+(ArtifactsInput!$M$7-ArtifactsInput!$M$7)*CHOOSE(ArtifactsInput!$N$7+1,6,7.2,8.4,9.6,10.8,12))/100))+MIN((Skills!T17*(1+(Inputs!$B$34+(ArtifactsInput!$M$7-ArtifactsInput!$M$7)*CHOOSE(ArtifactsInput!$N$7+1,6,7.2,8.4,9.6,10.8,12))/100)),MAX(0,Inputs!$B$43-((R1726-1)*Skills!D17))))/Inputs!$B$43),IF(Inputs!$B$38="pvp",MIN((Skills!T17*(1+(Inputs!$B$34+(ArtifactsInput!$M$7-ArtifactsInput!$M$7)*CHOOSE(ArtifactsInput!$N$7+1,6,7.2,8.4,9.6,10.8,12))/100)),15)/15,(Skills!T17*(1+(Inputs!$B$34+(ArtifactsInput!$M$7-ArtifactsInput!$M$7)*CHOOSE(ArtifactsInput!$N$7+1,6,7.2,8.4,9.6,10.8,12))/100))/Skills!D17)))+((C1723=TRUE)*F1723*IF(Inputs!$B$3&gt;=110,7,5))</f>
        <v/>
      </c>
    </row>
    <row r="1745">
      <c r="A1745" t="inlineStr">
        <is>
          <t>Buff-Casting Startup Delay (s, fixed-duration only)</t>
        </is>
      </c>
      <c r="B1745">
        <f>IF(AND(Inputs!$B$38&lt;&gt;"pvp",Inputs!$B$43&gt;0),SUMPRODUCT((Skills!T2:T26&gt;0)*(Skills!E2:E26=TRUE)*(C1711:C1735=TRUE))/B1740,0)</f>
        <v/>
      </c>
    </row>
    <row r="1746">
      <c r="A1746" t="inlineStr">
        <is>
          <t>Boss-Only Total DPS (this block's swept value)</t>
        </is>
      </c>
      <c r="B1746">
        <f>SUM(T1711:T1735)</f>
        <v/>
      </c>
    </row>
    <row r="1747">
      <c r="A1747" t="inlineStr">
        <is>
          <t>Normal-Only Total DPS (this block's swept value)</t>
        </is>
      </c>
      <c r="B1747">
        <f>SUM(V1711:V1735)</f>
        <v/>
      </c>
    </row>
    <row r="1748">
      <c r="A1748" s="6" t="inlineStr">
        <is>
          <t>TOTAL DPS</t>
        </is>
      </c>
      <c r="B1748" s="6">
        <f>SUM(O1711:O1735)</f>
        <v/>
      </c>
    </row>
    <row r="1751">
      <c r="A1751" s="6" t="inlineStr">
        <is>
          <t>Stat: Old Music Box (Equip)</t>
        </is>
      </c>
    </row>
    <row r="1752">
      <c r="A1752" s="5" t="inlineStr">
        <is>
          <t>Key</t>
        </is>
      </c>
      <c r="B1752" s="5" t="inlineStr">
        <is>
          <t>Name</t>
        </is>
      </c>
      <c r="C1752" s="5" t="inlineStr">
        <is>
          <t>Unlocked</t>
        </is>
      </c>
      <c r="D1752" s="5" t="inlineStr">
        <is>
          <t>InputLevel</t>
        </is>
      </c>
      <c r="E1752" s="5" t="inlineStr">
        <is>
          <t>Factor</t>
        </is>
      </c>
      <c r="F1752" s="5" t="inlineStr">
        <is>
          <t>CoefficientPercent</t>
        </is>
      </c>
      <c r="G1752" s="5" t="inlineStr">
        <is>
          <t>EffectiveHits</t>
        </is>
      </c>
      <c r="H1752" s="5" t="inlineStr">
        <is>
          <t>ProcProbability</t>
        </is>
      </c>
      <c r="I1752" s="5" t="inlineStr">
        <is>
          <t>MapleHeroMultiplier</t>
        </is>
      </c>
      <c r="J1752" s="5" t="inlineStr">
        <is>
          <t>BaseDamage</t>
        </is>
      </c>
      <c r="K1752" s="5" t="inlineStr">
        <is>
          <t>BaseHitDamage</t>
        </is>
      </c>
      <c r="L1752" s="5" t="inlineStr">
        <is>
          <t>NonCritAvg</t>
        </is>
      </c>
      <c r="M1752" s="5" t="inlineStr">
        <is>
          <t>CritAvg</t>
        </is>
      </c>
      <c r="N1752" s="5" t="inlineStr">
        <is>
          <t>ExpectedDamage(perHit)</t>
        </is>
      </c>
      <c r="O1752" s="5" t="inlineStr">
        <is>
          <t>DPS</t>
        </is>
      </c>
      <c r="P1752" s="5" t="inlineStr">
        <is>
          <t>% of Total</t>
        </is>
      </c>
      <c r="Q1752" s="5" t="inlineStr">
        <is>
          <t>InvCooldown</t>
        </is>
      </c>
      <c r="R1752" s="5" t="inlineStr">
        <is>
          <t>CastsInFight</t>
        </is>
      </c>
      <c r="S1752" s="5" t="inlineStr">
        <is>
          <t>HitRate(perSec)</t>
        </is>
      </c>
      <c r="U1752" t="inlineStr">
        <is>
          <t>helpers</t>
        </is>
      </c>
    </row>
    <row r="1753">
      <c r="A1753">
        <f>Skills!A2</f>
        <v/>
      </c>
      <c r="B1753">
        <f>Skills!B2</f>
        <v/>
      </c>
      <c r="C1753">
        <f>Inputs!$B$3&gt;=100</f>
        <v/>
      </c>
      <c r="D1753" t="inlineStr"/>
      <c r="E1753" t="inlineStr"/>
      <c r="F1753">
        <f>U1755+Skills!O2</f>
        <v/>
      </c>
      <c r="G1753">
        <f>Skills!G2*IF(Skills!H2&gt;0,Skills!I2/Skills!H2,1)</f>
        <v/>
      </c>
      <c r="H1753">
        <f>1-(1-Skills!J2/100)^Skills!K2</f>
        <v/>
      </c>
      <c r="I1753" t="inlineStr">
        <is>
          <t>1</t>
        </is>
      </c>
      <c r="J1753">
        <f>((Inputs!$B$6*(1+Inputs!$B$7/100))+(((Inputs!$B$12*(1+Inputs!$B$13/100))-(Inputs!$B$12*(1+Inputs!$B$13/100)))+0.25*(Inputs!$B$14-Inputs!$B$14))*(1+Inputs!$B$7/100))*(F1753/100)</f>
        <v/>
      </c>
      <c r="K1753">
        <f>J1753*(1+((Inputs!$B$12*(1+Inputs!$B$13/100))*0.01+Inputs!$B$14*0.0025)/100)*(1+Inputs!$B$15/100)*(1+Inputs!$B$16/100)*(5000/(6000+Inputs!$B$42*(1-(100*(1-(1-(Inputs!$B$19+0)/100)*(1-CHOOSE(ArtifactsInput!$N$40+1,5,6,7,8,9,10)/100)^(ArtifactsInput!$M$40-ArtifactsInput!$M$40)))/100)))*(1+(Inputs!$B$24+((C1776=TRUE)*(F1776-Calc!F25))+B1786)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1772=TRUE)*(F1772-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1764=TRUE)*F1764*IF(Inputs!$B$3&gt;=110,7,5))+((C1766=TRUE)*F1766*IF(AND(Inputs!$B$38&lt;&gt;"pvp",Inputs!$B$43&gt;0),(((R1766-1)*(Skills!T15*(1+(Inputs!$B$34+(ArtifactsInput!$M$7-ArtifactsInput!$M$7)*CHOOSE(ArtifactsInput!$N$7+1,6,7.2,8.4,9.6,10.8,12))/100))+MIN((Skills!T15*(1+(Inputs!$B$34+(ArtifactsInput!$M$7-ArtifactsInput!$M$7)*CHOOSE(ArtifactsInput!$N$7+1,6,7.2,8.4,9.6,10.8,12))/100)),MAX(0,Inputs!$B$43-((R1766-1)*Skills!D15))))/Inputs!$B$43),IF(Inputs!$B$38="pvp",MIN((Skills!T15*(1+(Inputs!$B$34+(ArtifactsInput!$M$7-ArtifactsInput!$M$7)*CHOOSE(ArtifactsInput!$N$7+1,6,7.2,8.4,9.6,10.8,12))/100)),15)/15,(Skills!T15*(1+(Inputs!$B$34+(ArtifactsInput!$M$7-ArtifactsInput!$M$7)*CHOOSE(ArtifactsInput!$N$7+1,6,7.2,8.4,9.6,10.8,12))/100))/Skills!D15)))+0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Hunt"),CHOOSE(ArtifactsInput!$N$35+1,15,18,21,24,27,30)*(1-EXP(-(0.2*B1782)*5)),0)+IF(AND(ArtifactsInput!$M$22,Inputs!$B$4&lt;&gt;"Chapter Hunt"),CHOOSE(ArtifactsInput!$N$22+1,10,12,14,16,18,20)*((0*(((0.15*B1782*5))^0/1)+1*(((0.15*B1782*5))^1/1)+2*(((0.15*B1782*5))^2/2)+3*(((0.15*B1782*5))^3/6)+4*(((0.15*B1782*5))^4/24)+5*(((0.15*B1782*5))^5/120))/((((0.15*B1782*5))^0/1)+(((0.15*B1782*5))^1/1)+(((0.15*B1782*5))^2/2)+(((0.15*B1782*5))^3/6)+(((0.15*B1782*5))^4/24)+(((0.15*B1782*5))^5/120))),0)))/100)*I1753)</f>
        <v/>
      </c>
      <c r="L1753">
        <f>K1753*(MIN(Inputs!$B$22+((C1773=TRUE)*(F1773-Calc!F22)),(Inputs!$B$23+((C1775=TRUE)*(F1775-Calc!F24))+(IF(ArtifactsInput!$M$15,CHOOSE(ArtifactsInput!$N$15+1,25,30,35,40,45,50)/100*(Inputs!$B$11-Inputs!$B$11),0))))/100+(Inputs!$B$23+((C1775=TRUE)*(F1775-Calc!F24))+(IF(ArtifactsInput!$M$15,CHOOSE(ArtifactsInput!$N$15+1,25,30,35,40,45,50)/100*(Inputs!$B$11-Inputs!$B$11),0)))/100)/2</f>
        <v/>
      </c>
      <c r="M1753">
        <f>L1753*(1+(Inputs!$B$10+0+B1785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3">
        <f>L1753*(1-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1753*(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3">
        <f>(1-Summary!$B$11)*T1753+Summary!$B$11*V1753</f>
        <v/>
      </c>
      <c r="P1753">
        <f>IF(B1790=0,0,O1753/B1790)</f>
        <v/>
      </c>
      <c r="Q1753" t="n">
        <v>0</v>
      </c>
      <c r="R1753" t="n">
        <v>0</v>
      </c>
      <c r="S1753">
        <f>IFERROR(O1753/N1753,0)</f>
        <v/>
      </c>
      <c r="T1753">
        <f>IF(C1753,(Skills!G2*N1753*B1784)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1753*(1-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1753*(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1753*(1-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1753*(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3">
        <f>MAX(0,(Inputs!$B$3-100)*3)+Inputs!$B$28+Inputs!$B$29</f>
        <v/>
      </c>
      <c r="V1753">
        <f>IF(C1753,(Skills!G2*N1753*B1784)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4">
      <c r="A1754">
        <f>Skills!A3</f>
        <v/>
      </c>
      <c r="B1754">
        <f>Skills!B3</f>
        <v/>
      </c>
      <c r="C1754">
        <f>Inputs!$B$3&gt;=50</f>
        <v/>
      </c>
      <c r="D1754">
        <f>IF(Skills!C3=1,60+Inputs!$B$25+Inputs!$B$29,IF(Skills!C3=2,90+Inputs!$B$26+Inputs!$B$29,IF(Skills!C3=3,120+Inputs!$B$27+Inputs!$B$29,MAX(0,(Inputs!$B$3-100)*3)+Inputs!$B$28+Inputs!$B$29)))</f>
        <v/>
      </c>
      <c r="E1754">
        <f>INDEX(FactorTable!$B$2:$Y$301, MATCH(ROUND(MIN(300,MAX(1,D1754)),0), FactorTable!$A$2:$A$301,0), Skills!M3+1)</f>
        <v/>
      </c>
      <c r="F1754">
        <f>IF(Skills!N3=TRUE,(Skills!L3/10)*(E1754/1000),Skills!L3/10)+Skills!O3</f>
        <v/>
      </c>
      <c r="G1754" t="inlineStr"/>
      <c r="H1754" t="inlineStr"/>
      <c r="I1754" t="inlineStr">
        <is>
          <t>1</t>
        </is>
      </c>
      <c r="J1754" t="inlineStr"/>
      <c r="K1754" t="inlineStr"/>
      <c r="L1754" t="inlineStr"/>
      <c r="M1754" t="inlineStr"/>
      <c r="N1754" t="inlineStr"/>
      <c r="O1754" t="inlineStr"/>
      <c r="P1754" t="inlineStr"/>
      <c r="Q1754" t="inlineStr"/>
      <c r="R1754" t="inlineStr"/>
      <c r="S1754" t="inlineStr"/>
      <c r="U1754">
        <f>INDEX(FactorTable!$B$2:$Y$301, MATCH(ROUND(MIN(300,MAX(1,U1753)),0), FactorTable!$A$2:$A$301,0), 22)</f>
        <v/>
      </c>
    </row>
    <row r="1755">
      <c r="A1755">
        <f>Skills!A4</f>
        <v/>
      </c>
      <c r="B1755">
        <f>Skills!B4</f>
        <v/>
      </c>
      <c r="C1755">
        <f>Inputs!$B$3&gt;=105</f>
        <v/>
      </c>
      <c r="D1755">
        <f>IF(Skills!C4=1,60+Inputs!$B$25+Inputs!$B$29,IF(Skills!C4=2,90+Inputs!$B$26+Inputs!$B$29,IF(Skills!C4=3,120+Inputs!$B$27+Inputs!$B$29,MAX(0,(Inputs!$B$3-100)*3)+Inputs!$B$28+Inputs!$B$29)))</f>
        <v/>
      </c>
      <c r="E1755">
        <f>INDEX(FactorTable!$B$2:$Y$301, MATCH(ROUND(MIN(300,MAX(1,D1755)),0), FactorTable!$A$2:$A$301,0), Skills!M4+1)</f>
        <v/>
      </c>
      <c r="F1755">
        <f>IF(Skills!N4=TRUE,(Skills!L4/10)*(E1755/1000),Skills!L4/10)+Skills!O4</f>
        <v/>
      </c>
      <c r="G1755" t="inlineStr"/>
      <c r="H1755" t="inlineStr"/>
      <c r="I1755" t="inlineStr">
        <is>
          <t>1</t>
        </is>
      </c>
      <c r="J1755" t="inlineStr"/>
      <c r="K1755" t="inlineStr"/>
      <c r="L1755" t="inlineStr"/>
      <c r="M1755" t="inlineStr"/>
      <c r="N1755" t="inlineStr"/>
      <c r="O1755" t="inlineStr"/>
      <c r="P1755" t="inlineStr"/>
      <c r="Q1755" t="inlineStr"/>
      <c r="R1755" t="inlineStr"/>
      <c r="S1755" t="inlineStr"/>
      <c r="U1755">
        <f>290*U1754/1000</f>
        <v/>
      </c>
    </row>
    <row r="1756">
      <c r="A1756">
        <f>Skills!A5</f>
        <v/>
      </c>
      <c r="B1756">
        <f>Skills!B5</f>
        <v/>
      </c>
      <c r="C1756">
        <f>Inputs!$B$3&gt;=103</f>
        <v/>
      </c>
      <c r="D1756">
        <f>IF(Skills!C5=1,60+Inputs!$B$25+Inputs!$B$29,IF(Skills!C5=2,90+Inputs!$B$26+Inputs!$B$29,IF(Skills!C5=3,120+Inputs!$B$27+Inputs!$B$29,MAX(0,(Inputs!$B$3-100)*3)+Inputs!$B$28+Inputs!$B$29)))</f>
        <v/>
      </c>
      <c r="E1756">
        <f>INDEX(FactorTable!$B$2:$Y$301, MATCH(ROUND(MIN(300,MAX(1,D1756)),0), FactorTable!$A$2:$A$301,0), Skills!M5+1)</f>
        <v/>
      </c>
      <c r="F1756">
        <f>IF(Skills!N5=TRUE,(Skills!L5/10)*(E1756/1000),Skills!L5/10)+Skills!O5</f>
        <v/>
      </c>
      <c r="G1756">
        <f>Skills!G5*IF(Skills!H5&gt;0,Skills!I5/Skills!H5,1)</f>
        <v/>
      </c>
      <c r="H1756">
        <f>1-(1-Skills!J5/100)^Skills!K5</f>
        <v/>
      </c>
      <c r="I1756" t="inlineStr">
        <is>
          <t>1</t>
        </is>
      </c>
      <c r="J1756">
        <f>((Inputs!$B$6*(1+Inputs!$B$7/100))+(((Inputs!$B$12*(1+Inputs!$B$13/100))-(Inputs!$B$12*(1+Inputs!$B$13/100)))+0.25*(Inputs!$B$14-Inputs!$B$14))*(1+Inputs!$B$7/100))*(F1756/100)</f>
        <v/>
      </c>
      <c r="K1756">
        <f>J1756*(1+((Inputs!$B$12*(1+Inputs!$B$13/100))*0.01+Inputs!$B$14*0.0025)/100)*(1+Inputs!$B$15/100)*(1+Inputs!$B$16/100)*(5000/(6000+Inputs!$B$42*(1-(100*(1-(1-(Inputs!$B$19+0)/100)*(1-CHOOSE(ArtifactsInput!$N$40+1,5,6,7,8,9,10)/100)^(ArtifactsInput!$M$40-ArtifactsInput!$M$40)))/100)))*(1+(Inputs!$B$24+((C1776=TRUE)*(F1776-Calc!F25))+B1786)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1772=TRUE)*(F1772-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1764=TRUE)*F1764*IF(Inputs!$B$3&gt;=110,7,5))+((C1766=TRUE)*F1766*IF(AND(Inputs!$B$38&lt;&gt;"pvp",Inputs!$B$43&gt;0),(((R1766-1)*(Skills!T15*(1+(Inputs!$B$34+(ArtifactsInput!$M$7-ArtifactsInput!$M$7)*CHOOSE(ArtifactsInput!$N$7+1,6,7.2,8.4,9.6,10.8,12))/100))+MIN((Skills!T15*(1+(Inputs!$B$34+(ArtifactsInput!$M$7-ArtifactsInput!$M$7)*CHOOSE(ArtifactsInput!$N$7+1,6,7.2,8.4,9.6,10.8,12))/100)),MAX(0,Inputs!$B$43-((R1766-1)*Skills!D15))))/Inputs!$B$43),IF(Inputs!$B$38="pvp",MIN((Skills!T15*(1+(Inputs!$B$34+(ArtifactsInput!$M$7-ArtifactsInput!$M$7)*CHOOSE(ArtifactsInput!$N$7+1,6,7.2,8.4,9.6,10.8,12))/100)),15)/15,(Skills!T15*(1+(Inputs!$B$34+(ArtifactsInput!$M$7-ArtifactsInput!$M$7)*CHOOSE(ArtifactsInput!$N$7+1,6,7.2,8.4,9.6,10.8,12))/100))/Skills!D15)))+0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Hunt"),CHOOSE(ArtifactsInput!$N$35+1,15,18,21,24,27,30)*(1-EXP(-(0.2*B1782)*5)),0)+IF(AND(ArtifactsInput!$M$22,Inputs!$B$4&lt;&gt;"Chapter Hunt"),CHOOSE(ArtifactsInput!$N$22+1,10,12,14,16,18,20)*((0*(((0.15*B1782*5))^0/1)+1*(((0.15*B1782*5))^1/1)+2*(((0.15*B1782*5))^2/2)+3*(((0.15*B1782*5))^3/6)+4*(((0.15*B1782*5))^4/24)+5*(((0.15*B1782*5))^5/120))/((((0.15*B1782*5))^0/1)+(((0.15*B1782*5))^1/1)+(((0.15*B1782*5))^2/2)+(((0.15*B1782*5))^3/6)+(((0.15*B1782*5))^4/24)+(((0.15*B1782*5))^5/120))),0)))/100)*I1756)</f>
        <v/>
      </c>
      <c r="L1756">
        <f>K1756*(MIN(Inputs!$B$22+((C1773=TRUE)*(F1773-Calc!F22)),(Inputs!$B$23+((C1775=TRUE)*(F1775-Calc!F24))+(IF(ArtifactsInput!$M$15,CHOOSE(ArtifactsInput!$N$15+1,25,30,35,40,45,50)/100*(Inputs!$B$11-Inputs!$B$11),0))))/100+(Inputs!$B$23+((C1775=TRUE)*(F1775-Calc!F24))+(IF(ArtifactsInput!$M$15,CHOOSE(ArtifactsInput!$N$15+1,25,30,35,40,45,50)/100*(Inputs!$B$11-Inputs!$B$11),0)))/100)/2</f>
        <v/>
      </c>
      <c r="M1756">
        <f>L1756*(1+(Inputs!$B$10+0+B1785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6">
        <f>L1756*(1-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1756*(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6">
        <f>(1-Summary!$B$11)*T1756+Summary!$B$11*V1756</f>
        <v/>
      </c>
      <c r="P1756">
        <f>IF(B1790=0,0,O1756/B1790)</f>
        <v/>
      </c>
      <c r="Q1756">
        <f>IFERROR(1/(IF(Inputs!$B$38="pvp",15,MAX(0.1,Skills!D5-IF(Skills!E5=TRUE,Inputs!$B$32,0)))*(1-IF(AND(ArtifactsInput!$M$27,Inputs!$B$4="Chapter Hunt"),CHOOSE(ArtifactsInput!$N$27+1,20,24,28,32,36,40),0)/100)),0)</f>
        <v/>
      </c>
      <c r="R1756">
        <f>IF(AND(Inputs!$B$38&lt;&gt;"pvp",Inputs!$B$43&gt;0),IF(MAX(0,Inputs!$B$43-B1787)&lt;=0,0,(INT(MAX(0,Inputs!$B$43-B1787)/(IF(Inputs!$B$38="pvp",15,MAX(0.1,Skills!D5-IF(Skills!E5=TRUE,Inputs!$B$32,0)))*(1-IF(AND(ArtifactsInput!$M$27,Inputs!$B$4="Chapter Hunt"),CHOOSE(ArtifactsInput!$N$27+1,20,24,28,32,36,40),0)/100)))+1)),0)</f>
        <v/>
      </c>
      <c r="S1756">
        <f>IFERROR(O1756/N1756,0)</f>
        <v/>
      </c>
      <c r="T1756">
        <f>IF(C1756,(H1756*N1756*IF(AND(Inputs!$B$38&lt;&gt;"pvp",Inputs!$B$43&gt;0),((Skills!G5*((R1756-1)*IF(Skills!H5&gt;0,Skills!I5/Skills!H5,1)+IF(Skills!H5&gt;0,MIN(Skills!I5,MAX(0,MAX(0,Inputs!$B$43-B1787)-((R1756-1)*(IF(Inputs!$B$38="pvp",15,MAX(0.1,Skills!D5-IF(Skills!E5=TRUE,Inputs!$B$32,0)))*(1-IF(AND(ArtifactsInput!$M$27,Inputs!$B$4="Chapter Hunt"),CHOOSE(ArtifactsInput!$N$27+1,20,24,28,32,36,40),0)/100)))))/Skills!H5,1)))/Inputs!$B$43),G1756*Q1756)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1756*(1-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1756*(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1756*(1-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1756*(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56">
        <f>IF(C1756,(H1756*N1756*IF(AND(Inputs!$B$38&lt;&gt;"pvp",Inputs!$B$43&gt;0),((Skills!G5*((R1756-1)*IF(Skills!H5&gt;0,Skills!I5/Skills!H5,1)+IF(Skills!H5&gt;0,MIN(Skills!I5,MAX(0,MAX(0,Inputs!$B$43-B1787)-((R1756-1)*(IF(Inputs!$B$38="pvp",15,MAX(0.1,Skills!D5-IF(Skills!E5=TRUE,Inputs!$B$32,0)))*(1-IF(AND(ArtifactsInput!$M$27,Inputs!$B$4="Chapter Hunt"),CHOOSE(ArtifactsInput!$N$27+1,20,24,28,32,36,40),0)/100)))))/Skills!H5,1)))/Inputs!$B$43),G1756*Q1756)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7">
      <c r="A1757">
        <f>Skills!A6</f>
        <v/>
      </c>
      <c r="B1757">
        <f>Skills!B6</f>
        <v/>
      </c>
      <c r="C1757">
        <f>Inputs!$B$3&gt;=103</f>
        <v/>
      </c>
      <c r="D1757">
        <f>IF(Skills!C6=1,60+Inputs!$B$25+Inputs!$B$29,IF(Skills!C6=2,90+Inputs!$B$26+Inputs!$B$29,IF(Skills!C6=3,120+Inputs!$B$27+Inputs!$B$29,MAX(0,(Inputs!$B$3-100)*3)+Inputs!$B$28+Inputs!$B$29)))</f>
        <v/>
      </c>
      <c r="E1757">
        <f>INDEX(FactorTable!$B$2:$Y$301, MATCH(ROUND(MIN(300,MAX(1,D1757)),0), FactorTable!$A$2:$A$301,0), Skills!M6+1)</f>
        <v/>
      </c>
      <c r="F1757">
        <f>IF(Skills!N6=TRUE,(Skills!L6/10)*(E1757/1000),Skills!L6/10)+Skills!O6</f>
        <v/>
      </c>
      <c r="G1757">
        <f>Skills!G6*IF(Skills!H6&gt;0,Skills!I6/Skills!H6,1)</f>
        <v/>
      </c>
      <c r="H1757">
        <f>1-(1-Skills!J6/100)^Skills!K6</f>
        <v/>
      </c>
      <c r="I1757" t="inlineStr">
        <is>
          <t>1</t>
        </is>
      </c>
      <c r="J1757">
        <f>((Inputs!$B$6*(1+Inputs!$B$7/100))+(((Inputs!$B$12*(1+Inputs!$B$13/100))-(Inputs!$B$12*(1+Inputs!$B$13/100)))+0.25*(Inputs!$B$14-Inputs!$B$14))*(1+Inputs!$B$7/100))*(F1757/100)</f>
        <v/>
      </c>
      <c r="K1757">
        <f>J1757*(1+((Inputs!$B$12*(1+Inputs!$B$13/100))*0.01+Inputs!$B$14*0.0025)/100)*(1+Inputs!$B$15/100)*(1+Inputs!$B$16/100)*(5000/(6000+Inputs!$B$42*(1-(100*(1-(1-(Inputs!$B$19+0)/100)*(1-CHOOSE(ArtifactsInput!$N$40+1,5,6,7,8,9,10)/100)^(ArtifactsInput!$M$40-ArtifactsInput!$M$40)))/100)))*(1+(Inputs!$B$24+((C1776=TRUE)*(F1776-Calc!F25))+B1786)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1772=TRUE)*(F1772-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1764=TRUE)*F1764*IF(Inputs!$B$3&gt;=110,7,5))+((C1766=TRUE)*F1766*IF(AND(Inputs!$B$38&lt;&gt;"pvp",Inputs!$B$43&gt;0),(((R1766-1)*(Skills!T15*(1+(Inputs!$B$34+(ArtifactsInput!$M$7-ArtifactsInput!$M$7)*CHOOSE(ArtifactsInput!$N$7+1,6,7.2,8.4,9.6,10.8,12))/100))+MIN((Skills!T15*(1+(Inputs!$B$34+(ArtifactsInput!$M$7-ArtifactsInput!$M$7)*CHOOSE(ArtifactsInput!$N$7+1,6,7.2,8.4,9.6,10.8,12))/100)),MAX(0,Inputs!$B$43-((R1766-1)*Skills!D15))))/Inputs!$B$43),IF(Inputs!$B$38="pvp",MIN((Skills!T15*(1+(Inputs!$B$34+(ArtifactsInput!$M$7-ArtifactsInput!$M$7)*CHOOSE(ArtifactsInput!$N$7+1,6,7.2,8.4,9.6,10.8,12))/100)),15)/15,(Skills!T15*(1+(Inputs!$B$34+(ArtifactsInput!$M$7-ArtifactsInput!$M$7)*CHOOSE(ArtifactsInput!$N$7+1,6,7.2,8.4,9.6,10.8,12))/100))/Skills!D15)))+0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Hunt"),CHOOSE(ArtifactsInput!$N$35+1,15,18,21,24,27,30)*(1-EXP(-(0.2*B1782)*5)),0)+IF(AND(ArtifactsInput!$M$22,Inputs!$B$4&lt;&gt;"Chapter Hunt"),CHOOSE(ArtifactsInput!$N$22+1,10,12,14,16,18,20)*((0*(((0.15*B1782*5))^0/1)+1*(((0.15*B1782*5))^1/1)+2*(((0.15*B1782*5))^2/2)+3*(((0.15*B1782*5))^3/6)+4*(((0.15*B1782*5))^4/24)+5*(((0.15*B1782*5))^5/120))/((((0.15*B1782*5))^0/1)+(((0.15*B1782*5))^1/1)+(((0.15*B1782*5))^2/2)+(((0.15*B1782*5))^3/6)+(((0.15*B1782*5))^4/24)+(((0.15*B1782*5))^5/120))),0)))/100)*I1757)</f>
        <v/>
      </c>
      <c r="L1757">
        <f>K1757*(MIN(Inputs!$B$22+((C1773=TRUE)*(F1773-Calc!F22)),(Inputs!$B$23+((C1775=TRUE)*(F1775-Calc!F24))+(IF(ArtifactsInput!$M$15,CHOOSE(ArtifactsInput!$N$15+1,25,30,35,40,45,50)/100*(Inputs!$B$11-Inputs!$B$11),0))))/100+(Inputs!$B$23+((C1775=TRUE)*(F1775-Calc!F24))+(IF(ArtifactsInput!$M$15,CHOOSE(ArtifactsInput!$N$15+1,25,30,35,40,45,50)/100*(Inputs!$B$11-Inputs!$B$11),0)))/100)/2</f>
        <v/>
      </c>
      <c r="M1757">
        <f>L1757*(1+(Inputs!$B$10+0+B1785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7">
        <f>L1757*(1-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1757*(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7">
        <f>(1-Summary!$B$11)*T1757+Summary!$B$11*V1757</f>
        <v/>
      </c>
      <c r="P1757">
        <f>IF(B1790=0,0,O1757/B1790)</f>
        <v/>
      </c>
      <c r="Q1757">
        <f>IFERROR(1/(IF(Inputs!$B$38="pvp",15,MAX(0.1,Skills!D6-IF(Skills!E6=TRUE,Inputs!$B$32,0)))*(1-IF(AND(ArtifactsInput!$M$27,Inputs!$B$4="Chapter Hunt"),CHOOSE(ArtifactsInput!$N$27+1,20,24,28,32,36,40),0)/100)),0)</f>
        <v/>
      </c>
      <c r="R1757">
        <f>IF(AND(Inputs!$B$38&lt;&gt;"pvp",Inputs!$B$43&gt;0),IF(MAX(0,Inputs!$B$43-B1787)&lt;=0,0,(INT(MAX(0,Inputs!$B$43-B1787)/(IF(Inputs!$B$38="pvp",15,MAX(0.1,Skills!D6-IF(Skills!E6=TRUE,Inputs!$B$32,0)))*(1-IF(AND(ArtifactsInput!$M$27,Inputs!$B$4="Chapter Hunt"),CHOOSE(ArtifactsInput!$N$27+1,20,24,28,32,36,40),0)/100)))+1)),0)</f>
        <v/>
      </c>
      <c r="S1757">
        <f>IFERROR(O1757/N1757,0)</f>
        <v/>
      </c>
      <c r="T1757">
        <f>IF(C1757,(H1757*N1757*IF(AND(Inputs!$B$38&lt;&gt;"pvp",Inputs!$B$43&gt;0),((Skills!G6*((R1757-1)*IF(Skills!H6&gt;0,Skills!I6/Skills!H6,1)+IF(Skills!H6&gt;0,MIN(Skills!I6,MAX(0,MAX(0,Inputs!$B$43-B1787)-((R1757-1)*(IF(Inputs!$B$38="pvp",15,MAX(0.1,Skills!D6-IF(Skills!E6=TRUE,Inputs!$B$32,0)))*(1-IF(AND(ArtifactsInput!$M$27,Inputs!$B$4="Chapter Hunt"),CHOOSE(ArtifactsInput!$N$27+1,20,24,28,32,36,40),0)/100)))))/Skills!H6,1)))/Inputs!$B$43),G1757*Q1757)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1757*(1-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1757*(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1757*(1-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1757*(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57">
        <f>IF(C1757,(H1757*N1757*IF(AND(Inputs!$B$38&lt;&gt;"pvp",Inputs!$B$43&gt;0),((Skills!G6*((R1757-1)*IF(Skills!H6&gt;0,Skills!I6/Skills!H6,1)+IF(Skills!H6&gt;0,MIN(Skills!I6,MAX(0,MAX(0,Inputs!$B$43-B1787)-((R1757-1)*(IF(Inputs!$B$38="pvp",15,MAX(0.1,Skills!D6-IF(Skills!E6=TRUE,Inputs!$B$32,0)))*(1-IF(AND(ArtifactsInput!$M$27,Inputs!$B$4="Chapter Hunt"),CHOOSE(ArtifactsInput!$N$27+1,20,24,28,32,36,40),0)/100)))))/Skills!H6,1)))/Inputs!$B$43),G1757*Q1757)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8">
      <c r="A1758">
        <f>Skills!A7</f>
        <v/>
      </c>
      <c r="B1758">
        <f>Skills!B7</f>
        <v/>
      </c>
      <c r="C1758">
        <f>Inputs!$B$3&gt;=107</f>
        <v/>
      </c>
      <c r="D1758">
        <f>IF(Skills!C7=1,60+Inputs!$B$25+Inputs!$B$29,IF(Skills!C7=2,90+Inputs!$B$26+Inputs!$B$29,IF(Skills!C7=3,120+Inputs!$B$27+Inputs!$B$29,MAX(0,(Inputs!$B$3-100)*3)+Inputs!$B$28+Inputs!$B$29)))</f>
        <v/>
      </c>
      <c r="E1758">
        <f>INDEX(FactorTable!$B$2:$Y$301, MATCH(ROUND(MIN(300,MAX(1,D1758)),0), FactorTable!$A$2:$A$301,0), Skills!M7+1)</f>
        <v/>
      </c>
      <c r="F1758">
        <f>IF(Skills!N7=TRUE,(Skills!L7/10)*(E1758/1000),Skills!L7/10)+Skills!O7</f>
        <v/>
      </c>
      <c r="G1758">
        <f>Skills!G7*IF(Skills!H7&gt;0,Skills!I7/Skills!H7,1)</f>
        <v/>
      </c>
      <c r="H1758">
        <f>1-(1-Skills!J7/100)^Skills!K7</f>
        <v/>
      </c>
      <c r="I1758" t="inlineStr">
        <is>
          <t>1</t>
        </is>
      </c>
      <c r="J1758">
        <f>((Inputs!$B$6*(1+Inputs!$B$7/100))+(((Inputs!$B$12*(1+Inputs!$B$13/100))-(Inputs!$B$12*(1+Inputs!$B$13/100)))+0.25*(Inputs!$B$14-Inputs!$B$14))*(1+Inputs!$B$7/100))*(F1758/100)</f>
        <v/>
      </c>
      <c r="K1758">
        <f>J1758*(1+((Inputs!$B$12*(1+Inputs!$B$13/100))*0.01+Inputs!$B$14*0.0025)/100)*(1+Inputs!$B$15/100)*(1+Inputs!$B$16/100)*(5000/(6000+Inputs!$B$42*(1-(100*(1-(1-(Inputs!$B$19+0)/100)*(1-CHOOSE(ArtifactsInput!$N$40+1,5,6,7,8,9,10)/100)^(ArtifactsInput!$M$40-ArtifactsInput!$M$40)))/100)))*(1+(Inputs!$B$24+((C1776=TRUE)*(F1776-Calc!F25))+B1786)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1772=TRUE)*(F1772-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1764=TRUE)*F1764*IF(Inputs!$B$3&gt;=110,7,5))+((C1766=TRUE)*F1766*IF(AND(Inputs!$B$38&lt;&gt;"pvp",Inputs!$B$43&gt;0),(((R1766-1)*(Skills!T15*(1+(Inputs!$B$34+(ArtifactsInput!$M$7-ArtifactsInput!$M$7)*CHOOSE(ArtifactsInput!$N$7+1,6,7.2,8.4,9.6,10.8,12))/100))+MIN((Skills!T15*(1+(Inputs!$B$34+(ArtifactsInput!$M$7-ArtifactsInput!$M$7)*CHOOSE(ArtifactsInput!$N$7+1,6,7.2,8.4,9.6,10.8,12))/100)),MAX(0,Inputs!$B$43-((R1766-1)*Skills!D15))))/Inputs!$B$43),IF(Inputs!$B$38="pvp",MIN((Skills!T15*(1+(Inputs!$B$34+(ArtifactsInput!$M$7-ArtifactsInput!$M$7)*CHOOSE(ArtifactsInput!$N$7+1,6,7.2,8.4,9.6,10.8,12))/100)),15)/15,(Skills!T15*(1+(Inputs!$B$34+(ArtifactsInput!$M$7-ArtifactsInput!$M$7)*CHOOSE(ArtifactsInput!$N$7+1,6,7.2,8.4,9.6,10.8,12))/100))/Skills!D15)))+0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Hunt"),CHOOSE(ArtifactsInput!$N$35+1,15,18,21,24,27,30)*(1-EXP(-(0.2*B1782)*5)),0)+IF(AND(ArtifactsInput!$M$22,Inputs!$B$4&lt;&gt;"Chapter Hunt"),CHOOSE(ArtifactsInput!$N$22+1,10,12,14,16,18,20)*((0*(((0.15*B1782*5))^0/1)+1*(((0.15*B1782*5))^1/1)+2*(((0.15*B1782*5))^2/2)+3*(((0.15*B1782*5))^3/6)+4*(((0.15*B1782*5))^4/24)+5*(((0.15*B1782*5))^5/120))/((((0.15*B1782*5))^0/1)+(((0.15*B1782*5))^1/1)+(((0.15*B1782*5))^2/2)+(((0.15*B1782*5))^3/6)+(((0.15*B1782*5))^4/24)+(((0.15*B1782*5))^5/120))),0)))/100)*I1758)</f>
        <v/>
      </c>
      <c r="L1758">
        <f>K1758*(MIN(Inputs!$B$22+((C1773=TRUE)*(F1773-Calc!F22)),(Inputs!$B$23+((C1775=TRUE)*(F1775-Calc!F24))+(IF(ArtifactsInput!$M$15,CHOOSE(ArtifactsInput!$N$15+1,25,30,35,40,45,50)/100*(Inputs!$B$11-Inputs!$B$11),0))))/100+(Inputs!$B$23+((C1775=TRUE)*(F1775-Calc!F24))+(IF(ArtifactsInput!$M$15,CHOOSE(ArtifactsInput!$N$15+1,25,30,35,40,45,50)/100*(Inputs!$B$11-Inputs!$B$11),0)))/100)/2</f>
        <v/>
      </c>
      <c r="M1758">
        <f>L1758*(1+(Inputs!$B$10+0+B1785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8">
        <f>L1758*(1-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1758*(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8">
        <f>(1-Summary!$B$11)*T1758+Summary!$B$11*V1758</f>
        <v/>
      </c>
      <c r="P1758">
        <f>IF(B1790=0,0,O1758/B1790)</f>
        <v/>
      </c>
      <c r="Q1758">
        <f>IFERROR(1/(IF(Inputs!$B$38="pvp",15,MAX(0.1,Skills!D7-IF(Skills!E7=TRUE,Inputs!$B$32,0)))*(1-IF(AND(ArtifactsInput!$M$27,Inputs!$B$4="Chapter Hunt"),CHOOSE(ArtifactsInput!$N$27+1,20,24,28,32,36,40),0)/100)),0)</f>
        <v/>
      </c>
      <c r="R1758">
        <f>IF(AND(Inputs!$B$38&lt;&gt;"pvp",Inputs!$B$43&gt;0),IF(MAX(0,Inputs!$B$43-B1787)&lt;=0,0,(INT(MAX(0,Inputs!$B$43-B1787)/(IF(Inputs!$B$38="pvp",15,MAX(0.1,Skills!D7-IF(Skills!E7=TRUE,Inputs!$B$32,0)))*(1-IF(AND(ArtifactsInput!$M$27,Inputs!$B$4="Chapter Hunt"),CHOOSE(ArtifactsInput!$N$27+1,20,24,28,32,36,40),0)/100)))+1)),0)</f>
        <v/>
      </c>
      <c r="S1758">
        <f>IFERROR(O1758/N1758,0)</f>
        <v/>
      </c>
      <c r="T1758">
        <f>IF(C1758,(H1758*N1758*IF(AND(Inputs!$B$38&lt;&gt;"pvp",Inputs!$B$43&gt;0),((Skills!G7*((R1758-1)*IF(Skills!H7&gt;0,Skills!I7/Skills!H7,1)+IF(Skills!H7&gt;0,MIN(Skills!I7,MAX(0,MAX(0,Inputs!$B$43-B1787)-((R1758-1)*(IF(Inputs!$B$38="pvp",15,MAX(0.1,Skills!D7-IF(Skills!E7=TRUE,Inputs!$B$32,0)))*(1-IF(AND(ArtifactsInput!$M$27,Inputs!$B$4="Chapter Hunt"),CHOOSE(ArtifactsInput!$N$27+1,20,24,28,32,36,40),0)/100)))))/Skills!H7,1)))/Inputs!$B$43),G1758*Q1758)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1758*(1-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1758*(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1758*(1-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1758*(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58">
        <f>IF(C1758,(H1758*N1758*IF(AND(Inputs!$B$38&lt;&gt;"pvp",Inputs!$B$43&gt;0),((Skills!G7*((R1758-1)*IF(Skills!H7&gt;0,Skills!I7/Skills!H7,1)+IF(Skills!H7&gt;0,MIN(Skills!I7,MAX(0,MAX(0,Inputs!$B$43-B1787)-((R1758-1)*(IF(Inputs!$B$38="pvp",15,MAX(0.1,Skills!D7-IF(Skills!E7=TRUE,Inputs!$B$32,0)))*(1-IF(AND(ArtifactsInput!$M$27,Inputs!$B$4="Chapter Hunt"),CHOOSE(ArtifactsInput!$N$27+1,20,24,28,32,36,40),0)/100)))))/Skills!H7,1)))/Inputs!$B$43),G1758*Q1758)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9">
      <c r="A1759">
        <f>Skills!A8</f>
        <v/>
      </c>
      <c r="B1759">
        <f>Skills!B8</f>
        <v/>
      </c>
      <c r="C1759">
        <f>Inputs!$B$3&gt;=117</f>
        <v/>
      </c>
      <c r="D1759">
        <f>IF(Skills!C8=1,60+Inputs!$B$25+Inputs!$B$29,IF(Skills!C8=2,90+Inputs!$B$26+Inputs!$B$29,IF(Skills!C8=3,120+Inputs!$B$27+Inputs!$B$29,MAX(0,(Inputs!$B$3-100)*3)+Inputs!$B$28+Inputs!$B$29)))</f>
        <v/>
      </c>
      <c r="E1759">
        <f>INDEX(FactorTable!$B$2:$Y$301, MATCH(ROUND(MIN(300,MAX(1,D1759)),0), FactorTable!$A$2:$A$301,0), Skills!M8+1)</f>
        <v/>
      </c>
      <c r="F1759">
        <f>IF(Skills!N8=TRUE,(Skills!L8/10)*(E1759/1000),Skills!L8/10)+Skills!O8</f>
        <v/>
      </c>
      <c r="G1759">
        <f>Skills!G8*IF(Skills!H8&gt;0,Skills!I8/Skills!H8,1)</f>
        <v/>
      </c>
      <c r="H1759">
        <f>1-(1-Skills!J8/100)^Skills!K8</f>
        <v/>
      </c>
      <c r="I1759" t="inlineStr">
        <is>
          <t>1</t>
        </is>
      </c>
      <c r="J1759">
        <f>((Inputs!$B$6*(1+Inputs!$B$7/100))+(((Inputs!$B$12*(1+Inputs!$B$13/100))-(Inputs!$B$12*(1+Inputs!$B$13/100)))+0.25*(Inputs!$B$14-Inputs!$B$14))*(1+Inputs!$B$7/100))*(F1759/100)</f>
        <v/>
      </c>
      <c r="K1759">
        <f>J1759*(1+((Inputs!$B$12*(1+Inputs!$B$13/100))*0.01+Inputs!$B$14*0.0025)/100)*(1+Inputs!$B$15/100)*(1+Inputs!$B$16/100)*(5000/(6000+Inputs!$B$42*(1-(100*(1-(1-(Inputs!$B$19+0)/100)*(1-CHOOSE(ArtifactsInput!$N$40+1,5,6,7,8,9,10)/100)^(ArtifactsInput!$M$40-ArtifactsInput!$M$40)))/100)))*(1+(Inputs!$B$24+((C1776=TRUE)*(F1776-Calc!F25))+B1786)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1772=TRUE)*(F1772-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1764=TRUE)*F1764*IF(Inputs!$B$3&gt;=110,7,5))+((C1766=TRUE)*F1766*IF(AND(Inputs!$B$38&lt;&gt;"pvp",Inputs!$B$43&gt;0),(((R1766-1)*(Skills!T15*(1+(Inputs!$B$34+(ArtifactsInput!$M$7-ArtifactsInput!$M$7)*CHOOSE(ArtifactsInput!$N$7+1,6,7.2,8.4,9.6,10.8,12))/100))+MIN((Skills!T15*(1+(Inputs!$B$34+(ArtifactsInput!$M$7-ArtifactsInput!$M$7)*CHOOSE(ArtifactsInput!$N$7+1,6,7.2,8.4,9.6,10.8,12))/100)),MAX(0,Inputs!$B$43-((R1766-1)*Skills!D15))))/Inputs!$B$43),IF(Inputs!$B$38="pvp",MIN((Skills!T15*(1+(Inputs!$B$34+(ArtifactsInput!$M$7-ArtifactsInput!$M$7)*CHOOSE(ArtifactsInput!$N$7+1,6,7.2,8.4,9.6,10.8,12))/100)),15)/15,(Skills!T15*(1+(Inputs!$B$34+(ArtifactsInput!$M$7-ArtifactsInput!$M$7)*CHOOSE(ArtifactsInput!$N$7+1,6,7.2,8.4,9.6,10.8,12))/100))/Skills!D15)))+0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Hunt"),CHOOSE(ArtifactsInput!$N$35+1,15,18,21,24,27,30)*(1-EXP(-(0.2*B1782)*5)),0)+IF(AND(ArtifactsInput!$M$22,Inputs!$B$4&lt;&gt;"Chapter Hunt"),CHOOSE(ArtifactsInput!$N$22+1,10,12,14,16,18,20)*((0*(((0.15*B1782*5))^0/1)+1*(((0.15*B1782*5))^1/1)+2*(((0.15*B1782*5))^2/2)+3*(((0.15*B1782*5))^3/6)+4*(((0.15*B1782*5))^4/24)+5*(((0.15*B1782*5))^5/120))/((((0.15*B1782*5))^0/1)+(((0.15*B1782*5))^1/1)+(((0.15*B1782*5))^2/2)+(((0.15*B1782*5))^3/6)+(((0.15*B1782*5))^4/24)+(((0.15*B1782*5))^5/120))),0)))/100)*I1759)</f>
        <v/>
      </c>
      <c r="L1759">
        <f>K1759*(MIN(Inputs!$B$22+((C1773=TRUE)*(F1773-Calc!F22)),(Inputs!$B$23+((C1775=TRUE)*(F1775-Calc!F24))+(IF(ArtifactsInput!$M$15,CHOOSE(ArtifactsInput!$N$15+1,25,30,35,40,45,50)/100*(Inputs!$B$11-Inputs!$B$11),0))))/100+(Inputs!$B$23+((C1775=TRUE)*(F1775-Calc!F24))+(IF(ArtifactsInput!$M$15,CHOOSE(ArtifactsInput!$N$15+1,25,30,35,40,45,50)/100*(Inputs!$B$11-Inputs!$B$11),0)))/100)/2</f>
        <v/>
      </c>
      <c r="M1759">
        <f>L1759*(1+(Inputs!$B$10+0+B1785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9">
        <f>L1759*(1-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1759*(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9">
        <f>(1-Summary!$B$11)*T1759+Summary!$B$11*V1759</f>
        <v/>
      </c>
      <c r="P1759">
        <f>IF(B1790=0,0,O1759/B1790)</f>
        <v/>
      </c>
      <c r="Q1759">
        <f>IFERROR(1/(IF(Inputs!$B$38="pvp",15,MAX(0.1,Skills!D8-IF(Skills!E8=TRUE,Inputs!$B$32,0)))*(1-IF(AND(ArtifactsInput!$M$27,Inputs!$B$4="Chapter Hunt"),CHOOSE(ArtifactsInput!$N$27+1,20,24,28,32,36,40),0)/100)),0)</f>
        <v/>
      </c>
      <c r="R1759">
        <f>IF(AND(Inputs!$B$38&lt;&gt;"pvp",Inputs!$B$43&gt;0),IF(MAX(0,Inputs!$B$43-B1787)&lt;=0,0,(INT(MAX(0,Inputs!$B$43-B1787)/(IF(Inputs!$B$38="pvp",15,MAX(0.1,Skills!D8-IF(Skills!E8=TRUE,Inputs!$B$32,0)))*(1-IF(AND(ArtifactsInput!$M$27,Inputs!$B$4="Chapter Hunt"),CHOOSE(ArtifactsInput!$N$27+1,20,24,28,32,36,40),0)/100)))+1)),0)</f>
        <v/>
      </c>
      <c r="S1759">
        <f>IFERROR(O1759/N1759,0)</f>
        <v/>
      </c>
      <c r="T1759">
        <f>IF(C1759,(H1759*N1759*IF(AND(Inputs!$B$38&lt;&gt;"pvp",Inputs!$B$43&gt;0),((Skills!G8*((R1759-1)*IF(Skills!H8&gt;0,Skills!I8/Skills!H8,1)+IF(Skills!H8&gt;0,MIN(Skills!I8,MAX(0,MAX(0,Inputs!$B$43-B1787)-((R1759-1)*(IF(Inputs!$B$38="pvp",15,MAX(0.1,Skills!D8-IF(Skills!E8=TRUE,Inputs!$B$32,0)))*(1-IF(AND(ArtifactsInput!$M$27,Inputs!$B$4="Chapter Hunt"),CHOOSE(ArtifactsInput!$N$27+1,20,24,28,32,36,40),0)/100)))))/Skills!H8,1)))/Inputs!$B$43),G1759*Q1759)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1759*(1-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1759*(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1759*(1-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1759*(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59">
        <f>IF(C1759,(H1759*N1759*IF(AND(Inputs!$B$38&lt;&gt;"pvp",Inputs!$B$43&gt;0),((Skills!G8*((R1759-1)*IF(Skills!H8&gt;0,Skills!I8/Skills!H8,1)+IF(Skills!H8&gt;0,MIN(Skills!I8,MAX(0,MAX(0,Inputs!$B$43-B1787)-((R1759-1)*(IF(Inputs!$B$38="pvp",15,MAX(0.1,Skills!D8-IF(Skills!E8=TRUE,Inputs!$B$32,0)))*(1-IF(AND(ArtifactsInput!$M$27,Inputs!$B$4="Chapter Hunt"),CHOOSE(ArtifactsInput!$N$27+1,20,24,28,32,36,40),0)/100)))))/Skills!H8,1)))/Inputs!$B$43),G1759*Q1759)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0">
      <c r="A1760">
        <f>Skills!A9</f>
        <v/>
      </c>
      <c r="B1760">
        <f>Skills!B9</f>
        <v/>
      </c>
      <c r="C1760">
        <f>Inputs!$B$3&gt;=69</f>
        <v/>
      </c>
      <c r="D1760">
        <f>IF(Skills!C9=1,60+Inputs!$B$25+Inputs!$B$29,IF(Skills!C9=2,90+Inputs!$B$26+Inputs!$B$29,IF(Skills!C9=3,120+Inputs!$B$27+Inputs!$B$29,MAX(0,(Inputs!$B$3-100)*3)+Inputs!$B$28+Inputs!$B$29)))</f>
        <v/>
      </c>
      <c r="E1760">
        <f>INDEX(FactorTable!$B$2:$Y$301, MATCH(ROUND(MIN(300,MAX(1,D1760)),0), FactorTable!$A$2:$A$301,0), Skills!M9+1)</f>
        <v/>
      </c>
      <c r="F1760">
        <f>IF(Skills!N9=TRUE,(Skills!L9/10)*(E1760/1000),Skills!L9/10)+Skills!O9</f>
        <v/>
      </c>
      <c r="G1760">
        <f>Skills!G9*IF(Skills!H9&gt;0,Skills!I9/Skills!H9,1)</f>
        <v/>
      </c>
      <c r="H1760">
        <f>1-(1-Skills!J9/100)^Skills!K9</f>
        <v/>
      </c>
      <c r="I1760" t="inlineStr">
        <is>
          <t>1</t>
        </is>
      </c>
      <c r="J1760">
        <f>((Inputs!$B$6*(1+Inputs!$B$7/100))+(((Inputs!$B$12*(1+Inputs!$B$13/100))-(Inputs!$B$12*(1+Inputs!$B$13/100)))+0.25*(Inputs!$B$14-Inputs!$B$14))*(1+Inputs!$B$7/100))*(F1760/100)</f>
        <v/>
      </c>
      <c r="K1760">
        <f>J1760*(1+((Inputs!$B$12*(1+Inputs!$B$13/100))*0.01+Inputs!$B$14*0.0025)/100)*(1+Inputs!$B$15/100)*(1+Inputs!$B$16/100)*(5000/(6000+Inputs!$B$42*(1-(100*(1-(1-(Inputs!$B$19+0)/100)*(1-CHOOSE(ArtifactsInput!$N$40+1,5,6,7,8,9,10)/100)^(ArtifactsInput!$M$40-ArtifactsInput!$M$40)))/100)))*(1+(Inputs!$B$24+((C1776=TRUE)*(F1776-Calc!F25))+B1786)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1763=TRUE,F1763,0)/100)*(1+IF(Skills!A9="ENHANCED_RAGING_BLOW",IF(Inputs!$B$3&gt;=134,MAX(0,IF(Inputs!$B$3&gt;=110,7,5)-5)*50,0),0)/100)*(1+(IF(Skills!A9="RAGING_BLOW",Inputs!$B$17+((C1772=TRUE)*(F1772-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1764=TRUE)*F1764*IF(Inputs!$B$3&gt;=110,7,5))+((C1766=TRUE)*F1766*IF(AND(Inputs!$B$38&lt;&gt;"pvp",Inputs!$B$43&gt;0),(((R1766-1)*(Skills!T15*(1+(Inputs!$B$34+(ArtifactsInput!$M$7-ArtifactsInput!$M$7)*CHOOSE(ArtifactsInput!$N$7+1,6,7.2,8.4,9.6,10.8,12))/100))+MIN((Skills!T15*(1+(Inputs!$B$34+(ArtifactsInput!$M$7-ArtifactsInput!$M$7)*CHOOSE(ArtifactsInput!$N$7+1,6,7.2,8.4,9.6,10.8,12))/100)),MAX(0,Inputs!$B$43-((R1766-1)*Skills!D15))))/Inputs!$B$43),IF(Inputs!$B$38="pvp",MIN((Skills!T15*(1+(Inputs!$B$34+(ArtifactsInput!$M$7-ArtifactsInput!$M$7)*CHOOSE(ArtifactsInput!$N$7+1,6,7.2,8.4,9.6,10.8,12))/100)),15)/15,(Skills!T15*(1+(Inputs!$B$34+(ArtifactsInput!$M$7-ArtifactsInput!$M$7)*CHOOSE(ArtifactsInput!$N$7+1,6,7.2,8.4,9.6,10.8,12))/100))/Skills!D15)))+0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Hunt"),CHOOSE(ArtifactsInput!$N$35+1,15,18,21,24,27,30)*(1-EXP(-(0.2*B1782)*5)),0)+IF(AND(ArtifactsInput!$M$22,Inputs!$B$4&lt;&gt;"Chapter Hunt"),CHOOSE(ArtifactsInput!$N$22+1,10,12,14,16,18,20)*((0*(((0.15*B1782*5))^0/1)+1*(((0.15*B1782*5))^1/1)+2*(((0.15*B1782*5))^2/2)+3*(((0.15*B1782*5))^3/6)+4*(((0.15*B1782*5))^4/24)+5*(((0.15*B1782*5))^5/120))/((((0.15*B1782*5))^0/1)+(((0.15*B1782*5))^1/1)+(((0.15*B1782*5))^2/2)+(((0.15*B1782*5))^3/6)+(((0.15*B1782*5))^4/24)+(((0.15*B1782*5))^5/120))),0)))/100)*I1760)</f>
        <v/>
      </c>
      <c r="L1760">
        <f>K1760*(MIN(Inputs!$B$22+((C1773=TRUE)*(F1773-Calc!F22)),(Inputs!$B$23+((C1775=TRUE)*(F1775-Calc!F24))+(IF(ArtifactsInput!$M$15,CHOOSE(ArtifactsInput!$N$15+1,25,30,35,40,45,50)/100*(Inputs!$B$11-Inputs!$B$11),0))))/100+(Inputs!$B$23+((C1775=TRUE)*(F1775-Calc!F24))+(IF(ArtifactsInput!$M$15,CHOOSE(ArtifactsInput!$N$15+1,25,30,35,40,45,50)/100*(Inputs!$B$11-Inputs!$B$11),0)))/100)/2</f>
        <v/>
      </c>
      <c r="M1760">
        <f>L1760*(1+(Inputs!$B$10+0+B1785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0">
        <f>L1760*(1-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1760*(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0">
        <f>(1-Summary!$B$11)*T1760+Summary!$B$11*V1760</f>
        <v/>
      </c>
      <c r="P1760">
        <f>IF(B1790=0,0,O1760/B1790)</f>
        <v/>
      </c>
      <c r="Q1760">
        <f>IFERROR(1/(IF(Inputs!$B$38="pvp",15,MAX(0.1,Skills!D9-IF(Skills!E9=TRUE,Inputs!$B$32,0)))*(1-IF(AND(ArtifactsInput!$M$27,Inputs!$B$4="Chapter Hunt"),CHOOSE(ArtifactsInput!$N$27+1,20,24,28,32,36,40),0)/100)),0)</f>
        <v/>
      </c>
      <c r="R1760">
        <f>IF(AND(Inputs!$B$38&lt;&gt;"pvp",Inputs!$B$43&gt;0),IF(MAX(0,Inputs!$B$43-B1787)&lt;=0,0,(INT(MAX(0,Inputs!$B$43-B1787)/(IF(Inputs!$B$38="pvp",15,MAX(0.1,Skills!D9-IF(Skills!E9=TRUE,Inputs!$B$32,0)))*(1-IF(AND(ArtifactsInput!$M$27,Inputs!$B$4="Chapter Hunt"),CHOOSE(ArtifactsInput!$N$27+1,20,24,28,32,36,40),0)/100)))+1)),0)</f>
        <v/>
      </c>
      <c r="S1760">
        <f>IFERROR(O1760/N1760,0)</f>
        <v/>
      </c>
      <c r="T1760">
        <f>IF(C1760,(H1760*N1760*IF(AND(Inputs!$B$38&lt;&gt;"pvp",Inputs!$B$43&gt;0),((Skills!G9*((R1760-1)*IF(Skills!H9&gt;0,Skills!I9/Skills!H9,1)+IF(Skills!H9&gt;0,MIN(Skills!I9,MAX(0,MAX(0,Inputs!$B$43-B1787)-((R1760-1)*(IF(Inputs!$B$38="pvp",15,MAX(0.1,Skills!D9-IF(Skills!E9=TRUE,Inputs!$B$32,0)))*(1-IF(AND(ArtifactsInput!$M$27,Inputs!$B$4="Chapter Hunt"),CHOOSE(ArtifactsInput!$N$27+1,20,24,28,32,36,40),0)/100)))))/Skills!H9,1)))/Inputs!$B$43),G1760*Q1760)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1760*(1-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1760*(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1760*(1-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1760*(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60">
        <f>IF(C1760,(H1760*N1760*IF(AND(Inputs!$B$38&lt;&gt;"pvp",Inputs!$B$43&gt;0),((Skills!G9*((R1760-1)*IF(Skills!H9&gt;0,Skills!I9/Skills!H9,1)+IF(Skills!H9&gt;0,MIN(Skills!I9,MAX(0,MAX(0,Inputs!$B$43-B1787)-((R1760-1)*(IF(Inputs!$B$38="pvp",15,MAX(0.1,Skills!D9-IF(Skills!E9=TRUE,Inputs!$B$32,0)))*(1-IF(AND(ArtifactsInput!$M$27,Inputs!$B$4="Chapter Hunt"),CHOOSE(ArtifactsInput!$N$27+1,20,24,28,32,36,40),0)/100)))))/Skills!H9,1)))/Inputs!$B$43),G1760*Q1760)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1">
      <c r="A1761">
        <f>Skills!A10</f>
        <v/>
      </c>
      <c r="B1761">
        <f>Skills!B10</f>
        <v/>
      </c>
      <c r="C1761">
        <f>Inputs!$B$3&gt;=63</f>
        <v/>
      </c>
      <c r="D1761">
        <f>IF(Skills!C10=1,60+Inputs!$B$25+Inputs!$B$29,IF(Skills!C10=2,90+Inputs!$B$26+Inputs!$B$29,IF(Skills!C10=3,120+Inputs!$B$27+Inputs!$B$29,MAX(0,(Inputs!$B$3-100)*3)+Inputs!$B$28+Inputs!$B$29)))</f>
        <v/>
      </c>
      <c r="E1761">
        <f>INDEX(FactorTable!$B$2:$Y$301, MATCH(ROUND(MIN(300,MAX(1,D1761)),0), FactorTable!$A$2:$A$301,0), Skills!M10+1)</f>
        <v/>
      </c>
      <c r="F1761">
        <f>IF(Skills!N10=TRUE,(Skills!L10/10)*(E1761/1000),Skills!L10/10)+Skills!O10</f>
        <v/>
      </c>
      <c r="G1761">
        <f>Skills!G10*IF(Skills!H10&gt;0,Skills!I10/Skills!H10,1)</f>
        <v/>
      </c>
      <c r="H1761">
        <f>1-(1-Skills!J10/100)^Skills!K10</f>
        <v/>
      </c>
      <c r="I1761" t="inlineStr">
        <is>
          <t>1</t>
        </is>
      </c>
      <c r="J1761">
        <f>((Inputs!$B$6*(1+Inputs!$B$7/100))+(((Inputs!$B$12*(1+Inputs!$B$13/100))-(Inputs!$B$12*(1+Inputs!$B$13/100)))+0.25*(Inputs!$B$14-Inputs!$B$14))*(1+Inputs!$B$7/100))*(F1761/100)</f>
        <v/>
      </c>
      <c r="K1761">
        <f>J1761*(1+((Inputs!$B$12*(1+Inputs!$B$13/100))*0.01+Inputs!$B$14*0.0025)/100)*(1+Inputs!$B$15/100)*(1+Inputs!$B$16/100)*(5000/(6000+Inputs!$B$42*(1-(100*(1-(1-(Inputs!$B$19+0)/100)*(1-CHOOSE(ArtifactsInput!$N$40+1,5,6,7,8,9,10)/100)^(ArtifactsInput!$M$40-ArtifactsInput!$M$40)))/100)))*(1+(Inputs!$B$24+((C1776=TRUE)*(F1776-Calc!F25))+B1786)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1763=TRUE,F1763,0)/100)*(1+IF(Skills!A10="ENHANCED_RAGING_BLOW",IF(Inputs!$B$3&gt;=134,MAX(0,IF(Inputs!$B$3&gt;=110,7,5)-5)*50,0),0)/100)*(1+(IF(Skills!A10="RAGING_BLOW",Inputs!$B$17+((C1772=TRUE)*(F1772-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1764=TRUE)*F1764*IF(Inputs!$B$3&gt;=110,7,5))+((C1766=TRUE)*F1766*IF(AND(Inputs!$B$38&lt;&gt;"pvp",Inputs!$B$43&gt;0),(((R1766-1)*(Skills!T15*(1+(Inputs!$B$34+(ArtifactsInput!$M$7-ArtifactsInput!$M$7)*CHOOSE(ArtifactsInput!$N$7+1,6,7.2,8.4,9.6,10.8,12))/100))+MIN((Skills!T15*(1+(Inputs!$B$34+(ArtifactsInput!$M$7-ArtifactsInput!$M$7)*CHOOSE(ArtifactsInput!$N$7+1,6,7.2,8.4,9.6,10.8,12))/100)),MAX(0,Inputs!$B$43-((R1766-1)*Skills!D15))))/Inputs!$B$43),IF(Inputs!$B$38="pvp",MIN((Skills!T15*(1+(Inputs!$B$34+(ArtifactsInput!$M$7-ArtifactsInput!$M$7)*CHOOSE(ArtifactsInput!$N$7+1,6,7.2,8.4,9.6,10.8,12))/100)),15)/15,(Skills!T15*(1+(Inputs!$B$34+(ArtifactsInput!$M$7-ArtifactsInput!$M$7)*CHOOSE(ArtifactsInput!$N$7+1,6,7.2,8.4,9.6,10.8,12))/100))/Skills!D15)))+0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Hunt"),CHOOSE(ArtifactsInput!$N$35+1,15,18,21,24,27,30)*(1-EXP(-(0.2*B1782)*5)),0)+IF(AND(ArtifactsInput!$M$22,Inputs!$B$4&lt;&gt;"Chapter Hunt"),CHOOSE(ArtifactsInput!$N$22+1,10,12,14,16,18,20)*((0*(((0.15*B1782*5))^0/1)+1*(((0.15*B1782*5))^1/1)+2*(((0.15*B1782*5))^2/2)+3*(((0.15*B1782*5))^3/6)+4*(((0.15*B1782*5))^4/24)+5*(((0.15*B1782*5))^5/120))/((((0.15*B1782*5))^0/1)+(((0.15*B1782*5))^1/1)+(((0.15*B1782*5))^2/2)+(((0.15*B1782*5))^3/6)+(((0.15*B1782*5))^4/24)+(((0.15*B1782*5))^5/120))),0)))/100)*I1761)</f>
        <v/>
      </c>
      <c r="L1761">
        <f>K1761*(MIN(Inputs!$B$22+((C1773=TRUE)*(F1773-Calc!F22)),(Inputs!$B$23+((C1775=TRUE)*(F1775-Calc!F24))+(IF(ArtifactsInput!$M$15,CHOOSE(ArtifactsInput!$N$15+1,25,30,35,40,45,50)/100*(Inputs!$B$11-Inputs!$B$11),0))))/100+(Inputs!$B$23+((C1775=TRUE)*(F1775-Calc!F24))+(IF(ArtifactsInput!$M$15,CHOOSE(ArtifactsInput!$N$15+1,25,30,35,40,45,50)/100*(Inputs!$B$11-Inputs!$B$11),0)))/100)/2</f>
        <v/>
      </c>
      <c r="M1761">
        <f>L1761*(1+(Inputs!$B$10+0+B1785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1">
        <f>L1761*(1-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1761*(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1">
        <f>(1-Summary!$B$11)*T1761+Summary!$B$11*V1761</f>
        <v/>
      </c>
      <c r="P1761">
        <f>IF(B1790=0,0,O1761/B1790)</f>
        <v/>
      </c>
      <c r="Q1761">
        <f>IFERROR(1/(IF(Inputs!$B$38="pvp",15,MAX(0.1,Skills!D10-IF(Skills!E10=TRUE,Inputs!$B$32,0)))*(1-IF(AND(ArtifactsInput!$M$27,Inputs!$B$4="Chapter Hunt"),CHOOSE(ArtifactsInput!$N$27+1,20,24,28,32,36,40),0)/100)),0)</f>
        <v/>
      </c>
      <c r="R1761">
        <f>IF(AND(Inputs!$B$38&lt;&gt;"pvp",Inputs!$B$43&gt;0),IF(MAX(0,Inputs!$B$43-B1787)&lt;=0,0,(INT(MAX(0,Inputs!$B$43-B1787)/(IF(Inputs!$B$38="pvp",15,MAX(0.1,Skills!D10-IF(Skills!E10=TRUE,Inputs!$B$32,0)))*(1-IF(AND(ArtifactsInput!$M$27,Inputs!$B$4="Chapter Hunt"),CHOOSE(ArtifactsInput!$N$27+1,20,24,28,32,36,40),0)/100)))+1)),0)</f>
        <v/>
      </c>
      <c r="S1761">
        <f>IFERROR(O1761/N1761,0)</f>
        <v/>
      </c>
      <c r="T1761">
        <f>IF(C1761,(H1761*N1761*IF(AND(Inputs!$B$38&lt;&gt;"pvp",Inputs!$B$43&gt;0),((Skills!G10*((R1761-1)*IF(Skills!H10&gt;0,Skills!I10/Skills!H10,1)+IF(Skills!H10&gt;0,MIN(Skills!I10,MAX(0,MAX(0,Inputs!$B$43-B1787)-((R1761-1)*(IF(Inputs!$B$38="pvp",15,MAX(0.1,Skills!D10-IF(Skills!E10=TRUE,Inputs!$B$32,0)))*(1-IF(AND(ArtifactsInput!$M$27,Inputs!$B$4="Chapter Hunt"),CHOOSE(ArtifactsInput!$N$27+1,20,24,28,32,36,40),0)/100)))))/Skills!H10,1)))/Inputs!$B$43),G1761*Q1761)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1761*(1-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1761*(1-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61">
        <f>IF(C1761,(H1761*N1761*IF(AND(Inputs!$B$38&lt;&gt;"pvp",Inputs!$B$43&gt;0),((Skills!G10*((R1761-1)*IF(Skills!H10&gt;0,Skills!I10/Skills!H10,1)+IF(Skills!H10&gt;0,MIN(Skills!I10,MAX(0,MAX(0,Inputs!$B$43-B1787)-((R1761-1)*(IF(Inputs!$B$38="pvp",15,MAX(0.1,Skills!D10-IF(Skills!E10=TRUE,Inputs!$B$32,0)))*(1-IF(AND(ArtifactsInput!$M$27,Inputs!$B$4="Chapter Hunt"),CHOOSE(ArtifactsInput!$N$27+1,20,24,28,32,36,40),0)/100)))))/Skills!H10,1)))/Inputs!$B$43),G1761*Q1761)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2">
      <c r="A1762">
        <f>Skills!A11</f>
        <v/>
      </c>
      <c r="B1762">
        <f>Skills!B11</f>
        <v/>
      </c>
      <c r="C1762">
        <f>Inputs!$B$3&gt;=35</f>
        <v/>
      </c>
      <c r="D1762">
        <f>IF(Skills!C11=1,60+Inputs!$B$25+Inputs!$B$29,IF(Skills!C11=2,90+Inputs!$B$26+Inputs!$B$29,IF(Skills!C11=3,120+Inputs!$B$27+Inputs!$B$29,MAX(0,(Inputs!$B$3-100)*3)+Inputs!$B$28+Inputs!$B$29)))</f>
        <v/>
      </c>
      <c r="E1762">
        <f>INDEX(FactorTable!$B$2:$Y$301, MATCH(ROUND(MIN(300,MAX(1,D1762)),0), FactorTable!$A$2:$A$301,0), Skills!M11+1)</f>
        <v/>
      </c>
      <c r="F1762">
        <f>IF(Skills!N11=TRUE,(Skills!L11/10)*(E1762/1000),Skills!L11/10)+Skills!O11</f>
        <v/>
      </c>
      <c r="G1762">
        <f>Skills!G11*IF(Skills!H11&gt;0,Skills!I11/Skills!H11,1)</f>
        <v/>
      </c>
      <c r="H1762">
        <f>1-(1-Skills!J11/100)^Skills!K11</f>
        <v/>
      </c>
      <c r="I1762" t="inlineStr">
        <is>
          <t>1</t>
        </is>
      </c>
      <c r="J1762">
        <f>((Inputs!$B$6*(1+Inputs!$B$7/100))+(((Inputs!$B$12*(1+Inputs!$B$13/100))-(Inputs!$B$12*(1+Inputs!$B$13/100)))+0.25*(Inputs!$B$14-Inputs!$B$14))*(1+Inputs!$B$7/100))*(F1762/100)</f>
        <v/>
      </c>
      <c r="K1762">
        <f>J1762*(1+((Inputs!$B$12*(1+Inputs!$B$13/100))*0.01+Inputs!$B$14*0.0025)/100)*(1+Inputs!$B$15/100)*(1+Inputs!$B$16/100)*(5000/(6000+Inputs!$B$42*(1-(100*(1-(1-(Inputs!$B$19+0)/100)*(1-CHOOSE(ArtifactsInput!$N$40+1,5,6,7,8,9,10)/100)^(ArtifactsInput!$M$40-ArtifactsInput!$M$40)))/100)))*(1+(Inputs!$B$24+((C1776=TRUE)*(F1776-Calc!F25))+B1786)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1763=TRUE,F1763,0)/100)*(1+IF(Skills!A11="ENHANCED_RAGING_BLOW",IF(Inputs!$B$3&gt;=134,MAX(0,IF(Inputs!$B$3&gt;=110,7,5)-5)*50,0),0)/100)*(1+(IF(Skills!A11="RAGING_BLOW",Inputs!$B$17+((C1772=TRUE)*(F1772-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1764=TRUE)*F1764*IF(Inputs!$B$3&gt;=110,7,5))+((C1766=TRUE)*F1766*IF(AND(Inputs!$B$38&lt;&gt;"pvp",Inputs!$B$43&gt;0),(((R1766-1)*(Skills!T15*(1+(Inputs!$B$34+(ArtifactsInput!$M$7-ArtifactsInput!$M$7)*CHOOSE(ArtifactsInput!$N$7+1,6,7.2,8.4,9.6,10.8,12))/100))+MIN((Skills!T15*(1+(Inputs!$B$34+(ArtifactsInput!$M$7-ArtifactsInput!$M$7)*CHOOSE(ArtifactsInput!$N$7+1,6,7.2,8.4,9.6,10.8,12))/100)),MAX(0,Inputs!$B$43-((R1766-1)*Skills!D15))))/Inputs!$B$43),IF(Inputs!$B$38="pvp",MIN((Skills!T15*(1+(Inputs!$B$34+(ArtifactsInput!$M$7-ArtifactsInput!$M$7)*CHOOSE(ArtifactsInput!$N$7+1,6,7.2,8.4,9.6,10.8,12))/100)),15)/15,(Skills!T15*(1+(Inputs!$B$34+(ArtifactsInput!$M$7-ArtifactsInput!$M$7)*CHOOSE(ArtifactsInput!$N$7+1,6,7.2,8.4,9.6,10.8,12))/100))/Skills!D15)))+0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Hunt"),CHOOSE(ArtifactsInput!$N$35+1,15,18,21,24,27,30)*(1-EXP(-(0.2*B1782)*5)),0)+IF(AND(ArtifactsInput!$M$22,Inputs!$B$4&lt;&gt;"Chapter Hunt"),CHOOSE(ArtifactsInput!$N$22+1,10,12,14,16,18,20)*((0*(((0.15*B1782*5))^0/1)+1*(((0.15*B1782*5))^1/1)+2*(((0.15*B1782*5))^2/2)+3*(((0.15*B1782*5))^3/6)+4*(((0.15*B1782*5))^4/24)+5*(((0.15*B1782*5))^5/120))/((((0.15*B1782*5))^0/1)+(((0.15*B1782*5))^1/1)+(((0.15*B1782*5))^2/2)+(((0.15*B1782*5))^3/6)+(((0.15*B1782*5))^4/24)+(((0.15*B1782*5))^5/120))),0)))/100)*I1762)</f>
        <v/>
      </c>
      <c r="L1762">
        <f>K1762*(MIN(Inputs!$B$22+((C1773=TRUE)*(F1773-Calc!F22)),(Inputs!$B$23+((C1775=TRUE)*(F1775-Calc!F24))+(IF(ArtifactsInput!$M$15,CHOOSE(ArtifactsInput!$N$15+1,25,30,35,40,45,50)/100*(Inputs!$B$11-Inputs!$B$11),0))))/100+(Inputs!$B$23+((C1775=TRUE)*(F1775-Calc!F24))+(IF(ArtifactsInput!$M$15,CHOOSE(ArtifactsInput!$N$15+1,25,30,35,40,45,50)/100*(Inputs!$B$11-Inputs!$B$11),0)))/100)/2</f>
        <v/>
      </c>
      <c r="M1762">
        <f>L1762*(1+(Inputs!$B$10+0+B1785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2">
        <f>L1762*(1-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1762*(MIN((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2">
        <f>(1-Summary!$B$11)*T1762+Summary!$B$11*V1762</f>
        <v/>
      </c>
      <c r="P1762">
        <f>IF(B1790=0,0,O1762/B1790)</f>
        <v/>
      </c>
      <c r="Q1762">
        <f>IFERROR(1/(IF(Inputs!$B$38="pvp",15,MAX(0.1,Skills!D11-IF(Skills!E11=TRUE,Inputs!$B$32,0)))*(1-IF(AND(ArtifactsInput!$M$27,Inputs!$B$4="Chapter Hunt"),CHOOSE(ArtifactsInput!$N$27+1,20,24,28,32,36,40),0)/100)),0)</f>
        <v/>
      </c>
      <c r="R1762">
        <f>IF(AND(Inputs!$B$38&lt;&gt;"pvp",Inputs!$B$43&gt;0),IF(MAX(0,Inputs!$B$43-B1787)&lt;=0,0,(INT(MAX(0,Inputs!$B$43-B1787)/(IF(Inputs!$B$38="pvp",15,MAX(0.1,Skills!D11-IF(Skills!E11=TRUE,Inputs!$B$32,0)))*(1-IF(AND(ArtifactsInput!$M$27,Inputs!$B$4="Chapter Hunt"),CHOOSE(ArtifactsInput!$N$27+1,20,24,28,32,36,40),0)/100)))+1)),0)</f>
        <v/>
      </c>
      <c r="S1762">
        <f>IFERROR(O1762/N1762,0)</f>
        <v/>
      </c>
      <c r="T1762">
        <f>IF(C1762,(H1762*N1762*IF(AND(Inputs!$B$38&lt;&gt;"pvp",Inputs!$B$43&gt;0),((Skills!G11*((R1762-1)*IF(Skills!H11&gt;0,Skills!I11/Skills!H11,1)+IF(Skills!H11&gt;0,MIN(Skills!I11,MAX(0,MAX(0,Inputs!$B$43-B1787)-((R1762-1)*(IF(Inputs!$B$38="pvp",15,MAX(0.1,Skills!D11-IF(Skills!E11=TRUE,Inputs!$B$32,0)))*(1-IF(AND(ArtifactsInput!$M$27,Inputs!$B$4="Chapter Hunt"),CHOOSE(ArtifactsInput!$N$27+1,20,24,28,32,36,40),0)/100)))))/Skills!H11,1)))/Inputs!$B$43),G1762*Q1762)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1762*(1-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1762*(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1762*(1-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1762*(MIN(100,(Inputs!$B$9+((C1777=TRUE)*(F1777-Calc!F26))+B1780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62">
        <f>IF(C1762,(H1762*N1762*IF(AND(Inputs!$B$38&lt;&gt;"pvp",Inputs!$B$43&gt;0),((Skills!G11*((R1762-1)*IF(Skills!H11&gt;0,Skills!I11/Skills!H11,1)+IF(Skills!H11&gt;0,MIN(Skills!I11,MAX(0,MAX(0,Inputs!$B$43-B1787)-((R1762-1)*(IF(Inputs!$B$38="pvp",15,MAX(0.1,Skills!D11-IF(Skills!E11=TRUE,Inputs!$B$32,0)))*(1-IF(AND(ArtifactsInput!$M$27,Inputs!$B$4="Chapter Hunt"),CHOOSE(ArtifactsInput!$N$27+1,20,24,28,32,36,40),0)/100)))))/Skills!H11,1)))/Inputs!$B$43),G1762*Q1762)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3">
      <c r="A1763">
        <f>Skills!A12</f>
        <v/>
      </c>
      <c r="B1763">
        <f>Skills!B12</f>
        <v/>
      </c>
      <c r="C1763">
        <f>Inputs!$B$3&gt;=100</f>
        <v/>
      </c>
      <c r="D1763">
        <f>IF(Skills!C12=1,60+Inputs!$B$25+Inputs!$B$29,IF(Skills!C12=2,90+Inputs!$B$26+Inputs!$B$29,IF(Skills!C12=3,120+Inputs!$B$27+Inputs!$B$29,MAX(0,(Inputs!$B$3-100)*3)+Inputs!$B$28+Inputs!$B$29)))</f>
        <v/>
      </c>
      <c r="E1763">
        <f>INDEX(FactorTable!$B$2:$Y$301, MATCH(ROUND(MIN(300,MAX(1,D1763)),0), FactorTable!$A$2:$A$301,0), Skills!M12+1)</f>
        <v/>
      </c>
      <c r="F1763">
        <f>IF(Skills!N12=TRUE,(Skills!L12/10)*(E1763/1000),Skills!L12/10)+Skills!O12</f>
        <v/>
      </c>
      <c r="G1763" t="inlineStr"/>
      <c r="H1763" t="inlineStr"/>
      <c r="I1763" t="inlineStr">
        <is>
          <t>1</t>
        </is>
      </c>
      <c r="J1763" t="inlineStr"/>
      <c r="K1763" t="inlineStr"/>
      <c r="L1763" t="inlineStr"/>
      <c r="M1763" t="inlineStr"/>
      <c r="N1763" t="inlineStr"/>
      <c r="O1763" t="inlineStr"/>
      <c r="P1763" t="inlineStr"/>
      <c r="Q1763" t="inlineStr"/>
      <c r="R1763" t="inlineStr"/>
      <c r="S1763" t="inlineStr"/>
    </row>
    <row r="1764">
      <c r="A1764">
        <f>Skills!A13</f>
        <v/>
      </c>
      <c r="B1764">
        <f>Skills!B13</f>
        <v/>
      </c>
      <c r="C1764">
        <f>Inputs!$B$3&gt;=45</f>
        <v/>
      </c>
      <c r="D1764">
        <f>IF(Skills!C13=1,60+Inputs!$B$25+Inputs!$B$29,IF(Skills!C13=2,90+Inputs!$B$26+Inputs!$B$29,IF(Skills!C13=3,120+Inputs!$B$27+Inputs!$B$29,MAX(0,(Inputs!$B$3-100)*3)+Inputs!$B$28+Inputs!$B$29)))</f>
        <v/>
      </c>
      <c r="E1764">
        <f>INDEX(FactorTable!$B$2:$Y$301, MATCH(ROUND(MIN(300,MAX(1,D1764)),0), FactorTable!$A$2:$A$301,0), Skills!M13+1)</f>
        <v/>
      </c>
      <c r="F1764">
        <f>IF(Skills!N13=TRUE,(Skills!L13/10)*(E1764/1000),Skills!L13/10)+Skills!O13</f>
        <v/>
      </c>
      <c r="G1764">
        <f>Skills!G13*IF(Skills!H13&gt;0,Skills!I13/Skills!H13,1)</f>
        <v/>
      </c>
      <c r="H1764">
        <f>1-(1-Skills!J13/100)^Skills!K13</f>
        <v/>
      </c>
      <c r="I1764" t="inlineStr">
        <is>
          <t>1</t>
        </is>
      </c>
      <c r="J1764" t="inlineStr"/>
      <c r="K1764" t="inlineStr"/>
      <c r="L1764" t="inlineStr"/>
      <c r="M1764" t="inlineStr"/>
      <c r="N1764" t="inlineStr"/>
      <c r="O1764">
        <f>(1-Summary!$B$11)*T1764+Summary!$B$11*V1764</f>
        <v/>
      </c>
      <c r="P1764">
        <f>IF(B1790=0,0,O1764/B1790)</f>
        <v/>
      </c>
      <c r="Q1764" t="n">
        <v>0</v>
      </c>
      <c r="R1764" t="n">
        <v>0</v>
      </c>
      <c r="S1764">
        <f>IFERROR(O1764/N1764,0)</f>
        <v/>
      </c>
      <c r="T1764" t="n">
        <v>0</v>
      </c>
      <c r="V1764" t="n">
        <v>0</v>
      </c>
    </row>
    <row r="1765">
      <c r="A1765">
        <f>Skills!A14</f>
        <v/>
      </c>
      <c r="B1765">
        <f>Skills!B14</f>
        <v/>
      </c>
      <c r="C1765">
        <f>Inputs!$B$3&gt;=75</f>
        <v/>
      </c>
      <c r="D1765">
        <f>IF(Skills!C14=1,60+Inputs!$B$25+Inputs!$B$29,IF(Skills!C14=2,90+Inputs!$B$26+Inputs!$B$29,IF(Skills!C14=3,120+Inputs!$B$27+Inputs!$B$29,MAX(0,(Inputs!$B$3-100)*3)+Inputs!$B$28+Inputs!$B$29)))</f>
        <v/>
      </c>
      <c r="E1765">
        <f>INDEX(FactorTable!$B$2:$Y$301, MATCH(ROUND(MIN(300,MAX(1,D1765)),0), FactorTable!$A$2:$A$301,0), Skills!M14+1)</f>
        <v/>
      </c>
      <c r="F1765">
        <f>IF(Skills!N14=TRUE,(Skills!L14/10)*(E1765/1000),Skills!L14/10)+Skills!O14</f>
        <v/>
      </c>
      <c r="G1765">
        <f>Skills!G14*IF(Skills!H14&gt;0,Skills!I14/Skills!H14,1)</f>
        <v/>
      </c>
      <c r="H1765">
        <f>1-(1-Skills!J14/100)^Skills!K14</f>
        <v/>
      </c>
      <c r="I1765" t="inlineStr">
        <is>
          <t>1</t>
        </is>
      </c>
      <c r="J1765" t="inlineStr"/>
      <c r="K1765" t="inlineStr"/>
      <c r="L1765" t="inlineStr"/>
      <c r="M1765" t="inlineStr"/>
      <c r="N1765" t="inlineStr"/>
      <c r="O1765">
        <f>(1-Summary!$B$11)*T1765+Summary!$B$11*V1765</f>
        <v/>
      </c>
      <c r="P1765">
        <f>IF(B1790=0,0,O1765/B1790)</f>
        <v/>
      </c>
      <c r="Q1765" t="n">
        <v>0</v>
      </c>
      <c r="R1765" t="n">
        <v>0</v>
      </c>
      <c r="S1765">
        <f>IFERROR(O1765/N1765,0)</f>
        <v/>
      </c>
      <c r="T1765" t="n">
        <v>0</v>
      </c>
      <c r="V1765" t="n">
        <v>0</v>
      </c>
    </row>
    <row r="1766">
      <c r="A1766">
        <f>Skills!A15</f>
        <v/>
      </c>
      <c r="B1766">
        <f>Skills!B15</f>
        <v/>
      </c>
      <c r="C1766">
        <f>Inputs!$B$3&gt;=40</f>
        <v/>
      </c>
      <c r="D1766">
        <f>IF(Skills!C15=1,60+Inputs!$B$25+Inputs!$B$29,IF(Skills!C15=2,90+Inputs!$B$26+Inputs!$B$29,IF(Skills!C15=3,120+Inputs!$B$27+Inputs!$B$29,MAX(0,(Inputs!$B$3-100)*3)+Inputs!$B$28+Inputs!$B$29)))</f>
        <v/>
      </c>
      <c r="E1766">
        <f>INDEX(FactorTable!$B$2:$Y$301, MATCH(ROUND(MIN(300,MAX(1,D1766)),0), FactorTable!$A$2:$A$301,0), Skills!M15+1)</f>
        <v/>
      </c>
      <c r="F1766">
        <f>IF(Skills!N15=TRUE,(Skills!L15/10)*(E1766/1000),Skills!L15/10)+Skills!O15</f>
        <v/>
      </c>
      <c r="G1766">
        <f>Skills!G15*IF(Skills!H15&gt;0,Skills!I15/Skills!H15,1)</f>
        <v/>
      </c>
      <c r="H1766">
        <f>1-(1-Skills!J15/100)^Skills!K15</f>
        <v/>
      </c>
      <c r="I1766" t="inlineStr">
        <is>
          <t>1</t>
        </is>
      </c>
      <c r="J1766" t="inlineStr"/>
      <c r="K1766" t="inlineStr"/>
      <c r="L1766" t="inlineStr"/>
      <c r="M1766" t="inlineStr"/>
      <c r="N1766" t="inlineStr"/>
      <c r="O1766">
        <f>(1-Summary!$B$11)*T1766+Summary!$B$11*V1766</f>
        <v/>
      </c>
      <c r="P1766">
        <f>IF(B1790=0,0,O1766/B1790)</f>
        <v/>
      </c>
      <c r="Q1766">
        <f>IFERROR(1/(IF(Inputs!$B$38="pvp",15,MAX(0.1,Skills!D15-IF(Skills!E15=TRUE,Inputs!$B$32,0)))*(1-IF(AND(ArtifactsInput!$M$27,Inputs!$B$4="Chapter Hunt"),CHOOSE(ArtifactsInput!$N$27+1,20,24,28,32,36,40),0)/100)),0)</f>
        <v/>
      </c>
      <c r="R1766">
        <f>IF(AND(Inputs!$B$38&lt;&gt;"pvp",Inputs!$B$43&gt;0),IF(Inputs!$B$43&lt;=0,0,(INT(Inputs!$B$43/(IF(Inputs!$B$38="pvp",15,MAX(0.1,Skills!D15-IF(Skills!E15=TRUE,Inputs!$B$32,0)))*(1-IF(AND(ArtifactsInput!$M$27,Inputs!$B$4="Chapter Hunt"),CHOOSE(ArtifactsInput!$N$27+1,20,24,28,32,36,40),0)/100)))+1)),0)</f>
        <v/>
      </c>
      <c r="S1766">
        <f>IFERROR(O1766/N1766,0)</f>
        <v/>
      </c>
      <c r="T1766" t="n">
        <v>0</v>
      </c>
      <c r="V1766" t="n">
        <v>0</v>
      </c>
    </row>
    <row r="1767">
      <c r="A1767">
        <f>Skills!A16</f>
        <v/>
      </c>
      <c r="B1767">
        <f>Skills!B16</f>
        <v/>
      </c>
      <c r="C1767">
        <f>Inputs!$B$3&gt;=66</f>
        <v/>
      </c>
      <c r="D1767">
        <f>IF(Skills!C16=1,60+Inputs!$B$25+Inputs!$B$29,IF(Skills!C16=2,90+Inputs!$B$26+Inputs!$B$29,IF(Skills!C16=3,120+Inputs!$B$27+Inputs!$B$29,MAX(0,(Inputs!$B$3-100)*3)+Inputs!$B$28+Inputs!$B$29)))</f>
        <v/>
      </c>
      <c r="E1767">
        <f>INDEX(FactorTable!$B$2:$Y$301, MATCH(ROUND(MIN(300,MAX(1,D1767)),0), FactorTable!$A$2:$A$301,0), Skills!M16+1)</f>
        <v/>
      </c>
      <c r="F1767">
        <f>IF(Skills!N16=TRUE,(Skills!L16/10)*(E1767/1000),Skills!L16/10)+Skills!O16</f>
        <v/>
      </c>
      <c r="G1767">
        <f>Skills!G16*IF(Skills!H16&gt;0,Skills!I16/Skills!H16,1)</f>
        <v/>
      </c>
      <c r="H1767">
        <f>1-(1-Skills!J16/100)^Skills!K16</f>
        <v/>
      </c>
      <c r="I1767" t="inlineStr">
        <is>
          <t>1</t>
        </is>
      </c>
      <c r="J1767" t="inlineStr"/>
      <c r="K1767" t="inlineStr"/>
      <c r="L1767" t="inlineStr"/>
      <c r="M1767" t="inlineStr"/>
      <c r="N1767" t="inlineStr"/>
      <c r="O1767">
        <f>(1-Summary!$B$11)*T1767+Summary!$B$11*V1767</f>
        <v/>
      </c>
      <c r="P1767">
        <f>IF(B1790=0,0,O1767/B1790)</f>
        <v/>
      </c>
      <c r="Q1767">
        <f>IFERROR(1/(IF(Inputs!$B$38="pvp",15,MAX(0.1,Skills!D16-IF(Skills!E16=TRUE,Inputs!$B$32,0)))*(1-IF(AND(ArtifactsInput!$M$27,Inputs!$B$4="Chapter Hunt"),CHOOSE(ArtifactsInput!$N$27+1,20,24,28,32,36,40),0)/100)),0)</f>
        <v/>
      </c>
      <c r="R1767">
        <f>IF(AND(Inputs!$B$38&lt;&gt;"pvp",Inputs!$B$43&gt;0),IF(Inputs!$B$43&lt;=0,0,(INT(Inputs!$B$43/(IF(Inputs!$B$38="pvp",15,MAX(0.1,Skills!D16-IF(Skills!E16=TRUE,Inputs!$B$32,0)))*(1-IF(AND(ArtifactsInput!$M$27,Inputs!$B$4="Chapter Hunt"),CHOOSE(ArtifactsInput!$N$27+1,20,24,28,32,36,40),0)/100)))+1)),0)</f>
        <v/>
      </c>
      <c r="S1767">
        <f>IFERROR(O1767/N1767,0)</f>
        <v/>
      </c>
      <c r="T1767" t="n">
        <v>0</v>
      </c>
      <c r="V1767" t="n">
        <v>0</v>
      </c>
    </row>
    <row r="1768">
      <c r="A1768">
        <f>Skills!A17</f>
        <v/>
      </c>
      <c r="B1768">
        <f>Skills!B17</f>
        <v/>
      </c>
      <c r="C1768">
        <f>Inputs!$B$3&gt;=115</f>
        <v/>
      </c>
      <c r="D1768">
        <f>IF(Skills!C17=1,60+Inputs!$B$25+Inputs!$B$29,IF(Skills!C17=2,90+Inputs!$B$26+Inputs!$B$29,IF(Skills!C17=3,120+Inputs!$B$27+Inputs!$B$29,MAX(0,(Inputs!$B$3-100)*3)+Inputs!$B$28+Inputs!$B$29)))</f>
        <v/>
      </c>
      <c r="E1768">
        <f>INDEX(FactorTable!$B$2:$Y$301, MATCH(ROUND(MIN(300,MAX(1,D1768)),0), FactorTable!$A$2:$A$301,0), Skills!M17+1)</f>
        <v/>
      </c>
      <c r="F1768">
        <f>IF(Skills!N17=TRUE,(Skills!L17/10)*(E1768/1000),Skills!L17/10)+Skills!O17</f>
        <v/>
      </c>
      <c r="G1768">
        <f>Skills!G17*IF(Skills!H17&gt;0,Skills!I17/Skills!H17,1)</f>
        <v/>
      </c>
      <c r="H1768">
        <f>1-(1-Skills!J17/100)^Skills!K17</f>
        <v/>
      </c>
      <c r="I1768" t="inlineStr">
        <is>
          <t>1</t>
        </is>
      </c>
      <c r="J1768" t="inlineStr"/>
      <c r="K1768" t="inlineStr"/>
      <c r="L1768" t="inlineStr"/>
      <c r="M1768" t="inlineStr"/>
      <c r="N1768" t="inlineStr"/>
      <c r="O1768">
        <f>(1-Summary!$B$11)*T1768+Summary!$B$11*V1768</f>
        <v/>
      </c>
      <c r="P1768">
        <f>IF(B1790=0,0,O1768/B1790)</f>
        <v/>
      </c>
      <c r="Q1768">
        <f>IFERROR(1/(IF(Inputs!$B$38="pvp",15,MAX(0.1,Skills!D17-IF(Skills!E17=TRUE,Inputs!$B$32,0)))*(1-IF(AND(ArtifactsInput!$M$27,Inputs!$B$4="Chapter Hunt"),CHOOSE(ArtifactsInput!$N$27+1,20,24,28,32,36,40),0)/100)),0)</f>
        <v/>
      </c>
      <c r="R1768">
        <f>IF(AND(Inputs!$B$38&lt;&gt;"pvp",Inputs!$B$43&gt;0),IF(Inputs!$B$43&lt;=0,0,(INT(Inputs!$B$43/(IF(Inputs!$B$38="pvp",15,MAX(0.1,Skills!D17-IF(Skills!E17=TRUE,Inputs!$B$32,0)))*(1-IF(AND(ArtifactsInput!$M$27,Inputs!$B$4="Chapter Hunt"),CHOOSE(ArtifactsInput!$N$27+1,20,24,28,32,36,40),0)/100)))+1)),0)</f>
        <v/>
      </c>
      <c r="S1768">
        <f>IFERROR(O1768/N1768,0)</f>
        <v/>
      </c>
      <c r="T1768" t="n">
        <v>0</v>
      </c>
      <c r="V1768" t="n">
        <v>0</v>
      </c>
    </row>
    <row r="1769">
      <c r="A1769">
        <f>Skills!A18</f>
        <v/>
      </c>
      <c r="B1769">
        <f>Skills!B18</f>
        <v/>
      </c>
      <c r="C1769">
        <f>Inputs!$B$3&gt;=115</f>
        <v/>
      </c>
      <c r="D1769">
        <f>IF(Skills!C18=1,60+Inputs!$B$25+Inputs!$B$29,IF(Skills!C18=2,90+Inputs!$B$26+Inputs!$B$29,IF(Skills!C18=3,120+Inputs!$B$27+Inputs!$B$29,MAX(0,(Inputs!$B$3-100)*3)+Inputs!$B$28+Inputs!$B$29)))</f>
        <v/>
      </c>
      <c r="E1769">
        <f>INDEX(FactorTable!$B$2:$Y$301, MATCH(ROUND(MIN(300,MAX(1,D1769)),0), FactorTable!$A$2:$A$301,0), Skills!M18+1)</f>
        <v/>
      </c>
      <c r="F1769">
        <f>IF(Skills!N18=TRUE,(Skills!L18/10)*(E1769/1000),Skills!L18/10)+Skills!O18</f>
        <v/>
      </c>
      <c r="G1769">
        <f>Skills!G18*IF(Skills!H18&gt;0,Skills!I18/Skills!H18,1)</f>
        <v/>
      </c>
      <c r="H1769">
        <f>1-(1-Skills!J18/100)^Skills!K18</f>
        <v/>
      </c>
      <c r="I1769" t="inlineStr">
        <is>
          <t>1</t>
        </is>
      </c>
      <c r="J1769" t="inlineStr"/>
      <c r="K1769" t="inlineStr"/>
      <c r="L1769" t="inlineStr"/>
      <c r="M1769" t="inlineStr"/>
      <c r="N1769" t="inlineStr"/>
      <c r="O1769">
        <f>(1-Summary!$B$11)*T1769+Summary!$B$11*V1769</f>
        <v/>
      </c>
      <c r="P1769">
        <f>IF(B1790=0,0,O1769/B1790)</f>
        <v/>
      </c>
      <c r="Q1769">
        <f>IFERROR(1/(IF(Inputs!$B$38="pvp",15,MAX(0.1,Skills!D18-IF(Skills!E18=TRUE,Inputs!$B$32,0)))*(1-IF(AND(ArtifactsInput!$M$27,Inputs!$B$4="Chapter Hunt"),CHOOSE(ArtifactsInput!$N$27+1,20,24,28,32,36,40),0)/100)),0)</f>
        <v/>
      </c>
      <c r="R1769">
        <f>IF(AND(Inputs!$B$38&lt;&gt;"pvp",Inputs!$B$43&gt;0),IF(Inputs!$B$43&lt;=0,0,(INT(Inputs!$B$43/(IF(Inputs!$B$38="pvp",15,MAX(0.1,Skills!D18-IF(Skills!E18=TRUE,Inputs!$B$32,0)))*(1-IF(AND(ArtifactsInput!$M$27,Inputs!$B$4="Chapter Hunt"),CHOOSE(ArtifactsInput!$N$27+1,20,24,28,32,36,40),0)/100)))+1)),0)</f>
        <v/>
      </c>
      <c r="S1769">
        <f>IFERROR(O1769/N1769,0)</f>
        <v/>
      </c>
      <c r="T1769" t="n">
        <v>0</v>
      </c>
      <c r="V1769" t="n">
        <v>0</v>
      </c>
    </row>
    <row r="1770">
      <c r="A1770">
        <f>Skills!A19</f>
        <v/>
      </c>
      <c r="B1770">
        <f>Skills!B19</f>
        <v/>
      </c>
      <c r="C1770">
        <f>TRUE</f>
        <v/>
      </c>
      <c r="D1770">
        <f>IF(Skills!C19=1,60+Inputs!$B$25+Inputs!$B$29,IF(Skills!C19=2,90+Inputs!$B$26+Inputs!$B$29,IF(Skills!C19=3,120+Inputs!$B$27+Inputs!$B$29,MAX(0,(Inputs!$B$3-100)*3)+Inputs!$B$28+Inputs!$B$29)))</f>
        <v/>
      </c>
      <c r="E1770">
        <f>INDEX(FactorTable!$B$2:$Y$301, MATCH(ROUND(MIN(300,MAX(1,D1770)),0), FactorTable!$A$2:$A$301,0), Skills!M19+1)</f>
        <v/>
      </c>
      <c r="F1770">
        <f>IF(Skills!N19=TRUE,(Skills!L19/10)*(E1770/1000),Skills!L19/10)+Skills!O19</f>
        <v/>
      </c>
      <c r="G1770">
        <f>Skills!G19*IF(Skills!H19&gt;0,Skills!I19/Skills!H19,1)</f>
        <v/>
      </c>
      <c r="H1770">
        <f>1-(1-Skills!J19/100)^Skills!K19</f>
        <v/>
      </c>
      <c r="I1770" t="inlineStr">
        <is>
          <t>1</t>
        </is>
      </c>
      <c r="J1770" t="inlineStr"/>
      <c r="K1770" t="inlineStr"/>
      <c r="L1770" t="inlineStr"/>
      <c r="M1770" t="inlineStr"/>
      <c r="N1770" t="inlineStr"/>
      <c r="O1770">
        <f>(1-Summary!$B$11)*T1770+Summary!$B$11*V1770</f>
        <v/>
      </c>
      <c r="P1770">
        <f>IF(B1790=0,0,O1770/B1790)</f>
        <v/>
      </c>
      <c r="Q1770">
        <f>IFERROR(1/(IF(Inputs!$B$38="pvp",15,MAX(0.1,Skills!D19-IF(Skills!E19=TRUE,Inputs!$B$32,0)))*(1-IF(AND(ArtifactsInput!$M$27,Inputs!$B$4="Chapter Hunt"),CHOOSE(ArtifactsInput!$N$27+1,20,24,28,32,36,40),0)/100)),0)</f>
        <v/>
      </c>
      <c r="R1770">
        <f>IF(AND(Inputs!$B$38&lt;&gt;"pvp",Inputs!$B$43&gt;0),IF(Inputs!$B$43&lt;=0,0,(INT(Inputs!$B$43/(IF(Inputs!$B$38="pvp",15,MAX(0.1,Skills!D19-IF(Skills!E19=TRUE,Inputs!$B$32,0)))*(1-IF(AND(ArtifactsInput!$M$27,Inputs!$B$4="Chapter Hunt"),CHOOSE(ArtifactsInput!$N$27+1,20,24,28,32,36,40),0)/100)))+1)),0)</f>
        <v/>
      </c>
      <c r="S1770">
        <f>IFERROR(O1770/N1770,0)</f>
        <v/>
      </c>
      <c r="T1770" t="n">
        <v>0</v>
      </c>
      <c r="V1770" t="n">
        <v>0</v>
      </c>
    </row>
    <row r="1771">
      <c r="A1771">
        <f>Skills!A20</f>
        <v/>
      </c>
      <c r="B1771">
        <f>Skills!B20</f>
        <v/>
      </c>
      <c r="C1771">
        <f>Inputs!$B$3&gt;=33</f>
        <v/>
      </c>
      <c r="D1771">
        <f>IF(Skills!C20=1,60+Inputs!$B$25+Inputs!$B$29,IF(Skills!C20=2,90+Inputs!$B$26+Inputs!$B$29,IF(Skills!C20=3,120+Inputs!$B$27+Inputs!$B$29,MAX(0,(Inputs!$B$3-100)*3)+Inputs!$B$28+Inputs!$B$29)))</f>
        <v/>
      </c>
      <c r="E1771">
        <f>INDEX(FactorTable!$B$2:$Y$301, MATCH(ROUND(MIN(300,MAX(1,D1771)),0), FactorTable!$A$2:$A$301,0), Skills!M20+1)</f>
        <v/>
      </c>
      <c r="F1771">
        <f>IF(Skills!N20=TRUE,(Skills!L20/10)*(E1771/1000),Skills!L20/10)+Skills!O20</f>
        <v/>
      </c>
      <c r="G1771">
        <f>Skills!G20*IF(Skills!H20&gt;0,Skills!I20/Skills!H20,1)</f>
        <v/>
      </c>
      <c r="H1771">
        <f>1-(1-Skills!J20/100)^Skills!K20</f>
        <v/>
      </c>
      <c r="I1771" t="inlineStr">
        <is>
          <t>1</t>
        </is>
      </c>
      <c r="J1771" t="inlineStr"/>
      <c r="K1771" t="inlineStr"/>
      <c r="L1771" t="inlineStr"/>
      <c r="M1771" t="inlineStr"/>
      <c r="N1771" t="inlineStr"/>
      <c r="O1771">
        <f>(1-Summary!$B$11)*T1771+Summary!$B$11*V1771</f>
        <v/>
      </c>
      <c r="P1771">
        <f>IF(B1790=0,0,O1771/B1790)</f>
        <v/>
      </c>
      <c r="Q1771" t="n">
        <v>0</v>
      </c>
      <c r="R1771" t="n">
        <v>0</v>
      </c>
      <c r="S1771">
        <f>IFERROR(O1771/N1771,0)</f>
        <v/>
      </c>
      <c r="T1771" t="n">
        <v>0</v>
      </c>
      <c r="V1771" t="n">
        <v>0</v>
      </c>
    </row>
    <row r="1772">
      <c r="A1772">
        <f>Skills!A21</f>
        <v/>
      </c>
      <c r="B1772">
        <f>Skills!B21</f>
        <v/>
      </c>
      <c r="C1772">
        <f>Inputs!$B$3&gt;=38</f>
        <v/>
      </c>
      <c r="D1772">
        <f>IF(Skills!C21=1,60+Inputs!$B$25+Inputs!$B$29,IF(Skills!C21=2,90+Inputs!$B$26+Inputs!$B$29,IF(Skills!C21=3,120+Inputs!$B$27+Inputs!$B$29,MAX(0,(Inputs!$B$3-100)*3)+Inputs!$B$28+Inputs!$B$29)))</f>
        <v/>
      </c>
      <c r="E1772">
        <f>INDEX(FactorTable!$B$2:$Y$301, MATCH(ROUND(MIN(300,MAX(1,D1772)),0), FactorTable!$A$2:$A$301,0), Skills!M21+1)</f>
        <v/>
      </c>
      <c r="F1772">
        <f>IF(Skills!N21=TRUE,(Skills!L21/10)*(E1772/1000),Skills!L21/10)+Skills!O21</f>
        <v/>
      </c>
      <c r="G1772">
        <f>Skills!G21*IF(Skills!H21&gt;0,Skills!I21/Skills!H21,1)</f>
        <v/>
      </c>
      <c r="H1772">
        <f>1-(1-Skills!J21/100)^Skills!K21</f>
        <v/>
      </c>
      <c r="I1772" t="inlineStr">
        <is>
          <t>1</t>
        </is>
      </c>
      <c r="J1772" t="inlineStr"/>
      <c r="K1772" t="inlineStr"/>
      <c r="L1772" t="inlineStr"/>
      <c r="M1772" t="inlineStr"/>
      <c r="N1772" t="inlineStr"/>
      <c r="O1772">
        <f>(1-Summary!$B$11)*T1772+Summary!$B$11*V1772</f>
        <v/>
      </c>
      <c r="P1772">
        <f>IF(B1790=0,0,O1772/B1790)</f>
        <v/>
      </c>
      <c r="Q1772" t="n">
        <v>0</v>
      </c>
      <c r="R1772" t="n">
        <v>0</v>
      </c>
      <c r="S1772">
        <f>IFERROR(O1772/N1772,0)</f>
        <v/>
      </c>
      <c r="T1772" t="n">
        <v>0</v>
      </c>
      <c r="V1772" t="n">
        <v>0</v>
      </c>
    </row>
    <row r="1773">
      <c r="A1773">
        <f>Skills!A22</f>
        <v/>
      </c>
      <c r="B1773">
        <f>Skills!B22</f>
        <v/>
      </c>
      <c r="C1773">
        <f>Inputs!$B$3&gt;=43</f>
        <v/>
      </c>
      <c r="D1773">
        <f>IF(Skills!C22=1,60+Inputs!$B$25+Inputs!$B$29,IF(Skills!C22=2,90+Inputs!$B$26+Inputs!$B$29,IF(Skills!C22=3,120+Inputs!$B$27+Inputs!$B$29,MAX(0,(Inputs!$B$3-100)*3)+Inputs!$B$28+Inputs!$B$29)))</f>
        <v/>
      </c>
      <c r="E1773">
        <f>INDEX(FactorTable!$B$2:$Y$301, MATCH(ROUND(MIN(300,MAX(1,D1773)),0), FactorTable!$A$2:$A$301,0), Skills!M22+1)</f>
        <v/>
      </c>
      <c r="F1773">
        <f>IF(Skills!N22=TRUE,(Skills!L22/10)*(E1773/1000),Skills!L22/10)+Skills!O22</f>
        <v/>
      </c>
      <c r="G1773">
        <f>Skills!G22*IF(Skills!H22&gt;0,Skills!I22/Skills!H22,1)</f>
        <v/>
      </c>
      <c r="H1773">
        <f>1-(1-Skills!J22/100)^Skills!K22</f>
        <v/>
      </c>
      <c r="I1773" t="inlineStr">
        <is>
          <t>1</t>
        </is>
      </c>
      <c r="J1773" t="inlineStr"/>
      <c r="K1773" t="inlineStr"/>
      <c r="L1773" t="inlineStr"/>
      <c r="M1773" t="inlineStr"/>
      <c r="N1773" t="inlineStr"/>
      <c r="O1773">
        <f>(1-Summary!$B$11)*T1773+Summary!$B$11*V1773</f>
        <v/>
      </c>
      <c r="P1773">
        <f>IF(B1790=0,0,O1773/B1790)</f>
        <v/>
      </c>
      <c r="Q1773" t="n">
        <v>0</v>
      </c>
      <c r="R1773" t="n">
        <v>0</v>
      </c>
      <c r="S1773">
        <f>IFERROR(O1773/N1773,0)</f>
        <v/>
      </c>
      <c r="T1773" t="n">
        <v>0</v>
      </c>
      <c r="V1773" t="n">
        <v>0</v>
      </c>
    </row>
    <row r="1774">
      <c r="A1774">
        <f>Skills!A23</f>
        <v/>
      </c>
      <c r="B1774">
        <f>Skills!B23</f>
        <v/>
      </c>
      <c r="C1774">
        <f>Inputs!$B$3&gt;=120</f>
        <v/>
      </c>
      <c r="D1774">
        <f>IF(Skills!C23=1,60+Inputs!$B$25+Inputs!$B$29,IF(Skills!C23=2,90+Inputs!$B$26+Inputs!$B$29,IF(Skills!C23=3,120+Inputs!$B$27+Inputs!$B$29,MAX(0,(Inputs!$B$3-100)*3)+Inputs!$B$28+Inputs!$B$29)))</f>
        <v/>
      </c>
      <c r="E1774">
        <f>INDEX(FactorTable!$B$2:$Y$301, MATCH(ROUND(MIN(300,MAX(1,D1774)),0), FactorTable!$A$2:$A$301,0), Skills!M23+1)</f>
        <v/>
      </c>
      <c r="F1774">
        <f>IF(Skills!N23=TRUE,(Skills!L23/10)*(E1774/1000),Skills!L23/10)+Skills!O23</f>
        <v/>
      </c>
      <c r="G1774">
        <f>Skills!G23*IF(Skills!H23&gt;0,Skills!I23/Skills!H23,1)</f>
        <v/>
      </c>
      <c r="H1774">
        <f>1-(1-Skills!J23/100)^Skills!K23</f>
        <v/>
      </c>
      <c r="I1774" t="inlineStr">
        <is>
          <t>1</t>
        </is>
      </c>
      <c r="J1774" t="inlineStr"/>
      <c r="K1774" t="inlineStr"/>
      <c r="L1774" t="inlineStr"/>
      <c r="M1774" t="inlineStr"/>
      <c r="N1774" t="inlineStr"/>
      <c r="O1774">
        <f>(1-Summary!$B$11)*T1774+Summary!$B$11*V1774</f>
        <v/>
      </c>
      <c r="P1774">
        <f>IF(B1790=0,0,O1774/B1790)</f>
        <v/>
      </c>
      <c r="Q1774" t="n">
        <v>0</v>
      </c>
      <c r="R1774" t="n">
        <v>0</v>
      </c>
      <c r="S1774">
        <f>IFERROR(O1774/N1774,0)</f>
        <v/>
      </c>
      <c r="T1774" t="n">
        <v>0</v>
      </c>
      <c r="V1774" t="n">
        <v>0</v>
      </c>
    </row>
    <row r="1775">
      <c r="A1775">
        <f>Skills!A24</f>
        <v/>
      </c>
      <c r="B1775">
        <f>Skills!B24</f>
        <v/>
      </c>
      <c r="C1775">
        <f>Inputs!$B$3&gt;=120</f>
        <v/>
      </c>
      <c r="D1775">
        <f>IF(Skills!C24=1,60+Inputs!$B$25+Inputs!$B$29,IF(Skills!C24=2,90+Inputs!$B$26+Inputs!$B$29,IF(Skills!C24=3,120+Inputs!$B$27+Inputs!$B$29,MAX(0,(Inputs!$B$3-100)*3)+Inputs!$B$28+Inputs!$B$29)))</f>
        <v/>
      </c>
      <c r="E1775">
        <f>INDEX(FactorTable!$B$2:$Y$301, MATCH(ROUND(MIN(300,MAX(1,D1775)),0), FactorTable!$A$2:$A$301,0), Skills!M24+1)</f>
        <v/>
      </c>
      <c r="F1775">
        <f>IF(Skills!N24=TRUE,(Skills!L24/10)*(E1775/1000),Skills!L24/10)+Skills!O24</f>
        <v/>
      </c>
      <c r="G1775">
        <f>Skills!G24*IF(Skills!H24&gt;0,Skills!I24/Skills!H24,1)</f>
        <v/>
      </c>
      <c r="H1775">
        <f>1-(1-Skills!J24/100)^Skills!K24</f>
        <v/>
      </c>
      <c r="I1775" t="inlineStr">
        <is>
          <t>1</t>
        </is>
      </c>
      <c r="J1775" t="inlineStr"/>
      <c r="K1775" t="inlineStr"/>
      <c r="L1775" t="inlineStr"/>
      <c r="M1775" t="inlineStr"/>
      <c r="N1775" t="inlineStr"/>
      <c r="O1775">
        <f>(1-Summary!$B$11)*T1775+Summary!$B$11*V1775</f>
        <v/>
      </c>
      <c r="P1775">
        <f>IF(B1790=0,0,O1775/B1790)</f>
        <v/>
      </c>
      <c r="Q1775" t="n">
        <v>0</v>
      </c>
      <c r="R1775" t="n">
        <v>0</v>
      </c>
      <c r="S1775">
        <f>IFERROR(O1775/N1775,0)</f>
        <v/>
      </c>
      <c r="T1775" t="n">
        <v>0</v>
      </c>
      <c r="V1775" t="n">
        <v>0</v>
      </c>
    </row>
    <row r="1776">
      <c r="A1776">
        <f>Skills!A25</f>
        <v/>
      </c>
      <c r="B1776">
        <f>Skills!B25</f>
        <v/>
      </c>
      <c r="C1776">
        <f>Inputs!$B$3&gt;=125</f>
        <v/>
      </c>
      <c r="D1776">
        <f>IF(Skills!C25=1,60+Inputs!$B$25+Inputs!$B$29,IF(Skills!C25=2,90+Inputs!$B$26+Inputs!$B$29,IF(Skills!C25=3,120+Inputs!$B$27+Inputs!$B$29,MAX(0,(Inputs!$B$3-100)*3)+Inputs!$B$28+Inputs!$B$29)))</f>
        <v/>
      </c>
      <c r="E1776">
        <f>INDEX(FactorTable!$B$2:$Y$301, MATCH(ROUND(MIN(300,MAX(1,D1776)),0), FactorTable!$A$2:$A$301,0), Skills!M25+1)</f>
        <v/>
      </c>
      <c r="F1776">
        <f>IF(Skills!N25=TRUE,(Skills!L25/10)*(E1776/1000),Skills!L25/10)+Skills!O25</f>
        <v/>
      </c>
      <c r="G1776">
        <f>Skills!G25*IF(Skills!H25&gt;0,Skills!I25/Skills!H25,1)</f>
        <v/>
      </c>
      <c r="H1776">
        <f>1-(1-Skills!J25/100)^Skills!K25</f>
        <v/>
      </c>
      <c r="I1776" t="inlineStr">
        <is>
          <t>1</t>
        </is>
      </c>
      <c r="J1776" t="inlineStr"/>
      <c r="K1776" t="inlineStr"/>
      <c r="L1776" t="inlineStr"/>
      <c r="M1776" t="inlineStr"/>
      <c r="N1776" t="inlineStr"/>
      <c r="O1776">
        <f>(1-Summary!$B$11)*T1776+Summary!$B$11*V1776</f>
        <v/>
      </c>
      <c r="P1776">
        <f>IF(B1790=0,0,O1776/B1790)</f>
        <v/>
      </c>
      <c r="Q1776" t="n">
        <v>0</v>
      </c>
      <c r="R1776" t="n">
        <v>0</v>
      </c>
      <c r="S1776">
        <f>IFERROR(O1776/N1776,0)</f>
        <v/>
      </c>
      <c r="T1776" t="n">
        <v>0</v>
      </c>
      <c r="V1776" t="n">
        <v>0</v>
      </c>
    </row>
    <row r="1777">
      <c r="A1777">
        <f>Skills!A26</f>
        <v/>
      </c>
      <c r="B1777">
        <f>Skills!B26</f>
        <v/>
      </c>
      <c r="C1777">
        <f>Inputs!$B$3&gt;=72</f>
        <v/>
      </c>
      <c r="D1777">
        <f>IF(Skills!C26=1,60+Inputs!$B$25+Inputs!$B$29,IF(Skills!C26=2,90+Inputs!$B$26+Inputs!$B$29,IF(Skills!C26=3,120+Inputs!$B$27+Inputs!$B$29,MAX(0,(Inputs!$B$3-100)*3)+Inputs!$B$28+Inputs!$B$29)))</f>
        <v/>
      </c>
      <c r="E1777">
        <f>INDEX(FactorTable!$B$2:$Y$301, MATCH(ROUND(MIN(300,MAX(1,D1777)),0), FactorTable!$A$2:$A$301,0), Skills!M26+1)</f>
        <v/>
      </c>
      <c r="F1777">
        <f>IF(Skills!N26=TRUE,(Skills!L26/10)*(E1777/1000),Skills!L26/10)+Skills!O26</f>
        <v/>
      </c>
      <c r="G1777">
        <f>Skills!G26*IF(Skills!H26&gt;0,Skills!I26/Skills!H26,1)</f>
        <v/>
      </c>
      <c r="H1777">
        <f>1-(1-Skills!J26/100)^Skills!K26</f>
        <v/>
      </c>
      <c r="I1777" t="inlineStr">
        <is>
          <t>1</t>
        </is>
      </c>
      <c r="J1777" t="inlineStr"/>
      <c r="K1777" t="inlineStr"/>
      <c r="L1777" t="inlineStr"/>
      <c r="M1777" t="inlineStr"/>
      <c r="N1777" t="inlineStr"/>
      <c r="O1777">
        <f>(1-Summary!$B$11)*T1777+Summary!$B$11*V1777</f>
        <v/>
      </c>
      <c r="P1777">
        <f>IF(B1790=0,0,O1777/B1790)</f>
        <v/>
      </c>
      <c r="Q1777" t="n">
        <v>0</v>
      </c>
      <c r="R1777" t="n">
        <v>0</v>
      </c>
      <c r="S1777">
        <f>IFERROR(O1777/N1777,0)</f>
        <v/>
      </c>
      <c r="T1777" t="n">
        <v>0</v>
      </c>
      <c r="V1777" t="n">
        <v>0</v>
      </c>
    </row>
    <row r="1779">
      <c r="A1779" t="inlineStr">
        <is>
          <t>Attack% Bucket Multiplier</t>
        </is>
      </c>
      <c r="B1779">
        <f>(1+(((C1764=TRUE)*F1764*IF(Inputs!$B$3&gt;=110,7,5))+((C1766=TRUE)*F1766*IF(AND(Inputs!$B$38&lt;&gt;"pvp",Inputs!$B$43&gt;0),(((R1766-1)*(Skills!T15*(1+(Inputs!$B$34+(ArtifactsInput!$M$7-ArtifactsInput!$M$7)*CHOOSE(ArtifactsInput!$N$7+1,6,7.2,8.4,9.6,10.8,12))/100))+MIN((Skills!T15*(1+(Inputs!$B$34+(ArtifactsInput!$M$7-ArtifactsInput!$M$7)*CHOOSE(ArtifactsInput!$N$7+1,6,7.2,8.4,9.6,10.8,12))/100)),MAX(0,Inputs!$B$43-((R1766-1)*Skills!D15))))/Inputs!$B$43),IF(Inputs!$B$38="pvp",MIN((Skills!T15*(1+(Inputs!$B$34+(ArtifactsInput!$M$7-ArtifactsInput!$M$7)*CHOOSE(ArtifactsInput!$N$7+1,6,7.2,8.4,9.6,10.8,12))/100)),15)/15,(Skills!T15*(1+(Inputs!$B$34+(ArtifactsInput!$M$7-ArtifactsInput!$M$7)*CHOOSE(ArtifactsInput!$N$7+1,6,7.2,8.4,9.6,10.8,12))/100))/Skills!D15)))+0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80">
      <c r="A1780" t="inlineStr">
        <is>
          <t>Global Crit Rate Bonus %</t>
        </is>
      </c>
      <c r="B1780" t="n">
        <v>0</v>
      </c>
    </row>
    <row r="1781">
      <c r="A1781" t="inlineStr">
        <is>
          <t>Attack Speed Buff Bonus %</t>
        </is>
      </c>
      <c r="B1781">
        <f>((C1770=TRUE)*F1770*IF(AND(Inputs!$B$38&lt;&gt;"pvp",Inputs!$B$43&gt;0),(((R1770-1)*(Skills!T19*(1+(Inputs!$B$34+(ArtifactsInput!$M$7-ArtifactsInput!$M$7)*CHOOSE(ArtifactsInput!$N$7+1,6,7.2,8.4,9.6,10.8,12))/100))+MIN((Skills!T19*(1+(Inputs!$B$34+(ArtifactsInput!$M$7-ArtifactsInput!$M$7)*CHOOSE(ArtifactsInput!$N$7+1,6,7.2,8.4,9.6,10.8,12))/100)),MAX(0,Inputs!$B$43-((R1770-1)*Skills!D19))))/Inputs!$B$43),IF(Inputs!$B$38="pvp",MIN((Skills!T19*(1+(Inputs!$B$34+(ArtifactsInput!$M$7-ArtifactsInput!$M$7)*CHOOSE(ArtifactsInput!$N$7+1,6,7.2,8.4,9.6,10.8,12))/100)),15)/15,(Skills!T19*(1+(Inputs!$B$34+(ArtifactsInput!$M$7-ArtifactsInput!$M$7)*CHOOSE(ArtifactsInput!$N$7+1,6,7.2,8.4,9.6,10.8,12))/100))/Skills!D19)))</f>
        <v/>
      </c>
    </row>
    <row r="1782">
      <c r="A1782" t="inlineStr">
        <is>
          <t>Actions Per Second</t>
        </is>
      </c>
      <c r="B1782">
        <f>1+MIN(150,150*(1-(1-(Inputs!$B$11+((C1771=TRUE)*(F1771-Calc!F20)))/150)*(1-B1781/150)))/100</f>
        <v/>
      </c>
    </row>
    <row r="1783">
      <c r="A1783" t="inlineStr">
        <is>
          <t>Skill + Buff Cast Rate</t>
        </is>
      </c>
      <c r="B1783">
        <f>IF(AND(Inputs!$B$38&lt;&gt;"pvp",Inputs!$B$43&gt;0),SUMPRODUCT((Skills!E2:E26=TRUE)*(C1753:C1777=TRUE)*R1753:R1777*Skills!F2:F26)/Inputs!$B$43,SUMPRODUCT((Skills!E2:E26=TRUE)*(C1753:C1777=TRUE)*Q1753:Q1777*Skills!F2:F26))</f>
        <v/>
      </c>
    </row>
    <row r="1784">
      <c r="A1784" t="inlineStr">
        <is>
          <t>Raging Blow Casts Per Second</t>
        </is>
      </c>
      <c r="B1784">
        <f>MAX(0,B1782-B1783)</f>
        <v/>
      </c>
    </row>
    <row r="1785">
      <c r="A1785" t="inlineStr">
        <is>
          <t>Global Critical Damage Bonus % (Enrage)</t>
        </is>
      </c>
      <c r="B1785">
        <f>((C1769=TRUE)*F1769*IF(AND(Inputs!$B$38&lt;&gt;"pvp",Inputs!$B$43&gt;0),(((R1769-1)*(Skills!T18*(1+(Inputs!$B$34+(ArtifactsInput!$M$7-ArtifactsInput!$M$7)*CHOOSE(ArtifactsInput!$N$7+1,6,7.2,8.4,9.6,10.8,12))/100))+MIN((Skills!T18*(1+(Inputs!$B$34+(ArtifactsInput!$M$7-ArtifactsInput!$M$7)*CHOOSE(ArtifactsInput!$N$7+1,6,7.2,8.4,9.6,10.8,12))/100)),MAX(0,Inputs!$B$43-((R1769-1)*Skills!D18))))/Inputs!$B$43),IF(Inputs!$B$38="pvp",MIN((Skills!T18*(1+(Inputs!$B$34+(ArtifactsInput!$M$7-ArtifactsInput!$M$7)*CHOOSE(ArtifactsInput!$N$7+1,6,7.2,8.4,9.6,10.8,12))/100)),15)/15,(Skills!T18*(1+(Inputs!$B$34+(ArtifactsInput!$M$7-ArtifactsInput!$M$7)*CHOOSE(ArtifactsInput!$N$7+1,6,7.2,8.4,9.6,10.8,12))/100))/Skills!D18)))</f>
        <v/>
      </c>
    </row>
    <row r="1786">
      <c r="A1786" t="inlineStr">
        <is>
          <t>Global Final Damage Bonus % (Enrage + Combo Synergy)</t>
        </is>
      </c>
      <c r="B1786">
        <f>((C1768=TRUE)*F1768*IF(AND(Inputs!$B$38&lt;&gt;"pvp",Inputs!$B$43&gt;0),(((R1768-1)*(Skills!T17*(1+(Inputs!$B$34+(ArtifactsInput!$M$7-ArtifactsInput!$M$7)*CHOOSE(ArtifactsInput!$N$7+1,6,7.2,8.4,9.6,10.8,12))/100))+MIN((Skills!T17*(1+(Inputs!$B$34+(ArtifactsInput!$M$7-ArtifactsInput!$M$7)*CHOOSE(ArtifactsInput!$N$7+1,6,7.2,8.4,9.6,10.8,12))/100)),MAX(0,Inputs!$B$43-((R1768-1)*Skills!D17))))/Inputs!$B$43),IF(Inputs!$B$38="pvp",MIN((Skills!T17*(1+(Inputs!$B$34+(ArtifactsInput!$M$7-ArtifactsInput!$M$7)*CHOOSE(ArtifactsInput!$N$7+1,6,7.2,8.4,9.6,10.8,12))/100)),15)/15,(Skills!T17*(1+(Inputs!$B$34+(ArtifactsInput!$M$7-ArtifactsInput!$M$7)*CHOOSE(ArtifactsInput!$N$7+1,6,7.2,8.4,9.6,10.8,12))/100))/Skills!D17)))+((C1765=TRUE)*F1765*IF(Inputs!$B$3&gt;=110,7,5))</f>
        <v/>
      </c>
    </row>
    <row r="1787">
      <c r="A1787" t="inlineStr">
        <is>
          <t>Buff-Casting Startup Delay (s, fixed-duration only)</t>
        </is>
      </c>
      <c r="B1787">
        <f>IF(AND(Inputs!$B$38&lt;&gt;"pvp",Inputs!$B$43&gt;0),SUMPRODUCT((Skills!T2:T26&gt;0)*(Skills!E2:E26=TRUE)*(C1753:C1777=TRUE))/B1782,0)</f>
        <v/>
      </c>
    </row>
    <row r="1788">
      <c r="A1788" t="inlineStr">
        <is>
          <t>Boss-Only Total DPS (this block's swept value)</t>
        </is>
      </c>
      <c r="B1788">
        <f>SUM(T1753:T1777)</f>
        <v/>
      </c>
    </row>
    <row r="1789">
      <c r="A1789" t="inlineStr">
        <is>
          <t>Normal-Only Total DPS (this block's swept value)</t>
        </is>
      </c>
      <c r="B1789">
        <f>SUM(V1753:V1777)</f>
        <v/>
      </c>
    </row>
    <row r="1790">
      <c r="A1790" s="6" t="inlineStr">
        <is>
          <t>TOTAL DPS</t>
        </is>
      </c>
      <c r="B1790" s="6">
        <f>SUM(O1753:O1777)</f>
        <v/>
      </c>
    </row>
    <row r="1793">
      <c r="A1793" s="6" t="inlineStr">
        <is>
          <t>Stat: Silver Pendant (Equip)</t>
        </is>
      </c>
    </row>
    <row r="1794">
      <c r="A1794" s="5" t="inlineStr">
        <is>
          <t>Key</t>
        </is>
      </c>
      <c r="B1794" s="5" t="inlineStr">
        <is>
          <t>Name</t>
        </is>
      </c>
      <c r="C1794" s="5" t="inlineStr">
        <is>
          <t>Unlocked</t>
        </is>
      </c>
      <c r="D1794" s="5" t="inlineStr">
        <is>
          <t>InputLevel</t>
        </is>
      </c>
      <c r="E1794" s="5" t="inlineStr">
        <is>
          <t>Factor</t>
        </is>
      </c>
      <c r="F1794" s="5" t="inlineStr">
        <is>
          <t>CoefficientPercent</t>
        </is>
      </c>
      <c r="G1794" s="5" t="inlineStr">
        <is>
          <t>EffectiveHits</t>
        </is>
      </c>
      <c r="H1794" s="5" t="inlineStr">
        <is>
          <t>ProcProbability</t>
        </is>
      </c>
      <c r="I1794" s="5" t="inlineStr">
        <is>
          <t>MapleHeroMultiplier</t>
        </is>
      </c>
      <c r="J1794" s="5" t="inlineStr">
        <is>
          <t>BaseDamage</t>
        </is>
      </c>
      <c r="K1794" s="5" t="inlineStr">
        <is>
          <t>BaseHitDamage</t>
        </is>
      </c>
      <c r="L1794" s="5" t="inlineStr">
        <is>
          <t>NonCritAvg</t>
        </is>
      </c>
      <c r="M1794" s="5" t="inlineStr">
        <is>
          <t>CritAvg</t>
        </is>
      </c>
      <c r="N1794" s="5" t="inlineStr">
        <is>
          <t>ExpectedDamage(perHit)</t>
        </is>
      </c>
      <c r="O1794" s="5" t="inlineStr">
        <is>
          <t>DPS</t>
        </is>
      </c>
      <c r="P1794" s="5" t="inlineStr">
        <is>
          <t>% of Total</t>
        </is>
      </c>
      <c r="Q1794" s="5" t="inlineStr">
        <is>
          <t>InvCooldown</t>
        </is>
      </c>
      <c r="R1794" s="5" t="inlineStr">
        <is>
          <t>CastsInFight</t>
        </is>
      </c>
      <c r="S1794" s="5" t="inlineStr">
        <is>
          <t>HitRate(perSec)</t>
        </is>
      </c>
      <c r="U1794" t="inlineStr">
        <is>
          <t>helpers</t>
        </is>
      </c>
    </row>
    <row r="1795">
      <c r="A1795">
        <f>Skills!A2</f>
        <v/>
      </c>
      <c r="B1795">
        <f>Skills!B2</f>
        <v/>
      </c>
      <c r="C1795">
        <f>Inputs!$B$3&gt;=100</f>
        <v/>
      </c>
      <c r="D1795" t="inlineStr"/>
      <c r="E1795" t="inlineStr"/>
      <c r="F1795">
        <f>U1797+Skills!O2</f>
        <v/>
      </c>
      <c r="G1795">
        <f>Skills!G2*IF(Skills!H2&gt;0,Skills!I2/Skills!H2,1)</f>
        <v/>
      </c>
      <c r="H1795">
        <f>1-(1-Skills!J2/100)^Skills!K2</f>
        <v/>
      </c>
      <c r="I1795" t="inlineStr">
        <is>
          <t>1</t>
        </is>
      </c>
      <c r="J1795">
        <f>((Inputs!$B$6*(1+Inputs!$B$7/100))+(((Inputs!$B$12*(1+Inputs!$B$13/100))-(Inputs!$B$12*(1+Inputs!$B$13/100)))+0.25*(Inputs!$B$14-Inputs!$B$14))*(1+Inputs!$B$7/100))*(F1795/100)</f>
        <v/>
      </c>
      <c r="K1795">
        <f>J1795*(1+((Inputs!$B$12*(1+Inputs!$B$13/100))*0.01+Inputs!$B$14*0.0025)/100)*(1+Inputs!$B$15/100)*(1+Inputs!$B$16/100)*(5000/(6000+Inputs!$B$42*(1-(100*(1-(1-(Inputs!$B$19+0)/100)*(1-CHOOSE(ArtifactsInput!$N$40+1,5,6,7,8,9,10)/100)^(ArtifactsInput!$M$40-ArtifactsInput!$M$40)))/100)))*(1+(Inputs!$B$24+((C1818=TRUE)*(F1818-Calc!F25))+B1828)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1814=TRUE)*(F1814-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1816=TRUE)*(F1816-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1806=TRUE)*F1806*IF(Inputs!$B$3&gt;=110,7,5))+((C1808=TRUE)*F1808*IF(AND(Inputs!$B$38&lt;&gt;"pvp",Inputs!$B$43&gt;0),(((R1808-1)*(Skills!T15*(1+(Inputs!$B$34+(ArtifactsInput!$M$7-ArtifactsInput!$M$7)*CHOOSE(ArtifactsInput!$N$7+1,6,7.2,8.4,9.6,10.8,12))/100))+MIN((Skills!T15*(1+(Inputs!$B$34+(ArtifactsInput!$M$7-ArtifactsInput!$M$7)*CHOOSE(ArtifactsInput!$N$7+1,6,7.2,8.4,9.6,10.8,12))/100)),MAX(0,Inputs!$B$43-((R1808-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Hunt"),CHOOSE(ArtifactsInput!$N$35+1,15,18,21,24,27,30)*(1-EXP(-(0.2*B1824)*5)),0)+IF(AND(IF(ArtifactsInput!$M$22,FALSE,TRUE),Inputs!$B$4&lt;&gt;"Chapter Hunt"),CHOOSE(ArtifactsInput!$N$22+1,10,12,14,16,18,20)*((0*(((0.15*B1824*5))^0/1)+1*(((0.15*B1824*5))^1/1)+2*(((0.15*B1824*5))^2/2)+3*(((0.15*B1824*5))^3/6)+4*(((0.15*B1824*5))^4/24)+5*(((0.15*B1824*5))^5/120))/((((0.15*B1824*5))^0/1)+(((0.15*B1824*5))^1/1)+(((0.15*B1824*5))^2/2)+(((0.15*B1824*5))^3/6)+(((0.15*B1824*5))^4/24)+(((0.15*B1824*5))^5/120))),0)))/100)*I1795)</f>
        <v/>
      </c>
      <c r="L1795">
        <f>K1795*(MIN(Inputs!$B$22+((C1815=TRUE)*(F1815-Calc!F22)),(Inputs!$B$23+((C1817=TRUE)*(F1817-Calc!F24))+(IF(ArtifactsInput!$M$15,CHOOSE(ArtifactsInput!$N$15+1,25,30,35,40,45,50)/100*(Inputs!$B$11-Inputs!$B$11),0))))/100+(Inputs!$B$23+((C1817=TRUE)*(F1817-Calc!F24))+(IF(ArtifactsInput!$M$15,CHOOSE(ArtifactsInput!$N$15+1,25,30,35,40,45,50)/100*(Inputs!$B$11-Inputs!$B$11),0)))/100)/2</f>
        <v/>
      </c>
      <c r="M1795">
        <f>L1795*(1+(Inputs!$B$10+0+B1827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5">
        <f>L1795*(1-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1795*(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5">
        <f>(1-Summary!$B$11)*T1795+Summary!$B$11*V1795</f>
        <v/>
      </c>
      <c r="P1795">
        <f>IF(B1832=0,0,O1795/B1832)</f>
        <v/>
      </c>
      <c r="Q1795" t="n">
        <v>0</v>
      </c>
      <c r="R1795" t="n">
        <v>0</v>
      </c>
      <c r="S1795">
        <f>IFERROR(O1795/N1795,0)</f>
        <v/>
      </c>
      <c r="T1795">
        <f>IF(C1795,(Skills!G2*N1795*B1826)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1795*(1-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1795*(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1795*(1-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1795*(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5">
        <f>MAX(0,(Inputs!$B$3-100)*3)+Inputs!$B$28+Inputs!$B$29</f>
        <v/>
      </c>
      <c r="V1795">
        <f>IF(C1795,(Skills!G2*N1795*B1826)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6">
      <c r="A1796">
        <f>Skills!A3</f>
        <v/>
      </c>
      <c r="B1796">
        <f>Skills!B3</f>
        <v/>
      </c>
      <c r="C1796">
        <f>Inputs!$B$3&gt;=50</f>
        <v/>
      </c>
      <c r="D1796">
        <f>IF(Skills!C3=1,60+Inputs!$B$25+Inputs!$B$29,IF(Skills!C3=2,90+Inputs!$B$26+Inputs!$B$29,IF(Skills!C3=3,120+Inputs!$B$27+Inputs!$B$29,MAX(0,(Inputs!$B$3-100)*3)+Inputs!$B$28+Inputs!$B$29)))</f>
        <v/>
      </c>
      <c r="E1796">
        <f>INDEX(FactorTable!$B$2:$Y$301, MATCH(ROUND(MIN(300,MAX(1,D1796)),0), FactorTable!$A$2:$A$301,0), Skills!M3+1)</f>
        <v/>
      </c>
      <c r="F1796">
        <f>IF(Skills!N3=TRUE,(Skills!L3/10)*(E1796/1000),Skills!L3/10)+Skills!O3</f>
        <v/>
      </c>
      <c r="G1796" t="inlineStr"/>
      <c r="H1796" t="inlineStr"/>
      <c r="I1796" t="inlineStr">
        <is>
          <t>1</t>
        </is>
      </c>
      <c r="J1796" t="inlineStr"/>
      <c r="K1796" t="inlineStr"/>
      <c r="L1796" t="inlineStr"/>
      <c r="M1796" t="inlineStr"/>
      <c r="N1796" t="inlineStr"/>
      <c r="O1796" t="inlineStr"/>
      <c r="P1796" t="inlineStr"/>
      <c r="Q1796" t="inlineStr"/>
      <c r="R1796" t="inlineStr"/>
      <c r="S1796" t="inlineStr"/>
      <c r="U1796">
        <f>INDEX(FactorTable!$B$2:$Y$301, MATCH(ROUND(MIN(300,MAX(1,U1795)),0), FactorTable!$A$2:$A$301,0), 22)</f>
        <v/>
      </c>
    </row>
    <row r="1797">
      <c r="A1797">
        <f>Skills!A4</f>
        <v/>
      </c>
      <c r="B1797">
        <f>Skills!B4</f>
        <v/>
      </c>
      <c r="C1797">
        <f>Inputs!$B$3&gt;=105</f>
        <v/>
      </c>
      <c r="D1797">
        <f>IF(Skills!C4=1,60+Inputs!$B$25+Inputs!$B$29,IF(Skills!C4=2,90+Inputs!$B$26+Inputs!$B$29,IF(Skills!C4=3,120+Inputs!$B$27+Inputs!$B$29,MAX(0,(Inputs!$B$3-100)*3)+Inputs!$B$28+Inputs!$B$29)))</f>
        <v/>
      </c>
      <c r="E1797">
        <f>INDEX(FactorTable!$B$2:$Y$301, MATCH(ROUND(MIN(300,MAX(1,D1797)),0), FactorTable!$A$2:$A$301,0), Skills!M4+1)</f>
        <v/>
      </c>
      <c r="F1797">
        <f>IF(Skills!N4=TRUE,(Skills!L4/10)*(E1797/1000),Skills!L4/10)+Skills!O4</f>
        <v/>
      </c>
      <c r="G1797" t="inlineStr"/>
      <c r="H1797" t="inlineStr"/>
      <c r="I1797" t="inlineStr">
        <is>
          <t>1</t>
        </is>
      </c>
      <c r="J1797" t="inlineStr"/>
      <c r="K1797" t="inlineStr"/>
      <c r="L1797" t="inlineStr"/>
      <c r="M1797" t="inlineStr"/>
      <c r="N1797" t="inlineStr"/>
      <c r="O1797" t="inlineStr"/>
      <c r="P1797" t="inlineStr"/>
      <c r="Q1797" t="inlineStr"/>
      <c r="R1797" t="inlineStr"/>
      <c r="S1797" t="inlineStr"/>
      <c r="U1797">
        <f>290*U1796/1000</f>
        <v/>
      </c>
    </row>
    <row r="1798">
      <c r="A1798">
        <f>Skills!A5</f>
        <v/>
      </c>
      <c r="B1798">
        <f>Skills!B5</f>
        <v/>
      </c>
      <c r="C1798">
        <f>Inputs!$B$3&gt;=103</f>
        <v/>
      </c>
      <c r="D1798">
        <f>IF(Skills!C5=1,60+Inputs!$B$25+Inputs!$B$29,IF(Skills!C5=2,90+Inputs!$B$26+Inputs!$B$29,IF(Skills!C5=3,120+Inputs!$B$27+Inputs!$B$29,MAX(0,(Inputs!$B$3-100)*3)+Inputs!$B$28+Inputs!$B$29)))</f>
        <v/>
      </c>
      <c r="E1798">
        <f>INDEX(FactorTable!$B$2:$Y$301, MATCH(ROUND(MIN(300,MAX(1,D1798)),0), FactorTable!$A$2:$A$301,0), Skills!M5+1)</f>
        <v/>
      </c>
      <c r="F1798">
        <f>IF(Skills!N5=TRUE,(Skills!L5/10)*(E1798/1000),Skills!L5/10)+Skills!O5</f>
        <v/>
      </c>
      <c r="G1798">
        <f>Skills!G5*IF(Skills!H5&gt;0,Skills!I5/Skills!H5,1)</f>
        <v/>
      </c>
      <c r="H1798">
        <f>1-(1-Skills!J5/100)^Skills!K5</f>
        <v/>
      </c>
      <c r="I1798" t="inlineStr">
        <is>
          <t>1</t>
        </is>
      </c>
      <c r="J1798">
        <f>((Inputs!$B$6*(1+Inputs!$B$7/100))+(((Inputs!$B$12*(1+Inputs!$B$13/100))-(Inputs!$B$12*(1+Inputs!$B$13/100)))+0.25*(Inputs!$B$14-Inputs!$B$14))*(1+Inputs!$B$7/100))*(F1798/100)</f>
        <v/>
      </c>
      <c r="K1798">
        <f>J1798*(1+((Inputs!$B$12*(1+Inputs!$B$13/100))*0.01+Inputs!$B$14*0.0025)/100)*(1+Inputs!$B$15/100)*(1+Inputs!$B$16/100)*(5000/(6000+Inputs!$B$42*(1-(100*(1-(1-(Inputs!$B$19+0)/100)*(1-CHOOSE(ArtifactsInput!$N$40+1,5,6,7,8,9,10)/100)^(ArtifactsInput!$M$40-ArtifactsInput!$M$40)))/100)))*(1+(Inputs!$B$24+((C1818=TRUE)*(F1818-Calc!F25))+B1828)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1814=TRUE)*(F1814-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1816=TRUE)*(F1816-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1806=TRUE)*F1806*IF(Inputs!$B$3&gt;=110,7,5))+((C1808=TRUE)*F1808*IF(AND(Inputs!$B$38&lt;&gt;"pvp",Inputs!$B$43&gt;0),(((R1808-1)*(Skills!T15*(1+(Inputs!$B$34+(ArtifactsInput!$M$7-ArtifactsInput!$M$7)*CHOOSE(ArtifactsInput!$N$7+1,6,7.2,8.4,9.6,10.8,12))/100))+MIN((Skills!T15*(1+(Inputs!$B$34+(ArtifactsInput!$M$7-ArtifactsInput!$M$7)*CHOOSE(ArtifactsInput!$N$7+1,6,7.2,8.4,9.6,10.8,12))/100)),MAX(0,Inputs!$B$43-((R1808-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Hunt"),CHOOSE(ArtifactsInput!$N$35+1,15,18,21,24,27,30)*(1-EXP(-(0.2*B1824)*5)),0)+IF(AND(IF(ArtifactsInput!$M$22,FALSE,TRUE),Inputs!$B$4&lt;&gt;"Chapter Hunt"),CHOOSE(ArtifactsInput!$N$22+1,10,12,14,16,18,20)*((0*(((0.15*B1824*5))^0/1)+1*(((0.15*B1824*5))^1/1)+2*(((0.15*B1824*5))^2/2)+3*(((0.15*B1824*5))^3/6)+4*(((0.15*B1824*5))^4/24)+5*(((0.15*B1824*5))^5/120))/((((0.15*B1824*5))^0/1)+(((0.15*B1824*5))^1/1)+(((0.15*B1824*5))^2/2)+(((0.15*B1824*5))^3/6)+(((0.15*B1824*5))^4/24)+(((0.15*B1824*5))^5/120))),0)))/100)*I1798)</f>
        <v/>
      </c>
      <c r="L1798">
        <f>K1798*(MIN(Inputs!$B$22+((C1815=TRUE)*(F1815-Calc!F22)),(Inputs!$B$23+((C1817=TRUE)*(F1817-Calc!F24))+(IF(ArtifactsInput!$M$15,CHOOSE(ArtifactsInput!$N$15+1,25,30,35,40,45,50)/100*(Inputs!$B$11-Inputs!$B$11),0))))/100+(Inputs!$B$23+((C1817=TRUE)*(F1817-Calc!F24))+(IF(ArtifactsInput!$M$15,CHOOSE(ArtifactsInput!$N$15+1,25,30,35,40,45,50)/100*(Inputs!$B$11-Inputs!$B$11),0)))/100)/2</f>
        <v/>
      </c>
      <c r="M1798">
        <f>L1798*(1+(Inputs!$B$10+0+B1827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8">
        <f>L1798*(1-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1798*(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8">
        <f>(1-Summary!$B$11)*T1798+Summary!$B$11*V1798</f>
        <v/>
      </c>
      <c r="P1798">
        <f>IF(B1832=0,0,O1798/B1832)</f>
        <v/>
      </c>
      <c r="Q1798">
        <f>IFERROR(1/(IF(Inputs!$B$38="pvp",15,MAX(0.1,Skills!D5-IF(Skills!E5=TRUE,Inputs!$B$32,0)))*(1-IF(AND(ArtifactsInput!$M$27,Inputs!$B$4="Chapter Hunt"),CHOOSE(ArtifactsInput!$N$27+1,20,24,28,32,36,40),0)/100)),0)</f>
        <v/>
      </c>
      <c r="R1798">
        <f>IF(AND(Inputs!$B$38&lt;&gt;"pvp",Inputs!$B$43&gt;0),IF(MAX(0,Inputs!$B$43-B1829)&lt;=0,0,(INT(MAX(0,Inputs!$B$43-B1829)/(IF(Inputs!$B$38="pvp",15,MAX(0.1,Skills!D5-IF(Skills!E5=TRUE,Inputs!$B$32,0)))*(1-IF(AND(ArtifactsInput!$M$27,Inputs!$B$4="Chapter Hunt"),CHOOSE(ArtifactsInput!$N$27+1,20,24,28,32,36,40),0)/100)))+1)),0)</f>
        <v/>
      </c>
      <c r="S1798">
        <f>IFERROR(O1798/N1798,0)</f>
        <v/>
      </c>
      <c r="T1798">
        <f>IF(C1798,(H1798*N1798*IF(AND(Inputs!$B$38&lt;&gt;"pvp",Inputs!$B$43&gt;0),((Skills!G5*((R1798-1)*IF(Skills!H5&gt;0,Skills!I5/Skills!H5,1)+IF(Skills!H5&gt;0,MIN(Skills!I5,MAX(0,MAX(0,Inputs!$B$43-B1829)-((R1798-1)*(IF(Inputs!$B$38="pvp",15,MAX(0.1,Skills!D5-IF(Skills!E5=TRUE,Inputs!$B$32,0)))*(1-IF(AND(ArtifactsInput!$M$27,Inputs!$B$4="Chapter Hunt"),CHOOSE(ArtifactsInput!$N$27+1,20,24,28,32,36,40),0)/100)))))/Skills!H5,1)))/Inputs!$B$43),G1798*Q1798)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1798*(1-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1798*(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1798*(1-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1798*(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8">
        <f>IF(C1798,(H1798*N1798*IF(AND(Inputs!$B$38&lt;&gt;"pvp",Inputs!$B$43&gt;0),((Skills!G5*((R1798-1)*IF(Skills!H5&gt;0,Skills!I5/Skills!H5,1)+IF(Skills!H5&gt;0,MIN(Skills!I5,MAX(0,MAX(0,Inputs!$B$43-B1829)-((R1798-1)*(IF(Inputs!$B$38="pvp",15,MAX(0.1,Skills!D5-IF(Skills!E5=TRUE,Inputs!$B$32,0)))*(1-IF(AND(ArtifactsInput!$M$27,Inputs!$B$4="Chapter Hunt"),CHOOSE(ArtifactsInput!$N$27+1,20,24,28,32,36,40),0)/100)))))/Skills!H5,1)))/Inputs!$B$43),G1798*Q1798)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9">
      <c r="A1799">
        <f>Skills!A6</f>
        <v/>
      </c>
      <c r="B1799">
        <f>Skills!B6</f>
        <v/>
      </c>
      <c r="C1799">
        <f>Inputs!$B$3&gt;=103</f>
        <v/>
      </c>
      <c r="D1799">
        <f>IF(Skills!C6=1,60+Inputs!$B$25+Inputs!$B$29,IF(Skills!C6=2,90+Inputs!$B$26+Inputs!$B$29,IF(Skills!C6=3,120+Inputs!$B$27+Inputs!$B$29,MAX(0,(Inputs!$B$3-100)*3)+Inputs!$B$28+Inputs!$B$29)))</f>
        <v/>
      </c>
      <c r="E1799">
        <f>INDEX(FactorTable!$B$2:$Y$301, MATCH(ROUND(MIN(300,MAX(1,D1799)),0), FactorTable!$A$2:$A$301,0), Skills!M6+1)</f>
        <v/>
      </c>
      <c r="F1799">
        <f>IF(Skills!N6=TRUE,(Skills!L6/10)*(E1799/1000),Skills!L6/10)+Skills!O6</f>
        <v/>
      </c>
      <c r="G1799">
        <f>Skills!G6*IF(Skills!H6&gt;0,Skills!I6/Skills!H6,1)</f>
        <v/>
      </c>
      <c r="H1799">
        <f>1-(1-Skills!J6/100)^Skills!K6</f>
        <v/>
      </c>
      <c r="I1799" t="inlineStr">
        <is>
          <t>1</t>
        </is>
      </c>
      <c r="J1799">
        <f>((Inputs!$B$6*(1+Inputs!$B$7/100))+(((Inputs!$B$12*(1+Inputs!$B$13/100))-(Inputs!$B$12*(1+Inputs!$B$13/100)))+0.25*(Inputs!$B$14-Inputs!$B$14))*(1+Inputs!$B$7/100))*(F1799/100)</f>
        <v/>
      </c>
      <c r="K1799">
        <f>J1799*(1+((Inputs!$B$12*(1+Inputs!$B$13/100))*0.01+Inputs!$B$14*0.0025)/100)*(1+Inputs!$B$15/100)*(1+Inputs!$B$16/100)*(5000/(6000+Inputs!$B$42*(1-(100*(1-(1-(Inputs!$B$19+0)/100)*(1-CHOOSE(ArtifactsInput!$N$40+1,5,6,7,8,9,10)/100)^(ArtifactsInput!$M$40-ArtifactsInput!$M$40)))/100)))*(1+(Inputs!$B$24+((C1818=TRUE)*(F1818-Calc!F25))+B1828)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1814=TRUE)*(F1814-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1816=TRUE)*(F1816-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1806=TRUE)*F1806*IF(Inputs!$B$3&gt;=110,7,5))+((C1808=TRUE)*F1808*IF(AND(Inputs!$B$38&lt;&gt;"pvp",Inputs!$B$43&gt;0),(((R1808-1)*(Skills!T15*(1+(Inputs!$B$34+(ArtifactsInput!$M$7-ArtifactsInput!$M$7)*CHOOSE(ArtifactsInput!$N$7+1,6,7.2,8.4,9.6,10.8,12))/100))+MIN((Skills!T15*(1+(Inputs!$B$34+(ArtifactsInput!$M$7-ArtifactsInput!$M$7)*CHOOSE(ArtifactsInput!$N$7+1,6,7.2,8.4,9.6,10.8,12))/100)),MAX(0,Inputs!$B$43-((R1808-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Hunt"),CHOOSE(ArtifactsInput!$N$35+1,15,18,21,24,27,30)*(1-EXP(-(0.2*B1824)*5)),0)+IF(AND(IF(ArtifactsInput!$M$22,FALSE,TRUE),Inputs!$B$4&lt;&gt;"Chapter Hunt"),CHOOSE(ArtifactsInput!$N$22+1,10,12,14,16,18,20)*((0*(((0.15*B1824*5))^0/1)+1*(((0.15*B1824*5))^1/1)+2*(((0.15*B1824*5))^2/2)+3*(((0.15*B1824*5))^3/6)+4*(((0.15*B1824*5))^4/24)+5*(((0.15*B1824*5))^5/120))/((((0.15*B1824*5))^0/1)+(((0.15*B1824*5))^1/1)+(((0.15*B1824*5))^2/2)+(((0.15*B1824*5))^3/6)+(((0.15*B1824*5))^4/24)+(((0.15*B1824*5))^5/120))),0)))/100)*I1799)</f>
        <v/>
      </c>
      <c r="L1799">
        <f>K1799*(MIN(Inputs!$B$22+((C1815=TRUE)*(F1815-Calc!F22)),(Inputs!$B$23+((C1817=TRUE)*(F1817-Calc!F24))+(IF(ArtifactsInput!$M$15,CHOOSE(ArtifactsInput!$N$15+1,25,30,35,40,45,50)/100*(Inputs!$B$11-Inputs!$B$11),0))))/100+(Inputs!$B$23+((C1817=TRUE)*(F1817-Calc!F24))+(IF(ArtifactsInput!$M$15,CHOOSE(ArtifactsInput!$N$15+1,25,30,35,40,45,50)/100*(Inputs!$B$11-Inputs!$B$11),0)))/100)/2</f>
        <v/>
      </c>
      <c r="M1799">
        <f>L1799*(1+(Inputs!$B$10+0+B1827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9">
        <f>L1799*(1-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1799*(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9">
        <f>(1-Summary!$B$11)*T1799+Summary!$B$11*V1799</f>
        <v/>
      </c>
      <c r="P1799">
        <f>IF(B1832=0,0,O1799/B1832)</f>
        <v/>
      </c>
      <c r="Q1799">
        <f>IFERROR(1/(IF(Inputs!$B$38="pvp",15,MAX(0.1,Skills!D6-IF(Skills!E6=TRUE,Inputs!$B$32,0)))*(1-IF(AND(ArtifactsInput!$M$27,Inputs!$B$4="Chapter Hunt"),CHOOSE(ArtifactsInput!$N$27+1,20,24,28,32,36,40),0)/100)),0)</f>
        <v/>
      </c>
      <c r="R1799">
        <f>IF(AND(Inputs!$B$38&lt;&gt;"pvp",Inputs!$B$43&gt;0),IF(MAX(0,Inputs!$B$43-B1829)&lt;=0,0,(INT(MAX(0,Inputs!$B$43-B1829)/(IF(Inputs!$B$38="pvp",15,MAX(0.1,Skills!D6-IF(Skills!E6=TRUE,Inputs!$B$32,0)))*(1-IF(AND(ArtifactsInput!$M$27,Inputs!$B$4="Chapter Hunt"),CHOOSE(ArtifactsInput!$N$27+1,20,24,28,32,36,40),0)/100)))+1)),0)</f>
        <v/>
      </c>
      <c r="S1799">
        <f>IFERROR(O1799/N1799,0)</f>
        <v/>
      </c>
      <c r="T1799">
        <f>IF(C1799,(H1799*N1799*IF(AND(Inputs!$B$38&lt;&gt;"pvp",Inputs!$B$43&gt;0),((Skills!G6*((R1799-1)*IF(Skills!H6&gt;0,Skills!I6/Skills!H6,1)+IF(Skills!H6&gt;0,MIN(Skills!I6,MAX(0,MAX(0,Inputs!$B$43-B1829)-((R1799-1)*(IF(Inputs!$B$38="pvp",15,MAX(0.1,Skills!D6-IF(Skills!E6=TRUE,Inputs!$B$32,0)))*(1-IF(AND(ArtifactsInput!$M$27,Inputs!$B$4="Chapter Hunt"),CHOOSE(ArtifactsInput!$N$27+1,20,24,28,32,36,40),0)/100)))))/Skills!H6,1)))/Inputs!$B$43),G1799*Q1799)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1799*(1-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1799*(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1799*(1-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1799*(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9">
        <f>IF(C1799,(H1799*N1799*IF(AND(Inputs!$B$38&lt;&gt;"pvp",Inputs!$B$43&gt;0),((Skills!G6*((R1799-1)*IF(Skills!H6&gt;0,Skills!I6/Skills!H6,1)+IF(Skills!H6&gt;0,MIN(Skills!I6,MAX(0,MAX(0,Inputs!$B$43-B1829)-((R1799-1)*(IF(Inputs!$B$38="pvp",15,MAX(0.1,Skills!D6-IF(Skills!E6=TRUE,Inputs!$B$32,0)))*(1-IF(AND(ArtifactsInput!$M$27,Inputs!$B$4="Chapter Hunt"),CHOOSE(ArtifactsInput!$N$27+1,20,24,28,32,36,40),0)/100)))))/Skills!H6,1)))/Inputs!$B$43),G1799*Q1799)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0">
      <c r="A1800">
        <f>Skills!A7</f>
        <v/>
      </c>
      <c r="B1800">
        <f>Skills!B7</f>
        <v/>
      </c>
      <c r="C1800">
        <f>Inputs!$B$3&gt;=107</f>
        <v/>
      </c>
      <c r="D1800">
        <f>IF(Skills!C7=1,60+Inputs!$B$25+Inputs!$B$29,IF(Skills!C7=2,90+Inputs!$B$26+Inputs!$B$29,IF(Skills!C7=3,120+Inputs!$B$27+Inputs!$B$29,MAX(0,(Inputs!$B$3-100)*3)+Inputs!$B$28+Inputs!$B$29)))</f>
        <v/>
      </c>
      <c r="E1800">
        <f>INDEX(FactorTable!$B$2:$Y$301, MATCH(ROUND(MIN(300,MAX(1,D1800)),0), FactorTable!$A$2:$A$301,0), Skills!M7+1)</f>
        <v/>
      </c>
      <c r="F1800">
        <f>IF(Skills!N7=TRUE,(Skills!L7/10)*(E1800/1000),Skills!L7/10)+Skills!O7</f>
        <v/>
      </c>
      <c r="G1800">
        <f>Skills!G7*IF(Skills!H7&gt;0,Skills!I7/Skills!H7,1)</f>
        <v/>
      </c>
      <c r="H1800">
        <f>1-(1-Skills!J7/100)^Skills!K7</f>
        <v/>
      </c>
      <c r="I1800" t="inlineStr">
        <is>
          <t>1</t>
        </is>
      </c>
      <c r="J1800">
        <f>((Inputs!$B$6*(1+Inputs!$B$7/100))+(((Inputs!$B$12*(1+Inputs!$B$13/100))-(Inputs!$B$12*(1+Inputs!$B$13/100)))+0.25*(Inputs!$B$14-Inputs!$B$14))*(1+Inputs!$B$7/100))*(F1800/100)</f>
        <v/>
      </c>
      <c r="K1800">
        <f>J1800*(1+((Inputs!$B$12*(1+Inputs!$B$13/100))*0.01+Inputs!$B$14*0.0025)/100)*(1+Inputs!$B$15/100)*(1+Inputs!$B$16/100)*(5000/(6000+Inputs!$B$42*(1-(100*(1-(1-(Inputs!$B$19+0)/100)*(1-CHOOSE(ArtifactsInput!$N$40+1,5,6,7,8,9,10)/100)^(ArtifactsInput!$M$40-ArtifactsInput!$M$40)))/100)))*(1+(Inputs!$B$24+((C1818=TRUE)*(F1818-Calc!F25))+B1828)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1814=TRUE)*(F1814-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1816=TRUE)*(F1816-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1806=TRUE)*F1806*IF(Inputs!$B$3&gt;=110,7,5))+((C1808=TRUE)*F1808*IF(AND(Inputs!$B$38&lt;&gt;"pvp",Inputs!$B$43&gt;0),(((R1808-1)*(Skills!T15*(1+(Inputs!$B$34+(ArtifactsInput!$M$7-ArtifactsInput!$M$7)*CHOOSE(ArtifactsInput!$N$7+1,6,7.2,8.4,9.6,10.8,12))/100))+MIN((Skills!T15*(1+(Inputs!$B$34+(ArtifactsInput!$M$7-ArtifactsInput!$M$7)*CHOOSE(ArtifactsInput!$N$7+1,6,7.2,8.4,9.6,10.8,12))/100)),MAX(0,Inputs!$B$43-((R1808-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Hunt"),CHOOSE(ArtifactsInput!$N$35+1,15,18,21,24,27,30)*(1-EXP(-(0.2*B1824)*5)),0)+IF(AND(IF(ArtifactsInput!$M$22,FALSE,TRUE),Inputs!$B$4&lt;&gt;"Chapter Hunt"),CHOOSE(ArtifactsInput!$N$22+1,10,12,14,16,18,20)*((0*(((0.15*B1824*5))^0/1)+1*(((0.15*B1824*5))^1/1)+2*(((0.15*B1824*5))^2/2)+3*(((0.15*B1824*5))^3/6)+4*(((0.15*B1824*5))^4/24)+5*(((0.15*B1824*5))^5/120))/((((0.15*B1824*5))^0/1)+(((0.15*B1824*5))^1/1)+(((0.15*B1824*5))^2/2)+(((0.15*B1824*5))^3/6)+(((0.15*B1824*5))^4/24)+(((0.15*B1824*5))^5/120))),0)))/100)*I1800)</f>
        <v/>
      </c>
      <c r="L1800">
        <f>K1800*(MIN(Inputs!$B$22+((C1815=TRUE)*(F1815-Calc!F22)),(Inputs!$B$23+((C1817=TRUE)*(F1817-Calc!F24))+(IF(ArtifactsInput!$M$15,CHOOSE(ArtifactsInput!$N$15+1,25,30,35,40,45,50)/100*(Inputs!$B$11-Inputs!$B$11),0))))/100+(Inputs!$B$23+((C1817=TRUE)*(F1817-Calc!F24))+(IF(ArtifactsInput!$M$15,CHOOSE(ArtifactsInput!$N$15+1,25,30,35,40,45,50)/100*(Inputs!$B$11-Inputs!$B$11),0)))/100)/2</f>
        <v/>
      </c>
      <c r="M1800">
        <f>L1800*(1+(Inputs!$B$10+0+B1827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00">
        <f>L1800*(1-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1800*(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0">
        <f>(1-Summary!$B$11)*T1800+Summary!$B$11*V1800</f>
        <v/>
      </c>
      <c r="P1800">
        <f>IF(B1832=0,0,O1800/B1832)</f>
        <v/>
      </c>
      <c r="Q1800">
        <f>IFERROR(1/(IF(Inputs!$B$38="pvp",15,MAX(0.1,Skills!D7-IF(Skills!E7=TRUE,Inputs!$B$32,0)))*(1-IF(AND(ArtifactsInput!$M$27,Inputs!$B$4="Chapter Hunt"),CHOOSE(ArtifactsInput!$N$27+1,20,24,28,32,36,40),0)/100)),0)</f>
        <v/>
      </c>
      <c r="R1800">
        <f>IF(AND(Inputs!$B$38&lt;&gt;"pvp",Inputs!$B$43&gt;0),IF(MAX(0,Inputs!$B$43-B1829)&lt;=0,0,(INT(MAX(0,Inputs!$B$43-B1829)/(IF(Inputs!$B$38="pvp",15,MAX(0.1,Skills!D7-IF(Skills!E7=TRUE,Inputs!$B$32,0)))*(1-IF(AND(ArtifactsInput!$M$27,Inputs!$B$4="Chapter Hunt"),CHOOSE(ArtifactsInput!$N$27+1,20,24,28,32,36,40),0)/100)))+1)),0)</f>
        <v/>
      </c>
      <c r="S1800">
        <f>IFERROR(O1800/N1800,0)</f>
        <v/>
      </c>
      <c r="T1800">
        <f>IF(C1800,(H1800*N1800*IF(AND(Inputs!$B$38&lt;&gt;"pvp",Inputs!$B$43&gt;0),((Skills!G7*((R1800-1)*IF(Skills!H7&gt;0,Skills!I7/Skills!H7,1)+IF(Skills!H7&gt;0,MIN(Skills!I7,MAX(0,MAX(0,Inputs!$B$43-B1829)-((R1800-1)*(IF(Inputs!$B$38="pvp",15,MAX(0.1,Skills!D7-IF(Skills!E7=TRUE,Inputs!$B$32,0)))*(1-IF(AND(ArtifactsInput!$M$27,Inputs!$B$4="Chapter Hunt"),CHOOSE(ArtifactsInput!$N$27+1,20,24,28,32,36,40),0)/100)))))/Skills!H7,1)))/Inputs!$B$43),G1800*Q1800)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1800*(1-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1800*(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1800*(1-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1800*(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00">
        <f>IF(C1800,(H1800*N1800*IF(AND(Inputs!$B$38&lt;&gt;"pvp",Inputs!$B$43&gt;0),((Skills!G7*((R1800-1)*IF(Skills!H7&gt;0,Skills!I7/Skills!H7,1)+IF(Skills!H7&gt;0,MIN(Skills!I7,MAX(0,MAX(0,Inputs!$B$43-B1829)-((R1800-1)*(IF(Inputs!$B$38="pvp",15,MAX(0.1,Skills!D7-IF(Skills!E7=TRUE,Inputs!$B$32,0)))*(1-IF(AND(ArtifactsInput!$M$27,Inputs!$B$4="Chapter Hunt"),CHOOSE(ArtifactsInput!$N$27+1,20,24,28,32,36,40),0)/100)))))/Skills!H7,1)))/Inputs!$B$43),G1800*Q1800)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1">
      <c r="A1801">
        <f>Skills!A8</f>
        <v/>
      </c>
      <c r="B1801">
        <f>Skills!B8</f>
        <v/>
      </c>
      <c r="C1801">
        <f>Inputs!$B$3&gt;=117</f>
        <v/>
      </c>
      <c r="D1801">
        <f>IF(Skills!C8=1,60+Inputs!$B$25+Inputs!$B$29,IF(Skills!C8=2,90+Inputs!$B$26+Inputs!$B$29,IF(Skills!C8=3,120+Inputs!$B$27+Inputs!$B$29,MAX(0,(Inputs!$B$3-100)*3)+Inputs!$B$28+Inputs!$B$29)))</f>
        <v/>
      </c>
      <c r="E1801">
        <f>INDEX(FactorTable!$B$2:$Y$301, MATCH(ROUND(MIN(300,MAX(1,D1801)),0), FactorTable!$A$2:$A$301,0), Skills!M8+1)</f>
        <v/>
      </c>
      <c r="F1801">
        <f>IF(Skills!N8=TRUE,(Skills!L8/10)*(E1801/1000),Skills!L8/10)+Skills!O8</f>
        <v/>
      </c>
      <c r="G1801">
        <f>Skills!G8*IF(Skills!H8&gt;0,Skills!I8/Skills!H8,1)</f>
        <v/>
      </c>
      <c r="H1801">
        <f>1-(1-Skills!J8/100)^Skills!K8</f>
        <v/>
      </c>
      <c r="I1801" t="inlineStr">
        <is>
          <t>1</t>
        </is>
      </c>
      <c r="J1801">
        <f>((Inputs!$B$6*(1+Inputs!$B$7/100))+(((Inputs!$B$12*(1+Inputs!$B$13/100))-(Inputs!$B$12*(1+Inputs!$B$13/100)))+0.25*(Inputs!$B$14-Inputs!$B$14))*(1+Inputs!$B$7/100))*(F1801/100)</f>
        <v/>
      </c>
      <c r="K1801">
        <f>J1801*(1+((Inputs!$B$12*(1+Inputs!$B$13/100))*0.01+Inputs!$B$14*0.0025)/100)*(1+Inputs!$B$15/100)*(1+Inputs!$B$16/100)*(5000/(6000+Inputs!$B$42*(1-(100*(1-(1-(Inputs!$B$19+0)/100)*(1-CHOOSE(ArtifactsInput!$N$40+1,5,6,7,8,9,10)/100)^(ArtifactsInput!$M$40-ArtifactsInput!$M$40)))/100)))*(1+(Inputs!$B$24+((C1818=TRUE)*(F1818-Calc!F25))+B1828)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1814=TRUE)*(F1814-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1816=TRUE)*(F1816-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1806=TRUE)*F1806*IF(Inputs!$B$3&gt;=110,7,5))+((C1808=TRUE)*F1808*IF(AND(Inputs!$B$38&lt;&gt;"pvp",Inputs!$B$43&gt;0),(((R1808-1)*(Skills!T15*(1+(Inputs!$B$34+(ArtifactsInput!$M$7-ArtifactsInput!$M$7)*CHOOSE(ArtifactsInput!$N$7+1,6,7.2,8.4,9.6,10.8,12))/100))+MIN((Skills!T15*(1+(Inputs!$B$34+(ArtifactsInput!$M$7-ArtifactsInput!$M$7)*CHOOSE(ArtifactsInput!$N$7+1,6,7.2,8.4,9.6,10.8,12))/100)),MAX(0,Inputs!$B$43-((R1808-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Hunt"),CHOOSE(ArtifactsInput!$N$35+1,15,18,21,24,27,30)*(1-EXP(-(0.2*B1824)*5)),0)+IF(AND(IF(ArtifactsInput!$M$22,FALSE,TRUE),Inputs!$B$4&lt;&gt;"Chapter Hunt"),CHOOSE(ArtifactsInput!$N$22+1,10,12,14,16,18,20)*((0*(((0.15*B1824*5))^0/1)+1*(((0.15*B1824*5))^1/1)+2*(((0.15*B1824*5))^2/2)+3*(((0.15*B1824*5))^3/6)+4*(((0.15*B1824*5))^4/24)+5*(((0.15*B1824*5))^5/120))/((((0.15*B1824*5))^0/1)+(((0.15*B1824*5))^1/1)+(((0.15*B1824*5))^2/2)+(((0.15*B1824*5))^3/6)+(((0.15*B1824*5))^4/24)+(((0.15*B1824*5))^5/120))),0)))/100)*I1801)</f>
        <v/>
      </c>
      <c r="L1801">
        <f>K1801*(MIN(Inputs!$B$22+((C1815=TRUE)*(F1815-Calc!F22)),(Inputs!$B$23+((C1817=TRUE)*(F1817-Calc!F24))+(IF(ArtifactsInput!$M$15,CHOOSE(ArtifactsInput!$N$15+1,25,30,35,40,45,50)/100*(Inputs!$B$11-Inputs!$B$11),0))))/100+(Inputs!$B$23+((C1817=TRUE)*(F1817-Calc!F24))+(IF(ArtifactsInput!$M$15,CHOOSE(ArtifactsInput!$N$15+1,25,30,35,40,45,50)/100*(Inputs!$B$11-Inputs!$B$11),0)))/100)/2</f>
        <v/>
      </c>
      <c r="M1801">
        <f>L1801*(1+(Inputs!$B$10+0+B1827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01">
        <f>L1801*(1-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1801*(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1">
        <f>(1-Summary!$B$11)*T1801+Summary!$B$11*V1801</f>
        <v/>
      </c>
      <c r="P1801">
        <f>IF(B1832=0,0,O1801/B1832)</f>
        <v/>
      </c>
      <c r="Q1801">
        <f>IFERROR(1/(IF(Inputs!$B$38="pvp",15,MAX(0.1,Skills!D8-IF(Skills!E8=TRUE,Inputs!$B$32,0)))*(1-IF(AND(ArtifactsInput!$M$27,Inputs!$B$4="Chapter Hunt"),CHOOSE(ArtifactsInput!$N$27+1,20,24,28,32,36,40),0)/100)),0)</f>
        <v/>
      </c>
      <c r="R1801">
        <f>IF(AND(Inputs!$B$38&lt;&gt;"pvp",Inputs!$B$43&gt;0),IF(MAX(0,Inputs!$B$43-B1829)&lt;=0,0,(INT(MAX(0,Inputs!$B$43-B1829)/(IF(Inputs!$B$38="pvp",15,MAX(0.1,Skills!D8-IF(Skills!E8=TRUE,Inputs!$B$32,0)))*(1-IF(AND(ArtifactsInput!$M$27,Inputs!$B$4="Chapter Hunt"),CHOOSE(ArtifactsInput!$N$27+1,20,24,28,32,36,40),0)/100)))+1)),0)</f>
        <v/>
      </c>
      <c r="S1801">
        <f>IFERROR(O1801/N1801,0)</f>
        <v/>
      </c>
      <c r="T1801">
        <f>IF(C1801,(H1801*N1801*IF(AND(Inputs!$B$38&lt;&gt;"pvp",Inputs!$B$43&gt;0),((Skills!G8*((R1801-1)*IF(Skills!H8&gt;0,Skills!I8/Skills!H8,1)+IF(Skills!H8&gt;0,MIN(Skills!I8,MAX(0,MAX(0,Inputs!$B$43-B1829)-((R1801-1)*(IF(Inputs!$B$38="pvp",15,MAX(0.1,Skills!D8-IF(Skills!E8=TRUE,Inputs!$B$32,0)))*(1-IF(AND(ArtifactsInput!$M$27,Inputs!$B$4="Chapter Hunt"),CHOOSE(ArtifactsInput!$N$27+1,20,24,28,32,36,40),0)/100)))))/Skills!H8,1)))/Inputs!$B$43),G1801*Q1801)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1801*(1-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1801*(1-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01">
        <f>IF(C1801,(H1801*N1801*IF(AND(Inputs!$B$38&lt;&gt;"pvp",Inputs!$B$43&gt;0),((Skills!G8*((R1801-1)*IF(Skills!H8&gt;0,Skills!I8/Skills!H8,1)+IF(Skills!H8&gt;0,MIN(Skills!I8,MAX(0,MAX(0,Inputs!$B$43-B1829)-((R1801-1)*(IF(Inputs!$B$38="pvp",15,MAX(0.1,Skills!D8-IF(Skills!E8=TRUE,Inputs!$B$32,0)))*(1-IF(AND(ArtifactsInput!$M$27,Inputs!$B$4="Chapter Hunt"),CHOOSE(ArtifactsInput!$N$27+1,20,24,28,32,36,40),0)/100)))))/Skills!H8,1)))/Inputs!$B$43),G1801*Q1801)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2">
      <c r="A1802">
        <f>Skills!A9</f>
        <v/>
      </c>
      <c r="B1802">
        <f>Skills!B9</f>
        <v/>
      </c>
      <c r="C1802">
        <f>Inputs!$B$3&gt;=69</f>
        <v/>
      </c>
      <c r="D1802">
        <f>IF(Skills!C9=1,60+Inputs!$B$25+Inputs!$B$29,IF(Skills!C9=2,90+Inputs!$B$26+Inputs!$B$29,IF(Skills!C9=3,120+Inputs!$B$27+Inputs!$B$29,MAX(0,(Inputs!$B$3-100)*3)+Inputs!$B$28+Inputs!$B$29)))</f>
        <v/>
      </c>
      <c r="E1802">
        <f>INDEX(FactorTable!$B$2:$Y$301, MATCH(ROUND(MIN(300,MAX(1,D1802)),0), FactorTable!$A$2:$A$301,0), Skills!M9+1)</f>
        <v/>
      </c>
      <c r="F1802">
        <f>IF(Skills!N9=TRUE,(Skills!L9/10)*(E1802/1000),Skills!L9/10)+Skills!O9</f>
        <v/>
      </c>
      <c r="G1802">
        <f>Skills!G9*IF(Skills!H9&gt;0,Skills!I9/Skills!H9,1)</f>
        <v/>
      </c>
      <c r="H1802">
        <f>1-(1-Skills!J9/100)^Skills!K9</f>
        <v/>
      </c>
      <c r="I1802" t="inlineStr">
        <is>
          <t>1</t>
        </is>
      </c>
      <c r="J1802">
        <f>((Inputs!$B$6*(1+Inputs!$B$7/100))+(((Inputs!$B$12*(1+Inputs!$B$13/100))-(Inputs!$B$12*(1+Inputs!$B$13/100)))+0.25*(Inputs!$B$14-Inputs!$B$14))*(1+Inputs!$B$7/100))*(F1802/100)</f>
        <v/>
      </c>
      <c r="K1802">
        <f>J1802*(1+((Inputs!$B$12*(1+Inputs!$B$13/100))*0.01+Inputs!$B$14*0.0025)/100)*(1+Inputs!$B$15/100)*(1+Inputs!$B$16/100)*(5000/(6000+Inputs!$B$42*(1-(100*(1-(1-(Inputs!$B$19+0)/100)*(1-CHOOSE(ArtifactsInput!$N$40+1,5,6,7,8,9,10)/100)^(ArtifactsInput!$M$40-ArtifactsInput!$M$40)))/100)))*(1+(Inputs!$B$24+((C1818=TRUE)*(F1818-Calc!F25))+B1828)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1805=TRUE,F1805,0)/100)*(1+IF(Skills!A9="ENHANCED_RAGING_BLOW",IF(Inputs!$B$3&gt;=134,MAX(0,IF(Inputs!$B$3&gt;=110,7,5)-5)*50,0),0)/100)*(1+(IF(Skills!A9="RAGING_BLOW",Inputs!$B$17+((C1814=TRUE)*(F1814-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1816=TRUE)*(F1816-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1806=TRUE)*F1806*IF(Inputs!$B$3&gt;=110,7,5))+((C1808=TRUE)*F1808*IF(AND(Inputs!$B$38&lt;&gt;"pvp",Inputs!$B$43&gt;0),(((R1808-1)*(Skills!T15*(1+(Inputs!$B$34+(ArtifactsInput!$M$7-ArtifactsInput!$M$7)*CHOOSE(ArtifactsInput!$N$7+1,6,7.2,8.4,9.6,10.8,12))/100))+MIN((Skills!T15*(1+(Inputs!$B$34+(ArtifactsInput!$M$7-ArtifactsInput!$M$7)*CHOOSE(ArtifactsInput!$N$7+1,6,7.2,8.4,9.6,10.8,12))/100)),MAX(0,Inputs!$B$43-((R1808-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Hunt"),CHOOSE(ArtifactsInput!$N$35+1,15,18,21,24,27,30)*(1-EXP(-(0.2*B1824)*5)),0)+IF(AND(IF(ArtifactsInput!$M$22,FALSE,TRUE),Inputs!$B$4&lt;&gt;"Chapter Hunt"),CHOOSE(ArtifactsInput!$N$22+1,10,12,14,16,18,20)*((0*(((0.15*B1824*5))^0/1)+1*(((0.15*B1824*5))^1/1)+2*(((0.15*B1824*5))^2/2)+3*(((0.15*B1824*5))^3/6)+4*(((0.15*B1824*5))^4/24)+5*(((0.15*B1824*5))^5/120))/((((0.15*B1824*5))^0/1)+(((0.15*B1824*5))^1/1)+(((0.15*B1824*5))^2/2)+(((0.15*B1824*5))^3/6)+(((0.15*B1824*5))^4/24)+(((0.15*B1824*5))^5/120))),0)))/100)*I1802)</f>
        <v/>
      </c>
      <c r="L1802">
        <f>K1802*(MIN(Inputs!$B$22+((C1815=TRUE)*(F1815-Calc!F22)),(Inputs!$B$23+((C1817=TRUE)*(F1817-Calc!F24))+(IF(ArtifactsInput!$M$15,CHOOSE(ArtifactsInput!$N$15+1,25,30,35,40,45,50)/100*(Inputs!$B$11-Inputs!$B$11),0))))/100+(Inputs!$B$23+((C1817=TRUE)*(F1817-Calc!F24))+(IF(ArtifactsInput!$M$15,CHOOSE(ArtifactsInput!$N$15+1,25,30,35,40,45,50)/100*(Inputs!$B$11-Inputs!$B$11),0)))/100)/2</f>
        <v/>
      </c>
      <c r="M1802">
        <f>L1802*(1+(Inputs!$B$10+0+B1827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02">
        <f>L1802*(1-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1802*(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2">
        <f>(1-Summary!$B$11)*T1802+Summary!$B$11*V1802</f>
        <v/>
      </c>
      <c r="P1802">
        <f>IF(B1832=0,0,O1802/B1832)</f>
        <v/>
      </c>
      <c r="Q1802">
        <f>IFERROR(1/(IF(Inputs!$B$38="pvp",15,MAX(0.1,Skills!D9-IF(Skills!E9=TRUE,Inputs!$B$32,0)))*(1-IF(AND(ArtifactsInput!$M$27,Inputs!$B$4="Chapter Hunt"),CHOOSE(ArtifactsInput!$N$27+1,20,24,28,32,36,40),0)/100)),0)</f>
        <v/>
      </c>
      <c r="R1802">
        <f>IF(AND(Inputs!$B$38&lt;&gt;"pvp",Inputs!$B$43&gt;0),IF(MAX(0,Inputs!$B$43-B1829)&lt;=0,0,(INT(MAX(0,Inputs!$B$43-B1829)/(IF(Inputs!$B$38="pvp",15,MAX(0.1,Skills!D9-IF(Skills!E9=TRUE,Inputs!$B$32,0)))*(1-IF(AND(ArtifactsInput!$M$27,Inputs!$B$4="Chapter Hunt"),CHOOSE(ArtifactsInput!$N$27+1,20,24,28,32,36,40),0)/100)))+1)),0)</f>
        <v/>
      </c>
      <c r="S1802">
        <f>IFERROR(O1802/N1802,0)</f>
        <v/>
      </c>
      <c r="T1802">
        <f>IF(C1802,(H1802*N1802*IF(AND(Inputs!$B$38&lt;&gt;"pvp",Inputs!$B$43&gt;0),((Skills!G9*((R1802-1)*IF(Skills!H9&gt;0,Skills!I9/Skills!H9,1)+IF(Skills!H9&gt;0,MIN(Skills!I9,MAX(0,MAX(0,Inputs!$B$43-B1829)-((R1802-1)*(IF(Inputs!$B$38="pvp",15,MAX(0.1,Skills!D9-IF(Skills!E9=TRUE,Inputs!$B$32,0)))*(1-IF(AND(ArtifactsInput!$M$27,Inputs!$B$4="Chapter Hunt"),CHOOSE(ArtifactsInput!$N$27+1,20,24,28,32,36,40),0)/100)))))/Skills!H9,1)))/Inputs!$B$43),G1802*Q1802)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1802*(1-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1802*(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1802*(1-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1802*(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02">
        <f>IF(C1802,(H1802*N1802*IF(AND(Inputs!$B$38&lt;&gt;"pvp",Inputs!$B$43&gt;0),((Skills!G9*((R1802-1)*IF(Skills!H9&gt;0,Skills!I9/Skills!H9,1)+IF(Skills!H9&gt;0,MIN(Skills!I9,MAX(0,MAX(0,Inputs!$B$43-B1829)-((R1802-1)*(IF(Inputs!$B$38="pvp",15,MAX(0.1,Skills!D9-IF(Skills!E9=TRUE,Inputs!$B$32,0)))*(1-IF(AND(ArtifactsInput!$M$27,Inputs!$B$4="Chapter Hunt"),CHOOSE(ArtifactsInput!$N$27+1,20,24,28,32,36,40),0)/100)))))/Skills!H9,1)))/Inputs!$B$43),G1802*Q1802)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3">
      <c r="A1803">
        <f>Skills!A10</f>
        <v/>
      </c>
      <c r="B1803">
        <f>Skills!B10</f>
        <v/>
      </c>
      <c r="C1803">
        <f>Inputs!$B$3&gt;=63</f>
        <v/>
      </c>
      <c r="D1803">
        <f>IF(Skills!C10=1,60+Inputs!$B$25+Inputs!$B$29,IF(Skills!C10=2,90+Inputs!$B$26+Inputs!$B$29,IF(Skills!C10=3,120+Inputs!$B$27+Inputs!$B$29,MAX(0,(Inputs!$B$3-100)*3)+Inputs!$B$28+Inputs!$B$29)))</f>
        <v/>
      </c>
      <c r="E1803">
        <f>INDEX(FactorTable!$B$2:$Y$301, MATCH(ROUND(MIN(300,MAX(1,D1803)),0), FactorTable!$A$2:$A$301,0), Skills!M10+1)</f>
        <v/>
      </c>
      <c r="F1803">
        <f>IF(Skills!N10=TRUE,(Skills!L10/10)*(E1803/1000),Skills!L10/10)+Skills!O10</f>
        <v/>
      </c>
      <c r="G1803">
        <f>Skills!G10*IF(Skills!H10&gt;0,Skills!I10/Skills!H10,1)</f>
        <v/>
      </c>
      <c r="H1803">
        <f>1-(1-Skills!J10/100)^Skills!K10</f>
        <v/>
      </c>
      <c r="I1803" t="inlineStr">
        <is>
          <t>1</t>
        </is>
      </c>
      <c r="J1803">
        <f>((Inputs!$B$6*(1+Inputs!$B$7/100))+(((Inputs!$B$12*(1+Inputs!$B$13/100))-(Inputs!$B$12*(1+Inputs!$B$13/100)))+0.25*(Inputs!$B$14-Inputs!$B$14))*(1+Inputs!$B$7/100))*(F1803/100)</f>
        <v/>
      </c>
      <c r="K1803">
        <f>J1803*(1+((Inputs!$B$12*(1+Inputs!$B$13/100))*0.01+Inputs!$B$14*0.0025)/100)*(1+Inputs!$B$15/100)*(1+Inputs!$B$16/100)*(5000/(6000+Inputs!$B$42*(1-(100*(1-(1-(Inputs!$B$19+0)/100)*(1-CHOOSE(ArtifactsInput!$N$40+1,5,6,7,8,9,10)/100)^(ArtifactsInput!$M$40-ArtifactsInput!$M$40)))/100)))*(1+(Inputs!$B$24+((C1818=TRUE)*(F1818-Calc!F25))+B1828)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1805=TRUE,F1805,0)/100)*(1+IF(Skills!A10="ENHANCED_RAGING_BLOW",IF(Inputs!$B$3&gt;=134,MAX(0,IF(Inputs!$B$3&gt;=110,7,5)-5)*50,0),0)/100)*(1+(IF(Skills!A10="RAGING_BLOW",Inputs!$B$17+((C1814=TRUE)*(F1814-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1816=TRUE)*(F1816-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1806=TRUE)*F1806*IF(Inputs!$B$3&gt;=110,7,5))+((C1808=TRUE)*F1808*IF(AND(Inputs!$B$38&lt;&gt;"pvp",Inputs!$B$43&gt;0),(((R1808-1)*(Skills!T15*(1+(Inputs!$B$34+(ArtifactsInput!$M$7-ArtifactsInput!$M$7)*CHOOSE(ArtifactsInput!$N$7+1,6,7.2,8.4,9.6,10.8,12))/100))+MIN((Skills!T15*(1+(Inputs!$B$34+(ArtifactsInput!$M$7-ArtifactsInput!$M$7)*CHOOSE(ArtifactsInput!$N$7+1,6,7.2,8.4,9.6,10.8,12))/100)),MAX(0,Inputs!$B$43-((R1808-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Hunt"),CHOOSE(ArtifactsInput!$N$35+1,15,18,21,24,27,30)*(1-EXP(-(0.2*B1824)*5)),0)+IF(AND(IF(ArtifactsInput!$M$22,FALSE,TRUE),Inputs!$B$4&lt;&gt;"Chapter Hunt"),CHOOSE(ArtifactsInput!$N$22+1,10,12,14,16,18,20)*((0*(((0.15*B1824*5))^0/1)+1*(((0.15*B1824*5))^1/1)+2*(((0.15*B1824*5))^2/2)+3*(((0.15*B1824*5))^3/6)+4*(((0.15*B1824*5))^4/24)+5*(((0.15*B1824*5))^5/120))/((((0.15*B1824*5))^0/1)+(((0.15*B1824*5))^1/1)+(((0.15*B1824*5))^2/2)+(((0.15*B1824*5))^3/6)+(((0.15*B1824*5))^4/24)+(((0.15*B1824*5))^5/120))),0)))/100)*I1803)</f>
        <v/>
      </c>
      <c r="L1803">
        <f>K1803*(MIN(Inputs!$B$22+((C1815=TRUE)*(F1815-Calc!F22)),(Inputs!$B$23+((C1817=TRUE)*(F1817-Calc!F24))+(IF(ArtifactsInput!$M$15,CHOOSE(ArtifactsInput!$N$15+1,25,30,35,40,45,50)/100*(Inputs!$B$11-Inputs!$B$11),0))))/100+(Inputs!$B$23+((C1817=TRUE)*(F1817-Calc!F24))+(IF(ArtifactsInput!$M$15,CHOOSE(ArtifactsInput!$N$15+1,25,30,35,40,45,50)/100*(Inputs!$B$11-Inputs!$B$11),0)))/100)/2</f>
        <v/>
      </c>
      <c r="M1803">
        <f>L1803*(1+(Inputs!$B$10+0+B1827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03">
        <f>L1803*(1-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1803*(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3">
        <f>(1-Summary!$B$11)*T1803+Summary!$B$11*V1803</f>
        <v/>
      </c>
      <c r="P1803">
        <f>IF(B1832=0,0,O1803/B1832)</f>
        <v/>
      </c>
      <c r="Q1803">
        <f>IFERROR(1/(IF(Inputs!$B$38="pvp",15,MAX(0.1,Skills!D10-IF(Skills!E10=TRUE,Inputs!$B$32,0)))*(1-IF(AND(ArtifactsInput!$M$27,Inputs!$B$4="Chapter Hunt"),CHOOSE(ArtifactsInput!$N$27+1,20,24,28,32,36,40),0)/100)),0)</f>
        <v/>
      </c>
      <c r="R1803">
        <f>IF(AND(Inputs!$B$38&lt;&gt;"pvp",Inputs!$B$43&gt;0),IF(MAX(0,Inputs!$B$43-B1829)&lt;=0,0,(INT(MAX(0,Inputs!$B$43-B1829)/(IF(Inputs!$B$38="pvp",15,MAX(0.1,Skills!D10-IF(Skills!E10=TRUE,Inputs!$B$32,0)))*(1-IF(AND(ArtifactsInput!$M$27,Inputs!$B$4="Chapter Hunt"),CHOOSE(ArtifactsInput!$N$27+1,20,24,28,32,36,40),0)/100)))+1)),0)</f>
        <v/>
      </c>
      <c r="S1803">
        <f>IFERROR(O1803/N1803,0)</f>
        <v/>
      </c>
      <c r="T1803">
        <f>IF(C1803,(H1803*N1803*IF(AND(Inputs!$B$38&lt;&gt;"pvp",Inputs!$B$43&gt;0),((Skills!G10*((R1803-1)*IF(Skills!H10&gt;0,Skills!I10/Skills!H10,1)+IF(Skills!H10&gt;0,MIN(Skills!I10,MAX(0,MAX(0,Inputs!$B$43-B1829)-((R1803-1)*(IF(Inputs!$B$38="pvp",15,MAX(0.1,Skills!D10-IF(Skills!E10=TRUE,Inputs!$B$32,0)))*(1-IF(AND(ArtifactsInput!$M$27,Inputs!$B$4="Chapter Hunt"),CHOOSE(ArtifactsInput!$N$27+1,20,24,28,32,36,40),0)/100)))))/Skills!H10,1)))/Inputs!$B$43),G1803*Q1803)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1803*(1-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1803*(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1803*(1-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1803*(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03">
        <f>IF(C1803,(H1803*N1803*IF(AND(Inputs!$B$38&lt;&gt;"pvp",Inputs!$B$43&gt;0),((Skills!G10*((R1803-1)*IF(Skills!H10&gt;0,Skills!I10/Skills!H10,1)+IF(Skills!H10&gt;0,MIN(Skills!I10,MAX(0,MAX(0,Inputs!$B$43-B1829)-((R1803-1)*(IF(Inputs!$B$38="pvp",15,MAX(0.1,Skills!D10-IF(Skills!E10=TRUE,Inputs!$B$32,0)))*(1-IF(AND(ArtifactsInput!$M$27,Inputs!$B$4="Chapter Hunt"),CHOOSE(ArtifactsInput!$N$27+1,20,24,28,32,36,40),0)/100)))))/Skills!H10,1)))/Inputs!$B$43),G1803*Q1803)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4">
      <c r="A1804">
        <f>Skills!A11</f>
        <v/>
      </c>
      <c r="B1804">
        <f>Skills!B11</f>
        <v/>
      </c>
      <c r="C1804">
        <f>Inputs!$B$3&gt;=35</f>
        <v/>
      </c>
      <c r="D1804">
        <f>IF(Skills!C11=1,60+Inputs!$B$25+Inputs!$B$29,IF(Skills!C11=2,90+Inputs!$B$26+Inputs!$B$29,IF(Skills!C11=3,120+Inputs!$B$27+Inputs!$B$29,MAX(0,(Inputs!$B$3-100)*3)+Inputs!$B$28+Inputs!$B$29)))</f>
        <v/>
      </c>
      <c r="E1804">
        <f>INDEX(FactorTable!$B$2:$Y$301, MATCH(ROUND(MIN(300,MAX(1,D1804)),0), FactorTable!$A$2:$A$301,0), Skills!M11+1)</f>
        <v/>
      </c>
      <c r="F1804">
        <f>IF(Skills!N11=TRUE,(Skills!L11/10)*(E1804/1000),Skills!L11/10)+Skills!O11</f>
        <v/>
      </c>
      <c r="G1804">
        <f>Skills!G11*IF(Skills!H11&gt;0,Skills!I11/Skills!H11,1)</f>
        <v/>
      </c>
      <c r="H1804">
        <f>1-(1-Skills!J11/100)^Skills!K11</f>
        <v/>
      </c>
      <c r="I1804" t="inlineStr">
        <is>
          <t>1</t>
        </is>
      </c>
      <c r="J1804">
        <f>((Inputs!$B$6*(1+Inputs!$B$7/100))+(((Inputs!$B$12*(1+Inputs!$B$13/100))-(Inputs!$B$12*(1+Inputs!$B$13/100)))+0.25*(Inputs!$B$14-Inputs!$B$14))*(1+Inputs!$B$7/100))*(F1804/100)</f>
        <v/>
      </c>
      <c r="K1804">
        <f>J1804*(1+((Inputs!$B$12*(1+Inputs!$B$13/100))*0.01+Inputs!$B$14*0.0025)/100)*(1+Inputs!$B$15/100)*(1+Inputs!$B$16/100)*(5000/(6000+Inputs!$B$42*(1-(100*(1-(1-(Inputs!$B$19+0)/100)*(1-CHOOSE(ArtifactsInput!$N$40+1,5,6,7,8,9,10)/100)^(ArtifactsInput!$M$40-ArtifactsInput!$M$40)))/100)))*(1+(Inputs!$B$24+((C1818=TRUE)*(F1818-Calc!F25))+B1828)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1805=TRUE,F1805,0)/100)*(1+IF(Skills!A11="ENHANCED_RAGING_BLOW",IF(Inputs!$B$3&gt;=134,MAX(0,IF(Inputs!$B$3&gt;=110,7,5)-5)*50,0),0)/100)*(1+(IF(Skills!A11="RAGING_BLOW",Inputs!$B$17+((C1814=TRUE)*(F1814-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1816=TRUE)*(F1816-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1806=TRUE)*F1806*IF(Inputs!$B$3&gt;=110,7,5))+((C1808=TRUE)*F1808*IF(AND(Inputs!$B$38&lt;&gt;"pvp",Inputs!$B$43&gt;0),(((R1808-1)*(Skills!T15*(1+(Inputs!$B$34+(ArtifactsInput!$M$7-ArtifactsInput!$M$7)*CHOOSE(ArtifactsInput!$N$7+1,6,7.2,8.4,9.6,10.8,12))/100))+MIN((Skills!T15*(1+(Inputs!$B$34+(ArtifactsInput!$M$7-ArtifactsInput!$M$7)*CHOOSE(ArtifactsInput!$N$7+1,6,7.2,8.4,9.6,10.8,12))/100)),MAX(0,Inputs!$B$43-((R1808-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Hunt"),CHOOSE(ArtifactsInput!$N$35+1,15,18,21,24,27,30)*(1-EXP(-(0.2*B1824)*5)),0)+IF(AND(IF(ArtifactsInput!$M$22,FALSE,TRUE),Inputs!$B$4&lt;&gt;"Chapter Hunt"),CHOOSE(ArtifactsInput!$N$22+1,10,12,14,16,18,20)*((0*(((0.15*B1824*5))^0/1)+1*(((0.15*B1824*5))^1/1)+2*(((0.15*B1824*5))^2/2)+3*(((0.15*B1824*5))^3/6)+4*(((0.15*B1824*5))^4/24)+5*(((0.15*B1824*5))^5/120))/((((0.15*B1824*5))^0/1)+(((0.15*B1824*5))^1/1)+(((0.15*B1824*5))^2/2)+(((0.15*B1824*5))^3/6)+(((0.15*B1824*5))^4/24)+(((0.15*B1824*5))^5/120))),0)))/100)*I1804)</f>
        <v/>
      </c>
      <c r="L1804">
        <f>K1804*(MIN(Inputs!$B$22+((C1815=TRUE)*(F1815-Calc!F22)),(Inputs!$B$23+((C1817=TRUE)*(F1817-Calc!F24))+(IF(ArtifactsInput!$M$15,CHOOSE(ArtifactsInput!$N$15+1,25,30,35,40,45,50)/100*(Inputs!$B$11-Inputs!$B$11),0))))/100+(Inputs!$B$23+((C1817=TRUE)*(F1817-Calc!F24))+(IF(ArtifactsInput!$M$15,CHOOSE(ArtifactsInput!$N$15+1,25,30,35,40,45,50)/100*(Inputs!$B$11-Inputs!$B$11),0)))/100)/2</f>
        <v/>
      </c>
      <c r="M1804">
        <f>L1804*(1+(Inputs!$B$10+0+B1827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04">
        <f>L1804*(1-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1804*(MIN((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4">
        <f>(1-Summary!$B$11)*T1804+Summary!$B$11*V1804</f>
        <v/>
      </c>
      <c r="P1804">
        <f>IF(B1832=0,0,O1804/B1832)</f>
        <v/>
      </c>
      <c r="Q1804">
        <f>IFERROR(1/(IF(Inputs!$B$38="pvp",15,MAX(0.1,Skills!D11-IF(Skills!E11=TRUE,Inputs!$B$32,0)))*(1-IF(AND(ArtifactsInput!$M$27,Inputs!$B$4="Chapter Hunt"),CHOOSE(ArtifactsInput!$N$27+1,20,24,28,32,36,40),0)/100)),0)</f>
        <v/>
      </c>
      <c r="R1804">
        <f>IF(AND(Inputs!$B$38&lt;&gt;"pvp",Inputs!$B$43&gt;0),IF(MAX(0,Inputs!$B$43-B1829)&lt;=0,0,(INT(MAX(0,Inputs!$B$43-B1829)/(IF(Inputs!$B$38="pvp",15,MAX(0.1,Skills!D11-IF(Skills!E11=TRUE,Inputs!$B$32,0)))*(1-IF(AND(ArtifactsInput!$M$27,Inputs!$B$4="Chapter Hunt"),CHOOSE(ArtifactsInput!$N$27+1,20,24,28,32,36,40),0)/100)))+1)),0)</f>
        <v/>
      </c>
      <c r="S1804">
        <f>IFERROR(O1804/N1804,0)</f>
        <v/>
      </c>
      <c r="T1804">
        <f>IF(C1804,(H1804*N1804*IF(AND(Inputs!$B$38&lt;&gt;"pvp",Inputs!$B$43&gt;0),((Skills!G11*((R1804-1)*IF(Skills!H11&gt;0,Skills!I11/Skills!H11,1)+IF(Skills!H11&gt;0,MIN(Skills!I11,MAX(0,MAX(0,Inputs!$B$43-B1829)-((R1804-1)*(IF(Inputs!$B$38="pvp",15,MAX(0.1,Skills!D11-IF(Skills!E11=TRUE,Inputs!$B$32,0)))*(1-IF(AND(ArtifactsInput!$M$27,Inputs!$B$4="Chapter Hunt"),CHOOSE(ArtifactsInput!$N$27+1,20,24,28,32,36,40),0)/100)))))/Skills!H11,1)))/Inputs!$B$43),G1804*Q1804)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1804*(1-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1804*(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1804*(1-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1804*(MIN(100,(Inputs!$B$9+((C1819=TRUE)*(F1819-Calc!F26))+B1822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04">
        <f>IF(C1804,(H1804*N1804*IF(AND(Inputs!$B$38&lt;&gt;"pvp",Inputs!$B$43&gt;0),((Skills!G11*((R1804-1)*IF(Skills!H11&gt;0,Skills!I11/Skills!H11,1)+IF(Skills!H11&gt;0,MIN(Skills!I11,MAX(0,MAX(0,Inputs!$B$43-B1829)-((R1804-1)*(IF(Inputs!$B$38="pvp",15,MAX(0.1,Skills!D11-IF(Skills!E11=TRUE,Inputs!$B$32,0)))*(1-IF(AND(ArtifactsInput!$M$27,Inputs!$B$4="Chapter Hunt"),CHOOSE(ArtifactsInput!$N$27+1,20,24,28,32,36,40),0)/100)))))/Skills!H11,1)))/Inputs!$B$43),G1804*Q1804)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5">
      <c r="A1805">
        <f>Skills!A12</f>
        <v/>
      </c>
      <c r="B1805">
        <f>Skills!B12</f>
        <v/>
      </c>
      <c r="C1805">
        <f>Inputs!$B$3&gt;=100</f>
        <v/>
      </c>
      <c r="D1805">
        <f>IF(Skills!C12=1,60+Inputs!$B$25+Inputs!$B$29,IF(Skills!C12=2,90+Inputs!$B$26+Inputs!$B$29,IF(Skills!C12=3,120+Inputs!$B$27+Inputs!$B$29,MAX(0,(Inputs!$B$3-100)*3)+Inputs!$B$28+Inputs!$B$29)))</f>
        <v/>
      </c>
      <c r="E1805">
        <f>INDEX(FactorTable!$B$2:$Y$301, MATCH(ROUND(MIN(300,MAX(1,D1805)),0), FactorTable!$A$2:$A$301,0), Skills!M12+1)</f>
        <v/>
      </c>
      <c r="F1805">
        <f>IF(Skills!N12=TRUE,(Skills!L12/10)*(E1805/1000),Skills!L12/10)+Skills!O12</f>
        <v/>
      </c>
      <c r="G1805" t="inlineStr"/>
      <c r="H1805" t="inlineStr"/>
      <c r="I1805" t="inlineStr">
        <is>
          <t>1</t>
        </is>
      </c>
      <c r="J1805" t="inlineStr"/>
      <c r="K1805" t="inlineStr"/>
      <c r="L1805" t="inlineStr"/>
      <c r="M1805" t="inlineStr"/>
      <c r="N1805" t="inlineStr"/>
      <c r="O1805" t="inlineStr"/>
      <c r="P1805" t="inlineStr"/>
      <c r="Q1805" t="inlineStr"/>
      <c r="R1805" t="inlineStr"/>
      <c r="S1805" t="inlineStr"/>
    </row>
    <row r="1806">
      <c r="A1806">
        <f>Skills!A13</f>
        <v/>
      </c>
      <c r="B1806">
        <f>Skills!B13</f>
        <v/>
      </c>
      <c r="C1806">
        <f>Inputs!$B$3&gt;=45</f>
        <v/>
      </c>
      <c r="D1806">
        <f>IF(Skills!C13=1,60+Inputs!$B$25+Inputs!$B$29,IF(Skills!C13=2,90+Inputs!$B$26+Inputs!$B$29,IF(Skills!C13=3,120+Inputs!$B$27+Inputs!$B$29,MAX(0,(Inputs!$B$3-100)*3)+Inputs!$B$28+Inputs!$B$29)))</f>
        <v/>
      </c>
      <c r="E1806">
        <f>INDEX(FactorTable!$B$2:$Y$301, MATCH(ROUND(MIN(300,MAX(1,D1806)),0), FactorTable!$A$2:$A$301,0), Skills!M13+1)</f>
        <v/>
      </c>
      <c r="F1806">
        <f>IF(Skills!N13=TRUE,(Skills!L13/10)*(E1806/1000),Skills!L13/10)+Skills!O13</f>
        <v/>
      </c>
      <c r="G1806">
        <f>Skills!G13*IF(Skills!H13&gt;0,Skills!I13/Skills!H13,1)</f>
        <v/>
      </c>
      <c r="H1806">
        <f>1-(1-Skills!J13/100)^Skills!K13</f>
        <v/>
      </c>
      <c r="I1806" t="inlineStr">
        <is>
          <t>1</t>
        </is>
      </c>
      <c r="J1806" t="inlineStr"/>
      <c r="K1806" t="inlineStr"/>
      <c r="L1806" t="inlineStr"/>
      <c r="M1806" t="inlineStr"/>
      <c r="N1806" t="inlineStr"/>
      <c r="O1806">
        <f>(1-Summary!$B$11)*T1806+Summary!$B$11*V1806</f>
        <v/>
      </c>
      <c r="P1806">
        <f>IF(B1832=0,0,O1806/B1832)</f>
        <v/>
      </c>
      <c r="Q1806" t="n">
        <v>0</v>
      </c>
      <c r="R1806" t="n">
        <v>0</v>
      </c>
      <c r="S1806">
        <f>IFERROR(O1806/N1806,0)</f>
        <v/>
      </c>
      <c r="T1806" t="n">
        <v>0</v>
      </c>
      <c r="V1806" t="n">
        <v>0</v>
      </c>
    </row>
    <row r="1807">
      <c r="A1807">
        <f>Skills!A14</f>
        <v/>
      </c>
      <c r="B1807">
        <f>Skills!B14</f>
        <v/>
      </c>
      <c r="C1807">
        <f>Inputs!$B$3&gt;=75</f>
        <v/>
      </c>
      <c r="D1807">
        <f>IF(Skills!C14=1,60+Inputs!$B$25+Inputs!$B$29,IF(Skills!C14=2,90+Inputs!$B$26+Inputs!$B$29,IF(Skills!C14=3,120+Inputs!$B$27+Inputs!$B$29,MAX(0,(Inputs!$B$3-100)*3)+Inputs!$B$28+Inputs!$B$29)))</f>
        <v/>
      </c>
      <c r="E1807">
        <f>INDEX(FactorTable!$B$2:$Y$301, MATCH(ROUND(MIN(300,MAX(1,D1807)),0), FactorTable!$A$2:$A$301,0), Skills!M14+1)</f>
        <v/>
      </c>
      <c r="F1807">
        <f>IF(Skills!N14=TRUE,(Skills!L14/10)*(E1807/1000),Skills!L14/10)+Skills!O14</f>
        <v/>
      </c>
      <c r="G1807">
        <f>Skills!G14*IF(Skills!H14&gt;0,Skills!I14/Skills!H14,1)</f>
        <v/>
      </c>
      <c r="H1807">
        <f>1-(1-Skills!J14/100)^Skills!K14</f>
        <v/>
      </c>
      <c r="I1807" t="inlineStr">
        <is>
          <t>1</t>
        </is>
      </c>
      <c r="J1807" t="inlineStr"/>
      <c r="K1807" t="inlineStr"/>
      <c r="L1807" t="inlineStr"/>
      <c r="M1807" t="inlineStr"/>
      <c r="N1807" t="inlineStr"/>
      <c r="O1807">
        <f>(1-Summary!$B$11)*T1807+Summary!$B$11*V1807</f>
        <v/>
      </c>
      <c r="P1807">
        <f>IF(B1832=0,0,O1807/B1832)</f>
        <v/>
      </c>
      <c r="Q1807" t="n">
        <v>0</v>
      </c>
      <c r="R1807" t="n">
        <v>0</v>
      </c>
      <c r="S1807">
        <f>IFERROR(O1807/N1807,0)</f>
        <v/>
      </c>
      <c r="T1807" t="n">
        <v>0</v>
      </c>
      <c r="V1807" t="n">
        <v>0</v>
      </c>
    </row>
    <row r="1808">
      <c r="A1808">
        <f>Skills!A15</f>
        <v/>
      </c>
      <c r="B1808">
        <f>Skills!B15</f>
        <v/>
      </c>
      <c r="C1808">
        <f>Inputs!$B$3&gt;=40</f>
        <v/>
      </c>
      <c r="D1808">
        <f>IF(Skills!C15=1,60+Inputs!$B$25+Inputs!$B$29,IF(Skills!C15=2,90+Inputs!$B$26+Inputs!$B$29,IF(Skills!C15=3,120+Inputs!$B$27+Inputs!$B$29,MAX(0,(Inputs!$B$3-100)*3)+Inputs!$B$28+Inputs!$B$29)))</f>
        <v/>
      </c>
      <c r="E1808">
        <f>INDEX(FactorTable!$B$2:$Y$301, MATCH(ROUND(MIN(300,MAX(1,D1808)),0), FactorTable!$A$2:$A$301,0), Skills!M15+1)</f>
        <v/>
      </c>
      <c r="F1808">
        <f>IF(Skills!N15=TRUE,(Skills!L15/10)*(E1808/1000),Skills!L15/10)+Skills!O15</f>
        <v/>
      </c>
      <c r="G1808">
        <f>Skills!G15*IF(Skills!H15&gt;0,Skills!I15/Skills!H15,1)</f>
        <v/>
      </c>
      <c r="H1808">
        <f>1-(1-Skills!J15/100)^Skills!K15</f>
        <v/>
      </c>
      <c r="I1808" t="inlineStr">
        <is>
          <t>1</t>
        </is>
      </c>
      <c r="J1808" t="inlineStr"/>
      <c r="K1808" t="inlineStr"/>
      <c r="L1808" t="inlineStr"/>
      <c r="M1808" t="inlineStr"/>
      <c r="N1808" t="inlineStr"/>
      <c r="O1808">
        <f>(1-Summary!$B$11)*T1808+Summary!$B$11*V1808</f>
        <v/>
      </c>
      <c r="P1808">
        <f>IF(B1832=0,0,O1808/B1832)</f>
        <v/>
      </c>
      <c r="Q1808">
        <f>IFERROR(1/(IF(Inputs!$B$38="pvp",15,MAX(0.1,Skills!D15-IF(Skills!E15=TRUE,Inputs!$B$32,0)))*(1-IF(AND(ArtifactsInput!$M$27,Inputs!$B$4="Chapter Hunt"),CHOOSE(ArtifactsInput!$N$27+1,20,24,28,32,36,40),0)/100)),0)</f>
        <v/>
      </c>
      <c r="R1808">
        <f>IF(AND(Inputs!$B$38&lt;&gt;"pvp",Inputs!$B$43&gt;0),IF(Inputs!$B$43&lt;=0,0,(INT(Inputs!$B$43/(IF(Inputs!$B$38="pvp",15,MAX(0.1,Skills!D15-IF(Skills!E15=TRUE,Inputs!$B$32,0)))*(1-IF(AND(ArtifactsInput!$M$27,Inputs!$B$4="Chapter Hunt"),CHOOSE(ArtifactsInput!$N$27+1,20,24,28,32,36,40),0)/100)))+1)),0)</f>
        <v/>
      </c>
      <c r="S1808">
        <f>IFERROR(O1808/N1808,0)</f>
        <v/>
      </c>
      <c r="T1808" t="n">
        <v>0</v>
      </c>
      <c r="V1808" t="n">
        <v>0</v>
      </c>
    </row>
    <row r="1809">
      <c r="A1809">
        <f>Skills!A16</f>
        <v/>
      </c>
      <c r="B1809">
        <f>Skills!B16</f>
        <v/>
      </c>
      <c r="C1809">
        <f>Inputs!$B$3&gt;=66</f>
        <v/>
      </c>
      <c r="D1809">
        <f>IF(Skills!C16=1,60+Inputs!$B$25+Inputs!$B$29,IF(Skills!C16=2,90+Inputs!$B$26+Inputs!$B$29,IF(Skills!C16=3,120+Inputs!$B$27+Inputs!$B$29,MAX(0,(Inputs!$B$3-100)*3)+Inputs!$B$28+Inputs!$B$29)))</f>
        <v/>
      </c>
      <c r="E1809">
        <f>INDEX(FactorTable!$B$2:$Y$301, MATCH(ROUND(MIN(300,MAX(1,D1809)),0), FactorTable!$A$2:$A$301,0), Skills!M16+1)</f>
        <v/>
      </c>
      <c r="F1809">
        <f>IF(Skills!N16=TRUE,(Skills!L16/10)*(E1809/1000),Skills!L16/10)+Skills!O16</f>
        <v/>
      </c>
      <c r="G1809">
        <f>Skills!G16*IF(Skills!H16&gt;0,Skills!I16/Skills!H16,1)</f>
        <v/>
      </c>
      <c r="H1809">
        <f>1-(1-Skills!J16/100)^Skills!K16</f>
        <v/>
      </c>
      <c r="I1809" t="inlineStr">
        <is>
          <t>1</t>
        </is>
      </c>
      <c r="J1809" t="inlineStr"/>
      <c r="K1809" t="inlineStr"/>
      <c r="L1809" t="inlineStr"/>
      <c r="M1809" t="inlineStr"/>
      <c r="N1809" t="inlineStr"/>
      <c r="O1809">
        <f>(1-Summary!$B$11)*T1809+Summary!$B$11*V1809</f>
        <v/>
      </c>
      <c r="P1809">
        <f>IF(B1832=0,0,O1809/B1832)</f>
        <v/>
      </c>
      <c r="Q1809">
        <f>IFERROR(1/(IF(Inputs!$B$38="pvp",15,MAX(0.1,Skills!D16-IF(Skills!E16=TRUE,Inputs!$B$32,0)))*(1-IF(AND(ArtifactsInput!$M$27,Inputs!$B$4="Chapter Hunt"),CHOOSE(ArtifactsInput!$N$27+1,20,24,28,32,36,40),0)/100)),0)</f>
        <v/>
      </c>
      <c r="R1809">
        <f>IF(AND(Inputs!$B$38&lt;&gt;"pvp",Inputs!$B$43&gt;0),IF(Inputs!$B$43&lt;=0,0,(INT(Inputs!$B$43/(IF(Inputs!$B$38="pvp",15,MAX(0.1,Skills!D16-IF(Skills!E16=TRUE,Inputs!$B$32,0)))*(1-IF(AND(ArtifactsInput!$M$27,Inputs!$B$4="Chapter Hunt"),CHOOSE(ArtifactsInput!$N$27+1,20,24,28,32,36,40),0)/100)))+1)),0)</f>
        <v/>
      </c>
      <c r="S1809">
        <f>IFERROR(O1809/N1809,0)</f>
        <v/>
      </c>
      <c r="T1809" t="n">
        <v>0</v>
      </c>
      <c r="V1809" t="n">
        <v>0</v>
      </c>
    </row>
    <row r="1810">
      <c r="A1810">
        <f>Skills!A17</f>
        <v/>
      </c>
      <c r="B1810">
        <f>Skills!B17</f>
        <v/>
      </c>
      <c r="C1810">
        <f>Inputs!$B$3&gt;=115</f>
        <v/>
      </c>
      <c r="D1810">
        <f>IF(Skills!C17=1,60+Inputs!$B$25+Inputs!$B$29,IF(Skills!C17=2,90+Inputs!$B$26+Inputs!$B$29,IF(Skills!C17=3,120+Inputs!$B$27+Inputs!$B$29,MAX(0,(Inputs!$B$3-100)*3)+Inputs!$B$28+Inputs!$B$29)))</f>
        <v/>
      </c>
      <c r="E1810">
        <f>INDEX(FactorTable!$B$2:$Y$301, MATCH(ROUND(MIN(300,MAX(1,D1810)),0), FactorTable!$A$2:$A$301,0), Skills!M17+1)</f>
        <v/>
      </c>
      <c r="F1810">
        <f>IF(Skills!N17=TRUE,(Skills!L17/10)*(E1810/1000),Skills!L17/10)+Skills!O17</f>
        <v/>
      </c>
      <c r="G1810">
        <f>Skills!G17*IF(Skills!H17&gt;0,Skills!I17/Skills!H17,1)</f>
        <v/>
      </c>
      <c r="H1810">
        <f>1-(1-Skills!J17/100)^Skills!K17</f>
        <v/>
      </c>
      <c r="I1810" t="inlineStr">
        <is>
          <t>1</t>
        </is>
      </c>
      <c r="J1810" t="inlineStr"/>
      <c r="K1810" t="inlineStr"/>
      <c r="L1810" t="inlineStr"/>
      <c r="M1810" t="inlineStr"/>
      <c r="N1810" t="inlineStr"/>
      <c r="O1810">
        <f>(1-Summary!$B$11)*T1810+Summary!$B$11*V1810</f>
        <v/>
      </c>
      <c r="P1810">
        <f>IF(B1832=0,0,O1810/B1832)</f>
        <v/>
      </c>
      <c r="Q1810">
        <f>IFERROR(1/(IF(Inputs!$B$38="pvp",15,MAX(0.1,Skills!D17-IF(Skills!E17=TRUE,Inputs!$B$32,0)))*(1-IF(AND(ArtifactsInput!$M$27,Inputs!$B$4="Chapter Hunt"),CHOOSE(ArtifactsInput!$N$27+1,20,24,28,32,36,40),0)/100)),0)</f>
        <v/>
      </c>
      <c r="R1810">
        <f>IF(AND(Inputs!$B$38&lt;&gt;"pvp",Inputs!$B$43&gt;0),IF(Inputs!$B$43&lt;=0,0,(INT(Inputs!$B$43/(IF(Inputs!$B$38="pvp",15,MAX(0.1,Skills!D17-IF(Skills!E17=TRUE,Inputs!$B$32,0)))*(1-IF(AND(ArtifactsInput!$M$27,Inputs!$B$4="Chapter Hunt"),CHOOSE(ArtifactsInput!$N$27+1,20,24,28,32,36,40),0)/100)))+1)),0)</f>
        <v/>
      </c>
      <c r="S1810">
        <f>IFERROR(O1810/N1810,0)</f>
        <v/>
      </c>
      <c r="T1810" t="n">
        <v>0</v>
      </c>
      <c r="V1810" t="n">
        <v>0</v>
      </c>
    </row>
    <row r="1811">
      <c r="A1811">
        <f>Skills!A18</f>
        <v/>
      </c>
      <c r="B1811">
        <f>Skills!B18</f>
        <v/>
      </c>
      <c r="C1811">
        <f>Inputs!$B$3&gt;=115</f>
        <v/>
      </c>
      <c r="D1811">
        <f>IF(Skills!C18=1,60+Inputs!$B$25+Inputs!$B$29,IF(Skills!C18=2,90+Inputs!$B$26+Inputs!$B$29,IF(Skills!C18=3,120+Inputs!$B$27+Inputs!$B$29,MAX(0,(Inputs!$B$3-100)*3)+Inputs!$B$28+Inputs!$B$29)))</f>
        <v/>
      </c>
      <c r="E1811">
        <f>INDEX(FactorTable!$B$2:$Y$301, MATCH(ROUND(MIN(300,MAX(1,D1811)),0), FactorTable!$A$2:$A$301,0), Skills!M18+1)</f>
        <v/>
      </c>
      <c r="F1811">
        <f>IF(Skills!N18=TRUE,(Skills!L18/10)*(E1811/1000),Skills!L18/10)+Skills!O18</f>
        <v/>
      </c>
      <c r="G1811">
        <f>Skills!G18*IF(Skills!H18&gt;0,Skills!I18/Skills!H18,1)</f>
        <v/>
      </c>
      <c r="H1811">
        <f>1-(1-Skills!J18/100)^Skills!K18</f>
        <v/>
      </c>
      <c r="I1811" t="inlineStr">
        <is>
          <t>1</t>
        </is>
      </c>
      <c r="J1811" t="inlineStr"/>
      <c r="K1811" t="inlineStr"/>
      <c r="L1811" t="inlineStr"/>
      <c r="M1811" t="inlineStr"/>
      <c r="N1811" t="inlineStr"/>
      <c r="O1811">
        <f>(1-Summary!$B$11)*T1811+Summary!$B$11*V1811</f>
        <v/>
      </c>
      <c r="P1811">
        <f>IF(B1832=0,0,O1811/B1832)</f>
        <v/>
      </c>
      <c r="Q1811">
        <f>IFERROR(1/(IF(Inputs!$B$38="pvp",15,MAX(0.1,Skills!D18-IF(Skills!E18=TRUE,Inputs!$B$32,0)))*(1-IF(AND(ArtifactsInput!$M$27,Inputs!$B$4="Chapter Hunt"),CHOOSE(ArtifactsInput!$N$27+1,20,24,28,32,36,40),0)/100)),0)</f>
        <v/>
      </c>
      <c r="R1811">
        <f>IF(AND(Inputs!$B$38&lt;&gt;"pvp",Inputs!$B$43&gt;0),IF(Inputs!$B$43&lt;=0,0,(INT(Inputs!$B$43/(IF(Inputs!$B$38="pvp",15,MAX(0.1,Skills!D18-IF(Skills!E18=TRUE,Inputs!$B$32,0)))*(1-IF(AND(ArtifactsInput!$M$27,Inputs!$B$4="Chapter Hunt"),CHOOSE(ArtifactsInput!$N$27+1,20,24,28,32,36,40),0)/100)))+1)),0)</f>
        <v/>
      </c>
      <c r="S1811">
        <f>IFERROR(O1811/N1811,0)</f>
        <v/>
      </c>
      <c r="T1811" t="n">
        <v>0</v>
      </c>
      <c r="V1811" t="n">
        <v>0</v>
      </c>
    </row>
    <row r="1812">
      <c r="A1812">
        <f>Skills!A19</f>
        <v/>
      </c>
      <c r="B1812">
        <f>Skills!B19</f>
        <v/>
      </c>
      <c r="C1812">
        <f>TRUE</f>
        <v/>
      </c>
      <c r="D1812">
        <f>IF(Skills!C19=1,60+Inputs!$B$25+Inputs!$B$29,IF(Skills!C19=2,90+Inputs!$B$26+Inputs!$B$29,IF(Skills!C19=3,120+Inputs!$B$27+Inputs!$B$29,MAX(0,(Inputs!$B$3-100)*3)+Inputs!$B$28+Inputs!$B$29)))</f>
        <v/>
      </c>
      <c r="E1812">
        <f>INDEX(FactorTable!$B$2:$Y$301, MATCH(ROUND(MIN(300,MAX(1,D1812)),0), FactorTable!$A$2:$A$301,0), Skills!M19+1)</f>
        <v/>
      </c>
      <c r="F1812">
        <f>IF(Skills!N19=TRUE,(Skills!L19/10)*(E1812/1000),Skills!L19/10)+Skills!O19</f>
        <v/>
      </c>
      <c r="G1812">
        <f>Skills!G19*IF(Skills!H19&gt;0,Skills!I19/Skills!H19,1)</f>
        <v/>
      </c>
      <c r="H1812">
        <f>1-(1-Skills!J19/100)^Skills!K19</f>
        <v/>
      </c>
      <c r="I1812" t="inlineStr">
        <is>
          <t>1</t>
        </is>
      </c>
      <c r="J1812" t="inlineStr"/>
      <c r="K1812" t="inlineStr"/>
      <c r="L1812" t="inlineStr"/>
      <c r="M1812" t="inlineStr"/>
      <c r="N1812" t="inlineStr"/>
      <c r="O1812">
        <f>(1-Summary!$B$11)*T1812+Summary!$B$11*V1812</f>
        <v/>
      </c>
      <c r="P1812">
        <f>IF(B1832=0,0,O1812/B1832)</f>
        <v/>
      </c>
      <c r="Q1812">
        <f>IFERROR(1/(IF(Inputs!$B$38="pvp",15,MAX(0.1,Skills!D19-IF(Skills!E19=TRUE,Inputs!$B$32,0)))*(1-IF(AND(ArtifactsInput!$M$27,Inputs!$B$4="Chapter Hunt"),CHOOSE(ArtifactsInput!$N$27+1,20,24,28,32,36,40),0)/100)),0)</f>
        <v/>
      </c>
      <c r="R1812">
        <f>IF(AND(Inputs!$B$38&lt;&gt;"pvp",Inputs!$B$43&gt;0),IF(Inputs!$B$43&lt;=0,0,(INT(Inputs!$B$43/(IF(Inputs!$B$38="pvp",15,MAX(0.1,Skills!D19-IF(Skills!E19=TRUE,Inputs!$B$32,0)))*(1-IF(AND(ArtifactsInput!$M$27,Inputs!$B$4="Chapter Hunt"),CHOOSE(ArtifactsInput!$N$27+1,20,24,28,32,36,40),0)/100)))+1)),0)</f>
        <v/>
      </c>
      <c r="S1812">
        <f>IFERROR(O1812/N1812,0)</f>
        <v/>
      </c>
      <c r="T1812" t="n">
        <v>0</v>
      </c>
      <c r="V1812" t="n">
        <v>0</v>
      </c>
    </row>
    <row r="1813">
      <c r="A1813">
        <f>Skills!A20</f>
        <v/>
      </c>
      <c r="B1813">
        <f>Skills!B20</f>
        <v/>
      </c>
      <c r="C1813">
        <f>Inputs!$B$3&gt;=33</f>
        <v/>
      </c>
      <c r="D1813">
        <f>IF(Skills!C20=1,60+Inputs!$B$25+Inputs!$B$29,IF(Skills!C20=2,90+Inputs!$B$26+Inputs!$B$29,IF(Skills!C20=3,120+Inputs!$B$27+Inputs!$B$29,MAX(0,(Inputs!$B$3-100)*3)+Inputs!$B$28+Inputs!$B$29)))</f>
        <v/>
      </c>
      <c r="E1813">
        <f>INDEX(FactorTable!$B$2:$Y$301, MATCH(ROUND(MIN(300,MAX(1,D1813)),0), FactorTable!$A$2:$A$301,0), Skills!M20+1)</f>
        <v/>
      </c>
      <c r="F1813">
        <f>IF(Skills!N20=TRUE,(Skills!L20/10)*(E1813/1000),Skills!L20/10)+Skills!O20</f>
        <v/>
      </c>
      <c r="G1813">
        <f>Skills!G20*IF(Skills!H20&gt;0,Skills!I20/Skills!H20,1)</f>
        <v/>
      </c>
      <c r="H1813">
        <f>1-(1-Skills!J20/100)^Skills!K20</f>
        <v/>
      </c>
      <c r="I1813" t="inlineStr">
        <is>
          <t>1</t>
        </is>
      </c>
      <c r="J1813" t="inlineStr"/>
      <c r="K1813" t="inlineStr"/>
      <c r="L1813" t="inlineStr"/>
      <c r="M1813" t="inlineStr"/>
      <c r="N1813" t="inlineStr"/>
      <c r="O1813">
        <f>(1-Summary!$B$11)*T1813+Summary!$B$11*V1813</f>
        <v/>
      </c>
      <c r="P1813">
        <f>IF(B1832=0,0,O1813/B1832)</f>
        <v/>
      </c>
      <c r="Q1813" t="n">
        <v>0</v>
      </c>
      <c r="R1813" t="n">
        <v>0</v>
      </c>
      <c r="S1813">
        <f>IFERROR(O1813/N1813,0)</f>
        <v/>
      </c>
      <c r="T1813" t="n">
        <v>0</v>
      </c>
      <c r="V1813" t="n">
        <v>0</v>
      </c>
    </row>
    <row r="1814">
      <c r="A1814">
        <f>Skills!A21</f>
        <v/>
      </c>
      <c r="B1814">
        <f>Skills!B21</f>
        <v/>
      </c>
      <c r="C1814">
        <f>Inputs!$B$3&gt;=38</f>
        <v/>
      </c>
      <c r="D1814">
        <f>IF(Skills!C21=1,60+Inputs!$B$25+Inputs!$B$29,IF(Skills!C21=2,90+Inputs!$B$26+Inputs!$B$29,IF(Skills!C21=3,120+Inputs!$B$27+Inputs!$B$29,MAX(0,(Inputs!$B$3-100)*3)+Inputs!$B$28+Inputs!$B$29)))</f>
        <v/>
      </c>
      <c r="E1814">
        <f>INDEX(FactorTable!$B$2:$Y$301, MATCH(ROUND(MIN(300,MAX(1,D1814)),0), FactorTable!$A$2:$A$301,0), Skills!M21+1)</f>
        <v/>
      </c>
      <c r="F1814">
        <f>IF(Skills!N21=TRUE,(Skills!L21/10)*(E1814/1000),Skills!L21/10)+Skills!O21</f>
        <v/>
      </c>
      <c r="G1814">
        <f>Skills!G21*IF(Skills!H21&gt;0,Skills!I21/Skills!H21,1)</f>
        <v/>
      </c>
      <c r="H1814">
        <f>1-(1-Skills!J21/100)^Skills!K21</f>
        <v/>
      </c>
      <c r="I1814" t="inlineStr">
        <is>
          <t>1</t>
        </is>
      </c>
      <c r="J1814" t="inlineStr"/>
      <c r="K1814" t="inlineStr"/>
      <c r="L1814" t="inlineStr"/>
      <c r="M1814" t="inlineStr"/>
      <c r="N1814" t="inlineStr"/>
      <c r="O1814">
        <f>(1-Summary!$B$11)*T1814+Summary!$B$11*V1814</f>
        <v/>
      </c>
      <c r="P1814">
        <f>IF(B1832=0,0,O1814/B1832)</f>
        <v/>
      </c>
      <c r="Q1814" t="n">
        <v>0</v>
      </c>
      <c r="R1814" t="n">
        <v>0</v>
      </c>
      <c r="S1814">
        <f>IFERROR(O1814/N1814,0)</f>
        <v/>
      </c>
      <c r="T1814" t="n">
        <v>0</v>
      </c>
      <c r="V1814" t="n">
        <v>0</v>
      </c>
    </row>
    <row r="1815">
      <c r="A1815">
        <f>Skills!A22</f>
        <v/>
      </c>
      <c r="B1815">
        <f>Skills!B22</f>
        <v/>
      </c>
      <c r="C1815">
        <f>Inputs!$B$3&gt;=43</f>
        <v/>
      </c>
      <c r="D1815">
        <f>IF(Skills!C22=1,60+Inputs!$B$25+Inputs!$B$29,IF(Skills!C22=2,90+Inputs!$B$26+Inputs!$B$29,IF(Skills!C22=3,120+Inputs!$B$27+Inputs!$B$29,MAX(0,(Inputs!$B$3-100)*3)+Inputs!$B$28+Inputs!$B$29)))</f>
        <v/>
      </c>
      <c r="E1815">
        <f>INDEX(FactorTable!$B$2:$Y$301, MATCH(ROUND(MIN(300,MAX(1,D1815)),0), FactorTable!$A$2:$A$301,0), Skills!M22+1)</f>
        <v/>
      </c>
      <c r="F1815">
        <f>IF(Skills!N22=TRUE,(Skills!L22/10)*(E1815/1000),Skills!L22/10)+Skills!O22</f>
        <v/>
      </c>
      <c r="G1815">
        <f>Skills!G22*IF(Skills!H22&gt;0,Skills!I22/Skills!H22,1)</f>
        <v/>
      </c>
      <c r="H1815">
        <f>1-(1-Skills!J22/100)^Skills!K22</f>
        <v/>
      </c>
      <c r="I1815" t="inlineStr">
        <is>
          <t>1</t>
        </is>
      </c>
      <c r="J1815" t="inlineStr"/>
      <c r="K1815" t="inlineStr"/>
      <c r="L1815" t="inlineStr"/>
      <c r="M1815" t="inlineStr"/>
      <c r="N1815" t="inlineStr"/>
      <c r="O1815">
        <f>(1-Summary!$B$11)*T1815+Summary!$B$11*V1815</f>
        <v/>
      </c>
      <c r="P1815">
        <f>IF(B1832=0,0,O1815/B1832)</f>
        <v/>
      </c>
      <c r="Q1815" t="n">
        <v>0</v>
      </c>
      <c r="R1815" t="n">
        <v>0</v>
      </c>
      <c r="S1815">
        <f>IFERROR(O1815/N1815,0)</f>
        <v/>
      </c>
      <c r="T1815" t="n">
        <v>0</v>
      </c>
      <c r="V1815" t="n">
        <v>0</v>
      </c>
    </row>
    <row r="1816">
      <c r="A1816">
        <f>Skills!A23</f>
        <v/>
      </c>
      <c r="B1816">
        <f>Skills!B23</f>
        <v/>
      </c>
      <c r="C1816">
        <f>Inputs!$B$3&gt;=120</f>
        <v/>
      </c>
      <c r="D1816">
        <f>IF(Skills!C23=1,60+Inputs!$B$25+Inputs!$B$29,IF(Skills!C23=2,90+Inputs!$B$26+Inputs!$B$29,IF(Skills!C23=3,120+Inputs!$B$27+Inputs!$B$29,MAX(0,(Inputs!$B$3-100)*3)+Inputs!$B$28+Inputs!$B$29)))</f>
        <v/>
      </c>
      <c r="E1816">
        <f>INDEX(FactorTable!$B$2:$Y$301, MATCH(ROUND(MIN(300,MAX(1,D1816)),0), FactorTable!$A$2:$A$301,0), Skills!M23+1)</f>
        <v/>
      </c>
      <c r="F1816">
        <f>IF(Skills!N23=TRUE,(Skills!L23/10)*(E1816/1000),Skills!L23/10)+Skills!O23</f>
        <v/>
      </c>
      <c r="G1816">
        <f>Skills!G23*IF(Skills!H23&gt;0,Skills!I23/Skills!H23,1)</f>
        <v/>
      </c>
      <c r="H1816">
        <f>1-(1-Skills!J23/100)^Skills!K23</f>
        <v/>
      </c>
      <c r="I1816" t="inlineStr">
        <is>
          <t>1</t>
        </is>
      </c>
      <c r="J1816" t="inlineStr"/>
      <c r="K1816" t="inlineStr"/>
      <c r="L1816" t="inlineStr"/>
      <c r="M1816" t="inlineStr"/>
      <c r="N1816" t="inlineStr"/>
      <c r="O1816">
        <f>(1-Summary!$B$11)*T1816+Summary!$B$11*V1816</f>
        <v/>
      </c>
      <c r="P1816">
        <f>IF(B1832=0,0,O1816/B1832)</f>
        <v/>
      </c>
      <c r="Q1816" t="n">
        <v>0</v>
      </c>
      <c r="R1816" t="n">
        <v>0</v>
      </c>
      <c r="S1816">
        <f>IFERROR(O1816/N1816,0)</f>
        <v/>
      </c>
      <c r="T1816" t="n">
        <v>0</v>
      </c>
      <c r="V1816" t="n">
        <v>0</v>
      </c>
    </row>
    <row r="1817">
      <c r="A1817">
        <f>Skills!A24</f>
        <v/>
      </c>
      <c r="B1817">
        <f>Skills!B24</f>
        <v/>
      </c>
      <c r="C1817">
        <f>Inputs!$B$3&gt;=120</f>
        <v/>
      </c>
      <c r="D1817">
        <f>IF(Skills!C24=1,60+Inputs!$B$25+Inputs!$B$29,IF(Skills!C24=2,90+Inputs!$B$26+Inputs!$B$29,IF(Skills!C24=3,120+Inputs!$B$27+Inputs!$B$29,MAX(0,(Inputs!$B$3-100)*3)+Inputs!$B$28+Inputs!$B$29)))</f>
        <v/>
      </c>
      <c r="E1817">
        <f>INDEX(FactorTable!$B$2:$Y$301, MATCH(ROUND(MIN(300,MAX(1,D1817)),0), FactorTable!$A$2:$A$301,0), Skills!M24+1)</f>
        <v/>
      </c>
      <c r="F1817">
        <f>IF(Skills!N24=TRUE,(Skills!L24/10)*(E1817/1000),Skills!L24/10)+Skills!O24</f>
        <v/>
      </c>
      <c r="G1817">
        <f>Skills!G24*IF(Skills!H24&gt;0,Skills!I24/Skills!H24,1)</f>
        <v/>
      </c>
      <c r="H1817">
        <f>1-(1-Skills!J24/100)^Skills!K24</f>
        <v/>
      </c>
      <c r="I1817" t="inlineStr">
        <is>
          <t>1</t>
        </is>
      </c>
      <c r="J1817" t="inlineStr"/>
      <c r="K1817" t="inlineStr"/>
      <c r="L1817" t="inlineStr"/>
      <c r="M1817" t="inlineStr"/>
      <c r="N1817" t="inlineStr"/>
      <c r="O1817">
        <f>(1-Summary!$B$11)*T1817+Summary!$B$11*V1817</f>
        <v/>
      </c>
      <c r="P1817">
        <f>IF(B1832=0,0,O1817/B1832)</f>
        <v/>
      </c>
      <c r="Q1817" t="n">
        <v>0</v>
      </c>
      <c r="R1817" t="n">
        <v>0</v>
      </c>
      <c r="S1817">
        <f>IFERROR(O1817/N1817,0)</f>
        <v/>
      </c>
      <c r="T1817" t="n">
        <v>0</v>
      </c>
      <c r="V1817" t="n">
        <v>0</v>
      </c>
    </row>
    <row r="1818">
      <c r="A1818">
        <f>Skills!A25</f>
        <v/>
      </c>
      <c r="B1818">
        <f>Skills!B25</f>
        <v/>
      </c>
      <c r="C1818">
        <f>Inputs!$B$3&gt;=125</f>
        <v/>
      </c>
      <c r="D1818">
        <f>IF(Skills!C25=1,60+Inputs!$B$25+Inputs!$B$29,IF(Skills!C25=2,90+Inputs!$B$26+Inputs!$B$29,IF(Skills!C25=3,120+Inputs!$B$27+Inputs!$B$29,MAX(0,(Inputs!$B$3-100)*3)+Inputs!$B$28+Inputs!$B$29)))</f>
        <v/>
      </c>
      <c r="E1818">
        <f>INDEX(FactorTable!$B$2:$Y$301, MATCH(ROUND(MIN(300,MAX(1,D1818)),0), FactorTable!$A$2:$A$301,0), Skills!M25+1)</f>
        <v/>
      </c>
      <c r="F1818">
        <f>IF(Skills!N25=TRUE,(Skills!L25/10)*(E1818/1000),Skills!L25/10)+Skills!O25</f>
        <v/>
      </c>
      <c r="G1818">
        <f>Skills!G25*IF(Skills!H25&gt;0,Skills!I25/Skills!H25,1)</f>
        <v/>
      </c>
      <c r="H1818">
        <f>1-(1-Skills!J25/100)^Skills!K25</f>
        <v/>
      </c>
      <c r="I1818" t="inlineStr">
        <is>
          <t>1</t>
        </is>
      </c>
      <c r="J1818" t="inlineStr"/>
      <c r="K1818" t="inlineStr"/>
      <c r="L1818" t="inlineStr"/>
      <c r="M1818" t="inlineStr"/>
      <c r="N1818" t="inlineStr"/>
      <c r="O1818">
        <f>(1-Summary!$B$11)*T1818+Summary!$B$11*V1818</f>
        <v/>
      </c>
      <c r="P1818">
        <f>IF(B1832=0,0,O1818/B1832)</f>
        <v/>
      </c>
      <c r="Q1818" t="n">
        <v>0</v>
      </c>
      <c r="R1818" t="n">
        <v>0</v>
      </c>
      <c r="S1818">
        <f>IFERROR(O1818/N1818,0)</f>
        <v/>
      </c>
      <c r="T1818" t="n">
        <v>0</v>
      </c>
      <c r="V1818" t="n">
        <v>0</v>
      </c>
    </row>
    <row r="1819">
      <c r="A1819">
        <f>Skills!A26</f>
        <v/>
      </c>
      <c r="B1819">
        <f>Skills!B26</f>
        <v/>
      </c>
      <c r="C1819">
        <f>Inputs!$B$3&gt;=72</f>
        <v/>
      </c>
      <c r="D1819">
        <f>IF(Skills!C26=1,60+Inputs!$B$25+Inputs!$B$29,IF(Skills!C26=2,90+Inputs!$B$26+Inputs!$B$29,IF(Skills!C26=3,120+Inputs!$B$27+Inputs!$B$29,MAX(0,(Inputs!$B$3-100)*3)+Inputs!$B$28+Inputs!$B$29)))</f>
        <v/>
      </c>
      <c r="E1819">
        <f>INDEX(FactorTable!$B$2:$Y$301, MATCH(ROUND(MIN(300,MAX(1,D1819)),0), FactorTable!$A$2:$A$301,0), Skills!M26+1)</f>
        <v/>
      </c>
      <c r="F1819">
        <f>IF(Skills!N26=TRUE,(Skills!L26/10)*(E1819/1000),Skills!L26/10)+Skills!O26</f>
        <v/>
      </c>
      <c r="G1819">
        <f>Skills!G26*IF(Skills!H26&gt;0,Skills!I26/Skills!H26,1)</f>
        <v/>
      </c>
      <c r="H1819">
        <f>1-(1-Skills!J26/100)^Skills!K26</f>
        <v/>
      </c>
      <c r="I1819" t="inlineStr">
        <is>
          <t>1</t>
        </is>
      </c>
      <c r="J1819" t="inlineStr"/>
      <c r="K1819" t="inlineStr"/>
      <c r="L1819" t="inlineStr"/>
      <c r="M1819" t="inlineStr"/>
      <c r="N1819" t="inlineStr"/>
      <c r="O1819">
        <f>(1-Summary!$B$11)*T1819+Summary!$B$11*V1819</f>
        <v/>
      </c>
      <c r="P1819">
        <f>IF(B1832=0,0,O1819/B1832)</f>
        <v/>
      </c>
      <c r="Q1819" t="n">
        <v>0</v>
      </c>
      <c r="R1819" t="n">
        <v>0</v>
      </c>
      <c r="S1819">
        <f>IFERROR(O1819/N1819,0)</f>
        <v/>
      </c>
      <c r="T1819" t="n">
        <v>0</v>
      </c>
      <c r="V1819" t="n">
        <v>0</v>
      </c>
    </row>
    <row r="1821">
      <c r="A1821" t="inlineStr">
        <is>
          <t>Attack% Bucket Multiplier</t>
        </is>
      </c>
      <c r="B1821">
        <f>(1+(((C1806=TRUE)*F1806*IF(Inputs!$B$3&gt;=110,7,5))+((C1808=TRUE)*F1808*IF(AND(Inputs!$B$38&lt;&gt;"pvp",Inputs!$B$43&gt;0),(((R1808-1)*(Skills!T15*(1+(Inputs!$B$34+(ArtifactsInput!$M$7-ArtifactsInput!$M$7)*CHOOSE(ArtifactsInput!$N$7+1,6,7.2,8.4,9.6,10.8,12))/100))+MIN((Skills!T15*(1+(Inputs!$B$34+(ArtifactsInput!$M$7-ArtifactsInput!$M$7)*CHOOSE(ArtifactsInput!$N$7+1,6,7.2,8.4,9.6,10.8,12))/100)),MAX(0,Inputs!$B$43-((R1808-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22">
      <c r="A1822" t="inlineStr">
        <is>
          <t>Global Crit Rate Bonus %</t>
        </is>
      </c>
      <c r="B1822" t="n">
        <v>0</v>
      </c>
    </row>
    <row r="1823">
      <c r="A1823" t="inlineStr">
        <is>
          <t>Attack Speed Buff Bonus %</t>
        </is>
      </c>
      <c r="B1823">
        <f>((C1812=TRUE)*F1812*IF(AND(Inputs!$B$38&lt;&gt;"pvp",Inputs!$B$43&gt;0),(((R1812-1)*(Skills!T19*(1+(Inputs!$B$34+(ArtifactsInput!$M$7-ArtifactsInput!$M$7)*CHOOSE(ArtifactsInput!$N$7+1,6,7.2,8.4,9.6,10.8,12))/100))+MIN((Skills!T19*(1+(Inputs!$B$34+(ArtifactsInput!$M$7-ArtifactsInput!$M$7)*CHOOSE(ArtifactsInput!$N$7+1,6,7.2,8.4,9.6,10.8,12))/100)),MAX(0,Inputs!$B$43-((R1812-1)*Skills!D19))))/Inputs!$B$43),IF(Inputs!$B$38="pvp",MIN((Skills!T19*(1+(Inputs!$B$34+(ArtifactsInput!$M$7-ArtifactsInput!$M$7)*CHOOSE(ArtifactsInput!$N$7+1,6,7.2,8.4,9.6,10.8,12))/100)),15)/15,(Skills!T19*(1+(Inputs!$B$34+(ArtifactsInput!$M$7-ArtifactsInput!$M$7)*CHOOSE(ArtifactsInput!$N$7+1,6,7.2,8.4,9.6,10.8,12))/100))/Skills!D19)))</f>
        <v/>
      </c>
    </row>
    <row r="1824">
      <c r="A1824" t="inlineStr">
        <is>
          <t>Actions Per Second</t>
        </is>
      </c>
      <c r="B1824">
        <f>1+MIN(150,150*(1-(1-(Inputs!$B$11+((C1813=TRUE)*(F1813-Calc!F20)))/150)*(1-B1823/150)))/100</f>
        <v/>
      </c>
    </row>
    <row r="1825">
      <c r="A1825" t="inlineStr">
        <is>
          <t>Skill + Buff Cast Rate</t>
        </is>
      </c>
      <c r="B1825">
        <f>IF(AND(Inputs!$B$38&lt;&gt;"pvp",Inputs!$B$43&gt;0),SUMPRODUCT((Skills!E2:E26=TRUE)*(C1795:C1819=TRUE)*R1795:R1819*Skills!F2:F26)/Inputs!$B$43,SUMPRODUCT((Skills!E2:E26=TRUE)*(C1795:C1819=TRUE)*Q1795:Q1819*Skills!F2:F26))</f>
        <v/>
      </c>
    </row>
    <row r="1826">
      <c r="A1826" t="inlineStr">
        <is>
          <t>Raging Blow Casts Per Second</t>
        </is>
      </c>
      <c r="B1826">
        <f>MAX(0,B1824-B1825)</f>
        <v/>
      </c>
    </row>
    <row r="1827">
      <c r="A1827" t="inlineStr">
        <is>
          <t>Global Critical Damage Bonus % (Enrage)</t>
        </is>
      </c>
      <c r="B1827">
        <f>((C1811=TRUE)*F1811*IF(AND(Inputs!$B$38&lt;&gt;"pvp",Inputs!$B$43&gt;0),(((R1811-1)*(Skills!T18*(1+(Inputs!$B$34+(ArtifactsInput!$M$7-ArtifactsInput!$M$7)*CHOOSE(ArtifactsInput!$N$7+1,6,7.2,8.4,9.6,10.8,12))/100))+MIN((Skills!T18*(1+(Inputs!$B$34+(ArtifactsInput!$M$7-ArtifactsInput!$M$7)*CHOOSE(ArtifactsInput!$N$7+1,6,7.2,8.4,9.6,10.8,12))/100)),MAX(0,Inputs!$B$43-((R1811-1)*Skills!D18))))/Inputs!$B$43),IF(Inputs!$B$38="pvp",MIN((Skills!T18*(1+(Inputs!$B$34+(ArtifactsInput!$M$7-ArtifactsInput!$M$7)*CHOOSE(ArtifactsInput!$N$7+1,6,7.2,8.4,9.6,10.8,12))/100)),15)/15,(Skills!T18*(1+(Inputs!$B$34+(ArtifactsInput!$M$7-ArtifactsInput!$M$7)*CHOOSE(ArtifactsInput!$N$7+1,6,7.2,8.4,9.6,10.8,12))/100))/Skills!D18)))</f>
        <v/>
      </c>
    </row>
    <row r="1828">
      <c r="A1828" t="inlineStr">
        <is>
          <t>Global Final Damage Bonus % (Enrage + Combo Synergy)</t>
        </is>
      </c>
      <c r="B1828">
        <f>((C1810=TRUE)*F1810*IF(AND(Inputs!$B$38&lt;&gt;"pvp",Inputs!$B$43&gt;0),(((R1810-1)*(Skills!T17*(1+(Inputs!$B$34+(ArtifactsInput!$M$7-ArtifactsInput!$M$7)*CHOOSE(ArtifactsInput!$N$7+1,6,7.2,8.4,9.6,10.8,12))/100))+MIN((Skills!T17*(1+(Inputs!$B$34+(ArtifactsInput!$M$7-ArtifactsInput!$M$7)*CHOOSE(ArtifactsInput!$N$7+1,6,7.2,8.4,9.6,10.8,12))/100)),MAX(0,Inputs!$B$43-((R1810-1)*Skills!D17))))/Inputs!$B$43),IF(Inputs!$B$38="pvp",MIN((Skills!T17*(1+(Inputs!$B$34+(ArtifactsInput!$M$7-ArtifactsInput!$M$7)*CHOOSE(ArtifactsInput!$N$7+1,6,7.2,8.4,9.6,10.8,12))/100)),15)/15,(Skills!T17*(1+(Inputs!$B$34+(ArtifactsInput!$M$7-ArtifactsInput!$M$7)*CHOOSE(ArtifactsInput!$N$7+1,6,7.2,8.4,9.6,10.8,12))/100))/Skills!D17)))+((C1807=TRUE)*F1807*IF(Inputs!$B$3&gt;=110,7,5))</f>
        <v/>
      </c>
    </row>
    <row r="1829">
      <c r="A1829" t="inlineStr">
        <is>
          <t>Buff-Casting Startup Delay (s, fixed-duration only)</t>
        </is>
      </c>
      <c r="B1829">
        <f>IF(AND(Inputs!$B$38&lt;&gt;"pvp",Inputs!$B$43&gt;0),SUMPRODUCT((Skills!T2:T26&gt;0)*(Skills!E2:E26=TRUE)*(C1795:C1819=TRUE))/B1824,0)</f>
        <v/>
      </c>
    </row>
    <row r="1830">
      <c r="A1830" t="inlineStr">
        <is>
          <t>Boss-Only Total DPS (this block's swept value)</t>
        </is>
      </c>
      <c r="B1830">
        <f>SUM(T1795:T1819)</f>
        <v/>
      </c>
    </row>
    <row r="1831">
      <c r="A1831" t="inlineStr">
        <is>
          <t>Normal-Only Total DPS (this block's swept value)</t>
        </is>
      </c>
      <c r="B1831">
        <f>SUM(V1795:V1819)</f>
        <v/>
      </c>
    </row>
    <row r="1832">
      <c r="A1832" s="6" t="inlineStr">
        <is>
          <t>TOTAL DPS</t>
        </is>
      </c>
      <c r="B1832" s="6">
        <f>SUM(O1795:O1819)</f>
        <v/>
      </c>
    </row>
    <row r="1835">
      <c r="A1835" s="6" t="inlineStr">
        <is>
          <t>Stat: Star Rock (Equip)</t>
        </is>
      </c>
    </row>
    <row r="1836">
      <c r="A1836" s="5" t="inlineStr">
        <is>
          <t>Key</t>
        </is>
      </c>
      <c r="B1836" s="5" t="inlineStr">
        <is>
          <t>Name</t>
        </is>
      </c>
      <c r="C1836" s="5" t="inlineStr">
        <is>
          <t>Unlocked</t>
        </is>
      </c>
      <c r="D1836" s="5" t="inlineStr">
        <is>
          <t>InputLevel</t>
        </is>
      </c>
      <c r="E1836" s="5" t="inlineStr">
        <is>
          <t>Factor</t>
        </is>
      </c>
      <c r="F1836" s="5" t="inlineStr">
        <is>
          <t>CoefficientPercent</t>
        </is>
      </c>
      <c r="G1836" s="5" t="inlineStr">
        <is>
          <t>EffectiveHits</t>
        </is>
      </c>
      <c r="H1836" s="5" t="inlineStr">
        <is>
          <t>ProcProbability</t>
        </is>
      </c>
      <c r="I1836" s="5" t="inlineStr">
        <is>
          <t>MapleHeroMultiplier</t>
        </is>
      </c>
      <c r="J1836" s="5" t="inlineStr">
        <is>
          <t>BaseDamage</t>
        </is>
      </c>
      <c r="K1836" s="5" t="inlineStr">
        <is>
          <t>BaseHitDamage</t>
        </is>
      </c>
      <c r="L1836" s="5" t="inlineStr">
        <is>
          <t>NonCritAvg</t>
        </is>
      </c>
      <c r="M1836" s="5" t="inlineStr">
        <is>
          <t>CritAvg</t>
        </is>
      </c>
      <c r="N1836" s="5" t="inlineStr">
        <is>
          <t>ExpectedDamage(perHit)</t>
        </is>
      </c>
      <c r="O1836" s="5" t="inlineStr">
        <is>
          <t>DPS</t>
        </is>
      </c>
      <c r="P1836" s="5" t="inlineStr">
        <is>
          <t>% of Total</t>
        </is>
      </c>
      <c r="Q1836" s="5" t="inlineStr">
        <is>
          <t>InvCooldown</t>
        </is>
      </c>
      <c r="R1836" s="5" t="inlineStr">
        <is>
          <t>CastsInFight</t>
        </is>
      </c>
      <c r="S1836" s="5" t="inlineStr">
        <is>
          <t>HitRate(perSec)</t>
        </is>
      </c>
      <c r="U1836" t="inlineStr">
        <is>
          <t>helpers</t>
        </is>
      </c>
    </row>
    <row r="1837">
      <c r="A1837">
        <f>Skills!A2</f>
        <v/>
      </c>
      <c r="B1837">
        <f>Skills!B2</f>
        <v/>
      </c>
      <c r="C1837">
        <f>Inputs!$B$3&gt;=100</f>
        <v/>
      </c>
      <c r="D1837" t="inlineStr"/>
      <c r="E1837" t="inlineStr"/>
      <c r="F1837">
        <f>U1839+Skills!O2</f>
        <v/>
      </c>
      <c r="G1837">
        <f>Skills!G2*IF(Skills!H2&gt;0,Skills!I2/Skills!H2,1)</f>
        <v/>
      </c>
      <c r="H1837">
        <f>1-(1-Skills!J2/100)^Skills!K2</f>
        <v/>
      </c>
      <c r="I1837" t="inlineStr">
        <is>
          <t>1</t>
        </is>
      </c>
      <c r="J1837">
        <f>((Inputs!$B$6*(1+Inputs!$B$7/100))+(((Inputs!$B$12*(1+Inputs!$B$13/100))-(Inputs!$B$12*(1+Inputs!$B$13/100)))+0.25*(Inputs!$B$14-Inputs!$B$14))*(1+Inputs!$B$7/100))*(F1837/100)</f>
        <v/>
      </c>
      <c r="K1837">
        <f>J1837*(1+((Inputs!$B$12*(1+Inputs!$B$13/100))*0.01+Inputs!$B$14*0.0025)/100)*(1+Inputs!$B$15/100)*(1+Inputs!$B$16/100)*(5000/(6000+Inputs!$B$42*(1-(100*(1-(1-(Inputs!$B$19+0)/100)*(1-CHOOSE(ArtifactsInput!$N$40+1,5,6,7,8,9,10)/100)^(ArtifactsInput!$M$40-ArtifactsInput!$M$40)))/100)))*(1+(Inputs!$B$24+((C1860=TRUE)*(F1860-Calc!F25))+B1870)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1856=TRUE)*(F1856-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1858=TRUE)*(F1858-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1848=TRUE)*F1848*IF(Inputs!$B$3&gt;=110,7,5))+((C1850=TRUE)*F1850*IF(AND(Inputs!$B$38&lt;&gt;"pvp",Inputs!$B$43&gt;0),(((R1850-1)*(Skills!T15*(1+(Inputs!$B$34+(ArtifactsInput!$M$7-ArtifactsInput!$M$7)*CHOOSE(ArtifactsInput!$N$7+1,6,7.2,8.4,9.6,10.8,12))/100))+MIN((Skills!T15*(1+(Inputs!$B$34+(ArtifactsInput!$M$7-ArtifactsInput!$M$7)*CHOOSE(ArtifactsInput!$N$7+1,6,7.2,8.4,9.6,10.8,12))/100)),MAX(0,Inputs!$B$43-((R1850-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Hunt"),CHOOSE(ArtifactsInput!$N$35+1,15,18,21,24,27,30)*(1-EXP(-(0.2*B1866)*5)),0)+IF(AND(ArtifactsInput!$M$22,Inputs!$B$4&lt;&gt;"Chapter Hunt"),CHOOSE(ArtifactsInput!$N$22+1,10,12,14,16,18,20)*((0*(((0.15*B1866*5))^0/1)+1*(((0.15*B1866*5))^1/1)+2*(((0.15*B1866*5))^2/2)+3*(((0.15*B1866*5))^3/6)+4*(((0.15*B1866*5))^4/24)+5*(((0.15*B1866*5))^5/120))/((((0.15*B1866*5))^0/1)+(((0.15*B1866*5))^1/1)+(((0.15*B1866*5))^2/2)+(((0.15*B1866*5))^3/6)+(((0.15*B1866*5))^4/24)+(((0.15*B1866*5))^5/120))),0)))/100)*I1837)</f>
        <v/>
      </c>
      <c r="L1837">
        <f>K1837*(MIN(Inputs!$B$22+((C1857=TRUE)*(F1857-Calc!F22)),(Inputs!$B$23+((C1859=TRUE)*(F1859-Calc!F24))+(IF(ArtifactsInput!$M$15,CHOOSE(ArtifactsInput!$N$15+1,25,30,35,40,45,50)/100*(Inputs!$B$11-Inputs!$B$11),0))))/100+(Inputs!$B$23+((C1859=TRUE)*(F1859-Calc!F24))+(IF(ArtifactsInput!$M$15,CHOOSE(ArtifactsInput!$N$15+1,25,30,35,40,45,50)/100*(Inputs!$B$11-Inputs!$B$11),0)))/100)/2</f>
        <v/>
      </c>
      <c r="M1837">
        <f>L1837*(1+(Inputs!$B$10+0+B1869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7">
        <f>L1837*(1-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1837*(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7">
        <f>(1-Summary!$B$11)*T1837+Summary!$B$11*V1837</f>
        <v/>
      </c>
      <c r="P1837">
        <f>IF(B1874=0,0,O1837/B1874)</f>
        <v/>
      </c>
      <c r="Q1837" t="n">
        <v>0</v>
      </c>
      <c r="R1837" t="n">
        <v>0</v>
      </c>
      <c r="S1837">
        <f>IFERROR(O1837/N1837,0)</f>
        <v/>
      </c>
      <c r="T1837">
        <f>IF(C1837,(Skills!G2*N1837*B1868)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1837*(1-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1837*(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1837*(1-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1837*(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37">
        <f>MAX(0,(Inputs!$B$3-100)*3)+Inputs!$B$28+Inputs!$B$29</f>
        <v/>
      </c>
      <c r="V1837">
        <f>IF(C1837,(Skills!G2*N1837*B1868)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8">
      <c r="A1838">
        <f>Skills!A3</f>
        <v/>
      </c>
      <c r="B1838">
        <f>Skills!B3</f>
        <v/>
      </c>
      <c r="C1838">
        <f>Inputs!$B$3&gt;=50</f>
        <v/>
      </c>
      <c r="D1838">
        <f>IF(Skills!C3=1,60+Inputs!$B$25+Inputs!$B$29,IF(Skills!C3=2,90+Inputs!$B$26+Inputs!$B$29,IF(Skills!C3=3,120+Inputs!$B$27+Inputs!$B$29,MAX(0,(Inputs!$B$3-100)*3)+Inputs!$B$28+Inputs!$B$29)))</f>
        <v/>
      </c>
      <c r="E1838">
        <f>INDEX(FactorTable!$B$2:$Y$301, MATCH(ROUND(MIN(300,MAX(1,D1838)),0), FactorTable!$A$2:$A$301,0), Skills!M3+1)</f>
        <v/>
      </c>
      <c r="F1838">
        <f>IF(Skills!N3=TRUE,(Skills!L3/10)*(E1838/1000),Skills!L3/10)+Skills!O3</f>
        <v/>
      </c>
      <c r="G1838" t="inlineStr"/>
      <c r="H1838" t="inlineStr"/>
      <c r="I1838" t="inlineStr">
        <is>
          <t>1</t>
        </is>
      </c>
      <c r="J1838" t="inlineStr"/>
      <c r="K1838" t="inlineStr"/>
      <c r="L1838" t="inlineStr"/>
      <c r="M1838" t="inlineStr"/>
      <c r="N1838" t="inlineStr"/>
      <c r="O1838" t="inlineStr"/>
      <c r="P1838" t="inlineStr"/>
      <c r="Q1838" t="inlineStr"/>
      <c r="R1838" t="inlineStr"/>
      <c r="S1838" t="inlineStr"/>
      <c r="U1838">
        <f>INDEX(FactorTable!$B$2:$Y$301, MATCH(ROUND(MIN(300,MAX(1,U1837)),0), FactorTable!$A$2:$A$301,0), 22)</f>
        <v/>
      </c>
    </row>
    <row r="1839">
      <c r="A1839">
        <f>Skills!A4</f>
        <v/>
      </c>
      <c r="B1839">
        <f>Skills!B4</f>
        <v/>
      </c>
      <c r="C1839">
        <f>Inputs!$B$3&gt;=105</f>
        <v/>
      </c>
      <c r="D1839">
        <f>IF(Skills!C4=1,60+Inputs!$B$25+Inputs!$B$29,IF(Skills!C4=2,90+Inputs!$B$26+Inputs!$B$29,IF(Skills!C4=3,120+Inputs!$B$27+Inputs!$B$29,MAX(0,(Inputs!$B$3-100)*3)+Inputs!$B$28+Inputs!$B$29)))</f>
        <v/>
      </c>
      <c r="E1839">
        <f>INDEX(FactorTable!$B$2:$Y$301, MATCH(ROUND(MIN(300,MAX(1,D1839)),0), FactorTable!$A$2:$A$301,0), Skills!M4+1)</f>
        <v/>
      </c>
      <c r="F1839">
        <f>IF(Skills!N4=TRUE,(Skills!L4/10)*(E1839/1000),Skills!L4/10)+Skills!O4</f>
        <v/>
      </c>
      <c r="G1839" t="inlineStr"/>
      <c r="H1839" t="inlineStr"/>
      <c r="I1839" t="inlineStr">
        <is>
          <t>1</t>
        </is>
      </c>
      <c r="J1839" t="inlineStr"/>
      <c r="K1839" t="inlineStr"/>
      <c r="L1839" t="inlineStr"/>
      <c r="M1839" t="inlineStr"/>
      <c r="N1839" t="inlineStr"/>
      <c r="O1839" t="inlineStr"/>
      <c r="P1839" t="inlineStr"/>
      <c r="Q1839" t="inlineStr"/>
      <c r="R1839" t="inlineStr"/>
      <c r="S1839" t="inlineStr"/>
      <c r="U1839">
        <f>290*U1838/1000</f>
        <v/>
      </c>
    </row>
    <row r="1840">
      <c r="A1840">
        <f>Skills!A5</f>
        <v/>
      </c>
      <c r="B1840">
        <f>Skills!B5</f>
        <v/>
      </c>
      <c r="C1840">
        <f>Inputs!$B$3&gt;=103</f>
        <v/>
      </c>
      <c r="D1840">
        <f>IF(Skills!C5=1,60+Inputs!$B$25+Inputs!$B$29,IF(Skills!C5=2,90+Inputs!$B$26+Inputs!$B$29,IF(Skills!C5=3,120+Inputs!$B$27+Inputs!$B$29,MAX(0,(Inputs!$B$3-100)*3)+Inputs!$B$28+Inputs!$B$29)))</f>
        <v/>
      </c>
      <c r="E1840">
        <f>INDEX(FactorTable!$B$2:$Y$301, MATCH(ROUND(MIN(300,MAX(1,D1840)),0), FactorTable!$A$2:$A$301,0), Skills!M5+1)</f>
        <v/>
      </c>
      <c r="F1840">
        <f>IF(Skills!N5=TRUE,(Skills!L5/10)*(E1840/1000),Skills!L5/10)+Skills!O5</f>
        <v/>
      </c>
      <c r="G1840">
        <f>Skills!G5*IF(Skills!H5&gt;0,Skills!I5/Skills!H5,1)</f>
        <v/>
      </c>
      <c r="H1840">
        <f>1-(1-Skills!J5/100)^Skills!K5</f>
        <v/>
      </c>
      <c r="I1840" t="inlineStr">
        <is>
          <t>1</t>
        </is>
      </c>
      <c r="J1840">
        <f>((Inputs!$B$6*(1+Inputs!$B$7/100))+(((Inputs!$B$12*(1+Inputs!$B$13/100))-(Inputs!$B$12*(1+Inputs!$B$13/100)))+0.25*(Inputs!$B$14-Inputs!$B$14))*(1+Inputs!$B$7/100))*(F1840/100)</f>
        <v/>
      </c>
      <c r="K1840">
        <f>J1840*(1+((Inputs!$B$12*(1+Inputs!$B$13/100))*0.01+Inputs!$B$14*0.0025)/100)*(1+Inputs!$B$15/100)*(1+Inputs!$B$16/100)*(5000/(6000+Inputs!$B$42*(1-(100*(1-(1-(Inputs!$B$19+0)/100)*(1-CHOOSE(ArtifactsInput!$N$40+1,5,6,7,8,9,10)/100)^(ArtifactsInput!$M$40-ArtifactsInput!$M$40)))/100)))*(1+(Inputs!$B$24+((C1860=TRUE)*(F1860-Calc!F25))+B1870)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1856=TRUE)*(F1856-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1858=TRUE)*(F1858-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1848=TRUE)*F1848*IF(Inputs!$B$3&gt;=110,7,5))+((C1850=TRUE)*F1850*IF(AND(Inputs!$B$38&lt;&gt;"pvp",Inputs!$B$43&gt;0),(((R1850-1)*(Skills!T15*(1+(Inputs!$B$34+(ArtifactsInput!$M$7-ArtifactsInput!$M$7)*CHOOSE(ArtifactsInput!$N$7+1,6,7.2,8.4,9.6,10.8,12))/100))+MIN((Skills!T15*(1+(Inputs!$B$34+(ArtifactsInput!$M$7-ArtifactsInput!$M$7)*CHOOSE(ArtifactsInput!$N$7+1,6,7.2,8.4,9.6,10.8,12))/100)),MAX(0,Inputs!$B$43-((R1850-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Hunt"),CHOOSE(ArtifactsInput!$N$35+1,15,18,21,24,27,30)*(1-EXP(-(0.2*B1866)*5)),0)+IF(AND(ArtifactsInput!$M$22,Inputs!$B$4&lt;&gt;"Chapter Hunt"),CHOOSE(ArtifactsInput!$N$22+1,10,12,14,16,18,20)*((0*(((0.15*B1866*5))^0/1)+1*(((0.15*B1866*5))^1/1)+2*(((0.15*B1866*5))^2/2)+3*(((0.15*B1866*5))^3/6)+4*(((0.15*B1866*5))^4/24)+5*(((0.15*B1866*5))^5/120))/((((0.15*B1866*5))^0/1)+(((0.15*B1866*5))^1/1)+(((0.15*B1866*5))^2/2)+(((0.15*B1866*5))^3/6)+(((0.15*B1866*5))^4/24)+(((0.15*B1866*5))^5/120))),0)))/100)*I1840)</f>
        <v/>
      </c>
      <c r="L1840">
        <f>K1840*(MIN(Inputs!$B$22+((C1857=TRUE)*(F1857-Calc!F22)),(Inputs!$B$23+((C1859=TRUE)*(F1859-Calc!F24))+(IF(ArtifactsInput!$M$15,CHOOSE(ArtifactsInput!$N$15+1,25,30,35,40,45,50)/100*(Inputs!$B$11-Inputs!$B$11),0))))/100+(Inputs!$B$23+((C1859=TRUE)*(F1859-Calc!F24))+(IF(ArtifactsInput!$M$15,CHOOSE(ArtifactsInput!$N$15+1,25,30,35,40,45,50)/100*(Inputs!$B$11-Inputs!$B$11),0)))/100)/2</f>
        <v/>
      </c>
      <c r="M1840">
        <f>L1840*(1+(Inputs!$B$10+0+B1869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0">
        <f>L1840*(1-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1840*(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0">
        <f>(1-Summary!$B$11)*T1840+Summary!$B$11*V1840</f>
        <v/>
      </c>
      <c r="P1840">
        <f>IF(B1874=0,0,O1840/B1874)</f>
        <v/>
      </c>
      <c r="Q1840">
        <f>IFERROR(1/(IF(Inputs!$B$38="pvp",15,MAX(0.1,Skills!D5-IF(Skills!E5=TRUE,Inputs!$B$32,0)))*(1-IF(AND(ArtifactsInput!$M$27,Inputs!$B$4="Chapter Hunt"),CHOOSE(ArtifactsInput!$N$27+1,20,24,28,32,36,40),0)/100)),0)</f>
        <v/>
      </c>
      <c r="R1840">
        <f>IF(AND(Inputs!$B$38&lt;&gt;"pvp",Inputs!$B$43&gt;0),IF(MAX(0,Inputs!$B$43-B1871)&lt;=0,0,(INT(MAX(0,Inputs!$B$43-B1871)/(IF(Inputs!$B$38="pvp",15,MAX(0.1,Skills!D5-IF(Skills!E5=TRUE,Inputs!$B$32,0)))*(1-IF(AND(ArtifactsInput!$M$27,Inputs!$B$4="Chapter Hunt"),CHOOSE(ArtifactsInput!$N$27+1,20,24,28,32,36,40),0)/100)))+1)),0)</f>
        <v/>
      </c>
      <c r="S1840">
        <f>IFERROR(O1840/N1840,0)</f>
        <v/>
      </c>
      <c r="T1840">
        <f>IF(C1840,(H1840*N1840*IF(AND(Inputs!$B$38&lt;&gt;"pvp",Inputs!$B$43&gt;0),((Skills!G5*((R1840-1)*IF(Skills!H5&gt;0,Skills!I5/Skills!H5,1)+IF(Skills!H5&gt;0,MIN(Skills!I5,MAX(0,MAX(0,Inputs!$B$43-B1871)-((R1840-1)*(IF(Inputs!$B$38="pvp",15,MAX(0.1,Skills!D5-IF(Skills!E5=TRUE,Inputs!$B$32,0)))*(1-IF(AND(ArtifactsInput!$M$27,Inputs!$B$4="Chapter Hunt"),CHOOSE(ArtifactsInput!$N$27+1,20,24,28,32,36,40),0)/100)))))/Skills!H5,1)))/Inputs!$B$43),G1840*Q1840)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1840*(1-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1840*(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1840*(1-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1840*(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40">
        <f>IF(C1840,(H1840*N1840*IF(AND(Inputs!$B$38&lt;&gt;"pvp",Inputs!$B$43&gt;0),((Skills!G5*((R1840-1)*IF(Skills!H5&gt;0,Skills!I5/Skills!H5,1)+IF(Skills!H5&gt;0,MIN(Skills!I5,MAX(0,MAX(0,Inputs!$B$43-B1871)-((R1840-1)*(IF(Inputs!$B$38="pvp",15,MAX(0.1,Skills!D5-IF(Skills!E5=TRUE,Inputs!$B$32,0)))*(1-IF(AND(ArtifactsInput!$M$27,Inputs!$B$4="Chapter Hunt"),CHOOSE(ArtifactsInput!$N$27+1,20,24,28,32,36,40),0)/100)))))/Skills!H5,1)))/Inputs!$B$43),G1840*Q1840)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1">
      <c r="A1841">
        <f>Skills!A6</f>
        <v/>
      </c>
      <c r="B1841">
        <f>Skills!B6</f>
        <v/>
      </c>
      <c r="C1841">
        <f>Inputs!$B$3&gt;=103</f>
        <v/>
      </c>
      <c r="D1841">
        <f>IF(Skills!C6=1,60+Inputs!$B$25+Inputs!$B$29,IF(Skills!C6=2,90+Inputs!$B$26+Inputs!$B$29,IF(Skills!C6=3,120+Inputs!$B$27+Inputs!$B$29,MAX(0,(Inputs!$B$3-100)*3)+Inputs!$B$28+Inputs!$B$29)))</f>
        <v/>
      </c>
      <c r="E1841">
        <f>INDEX(FactorTable!$B$2:$Y$301, MATCH(ROUND(MIN(300,MAX(1,D1841)),0), FactorTable!$A$2:$A$301,0), Skills!M6+1)</f>
        <v/>
      </c>
      <c r="F1841">
        <f>IF(Skills!N6=TRUE,(Skills!L6/10)*(E1841/1000),Skills!L6/10)+Skills!O6</f>
        <v/>
      </c>
      <c r="G1841">
        <f>Skills!G6*IF(Skills!H6&gt;0,Skills!I6/Skills!H6,1)</f>
        <v/>
      </c>
      <c r="H1841">
        <f>1-(1-Skills!J6/100)^Skills!K6</f>
        <v/>
      </c>
      <c r="I1841" t="inlineStr">
        <is>
          <t>1</t>
        </is>
      </c>
      <c r="J1841">
        <f>((Inputs!$B$6*(1+Inputs!$B$7/100))+(((Inputs!$B$12*(1+Inputs!$B$13/100))-(Inputs!$B$12*(1+Inputs!$B$13/100)))+0.25*(Inputs!$B$14-Inputs!$B$14))*(1+Inputs!$B$7/100))*(F1841/100)</f>
        <v/>
      </c>
      <c r="K1841">
        <f>J1841*(1+((Inputs!$B$12*(1+Inputs!$B$13/100))*0.01+Inputs!$B$14*0.0025)/100)*(1+Inputs!$B$15/100)*(1+Inputs!$B$16/100)*(5000/(6000+Inputs!$B$42*(1-(100*(1-(1-(Inputs!$B$19+0)/100)*(1-CHOOSE(ArtifactsInput!$N$40+1,5,6,7,8,9,10)/100)^(ArtifactsInput!$M$40-ArtifactsInput!$M$40)))/100)))*(1+(Inputs!$B$24+((C1860=TRUE)*(F1860-Calc!F25))+B1870)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1856=TRUE)*(F1856-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1858=TRUE)*(F1858-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1848=TRUE)*F1848*IF(Inputs!$B$3&gt;=110,7,5))+((C1850=TRUE)*F1850*IF(AND(Inputs!$B$38&lt;&gt;"pvp",Inputs!$B$43&gt;0),(((R1850-1)*(Skills!T15*(1+(Inputs!$B$34+(ArtifactsInput!$M$7-ArtifactsInput!$M$7)*CHOOSE(ArtifactsInput!$N$7+1,6,7.2,8.4,9.6,10.8,12))/100))+MIN((Skills!T15*(1+(Inputs!$B$34+(ArtifactsInput!$M$7-ArtifactsInput!$M$7)*CHOOSE(ArtifactsInput!$N$7+1,6,7.2,8.4,9.6,10.8,12))/100)),MAX(0,Inputs!$B$43-((R1850-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Hunt"),CHOOSE(ArtifactsInput!$N$35+1,15,18,21,24,27,30)*(1-EXP(-(0.2*B1866)*5)),0)+IF(AND(ArtifactsInput!$M$22,Inputs!$B$4&lt;&gt;"Chapter Hunt"),CHOOSE(ArtifactsInput!$N$22+1,10,12,14,16,18,20)*((0*(((0.15*B1866*5))^0/1)+1*(((0.15*B1866*5))^1/1)+2*(((0.15*B1866*5))^2/2)+3*(((0.15*B1866*5))^3/6)+4*(((0.15*B1866*5))^4/24)+5*(((0.15*B1866*5))^5/120))/((((0.15*B1866*5))^0/1)+(((0.15*B1866*5))^1/1)+(((0.15*B1866*5))^2/2)+(((0.15*B1866*5))^3/6)+(((0.15*B1866*5))^4/24)+(((0.15*B1866*5))^5/120))),0)))/100)*I1841)</f>
        <v/>
      </c>
      <c r="L1841">
        <f>K1841*(MIN(Inputs!$B$22+((C1857=TRUE)*(F1857-Calc!F22)),(Inputs!$B$23+((C1859=TRUE)*(F1859-Calc!F24))+(IF(ArtifactsInput!$M$15,CHOOSE(ArtifactsInput!$N$15+1,25,30,35,40,45,50)/100*(Inputs!$B$11-Inputs!$B$11),0))))/100+(Inputs!$B$23+((C1859=TRUE)*(F1859-Calc!F24))+(IF(ArtifactsInput!$M$15,CHOOSE(ArtifactsInput!$N$15+1,25,30,35,40,45,50)/100*(Inputs!$B$11-Inputs!$B$11),0)))/100)/2</f>
        <v/>
      </c>
      <c r="M1841">
        <f>L1841*(1+(Inputs!$B$10+0+B1869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1">
        <f>L1841*(1-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1841*(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1">
        <f>(1-Summary!$B$11)*T1841+Summary!$B$11*V1841</f>
        <v/>
      </c>
      <c r="P1841">
        <f>IF(B1874=0,0,O1841/B1874)</f>
        <v/>
      </c>
      <c r="Q1841">
        <f>IFERROR(1/(IF(Inputs!$B$38="pvp",15,MAX(0.1,Skills!D6-IF(Skills!E6=TRUE,Inputs!$B$32,0)))*(1-IF(AND(ArtifactsInput!$M$27,Inputs!$B$4="Chapter Hunt"),CHOOSE(ArtifactsInput!$N$27+1,20,24,28,32,36,40),0)/100)),0)</f>
        <v/>
      </c>
      <c r="R1841">
        <f>IF(AND(Inputs!$B$38&lt;&gt;"pvp",Inputs!$B$43&gt;0),IF(MAX(0,Inputs!$B$43-B1871)&lt;=0,0,(INT(MAX(0,Inputs!$B$43-B1871)/(IF(Inputs!$B$38="pvp",15,MAX(0.1,Skills!D6-IF(Skills!E6=TRUE,Inputs!$B$32,0)))*(1-IF(AND(ArtifactsInput!$M$27,Inputs!$B$4="Chapter Hunt"),CHOOSE(ArtifactsInput!$N$27+1,20,24,28,32,36,40),0)/100)))+1)),0)</f>
        <v/>
      </c>
      <c r="S1841">
        <f>IFERROR(O1841/N1841,0)</f>
        <v/>
      </c>
      <c r="T1841">
        <f>IF(C1841,(H1841*N1841*IF(AND(Inputs!$B$38&lt;&gt;"pvp",Inputs!$B$43&gt;0),((Skills!G6*((R1841-1)*IF(Skills!H6&gt;0,Skills!I6/Skills!H6,1)+IF(Skills!H6&gt;0,MIN(Skills!I6,MAX(0,MAX(0,Inputs!$B$43-B1871)-((R1841-1)*(IF(Inputs!$B$38="pvp",15,MAX(0.1,Skills!D6-IF(Skills!E6=TRUE,Inputs!$B$32,0)))*(1-IF(AND(ArtifactsInput!$M$27,Inputs!$B$4="Chapter Hunt"),CHOOSE(ArtifactsInput!$N$27+1,20,24,28,32,36,40),0)/100)))))/Skills!H6,1)))/Inputs!$B$43),G1841*Q1841)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1841*(1-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1841*(1-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41">
        <f>IF(C1841,(H1841*N1841*IF(AND(Inputs!$B$38&lt;&gt;"pvp",Inputs!$B$43&gt;0),((Skills!G6*((R1841-1)*IF(Skills!H6&gt;0,Skills!I6/Skills!H6,1)+IF(Skills!H6&gt;0,MIN(Skills!I6,MAX(0,MAX(0,Inputs!$B$43-B1871)-((R1841-1)*(IF(Inputs!$B$38="pvp",15,MAX(0.1,Skills!D6-IF(Skills!E6=TRUE,Inputs!$B$32,0)))*(1-IF(AND(ArtifactsInput!$M$27,Inputs!$B$4="Chapter Hunt"),CHOOSE(ArtifactsInput!$N$27+1,20,24,28,32,36,40),0)/100)))))/Skills!H6,1)))/Inputs!$B$43),G1841*Q1841)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2">
      <c r="A1842">
        <f>Skills!A7</f>
        <v/>
      </c>
      <c r="B1842">
        <f>Skills!B7</f>
        <v/>
      </c>
      <c r="C1842">
        <f>Inputs!$B$3&gt;=107</f>
        <v/>
      </c>
      <c r="D1842">
        <f>IF(Skills!C7=1,60+Inputs!$B$25+Inputs!$B$29,IF(Skills!C7=2,90+Inputs!$B$26+Inputs!$B$29,IF(Skills!C7=3,120+Inputs!$B$27+Inputs!$B$29,MAX(0,(Inputs!$B$3-100)*3)+Inputs!$B$28+Inputs!$B$29)))</f>
        <v/>
      </c>
      <c r="E1842">
        <f>INDEX(FactorTable!$B$2:$Y$301, MATCH(ROUND(MIN(300,MAX(1,D1842)),0), FactorTable!$A$2:$A$301,0), Skills!M7+1)</f>
        <v/>
      </c>
      <c r="F1842">
        <f>IF(Skills!N7=TRUE,(Skills!L7/10)*(E1842/1000),Skills!L7/10)+Skills!O7</f>
        <v/>
      </c>
      <c r="G1842">
        <f>Skills!G7*IF(Skills!H7&gt;0,Skills!I7/Skills!H7,1)</f>
        <v/>
      </c>
      <c r="H1842">
        <f>1-(1-Skills!J7/100)^Skills!K7</f>
        <v/>
      </c>
      <c r="I1842" t="inlineStr">
        <is>
          <t>1</t>
        </is>
      </c>
      <c r="J1842">
        <f>((Inputs!$B$6*(1+Inputs!$B$7/100))+(((Inputs!$B$12*(1+Inputs!$B$13/100))-(Inputs!$B$12*(1+Inputs!$B$13/100)))+0.25*(Inputs!$B$14-Inputs!$B$14))*(1+Inputs!$B$7/100))*(F1842/100)</f>
        <v/>
      </c>
      <c r="K1842">
        <f>J1842*(1+((Inputs!$B$12*(1+Inputs!$B$13/100))*0.01+Inputs!$B$14*0.0025)/100)*(1+Inputs!$B$15/100)*(1+Inputs!$B$16/100)*(5000/(6000+Inputs!$B$42*(1-(100*(1-(1-(Inputs!$B$19+0)/100)*(1-CHOOSE(ArtifactsInput!$N$40+1,5,6,7,8,9,10)/100)^(ArtifactsInput!$M$40-ArtifactsInput!$M$40)))/100)))*(1+(Inputs!$B$24+((C1860=TRUE)*(F1860-Calc!F25))+B1870)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1856=TRUE)*(F1856-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1858=TRUE)*(F1858-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1848=TRUE)*F1848*IF(Inputs!$B$3&gt;=110,7,5))+((C1850=TRUE)*F1850*IF(AND(Inputs!$B$38&lt;&gt;"pvp",Inputs!$B$43&gt;0),(((R1850-1)*(Skills!T15*(1+(Inputs!$B$34+(ArtifactsInput!$M$7-ArtifactsInput!$M$7)*CHOOSE(ArtifactsInput!$N$7+1,6,7.2,8.4,9.6,10.8,12))/100))+MIN((Skills!T15*(1+(Inputs!$B$34+(ArtifactsInput!$M$7-ArtifactsInput!$M$7)*CHOOSE(ArtifactsInput!$N$7+1,6,7.2,8.4,9.6,10.8,12))/100)),MAX(0,Inputs!$B$43-((R1850-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Hunt"),CHOOSE(ArtifactsInput!$N$35+1,15,18,21,24,27,30)*(1-EXP(-(0.2*B1866)*5)),0)+IF(AND(ArtifactsInput!$M$22,Inputs!$B$4&lt;&gt;"Chapter Hunt"),CHOOSE(ArtifactsInput!$N$22+1,10,12,14,16,18,20)*((0*(((0.15*B1866*5))^0/1)+1*(((0.15*B1866*5))^1/1)+2*(((0.15*B1866*5))^2/2)+3*(((0.15*B1866*5))^3/6)+4*(((0.15*B1866*5))^4/24)+5*(((0.15*B1866*5))^5/120))/((((0.15*B1866*5))^0/1)+(((0.15*B1866*5))^1/1)+(((0.15*B1866*5))^2/2)+(((0.15*B1866*5))^3/6)+(((0.15*B1866*5))^4/24)+(((0.15*B1866*5))^5/120))),0)))/100)*I1842)</f>
        <v/>
      </c>
      <c r="L1842">
        <f>K1842*(MIN(Inputs!$B$22+((C1857=TRUE)*(F1857-Calc!F22)),(Inputs!$B$23+((C1859=TRUE)*(F1859-Calc!F24))+(IF(ArtifactsInput!$M$15,CHOOSE(ArtifactsInput!$N$15+1,25,30,35,40,45,50)/100*(Inputs!$B$11-Inputs!$B$11),0))))/100+(Inputs!$B$23+((C1859=TRUE)*(F1859-Calc!F24))+(IF(ArtifactsInput!$M$15,CHOOSE(ArtifactsInput!$N$15+1,25,30,35,40,45,50)/100*(Inputs!$B$11-Inputs!$B$11),0)))/100)/2</f>
        <v/>
      </c>
      <c r="M1842">
        <f>L1842*(1+(Inputs!$B$10+0+B1869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2">
        <f>L1842*(1-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1842*(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2">
        <f>(1-Summary!$B$11)*T1842+Summary!$B$11*V1842</f>
        <v/>
      </c>
      <c r="P1842">
        <f>IF(B1874=0,0,O1842/B1874)</f>
        <v/>
      </c>
      <c r="Q1842">
        <f>IFERROR(1/(IF(Inputs!$B$38="pvp",15,MAX(0.1,Skills!D7-IF(Skills!E7=TRUE,Inputs!$B$32,0)))*(1-IF(AND(ArtifactsInput!$M$27,Inputs!$B$4="Chapter Hunt"),CHOOSE(ArtifactsInput!$N$27+1,20,24,28,32,36,40),0)/100)),0)</f>
        <v/>
      </c>
      <c r="R1842">
        <f>IF(AND(Inputs!$B$38&lt;&gt;"pvp",Inputs!$B$43&gt;0),IF(MAX(0,Inputs!$B$43-B1871)&lt;=0,0,(INT(MAX(0,Inputs!$B$43-B1871)/(IF(Inputs!$B$38="pvp",15,MAX(0.1,Skills!D7-IF(Skills!E7=TRUE,Inputs!$B$32,0)))*(1-IF(AND(ArtifactsInput!$M$27,Inputs!$B$4="Chapter Hunt"),CHOOSE(ArtifactsInput!$N$27+1,20,24,28,32,36,40),0)/100)))+1)),0)</f>
        <v/>
      </c>
      <c r="S1842">
        <f>IFERROR(O1842/N1842,0)</f>
        <v/>
      </c>
      <c r="T1842">
        <f>IF(C1842,(H1842*N1842*IF(AND(Inputs!$B$38&lt;&gt;"pvp",Inputs!$B$43&gt;0),((Skills!G7*((R1842-1)*IF(Skills!H7&gt;0,Skills!I7/Skills!H7,1)+IF(Skills!H7&gt;0,MIN(Skills!I7,MAX(0,MAX(0,Inputs!$B$43-B1871)-((R1842-1)*(IF(Inputs!$B$38="pvp",15,MAX(0.1,Skills!D7-IF(Skills!E7=TRUE,Inputs!$B$32,0)))*(1-IF(AND(ArtifactsInput!$M$27,Inputs!$B$4="Chapter Hunt"),CHOOSE(ArtifactsInput!$N$27+1,20,24,28,32,36,40),0)/100)))))/Skills!H7,1)))/Inputs!$B$43),G1842*Q1842)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1842*(1-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1842*(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1842*(1-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1842*(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42">
        <f>IF(C1842,(H1842*N1842*IF(AND(Inputs!$B$38&lt;&gt;"pvp",Inputs!$B$43&gt;0),((Skills!G7*((R1842-1)*IF(Skills!H7&gt;0,Skills!I7/Skills!H7,1)+IF(Skills!H7&gt;0,MIN(Skills!I7,MAX(0,MAX(0,Inputs!$B$43-B1871)-((R1842-1)*(IF(Inputs!$B$38="pvp",15,MAX(0.1,Skills!D7-IF(Skills!E7=TRUE,Inputs!$B$32,0)))*(1-IF(AND(ArtifactsInput!$M$27,Inputs!$B$4="Chapter Hunt"),CHOOSE(ArtifactsInput!$N$27+1,20,24,28,32,36,40),0)/100)))))/Skills!H7,1)))/Inputs!$B$43),G1842*Q1842)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3">
      <c r="A1843">
        <f>Skills!A8</f>
        <v/>
      </c>
      <c r="B1843">
        <f>Skills!B8</f>
        <v/>
      </c>
      <c r="C1843">
        <f>Inputs!$B$3&gt;=117</f>
        <v/>
      </c>
      <c r="D1843">
        <f>IF(Skills!C8=1,60+Inputs!$B$25+Inputs!$B$29,IF(Skills!C8=2,90+Inputs!$B$26+Inputs!$B$29,IF(Skills!C8=3,120+Inputs!$B$27+Inputs!$B$29,MAX(0,(Inputs!$B$3-100)*3)+Inputs!$B$28+Inputs!$B$29)))</f>
        <v/>
      </c>
      <c r="E1843">
        <f>INDEX(FactorTable!$B$2:$Y$301, MATCH(ROUND(MIN(300,MAX(1,D1843)),0), FactorTable!$A$2:$A$301,0), Skills!M8+1)</f>
        <v/>
      </c>
      <c r="F1843">
        <f>IF(Skills!N8=TRUE,(Skills!L8/10)*(E1843/1000),Skills!L8/10)+Skills!O8</f>
        <v/>
      </c>
      <c r="G1843">
        <f>Skills!G8*IF(Skills!H8&gt;0,Skills!I8/Skills!H8,1)</f>
        <v/>
      </c>
      <c r="H1843">
        <f>1-(1-Skills!J8/100)^Skills!K8</f>
        <v/>
      </c>
      <c r="I1843" t="inlineStr">
        <is>
          <t>1</t>
        </is>
      </c>
      <c r="J1843">
        <f>((Inputs!$B$6*(1+Inputs!$B$7/100))+(((Inputs!$B$12*(1+Inputs!$B$13/100))-(Inputs!$B$12*(1+Inputs!$B$13/100)))+0.25*(Inputs!$B$14-Inputs!$B$14))*(1+Inputs!$B$7/100))*(F1843/100)</f>
        <v/>
      </c>
      <c r="K1843">
        <f>J1843*(1+((Inputs!$B$12*(1+Inputs!$B$13/100))*0.01+Inputs!$B$14*0.0025)/100)*(1+Inputs!$B$15/100)*(1+Inputs!$B$16/100)*(5000/(6000+Inputs!$B$42*(1-(100*(1-(1-(Inputs!$B$19+0)/100)*(1-CHOOSE(ArtifactsInput!$N$40+1,5,6,7,8,9,10)/100)^(ArtifactsInput!$M$40-ArtifactsInput!$M$40)))/100)))*(1+(Inputs!$B$24+((C1860=TRUE)*(F1860-Calc!F25))+B1870)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1856=TRUE)*(F1856-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1858=TRUE)*(F1858-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1848=TRUE)*F1848*IF(Inputs!$B$3&gt;=110,7,5))+((C1850=TRUE)*F1850*IF(AND(Inputs!$B$38&lt;&gt;"pvp",Inputs!$B$43&gt;0),(((R1850-1)*(Skills!T15*(1+(Inputs!$B$34+(ArtifactsInput!$M$7-ArtifactsInput!$M$7)*CHOOSE(ArtifactsInput!$N$7+1,6,7.2,8.4,9.6,10.8,12))/100))+MIN((Skills!T15*(1+(Inputs!$B$34+(ArtifactsInput!$M$7-ArtifactsInput!$M$7)*CHOOSE(ArtifactsInput!$N$7+1,6,7.2,8.4,9.6,10.8,12))/100)),MAX(0,Inputs!$B$43-((R1850-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Hunt"),CHOOSE(ArtifactsInput!$N$35+1,15,18,21,24,27,30)*(1-EXP(-(0.2*B1866)*5)),0)+IF(AND(ArtifactsInput!$M$22,Inputs!$B$4&lt;&gt;"Chapter Hunt"),CHOOSE(ArtifactsInput!$N$22+1,10,12,14,16,18,20)*((0*(((0.15*B1866*5))^0/1)+1*(((0.15*B1866*5))^1/1)+2*(((0.15*B1866*5))^2/2)+3*(((0.15*B1866*5))^3/6)+4*(((0.15*B1866*5))^4/24)+5*(((0.15*B1866*5))^5/120))/((((0.15*B1866*5))^0/1)+(((0.15*B1866*5))^1/1)+(((0.15*B1866*5))^2/2)+(((0.15*B1866*5))^3/6)+(((0.15*B1866*5))^4/24)+(((0.15*B1866*5))^5/120))),0)))/100)*I1843)</f>
        <v/>
      </c>
      <c r="L1843">
        <f>K1843*(MIN(Inputs!$B$22+((C1857=TRUE)*(F1857-Calc!F22)),(Inputs!$B$23+((C1859=TRUE)*(F1859-Calc!F24))+(IF(ArtifactsInput!$M$15,CHOOSE(ArtifactsInput!$N$15+1,25,30,35,40,45,50)/100*(Inputs!$B$11-Inputs!$B$11),0))))/100+(Inputs!$B$23+((C1859=TRUE)*(F1859-Calc!F24))+(IF(ArtifactsInput!$M$15,CHOOSE(ArtifactsInput!$N$15+1,25,30,35,40,45,50)/100*(Inputs!$B$11-Inputs!$B$11),0)))/100)/2</f>
        <v/>
      </c>
      <c r="M1843">
        <f>L1843*(1+(Inputs!$B$10+0+B1869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3">
        <f>L1843*(1-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1843*(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3">
        <f>(1-Summary!$B$11)*T1843+Summary!$B$11*V1843</f>
        <v/>
      </c>
      <c r="P1843">
        <f>IF(B1874=0,0,O1843/B1874)</f>
        <v/>
      </c>
      <c r="Q1843">
        <f>IFERROR(1/(IF(Inputs!$B$38="pvp",15,MAX(0.1,Skills!D8-IF(Skills!E8=TRUE,Inputs!$B$32,0)))*(1-IF(AND(ArtifactsInput!$M$27,Inputs!$B$4="Chapter Hunt"),CHOOSE(ArtifactsInput!$N$27+1,20,24,28,32,36,40),0)/100)),0)</f>
        <v/>
      </c>
      <c r="R1843">
        <f>IF(AND(Inputs!$B$38&lt;&gt;"pvp",Inputs!$B$43&gt;0),IF(MAX(0,Inputs!$B$43-B1871)&lt;=0,0,(INT(MAX(0,Inputs!$B$43-B1871)/(IF(Inputs!$B$38="pvp",15,MAX(0.1,Skills!D8-IF(Skills!E8=TRUE,Inputs!$B$32,0)))*(1-IF(AND(ArtifactsInput!$M$27,Inputs!$B$4="Chapter Hunt"),CHOOSE(ArtifactsInput!$N$27+1,20,24,28,32,36,40),0)/100)))+1)),0)</f>
        <v/>
      </c>
      <c r="S1843">
        <f>IFERROR(O1843/N1843,0)</f>
        <v/>
      </c>
      <c r="T1843">
        <f>IF(C1843,(H1843*N1843*IF(AND(Inputs!$B$38&lt;&gt;"pvp",Inputs!$B$43&gt;0),((Skills!G8*((R1843-1)*IF(Skills!H8&gt;0,Skills!I8/Skills!H8,1)+IF(Skills!H8&gt;0,MIN(Skills!I8,MAX(0,MAX(0,Inputs!$B$43-B1871)-((R1843-1)*(IF(Inputs!$B$38="pvp",15,MAX(0.1,Skills!D8-IF(Skills!E8=TRUE,Inputs!$B$32,0)))*(1-IF(AND(ArtifactsInput!$M$27,Inputs!$B$4="Chapter Hunt"),CHOOSE(ArtifactsInput!$N$27+1,20,24,28,32,36,40),0)/100)))))/Skills!H8,1)))/Inputs!$B$43),G1843*Q1843)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1843*(1-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1843*(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1843*(1-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1843*(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43">
        <f>IF(C1843,(H1843*N1843*IF(AND(Inputs!$B$38&lt;&gt;"pvp",Inputs!$B$43&gt;0),((Skills!G8*((R1843-1)*IF(Skills!H8&gt;0,Skills!I8/Skills!H8,1)+IF(Skills!H8&gt;0,MIN(Skills!I8,MAX(0,MAX(0,Inputs!$B$43-B1871)-((R1843-1)*(IF(Inputs!$B$38="pvp",15,MAX(0.1,Skills!D8-IF(Skills!E8=TRUE,Inputs!$B$32,0)))*(1-IF(AND(ArtifactsInput!$M$27,Inputs!$B$4="Chapter Hunt"),CHOOSE(ArtifactsInput!$N$27+1,20,24,28,32,36,40),0)/100)))))/Skills!H8,1)))/Inputs!$B$43),G1843*Q1843)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4">
      <c r="A1844">
        <f>Skills!A9</f>
        <v/>
      </c>
      <c r="B1844">
        <f>Skills!B9</f>
        <v/>
      </c>
      <c r="C1844">
        <f>Inputs!$B$3&gt;=69</f>
        <v/>
      </c>
      <c r="D1844">
        <f>IF(Skills!C9=1,60+Inputs!$B$25+Inputs!$B$29,IF(Skills!C9=2,90+Inputs!$B$26+Inputs!$B$29,IF(Skills!C9=3,120+Inputs!$B$27+Inputs!$B$29,MAX(0,(Inputs!$B$3-100)*3)+Inputs!$B$28+Inputs!$B$29)))</f>
        <v/>
      </c>
      <c r="E1844">
        <f>INDEX(FactorTable!$B$2:$Y$301, MATCH(ROUND(MIN(300,MAX(1,D1844)),0), FactorTable!$A$2:$A$301,0), Skills!M9+1)</f>
        <v/>
      </c>
      <c r="F1844">
        <f>IF(Skills!N9=TRUE,(Skills!L9/10)*(E1844/1000),Skills!L9/10)+Skills!O9</f>
        <v/>
      </c>
      <c r="G1844">
        <f>Skills!G9*IF(Skills!H9&gt;0,Skills!I9/Skills!H9,1)</f>
        <v/>
      </c>
      <c r="H1844">
        <f>1-(1-Skills!J9/100)^Skills!K9</f>
        <v/>
      </c>
      <c r="I1844" t="inlineStr">
        <is>
          <t>1</t>
        </is>
      </c>
      <c r="J1844">
        <f>((Inputs!$B$6*(1+Inputs!$B$7/100))+(((Inputs!$B$12*(1+Inputs!$B$13/100))-(Inputs!$B$12*(1+Inputs!$B$13/100)))+0.25*(Inputs!$B$14-Inputs!$B$14))*(1+Inputs!$B$7/100))*(F1844/100)</f>
        <v/>
      </c>
      <c r="K1844">
        <f>J1844*(1+((Inputs!$B$12*(1+Inputs!$B$13/100))*0.01+Inputs!$B$14*0.0025)/100)*(1+Inputs!$B$15/100)*(1+Inputs!$B$16/100)*(5000/(6000+Inputs!$B$42*(1-(100*(1-(1-(Inputs!$B$19+0)/100)*(1-CHOOSE(ArtifactsInput!$N$40+1,5,6,7,8,9,10)/100)^(ArtifactsInput!$M$40-ArtifactsInput!$M$40)))/100)))*(1+(Inputs!$B$24+((C1860=TRUE)*(F1860-Calc!F25))+B1870)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1847=TRUE,F1847,0)/100)*(1+IF(Skills!A9="ENHANCED_RAGING_BLOW",IF(Inputs!$B$3&gt;=134,MAX(0,IF(Inputs!$B$3&gt;=110,7,5)-5)*50,0),0)/100)*(1+(IF(Skills!A9="RAGING_BLOW",Inputs!$B$17+((C1856=TRUE)*(F1856-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1858=TRUE)*(F1858-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1848=TRUE)*F1848*IF(Inputs!$B$3&gt;=110,7,5))+((C1850=TRUE)*F1850*IF(AND(Inputs!$B$38&lt;&gt;"pvp",Inputs!$B$43&gt;0),(((R1850-1)*(Skills!T15*(1+(Inputs!$B$34+(ArtifactsInput!$M$7-ArtifactsInput!$M$7)*CHOOSE(ArtifactsInput!$N$7+1,6,7.2,8.4,9.6,10.8,12))/100))+MIN((Skills!T15*(1+(Inputs!$B$34+(ArtifactsInput!$M$7-ArtifactsInput!$M$7)*CHOOSE(ArtifactsInput!$N$7+1,6,7.2,8.4,9.6,10.8,12))/100)),MAX(0,Inputs!$B$43-((R1850-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Hunt"),CHOOSE(ArtifactsInput!$N$35+1,15,18,21,24,27,30)*(1-EXP(-(0.2*B1866)*5)),0)+IF(AND(ArtifactsInput!$M$22,Inputs!$B$4&lt;&gt;"Chapter Hunt"),CHOOSE(ArtifactsInput!$N$22+1,10,12,14,16,18,20)*((0*(((0.15*B1866*5))^0/1)+1*(((0.15*B1866*5))^1/1)+2*(((0.15*B1866*5))^2/2)+3*(((0.15*B1866*5))^3/6)+4*(((0.15*B1866*5))^4/24)+5*(((0.15*B1866*5))^5/120))/((((0.15*B1866*5))^0/1)+(((0.15*B1866*5))^1/1)+(((0.15*B1866*5))^2/2)+(((0.15*B1866*5))^3/6)+(((0.15*B1866*5))^4/24)+(((0.15*B1866*5))^5/120))),0)))/100)*I1844)</f>
        <v/>
      </c>
      <c r="L1844">
        <f>K1844*(MIN(Inputs!$B$22+((C1857=TRUE)*(F1857-Calc!F22)),(Inputs!$B$23+((C1859=TRUE)*(F1859-Calc!F24))+(IF(ArtifactsInput!$M$15,CHOOSE(ArtifactsInput!$N$15+1,25,30,35,40,45,50)/100*(Inputs!$B$11-Inputs!$B$11),0))))/100+(Inputs!$B$23+((C1859=TRUE)*(F1859-Calc!F24))+(IF(ArtifactsInput!$M$15,CHOOSE(ArtifactsInput!$N$15+1,25,30,35,40,45,50)/100*(Inputs!$B$11-Inputs!$B$11),0)))/100)/2</f>
        <v/>
      </c>
      <c r="M1844">
        <f>L1844*(1+(Inputs!$B$10+0+B1869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4">
        <f>L1844*(1-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1844*(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4">
        <f>(1-Summary!$B$11)*T1844+Summary!$B$11*V1844</f>
        <v/>
      </c>
      <c r="P1844">
        <f>IF(B1874=0,0,O1844/B1874)</f>
        <v/>
      </c>
      <c r="Q1844">
        <f>IFERROR(1/(IF(Inputs!$B$38="pvp",15,MAX(0.1,Skills!D9-IF(Skills!E9=TRUE,Inputs!$B$32,0)))*(1-IF(AND(ArtifactsInput!$M$27,Inputs!$B$4="Chapter Hunt"),CHOOSE(ArtifactsInput!$N$27+1,20,24,28,32,36,40),0)/100)),0)</f>
        <v/>
      </c>
      <c r="R1844">
        <f>IF(AND(Inputs!$B$38&lt;&gt;"pvp",Inputs!$B$43&gt;0),IF(MAX(0,Inputs!$B$43-B1871)&lt;=0,0,(INT(MAX(0,Inputs!$B$43-B1871)/(IF(Inputs!$B$38="pvp",15,MAX(0.1,Skills!D9-IF(Skills!E9=TRUE,Inputs!$B$32,0)))*(1-IF(AND(ArtifactsInput!$M$27,Inputs!$B$4="Chapter Hunt"),CHOOSE(ArtifactsInput!$N$27+1,20,24,28,32,36,40),0)/100)))+1)),0)</f>
        <v/>
      </c>
      <c r="S1844">
        <f>IFERROR(O1844/N1844,0)</f>
        <v/>
      </c>
      <c r="T1844">
        <f>IF(C1844,(H1844*N1844*IF(AND(Inputs!$B$38&lt;&gt;"pvp",Inputs!$B$43&gt;0),((Skills!G9*((R1844-1)*IF(Skills!H9&gt;0,Skills!I9/Skills!H9,1)+IF(Skills!H9&gt;0,MIN(Skills!I9,MAX(0,MAX(0,Inputs!$B$43-B1871)-((R1844-1)*(IF(Inputs!$B$38="pvp",15,MAX(0.1,Skills!D9-IF(Skills!E9=TRUE,Inputs!$B$32,0)))*(1-IF(AND(ArtifactsInput!$M$27,Inputs!$B$4="Chapter Hunt"),CHOOSE(ArtifactsInput!$N$27+1,20,24,28,32,36,40),0)/100)))))/Skills!H9,1)))/Inputs!$B$43),G1844*Q1844)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1844*(1-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1844*(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1844*(1-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1844*(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44">
        <f>IF(C1844,(H1844*N1844*IF(AND(Inputs!$B$38&lt;&gt;"pvp",Inputs!$B$43&gt;0),((Skills!G9*((R1844-1)*IF(Skills!H9&gt;0,Skills!I9/Skills!H9,1)+IF(Skills!H9&gt;0,MIN(Skills!I9,MAX(0,MAX(0,Inputs!$B$43-B1871)-((R1844-1)*(IF(Inputs!$B$38="pvp",15,MAX(0.1,Skills!D9-IF(Skills!E9=TRUE,Inputs!$B$32,0)))*(1-IF(AND(ArtifactsInput!$M$27,Inputs!$B$4="Chapter Hunt"),CHOOSE(ArtifactsInput!$N$27+1,20,24,28,32,36,40),0)/100)))))/Skills!H9,1)))/Inputs!$B$43),G1844*Q1844)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5">
      <c r="A1845">
        <f>Skills!A10</f>
        <v/>
      </c>
      <c r="B1845">
        <f>Skills!B10</f>
        <v/>
      </c>
      <c r="C1845">
        <f>Inputs!$B$3&gt;=63</f>
        <v/>
      </c>
      <c r="D1845">
        <f>IF(Skills!C10=1,60+Inputs!$B$25+Inputs!$B$29,IF(Skills!C10=2,90+Inputs!$B$26+Inputs!$B$29,IF(Skills!C10=3,120+Inputs!$B$27+Inputs!$B$29,MAX(0,(Inputs!$B$3-100)*3)+Inputs!$B$28+Inputs!$B$29)))</f>
        <v/>
      </c>
      <c r="E1845">
        <f>INDEX(FactorTable!$B$2:$Y$301, MATCH(ROUND(MIN(300,MAX(1,D1845)),0), FactorTable!$A$2:$A$301,0), Skills!M10+1)</f>
        <v/>
      </c>
      <c r="F1845">
        <f>IF(Skills!N10=TRUE,(Skills!L10/10)*(E1845/1000),Skills!L10/10)+Skills!O10</f>
        <v/>
      </c>
      <c r="G1845">
        <f>Skills!G10*IF(Skills!H10&gt;0,Skills!I10/Skills!H10,1)</f>
        <v/>
      </c>
      <c r="H1845">
        <f>1-(1-Skills!J10/100)^Skills!K10</f>
        <v/>
      </c>
      <c r="I1845" t="inlineStr">
        <is>
          <t>1</t>
        </is>
      </c>
      <c r="J1845">
        <f>((Inputs!$B$6*(1+Inputs!$B$7/100))+(((Inputs!$B$12*(1+Inputs!$B$13/100))-(Inputs!$B$12*(1+Inputs!$B$13/100)))+0.25*(Inputs!$B$14-Inputs!$B$14))*(1+Inputs!$B$7/100))*(F1845/100)</f>
        <v/>
      </c>
      <c r="K1845">
        <f>J1845*(1+((Inputs!$B$12*(1+Inputs!$B$13/100))*0.01+Inputs!$B$14*0.0025)/100)*(1+Inputs!$B$15/100)*(1+Inputs!$B$16/100)*(5000/(6000+Inputs!$B$42*(1-(100*(1-(1-(Inputs!$B$19+0)/100)*(1-CHOOSE(ArtifactsInput!$N$40+1,5,6,7,8,9,10)/100)^(ArtifactsInput!$M$40-ArtifactsInput!$M$40)))/100)))*(1+(Inputs!$B$24+((C1860=TRUE)*(F1860-Calc!F25))+B1870)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1847=TRUE,F1847,0)/100)*(1+IF(Skills!A10="ENHANCED_RAGING_BLOW",IF(Inputs!$B$3&gt;=134,MAX(0,IF(Inputs!$B$3&gt;=110,7,5)-5)*50,0),0)/100)*(1+(IF(Skills!A10="RAGING_BLOW",Inputs!$B$17+((C1856=TRUE)*(F1856-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1858=TRUE)*(F1858-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1848=TRUE)*F1848*IF(Inputs!$B$3&gt;=110,7,5))+((C1850=TRUE)*F1850*IF(AND(Inputs!$B$38&lt;&gt;"pvp",Inputs!$B$43&gt;0),(((R1850-1)*(Skills!T15*(1+(Inputs!$B$34+(ArtifactsInput!$M$7-ArtifactsInput!$M$7)*CHOOSE(ArtifactsInput!$N$7+1,6,7.2,8.4,9.6,10.8,12))/100))+MIN((Skills!T15*(1+(Inputs!$B$34+(ArtifactsInput!$M$7-ArtifactsInput!$M$7)*CHOOSE(ArtifactsInput!$N$7+1,6,7.2,8.4,9.6,10.8,12))/100)),MAX(0,Inputs!$B$43-((R1850-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Hunt"),CHOOSE(ArtifactsInput!$N$35+1,15,18,21,24,27,30)*(1-EXP(-(0.2*B1866)*5)),0)+IF(AND(ArtifactsInput!$M$22,Inputs!$B$4&lt;&gt;"Chapter Hunt"),CHOOSE(ArtifactsInput!$N$22+1,10,12,14,16,18,20)*((0*(((0.15*B1866*5))^0/1)+1*(((0.15*B1866*5))^1/1)+2*(((0.15*B1866*5))^2/2)+3*(((0.15*B1866*5))^3/6)+4*(((0.15*B1866*5))^4/24)+5*(((0.15*B1866*5))^5/120))/((((0.15*B1866*5))^0/1)+(((0.15*B1866*5))^1/1)+(((0.15*B1866*5))^2/2)+(((0.15*B1866*5))^3/6)+(((0.15*B1866*5))^4/24)+(((0.15*B1866*5))^5/120))),0)))/100)*I1845)</f>
        <v/>
      </c>
      <c r="L1845">
        <f>K1845*(MIN(Inputs!$B$22+((C1857=TRUE)*(F1857-Calc!F22)),(Inputs!$B$23+((C1859=TRUE)*(F1859-Calc!F24))+(IF(ArtifactsInput!$M$15,CHOOSE(ArtifactsInput!$N$15+1,25,30,35,40,45,50)/100*(Inputs!$B$11-Inputs!$B$11),0))))/100+(Inputs!$B$23+((C1859=TRUE)*(F1859-Calc!F24))+(IF(ArtifactsInput!$M$15,CHOOSE(ArtifactsInput!$N$15+1,25,30,35,40,45,50)/100*(Inputs!$B$11-Inputs!$B$11),0)))/100)/2</f>
        <v/>
      </c>
      <c r="M1845">
        <f>L1845*(1+(Inputs!$B$10+0+B1869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5">
        <f>L1845*(1-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1845*(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5">
        <f>(1-Summary!$B$11)*T1845+Summary!$B$11*V1845</f>
        <v/>
      </c>
      <c r="P1845">
        <f>IF(B1874=0,0,O1845/B1874)</f>
        <v/>
      </c>
      <c r="Q1845">
        <f>IFERROR(1/(IF(Inputs!$B$38="pvp",15,MAX(0.1,Skills!D10-IF(Skills!E10=TRUE,Inputs!$B$32,0)))*(1-IF(AND(ArtifactsInput!$M$27,Inputs!$B$4="Chapter Hunt"),CHOOSE(ArtifactsInput!$N$27+1,20,24,28,32,36,40),0)/100)),0)</f>
        <v/>
      </c>
      <c r="R1845">
        <f>IF(AND(Inputs!$B$38&lt;&gt;"pvp",Inputs!$B$43&gt;0),IF(MAX(0,Inputs!$B$43-B1871)&lt;=0,0,(INT(MAX(0,Inputs!$B$43-B1871)/(IF(Inputs!$B$38="pvp",15,MAX(0.1,Skills!D10-IF(Skills!E10=TRUE,Inputs!$B$32,0)))*(1-IF(AND(ArtifactsInput!$M$27,Inputs!$B$4="Chapter Hunt"),CHOOSE(ArtifactsInput!$N$27+1,20,24,28,32,36,40),0)/100)))+1)),0)</f>
        <v/>
      </c>
      <c r="S1845">
        <f>IFERROR(O1845/N1845,0)</f>
        <v/>
      </c>
      <c r="T1845">
        <f>IF(C1845,(H1845*N1845*IF(AND(Inputs!$B$38&lt;&gt;"pvp",Inputs!$B$43&gt;0),((Skills!G10*((R1845-1)*IF(Skills!H10&gt;0,Skills!I10/Skills!H10,1)+IF(Skills!H10&gt;0,MIN(Skills!I10,MAX(0,MAX(0,Inputs!$B$43-B1871)-((R1845-1)*(IF(Inputs!$B$38="pvp",15,MAX(0.1,Skills!D10-IF(Skills!E10=TRUE,Inputs!$B$32,0)))*(1-IF(AND(ArtifactsInput!$M$27,Inputs!$B$4="Chapter Hunt"),CHOOSE(ArtifactsInput!$N$27+1,20,24,28,32,36,40),0)/100)))))/Skills!H10,1)))/Inputs!$B$43),G1845*Q1845)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1845*(1-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1845*(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1845*(1-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1845*(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45">
        <f>IF(C1845,(H1845*N1845*IF(AND(Inputs!$B$38&lt;&gt;"pvp",Inputs!$B$43&gt;0),((Skills!G10*((R1845-1)*IF(Skills!H10&gt;0,Skills!I10/Skills!H10,1)+IF(Skills!H10&gt;0,MIN(Skills!I10,MAX(0,MAX(0,Inputs!$B$43-B1871)-((R1845-1)*(IF(Inputs!$B$38="pvp",15,MAX(0.1,Skills!D10-IF(Skills!E10=TRUE,Inputs!$B$32,0)))*(1-IF(AND(ArtifactsInput!$M$27,Inputs!$B$4="Chapter Hunt"),CHOOSE(ArtifactsInput!$N$27+1,20,24,28,32,36,40),0)/100)))))/Skills!H10,1)))/Inputs!$B$43),G1845*Q1845)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6">
      <c r="A1846">
        <f>Skills!A11</f>
        <v/>
      </c>
      <c r="B1846">
        <f>Skills!B11</f>
        <v/>
      </c>
      <c r="C1846">
        <f>Inputs!$B$3&gt;=35</f>
        <v/>
      </c>
      <c r="D1846">
        <f>IF(Skills!C11=1,60+Inputs!$B$25+Inputs!$B$29,IF(Skills!C11=2,90+Inputs!$B$26+Inputs!$B$29,IF(Skills!C11=3,120+Inputs!$B$27+Inputs!$B$29,MAX(0,(Inputs!$B$3-100)*3)+Inputs!$B$28+Inputs!$B$29)))</f>
        <v/>
      </c>
      <c r="E1846">
        <f>INDEX(FactorTable!$B$2:$Y$301, MATCH(ROUND(MIN(300,MAX(1,D1846)),0), FactorTable!$A$2:$A$301,0), Skills!M11+1)</f>
        <v/>
      </c>
      <c r="F1846">
        <f>IF(Skills!N11=TRUE,(Skills!L11/10)*(E1846/1000),Skills!L11/10)+Skills!O11</f>
        <v/>
      </c>
      <c r="G1846">
        <f>Skills!G11*IF(Skills!H11&gt;0,Skills!I11/Skills!H11,1)</f>
        <v/>
      </c>
      <c r="H1846">
        <f>1-(1-Skills!J11/100)^Skills!K11</f>
        <v/>
      </c>
      <c r="I1846" t="inlineStr">
        <is>
          <t>1</t>
        </is>
      </c>
      <c r="J1846">
        <f>((Inputs!$B$6*(1+Inputs!$B$7/100))+(((Inputs!$B$12*(1+Inputs!$B$13/100))-(Inputs!$B$12*(1+Inputs!$B$13/100)))+0.25*(Inputs!$B$14-Inputs!$B$14))*(1+Inputs!$B$7/100))*(F1846/100)</f>
        <v/>
      </c>
      <c r="K1846">
        <f>J1846*(1+((Inputs!$B$12*(1+Inputs!$B$13/100))*0.01+Inputs!$B$14*0.0025)/100)*(1+Inputs!$B$15/100)*(1+Inputs!$B$16/100)*(5000/(6000+Inputs!$B$42*(1-(100*(1-(1-(Inputs!$B$19+0)/100)*(1-CHOOSE(ArtifactsInput!$N$40+1,5,6,7,8,9,10)/100)^(ArtifactsInput!$M$40-ArtifactsInput!$M$40)))/100)))*(1+(Inputs!$B$24+((C1860=TRUE)*(F1860-Calc!F25))+B1870)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1847=TRUE,F1847,0)/100)*(1+IF(Skills!A11="ENHANCED_RAGING_BLOW",IF(Inputs!$B$3&gt;=134,MAX(0,IF(Inputs!$B$3&gt;=110,7,5)-5)*50,0),0)/100)*(1+(IF(Skills!A11="RAGING_BLOW",Inputs!$B$17+((C1856=TRUE)*(F1856-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1858=TRUE)*(F1858-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1848=TRUE)*F1848*IF(Inputs!$B$3&gt;=110,7,5))+((C1850=TRUE)*F1850*IF(AND(Inputs!$B$38&lt;&gt;"pvp",Inputs!$B$43&gt;0),(((R1850-1)*(Skills!T15*(1+(Inputs!$B$34+(ArtifactsInput!$M$7-ArtifactsInput!$M$7)*CHOOSE(ArtifactsInput!$N$7+1,6,7.2,8.4,9.6,10.8,12))/100))+MIN((Skills!T15*(1+(Inputs!$B$34+(ArtifactsInput!$M$7-ArtifactsInput!$M$7)*CHOOSE(ArtifactsInput!$N$7+1,6,7.2,8.4,9.6,10.8,12))/100)),MAX(0,Inputs!$B$43-((R1850-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Hunt"),CHOOSE(ArtifactsInput!$N$35+1,15,18,21,24,27,30)*(1-EXP(-(0.2*B1866)*5)),0)+IF(AND(ArtifactsInput!$M$22,Inputs!$B$4&lt;&gt;"Chapter Hunt"),CHOOSE(ArtifactsInput!$N$22+1,10,12,14,16,18,20)*((0*(((0.15*B1866*5))^0/1)+1*(((0.15*B1866*5))^1/1)+2*(((0.15*B1866*5))^2/2)+3*(((0.15*B1866*5))^3/6)+4*(((0.15*B1866*5))^4/24)+5*(((0.15*B1866*5))^5/120))/((((0.15*B1866*5))^0/1)+(((0.15*B1866*5))^1/1)+(((0.15*B1866*5))^2/2)+(((0.15*B1866*5))^3/6)+(((0.15*B1866*5))^4/24)+(((0.15*B1866*5))^5/120))),0)))/100)*I1846)</f>
        <v/>
      </c>
      <c r="L1846">
        <f>K1846*(MIN(Inputs!$B$22+((C1857=TRUE)*(F1857-Calc!F22)),(Inputs!$B$23+((C1859=TRUE)*(F1859-Calc!F24))+(IF(ArtifactsInput!$M$15,CHOOSE(ArtifactsInput!$N$15+1,25,30,35,40,45,50)/100*(Inputs!$B$11-Inputs!$B$11),0))))/100+(Inputs!$B$23+((C1859=TRUE)*(F1859-Calc!F24))+(IF(ArtifactsInput!$M$15,CHOOSE(ArtifactsInput!$N$15+1,25,30,35,40,45,50)/100*(Inputs!$B$11-Inputs!$B$11),0)))/100)/2</f>
        <v/>
      </c>
      <c r="M1846">
        <f>L1846*(1+(Inputs!$B$10+0+B1869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6">
        <f>L1846*(1-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1846*(MIN((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6">
        <f>(1-Summary!$B$11)*T1846+Summary!$B$11*V1846</f>
        <v/>
      </c>
      <c r="P1846">
        <f>IF(B1874=0,0,O1846/B1874)</f>
        <v/>
      </c>
      <c r="Q1846">
        <f>IFERROR(1/(IF(Inputs!$B$38="pvp",15,MAX(0.1,Skills!D11-IF(Skills!E11=TRUE,Inputs!$B$32,0)))*(1-IF(AND(ArtifactsInput!$M$27,Inputs!$B$4="Chapter Hunt"),CHOOSE(ArtifactsInput!$N$27+1,20,24,28,32,36,40),0)/100)),0)</f>
        <v/>
      </c>
      <c r="R1846">
        <f>IF(AND(Inputs!$B$38&lt;&gt;"pvp",Inputs!$B$43&gt;0),IF(MAX(0,Inputs!$B$43-B1871)&lt;=0,0,(INT(MAX(0,Inputs!$B$43-B1871)/(IF(Inputs!$B$38="pvp",15,MAX(0.1,Skills!D11-IF(Skills!E11=TRUE,Inputs!$B$32,0)))*(1-IF(AND(ArtifactsInput!$M$27,Inputs!$B$4="Chapter Hunt"),CHOOSE(ArtifactsInput!$N$27+1,20,24,28,32,36,40),0)/100)))+1)),0)</f>
        <v/>
      </c>
      <c r="S1846">
        <f>IFERROR(O1846/N1846,0)</f>
        <v/>
      </c>
      <c r="T1846">
        <f>IF(C1846,(H1846*N1846*IF(AND(Inputs!$B$38&lt;&gt;"pvp",Inputs!$B$43&gt;0),((Skills!G11*((R1846-1)*IF(Skills!H11&gt;0,Skills!I11/Skills!H11,1)+IF(Skills!H11&gt;0,MIN(Skills!I11,MAX(0,MAX(0,Inputs!$B$43-B1871)-((R1846-1)*(IF(Inputs!$B$38="pvp",15,MAX(0.1,Skills!D11-IF(Skills!E11=TRUE,Inputs!$B$32,0)))*(1-IF(AND(ArtifactsInput!$M$27,Inputs!$B$4="Chapter Hunt"),CHOOSE(ArtifactsInput!$N$27+1,20,24,28,32,36,40),0)/100)))))/Skills!H11,1)))/Inputs!$B$43),G1846*Q1846)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1846*(1-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1846*(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1846*(1-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1846*(MIN(100,(Inputs!$B$9+((C1861=TRUE)*(F1861-Calc!F26))+B1864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46">
        <f>IF(C1846,(H1846*N1846*IF(AND(Inputs!$B$38&lt;&gt;"pvp",Inputs!$B$43&gt;0),((Skills!G11*((R1846-1)*IF(Skills!H11&gt;0,Skills!I11/Skills!H11,1)+IF(Skills!H11&gt;0,MIN(Skills!I11,MAX(0,MAX(0,Inputs!$B$43-B1871)-((R1846-1)*(IF(Inputs!$B$38="pvp",15,MAX(0.1,Skills!D11-IF(Skills!E11=TRUE,Inputs!$B$32,0)))*(1-IF(AND(ArtifactsInput!$M$27,Inputs!$B$4="Chapter Hunt"),CHOOSE(ArtifactsInput!$N$27+1,20,24,28,32,36,40),0)/100)))))/Skills!H11,1)))/Inputs!$B$43),G1846*Q1846)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7">
      <c r="A1847">
        <f>Skills!A12</f>
        <v/>
      </c>
      <c r="B1847">
        <f>Skills!B12</f>
        <v/>
      </c>
      <c r="C1847">
        <f>Inputs!$B$3&gt;=100</f>
        <v/>
      </c>
      <c r="D1847">
        <f>IF(Skills!C12=1,60+Inputs!$B$25+Inputs!$B$29,IF(Skills!C12=2,90+Inputs!$B$26+Inputs!$B$29,IF(Skills!C12=3,120+Inputs!$B$27+Inputs!$B$29,MAX(0,(Inputs!$B$3-100)*3)+Inputs!$B$28+Inputs!$B$29)))</f>
        <v/>
      </c>
      <c r="E1847">
        <f>INDEX(FactorTable!$B$2:$Y$301, MATCH(ROUND(MIN(300,MAX(1,D1847)),0), FactorTable!$A$2:$A$301,0), Skills!M12+1)</f>
        <v/>
      </c>
      <c r="F1847">
        <f>IF(Skills!N12=TRUE,(Skills!L12/10)*(E1847/1000),Skills!L12/10)+Skills!O12</f>
        <v/>
      </c>
      <c r="G1847" t="inlineStr"/>
      <c r="H1847" t="inlineStr"/>
      <c r="I1847" t="inlineStr">
        <is>
          <t>1</t>
        </is>
      </c>
      <c r="J1847" t="inlineStr"/>
      <c r="K1847" t="inlineStr"/>
      <c r="L1847" t="inlineStr"/>
      <c r="M1847" t="inlineStr"/>
      <c r="N1847" t="inlineStr"/>
      <c r="O1847" t="inlineStr"/>
      <c r="P1847" t="inlineStr"/>
      <c r="Q1847" t="inlineStr"/>
      <c r="R1847" t="inlineStr"/>
      <c r="S1847" t="inlineStr"/>
    </row>
    <row r="1848">
      <c r="A1848">
        <f>Skills!A13</f>
        <v/>
      </c>
      <c r="B1848">
        <f>Skills!B13</f>
        <v/>
      </c>
      <c r="C1848">
        <f>Inputs!$B$3&gt;=45</f>
        <v/>
      </c>
      <c r="D1848">
        <f>IF(Skills!C13=1,60+Inputs!$B$25+Inputs!$B$29,IF(Skills!C13=2,90+Inputs!$B$26+Inputs!$B$29,IF(Skills!C13=3,120+Inputs!$B$27+Inputs!$B$29,MAX(0,(Inputs!$B$3-100)*3)+Inputs!$B$28+Inputs!$B$29)))</f>
        <v/>
      </c>
      <c r="E1848">
        <f>INDEX(FactorTable!$B$2:$Y$301, MATCH(ROUND(MIN(300,MAX(1,D1848)),0), FactorTable!$A$2:$A$301,0), Skills!M13+1)</f>
        <v/>
      </c>
      <c r="F1848">
        <f>IF(Skills!N13=TRUE,(Skills!L13/10)*(E1848/1000),Skills!L13/10)+Skills!O13</f>
        <v/>
      </c>
      <c r="G1848">
        <f>Skills!G13*IF(Skills!H13&gt;0,Skills!I13/Skills!H13,1)</f>
        <v/>
      </c>
      <c r="H1848">
        <f>1-(1-Skills!J13/100)^Skills!K13</f>
        <v/>
      </c>
      <c r="I1848" t="inlineStr">
        <is>
          <t>1</t>
        </is>
      </c>
      <c r="J1848" t="inlineStr"/>
      <c r="K1848" t="inlineStr"/>
      <c r="L1848" t="inlineStr"/>
      <c r="M1848" t="inlineStr"/>
      <c r="N1848" t="inlineStr"/>
      <c r="O1848">
        <f>(1-Summary!$B$11)*T1848+Summary!$B$11*V1848</f>
        <v/>
      </c>
      <c r="P1848">
        <f>IF(B1874=0,0,O1848/B1874)</f>
        <v/>
      </c>
      <c r="Q1848" t="n">
        <v>0</v>
      </c>
      <c r="R1848" t="n">
        <v>0</v>
      </c>
      <c r="S1848">
        <f>IFERROR(O1848/N1848,0)</f>
        <v/>
      </c>
      <c r="T1848" t="n">
        <v>0</v>
      </c>
      <c r="V1848" t="n">
        <v>0</v>
      </c>
    </row>
    <row r="1849">
      <c r="A1849">
        <f>Skills!A14</f>
        <v/>
      </c>
      <c r="B1849">
        <f>Skills!B14</f>
        <v/>
      </c>
      <c r="C1849">
        <f>Inputs!$B$3&gt;=75</f>
        <v/>
      </c>
      <c r="D1849">
        <f>IF(Skills!C14=1,60+Inputs!$B$25+Inputs!$B$29,IF(Skills!C14=2,90+Inputs!$B$26+Inputs!$B$29,IF(Skills!C14=3,120+Inputs!$B$27+Inputs!$B$29,MAX(0,(Inputs!$B$3-100)*3)+Inputs!$B$28+Inputs!$B$29)))</f>
        <v/>
      </c>
      <c r="E1849">
        <f>INDEX(FactorTable!$B$2:$Y$301, MATCH(ROUND(MIN(300,MAX(1,D1849)),0), FactorTable!$A$2:$A$301,0), Skills!M14+1)</f>
        <v/>
      </c>
      <c r="F1849">
        <f>IF(Skills!N14=TRUE,(Skills!L14/10)*(E1849/1000),Skills!L14/10)+Skills!O14</f>
        <v/>
      </c>
      <c r="G1849">
        <f>Skills!G14*IF(Skills!H14&gt;0,Skills!I14/Skills!H14,1)</f>
        <v/>
      </c>
      <c r="H1849">
        <f>1-(1-Skills!J14/100)^Skills!K14</f>
        <v/>
      </c>
      <c r="I1849" t="inlineStr">
        <is>
          <t>1</t>
        </is>
      </c>
      <c r="J1849" t="inlineStr"/>
      <c r="K1849" t="inlineStr"/>
      <c r="L1849" t="inlineStr"/>
      <c r="M1849" t="inlineStr"/>
      <c r="N1849" t="inlineStr"/>
      <c r="O1849">
        <f>(1-Summary!$B$11)*T1849+Summary!$B$11*V1849</f>
        <v/>
      </c>
      <c r="P1849">
        <f>IF(B1874=0,0,O1849/B1874)</f>
        <v/>
      </c>
      <c r="Q1849" t="n">
        <v>0</v>
      </c>
      <c r="R1849" t="n">
        <v>0</v>
      </c>
      <c r="S1849">
        <f>IFERROR(O1849/N1849,0)</f>
        <v/>
      </c>
      <c r="T1849" t="n">
        <v>0</v>
      </c>
      <c r="V1849" t="n">
        <v>0</v>
      </c>
    </row>
    <row r="1850">
      <c r="A1850">
        <f>Skills!A15</f>
        <v/>
      </c>
      <c r="B1850">
        <f>Skills!B15</f>
        <v/>
      </c>
      <c r="C1850">
        <f>Inputs!$B$3&gt;=40</f>
        <v/>
      </c>
      <c r="D1850">
        <f>IF(Skills!C15=1,60+Inputs!$B$25+Inputs!$B$29,IF(Skills!C15=2,90+Inputs!$B$26+Inputs!$B$29,IF(Skills!C15=3,120+Inputs!$B$27+Inputs!$B$29,MAX(0,(Inputs!$B$3-100)*3)+Inputs!$B$28+Inputs!$B$29)))</f>
        <v/>
      </c>
      <c r="E1850">
        <f>INDEX(FactorTable!$B$2:$Y$301, MATCH(ROUND(MIN(300,MAX(1,D1850)),0), FactorTable!$A$2:$A$301,0), Skills!M15+1)</f>
        <v/>
      </c>
      <c r="F1850">
        <f>IF(Skills!N15=TRUE,(Skills!L15/10)*(E1850/1000),Skills!L15/10)+Skills!O15</f>
        <v/>
      </c>
      <c r="G1850">
        <f>Skills!G15*IF(Skills!H15&gt;0,Skills!I15/Skills!H15,1)</f>
        <v/>
      </c>
      <c r="H1850">
        <f>1-(1-Skills!J15/100)^Skills!K15</f>
        <v/>
      </c>
      <c r="I1850" t="inlineStr">
        <is>
          <t>1</t>
        </is>
      </c>
      <c r="J1850" t="inlineStr"/>
      <c r="K1850" t="inlineStr"/>
      <c r="L1850" t="inlineStr"/>
      <c r="M1850" t="inlineStr"/>
      <c r="N1850" t="inlineStr"/>
      <c r="O1850">
        <f>(1-Summary!$B$11)*T1850+Summary!$B$11*V1850</f>
        <v/>
      </c>
      <c r="P1850">
        <f>IF(B1874=0,0,O1850/B1874)</f>
        <v/>
      </c>
      <c r="Q1850">
        <f>IFERROR(1/(IF(Inputs!$B$38="pvp",15,MAX(0.1,Skills!D15-IF(Skills!E15=TRUE,Inputs!$B$32,0)))*(1-IF(AND(ArtifactsInput!$M$27,Inputs!$B$4="Chapter Hunt"),CHOOSE(ArtifactsInput!$N$27+1,20,24,28,32,36,40),0)/100)),0)</f>
        <v/>
      </c>
      <c r="R1850">
        <f>IF(AND(Inputs!$B$38&lt;&gt;"pvp",Inputs!$B$43&gt;0),IF(Inputs!$B$43&lt;=0,0,(INT(Inputs!$B$43/(IF(Inputs!$B$38="pvp",15,MAX(0.1,Skills!D15-IF(Skills!E15=TRUE,Inputs!$B$32,0)))*(1-IF(AND(ArtifactsInput!$M$27,Inputs!$B$4="Chapter Hunt"),CHOOSE(ArtifactsInput!$N$27+1,20,24,28,32,36,40),0)/100)))+1)),0)</f>
        <v/>
      </c>
      <c r="S1850">
        <f>IFERROR(O1850/N1850,0)</f>
        <v/>
      </c>
      <c r="T1850" t="n">
        <v>0</v>
      </c>
      <c r="V1850" t="n">
        <v>0</v>
      </c>
    </row>
    <row r="1851">
      <c r="A1851">
        <f>Skills!A16</f>
        <v/>
      </c>
      <c r="B1851">
        <f>Skills!B16</f>
        <v/>
      </c>
      <c r="C1851">
        <f>Inputs!$B$3&gt;=66</f>
        <v/>
      </c>
      <c r="D1851">
        <f>IF(Skills!C16=1,60+Inputs!$B$25+Inputs!$B$29,IF(Skills!C16=2,90+Inputs!$B$26+Inputs!$B$29,IF(Skills!C16=3,120+Inputs!$B$27+Inputs!$B$29,MAX(0,(Inputs!$B$3-100)*3)+Inputs!$B$28+Inputs!$B$29)))</f>
        <v/>
      </c>
      <c r="E1851">
        <f>INDEX(FactorTable!$B$2:$Y$301, MATCH(ROUND(MIN(300,MAX(1,D1851)),0), FactorTable!$A$2:$A$301,0), Skills!M16+1)</f>
        <v/>
      </c>
      <c r="F1851">
        <f>IF(Skills!N16=TRUE,(Skills!L16/10)*(E1851/1000),Skills!L16/10)+Skills!O16</f>
        <v/>
      </c>
      <c r="G1851">
        <f>Skills!G16*IF(Skills!H16&gt;0,Skills!I16/Skills!H16,1)</f>
        <v/>
      </c>
      <c r="H1851">
        <f>1-(1-Skills!J16/100)^Skills!K16</f>
        <v/>
      </c>
      <c r="I1851" t="inlineStr">
        <is>
          <t>1</t>
        </is>
      </c>
      <c r="J1851" t="inlineStr"/>
      <c r="K1851" t="inlineStr"/>
      <c r="L1851" t="inlineStr"/>
      <c r="M1851" t="inlineStr"/>
      <c r="N1851" t="inlineStr"/>
      <c r="O1851">
        <f>(1-Summary!$B$11)*T1851+Summary!$B$11*V1851</f>
        <v/>
      </c>
      <c r="P1851">
        <f>IF(B1874=0,0,O1851/B1874)</f>
        <v/>
      </c>
      <c r="Q1851">
        <f>IFERROR(1/(IF(Inputs!$B$38="pvp",15,MAX(0.1,Skills!D16-IF(Skills!E16=TRUE,Inputs!$B$32,0)))*(1-IF(AND(ArtifactsInput!$M$27,Inputs!$B$4="Chapter Hunt"),CHOOSE(ArtifactsInput!$N$27+1,20,24,28,32,36,40),0)/100)),0)</f>
        <v/>
      </c>
      <c r="R1851">
        <f>IF(AND(Inputs!$B$38&lt;&gt;"pvp",Inputs!$B$43&gt;0),IF(Inputs!$B$43&lt;=0,0,(INT(Inputs!$B$43/(IF(Inputs!$B$38="pvp",15,MAX(0.1,Skills!D16-IF(Skills!E16=TRUE,Inputs!$B$32,0)))*(1-IF(AND(ArtifactsInput!$M$27,Inputs!$B$4="Chapter Hunt"),CHOOSE(ArtifactsInput!$N$27+1,20,24,28,32,36,40),0)/100)))+1)),0)</f>
        <v/>
      </c>
      <c r="S1851">
        <f>IFERROR(O1851/N1851,0)</f>
        <v/>
      </c>
      <c r="T1851" t="n">
        <v>0</v>
      </c>
      <c r="V1851" t="n">
        <v>0</v>
      </c>
    </row>
    <row r="1852">
      <c r="A1852">
        <f>Skills!A17</f>
        <v/>
      </c>
      <c r="B1852">
        <f>Skills!B17</f>
        <v/>
      </c>
      <c r="C1852">
        <f>Inputs!$B$3&gt;=115</f>
        <v/>
      </c>
      <c r="D1852">
        <f>IF(Skills!C17=1,60+Inputs!$B$25+Inputs!$B$29,IF(Skills!C17=2,90+Inputs!$B$26+Inputs!$B$29,IF(Skills!C17=3,120+Inputs!$B$27+Inputs!$B$29,MAX(0,(Inputs!$B$3-100)*3)+Inputs!$B$28+Inputs!$B$29)))</f>
        <v/>
      </c>
      <c r="E1852">
        <f>INDEX(FactorTable!$B$2:$Y$301, MATCH(ROUND(MIN(300,MAX(1,D1852)),0), FactorTable!$A$2:$A$301,0), Skills!M17+1)</f>
        <v/>
      </c>
      <c r="F1852">
        <f>IF(Skills!N17=TRUE,(Skills!L17/10)*(E1852/1000),Skills!L17/10)+Skills!O17</f>
        <v/>
      </c>
      <c r="G1852">
        <f>Skills!G17*IF(Skills!H17&gt;0,Skills!I17/Skills!H17,1)</f>
        <v/>
      </c>
      <c r="H1852">
        <f>1-(1-Skills!J17/100)^Skills!K17</f>
        <v/>
      </c>
      <c r="I1852" t="inlineStr">
        <is>
          <t>1</t>
        </is>
      </c>
      <c r="J1852" t="inlineStr"/>
      <c r="K1852" t="inlineStr"/>
      <c r="L1852" t="inlineStr"/>
      <c r="M1852" t="inlineStr"/>
      <c r="N1852" t="inlineStr"/>
      <c r="O1852">
        <f>(1-Summary!$B$11)*T1852+Summary!$B$11*V1852</f>
        <v/>
      </c>
      <c r="P1852">
        <f>IF(B1874=0,0,O1852/B1874)</f>
        <v/>
      </c>
      <c r="Q1852">
        <f>IFERROR(1/(IF(Inputs!$B$38="pvp",15,MAX(0.1,Skills!D17-IF(Skills!E17=TRUE,Inputs!$B$32,0)))*(1-IF(AND(ArtifactsInput!$M$27,Inputs!$B$4="Chapter Hunt"),CHOOSE(ArtifactsInput!$N$27+1,20,24,28,32,36,40),0)/100)),0)</f>
        <v/>
      </c>
      <c r="R1852">
        <f>IF(AND(Inputs!$B$38&lt;&gt;"pvp",Inputs!$B$43&gt;0),IF(Inputs!$B$43&lt;=0,0,(INT(Inputs!$B$43/(IF(Inputs!$B$38="pvp",15,MAX(0.1,Skills!D17-IF(Skills!E17=TRUE,Inputs!$B$32,0)))*(1-IF(AND(ArtifactsInput!$M$27,Inputs!$B$4="Chapter Hunt"),CHOOSE(ArtifactsInput!$N$27+1,20,24,28,32,36,40),0)/100)))+1)),0)</f>
        <v/>
      </c>
      <c r="S1852">
        <f>IFERROR(O1852/N1852,0)</f>
        <v/>
      </c>
      <c r="T1852" t="n">
        <v>0</v>
      </c>
      <c r="V1852" t="n">
        <v>0</v>
      </c>
    </row>
    <row r="1853">
      <c r="A1853">
        <f>Skills!A18</f>
        <v/>
      </c>
      <c r="B1853">
        <f>Skills!B18</f>
        <v/>
      </c>
      <c r="C1853">
        <f>Inputs!$B$3&gt;=115</f>
        <v/>
      </c>
      <c r="D1853">
        <f>IF(Skills!C18=1,60+Inputs!$B$25+Inputs!$B$29,IF(Skills!C18=2,90+Inputs!$B$26+Inputs!$B$29,IF(Skills!C18=3,120+Inputs!$B$27+Inputs!$B$29,MAX(0,(Inputs!$B$3-100)*3)+Inputs!$B$28+Inputs!$B$29)))</f>
        <v/>
      </c>
      <c r="E1853">
        <f>INDEX(FactorTable!$B$2:$Y$301, MATCH(ROUND(MIN(300,MAX(1,D1853)),0), FactorTable!$A$2:$A$301,0), Skills!M18+1)</f>
        <v/>
      </c>
      <c r="F1853">
        <f>IF(Skills!N18=TRUE,(Skills!L18/10)*(E1853/1000),Skills!L18/10)+Skills!O18</f>
        <v/>
      </c>
      <c r="G1853">
        <f>Skills!G18*IF(Skills!H18&gt;0,Skills!I18/Skills!H18,1)</f>
        <v/>
      </c>
      <c r="H1853">
        <f>1-(1-Skills!J18/100)^Skills!K18</f>
        <v/>
      </c>
      <c r="I1853" t="inlineStr">
        <is>
          <t>1</t>
        </is>
      </c>
      <c r="J1853" t="inlineStr"/>
      <c r="K1853" t="inlineStr"/>
      <c r="L1853" t="inlineStr"/>
      <c r="M1853" t="inlineStr"/>
      <c r="N1853" t="inlineStr"/>
      <c r="O1853">
        <f>(1-Summary!$B$11)*T1853+Summary!$B$11*V1853</f>
        <v/>
      </c>
      <c r="P1853">
        <f>IF(B1874=0,0,O1853/B1874)</f>
        <v/>
      </c>
      <c r="Q1853">
        <f>IFERROR(1/(IF(Inputs!$B$38="pvp",15,MAX(0.1,Skills!D18-IF(Skills!E18=TRUE,Inputs!$B$32,0)))*(1-IF(AND(ArtifactsInput!$M$27,Inputs!$B$4="Chapter Hunt"),CHOOSE(ArtifactsInput!$N$27+1,20,24,28,32,36,40),0)/100)),0)</f>
        <v/>
      </c>
      <c r="R1853">
        <f>IF(AND(Inputs!$B$38&lt;&gt;"pvp",Inputs!$B$43&gt;0),IF(Inputs!$B$43&lt;=0,0,(INT(Inputs!$B$43/(IF(Inputs!$B$38="pvp",15,MAX(0.1,Skills!D18-IF(Skills!E18=TRUE,Inputs!$B$32,0)))*(1-IF(AND(ArtifactsInput!$M$27,Inputs!$B$4="Chapter Hunt"),CHOOSE(ArtifactsInput!$N$27+1,20,24,28,32,36,40),0)/100)))+1)),0)</f>
        <v/>
      </c>
      <c r="S1853">
        <f>IFERROR(O1853/N1853,0)</f>
        <v/>
      </c>
      <c r="T1853" t="n">
        <v>0</v>
      </c>
      <c r="V1853" t="n">
        <v>0</v>
      </c>
    </row>
    <row r="1854">
      <c r="A1854">
        <f>Skills!A19</f>
        <v/>
      </c>
      <c r="B1854">
        <f>Skills!B19</f>
        <v/>
      </c>
      <c r="C1854">
        <f>TRUE</f>
        <v/>
      </c>
      <c r="D1854">
        <f>IF(Skills!C19=1,60+Inputs!$B$25+Inputs!$B$29,IF(Skills!C19=2,90+Inputs!$B$26+Inputs!$B$29,IF(Skills!C19=3,120+Inputs!$B$27+Inputs!$B$29,MAX(0,(Inputs!$B$3-100)*3)+Inputs!$B$28+Inputs!$B$29)))</f>
        <v/>
      </c>
      <c r="E1854">
        <f>INDEX(FactorTable!$B$2:$Y$301, MATCH(ROUND(MIN(300,MAX(1,D1854)),0), FactorTable!$A$2:$A$301,0), Skills!M19+1)</f>
        <v/>
      </c>
      <c r="F1854">
        <f>IF(Skills!N19=TRUE,(Skills!L19/10)*(E1854/1000),Skills!L19/10)+Skills!O19</f>
        <v/>
      </c>
      <c r="G1854">
        <f>Skills!G19*IF(Skills!H19&gt;0,Skills!I19/Skills!H19,1)</f>
        <v/>
      </c>
      <c r="H1854">
        <f>1-(1-Skills!J19/100)^Skills!K19</f>
        <v/>
      </c>
      <c r="I1854" t="inlineStr">
        <is>
          <t>1</t>
        </is>
      </c>
      <c r="J1854" t="inlineStr"/>
      <c r="K1854" t="inlineStr"/>
      <c r="L1854" t="inlineStr"/>
      <c r="M1854" t="inlineStr"/>
      <c r="N1854" t="inlineStr"/>
      <c r="O1854">
        <f>(1-Summary!$B$11)*T1854+Summary!$B$11*V1854</f>
        <v/>
      </c>
      <c r="P1854">
        <f>IF(B1874=0,0,O1854/B1874)</f>
        <v/>
      </c>
      <c r="Q1854">
        <f>IFERROR(1/(IF(Inputs!$B$38="pvp",15,MAX(0.1,Skills!D19-IF(Skills!E19=TRUE,Inputs!$B$32,0)))*(1-IF(AND(ArtifactsInput!$M$27,Inputs!$B$4="Chapter Hunt"),CHOOSE(ArtifactsInput!$N$27+1,20,24,28,32,36,40),0)/100)),0)</f>
        <v/>
      </c>
      <c r="R1854">
        <f>IF(AND(Inputs!$B$38&lt;&gt;"pvp",Inputs!$B$43&gt;0),IF(Inputs!$B$43&lt;=0,0,(INT(Inputs!$B$43/(IF(Inputs!$B$38="pvp",15,MAX(0.1,Skills!D19-IF(Skills!E19=TRUE,Inputs!$B$32,0)))*(1-IF(AND(ArtifactsInput!$M$27,Inputs!$B$4="Chapter Hunt"),CHOOSE(ArtifactsInput!$N$27+1,20,24,28,32,36,40),0)/100)))+1)),0)</f>
        <v/>
      </c>
      <c r="S1854">
        <f>IFERROR(O1854/N1854,0)</f>
        <v/>
      </c>
      <c r="T1854" t="n">
        <v>0</v>
      </c>
      <c r="V1854" t="n">
        <v>0</v>
      </c>
    </row>
    <row r="1855">
      <c r="A1855">
        <f>Skills!A20</f>
        <v/>
      </c>
      <c r="B1855">
        <f>Skills!B20</f>
        <v/>
      </c>
      <c r="C1855">
        <f>Inputs!$B$3&gt;=33</f>
        <v/>
      </c>
      <c r="D1855">
        <f>IF(Skills!C20=1,60+Inputs!$B$25+Inputs!$B$29,IF(Skills!C20=2,90+Inputs!$B$26+Inputs!$B$29,IF(Skills!C20=3,120+Inputs!$B$27+Inputs!$B$29,MAX(0,(Inputs!$B$3-100)*3)+Inputs!$B$28+Inputs!$B$29)))</f>
        <v/>
      </c>
      <c r="E1855">
        <f>INDEX(FactorTable!$B$2:$Y$301, MATCH(ROUND(MIN(300,MAX(1,D1855)),0), FactorTable!$A$2:$A$301,0), Skills!M20+1)</f>
        <v/>
      </c>
      <c r="F1855">
        <f>IF(Skills!N20=TRUE,(Skills!L20/10)*(E1855/1000),Skills!L20/10)+Skills!O20</f>
        <v/>
      </c>
      <c r="G1855">
        <f>Skills!G20*IF(Skills!H20&gt;0,Skills!I20/Skills!H20,1)</f>
        <v/>
      </c>
      <c r="H1855">
        <f>1-(1-Skills!J20/100)^Skills!K20</f>
        <v/>
      </c>
      <c r="I1855" t="inlineStr">
        <is>
          <t>1</t>
        </is>
      </c>
      <c r="J1855" t="inlineStr"/>
      <c r="K1855" t="inlineStr"/>
      <c r="L1855" t="inlineStr"/>
      <c r="M1855" t="inlineStr"/>
      <c r="N1855" t="inlineStr"/>
      <c r="O1855">
        <f>(1-Summary!$B$11)*T1855+Summary!$B$11*V1855</f>
        <v/>
      </c>
      <c r="P1855">
        <f>IF(B1874=0,0,O1855/B1874)</f>
        <v/>
      </c>
      <c r="Q1855" t="n">
        <v>0</v>
      </c>
      <c r="R1855" t="n">
        <v>0</v>
      </c>
      <c r="S1855">
        <f>IFERROR(O1855/N1855,0)</f>
        <v/>
      </c>
      <c r="T1855" t="n">
        <v>0</v>
      </c>
      <c r="V1855" t="n">
        <v>0</v>
      </c>
    </row>
    <row r="1856">
      <c r="A1856">
        <f>Skills!A21</f>
        <v/>
      </c>
      <c r="B1856">
        <f>Skills!B21</f>
        <v/>
      </c>
      <c r="C1856">
        <f>Inputs!$B$3&gt;=38</f>
        <v/>
      </c>
      <c r="D1856">
        <f>IF(Skills!C21=1,60+Inputs!$B$25+Inputs!$B$29,IF(Skills!C21=2,90+Inputs!$B$26+Inputs!$B$29,IF(Skills!C21=3,120+Inputs!$B$27+Inputs!$B$29,MAX(0,(Inputs!$B$3-100)*3)+Inputs!$B$28+Inputs!$B$29)))</f>
        <v/>
      </c>
      <c r="E1856">
        <f>INDEX(FactorTable!$B$2:$Y$301, MATCH(ROUND(MIN(300,MAX(1,D1856)),0), FactorTable!$A$2:$A$301,0), Skills!M21+1)</f>
        <v/>
      </c>
      <c r="F1856">
        <f>IF(Skills!N21=TRUE,(Skills!L21/10)*(E1856/1000),Skills!L21/10)+Skills!O21</f>
        <v/>
      </c>
      <c r="G1856">
        <f>Skills!G21*IF(Skills!H21&gt;0,Skills!I21/Skills!H21,1)</f>
        <v/>
      </c>
      <c r="H1856">
        <f>1-(1-Skills!J21/100)^Skills!K21</f>
        <v/>
      </c>
      <c r="I1856" t="inlineStr">
        <is>
          <t>1</t>
        </is>
      </c>
      <c r="J1856" t="inlineStr"/>
      <c r="K1856" t="inlineStr"/>
      <c r="L1856" t="inlineStr"/>
      <c r="M1856" t="inlineStr"/>
      <c r="N1856" t="inlineStr"/>
      <c r="O1856">
        <f>(1-Summary!$B$11)*T1856+Summary!$B$11*V1856</f>
        <v/>
      </c>
      <c r="P1856">
        <f>IF(B1874=0,0,O1856/B1874)</f>
        <v/>
      </c>
      <c r="Q1856" t="n">
        <v>0</v>
      </c>
      <c r="R1856" t="n">
        <v>0</v>
      </c>
      <c r="S1856">
        <f>IFERROR(O1856/N1856,0)</f>
        <v/>
      </c>
      <c r="T1856" t="n">
        <v>0</v>
      </c>
      <c r="V1856" t="n">
        <v>0</v>
      </c>
    </row>
    <row r="1857">
      <c r="A1857">
        <f>Skills!A22</f>
        <v/>
      </c>
      <c r="B1857">
        <f>Skills!B22</f>
        <v/>
      </c>
      <c r="C1857">
        <f>Inputs!$B$3&gt;=43</f>
        <v/>
      </c>
      <c r="D1857">
        <f>IF(Skills!C22=1,60+Inputs!$B$25+Inputs!$B$29,IF(Skills!C22=2,90+Inputs!$B$26+Inputs!$B$29,IF(Skills!C22=3,120+Inputs!$B$27+Inputs!$B$29,MAX(0,(Inputs!$B$3-100)*3)+Inputs!$B$28+Inputs!$B$29)))</f>
        <v/>
      </c>
      <c r="E1857">
        <f>INDEX(FactorTable!$B$2:$Y$301, MATCH(ROUND(MIN(300,MAX(1,D1857)),0), FactorTable!$A$2:$A$301,0), Skills!M22+1)</f>
        <v/>
      </c>
      <c r="F1857">
        <f>IF(Skills!N22=TRUE,(Skills!L22/10)*(E1857/1000),Skills!L22/10)+Skills!O22</f>
        <v/>
      </c>
      <c r="G1857">
        <f>Skills!G22*IF(Skills!H22&gt;0,Skills!I22/Skills!H22,1)</f>
        <v/>
      </c>
      <c r="H1857">
        <f>1-(1-Skills!J22/100)^Skills!K22</f>
        <v/>
      </c>
      <c r="I1857" t="inlineStr">
        <is>
          <t>1</t>
        </is>
      </c>
      <c r="J1857" t="inlineStr"/>
      <c r="K1857" t="inlineStr"/>
      <c r="L1857" t="inlineStr"/>
      <c r="M1857" t="inlineStr"/>
      <c r="N1857" t="inlineStr"/>
      <c r="O1857">
        <f>(1-Summary!$B$11)*T1857+Summary!$B$11*V1857</f>
        <v/>
      </c>
      <c r="P1857">
        <f>IF(B1874=0,0,O1857/B1874)</f>
        <v/>
      </c>
      <c r="Q1857" t="n">
        <v>0</v>
      </c>
      <c r="R1857" t="n">
        <v>0</v>
      </c>
      <c r="S1857">
        <f>IFERROR(O1857/N1857,0)</f>
        <v/>
      </c>
      <c r="T1857" t="n">
        <v>0</v>
      </c>
      <c r="V1857" t="n">
        <v>0</v>
      </c>
    </row>
    <row r="1858">
      <c r="A1858">
        <f>Skills!A23</f>
        <v/>
      </c>
      <c r="B1858">
        <f>Skills!B23</f>
        <v/>
      </c>
      <c r="C1858">
        <f>Inputs!$B$3&gt;=120</f>
        <v/>
      </c>
      <c r="D1858">
        <f>IF(Skills!C23=1,60+Inputs!$B$25+Inputs!$B$29,IF(Skills!C23=2,90+Inputs!$B$26+Inputs!$B$29,IF(Skills!C23=3,120+Inputs!$B$27+Inputs!$B$29,MAX(0,(Inputs!$B$3-100)*3)+Inputs!$B$28+Inputs!$B$29)))</f>
        <v/>
      </c>
      <c r="E1858">
        <f>INDEX(FactorTable!$B$2:$Y$301, MATCH(ROUND(MIN(300,MAX(1,D1858)),0), FactorTable!$A$2:$A$301,0), Skills!M23+1)</f>
        <v/>
      </c>
      <c r="F1858">
        <f>IF(Skills!N23=TRUE,(Skills!L23/10)*(E1858/1000),Skills!L23/10)+Skills!O23</f>
        <v/>
      </c>
      <c r="G1858">
        <f>Skills!G23*IF(Skills!H23&gt;0,Skills!I23/Skills!H23,1)</f>
        <v/>
      </c>
      <c r="H1858">
        <f>1-(1-Skills!J23/100)^Skills!K23</f>
        <v/>
      </c>
      <c r="I1858" t="inlineStr">
        <is>
          <t>1</t>
        </is>
      </c>
      <c r="J1858" t="inlineStr"/>
      <c r="K1858" t="inlineStr"/>
      <c r="L1858" t="inlineStr"/>
      <c r="M1858" t="inlineStr"/>
      <c r="N1858" t="inlineStr"/>
      <c r="O1858">
        <f>(1-Summary!$B$11)*T1858+Summary!$B$11*V1858</f>
        <v/>
      </c>
      <c r="P1858">
        <f>IF(B1874=0,0,O1858/B1874)</f>
        <v/>
      </c>
      <c r="Q1858" t="n">
        <v>0</v>
      </c>
      <c r="R1858" t="n">
        <v>0</v>
      </c>
      <c r="S1858">
        <f>IFERROR(O1858/N1858,0)</f>
        <v/>
      </c>
      <c r="T1858" t="n">
        <v>0</v>
      </c>
      <c r="V1858" t="n">
        <v>0</v>
      </c>
    </row>
    <row r="1859">
      <c r="A1859">
        <f>Skills!A24</f>
        <v/>
      </c>
      <c r="B1859">
        <f>Skills!B24</f>
        <v/>
      </c>
      <c r="C1859">
        <f>Inputs!$B$3&gt;=120</f>
        <v/>
      </c>
      <c r="D1859">
        <f>IF(Skills!C24=1,60+Inputs!$B$25+Inputs!$B$29,IF(Skills!C24=2,90+Inputs!$B$26+Inputs!$B$29,IF(Skills!C24=3,120+Inputs!$B$27+Inputs!$B$29,MAX(0,(Inputs!$B$3-100)*3)+Inputs!$B$28+Inputs!$B$29)))</f>
        <v/>
      </c>
      <c r="E1859">
        <f>INDEX(FactorTable!$B$2:$Y$301, MATCH(ROUND(MIN(300,MAX(1,D1859)),0), FactorTable!$A$2:$A$301,0), Skills!M24+1)</f>
        <v/>
      </c>
      <c r="F1859">
        <f>IF(Skills!N24=TRUE,(Skills!L24/10)*(E1859/1000),Skills!L24/10)+Skills!O24</f>
        <v/>
      </c>
      <c r="G1859">
        <f>Skills!G24*IF(Skills!H24&gt;0,Skills!I24/Skills!H24,1)</f>
        <v/>
      </c>
      <c r="H1859">
        <f>1-(1-Skills!J24/100)^Skills!K24</f>
        <v/>
      </c>
      <c r="I1859" t="inlineStr">
        <is>
          <t>1</t>
        </is>
      </c>
      <c r="J1859" t="inlineStr"/>
      <c r="K1859" t="inlineStr"/>
      <c r="L1859" t="inlineStr"/>
      <c r="M1859" t="inlineStr"/>
      <c r="N1859" t="inlineStr"/>
      <c r="O1859">
        <f>(1-Summary!$B$11)*T1859+Summary!$B$11*V1859</f>
        <v/>
      </c>
      <c r="P1859">
        <f>IF(B1874=0,0,O1859/B1874)</f>
        <v/>
      </c>
      <c r="Q1859" t="n">
        <v>0</v>
      </c>
      <c r="R1859" t="n">
        <v>0</v>
      </c>
      <c r="S1859">
        <f>IFERROR(O1859/N1859,0)</f>
        <v/>
      </c>
      <c r="T1859" t="n">
        <v>0</v>
      </c>
      <c r="V1859" t="n">
        <v>0</v>
      </c>
    </row>
    <row r="1860">
      <c r="A1860">
        <f>Skills!A25</f>
        <v/>
      </c>
      <c r="B1860">
        <f>Skills!B25</f>
        <v/>
      </c>
      <c r="C1860">
        <f>Inputs!$B$3&gt;=125</f>
        <v/>
      </c>
      <c r="D1860">
        <f>IF(Skills!C25=1,60+Inputs!$B$25+Inputs!$B$29,IF(Skills!C25=2,90+Inputs!$B$26+Inputs!$B$29,IF(Skills!C25=3,120+Inputs!$B$27+Inputs!$B$29,MAX(0,(Inputs!$B$3-100)*3)+Inputs!$B$28+Inputs!$B$29)))</f>
        <v/>
      </c>
      <c r="E1860">
        <f>INDEX(FactorTable!$B$2:$Y$301, MATCH(ROUND(MIN(300,MAX(1,D1860)),0), FactorTable!$A$2:$A$301,0), Skills!M25+1)</f>
        <v/>
      </c>
      <c r="F1860">
        <f>IF(Skills!N25=TRUE,(Skills!L25/10)*(E1860/1000),Skills!L25/10)+Skills!O25</f>
        <v/>
      </c>
      <c r="G1860">
        <f>Skills!G25*IF(Skills!H25&gt;0,Skills!I25/Skills!H25,1)</f>
        <v/>
      </c>
      <c r="H1860">
        <f>1-(1-Skills!J25/100)^Skills!K25</f>
        <v/>
      </c>
      <c r="I1860" t="inlineStr">
        <is>
          <t>1</t>
        </is>
      </c>
      <c r="J1860" t="inlineStr"/>
      <c r="K1860" t="inlineStr"/>
      <c r="L1860" t="inlineStr"/>
      <c r="M1860" t="inlineStr"/>
      <c r="N1860" t="inlineStr"/>
      <c r="O1860">
        <f>(1-Summary!$B$11)*T1860+Summary!$B$11*V1860</f>
        <v/>
      </c>
      <c r="P1860">
        <f>IF(B1874=0,0,O1860/B1874)</f>
        <v/>
      </c>
      <c r="Q1860" t="n">
        <v>0</v>
      </c>
      <c r="R1860" t="n">
        <v>0</v>
      </c>
      <c r="S1860">
        <f>IFERROR(O1860/N1860,0)</f>
        <v/>
      </c>
      <c r="T1860" t="n">
        <v>0</v>
      </c>
      <c r="V1860" t="n">
        <v>0</v>
      </c>
    </row>
    <row r="1861">
      <c r="A1861">
        <f>Skills!A26</f>
        <v/>
      </c>
      <c r="B1861">
        <f>Skills!B26</f>
        <v/>
      </c>
      <c r="C1861">
        <f>Inputs!$B$3&gt;=72</f>
        <v/>
      </c>
      <c r="D1861">
        <f>IF(Skills!C26=1,60+Inputs!$B$25+Inputs!$B$29,IF(Skills!C26=2,90+Inputs!$B$26+Inputs!$B$29,IF(Skills!C26=3,120+Inputs!$B$27+Inputs!$B$29,MAX(0,(Inputs!$B$3-100)*3)+Inputs!$B$28+Inputs!$B$29)))</f>
        <v/>
      </c>
      <c r="E1861">
        <f>INDEX(FactorTable!$B$2:$Y$301, MATCH(ROUND(MIN(300,MAX(1,D1861)),0), FactorTable!$A$2:$A$301,0), Skills!M26+1)</f>
        <v/>
      </c>
      <c r="F1861">
        <f>IF(Skills!N26=TRUE,(Skills!L26/10)*(E1861/1000),Skills!L26/10)+Skills!O26</f>
        <v/>
      </c>
      <c r="G1861">
        <f>Skills!G26*IF(Skills!H26&gt;0,Skills!I26/Skills!H26,1)</f>
        <v/>
      </c>
      <c r="H1861">
        <f>1-(1-Skills!J26/100)^Skills!K26</f>
        <v/>
      </c>
      <c r="I1861" t="inlineStr">
        <is>
          <t>1</t>
        </is>
      </c>
      <c r="J1861" t="inlineStr"/>
      <c r="K1861" t="inlineStr"/>
      <c r="L1861" t="inlineStr"/>
      <c r="M1861" t="inlineStr"/>
      <c r="N1861" t="inlineStr"/>
      <c r="O1861">
        <f>(1-Summary!$B$11)*T1861+Summary!$B$11*V1861</f>
        <v/>
      </c>
      <c r="P1861">
        <f>IF(B1874=0,0,O1861/B1874)</f>
        <v/>
      </c>
      <c r="Q1861" t="n">
        <v>0</v>
      </c>
      <c r="R1861" t="n">
        <v>0</v>
      </c>
      <c r="S1861">
        <f>IFERROR(O1861/N1861,0)</f>
        <v/>
      </c>
      <c r="T1861" t="n">
        <v>0</v>
      </c>
      <c r="V1861" t="n">
        <v>0</v>
      </c>
    </row>
    <row r="1863">
      <c r="A1863" t="inlineStr">
        <is>
          <t>Attack% Bucket Multiplier</t>
        </is>
      </c>
      <c r="B1863">
        <f>(1+(((C1848=TRUE)*F1848*IF(Inputs!$B$3&gt;=110,7,5))+((C1850=TRUE)*F1850*IF(AND(Inputs!$B$38&lt;&gt;"pvp",Inputs!$B$43&gt;0),(((R1850-1)*(Skills!T15*(1+(Inputs!$B$34+(ArtifactsInput!$M$7-ArtifactsInput!$M$7)*CHOOSE(ArtifactsInput!$N$7+1,6,7.2,8.4,9.6,10.8,12))/100))+MIN((Skills!T15*(1+(Inputs!$B$34+(ArtifactsInput!$M$7-ArtifactsInput!$M$7)*CHOOSE(ArtifactsInput!$N$7+1,6,7.2,8.4,9.6,10.8,12))/100)),MAX(0,Inputs!$B$43-((R1850-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64">
      <c r="A1864" t="inlineStr">
        <is>
          <t>Global Crit Rate Bonus %</t>
        </is>
      </c>
      <c r="B1864" t="n">
        <v>0</v>
      </c>
    </row>
    <row r="1865">
      <c r="A1865" t="inlineStr">
        <is>
          <t>Attack Speed Buff Bonus %</t>
        </is>
      </c>
      <c r="B1865">
        <f>((C1854=TRUE)*F1854*IF(AND(Inputs!$B$38&lt;&gt;"pvp",Inputs!$B$43&gt;0),(((R1854-1)*(Skills!T19*(1+(Inputs!$B$34+(ArtifactsInput!$M$7-ArtifactsInput!$M$7)*CHOOSE(ArtifactsInput!$N$7+1,6,7.2,8.4,9.6,10.8,12))/100))+MIN((Skills!T19*(1+(Inputs!$B$34+(ArtifactsInput!$M$7-ArtifactsInput!$M$7)*CHOOSE(ArtifactsInput!$N$7+1,6,7.2,8.4,9.6,10.8,12))/100)),MAX(0,Inputs!$B$43-((R1854-1)*Skills!D19))))/Inputs!$B$43),IF(Inputs!$B$38="pvp",MIN((Skills!T19*(1+(Inputs!$B$34+(ArtifactsInput!$M$7-ArtifactsInput!$M$7)*CHOOSE(ArtifactsInput!$N$7+1,6,7.2,8.4,9.6,10.8,12))/100)),15)/15,(Skills!T19*(1+(Inputs!$B$34+(ArtifactsInput!$M$7-ArtifactsInput!$M$7)*CHOOSE(ArtifactsInput!$N$7+1,6,7.2,8.4,9.6,10.8,12))/100))/Skills!D19)))</f>
        <v/>
      </c>
    </row>
    <row r="1866">
      <c r="A1866" t="inlineStr">
        <is>
          <t>Actions Per Second</t>
        </is>
      </c>
      <c r="B1866">
        <f>1+MIN(150,150*(1-(1-(Inputs!$B$11+((C1855=TRUE)*(F1855-Calc!F20)))/150)*(1-B1865/150)))/100</f>
        <v/>
      </c>
    </row>
    <row r="1867">
      <c r="A1867" t="inlineStr">
        <is>
          <t>Skill + Buff Cast Rate</t>
        </is>
      </c>
      <c r="B1867">
        <f>IF(AND(Inputs!$B$38&lt;&gt;"pvp",Inputs!$B$43&gt;0),SUMPRODUCT((Skills!E2:E26=TRUE)*(C1837:C1861=TRUE)*R1837:R1861*Skills!F2:F26)/Inputs!$B$43,SUMPRODUCT((Skills!E2:E26=TRUE)*(C1837:C1861=TRUE)*Q1837:Q1861*Skills!F2:F26))</f>
        <v/>
      </c>
    </row>
    <row r="1868">
      <c r="A1868" t="inlineStr">
        <is>
          <t>Raging Blow Casts Per Second</t>
        </is>
      </c>
      <c r="B1868">
        <f>MAX(0,B1866-B1867)</f>
        <v/>
      </c>
    </row>
    <row r="1869">
      <c r="A1869" t="inlineStr">
        <is>
          <t>Global Critical Damage Bonus % (Enrage)</t>
        </is>
      </c>
      <c r="B1869">
        <f>((C1853=TRUE)*F1853*IF(AND(Inputs!$B$38&lt;&gt;"pvp",Inputs!$B$43&gt;0),(((R1853-1)*(Skills!T18*(1+(Inputs!$B$34+(ArtifactsInput!$M$7-ArtifactsInput!$M$7)*CHOOSE(ArtifactsInput!$N$7+1,6,7.2,8.4,9.6,10.8,12))/100))+MIN((Skills!T18*(1+(Inputs!$B$34+(ArtifactsInput!$M$7-ArtifactsInput!$M$7)*CHOOSE(ArtifactsInput!$N$7+1,6,7.2,8.4,9.6,10.8,12))/100)),MAX(0,Inputs!$B$43-((R1853-1)*Skills!D18))))/Inputs!$B$43),IF(Inputs!$B$38="pvp",MIN((Skills!T18*(1+(Inputs!$B$34+(ArtifactsInput!$M$7-ArtifactsInput!$M$7)*CHOOSE(ArtifactsInput!$N$7+1,6,7.2,8.4,9.6,10.8,12))/100)),15)/15,(Skills!T18*(1+(Inputs!$B$34+(ArtifactsInput!$M$7-ArtifactsInput!$M$7)*CHOOSE(ArtifactsInput!$N$7+1,6,7.2,8.4,9.6,10.8,12))/100))/Skills!D18)))</f>
        <v/>
      </c>
    </row>
    <row r="1870">
      <c r="A1870" t="inlineStr">
        <is>
          <t>Global Final Damage Bonus % (Enrage + Combo Synergy)</t>
        </is>
      </c>
      <c r="B1870">
        <f>((C1852=TRUE)*F1852*IF(AND(Inputs!$B$38&lt;&gt;"pvp",Inputs!$B$43&gt;0),(((R1852-1)*(Skills!T17*(1+(Inputs!$B$34+(ArtifactsInput!$M$7-ArtifactsInput!$M$7)*CHOOSE(ArtifactsInput!$N$7+1,6,7.2,8.4,9.6,10.8,12))/100))+MIN((Skills!T17*(1+(Inputs!$B$34+(ArtifactsInput!$M$7-ArtifactsInput!$M$7)*CHOOSE(ArtifactsInput!$N$7+1,6,7.2,8.4,9.6,10.8,12))/100)),MAX(0,Inputs!$B$43-((R1852-1)*Skills!D17))))/Inputs!$B$43),IF(Inputs!$B$38="pvp",MIN((Skills!T17*(1+(Inputs!$B$34+(ArtifactsInput!$M$7-ArtifactsInput!$M$7)*CHOOSE(ArtifactsInput!$N$7+1,6,7.2,8.4,9.6,10.8,12))/100)),15)/15,(Skills!T17*(1+(Inputs!$B$34+(ArtifactsInput!$M$7-ArtifactsInput!$M$7)*CHOOSE(ArtifactsInput!$N$7+1,6,7.2,8.4,9.6,10.8,12))/100))/Skills!D17)))+((C1849=TRUE)*F1849*IF(Inputs!$B$3&gt;=110,7,5))</f>
        <v/>
      </c>
    </row>
    <row r="1871">
      <c r="A1871" t="inlineStr">
        <is>
          <t>Buff-Casting Startup Delay (s, fixed-duration only)</t>
        </is>
      </c>
      <c r="B1871">
        <f>IF(AND(Inputs!$B$38&lt;&gt;"pvp",Inputs!$B$43&gt;0),SUMPRODUCT((Skills!T2:T26&gt;0)*(Skills!E2:E26=TRUE)*(C1837:C1861=TRUE))/B1866,0)</f>
        <v/>
      </c>
    </row>
    <row r="1872">
      <c r="A1872" t="inlineStr">
        <is>
          <t>Boss-Only Total DPS (this block's swept value)</t>
        </is>
      </c>
      <c r="B1872">
        <f>SUM(T1837:T1861)</f>
        <v/>
      </c>
    </row>
    <row r="1873">
      <c r="A1873" t="inlineStr">
        <is>
          <t>Normal-Only Total DPS (this block's swept value)</t>
        </is>
      </c>
      <c r="B1873">
        <f>SUM(V1837:V1861)</f>
        <v/>
      </c>
    </row>
    <row r="1874">
      <c r="A1874" s="6" t="inlineStr">
        <is>
          <t>TOTAL DPS</t>
        </is>
      </c>
      <c r="B1874" s="6">
        <f>SUM(O1837:O1861)</f>
        <v/>
      </c>
    </row>
    <row r="1877">
      <c r="A1877" s="6" t="inlineStr">
        <is>
          <t>Stat: Book of Ancient (Equip)</t>
        </is>
      </c>
    </row>
    <row r="1878">
      <c r="A1878" s="5" t="inlineStr">
        <is>
          <t>Key</t>
        </is>
      </c>
      <c r="B1878" s="5" t="inlineStr">
        <is>
          <t>Name</t>
        </is>
      </c>
      <c r="C1878" s="5" t="inlineStr">
        <is>
          <t>Unlocked</t>
        </is>
      </c>
      <c r="D1878" s="5" t="inlineStr">
        <is>
          <t>InputLevel</t>
        </is>
      </c>
      <c r="E1878" s="5" t="inlineStr">
        <is>
          <t>Factor</t>
        </is>
      </c>
      <c r="F1878" s="5" t="inlineStr">
        <is>
          <t>CoefficientPercent</t>
        </is>
      </c>
      <c r="G1878" s="5" t="inlineStr">
        <is>
          <t>EffectiveHits</t>
        </is>
      </c>
      <c r="H1878" s="5" t="inlineStr">
        <is>
          <t>ProcProbability</t>
        </is>
      </c>
      <c r="I1878" s="5" t="inlineStr">
        <is>
          <t>MapleHeroMultiplier</t>
        </is>
      </c>
      <c r="J1878" s="5" t="inlineStr">
        <is>
          <t>BaseDamage</t>
        </is>
      </c>
      <c r="K1878" s="5" t="inlineStr">
        <is>
          <t>BaseHitDamage</t>
        </is>
      </c>
      <c r="L1878" s="5" t="inlineStr">
        <is>
          <t>NonCritAvg</t>
        </is>
      </c>
      <c r="M1878" s="5" t="inlineStr">
        <is>
          <t>CritAvg</t>
        </is>
      </c>
      <c r="N1878" s="5" t="inlineStr">
        <is>
          <t>ExpectedDamage(perHit)</t>
        </is>
      </c>
      <c r="O1878" s="5" t="inlineStr">
        <is>
          <t>DPS</t>
        </is>
      </c>
      <c r="P1878" s="5" t="inlineStr">
        <is>
          <t>% of Total</t>
        </is>
      </c>
      <c r="Q1878" s="5" t="inlineStr">
        <is>
          <t>InvCooldown</t>
        </is>
      </c>
      <c r="R1878" s="5" t="inlineStr">
        <is>
          <t>CastsInFight</t>
        </is>
      </c>
      <c r="S1878" s="5" t="inlineStr">
        <is>
          <t>HitRate(perSec)</t>
        </is>
      </c>
      <c r="U1878" t="inlineStr">
        <is>
          <t>helpers</t>
        </is>
      </c>
    </row>
    <row r="1879">
      <c r="A1879">
        <f>Skills!A2</f>
        <v/>
      </c>
      <c r="B1879">
        <f>Skills!B2</f>
        <v/>
      </c>
      <c r="C1879">
        <f>Inputs!$B$3&gt;=100</f>
        <v/>
      </c>
      <c r="D1879" t="inlineStr"/>
      <c r="E1879" t="inlineStr"/>
      <c r="F1879">
        <f>U1881+Skills!O2</f>
        <v/>
      </c>
      <c r="G1879">
        <f>Skills!G2*IF(Skills!H2&gt;0,Skills!I2/Skills!H2,1)</f>
        <v/>
      </c>
      <c r="H1879">
        <f>1-(1-Skills!J2/100)^Skills!K2</f>
        <v/>
      </c>
      <c r="I1879" t="inlineStr">
        <is>
          <t>1</t>
        </is>
      </c>
      <c r="J1879">
        <f>((Inputs!$B$6*(1+Inputs!$B$7/100))+(((Inputs!$B$12*(1+Inputs!$B$13/100))-(Inputs!$B$12*(1+Inputs!$B$13/100)))+0.25*(Inputs!$B$14-Inputs!$B$14))*(1+Inputs!$B$7/100))*(F1879/100)</f>
        <v/>
      </c>
      <c r="K1879">
        <f>J1879*(1+((Inputs!$B$12*(1+Inputs!$B$13/100))*0.01+Inputs!$B$14*0.0025)/100)*(1+Inputs!$B$15/100)*(1+Inputs!$B$16/100)*(5000/(6000+Inputs!$B$42*(1-(100*(1-(1-(Inputs!$B$19+0)/100)*(1-CHOOSE(ArtifactsInput!$N$40+1,5,6,7,8,9,10)/100)^(ArtifactsInput!$M$40-ArtifactsInput!$M$40)))/100)))*(1+(Inputs!$B$24+((C1902=TRUE)*(F1902-Calc!F25))+B1912)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1898=TRUE)*(F1898-Calc!F21))+(((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C1900=TRUE)*(F1900-Calc!F23))+(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(1+(((C1890=TRUE)*F1890*IF(Inputs!$B$3&gt;=110,7,5))+((C1892=TRUE)*F1892*IF(AND(Inputs!$B$38&lt;&gt;"pvp",Inputs!$B$43&gt;0),(((R1892-1)*(Skills!T15*(1+(Inputs!$B$34+(ArtifactsInput!$M$7-ArtifactsInput!$M$7)*CHOOSE(ArtifactsInput!$N$7+1,6,7.2,8.4,9.6,10.8,12))/100))+MIN((Skills!T15*(1+(Inputs!$B$34+(ArtifactsInput!$M$7-ArtifactsInput!$M$7)*CHOOSE(ArtifactsInput!$N$7+1,6,7.2,8.4,9.6,10.8,12))/100)),MAX(0,Inputs!$B$43-((R1892-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I1879)</f>
        <v/>
      </c>
      <c r="L1879">
        <f>K1879*(MIN(Inputs!$B$22+((C1899=TRUE)*(F1899-Calc!F22)),(Inputs!$B$23+((C1901=TRUE)*(F1901-Calc!F24))+(IF(ArtifactsInput!$M$15,CHOOSE(ArtifactsInput!$N$15+1,25,30,35,40,45,50)/100*(Inputs!$B$11-Inputs!$B$11),0))))/100+(Inputs!$B$23+((C1901=TRUE)*(F1901-Calc!F24))+(IF(ArtifactsInput!$M$15,CHOOSE(ArtifactsInput!$N$15+1,25,30,35,40,45,50)/100*(Inputs!$B$11-Inputs!$B$11),0)))/100)/2</f>
        <v/>
      </c>
      <c r="M1879">
        <f>L1879*(1+(Inputs!$B$10+0+B1911+((IF(IF(ArtifactsInput!$M$24,FALSE,TRUE),1,-1)*CHOOSE(ArtifactsInput!$N$24+1,30,36,42,48,54,60)/100*IF(IF(ArtifactsInput!$M$24,FALSE,TRUE),(Inputs!$B$9+((C1903=TRUE)*(F1903-Calc!F26)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79">
        <f>L1879*(1-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1879*(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9">
        <f>(1-Summary!$B$11)*T1879+Summary!$B$11*V1879</f>
        <v/>
      </c>
      <c r="P1879">
        <f>IF(B1916=0,0,O1879/B1916)</f>
        <v/>
      </c>
      <c r="Q1879" t="n">
        <v>0</v>
      </c>
      <c r="R1879" t="n">
        <v>0</v>
      </c>
      <c r="S1879">
        <f>IFERROR(O1879/N1879,0)</f>
        <v/>
      </c>
      <c r="T1879">
        <f>IF(C1879,(Skills!G2*N1879*B1910)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1879*(1-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1879*(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1879*(1-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1879*(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79">
        <f>MAX(0,(Inputs!$B$3-100)*3)+Inputs!$B$28+Inputs!$B$29</f>
        <v/>
      </c>
      <c r="V1879">
        <f>IF(C1879,(Skills!G2*N1879*B1910)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0">
      <c r="A1880">
        <f>Skills!A3</f>
        <v/>
      </c>
      <c r="B1880">
        <f>Skills!B3</f>
        <v/>
      </c>
      <c r="C1880">
        <f>Inputs!$B$3&gt;=50</f>
        <v/>
      </c>
      <c r="D1880">
        <f>IF(Skills!C3=1,60+Inputs!$B$25+Inputs!$B$29,IF(Skills!C3=2,90+Inputs!$B$26+Inputs!$B$29,IF(Skills!C3=3,120+Inputs!$B$27+Inputs!$B$29,MAX(0,(Inputs!$B$3-100)*3)+Inputs!$B$28+Inputs!$B$29)))</f>
        <v/>
      </c>
      <c r="E1880">
        <f>INDEX(FactorTable!$B$2:$Y$301, MATCH(ROUND(MIN(300,MAX(1,D1880)),0), FactorTable!$A$2:$A$301,0), Skills!M3+1)</f>
        <v/>
      </c>
      <c r="F1880">
        <f>IF(Skills!N3=TRUE,(Skills!L3/10)*(E1880/1000),Skills!L3/10)+Skills!O3</f>
        <v/>
      </c>
      <c r="G1880" t="inlineStr"/>
      <c r="H1880" t="inlineStr"/>
      <c r="I1880" t="inlineStr">
        <is>
          <t>1</t>
        </is>
      </c>
      <c r="J1880" t="inlineStr"/>
      <c r="K1880" t="inlineStr"/>
      <c r="L1880" t="inlineStr"/>
      <c r="M1880" t="inlineStr"/>
      <c r="N1880" t="inlineStr"/>
      <c r="O1880" t="inlineStr"/>
      <c r="P1880" t="inlineStr"/>
      <c r="Q1880" t="inlineStr"/>
      <c r="R1880" t="inlineStr"/>
      <c r="S1880" t="inlineStr"/>
      <c r="U1880">
        <f>INDEX(FactorTable!$B$2:$Y$301, MATCH(ROUND(MIN(300,MAX(1,U1879)),0), FactorTable!$A$2:$A$301,0), 22)</f>
        <v/>
      </c>
    </row>
    <row r="1881">
      <c r="A1881">
        <f>Skills!A4</f>
        <v/>
      </c>
      <c r="B1881">
        <f>Skills!B4</f>
        <v/>
      </c>
      <c r="C1881">
        <f>Inputs!$B$3&gt;=105</f>
        <v/>
      </c>
      <c r="D1881">
        <f>IF(Skills!C4=1,60+Inputs!$B$25+Inputs!$B$29,IF(Skills!C4=2,90+Inputs!$B$26+Inputs!$B$29,IF(Skills!C4=3,120+Inputs!$B$27+Inputs!$B$29,MAX(0,(Inputs!$B$3-100)*3)+Inputs!$B$28+Inputs!$B$29)))</f>
        <v/>
      </c>
      <c r="E1881">
        <f>INDEX(FactorTable!$B$2:$Y$301, MATCH(ROUND(MIN(300,MAX(1,D1881)),0), FactorTable!$A$2:$A$301,0), Skills!M4+1)</f>
        <v/>
      </c>
      <c r="F1881">
        <f>IF(Skills!N4=TRUE,(Skills!L4/10)*(E1881/1000),Skills!L4/10)+Skills!O4</f>
        <v/>
      </c>
      <c r="G1881" t="inlineStr"/>
      <c r="H1881" t="inlineStr"/>
      <c r="I1881" t="inlineStr">
        <is>
          <t>1</t>
        </is>
      </c>
      <c r="J1881" t="inlineStr"/>
      <c r="K1881" t="inlineStr"/>
      <c r="L1881" t="inlineStr"/>
      <c r="M1881" t="inlineStr"/>
      <c r="N1881" t="inlineStr"/>
      <c r="O1881" t="inlineStr"/>
      <c r="P1881" t="inlineStr"/>
      <c r="Q1881" t="inlineStr"/>
      <c r="R1881" t="inlineStr"/>
      <c r="S1881" t="inlineStr"/>
      <c r="U1881">
        <f>290*U1880/1000</f>
        <v/>
      </c>
    </row>
    <row r="1882">
      <c r="A1882">
        <f>Skills!A5</f>
        <v/>
      </c>
      <c r="B1882">
        <f>Skills!B5</f>
        <v/>
      </c>
      <c r="C1882">
        <f>Inputs!$B$3&gt;=103</f>
        <v/>
      </c>
      <c r="D1882">
        <f>IF(Skills!C5=1,60+Inputs!$B$25+Inputs!$B$29,IF(Skills!C5=2,90+Inputs!$B$26+Inputs!$B$29,IF(Skills!C5=3,120+Inputs!$B$27+Inputs!$B$29,MAX(0,(Inputs!$B$3-100)*3)+Inputs!$B$28+Inputs!$B$29)))</f>
        <v/>
      </c>
      <c r="E1882">
        <f>INDEX(FactorTable!$B$2:$Y$301, MATCH(ROUND(MIN(300,MAX(1,D1882)),0), FactorTable!$A$2:$A$301,0), Skills!M5+1)</f>
        <v/>
      </c>
      <c r="F1882">
        <f>IF(Skills!N5=TRUE,(Skills!L5/10)*(E1882/1000),Skills!L5/10)+Skills!O5</f>
        <v/>
      </c>
      <c r="G1882">
        <f>Skills!G5*IF(Skills!H5&gt;0,Skills!I5/Skills!H5,1)</f>
        <v/>
      </c>
      <c r="H1882">
        <f>1-(1-Skills!J5/100)^Skills!K5</f>
        <v/>
      </c>
      <c r="I1882" t="inlineStr">
        <is>
          <t>1</t>
        </is>
      </c>
      <c r="J1882">
        <f>((Inputs!$B$6*(1+Inputs!$B$7/100))+(((Inputs!$B$12*(1+Inputs!$B$13/100))-(Inputs!$B$12*(1+Inputs!$B$13/100)))+0.25*(Inputs!$B$14-Inputs!$B$14))*(1+Inputs!$B$7/100))*(F1882/100)</f>
        <v/>
      </c>
      <c r="K1882">
        <f>J1882*(1+((Inputs!$B$12*(1+Inputs!$B$13/100))*0.01+Inputs!$B$14*0.0025)/100)*(1+Inputs!$B$15/100)*(1+Inputs!$B$16/100)*(5000/(6000+Inputs!$B$42*(1-(100*(1-(1-(Inputs!$B$19+0)/100)*(1-CHOOSE(ArtifactsInput!$N$40+1,5,6,7,8,9,10)/100)^(ArtifactsInput!$M$40-ArtifactsInput!$M$40)))/100)))*(1+(Inputs!$B$24+((C1902=TRUE)*(F1902-Calc!F25))+B1912)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1898=TRUE)*(F1898-Calc!F21))+(((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C1900=TRUE)*(F1900-Calc!F23))+(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(1+(((C1890=TRUE)*F1890*IF(Inputs!$B$3&gt;=110,7,5))+((C1892=TRUE)*F1892*IF(AND(Inputs!$B$38&lt;&gt;"pvp",Inputs!$B$43&gt;0),(((R1892-1)*(Skills!T15*(1+(Inputs!$B$34+(ArtifactsInput!$M$7-ArtifactsInput!$M$7)*CHOOSE(ArtifactsInput!$N$7+1,6,7.2,8.4,9.6,10.8,12))/100))+MIN((Skills!T15*(1+(Inputs!$B$34+(ArtifactsInput!$M$7-ArtifactsInput!$M$7)*CHOOSE(ArtifactsInput!$N$7+1,6,7.2,8.4,9.6,10.8,12))/100)),MAX(0,Inputs!$B$43-((R1892-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I1882)</f>
        <v/>
      </c>
      <c r="L1882">
        <f>K1882*(MIN(Inputs!$B$22+((C1899=TRUE)*(F1899-Calc!F22)),(Inputs!$B$23+((C1901=TRUE)*(F1901-Calc!F24))+(IF(ArtifactsInput!$M$15,CHOOSE(ArtifactsInput!$N$15+1,25,30,35,40,45,50)/100*(Inputs!$B$11-Inputs!$B$11),0))))/100+(Inputs!$B$23+((C1901=TRUE)*(F1901-Calc!F24))+(IF(ArtifactsInput!$M$15,CHOOSE(ArtifactsInput!$N$15+1,25,30,35,40,45,50)/100*(Inputs!$B$11-Inputs!$B$11),0)))/100)/2</f>
        <v/>
      </c>
      <c r="M1882">
        <f>L1882*(1+(Inputs!$B$10+0+B1911+((IF(IF(ArtifactsInput!$M$24,FALSE,TRUE),1,-1)*CHOOSE(ArtifactsInput!$N$24+1,30,36,42,48,54,60)/100*IF(IF(ArtifactsInput!$M$24,FALSE,TRUE),(Inputs!$B$9+((C1903=TRUE)*(F1903-Calc!F26)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82">
        <f>L1882*(1-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1882*(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2">
        <f>(1-Summary!$B$11)*T1882+Summary!$B$11*V1882</f>
        <v/>
      </c>
      <c r="P1882">
        <f>IF(B1916=0,0,O1882/B1916)</f>
        <v/>
      </c>
      <c r="Q1882">
        <f>IFERROR(1/(IF(Inputs!$B$38="pvp",15,MAX(0.1,Skills!D5-IF(Skills!E5=TRUE,Inputs!$B$32,0)))*(1-IF(AND(ArtifactsInput!$M$27,Inputs!$B$4="Chapter Hunt"),CHOOSE(ArtifactsInput!$N$27+1,20,24,28,32,36,40),0)/100)),0)</f>
        <v/>
      </c>
      <c r="R1882">
        <f>IF(AND(Inputs!$B$38&lt;&gt;"pvp",Inputs!$B$43&gt;0),IF(MAX(0,Inputs!$B$43-B1913)&lt;=0,0,(INT(MAX(0,Inputs!$B$43-B1913)/(IF(Inputs!$B$38="pvp",15,MAX(0.1,Skills!D5-IF(Skills!E5=TRUE,Inputs!$B$32,0)))*(1-IF(AND(ArtifactsInput!$M$27,Inputs!$B$4="Chapter Hunt"),CHOOSE(ArtifactsInput!$N$27+1,20,24,28,32,36,40),0)/100)))+1)),0)</f>
        <v/>
      </c>
      <c r="S1882">
        <f>IFERROR(O1882/N1882,0)</f>
        <v/>
      </c>
      <c r="T1882">
        <f>IF(C1882,(H1882*N1882*IF(AND(Inputs!$B$38&lt;&gt;"pvp",Inputs!$B$43&gt;0),((Skills!G5*((R1882-1)*IF(Skills!H5&gt;0,Skills!I5/Skills!H5,1)+IF(Skills!H5&gt;0,MIN(Skills!I5,MAX(0,MAX(0,Inputs!$B$43-B1913)-((R1882-1)*(IF(Inputs!$B$38="pvp",15,MAX(0.1,Skills!D5-IF(Skills!E5=TRUE,Inputs!$B$32,0)))*(1-IF(AND(ArtifactsInput!$M$27,Inputs!$B$4="Chapter Hunt"),CHOOSE(ArtifactsInput!$N$27+1,20,24,28,32,36,40),0)/100)))))/Skills!H5,1)))/Inputs!$B$43),G1882*Q1882)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1882*(1-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1882*(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1882*(1-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1882*(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2">
        <f>IF(C1882,(H1882*N1882*IF(AND(Inputs!$B$38&lt;&gt;"pvp",Inputs!$B$43&gt;0),((Skills!G5*((R1882-1)*IF(Skills!H5&gt;0,Skills!I5/Skills!H5,1)+IF(Skills!H5&gt;0,MIN(Skills!I5,MAX(0,MAX(0,Inputs!$B$43-B1913)-((R1882-1)*(IF(Inputs!$B$38="pvp",15,MAX(0.1,Skills!D5-IF(Skills!E5=TRUE,Inputs!$B$32,0)))*(1-IF(AND(ArtifactsInput!$M$27,Inputs!$B$4="Chapter Hunt"),CHOOSE(ArtifactsInput!$N$27+1,20,24,28,32,36,40),0)/100)))))/Skills!H5,1)))/Inputs!$B$43),G1882*Q1882)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3">
      <c r="A1883">
        <f>Skills!A6</f>
        <v/>
      </c>
      <c r="B1883">
        <f>Skills!B6</f>
        <v/>
      </c>
      <c r="C1883">
        <f>Inputs!$B$3&gt;=103</f>
        <v/>
      </c>
      <c r="D1883">
        <f>IF(Skills!C6=1,60+Inputs!$B$25+Inputs!$B$29,IF(Skills!C6=2,90+Inputs!$B$26+Inputs!$B$29,IF(Skills!C6=3,120+Inputs!$B$27+Inputs!$B$29,MAX(0,(Inputs!$B$3-100)*3)+Inputs!$B$28+Inputs!$B$29)))</f>
        <v/>
      </c>
      <c r="E1883">
        <f>INDEX(FactorTable!$B$2:$Y$301, MATCH(ROUND(MIN(300,MAX(1,D1883)),0), FactorTable!$A$2:$A$301,0), Skills!M6+1)</f>
        <v/>
      </c>
      <c r="F1883">
        <f>IF(Skills!N6=TRUE,(Skills!L6/10)*(E1883/1000),Skills!L6/10)+Skills!O6</f>
        <v/>
      </c>
      <c r="G1883">
        <f>Skills!G6*IF(Skills!H6&gt;0,Skills!I6/Skills!H6,1)</f>
        <v/>
      </c>
      <c r="H1883">
        <f>1-(1-Skills!J6/100)^Skills!K6</f>
        <v/>
      </c>
      <c r="I1883" t="inlineStr">
        <is>
          <t>1</t>
        </is>
      </c>
      <c r="J1883">
        <f>((Inputs!$B$6*(1+Inputs!$B$7/100))+(((Inputs!$B$12*(1+Inputs!$B$13/100))-(Inputs!$B$12*(1+Inputs!$B$13/100)))+0.25*(Inputs!$B$14-Inputs!$B$14))*(1+Inputs!$B$7/100))*(F1883/100)</f>
        <v/>
      </c>
      <c r="K1883">
        <f>J1883*(1+((Inputs!$B$12*(1+Inputs!$B$13/100))*0.01+Inputs!$B$14*0.0025)/100)*(1+Inputs!$B$15/100)*(1+Inputs!$B$16/100)*(5000/(6000+Inputs!$B$42*(1-(100*(1-(1-(Inputs!$B$19+0)/100)*(1-CHOOSE(ArtifactsInput!$N$40+1,5,6,7,8,9,10)/100)^(ArtifactsInput!$M$40-ArtifactsInput!$M$40)))/100)))*(1+(Inputs!$B$24+((C1902=TRUE)*(F1902-Calc!F25))+B1912)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1898=TRUE)*(F1898-Calc!F21))+(((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C1900=TRUE)*(F1900-Calc!F23))+(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(1+(((C1890=TRUE)*F1890*IF(Inputs!$B$3&gt;=110,7,5))+((C1892=TRUE)*F1892*IF(AND(Inputs!$B$38&lt;&gt;"pvp",Inputs!$B$43&gt;0),(((R1892-1)*(Skills!T15*(1+(Inputs!$B$34+(ArtifactsInput!$M$7-ArtifactsInput!$M$7)*CHOOSE(ArtifactsInput!$N$7+1,6,7.2,8.4,9.6,10.8,12))/100))+MIN((Skills!T15*(1+(Inputs!$B$34+(ArtifactsInput!$M$7-ArtifactsInput!$M$7)*CHOOSE(ArtifactsInput!$N$7+1,6,7.2,8.4,9.6,10.8,12))/100)),MAX(0,Inputs!$B$43-((R1892-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I1883)</f>
        <v/>
      </c>
      <c r="L1883">
        <f>K1883*(MIN(Inputs!$B$22+((C1899=TRUE)*(F1899-Calc!F22)),(Inputs!$B$23+((C1901=TRUE)*(F1901-Calc!F24))+(IF(ArtifactsInput!$M$15,CHOOSE(ArtifactsInput!$N$15+1,25,30,35,40,45,50)/100*(Inputs!$B$11-Inputs!$B$11),0))))/100+(Inputs!$B$23+((C1901=TRUE)*(F1901-Calc!F24))+(IF(ArtifactsInput!$M$15,CHOOSE(ArtifactsInput!$N$15+1,25,30,35,40,45,50)/100*(Inputs!$B$11-Inputs!$B$11),0)))/100)/2</f>
        <v/>
      </c>
      <c r="M1883">
        <f>L1883*(1+(Inputs!$B$10+0+B1911+((IF(IF(ArtifactsInput!$M$24,FALSE,TRUE),1,-1)*CHOOSE(ArtifactsInput!$N$24+1,30,36,42,48,54,60)/100*IF(IF(ArtifactsInput!$M$24,FALSE,TRUE),(Inputs!$B$9+((C1903=TRUE)*(F1903-Calc!F26)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83">
        <f>L1883*(1-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1883*(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3">
        <f>(1-Summary!$B$11)*T1883+Summary!$B$11*V1883</f>
        <v/>
      </c>
      <c r="P1883">
        <f>IF(B1916=0,0,O1883/B1916)</f>
        <v/>
      </c>
      <c r="Q1883">
        <f>IFERROR(1/(IF(Inputs!$B$38="pvp",15,MAX(0.1,Skills!D6-IF(Skills!E6=TRUE,Inputs!$B$32,0)))*(1-IF(AND(ArtifactsInput!$M$27,Inputs!$B$4="Chapter Hunt"),CHOOSE(ArtifactsInput!$N$27+1,20,24,28,32,36,40),0)/100)),0)</f>
        <v/>
      </c>
      <c r="R1883">
        <f>IF(AND(Inputs!$B$38&lt;&gt;"pvp",Inputs!$B$43&gt;0),IF(MAX(0,Inputs!$B$43-B1913)&lt;=0,0,(INT(MAX(0,Inputs!$B$43-B1913)/(IF(Inputs!$B$38="pvp",15,MAX(0.1,Skills!D6-IF(Skills!E6=TRUE,Inputs!$B$32,0)))*(1-IF(AND(ArtifactsInput!$M$27,Inputs!$B$4="Chapter Hunt"),CHOOSE(ArtifactsInput!$N$27+1,20,24,28,32,36,40),0)/100)))+1)),0)</f>
        <v/>
      </c>
      <c r="S1883">
        <f>IFERROR(O1883/N1883,0)</f>
        <v/>
      </c>
      <c r="T1883">
        <f>IF(C1883,(H1883*N1883*IF(AND(Inputs!$B$38&lt;&gt;"pvp",Inputs!$B$43&gt;0),((Skills!G6*((R1883-1)*IF(Skills!H6&gt;0,Skills!I6/Skills!H6,1)+IF(Skills!H6&gt;0,MIN(Skills!I6,MAX(0,MAX(0,Inputs!$B$43-B1913)-((R1883-1)*(IF(Inputs!$B$38="pvp",15,MAX(0.1,Skills!D6-IF(Skills!E6=TRUE,Inputs!$B$32,0)))*(1-IF(AND(ArtifactsInput!$M$27,Inputs!$B$4="Chapter Hunt"),CHOOSE(ArtifactsInput!$N$27+1,20,24,28,32,36,40),0)/100)))))/Skills!H6,1)))/Inputs!$B$43),G1883*Q1883)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1883*(1-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1883*(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1883*(1-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1883*(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3">
        <f>IF(C1883,(H1883*N1883*IF(AND(Inputs!$B$38&lt;&gt;"pvp",Inputs!$B$43&gt;0),((Skills!G6*((R1883-1)*IF(Skills!H6&gt;0,Skills!I6/Skills!H6,1)+IF(Skills!H6&gt;0,MIN(Skills!I6,MAX(0,MAX(0,Inputs!$B$43-B1913)-((R1883-1)*(IF(Inputs!$B$38="pvp",15,MAX(0.1,Skills!D6-IF(Skills!E6=TRUE,Inputs!$B$32,0)))*(1-IF(AND(ArtifactsInput!$M$27,Inputs!$B$4="Chapter Hunt"),CHOOSE(ArtifactsInput!$N$27+1,20,24,28,32,36,40),0)/100)))))/Skills!H6,1)))/Inputs!$B$43),G1883*Q1883)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4">
      <c r="A1884">
        <f>Skills!A7</f>
        <v/>
      </c>
      <c r="B1884">
        <f>Skills!B7</f>
        <v/>
      </c>
      <c r="C1884">
        <f>Inputs!$B$3&gt;=107</f>
        <v/>
      </c>
      <c r="D1884">
        <f>IF(Skills!C7=1,60+Inputs!$B$25+Inputs!$B$29,IF(Skills!C7=2,90+Inputs!$B$26+Inputs!$B$29,IF(Skills!C7=3,120+Inputs!$B$27+Inputs!$B$29,MAX(0,(Inputs!$B$3-100)*3)+Inputs!$B$28+Inputs!$B$29)))</f>
        <v/>
      </c>
      <c r="E1884">
        <f>INDEX(FactorTable!$B$2:$Y$301, MATCH(ROUND(MIN(300,MAX(1,D1884)),0), FactorTable!$A$2:$A$301,0), Skills!M7+1)</f>
        <v/>
      </c>
      <c r="F1884">
        <f>IF(Skills!N7=TRUE,(Skills!L7/10)*(E1884/1000),Skills!L7/10)+Skills!O7</f>
        <v/>
      </c>
      <c r="G1884">
        <f>Skills!G7*IF(Skills!H7&gt;0,Skills!I7/Skills!H7,1)</f>
        <v/>
      </c>
      <c r="H1884">
        <f>1-(1-Skills!J7/100)^Skills!K7</f>
        <v/>
      </c>
      <c r="I1884" t="inlineStr">
        <is>
          <t>1</t>
        </is>
      </c>
      <c r="J1884">
        <f>((Inputs!$B$6*(1+Inputs!$B$7/100))+(((Inputs!$B$12*(1+Inputs!$B$13/100))-(Inputs!$B$12*(1+Inputs!$B$13/100)))+0.25*(Inputs!$B$14-Inputs!$B$14))*(1+Inputs!$B$7/100))*(F1884/100)</f>
        <v/>
      </c>
      <c r="K1884">
        <f>J1884*(1+((Inputs!$B$12*(1+Inputs!$B$13/100))*0.01+Inputs!$B$14*0.0025)/100)*(1+Inputs!$B$15/100)*(1+Inputs!$B$16/100)*(5000/(6000+Inputs!$B$42*(1-(100*(1-(1-(Inputs!$B$19+0)/100)*(1-CHOOSE(ArtifactsInput!$N$40+1,5,6,7,8,9,10)/100)^(ArtifactsInput!$M$40-ArtifactsInput!$M$40)))/100)))*(1+(Inputs!$B$24+((C1902=TRUE)*(F1902-Calc!F25))+B1912)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1898=TRUE)*(F1898-Calc!F21))+(((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C1900=TRUE)*(F1900-Calc!F23))+(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(1+(((C1890=TRUE)*F1890*IF(Inputs!$B$3&gt;=110,7,5))+((C1892=TRUE)*F1892*IF(AND(Inputs!$B$38&lt;&gt;"pvp",Inputs!$B$43&gt;0),(((R1892-1)*(Skills!T15*(1+(Inputs!$B$34+(ArtifactsInput!$M$7-ArtifactsInput!$M$7)*CHOOSE(ArtifactsInput!$N$7+1,6,7.2,8.4,9.6,10.8,12))/100))+MIN((Skills!T15*(1+(Inputs!$B$34+(ArtifactsInput!$M$7-ArtifactsInput!$M$7)*CHOOSE(ArtifactsInput!$N$7+1,6,7.2,8.4,9.6,10.8,12))/100)),MAX(0,Inputs!$B$43-((R1892-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I1884)</f>
        <v/>
      </c>
      <c r="L1884">
        <f>K1884*(MIN(Inputs!$B$22+((C1899=TRUE)*(F1899-Calc!F22)),(Inputs!$B$23+((C1901=TRUE)*(F1901-Calc!F24))+(IF(ArtifactsInput!$M$15,CHOOSE(ArtifactsInput!$N$15+1,25,30,35,40,45,50)/100*(Inputs!$B$11-Inputs!$B$11),0))))/100+(Inputs!$B$23+((C1901=TRUE)*(F1901-Calc!F24))+(IF(ArtifactsInput!$M$15,CHOOSE(ArtifactsInput!$N$15+1,25,30,35,40,45,50)/100*(Inputs!$B$11-Inputs!$B$11),0)))/100)/2</f>
        <v/>
      </c>
      <c r="M1884">
        <f>L1884*(1+(Inputs!$B$10+0+B1911+((IF(IF(ArtifactsInput!$M$24,FALSE,TRUE),1,-1)*CHOOSE(ArtifactsInput!$N$24+1,30,36,42,48,54,60)/100*IF(IF(ArtifactsInput!$M$24,FALSE,TRUE),(Inputs!$B$9+((C1903=TRUE)*(F1903-Calc!F26)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84">
        <f>L1884*(1-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1884*(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4">
        <f>(1-Summary!$B$11)*T1884+Summary!$B$11*V1884</f>
        <v/>
      </c>
      <c r="P1884">
        <f>IF(B1916=0,0,O1884/B1916)</f>
        <v/>
      </c>
      <c r="Q1884">
        <f>IFERROR(1/(IF(Inputs!$B$38="pvp",15,MAX(0.1,Skills!D7-IF(Skills!E7=TRUE,Inputs!$B$32,0)))*(1-IF(AND(ArtifactsInput!$M$27,Inputs!$B$4="Chapter Hunt"),CHOOSE(ArtifactsInput!$N$27+1,20,24,28,32,36,40),0)/100)),0)</f>
        <v/>
      </c>
      <c r="R1884">
        <f>IF(AND(Inputs!$B$38&lt;&gt;"pvp",Inputs!$B$43&gt;0),IF(MAX(0,Inputs!$B$43-B1913)&lt;=0,0,(INT(MAX(0,Inputs!$B$43-B1913)/(IF(Inputs!$B$38="pvp",15,MAX(0.1,Skills!D7-IF(Skills!E7=TRUE,Inputs!$B$32,0)))*(1-IF(AND(ArtifactsInput!$M$27,Inputs!$B$4="Chapter Hunt"),CHOOSE(ArtifactsInput!$N$27+1,20,24,28,32,36,40),0)/100)))+1)),0)</f>
        <v/>
      </c>
      <c r="S1884">
        <f>IFERROR(O1884/N1884,0)</f>
        <v/>
      </c>
      <c r="T1884">
        <f>IF(C1884,(H1884*N1884*IF(AND(Inputs!$B$38&lt;&gt;"pvp",Inputs!$B$43&gt;0),((Skills!G7*((R1884-1)*IF(Skills!H7&gt;0,Skills!I7/Skills!H7,1)+IF(Skills!H7&gt;0,MIN(Skills!I7,MAX(0,MAX(0,Inputs!$B$43-B1913)-((R1884-1)*(IF(Inputs!$B$38="pvp",15,MAX(0.1,Skills!D7-IF(Skills!E7=TRUE,Inputs!$B$32,0)))*(1-IF(AND(ArtifactsInput!$M$27,Inputs!$B$4="Chapter Hunt"),CHOOSE(ArtifactsInput!$N$27+1,20,24,28,32,36,40),0)/100)))))/Skills!H7,1)))/Inputs!$B$43),G1884*Q1884)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1884*(1-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1884*(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1884*(1-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1884*(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4">
        <f>IF(C1884,(H1884*N1884*IF(AND(Inputs!$B$38&lt;&gt;"pvp",Inputs!$B$43&gt;0),((Skills!G7*((R1884-1)*IF(Skills!H7&gt;0,Skills!I7/Skills!H7,1)+IF(Skills!H7&gt;0,MIN(Skills!I7,MAX(0,MAX(0,Inputs!$B$43-B1913)-((R1884-1)*(IF(Inputs!$B$38="pvp",15,MAX(0.1,Skills!D7-IF(Skills!E7=TRUE,Inputs!$B$32,0)))*(1-IF(AND(ArtifactsInput!$M$27,Inputs!$B$4="Chapter Hunt"),CHOOSE(ArtifactsInput!$N$27+1,20,24,28,32,36,40),0)/100)))))/Skills!H7,1)))/Inputs!$B$43),G1884*Q1884)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5">
      <c r="A1885">
        <f>Skills!A8</f>
        <v/>
      </c>
      <c r="B1885">
        <f>Skills!B8</f>
        <v/>
      </c>
      <c r="C1885">
        <f>Inputs!$B$3&gt;=117</f>
        <v/>
      </c>
      <c r="D1885">
        <f>IF(Skills!C8=1,60+Inputs!$B$25+Inputs!$B$29,IF(Skills!C8=2,90+Inputs!$B$26+Inputs!$B$29,IF(Skills!C8=3,120+Inputs!$B$27+Inputs!$B$29,MAX(0,(Inputs!$B$3-100)*3)+Inputs!$B$28+Inputs!$B$29)))</f>
        <v/>
      </c>
      <c r="E1885">
        <f>INDEX(FactorTable!$B$2:$Y$301, MATCH(ROUND(MIN(300,MAX(1,D1885)),0), FactorTable!$A$2:$A$301,0), Skills!M8+1)</f>
        <v/>
      </c>
      <c r="F1885">
        <f>IF(Skills!N8=TRUE,(Skills!L8/10)*(E1885/1000),Skills!L8/10)+Skills!O8</f>
        <v/>
      </c>
      <c r="G1885">
        <f>Skills!G8*IF(Skills!H8&gt;0,Skills!I8/Skills!H8,1)</f>
        <v/>
      </c>
      <c r="H1885">
        <f>1-(1-Skills!J8/100)^Skills!K8</f>
        <v/>
      </c>
      <c r="I1885" t="inlineStr">
        <is>
          <t>1</t>
        </is>
      </c>
      <c r="J1885">
        <f>((Inputs!$B$6*(1+Inputs!$B$7/100))+(((Inputs!$B$12*(1+Inputs!$B$13/100))-(Inputs!$B$12*(1+Inputs!$B$13/100)))+0.25*(Inputs!$B$14-Inputs!$B$14))*(1+Inputs!$B$7/100))*(F1885/100)</f>
        <v/>
      </c>
      <c r="K1885">
        <f>J1885*(1+((Inputs!$B$12*(1+Inputs!$B$13/100))*0.01+Inputs!$B$14*0.0025)/100)*(1+Inputs!$B$15/100)*(1+Inputs!$B$16/100)*(5000/(6000+Inputs!$B$42*(1-(100*(1-(1-(Inputs!$B$19+0)/100)*(1-CHOOSE(ArtifactsInput!$N$40+1,5,6,7,8,9,10)/100)^(ArtifactsInput!$M$40-ArtifactsInput!$M$40)))/100)))*(1+(Inputs!$B$24+((C1902=TRUE)*(F1902-Calc!F25))+B1912)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1898=TRUE)*(F1898-Calc!F21))+(((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C1900=TRUE)*(F1900-Calc!F23))+(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(1+(((C1890=TRUE)*F1890*IF(Inputs!$B$3&gt;=110,7,5))+((C1892=TRUE)*F1892*IF(AND(Inputs!$B$38&lt;&gt;"pvp",Inputs!$B$43&gt;0),(((R1892-1)*(Skills!T15*(1+(Inputs!$B$34+(ArtifactsInput!$M$7-ArtifactsInput!$M$7)*CHOOSE(ArtifactsInput!$N$7+1,6,7.2,8.4,9.6,10.8,12))/100))+MIN((Skills!T15*(1+(Inputs!$B$34+(ArtifactsInput!$M$7-ArtifactsInput!$M$7)*CHOOSE(ArtifactsInput!$N$7+1,6,7.2,8.4,9.6,10.8,12))/100)),MAX(0,Inputs!$B$43-((R1892-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I1885)</f>
        <v/>
      </c>
      <c r="L1885">
        <f>K1885*(MIN(Inputs!$B$22+((C1899=TRUE)*(F1899-Calc!F22)),(Inputs!$B$23+((C1901=TRUE)*(F1901-Calc!F24))+(IF(ArtifactsInput!$M$15,CHOOSE(ArtifactsInput!$N$15+1,25,30,35,40,45,50)/100*(Inputs!$B$11-Inputs!$B$11),0))))/100+(Inputs!$B$23+((C1901=TRUE)*(F1901-Calc!F24))+(IF(ArtifactsInput!$M$15,CHOOSE(ArtifactsInput!$N$15+1,25,30,35,40,45,50)/100*(Inputs!$B$11-Inputs!$B$11),0)))/100)/2</f>
        <v/>
      </c>
      <c r="M1885">
        <f>L1885*(1+(Inputs!$B$10+0+B1911+((IF(IF(ArtifactsInput!$M$24,FALSE,TRUE),1,-1)*CHOOSE(ArtifactsInput!$N$24+1,30,36,42,48,54,60)/100*IF(IF(ArtifactsInput!$M$24,FALSE,TRUE),(Inputs!$B$9+((C1903=TRUE)*(F1903-Calc!F26)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85">
        <f>L1885*(1-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1885*(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5">
        <f>(1-Summary!$B$11)*T1885+Summary!$B$11*V1885</f>
        <v/>
      </c>
      <c r="P1885">
        <f>IF(B1916=0,0,O1885/B1916)</f>
        <v/>
      </c>
      <c r="Q1885">
        <f>IFERROR(1/(IF(Inputs!$B$38="pvp",15,MAX(0.1,Skills!D8-IF(Skills!E8=TRUE,Inputs!$B$32,0)))*(1-IF(AND(ArtifactsInput!$M$27,Inputs!$B$4="Chapter Hunt"),CHOOSE(ArtifactsInput!$N$27+1,20,24,28,32,36,40),0)/100)),0)</f>
        <v/>
      </c>
      <c r="R1885">
        <f>IF(AND(Inputs!$B$38&lt;&gt;"pvp",Inputs!$B$43&gt;0),IF(MAX(0,Inputs!$B$43-B1913)&lt;=0,0,(INT(MAX(0,Inputs!$B$43-B1913)/(IF(Inputs!$B$38="pvp",15,MAX(0.1,Skills!D8-IF(Skills!E8=TRUE,Inputs!$B$32,0)))*(1-IF(AND(ArtifactsInput!$M$27,Inputs!$B$4="Chapter Hunt"),CHOOSE(ArtifactsInput!$N$27+1,20,24,28,32,36,40),0)/100)))+1)),0)</f>
        <v/>
      </c>
      <c r="S1885">
        <f>IFERROR(O1885/N1885,0)</f>
        <v/>
      </c>
      <c r="T1885">
        <f>IF(C1885,(H1885*N1885*IF(AND(Inputs!$B$38&lt;&gt;"pvp",Inputs!$B$43&gt;0),((Skills!G8*((R1885-1)*IF(Skills!H8&gt;0,Skills!I8/Skills!H8,1)+IF(Skills!H8&gt;0,MIN(Skills!I8,MAX(0,MAX(0,Inputs!$B$43-B1913)-((R1885-1)*(IF(Inputs!$B$38="pvp",15,MAX(0.1,Skills!D8-IF(Skills!E8=TRUE,Inputs!$B$32,0)))*(1-IF(AND(ArtifactsInput!$M$27,Inputs!$B$4="Chapter Hunt"),CHOOSE(ArtifactsInput!$N$27+1,20,24,28,32,36,40),0)/100)))))/Skills!H8,1)))/Inputs!$B$43),G1885*Q1885)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1885*(1-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1885*(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1885*(1-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1885*(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5">
        <f>IF(C1885,(H1885*N1885*IF(AND(Inputs!$B$38&lt;&gt;"pvp",Inputs!$B$43&gt;0),((Skills!G8*((R1885-1)*IF(Skills!H8&gt;0,Skills!I8/Skills!H8,1)+IF(Skills!H8&gt;0,MIN(Skills!I8,MAX(0,MAX(0,Inputs!$B$43-B1913)-((R1885-1)*(IF(Inputs!$B$38="pvp",15,MAX(0.1,Skills!D8-IF(Skills!E8=TRUE,Inputs!$B$32,0)))*(1-IF(AND(ArtifactsInput!$M$27,Inputs!$B$4="Chapter Hunt"),CHOOSE(ArtifactsInput!$N$27+1,20,24,28,32,36,40),0)/100)))))/Skills!H8,1)))/Inputs!$B$43),G1885*Q1885)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6">
      <c r="A1886">
        <f>Skills!A9</f>
        <v/>
      </c>
      <c r="B1886">
        <f>Skills!B9</f>
        <v/>
      </c>
      <c r="C1886">
        <f>Inputs!$B$3&gt;=69</f>
        <v/>
      </c>
      <c r="D1886">
        <f>IF(Skills!C9=1,60+Inputs!$B$25+Inputs!$B$29,IF(Skills!C9=2,90+Inputs!$B$26+Inputs!$B$29,IF(Skills!C9=3,120+Inputs!$B$27+Inputs!$B$29,MAX(0,(Inputs!$B$3-100)*3)+Inputs!$B$28+Inputs!$B$29)))</f>
        <v/>
      </c>
      <c r="E1886">
        <f>INDEX(FactorTable!$B$2:$Y$301, MATCH(ROUND(MIN(300,MAX(1,D1886)),0), FactorTable!$A$2:$A$301,0), Skills!M9+1)</f>
        <v/>
      </c>
      <c r="F1886">
        <f>IF(Skills!N9=TRUE,(Skills!L9/10)*(E1886/1000),Skills!L9/10)+Skills!O9</f>
        <v/>
      </c>
      <c r="G1886">
        <f>Skills!G9*IF(Skills!H9&gt;0,Skills!I9/Skills!H9,1)</f>
        <v/>
      </c>
      <c r="H1886">
        <f>1-(1-Skills!J9/100)^Skills!K9</f>
        <v/>
      </c>
      <c r="I1886" t="inlineStr">
        <is>
          <t>1</t>
        </is>
      </c>
      <c r="J1886">
        <f>((Inputs!$B$6*(1+Inputs!$B$7/100))+(((Inputs!$B$12*(1+Inputs!$B$13/100))-(Inputs!$B$12*(1+Inputs!$B$13/100)))+0.25*(Inputs!$B$14-Inputs!$B$14))*(1+Inputs!$B$7/100))*(F1886/100)</f>
        <v/>
      </c>
      <c r="K1886">
        <f>J1886*(1+((Inputs!$B$12*(1+Inputs!$B$13/100))*0.01+Inputs!$B$14*0.0025)/100)*(1+Inputs!$B$15/100)*(1+Inputs!$B$16/100)*(5000/(6000+Inputs!$B$42*(1-(100*(1-(1-(Inputs!$B$19+0)/100)*(1-CHOOSE(ArtifactsInput!$N$40+1,5,6,7,8,9,10)/100)^(ArtifactsInput!$M$40-ArtifactsInput!$M$40)))/100)))*(1+(Inputs!$B$24+((C1902=TRUE)*(F1902-Calc!F25))+B1912)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1889=TRUE,F1889,0)/100)*(1+IF(Skills!A9="ENHANCED_RAGING_BLOW",IF(Inputs!$B$3&gt;=134,MAX(0,IF(Inputs!$B$3&gt;=110,7,5)-5)*50,0),0)/100)*(1+(IF(Skills!A9="RAGING_BLOW",Inputs!$B$17+((C1898=TRUE)*(F1898-Calc!F21))+(((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C1900=TRUE)*(F1900-Calc!F23))+(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(1+(((C1890=TRUE)*F1890*IF(Inputs!$B$3&gt;=110,7,5))+((C1892=TRUE)*F1892*IF(AND(Inputs!$B$38&lt;&gt;"pvp",Inputs!$B$43&gt;0),(((R1892-1)*(Skills!T15*(1+(Inputs!$B$34+(ArtifactsInput!$M$7-ArtifactsInput!$M$7)*CHOOSE(ArtifactsInput!$N$7+1,6,7.2,8.4,9.6,10.8,12))/100))+MIN((Skills!T15*(1+(Inputs!$B$34+(ArtifactsInput!$M$7-ArtifactsInput!$M$7)*CHOOSE(ArtifactsInput!$N$7+1,6,7.2,8.4,9.6,10.8,12))/100)),MAX(0,Inputs!$B$43-((R1892-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I1886)</f>
        <v/>
      </c>
      <c r="L1886">
        <f>K1886*(MIN(Inputs!$B$22+((C1899=TRUE)*(F1899-Calc!F22)),(Inputs!$B$23+((C1901=TRUE)*(F1901-Calc!F24))+(IF(ArtifactsInput!$M$15,CHOOSE(ArtifactsInput!$N$15+1,25,30,35,40,45,50)/100*(Inputs!$B$11-Inputs!$B$11),0))))/100+(Inputs!$B$23+((C1901=TRUE)*(F1901-Calc!F24))+(IF(ArtifactsInput!$M$15,CHOOSE(ArtifactsInput!$N$15+1,25,30,35,40,45,50)/100*(Inputs!$B$11-Inputs!$B$11),0)))/100)/2</f>
        <v/>
      </c>
      <c r="M1886">
        <f>L1886*(1+(Inputs!$B$10+0+B1911+((IF(IF(ArtifactsInput!$M$24,FALSE,TRUE),1,-1)*CHOOSE(ArtifactsInput!$N$24+1,30,36,42,48,54,60)/100*IF(IF(ArtifactsInput!$M$24,FALSE,TRUE),(Inputs!$B$9+((C1903=TRUE)*(F1903-Calc!F26)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86">
        <f>L1886*(1-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1886*(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6">
        <f>(1-Summary!$B$11)*T1886+Summary!$B$11*V1886</f>
        <v/>
      </c>
      <c r="P1886">
        <f>IF(B1916=0,0,O1886/B1916)</f>
        <v/>
      </c>
      <c r="Q1886">
        <f>IFERROR(1/(IF(Inputs!$B$38="pvp",15,MAX(0.1,Skills!D9-IF(Skills!E9=TRUE,Inputs!$B$32,0)))*(1-IF(AND(ArtifactsInput!$M$27,Inputs!$B$4="Chapter Hunt"),CHOOSE(ArtifactsInput!$N$27+1,20,24,28,32,36,40),0)/100)),0)</f>
        <v/>
      </c>
      <c r="R1886">
        <f>IF(AND(Inputs!$B$38&lt;&gt;"pvp",Inputs!$B$43&gt;0),IF(MAX(0,Inputs!$B$43-B1913)&lt;=0,0,(INT(MAX(0,Inputs!$B$43-B1913)/(IF(Inputs!$B$38="pvp",15,MAX(0.1,Skills!D9-IF(Skills!E9=TRUE,Inputs!$B$32,0)))*(1-IF(AND(ArtifactsInput!$M$27,Inputs!$B$4="Chapter Hunt"),CHOOSE(ArtifactsInput!$N$27+1,20,24,28,32,36,40),0)/100)))+1)),0)</f>
        <v/>
      </c>
      <c r="S1886">
        <f>IFERROR(O1886/N1886,0)</f>
        <v/>
      </c>
      <c r="T1886">
        <f>IF(C1886,(H1886*N1886*IF(AND(Inputs!$B$38&lt;&gt;"pvp",Inputs!$B$43&gt;0),((Skills!G9*((R1886-1)*IF(Skills!H9&gt;0,Skills!I9/Skills!H9,1)+IF(Skills!H9&gt;0,MIN(Skills!I9,MAX(0,MAX(0,Inputs!$B$43-B1913)-((R1886-1)*(IF(Inputs!$B$38="pvp",15,MAX(0.1,Skills!D9-IF(Skills!E9=TRUE,Inputs!$B$32,0)))*(1-IF(AND(ArtifactsInput!$M$27,Inputs!$B$4="Chapter Hunt"),CHOOSE(ArtifactsInput!$N$27+1,20,24,28,32,36,40),0)/100)))))/Skills!H9,1)))/Inputs!$B$43),G1886*Q1886)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1886*(1-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1886*(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1886*(1-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1886*(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6">
        <f>IF(C1886,(H1886*N1886*IF(AND(Inputs!$B$38&lt;&gt;"pvp",Inputs!$B$43&gt;0),((Skills!G9*((R1886-1)*IF(Skills!H9&gt;0,Skills!I9/Skills!H9,1)+IF(Skills!H9&gt;0,MIN(Skills!I9,MAX(0,MAX(0,Inputs!$B$43-B1913)-((R1886-1)*(IF(Inputs!$B$38="pvp",15,MAX(0.1,Skills!D9-IF(Skills!E9=TRUE,Inputs!$B$32,0)))*(1-IF(AND(ArtifactsInput!$M$27,Inputs!$B$4="Chapter Hunt"),CHOOSE(ArtifactsInput!$N$27+1,20,24,28,32,36,40),0)/100)))))/Skills!H9,1)))/Inputs!$B$43),G1886*Q1886)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7">
      <c r="A1887">
        <f>Skills!A10</f>
        <v/>
      </c>
      <c r="B1887">
        <f>Skills!B10</f>
        <v/>
      </c>
      <c r="C1887">
        <f>Inputs!$B$3&gt;=63</f>
        <v/>
      </c>
      <c r="D1887">
        <f>IF(Skills!C10=1,60+Inputs!$B$25+Inputs!$B$29,IF(Skills!C10=2,90+Inputs!$B$26+Inputs!$B$29,IF(Skills!C10=3,120+Inputs!$B$27+Inputs!$B$29,MAX(0,(Inputs!$B$3-100)*3)+Inputs!$B$28+Inputs!$B$29)))</f>
        <v/>
      </c>
      <c r="E1887">
        <f>INDEX(FactorTable!$B$2:$Y$301, MATCH(ROUND(MIN(300,MAX(1,D1887)),0), FactorTable!$A$2:$A$301,0), Skills!M10+1)</f>
        <v/>
      </c>
      <c r="F1887">
        <f>IF(Skills!N10=TRUE,(Skills!L10/10)*(E1887/1000),Skills!L10/10)+Skills!O10</f>
        <v/>
      </c>
      <c r="G1887">
        <f>Skills!G10*IF(Skills!H10&gt;0,Skills!I10/Skills!H10,1)</f>
        <v/>
      </c>
      <c r="H1887">
        <f>1-(1-Skills!J10/100)^Skills!K10</f>
        <v/>
      </c>
      <c r="I1887" t="inlineStr">
        <is>
          <t>1</t>
        </is>
      </c>
      <c r="J1887">
        <f>((Inputs!$B$6*(1+Inputs!$B$7/100))+(((Inputs!$B$12*(1+Inputs!$B$13/100))-(Inputs!$B$12*(1+Inputs!$B$13/100)))+0.25*(Inputs!$B$14-Inputs!$B$14))*(1+Inputs!$B$7/100))*(F1887/100)</f>
        <v/>
      </c>
      <c r="K1887">
        <f>J1887*(1+((Inputs!$B$12*(1+Inputs!$B$13/100))*0.01+Inputs!$B$14*0.0025)/100)*(1+Inputs!$B$15/100)*(1+Inputs!$B$16/100)*(5000/(6000+Inputs!$B$42*(1-(100*(1-(1-(Inputs!$B$19+0)/100)*(1-CHOOSE(ArtifactsInput!$N$40+1,5,6,7,8,9,10)/100)^(ArtifactsInput!$M$40-ArtifactsInput!$M$40)))/100)))*(1+(Inputs!$B$24+((C1902=TRUE)*(F1902-Calc!F25))+B1912)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1889=TRUE,F1889,0)/100)*(1+IF(Skills!A10="ENHANCED_RAGING_BLOW",IF(Inputs!$B$3&gt;=134,MAX(0,IF(Inputs!$B$3&gt;=110,7,5)-5)*50,0),0)/100)*(1+(IF(Skills!A10="RAGING_BLOW",Inputs!$B$17+((C1898=TRUE)*(F1898-Calc!F21))+(((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C1900=TRUE)*(F1900-Calc!F23))+(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(1+(((C1890=TRUE)*F1890*IF(Inputs!$B$3&gt;=110,7,5))+((C1892=TRUE)*F1892*IF(AND(Inputs!$B$38&lt;&gt;"pvp",Inputs!$B$43&gt;0),(((R1892-1)*(Skills!T15*(1+(Inputs!$B$34+(ArtifactsInput!$M$7-ArtifactsInput!$M$7)*CHOOSE(ArtifactsInput!$N$7+1,6,7.2,8.4,9.6,10.8,12))/100))+MIN((Skills!T15*(1+(Inputs!$B$34+(ArtifactsInput!$M$7-ArtifactsInput!$M$7)*CHOOSE(ArtifactsInput!$N$7+1,6,7.2,8.4,9.6,10.8,12))/100)),MAX(0,Inputs!$B$43-((R1892-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I1887)</f>
        <v/>
      </c>
      <c r="L1887">
        <f>K1887*(MIN(Inputs!$B$22+((C1899=TRUE)*(F1899-Calc!F22)),(Inputs!$B$23+((C1901=TRUE)*(F1901-Calc!F24))+(IF(ArtifactsInput!$M$15,CHOOSE(ArtifactsInput!$N$15+1,25,30,35,40,45,50)/100*(Inputs!$B$11-Inputs!$B$11),0))))/100+(Inputs!$B$23+((C1901=TRUE)*(F1901-Calc!F24))+(IF(ArtifactsInput!$M$15,CHOOSE(ArtifactsInput!$N$15+1,25,30,35,40,45,50)/100*(Inputs!$B$11-Inputs!$B$11),0)))/100)/2</f>
        <v/>
      </c>
      <c r="M1887">
        <f>L1887*(1+(Inputs!$B$10+0+B1911+((IF(IF(ArtifactsInput!$M$24,FALSE,TRUE),1,-1)*CHOOSE(ArtifactsInput!$N$24+1,30,36,42,48,54,60)/100*IF(IF(ArtifactsInput!$M$24,FALSE,TRUE),(Inputs!$B$9+((C1903=TRUE)*(F1903-Calc!F26)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87">
        <f>L1887*(1-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1887*(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7">
        <f>(1-Summary!$B$11)*T1887+Summary!$B$11*V1887</f>
        <v/>
      </c>
      <c r="P1887">
        <f>IF(B1916=0,0,O1887/B1916)</f>
        <v/>
      </c>
      <c r="Q1887">
        <f>IFERROR(1/(IF(Inputs!$B$38="pvp",15,MAX(0.1,Skills!D10-IF(Skills!E10=TRUE,Inputs!$B$32,0)))*(1-IF(AND(ArtifactsInput!$M$27,Inputs!$B$4="Chapter Hunt"),CHOOSE(ArtifactsInput!$N$27+1,20,24,28,32,36,40),0)/100)),0)</f>
        <v/>
      </c>
      <c r="R1887">
        <f>IF(AND(Inputs!$B$38&lt;&gt;"pvp",Inputs!$B$43&gt;0),IF(MAX(0,Inputs!$B$43-B1913)&lt;=0,0,(INT(MAX(0,Inputs!$B$43-B1913)/(IF(Inputs!$B$38="pvp",15,MAX(0.1,Skills!D10-IF(Skills!E10=TRUE,Inputs!$B$32,0)))*(1-IF(AND(ArtifactsInput!$M$27,Inputs!$B$4="Chapter Hunt"),CHOOSE(ArtifactsInput!$N$27+1,20,24,28,32,36,40),0)/100)))+1)),0)</f>
        <v/>
      </c>
      <c r="S1887">
        <f>IFERROR(O1887/N1887,0)</f>
        <v/>
      </c>
      <c r="T1887">
        <f>IF(C1887,(H1887*N1887*IF(AND(Inputs!$B$38&lt;&gt;"pvp",Inputs!$B$43&gt;0),((Skills!G10*((R1887-1)*IF(Skills!H10&gt;0,Skills!I10/Skills!H10,1)+IF(Skills!H10&gt;0,MIN(Skills!I10,MAX(0,MAX(0,Inputs!$B$43-B1913)-((R1887-1)*(IF(Inputs!$B$38="pvp",15,MAX(0.1,Skills!D10-IF(Skills!E10=TRUE,Inputs!$B$32,0)))*(1-IF(AND(ArtifactsInput!$M$27,Inputs!$B$4="Chapter Hunt"),CHOOSE(ArtifactsInput!$N$27+1,20,24,28,32,36,40),0)/100)))))/Skills!H10,1)))/Inputs!$B$43),G1887*Q1887)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1887*(1-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1887*(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1887*(1-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1887*(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7">
        <f>IF(C1887,(H1887*N1887*IF(AND(Inputs!$B$38&lt;&gt;"pvp",Inputs!$B$43&gt;0),((Skills!G10*((R1887-1)*IF(Skills!H10&gt;0,Skills!I10/Skills!H10,1)+IF(Skills!H10&gt;0,MIN(Skills!I10,MAX(0,MAX(0,Inputs!$B$43-B1913)-((R1887-1)*(IF(Inputs!$B$38="pvp",15,MAX(0.1,Skills!D10-IF(Skills!E10=TRUE,Inputs!$B$32,0)))*(1-IF(AND(ArtifactsInput!$M$27,Inputs!$B$4="Chapter Hunt"),CHOOSE(ArtifactsInput!$N$27+1,20,24,28,32,36,40),0)/100)))))/Skills!H10,1)))/Inputs!$B$43),G1887*Q1887)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8">
      <c r="A1888">
        <f>Skills!A11</f>
        <v/>
      </c>
      <c r="B1888">
        <f>Skills!B11</f>
        <v/>
      </c>
      <c r="C1888">
        <f>Inputs!$B$3&gt;=35</f>
        <v/>
      </c>
      <c r="D1888">
        <f>IF(Skills!C11=1,60+Inputs!$B$25+Inputs!$B$29,IF(Skills!C11=2,90+Inputs!$B$26+Inputs!$B$29,IF(Skills!C11=3,120+Inputs!$B$27+Inputs!$B$29,MAX(0,(Inputs!$B$3-100)*3)+Inputs!$B$28+Inputs!$B$29)))</f>
        <v/>
      </c>
      <c r="E1888">
        <f>INDEX(FactorTable!$B$2:$Y$301, MATCH(ROUND(MIN(300,MAX(1,D1888)),0), FactorTable!$A$2:$A$301,0), Skills!M11+1)</f>
        <v/>
      </c>
      <c r="F1888">
        <f>IF(Skills!N11=TRUE,(Skills!L11/10)*(E1888/1000),Skills!L11/10)+Skills!O11</f>
        <v/>
      </c>
      <c r="G1888">
        <f>Skills!G11*IF(Skills!H11&gt;0,Skills!I11/Skills!H11,1)</f>
        <v/>
      </c>
      <c r="H1888">
        <f>1-(1-Skills!J11/100)^Skills!K11</f>
        <v/>
      </c>
      <c r="I1888" t="inlineStr">
        <is>
          <t>1</t>
        </is>
      </c>
      <c r="J1888">
        <f>((Inputs!$B$6*(1+Inputs!$B$7/100))+(((Inputs!$B$12*(1+Inputs!$B$13/100))-(Inputs!$B$12*(1+Inputs!$B$13/100)))+0.25*(Inputs!$B$14-Inputs!$B$14))*(1+Inputs!$B$7/100))*(F1888/100)</f>
        <v/>
      </c>
      <c r="K1888">
        <f>J1888*(1+((Inputs!$B$12*(1+Inputs!$B$13/100))*0.01+Inputs!$B$14*0.0025)/100)*(1+Inputs!$B$15/100)*(1+Inputs!$B$16/100)*(5000/(6000+Inputs!$B$42*(1-(100*(1-(1-(Inputs!$B$19+0)/100)*(1-CHOOSE(ArtifactsInput!$N$40+1,5,6,7,8,9,10)/100)^(ArtifactsInput!$M$40-ArtifactsInput!$M$40)))/100)))*(1+(Inputs!$B$24+((C1902=TRUE)*(F1902-Calc!F25))+B1912)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1889=TRUE,F1889,0)/100)*(1+IF(Skills!A11="ENHANCED_RAGING_BLOW",IF(Inputs!$B$3&gt;=134,MAX(0,IF(Inputs!$B$3&gt;=110,7,5)-5)*50,0),0)/100)*(1+(IF(Skills!A11="RAGING_BLOW",Inputs!$B$17+((C1898=TRUE)*(F1898-Calc!F21))+(((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C1900=TRUE)*(F1900-Calc!F23))+(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(1+(((C1890=TRUE)*F1890*IF(Inputs!$B$3&gt;=110,7,5))+((C1892=TRUE)*F1892*IF(AND(Inputs!$B$38&lt;&gt;"pvp",Inputs!$B$43&gt;0),(((R1892-1)*(Skills!T15*(1+(Inputs!$B$34+(ArtifactsInput!$M$7-ArtifactsInput!$M$7)*CHOOSE(ArtifactsInput!$N$7+1,6,7.2,8.4,9.6,10.8,12))/100))+MIN((Skills!T15*(1+(Inputs!$B$34+(ArtifactsInput!$M$7-ArtifactsInput!$M$7)*CHOOSE(ArtifactsInput!$N$7+1,6,7.2,8.4,9.6,10.8,12))/100)),MAX(0,Inputs!$B$43-((R1892-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I1888)</f>
        <v/>
      </c>
      <c r="L1888">
        <f>K1888*(MIN(Inputs!$B$22+((C1899=TRUE)*(F1899-Calc!F22)),(Inputs!$B$23+((C1901=TRUE)*(F1901-Calc!F24))+(IF(ArtifactsInput!$M$15,CHOOSE(ArtifactsInput!$N$15+1,25,30,35,40,45,50)/100*(Inputs!$B$11-Inputs!$B$11),0))))/100+(Inputs!$B$23+((C1901=TRUE)*(F1901-Calc!F24))+(IF(ArtifactsInput!$M$15,CHOOSE(ArtifactsInput!$N$15+1,25,30,35,40,45,50)/100*(Inputs!$B$11-Inputs!$B$11),0)))/100)/2</f>
        <v/>
      </c>
      <c r="M1888">
        <f>L1888*(1+(Inputs!$B$10+0+B1911+((IF(IF(ArtifactsInput!$M$24,FALSE,TRUE),1,-1)*CHOOSE(ArtifactsInput!$N$24+1,30,36,42,48,54,60)/100*IF(IF(ArtifactsInput!$M$24,FALSE,TRUE),(Inputs!$B$9+((C1903=TRUE)*(F1903-Calc!F26)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88">
        <f>L1888*(1-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1888*(MIN((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8">
        <f>(1-Summary!$B$11)*T1888+Summary!$B$11*V1888</f>
        <v/>
      </c>
      <c r="P1888">
        <f>IF(B1916=0,0,O1888/B1916)</f>
        <v/>
      </c>
      <c r="Q1888">
        <f>IFERROR(1/(IF(Inputs!$B$38="pvp",15,MAX(0.1,Skills!D11-IF(Skills!E11=TRUE,Inputs!$B$32,0)))*(1-IF(AND(ArtifactsInput!$M$27,Inputs!$B$4="Chapter Hunt"),CHOOSE(ArtifactsInput!$N$27+1,20,24,28,32,36,40),0)/100)),0)</f>
        <v/>
      </c>
      <c r="R1888">
        <f>IF(AND(Inputs!$B$38&lt;&gt;"pvp",Inputs!$B$43&gt;0),IF(MAX(0,Inputs!$B$43-B1913)&lt;=0,0,(INT(MAX(0,Inputs!$B$43-B1913)/(IF(Inputs!$B$38="pvp",15,MAX(0.1,Skills!D11-IF(Skills!E11=TRUE,Inputs!$B$32,0)))*(1-IF(AND(ArtifactsInput!$M$27,Inputs!$B$4="Chapter Hunt"),CHOOSE(ArtifactsInput!$N$27+1,20,24,28,32,36,40),0)/100)))+1)),0)</f>
        <v/>
      </c>
      <c r="S1888">
        <f>IFERROR(O1888/N1888,0)</f>
        <v/>
      </c>
      <c r="T1888">
        <f>IF(C1888,(H1888*N1888*IF(AND(Inputs!$B$38&lt;&gt;"pvp",Inputs!$B$43&gt;0),((Skills!G11*((R1888-1)*IF(Skills!H11&gt;0,Skills!I11/Skills!H11,1)+IF(Skills!H11&gt;0,MIN(Skills!I11,MAX(0,MAX(0,Inputs!$B$43-B1913)-((R1888-1)*(IF(Inputs!$B$38="pvp",15,MAX(0.1,Skills!D11-IF(Skills!E11=TRUE,Inputs!$B$32,0)))*(1-IF(AND(ArtifactsInput!$M$27,Inputs!$B$4="Chapter Hunt"),CHOOSE(ArtifactsInput!$N$27+1,20,24,28,32,36,40),0)/100)))))/Skills!H11,1)))/Inputs!$B$43),G1888*Q1888)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1888*(1-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1888*(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1888*(1-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1888*(MIN(100,(Inputs!$B$9+((C1903=TRUE)*(F1903-Calc!F26))+B1906+(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8">
        <f>IF(C1888,(H1888*N1888*IF(AND(Inputs!$B$38&lt;&gt;"pvp",Inputs!$B$43&gt;0),((Skills!G11*((R1888-1)*IF(Skills!H11&gt;0,Skills!I11/Skills!H11,1)+IF(Skills!H11&gt;0,MIN(Skills!I11,MAX(0,MAX(0,Inputs!$B$43-B1913)-((R1888-1)*(IF(Inputs!$B$38="pvp",15,MAX(0.1,Skills!D11-IF(Skills!E11=TRUE,Inputs!$B$32,0)))*(1-IF(AND(ArtifactsInput!$M$27,Inputs!$B$4="Chapter Hunt"),CHOOSE(ArtifactsInput!$N$27+1,20,24,28,32,36,40),0)/100)))))/Skills!H11,1)))/Inputs!$B$43),G1888*Q1888)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9">
      <c r="A1889">
        <f>Skills!A12</f>
        <v/>
      </c>
      <c r="B1889">
        <f>Skills!B12</f>
        <v/>
      </c>
      <c r="C1889">
        <f>Inputs!$B$3&gt;=100</f>
        <v/>
      </c>
      <c r="D1889">
        <f>IF(Skills!C12=1,60+Inputs!$B$25+Inputs!$B$29,IF(Skills!C12=2,90+Inputs!$B$26+Inputs!$B$29,IF(Skills!C12=3,120+Inputs!$B$27+Inputs!$B$29,MAX(0,(Inputs!$B$3-100)*3)+Inputs!$B$28+Inputs!$B$29)))</f>
        <v/>
      </c>
      <c r="E1889">
        <f>INDEX(FactorTable!$B$2:$Y$301, MATCH(ROUND(MIN(300,MAX(1,D1889)),0), FactorTable!$A$2:$A$301,0), Skills!M12+1)</f>
        <v/>
      </c>
      <c r="F1889">
        <f>IF(Skills!N12=TRUE,(Skills!L12/10)*(E1889/1000),Skills!L12/10)+Skills!O12</f>
        <v/>
      </c>
      <c r="G1889" t="inlineStr"/>
      <c r="H1889" t="inlineStr"/>
      <c r="I1889" t="inlineStr">
        <is>
          <t>1</t>
        </is>
      </c>
      <c r="J1889" t="inlineStr"/>
      <c r="K1889" t="inlineStr"/>
      <c r="L1889" t="inlineStr"/>
      <c r="M1889" t="inlineStr"/>
      <c r="N1889" t="inlineStr"/>
      <c r="O1889" t="inlineStr"/>
      <c r="P1889" t="inlineStr"/>
      <c r="Q1889" t="inlineStr"/>
      <c r="R1889" t="inlineStr"/>
      <c r="S1889" t="inlineStr"/>
    </row>
    <row r="1890">
      <c r="A1890">
        <f>Skills!A13</f>
        <v/>
      </c>
      <c r="B1890">
        <f>Skills!B13</f>
        <v/>
      </c>
      <c r="C1890">
        <f>Inputs!$B$3&gt;=45</f>
        <v/>
      </c>
      <c r="D1890">
        <f>IF(Skills!C13=1,60+Inputs!$B$25+Inputs!$B$29,IF(Skills!C13=2,90+Inputs!$B$26+Inputs!$B$29,IF(Skills!C13=3,120+Inputs!$B$27+Inputs!$B$29,MAX(0,(Inputs!$B$3-100)*3)+Inputs!$B$28+Inputs!$B$29)))</f>
        <v/>
      </c>
      <c r="E1890">
        <f>INDEX(FactorTable!$B$2:$Y$301, MATCH(ROUND(MIN(300,MAX(1,D1890)),0), FactorTable!$A$2:$A$301,0), Skills!M13+1)</f>
        <v/>
      </c>
      <c r="F1890">
        <f>IF(Skills!N13=TRUE,(Skills!L13/10)*(E1890/1000),Skills!L13/10)+Skills!O13</f>
        <v/>
      </c>
      <c r="G1890">
        <f>Skills!G13*IF(Skills!H13&gt;0,Skills!I13/Skills!H13,1)</f>
        <v/>
      </c>
      <c r="H1890">
        <f>1-(1-Skills!J13/100)^Skills!K13</f>
        <v/>
      </c>
      <c r="I1890" t="inlineStr">
        <is>
          <t>1</t>
        </is>
      </c>
      <c r="J1890" t="inlineStr"/>
      <c r="K1890" t="inlineStr"/>
      <c r="L1890" t="inlineStr"/>
      <c r="M1890" t="inlineStr"/>
      <c r="N1890" t="inlineStr"/>
      <c r="O1890">
        <f>(1-Summary!$B$11)*T1890+Summary!$B$11*V1890</f>
        <v/>
      </c>
      <c r="P1890">
        <f>IF(B1916=0,0,O1890/B1916)</f>
        <v/>
      </c>
      <c r="Q1890" t="n">
        <v>0</v>
      </c>
      <c r="R1890" t="n">
        <v>0</v>
      </c>
      <c r="S1890">
        <f>IFERROR(O1890/N1890,0)</f>
        <v/>
      </c>
      <c r="T1890" t="n">
        <v>0</v>
      </c>
      <c r="V1890" t="n">
        <v>0</v>
      </c>
    </row>
    <row r="1891">
      <c r="A1891">
        <f>Skills!A14</f>
        <v/>
      </c>
      <c r="B1891">
        <f>Skills!B14</f>
        <v/>
      </c>
      <c r="C1891">
        <f>Inputs!$B$3&gt;=75</f>
        <v/>
      </c>
      <c r="D1891">
        <f>IF(Skills!C14=1,60+Inputs!$B$25+Inputs!$B$29,IF(Skills!C14=2,90+Inputs!$B$26+Inputs!$B$29,IF(Skills!C14=3,120+Inputs!$B$27+Inputs!$B$29,MAX(0,(Inputs!$B$3-100)*3)+Inputs!$B$28+Inputs!$B$29)))</f>
        <v/>
      </c>
      <c r="E1891">
        <f>INDEX(FactorTable!$B$2:$Y$301, MATCH(ROUND(MIN(300,MAX(1,D1891)),0), FactorTable!$A$2:$A$301,0), Skills!M14+1)</f>
        <v/>
      </c>
      <c r="F1891">
        <f>IF(Skills!N14=TRUE,(Skills!L14/10)*(E1891/1000),Skills!L14/10)+Skills!O14</f>
        <v/>
      </c>
      <c r="G1891">
        <f>Skills!G14*IF(Skills!H14&gt;0,Skills!I14/Skills!H14,1)</f>
        <v/>
      </c>
      <c r="H1891">
        <f>1-(1-Skills!J14/100)^Skills!K14</f>
        <v/>
      </c>
      <c r="I1891" t="inlineStr">
        <is>
          <t>1</t>
        </is>
      </c>
      <c r="J1891" t="inlineStr"/>
      <c r="K1891" t="inlineStr"/>
      <c r="L1891" t="inlineStr"/>
      <c r="M1891" t="inlineStr"/>
      <c r="N1891" t="inlineStr"/>
      <c r="O1891">
        <f>(1-Summary!$B$11)*T1891+Summary!$B$11*V1891</f>
        <v/>
      </c>
      <c r="P1891">
        <f>IF(B1916=0,0,O1891/B1916)</f>
        <v/>
      </c>
      <c r="Q1891" t="n">
        <v>0</v>
      </c>
      <c r="R1891" t="n">
        <v>0</v>
      </c>
      <c r="S1891">
        <f>IFERROR(O1891/N1891,0)</f>
        <v/>
      </c>
      <c r="T1891" t="n">
        <v>0</v>
      </c>
      <c r="V1891" t="n">
        <v>0</v>
      </c>
    </row>
    <row r="1892">
      <c r="A1892">
        <f>Skills!A15</f>
        <v/>
      </c>
      <c r="B1892">
        <f>Skills!B15</f>
        <v/>
      </c>
      <c r="C1892">
        <f>Inputs!$B$3&gt;=40</f>
        <v/>
      </c>
      <c r="D1892">
        <f>IF(Skills!C15=1,60+Inputs!$B$25+Inputs!$B$29,IF(Skills!C15=2,90+Inputs!$B$26+Inputs!$B$29,IF(Skills!C15=3,120+Inputs!$B$27+Inputs!$B$29,MAX(0,(Inputs!$B$3-100)*3)+Inputs!$B$28+Inputs!$B$29)))</f>
        <v/>
      </c>
      <c r="E1892">
        <f>INDEX(FactorTable!$B$2:$Y$301, MATCH(ROUND(MIN(300,MAX(1,D1892)),0), FactorTable!$A$2:$A$301,0), Skills!M15+1)</f>
        <v/>
      </c>
      <c r="F1892">
        <f>IF(Skills!N15=TRUE,(Skills!L15/10)*(E1892/1000),Skills!L15/10)+Skills!O15</f>
        <v/>
      </c>
      <c r="G1892">
        <f>Skills!G15*IF(Skills!H15&gt;0,Skills!I15/Skills!H15,1)</f>
        <v/>
      </c>
      <c r="H1892">
        <f>1-(1-Skills!J15/100)^Skills!K15</f>
        <v/>
      </c>
      <c r="I1892" t="inlineStr">
        <is>
          <t>1</t>
        </is>
      </c>
      <c r="J1892" t="inlineStr"/>
      <c r="K1892" t="inlineStr"/>
      <c r="L1892" t="inlineStr"/>
      <c r="M1892" t="inlineStr"/>
      <c r="N1892" t="inlineStr"/>
      <c r="O1892">
        <f>(1-Summary!$B$11)*T1892+Summary!$B$11*V1892</f>
        <v/>
      </c>
      <c r="P1892">
        <f>IF(B1916=0,0,O1892/B1916)</f>
        <v/>
      </c>
      <c r="Q1892">
        <f>IFERROR(1/(IF(Inputs!$B$38="pvp",15,MAX(0.1,Skills!D15-IF(Skills!E15=TRUE,Inputs!$B$32,0)))*(1-IF(AND(ArtifactsInput!$M$27,Inputs!$B$4="Chapter Hunt"),CHOOSE(ArtifactsInput!$N$27+1,20,24,28,32,36,40),0)/100)),0)</f>
        <v/>
      </c>
      <c r="R1892">
        <f>IF(AND(Inputs!$B$38&lt;&gt;"pvp",Inputs!$B$43&gt;0),IF(Inputs!$B$43&lt;=0,0,(INT(Inputs!$B$43/(IF(Inputs!$B$38="pvp",15,MAX(0.1,Skills!D15-IF(Skills!E15=TRUE,Inputs!$B$32,0)))*(1-IF(AND(ArtifactsInput!$M$27,Inputs!$B$4="Chapter Hunt"),CHOOSE(ArtifactsInput!$N$27+1,20,24,28,32,36,40),0)/100)))+1)),0)</f>
        <v/>
      </c>
      <c r="S1892">
        <f>IFERROR(O1892/N1892,0)</f>
        <v/>
      </c>
      <c r="T1892" t="n">
        <v>0</v>
      </c>
      <c r="V1892" t="n">
        <v>0</v>
      </c>
    </row>
    <row r="1893">
      <c r="A1893">
        <f>Skills!A16</f>
        <v/>
      </c>
      <c r="B1893">
        <f>Skills!B16</f>
        <v/>
      </c>
      <c r="C1893">
        <f>Inputs!$B$3&gt;=66</f>
        <v/>
      </c>
      <c r="D1893">
        <f>IF(Skills!C16=1,60+Inputs!$B$25+Inputs!$B$29,IF(Skills!C16=2,90+Inputs!$B$26+Inputs!$B$29,IF(Skills!C16=3,120+Inputs!$B$27+Inputs!$B$29,MAX(0,(Inputs!$B$3-100)*3)+Inputs!$B$28+Inputs!$B$29)))</f>
        <v/>
      </c>
      <c r="E1893">
        <f>INDEX(FactorTable!$B$2:$Y$301, MATCH(ROUND(MIN(300,MAX(1,D1893)),0), FactorTable!$A$2:$A$301,0), Skills!M16+1)</f>
        <v/>
      </c>
      <c r="F1893">
        <f>IF(Skills!N16=TRUE,(Skills!L16/10)*(E1893/1000),Skills!L16/10)+Skills!O16</f>
        <v/>
      </c>
      <c r="G1893">
        <f>Skills!G16*IF(Skills!H16&gt;0,Skills!I16/Skills!H16,1)</f>
        <v/>
      </c>
      <c r="H1893">
        <f>1-(1-Skills!J16/100)^Skills!K16</f>
        <v/>
      </c>
      <c r="I1893" t="inlineStr">
        <is>
          <t>1</t>
        </is>
      </c>
      <c r="J1893" t="inlineStr"/>
      <c r="K1893" t="inlineStr"/>
      <c r="L1893" t="inlineStr"/>
      <c r="M1893" t="inlineStr"/>
      <c r="N1893" t="inlineStr"/>
      <c r="O1893">
        <f>(1-Summary!$B$11)*T1893+Summary!$B$11*V1893</f>
        <v/>
      </c>
      <c r="P1893">
        <f>IF(B1916=0,0,O1893/B1916)</f>
        <v/>
      </c>
      <c r="Q1893">
        <f>IFERROR(1/(IF(Inputs!$B$38="pvp",15,MAX(0.1,Skills!D16-IF(Skills!E16=TRUE,Inputs!$B$32,0)))*(1-IF(AND(ArtifactsInput!$M$27,Inputs!$B$4="Chapter Hunt"),CHOOSE(ArtifactsInput!$N$27+1,20,24,28,32,36,40),0)/100)),0)</f>
        <v/>
      </c>
      <c r="R1893">
        <f>IF(AND(Inputs!$B$38&lt;&gt;"pvp",Inputs!$B$43&gt;0),IF(Inputs!$B$43&lt;=0,0,(INT(Inputs!$B$43/(IF(Inputs!$B$38="pvp",15,MAX(0.1,Skills!D16-IF(Skills!E16=TRUE,Inputs!$B$32,0)))*(1-IF(AND(ArtifactsInput!$M$27,Inputs!$B$4="Chapter Hunt"),CHOOSE(ArtifactsInput!$N$27+1,20,24,28,32,36,40),0)/100)))+1)),0)</f>
        <v/>
      </c>
      <c r="S1893">
        <f>IFERROR(O1893/N1893,0)</f>
        <v/>
      </c>
      <c r="T1893" t="n">
        <v>0</v>
      </c>
      <c r="V1893" t="n">
        <v>0</v>
      </c>
    </row>
    <row r="1894">
      <c r="A1894">
        <f>Skills!A17</f>
        <v/>
      </c>
      <c r="B1894">
        <f>Skills!B17</f>
        <v/>
      </c>
      <c r="C1894">
        <f>Inputs!$B$3&gt;=115</f>
        <v/>
      </c>
      <c r="D1894">
        <f>IF(Skills!C17=1,60+Inputs!$B$25+Inputs!$B$29,IF(Skills!C17=2,90+Inputs!$B$26+Inputs!$B$29,IF(Skills!C17=3,120+Inputs!$B$27+Inputs!$B$29,MAX(0,(Inputs!$B$3-100)*3)+Inputs!$B$28+Inputs!$B$29)))</f>
        <v/>
      </c>
      <c r="E1894">
        <f>INDEX(FactorTable!$B$2:$Y$301, MATCH(ROUND(MIN(300,MAX(1,D1894)),0), FactorTable!$A$2:$A$301,0), Skills!M17+1)</f>
        <v/>
      </c>
      <c r="F1894">
        <f>IF(Skills!N17=TRUE,(Skills!L17/10)*(E1894/1000),Skills!L17/10)+Skills!O17</f>
        <v/>
      </c>
      <c r="G1894">
        <f>Skills!G17*IF(Skills!H17&gt;0,Skills!I17/Skills!H17,1)</f>
        <v/>
      </c>
      <c r="H1894">
        <f>1-(1-Skills!J17/100)^Skills!K17</f>
        <v/>
      </c>
      <c r="I1894" t="inlineStr">
        <is>
          <t>1</t>
        </is>
      </c>
      <c r="J1894" t="inlineStr"/>
      <c r="K1894" t="inlineStr"/>
      <c r="L1894" t="inlineStr"/>
      <c r="M1894" t="inlineStr"/>
      <c r="N1894" t="inlineStr"/>
      <c r="O1894">
        <f>(1-Summary!$B$11)*T1894+Summary!$B$11*V1894</f>
        <v/>
      </c>
      <c r="P1894">
        <f>IF(B1916=0,0,O1894/B1916)</f>
        <v/>
      </c>
      <c r="Q1894">
        <f>IFERROR(1/(IF(Inputs!$B$38="pvp",15,MAX(0.1,Skills!D17-IF(Skills!E17=TRUE,Inputs!$B$32,0)))*(1-IF(AND(ArtifactsInput!$M$27,Inputs!$B$4="Chapter Hunt"),CHOOSE(ArtifactsInput!$N$27+1,20,24,28,32,36,40),0)/100)),0)</f>
        <v/>
      </c>
      <c r="R1894">
        <f>IF(AND(Inputs!$B$38&lt;&gt;"pvp",Inputs!$B$43&gt;0),IF(Inputs!$B$43&lt;=0,0,(INT(Inputs!$B$43/(IF(Inputs!$B$38="pvp",15,MAX(0.1,Skills!D17-IF(Skills!E17=TRUE,Inputs!$B$32,0)))*(1-IF(AND(ArtifactsInput!$M$27,Inputs!$B$4="Chapter Hunt"),CHOOSE(ArtifactsInput!$N$27+1,20,24,28,32,36,40),0)/100)))+1)),0)</f>
        <v/>
      </c>
      <c r="S1894">
        <f>IFERROR(O1894/N1894,0)</f>
        <v/>
      </c>
      <c r="T1894" t="n">
        <v>0</v>
      </c>
      <c r="V1894" t="n">
        <v>0</v>
      </c>
    </row>
    <row r="1895">
      <c r="A1895">
        <f>Skills!A18</f>
        <v/>
      </c>
      <c r="B1895">
        <f>Skills!B18</f>
        <v/>
      </c>
      <c r="C1895">
        <f>Inputs!$B$3&gt;=115</f>
        <v/>
      </c>
      <c r="D1895">
        <f>IF(Skills!C18=1,60+Inputs!$B$25+Inputs!$B$29,IF(Skills!C18=2,90+Inputs!$B$26+Inputs!$B$29,IF(Skills!C18=3,120+Inputs!$B$27+Inputs!$B$29,MAX(0,(Inputs!$B$3-100)*3)+Inputs!$B$28+Inputs!$B$29)))</f>
        <v/>
      </c>
      <c r="E1895">
        <f>INDEX(FactorTable!$B$2:$Y$301, MATCH(ROUND(MIN(300,MAX(1,D1895)),0), FactorTable!$A$2:$A$301,0), Skills!M18+1)</f>
        <v/>
      </c>
      <c r="F1895">
        <f>IF(Skills!N18=TRUE,(Skills!L18/10)*(E1895/1000),Skills!L18/10)+Skills!O18</f>
        <v/>
      </c>
      <c r="G1895">
        <f>Skills!G18*IF(Skills!H18&gt;0,Skills!I18/Skills!H18,1)</f>
        <v/>
      </c>
      <c r="H1895">
        <f>1-(1-Skills!J18/100)^Skills!K18</f>
        <v/>
      </c>
      <c r="I1895" t="inlineStr">
        <is>
          <t>1</t>
        </is>
      </c>
      <c r="J1895" t="inlineStr"/>
      <c r="K1895" t="inlineStr"/>
      <c r="L1895" t="inlineStr"/>
      <c r="M1895" t="inlineStr"/>
      <c r="N1895" t="inlineStr"/>
      <c r="O1895">
        <f>(1-Summary!$B$11)*T1895+Summary!$B$11*V1895</f>
        <v/>
      </c>
      <c r="P1895">
        <f>IF(B1916=0,0,O1895/B1916)</f>
        <v/>
      </c>
      <c r="Q1895">
        <f>IFERROR(1/(IF(Inputs!$B$38="pvp",15,MAX(0.1,Skills!D18-IF(Skills!E18=TRUE,Inputs!$B$32,0)))*(1-IF(AND(ArtifactsInput!$M$27,Inputs!$B$4="Chapter Hunt"),CHOOSE(ArtifactsInput!$N$27+1,20,24,28,32,36,40),0)/100)),0)</f>
        <v/>
      </c>
      <c r="R1895">
        <f>IF(AND(Inputs!$B$38&lt;&gt;"pvp",Inputs!$B$43&gt;0),IF(Inputs!$B$43&lt;=0,0,(INT(Inputs!$B$43/(IF(Inputs!$B$38="pvp",15,MAX(0.1,Skills!D18-IF(Skills!E18=TRUE,Inputs!$B$32,0)))*(1-IF(AND(ArtifactsInput!$M$27,Inputs!$B$4="Chapter Hunt"),CHOOSE(ArtifactsInput!$N$27+1,20,24,28,32,36,40),0)/100)))+1)),0)</f>
        <v/>
      </c>
      <c r="S1895">
        <f>IFERROR(O1895/N1895,0)</f>
        <v/>
      </c>
      <c r="T1895" t="n">
        <v>0</v>
      </c>
      <c r="V1895" t="n">
        <v>0</v>
      </c>
    </row>
    <row r="1896">
      <c r="A1896">
        <f>Skills!A19</f>
        <v/>
      </c>
      <c r="B1896">
        <f>Skills!B19</f>
        <v/>
      </c>
      <c r="C1896">
        <f>TRUE</f>
        <v/>
      </c>
      <c r="D1896">
        <f>IF(Skills!C19=1,60+Inputs!$B$25+Inputs!$B$29,IF(Skills!C19=2,90+Inputs!$B$26+Inputs!$B$29,IF(Skills!C19=3,120+Inputs!$B$27+Inputs!$B$29,MAX(0,(Inputs!$B$3-100)*3)+Inputs!$B$28+Inputs!$B$29)))</f>
        <v/>
      </c>
      <c r="E1896">
        <f>INDEX(FactorTable!$B$2:$Y$301, MATCH(ROUND(MIN(300,MAX(1,D1896)),0), FactorTable!$A$2:$A$301,0), Skills!M19+1)</f>
        <v/>
      </c>
      <c r="F1896">
        <f>IF(Skills!N19=TRUE,(Skills!L19/10)*(E1896/1000),Skills!L19/10)+Skills!O19</f>
        <v/>
      </c>
      <c r="G1896">
        <f>Skills!G19*IF(Skills!H19&gt;0,Skills!I19/Skills!H19,1)</f>
        <v/>
      </c>
      <c r="H1896">
        <f>1-(1-Skills!J19/100)^Skills!K19</f>
        <v/>
      </c>
      <c r="I1896" t="inlineStr">
        <is>
          <t>1</t>
        </is>
      </c>
      <c r="J1896" t="inlineStr"/>
      <c r="K1896" t="inlineStr"/>
      <c r="L1896" t="inlineStr"/>
      <c r="M1896" t="inlineStr"/>
      <c r="N1896" t="inlineStr"/>
      <c r="O1896">
        <f>(1-Summary!$B$11)*T1896+Summary!$B$11*V1896</f>
        <v/>
      </c>
      <c r="P1896">
        <f>IF(B1916=0,0,O1896/B1916)</f>
        <v/>
      </c>
      <c r="Q1896">
        <f>IFERROR(1/(IF(Inputs!$B$38="pvp",15,MAX(0.1,Skills!D19-IF(Skills!E19=TRUE,Inputs!$B$32,0)))*(1-IF(AND(ArtifactsInput!$M$27,Inputs!$B$4="Chapter Hunt"),CHOOSE(ArtifactsInput!$N$27+1,20,24,28,32,36,40),0)/100)),0)</f>
        <v/>
      </c>
      <c r="R1896">
        <f>IF(AND(Inputs!$B$38&lt;&gt;"pvp",Inputs!$B$43&gt;0),IF(Inputs!$B$43&lt;=0,0,(INT(Inputs!$B$43/(IF(Inputs!$B$38="pvp",15,MAX(0.1,Skills!D19-IF(Skills!E19=TRUE,Inputs!$B$32,0)))*(1-IF(AND(ArtifactsInput!$M$27,Inputs!$B$4="Chapter Hunt"),CHOOSE(ArtifactsInput!$N$27+1,20,24,28,32,36,40),0)/100)))+1)),0)</f>
        <v/>
      </c>
      <c r="S1896">
        <f>IFERROR(O1896/N1896,0)</f>
        <v/>
      </c>
      <c r="T1896" t="n">
        <v>0</v>
      </c>
      <c r="V1896" t="n">
        <v>0</v>
      </c>
    </row>
    <row r="1897">
      <c r="A1897">
        <f>Skills!A20</f>
        <v/>
      </c>
      <c r="B1897">
        <f>Skills!B20</f>
        <v/>
      </c>
      <c r="C1897">
        <f>Inputs!$B$3&gt;=33</f>
        <v/>
      </c>
      <c r="D1897">
        <f>IF(Skills!C20=1,60+Inputs!$B$25+Inputs!$B$29,IF(Skills!C20=2,90+Inputs!$B$26+Inputs!$B$29,IF(Skills!C20=3,120+Inputs!$B$27+Inputs!$B$29,MAX(0,(Inputs!$B$3-100)*3)+Inputs!$B$28+Inputs!$B$29)))</f>
        <v/>
      </c>
      <c r="E1897">
        <f>INDEX(FactorTable!$B$2:$Y$301, MATCH(ROUND(MIN(300,MAX(1,D1897)),0), FactorTable!$A$2:$A$301,0), Skills!M20+1)</f>
        <v/>
      </c>
      <c r="F1897">
        <f>IF(Skills!N20=TRUE,(Skills!L20/10)*(E1897/1000),Skills!L20/10)+Skills!O20</f>
        <v/>
      </c>
      <c r="G1897">
        <f>Skills!G20*IF(Skills!H20&gt;0,Skills!I20/Skills!H20,1)</f>
        <v/>
      </c>
      <c r="H1897">
        <f>1-(1-Skills!J20/100)^Skills!K20</f>
        <v/>
      </c>
      <c r="I1897" t="inlineStr">
        <is>
          <t>1</t>
        </is>
      </c>
      <c r="J1897" t="inlineStr"/>
      <c r="K1897" t="inlineStr"/>
      <c r="L1897" t="inlineStr"/>
      <c r="M1897" t="inlineStr"/>
      <c r="N1897" t="inlineStr"/>
      <c r="O1897">
        <f>(1-Summary!$B$11)*T1897+Summary!$B$11*V1897</f>
        <v/>
      </c>
      <c r="P1897">
        <f>IF(B1916=0,0,O1897/B1916)</f>
        <v/>
      </c>
      <c r="Q1897" t="n">
        <v>0</v>
      </c>
      <c r="R1897" t="n">
        <v>0</v>
      </c>
      <c r="S1897">
        <f>IFERROR(O1897/N1897,0)</f>
        <v/>
      </c>
      <c r="T1897" t="n">
        <v>0</v>
      </c>
      <c r="V1897" t="n">
        <v>0</v>
      </c>
    </row>
    <row r="1898">
      <c r="A1898">
        <f>Skills!A21</f>
        <v/>
      </c>
      <c r="B1898">
        <f>Skills!B21</f>
        <v/>
      </c>
      <c r="C1898">
        <f>Inputs!$B$3&gt;=38</f>
        <v/>
      </c>
      <c r="D1898">
        <f>IF(Skills!C21=1,60+Inputs!$B$25+Inputs!$B$29,IF(Skills!C21=2,90+Inputs!$B$26+Inputs!$B$29,IF(Skills!C21=3,120+Inputs!$B$27+Inputs!$B$29,MAX(0,(Inputs!$B$3-100)*3)+Inputs!$B$28+Inputs!$B$29)))</f>
        <v/>
      </c>
      <c r="E1898">
        <f>INDEX(FactorTable!$B$2:$Y$301, MATCH(ROUND(MIN(300,MAX(1,D1898)),0), FactorTable!$A$2:$A$301,0), Skills!M21+1)</f>
        <v/>
      </c>
      <c r="F1898">
        <f>IF(Skills!N21=TRUE,(Skills!L21/10)*(E1898/1000),Skills!L21/10)+Skills!O21</f>
        <v/>
      </c>
      <c r="G1898">
        <f>Skills!G21*IF(Skills!H21&gt;0,Skills!I21/Skills!H21,1)</f>
        <v/>
      </c>
      <c r="H1898">
        <f>1-(1-Skills!J21/100)^Skills!K21</f>
        <v/>
      </c>
      <c r="I1898" t="inlineStr">
        <is>
          <t>1</t>
        </is>
      </c>
      <c r="J1898" t="inlineStr"/>
      <c r="K1898" t="inlineStr"/>
      <c r="L1898" t="inlineStr"/>
      <c r="M1898" t="inlineStr"/>
      <c r="N1898" t="inlineStr"/>
      <c r="O1898">
        <f>(1-Summary!$B$11)*T1898+Summary!$B$11*V1898</f>
        <v/>
      </c>
      <c r="P1898">
        <f>IF(B1916=0,0,O1898/B1916)</f>
        <v/>
      </c>
      <c r="Q1898" t="n">
        <v>0</v>
      </c>
      <c r="R1898" t="n">
        <v>0</v>
      </c>
      <c r="S1898">
        <f>IFERROR(O1898/N1898,0)</f>
        <v/>
      </c>
      <c r="T1898" t="n">
        <v>0</v>
      </c>
      <c r="V1898" t="n">
        <v>0</v>
      </c>
    </row>
    <row r="1899">
      <c r="A1899">
        <f>Skills!A22</f>
        <v/>
      </c>
      <c r="B1899">
        <f>Skills!B22</f>
        <v/>
      </c>
      <c r="C1899">
        <f>Inputs!$B$3&gt;=43</f>
        <v/>
      </c>
      <c r="D1899">
        <f>IF(Skills!C22=1,60+Inputs!$B$25+Inputs!$B$29,IF(Skills!C22=2,90+Inputs!$B$26+Inputs!$B$29,IF(Skills!C22=3,120+Inputs!$B$27+Inputs!$B$29,MAX(0,(Inputs!$B$3-100)*3)+Inputs!$B$28+Inputs!$B$29)))</f>
        <v/>
      </c>
      <c r="E1899">
        <f>INDEX(FactorTable!$B$2:$Y$301, MATCH(ROUND(MIN(300,MAX(1,D1899)),0), FactorTable!$A$2:$A$301,0), Skills!M22+1)</f>
        <v/>
      </c>
      <c r="F1899">
        <f>IF(Skills!N22=TRUE,(Skills!L22/10)*(E1899/1000),Skills!L22/10)+Skills!O22</f>
        <v/>
      </c>
      <c r="G1899">
        <f>Skills!G22*IF(Skills!H22&gt;0,Skills!I22/Skills!H22,1)</f>
        <v/>
      </c>
      <c r="H1899">
        <f>1-(1-Skills!J22/100)^Skills!K22</f>
        <v/>
      </c>
      <c r="I1899" t="inlineStr">
        <is>
          <t>1</t>
        </is>
      </c>
      <c r="J1899" t="inlineStr"/>
      <c r="K1899" t="inlineStr"/>
      <c r="L1899" t="inlineStr"/>
      <c r="M1899" t="inlineStr"/>
      <c r="N1899" t="inlineStr"/>
      <c r="O1899">
        <f>(1-Summary!$B$11)*T1899+Summary!$B$11*V1899</f>
        <v/>
      </c>
      <c r="P1899">
        <f>IF(B1916=0,0,O1899/B1916)</f>
        <v/>
      </c>
      <c r="Q1899" t="n">
        <v>0</v>
      </c>
      <c r="R1899" t="n">
        <v>0</v>
      </c>
      <c r="S1899">
        <f>IFERROR(O1899/N1899,0)</f>
        <v/>
      </c>
      <c r="T1899" t="n">
        <v>0</v>
      </c>
      <c r="V1899" t="n">
        <v>0</v>
      </c>
    </row>
    <row r="1900">
      <c r="A1900">
        <f>Skills!A23</f>
        <v/>
      </c>
      <c r="B1900">
        <f>Skills!B23</f>
        <v/>
      </c>
      <c r="C1900">
        <f>Inputs!$B$3&gt;=120</f>
        <v/>
      </c>
      <c r="D1900">
        <f>IF(Skills!C23=1,60+Inputs!$B$25+Inputs!$B$29,IF(Skills!C23=2,90+Inputs!$B$26+Inputs!$B$29,IF(Skills!C23=3,120+Inputs!$B$27+Inputs!$B$29,MAX(0,(Inputs!$B$3-100)*3)+Inputs!$B$28+Inputs!$B$29)))</f>
        <v/>
      </c>
      <c r="E1900">
        <f>INDEX(FactorTable!$B$2:$Y$301, MATCH(ROUND(MIN(300,MAX(1,D1900)),0), FactorTable!$A$2:$A$301,0), Skills!M23+1)</f>
        <v/>
      </c>
      <c r="F1900">
        <f>IF(Skills!N23=TRUE,(Skills!L23/10)*(E1900/1000),Skills!L23/10)+Skills!O23</f>
        <v/>
      </c>
      <c r="G1900">
        <f>Skills!G23*IF(Skills!H23&gt;0,Skills!I23/Skills!H23,1)</f>
        <v/>
      </c>
      <c r="H1900">
        <f>1-(1-Skills!J23/100)^Skills!K23</f>
        <v/>
      </c>
      <c r="I1900" t="inlineStr">
        <is>
          <t>1</t>
        </is>
      </c>
      <c r="J1900" t="inlineStr"/>
      <c r="K1900" t="inlineStr"/>
      <c r="L1900" t="inlineStr"/>
      <c r="M1900" t="inlineStr"/>
      <c r="N1900" t="inlineStr"/>
      <c r="O1900">
        <f>(1-Summary!$B$11)*T1900+Summary!$B$11*V1900</f>
        <v/>
      </c>
      <c r="P1900">
        <f>IF(B1916=0,0,O1900/B1916)</f>
        <v/>
      </c>
      <c r="Q1900" t="n">
        <v>0</v>
      </c>
      <c r="R1900" t="n">
        <v>0</v>
      </c>
      <c r="S1900">
        <f>IFERROR(O1900/N1900,0)</f>
        <v/>
      </c>
      <c r="T1900" t="n">
        <v>0</v>
      </c>
      <c r="V1900" t="n">
        <v>0</v>
      </c>
    </row>
    <row r="1901">
      <c r="A1901">
        <f>Skills!A24</f>
        <v/>
      </c>
      <c r="B1901">
        <f>Skills!B24</f>
        <v/>
      </c>
      <c r="C1901">
        <f>Inputs!$B$3&gt;=120</f>
        <v/>
      </c>
      <c r="D1901">
        <f>IF(Skills!C24=1,60+Inputs!$B$25+Inputs!$B$29,IF(Skills!C24=2,90+Inputs!$B$26+Inputs!$B$29,IF(Skills!C24=3,120+Inputs!$B$27+Inputs!$B$29,MAX(0,(Inputs!$B$3-100)*3)+Inputs!$B$28+Inputs!$B$29)))</f>
        <v/>
      </c>
      <c r="E1901">
        <f>INDEX(FactorTable!$B$2:$Y$301, MATCH(ROUND(MIN(300,MAX(1,D1901)),0), FactorTable!$A$2:$A$301,0), Skills!M24+1)</f>
        <v/>
      </c>
      <c r="F1901">
        <f>IF(Skills!N24=TRUE,(Skills!L24/10)*(E1901/1000),Skills!L24/10)+Skills!O24</f>
        <v/>
      </c>
      <c r="G1901">
        <f>Skills!G24*IF(Skills!H24&gt;0,Skills!I24/Skills!H24,1)</f>
        <v/>
      </c>
      <c r="H1901">
        <f>1-(1-Skills!J24/100)^Skills!K24</f>
        <v/>
      </c>
      <c r="I1901" t="inlineStr">
        <is>
          <t>1</t>
        </is>
      </c>
      <c r="J1901" t="inlineStr"/>
      <c r="K1901" t="inlineStr"/>
      <c r="L1901" t="inlineStr"/>
      <c r="M1901" t="inlineStr"/>
      <c r="N1901" t="inlineStr"/>
      <c r="O1901">
        <f>(1-Summary!$B$11)*T1901+Summary!$B$11*V1901</f>
        <v/>
      </c>
      <c r="P1901">
        <f>IF(B1916=0,0,O1901/B1916)</f>
        <v/>
      </c>
      <c r="Q1901" t="n">
        <v>0</v>
      </c>
      <c r="R1901" t="n">
        <v>0</v>
      </c>
      <c r="S1901">
        <f>IFERROR(O1901/N1901,0)</f>
        <v/>
      </c>
      <c r="T1901" t="n">
        <v>0</v>
      </c>
      <c r="V1901" t="n">
        <v>0</v>
      </c>
    </row>
    <row r="1902">
      <c r="A1902">
        <f>Skills!A25</f>
        <v/>
      </c>
      <c r="B1902">
        <f>Skills!B25</f>
        <v/>
      </c>
      <c r="C1902">
        <f>Inputs!$B$3&gt;=125</f>
        <v/>
      </c>
      <c r="D1902">
        <f>IF(Skills!C25=1,60+Inputs!$B$25+Inputs!$B$29,IF(Skills!C25=2,90+Inputs!$B$26+Inputs!$B$29,IF(Skills!C25=3,120+Inputs!$B$27+Inputs!$B$29,MAX(0,(Inputs!$B$3-100)*3)+Inputs!$B$28+Inputs!$B$29)))</f>
        <v/>
      </c>
      <c r="E1902">
        <f>INDEX(FactorTable!$B$2:$Y$301, MATCH(ROUND(MIN(300,MAX(1,D1902)),0), FactorTable!$A$2:$A$301,0), Skills!M25+1)</f>
        <v/>
      </c>
      <c r="F1902">
        <f>IF(Skills!N25=TRUE,(Skills!L25/10)*(E1902/1000),Skills!L25/10)+Skills!O25</f>
        <v/>
      </c>
      <c r="G1902">
        <f>Skills!G25*IF(Skills!H25&gt;0,Skills!I25/Skills!H25,1)</f>
        <v/>
      </c>
      <c r="H1902">
        <f>1-(1-Skills!J25/100)^Skills!K25</f>
        <v/>
      </c>
      <c r="I1902" t="inlineStr">
        <is>
          <t>1</t>
        </is>
      </c>
      <c r="J1902" t="inlineStr"/>
      <c r="K1902" t="inlineStr"/>
      <c r="L1902" t="inlineStr"/>
      <c r="M1902" t="inlineStr"/>
      <c r="N1902" t="inlineStr"/>
      <c r="O1902">
        <f>(1-Summary!$B$11)*T1902+Summary!$B$11*V1902</f>
        <v/>
      </c>
      <c r="P1902">
        <f>IF(B1916=0,0,O1902/B1916)</f>
        <v/>
      </c>
      <c r="Q1902" t="n">
        <v>0</v>
      </c>
      <c r="R1902" t="n">
        <v>0</v>
      </c>
      <c r="S1902">
        <f>IFERROR(O1902/N1902,0)</f>
        <v/>
      </c>
      <c r="T1902" t="n">
        <v>0</v>
      </c>
      <c r="V1902" t="n">
        <v>0</v>
      </c>
    </row>
    <row r="1903">
      <c r="A1903">
        <f>Skills!A26</f>
        <v/>
      </c>
      <c r="B1903">
        <f>Skills!B26</f>
        <v/>
      </c>
      <c r="C1903">
        <f>Inputs!$B$3&gt;=72</f>
        <v/>
      </c>
      <c r="D1903">
        <f>IF(Skills!C26=1,60+Inputs!$B$25+Inputs!$B$29,IF(Skills!C26=2,90+Inputs!$B$26+Inputs!$B$29,IF(Skills!C26=3,120+Inputs!$B$27+Inputs!$B$29,MAX(0,(Inputs!$B$3-100)*3)+Inputs!$B$28+Inputs!$B$29)))</f>
        <v/>
      </c>
      <c r="E1903">
        <f>INDEX(FactorTable!$B$2:$Y$301, MATCH(ROUND(MIN(300,MAX(1,D1903)),0), FactorTable!$A$2:$A$301,0), Skills!M26+1)</f>
        <v/>
      </c>
      <c r="F1903">
        <f>IF(Skills!N26=TRUE,(Skills!L26/10)*(E1903/1000),Skills!L26/10)+Skills!O26</f>
        <v/>
      </c>
      <c r="G1903">
        <f>Skills!G26*IF(Skills!H26&gt;0,Skills!I26/Skills!H26,1)</f>
        <v/>
      </c>
      <c r="H1903">
        <f>1-(1-Skills!J26/100)^Skills!K26</f>
        <v/>
      </c>
      <c r="I1903" t="inlineStr">
        <is>
          <t>1</t>
        </is>
      </c>
      <c r="J1903" t="inlineStr"/>
      <c r="K1903" t="inlineStr"/>
      <c r="L1903" t="inlineStr"/>
      <c r="M1903" t="inlineStr"/>
      <c r="N1903" t="inlineStr"/>
      <c r="O1903">
        <f>(1-Summary!$B$11)*T1903+Summary!$B$11*V1903</f>
        <v/>
      </c>
      <c r="P1903">
        <f>IF(B1916=0,0,O1903/B1916)</f>
        <v/>
      </c>
      <c r="Q1903" t="n">
        <v>0</v>
      </c>
      <c r="R1903" t="n">
        <v>0</v>
      </c>
      <c r="S1903">
        <f>IFERROR(O1903/N1903,0)</f>
        <v/>
      </c>
      <c r="T1903" t="n">
        <v>0</v>
      </c>
      <c r="V1903" t="n">
        <v>0</v>
      </c>
    </row>
    <row r="1905">
      <c r="A1905" t="inlineStr">
        <is>
          <t>Attack% Bucket Multiplier</t>
        </is>
      </c>
      <c r="B1905">
        <f>(1+(((C1890=TRUE)*F1890*IF(Inputs!$B$3&gt;=110,7,5))+((C1892=TRUE)*F1892*IF(AND(Inputs!$B$38&lt;&gt;"pvp",Inputs!$B$43&gt;0),(((R1892-1)*(Skills!T15*(1+(Inputs!$B$34+(ArtifactsInput!$M$7-ArtifactsInput!$M$7)*CHOOSE(ArtifactsInput!$N$7+1,6,7.2,8.4,9.6,10.8,12))/100))+MIN((Skills!T15*(1+(Inputs!$B$34+(ArtifactsInput!$M$7-ArtifactsInput!$M$7)*CHOOSE(ArtifactsInput!$N$7+1,6,7.2,8.4,9.6,10.8,12))/100)),MAX(0,Inputs!$B$43-((R1892-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06">
      <c r="A1906" t="inlineStr">
        <is>
          <t>Global Crit Rate Bonus %</t>
        </is>
      </c>
      <c r="B1906" t="n">
        <v>0</v>
      </c>
    </row>
    <row r="1907">
      <c r="A1907" t="inlineStr">
        <is>
          <t>Attack Speed Buff Bonus %</t>
        </is>
      </c>
      <c r="B1907">
        <f>((C1896=TRUE)*F1896*IF(AND(Inputs!$B$38&lt;&gt;"pvp",Inputs!$B$43&gt;0),(((R1896-1)*(Skills!T19*(1+(Inputs!$B$34+(ArtifactsInput!$M$7-ArtifactsInput!$M$7)*CHOOSE(ArtifactsInput!$N$7+1,6,7.2,8.4,9.6,10.8,12))/100))+MIN((Skills!T19*(1+(Inputs!$B$34+(ArtifactsInput!$M$7-ArtifactsInput!$M$7)*CHOOSE(ArtifactsInput!$N$7+1,6,7.2,8.4,9.6,10.8,12))/100)),MAX(0,Inputs!$B$43-((R1896-1)*Skills!D19))))/Inputs!$B$43),IF(Inputs!$B$38="pvp",MIN((Skills!T19*(1+(Inputs!$B$34+(ArtifactsInput!$M$7-ArtifactsInput!$M$7)*CHOOSE(ArtifactsInput!$N$7+1,6,7.2,8.4,9.6,10.8,12))/100)),15)/15,(Skills!T19*(1+(Inputs!$B$34+(ArtifactsInput!$M$7-ArtifactsInput!$M$7)*CHOOSE(ArtifactsInput!$N$7+1,6,7.2,8.4,9.6,10.8,12))/100))/Skills!D19)))</f>
        <v/>
      </c>
    </row>
    <row r="1908">
      <c r="A1908" t="inlineStr">
        <is>
          <t>Actions Per Second</t>
        </is>
      </c>
      <c r="B1908">
        <f>1+MIN(150,150*(1-(1-(Inputs!$B$11+((C1897=TRUE)*(F1897-Calc!F20)))/150)*(1-B1907/150)))/100</f>
        <v/>
      </c>
    </row>
    <row r="1909">
      <c r="A1909" t="inlineStr">
        <is>
          <t>Skill + Buff Cast Rate</t>
        </is>
      </c>
      <c r="B1909">
        <f>IF(AND(Inputs!$B$38&lt;&gt;"pvp",Inputs!$B$43&gt;0),SUMPRODUCT((Skills!E2:E26=TRUE)*(C1879:C1903=TRUE)*R1879:R1903*Skills!F2:F26)/Inputs!$B$43,SUMPRODUCT((Skills!E2:E26=TRUE)*(C1879:C1903=TRUE)*Q1879:Q1903*Skills!F2:F26))</f>
        <v/>
      </c>
    </row>
    <row r="1910">
      <c r="A1910" t="inlineStr">
        <is>
          <t>Raging Blow Casts Per Second</t>
        </is>
      </c>
      <c r="B1910">
        <f>MAX(0,B1908-B1909)</f>
        <v/>
      </c>
    </row>
    <row r="1911">
      <c r="A1911" t="inlineStr">
        <is>
          <t>Global Critical Damage Bonus % (Enrage)</t>
        </is>
      </c>
      <c r="B1911">
        <f>((C1895=TRUE)*F1895*IF(AND(Inputs!$B$38&lt;&gt;"pvp",Inputs!$B$43&gt;0),(((R1895-1)*(Skills!T18*(1+(Inputs!$B$34+(ArtifactsInput!$M$7-ArtifactsInput!$M$7)*CHOOSE(ArtifactsInput!$N$7+1,6,7.2,8.4,9.6,10.8,12))/100))+MIN((Skills!T18*(1+(Inputs!$B$34+(ArtifactsInput!$M$7-ArtifactsInput!$M$7)*CHOOSE(ArtifactsInput!$N$7+1,6,7.2,8.4,9.6,10.8,12))/100)),MAX(0,Inputs!$B$43-((R1895-1)*Skills!D18))))/Inputs!$B$43),IF(Inputs!$B$38="pvp",MIN((Skills!T18*(1+(Inputs!$B$34+(ArtifactsInput!$M$7-ArtifactsInput!$M$7)*CHOOSE(ArtifactsInput!$N$7+1,6,7.2,8.4,9.6,10.8,12))/100)),15)/15,(Skills!T18*(1+(Inputs!$B$34+(ArtifactsInput!$M$7-ArtifactsInput!$M$7)*CHOOSE(ArtifactsInput!$N$7+1,6,7.2,8.4,9.6,10.8,12))/100))/Skills!D18)))</f>
        <v/>
      </c>
    </row>
    <row r="1912">
      <c r="A1912" t="inlineStr">
        <is>
          <t>Global Final Damage Bonus % (Enrage + Combo Synergy)</t>
        </is>
      </c>
      <c r="B1912">
        <f>((C1894=TRUE)*F1894*IF(AND(Inputs!$B$38&lt;&gt;"pvp",Inputs!$B$43&gt;0),(((R1894-1)*(Skills!T17*(1+(Inputs!$B$34+(ArtifactsInput!$M$7-ArtifactsInput!$M$7)*CHOOSE(ArtifactsInput!$N$7+1,6,7.2,8.4,9.6,10.8,12))/100))+MIN((Skills!T17*(1+(Inputs!$B$34+(ArtifactsInput!$M$7-ArtifactsInput!$M$7)*CHOOSE(ArtifactsInput!$N$7+1,6,7.2,8.4,9.6,10.8,12))/100)),MAX(0,Inputs!$B$43-((R1894-1)*Skills!D17))))/Inputs!$B$43),IF(Inputs!$B$38="pvp",MIN((Skills!T17*(1+(Inputs!$B$34+(ArtifactsInput!$M$7-ArtifactsInput!$M$7)*CHOOSE(ArtifactsInput!$N$7+1,6,7.2,8.4,9.6,10.8,12))/100)),15)/15,(Skills!T17*(1+(Inputs!$B$34+(ArtifactsInput!$M$7-ArtifactsInput!$M$7)*CHOOSE(ArtifactsInput!$N$7+1,6,7.2,8.4,9.6,10.8,12))/100))/Skills!D17)))+((C1891=TRUE)*F1891*IF(Inputs!$B$3&gt;=110,7,5))</f>
        <v/>
      </c>
    </row>
    <row r="1913">
      <c r="A1913" t="inlineStr">
        <is>
          <t>Buff-Casting Startup Delay (s, fixed-duration only)</t>
        </is>
      </c>
      <c r="B1913">
        <f>IF(AND(Inputs!$B$38&lt;&gt;"pvp",Inputs!$B$43&gt;0),SUMPRODUCT((Skills!T2:T26&gt;0)*(Skills!E2:E26=TRUE)*(C1879:C1903=TRUE))/B1908,0)</f>
        <v/>
      </c>
    </row>
    <row r="1914">
      <c r="A1914" t="inlineStr">
        <is>
          <t>Boss-Only Total DPS (this block's swept value)</t>
        </is>
      </c>
      <c r="B1914">
        <f>SUM(T1879:T1903)</f>
        <v/>
      </c>
    </row>
    <row r="1915">
      <c r="A1915" t="inlineStr">
        <is>
          <t>Normal-Only Total DPS (this block's swept value)</t>
        </is>
      </c>
      <c r="B1915">
        <f>SUM(V1879:V1903)</f>
        <v/>
      </c>
    </row>
    <row r="1916">
      <c r="A1916" s="6" t="inlineStr">
        <is>
          <t>TOTAL DPS</t>
        </is>
      </c>
      <c r="B1916" s="6">
        <f>SUM(O1879:O1903)</f>
        <v/>
      </c>
    </row>
    <row r="1919">
      <c r="A1919" s="6" t="inlineStr">
        <is>
          <t>Stat: Lunar Dew (Equip)</t>
        </is>
      </c>
    </row>
    <row r="1920">
      <c r="A1920" s="5" t="inlineStr">
        <is>
          <t>Key</t>
        </is>
      </c>
      <c r="B1920" s="5" t="inlineStr">
        <is>
          <t>Name</t>
        </is>
      </c>
      <c r="C1920" s="5" t="inlineStr">
        <is>
          <t>Unlocked</t>
        </is>
      </c>
      <c r="D1920" s="5" t="inlineStr">
        <is>
          <t>InputLevel</t>
        </is>
      </c>
      <c r="E1920" s="5" t="inlineStr">
        <is>
          <t>Factor</t>
        </is>
      </c>
      <c r="F1920" s="5" t="inlineStr">
        <is>
          <t>CoefficientPercent</t>
        </is>
      </c>
      <c r="G1920" s="5" t="inlineStr">
        <is>
          <t>EffectiveHits</t>
        </is>
      </c>
      <c r="H1920" s="5" t="inlineStr">
        <is>
          <t>ProcProbability</t>
        </is>
      </c>
      <c r="I1920" s="5" t="inlineStr">
        <is>
          <t>MapleHeroMultiplier</t>
        </is>
      </c>
      <c r="J1920" s="5" t="inlineStr">
        <is>
          <t>BaseDamage</t>
        </is>
      </c>
      <c r="K1920" s="5" t="inlineStr">
        <is>
          <t>BaseHitDamage</t>
        </is>
      </c>
      <c r="L1920" s="5" t="inlineStr">
        <is>
          <t>NonCritAvg</t>
        </is>
      </c>
      <c r="M1920" s="5" t="inlineStr">
        <is>
          <t>CritAvg</t>
        </is>
      </c>
      <c r="N1920" s="5" t="inlineStr">
        <is>
          <t>ExpectedDamage(perHit)</t>
        </is>
      </c>
      <c r="O1920" s="5" t="inlineStr">
        <is>
          <t>DPS</t>
        </is>
      </c>
      <c r="P1920" s="5" t="inlineStr">
        <is>
          <t>% of Total</t>
        </is>
      </c>
      <c r="Q1920" s="5" t="inlineStr">
        <is>
          <t>InvCooldown</t>
        </is>
      </c>
      <c r="R1920" s="5" t="inlineStr">
        <is>
          <t>CastsInFight</t>
        </is>
      </c>
      <c r="S1920" s="5" t="inlineStr">
        <is>
          <t>HitRate(perSec)</t>
        </is>
      </c>
      <c r="U1920" t="inlineStr">
        <is>
          <t>helpers</t>
        </is>
      </c>
    </row>
    <row r="1921">
      <c r="A1921">
        <f>Skills!A2</f>
        <v/>
      </c>
      <c r="B1921">
        <f>Skills!B2</f>
        <v/>
      </c>
      <c r="C1921">
        <f>Inputs!$B$3&gt;=100</f>
        <v/>
      </c>
      <c r="D1921" t="inlineStr"/>
      <c r="E1921" t="inlineStr"/>
      <c r="F1921">
        <f>U1923+Skills!O2</f>
        <v/>
      </c>
      <c r="G1921">
        <f>Skills!G2*IF(Skills!H2&gt;0,Skills!I2/Skills!H2,1)</f>
        <v/>
      </c>
      <c r="H1921">
        <f>1-(1-Skills!J2/100)^Skills!K2</f>
        <v/>
      </c>
      <c r="I1921" t="inlineStr">
        <is>
          <t>1</t>
        </is>
      </c>
      <c r="J1921">
        <f>((Inputs!$B$6*(1+Inputs!$B$7/100))+(((Inputs!$B$12*(1+Inputs!$B$13/100))-(Inputs!$B$12*(1+Inputs!$B$13/100)))+0.25*(Inputs!$B$14-Inputs!$B$14))*(1+Inputs!$B$7/100))*(F1921/100)</f>
        <v/>
      </c>
      <c r="K1921">
        <f>J1921*(1+((Inputs!$B$12*(1+Inputs!$B$13/100))*0.01+Inputs!$B$14*0.0025)/100)*(1+Inputs!$B$15/100)*(1+Inputs!$B$16/100)*(5000/(6000+Inputs!$B$42*(1-(100*(1-(1-(Inputs!$B$19+0)/100)*(1-CHOOSE(ArtifactsInput!$N$40+1,5,6,7,8,9,10)/100)^(ArtifactsInput!$M$40-ArtifactsInput!$M$40)))/100)))*(1+(Inputs!$B$24+((C1944=TRUE)*(F1944-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1940=TRUE)*(F1940-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1942=TRUE)*(F1942-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1932=TRUE)*F1932*IF(Inputs!$B$3&gt;=110,7,5))+((C1934=TRUE)*F1934*IF(AND(Inputs!$B$38&lt;&gt;"pvp",Inputs!$B$43&gt;0),(((R1934-1)*(Skills!T15*(1+(Inputs!$B$34+(ArtifactsInput!$M$7-ArtifactsInput!$M$7)*CHOOSE(ArtifactsInput!$N$7+1,6,7.2,8.4,9.6,10.8,12))/100))+MIN((Skills!T15*(1+(Inputs!$B$34+(ArtifactsInput!$M$7-ArtifactsInput!$M$7)*CHOOSE(ArtifactsInput!$N$7+1,6,7.2,8.4,9.6,10.8,12))/100)),MAX(0,Inputs!$B$43-((R1934-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Hunt"),CHOOSE(ArtifactsInput!$N$35+1,15,18,21,24,27,30)*(1-EXP(-(0.2*B1950)*5)),0)+IF(AND(ArtifactsInput!$M$22,Inputs!$B$4&lt;&gt;"Chapter Hunt"),CHOOSE(ArtifactsInput!$N$22+1,10,12,14,16,18,20)*((0*(((0.15*B1950*5))^0/1)+1*(((0.15*B1950*5))^1/1)+2*(((0.15*B1950*5))^2/2)+3*(((0.15*B1950*5))^3/6)+4*(((0.15*B1950*5))^4/24)+5*(((0.15*B1950*5))^5/120))/((((0.15*B1950*5))^0/1)+(((0.15*B1950*5))^1/1)+(((0.15*B1950*5))^2/2)+(((0.15*B1950*5))^3/6)+(((0.15*B1950*5))^4/24)+(((0.15*B1950*5))^5/120))),0)))/100)*I1921)</f>
        <v/>
      </c>
      <c r="L1921">
        <f>K1921*(MIN(Inputs!$B$22+((C1941=TRUE)*(F1941-Calc!F22)),(Inputs!$B$23+((C1943=TRUE)*(F1943-Calc!F24))+(IF(ArtifactsInput!$M$15,CHOOSE(ArtifactsInput!$N$15+1,25,30,35,40,45,50)/100*(Inputs!$B$11-Inputs!$B$11),0))))/100+(Inputs!$B$23+((C1943=TRUE)*(F1943-Calc!F24))+(IF(ArtifactsInput!$M$15,CHOOSE(ArtifactsInput!$N$15+1,25,30,35,40,45,50)/100*(Inputs!$B$11-Inputs!$B$11),0)))/100)/2</f>
        <v/>
      </c>
      <c r="M1921">
        <f>L1921*(1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1">
        <f>L1921*(1-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1921*(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1">
        <f>(1-Summary!$B$11)*T1921+Summary!$B$11*V1921</f>
        <v/>
      </c>
      <c r="P1921">
        <f>IF(B1958=0,0,O1921/B1958)</f>
        <v/>
      </c>
      <c r="Q1921" t="n">
        <v>0</v>
      </c>
      <c r="R1921" t="n">
        <v>0</v>
      </c>
      <c r="S1921">
        <f>IFERROR(O1921/N1921,0)</f>
        <v/>
      </c>
      <c r="T1921">
        <f>IF(C1921,(Skills!G2*N1921*B1952)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1921*(1-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1921*(1-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1">
        <f>MAX(0,(Inputs!$B$3-100)*3)+Inputs!$B$28+Inputs!$B$29</f>
        <v/>
      </c>
      <c r="V1921">
        <f>IF(C1921,(Skills!G2*N1921*B1952)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2">
      <c r="A1922">
        <f>Skills!A3</f>
        <v/>
      </c>
      <c r="B1922">
        <f>Skills!B3</f>
        <v/>
      </c>
      <c r="C1922">
        <f>Inputs!$B$3&gt;=50</f>
        <v/>
      </c>
      <c r="D1922">
        <f>IF(Skills!C3=1,60+Inputs!$B$25+Inputs!$B$29,IF(Skills!C3=2,90+Inputs!$B$26+Inputs!$B$29,IF(Skills!C3=3,120+Inputs!$B$27+Inputs!$B$29,MAX(0,(Inputs!$B$3-100)*3)+Inputs!$B$28+Inputs!$B$29)))</f>
        <v/>
      </c>
      <c r="E1922">
        <f>INDEX(FactorTable!$B$2:$Y$301, MATCH(ROUND(MIN(300,MAX(1,D1922)),0), FactorTable!$A$2:$A$301,0), Skills!M3+1)</f>
        <v/>
      </c>
      <c r="F1922">
        <f>IF(Skills!N3=TRUE,(Skills!L3/10)*(E1922/1000),Skills!L3/10)+Skills!O3</f>
        <v/>
      </c>
      <c r="G1922" t="inlineStr"/>
      <c r="H1922" t="inlineStr"/>
      <c r="I1922" t="inlineStr">
        <is>
          <t>1</t>
        </is>
      </c>
      <c r="J1922" t="inlineStr"/>
      <c r="K1922" t="inlineStr"/>
      <c r="L1922" t="inlineStr"/>
      <c r="M1922" t="inlineStr"/>
      <c r="N1922" t="inlineStr"/>
      <c r="O1922" t="inlineStr"/>
      <c r="P1922" t="inlineStr"/>
      <c r="Q1922" t="inlineStr"/>
      <c r="R1922" t="inlineStr"/>
      <c r="S1922" t="inlineStr"/>
      <c r="U1922">
        <f>INDEX(FactorTable!$B$2:$Y$301, MATCH(ROUND(MIN(300,MAX(1,U1921)),0), FactorTable!$A$2:$A$301,0), 22)</f>
        <v/>
      </c>
    </row>
    <row r="1923">
      <c r="A1923">
        <f>Skills!A4</f>
        <v/>
      </c>
      <c r="B1923">
        <f>Skills!B4</f>
        <v/>
      </c>
      <c r="C1923">
        <f>Inputs!$B$3&gt;=105</f>
        <v/>
      </c>
      <c r="D1923">
        <f>IF(Skills!C4=1,60+Inputs!$B$25+Inputs!$B$29,IF(Skills!C4=2,90+Inputs!$B$26+Inputs!$B$29,IF(Skills!C4=3,120+Inputs!$B$27+Inputs!$B$29,MAX(0,(Inputs!$B$3-100)*3)+Inputs!$B$28+Inputs!$B$29)))</f>
        <v/>
      </c>
      <c r="E1923">
        <f>INDEX(FactorTable!$B$2:$Y$301, MATCH(ROUND(MIN(300,MAX(1,D1923)),0), FactorTable!$A$2:$A$301,0), Skills!M4+1)</f>
        <v/>
      </c>
      <c r="F1923">
        <f>IF(Skills!N4=TRUE,(Skills!L4/10)*(E1923/1000),Skills!L4/10)+Skills!O4</f>
        <v/>
      </c>
      <c r="G1923" t="inlineStr"/>
      <c r="H1923" t="inlineStr"/>
      <c r="I1923" t="inlineStr">
        <is>
          <t>1</t>
        </is>
      </c>
      <c r="J1923" t="inlineStr"/>
      <c r="K1923" t="inlineStr"/>
      <c r="L1923" t="inlineStr"/>
      <c r="M1923" t="inlineStr"/>
      <c r="N1923" t="inlineStr"/>
      <c r="O1923" t="inlineStr"/>
      <c r="P1923" t="inlineStr"/>
      <c r="Q1923" t="inlineStr"/>
      <c r="R1923" t="inlineStr"/>
      <c r="S1923" t="inlineStr"/>
      <c r="U1923">
        <f>290*U1922/1000</f>
        <v/>
      </c>
    </row>
    <row r="1924">
      <c r="A1924">
        <f>Skills!A5</f>
        <v/>
      </c>
      <c r="B1924">
        <f>Skills!B5</f>
        <v/>
      </c>
      <c r="C1924">
        <f>Inputs!$B$3&gt;=103</f>
        <v/>
      </c>
      <c r="D1924">
        <f>IF(Skills!C5=1,60+Inputs!$B$25+Inputs!$B$29,IF(Skills!C5=2,90+Inputs!$B$26+Inputs!$B$29,IF(Skills!C5=3,120+Inputs!$B$27+Inputs!$B$29,MAX(0,(Inputs!$B$3-100)*3)+Inputs!$B$28+Inputs!$B$29)))</f>
        <v/>
      </c>
      <c r="E1924">
        <f>INDEX(FactorTable!$B$2:$Y$301, MATCH(ROUND(MIN(300,MAX(1,D1924)),0), FactorTable!$A$2:$A$301,0), Skills!M5+1)</f>
        <v/>
      </c>
      <c r="F1924">
        <f>IF(Skills!N5=TRUE,(Skills!L5/10)*(E1924/1000),Skills!L5/10)+Skills!O5</f>
        <v/>
      </c>
      <c r="G1924">
        <f>Skills!G5*IF(Skills!H5&gt;0,Skills!I5/Skills!H5,1)</f>
        <v/>
      </c>
      <c r="H1924">
        <f>1-(1-Skills!J5/100)^Skills!K5</f>
        <v/>
      </c>
      <c r="I1924" t="inlineStr">
        <is>
          <t>1</t>
        </is>
      </c>
      <c r="J1924">
        <f>((Inputs!$B$6*(1+Inputs!$B$7/100))+(((Inputs!$B$12*(1+Inputs!$B$13/100))-(Inputs!$B$12*(1+Inputs!$B$13/100)))+0.25*(Inputs!$B$14-Inputs!$B$14))*(1+Inputs!$B$7/100))*(F1924/100)</f>
        <v/>
      </c>
      <c r="K1924">
        <f>J1924*(1+((Inputs!$B$12*(1+Inputs!$B$13/100))*0.01+Inputs!$B$14*0.0025)/100)*(1+Inputs!$B$15/100)*(1+Inputs!$B$16/100)*(5000/(6000+Inputs!$B$42*(1-(100*(1-(1-(Inputs!$B$19+0)/100)*(1-CHOOSE(ArtifactsInput!$N$40+1,5,6,7,8,9,10)/100)^(ArtifactsInput!$M$40-ArtifactsInput!$M$40)))/100)))*(1+(Inputs!$B$24+((C1944=TRUE)*(F1944-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1940=TRUE)*(F1940-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1942=TRUE)*(F1942-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1932=TRUE)*F1932*IF(Inputs!$B$3&gt;=110,7,5))+((C1934=TRUE)*F1934*IF(AND(Inputs!$B$38&lt;&gt;"pvp",Inputs!$B$43&gt;0),(((R1934-1)*(Skills!T15*(1+(Inputs!$B$34+(ArtifactsInput!$M$7-ArtifactsInput!$M$7)*CHOOSE(ArtifactsInput!$N$7+1,6,7.2,8.4,9.6,10.8,12))/100))+MIN((Skills!T15*(1+(Inputs!$B$34+(ArtifactsInput!$M$7-ArtifactsInput!$M$7)*CHOOSE(ArtifactsInput!$N$7+1,6,7.2,8.4,9.6,10.8,12))/100)),MAX(0,Inputs!$B$43-((R1934-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Hunt"),CHOOSE(ArtifactsInput!$N$35+1,15,18,21,24,27,30)*(1-EXP(-(0.2*B1950)*5)),0)+IF(AND(ArtifactsInput!$M$22,Inputs!$B$4&lt;&gt;"Chapter Hunt"),CHOOSE(ArtifactsInput!$N$22+1,10,12,14,16,18,20)*((0*(((0.15*B1950*5))^0/1)+1*(((0.15*B1950*5))^1/1)+2*(((0.15*B1950*5))^2/2)+3*(((0.15*B1950*5))^3/6)+4*(((0.15*B1950*5))^4/24)+5*(((0.15*B1950*5))^5/120))/((((0.15*B1950*5))^0/1)+(((0.15*B1950*5))^1/1)+(((0.15*B1950*5))^2/2)+(((0.15*B1950*5))^3/6)+(((0.15*B1950*5))^4/24)+(((0.15*B1950*5))^5/120))),0)))/100)*I1924)</f>
        <v/>
      </c>
      <c r="L1924">
        <f>K1924*(MIN(Inputs!$B$22+((C1941=TRUE)*(F1941-Calc!F22)),(Inputs!$B$23+((C1943=TRUE)*(F1943-Calc!F24))+(IF(ArtifactsInput!$M$15,CHOOSE(ArtifactsInput!$N$15+1,25,30,35,40,45,50)/100*(Inputs!$B$11-Inputs!$B$11),0))))/100+(Inputs!$B$23+((C1943=TRUE)*(F1943-Calc!F24))+(IF(ArtifactsInput!$M$15,CHOOSE(ArtifactsInput!$N$15+1,25,30,35,40,45,50)/100*(Inputs!$B$11-Inputs!$B$11),0)))/100)/2</f>
        <v/>
      </c>
      <c r="M1924">
        <f>L1924*(1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4">
        <f>L1924*(1-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1924*(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4">
        <f>(1-Summary!$B$11)*T1924+Summary!$B$11*V1924</f>
        <v/>
      </c>
      <c r="P1924">
        <f>IF(B1958=0,0,O1924/B1958)</f>
        <v/>
      </c>
      <c r="Q1924">
        <f>IFERROR(1/(IF(Inputs!$B$38="pvp",15,MAX(0.1,Skills!D5-IF(Skills!E5=TRUE,Inputs!$B$32,0)))*(1-IF(AND(ArtifactsInput!$M$27,Inputs!$B$4="Chapter Hunt"),CHOOSE(ArtifactsInput!$N$27+1,20,24,28,32,36,40),0)/100)),0)</f>
        <v/>
      </c>
      <c r="R1924">
        <f>IF(AND(Inputs!$B$38&lt;&gt;"pvp",Inputs!$B$43&gt;0),IF(MAX(0,Inputs!$B$43-B1955)&lt;=0,0,(INT(MAX(0,Inputs!$B$43-B1955)/(IF(Inputs!$B$38="pvp",15,MAX(0.1,Skills!D5-IF(Skills!E5=TRUE,Inputs!$B$32,0)))*(1-IF(AND(ArtifactsInput!$M$27,Inputs!$B$4="Chapter Hunt"),CHOOSE(ArtifactsInput!$N$27+1,20,24,28,32,36,40),0)/100)))+1)),0)</f>
        <v/>
      </c>
      <c r="S1924">
        <f>IFERROR(O1924/N1924,0)</f>
        <v/>
      </c>
      <c r="T1924">
        <f>IF(C1924,(H1924*N1924*IF(AND(Inputs!$B$38&lt;&gt;"pvp",Inputs!$B$43&gt;0),((Skills!G5*((R1924-1)*IF(Skills!H5&gt;0,Skills!I5/Skills!H5,1)+IF(Skills!H5&gt;0,MIN(Skills!I5,MAX(0,MAX(0,Inputs!$B$43-B1955)-((R1924-1)*(IF(Inputs!$B$38="pvp",15,MAX(0.1,Skills!D5-IF(Skills!E5=TRUE,Inputs!$B$32,0)))*(1-IF(AND(ArtifactsInput!$M$27,Inputs!$B$4="Chapter Hunt"),CHOOSE(ArtifactsInput!$N$27+1,20,24,28,32,36,40),0)/100)))))/Skills!H5,1)))/Inputs!$B$43),G1924*Q1924)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1924*(1-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1924*(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1924*(1-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1924*(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4">
        <f>IF(C1924,(H1924*N1924*IF(AND(Inputs!$B$38&lt;&gt;"pvp",Inputs!$B$43&gt;0),((Skills!G5*((R1924-1)*IF(Skills!H5&gt;0,Skills!I5/Skills!H5,1)+IF(Skills!H5&gt;0,MIN(Skills!I5,MAX(0,MAX(0,Inputs!$B$43-B1955)-((R1924-1)*(IF(Inputs!$B$38="pvp",15,MAX(0.1,Skills!D5-IF(Skills!E5=TRUE,Inputs!$B$32,0)))*(1-IF(AND(ArtifactsInput!$M$27,Inputs!$B$4="Chapter Hunt"),CHOOSE(ArtifactsInput!$N$27+1,20,24,28,32,36,40),0)/100)))))/Skills!H5,1)))/Inputs!$B$43),G1924*Q1924)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5">
      <c r="A1925">
        <f>Skills!A6</f>
        <v/>
      </c>
      <c r="B1925">
        <f>Skills!B6</f>
        <v/>
      </c>
      <c r="C1925">
        <f>Inputs!$B$3&gt;=103</f>
        <v/>
      </c>
      <c r="D1925">
        <f>IF(Skills!C6=1,60+Inputs!$B$25+Inputs!$B$29,IF(Skills!C6=2,90+Inputs!$B$26+Inputs!$B$29,IF(Skills!C6=3,120+Inputs!$B$27+Inputs!$B$29,MAX(0,(Inputs!$B$3-100)*3)+Inputs!$B$28+Inputs!$B$29)))</f>
        <v/>
      </c>
      <c r="E1925">
        <f>INDEX(FactorTable!$B$2:$Y$301, MATCH(ROUND(MIN(300,MAX(1,D1925)),0), FactorTable!$A$2:$A$301,0), Skills!M6+1)</f>
        <v/>
      </c>
      <c r="F1925">
        <f>IF(Skills!N6=TRUE,(Skills!L6/10)*(E1925/1000),Skills!L6/10)+Skills!O6</f>
        <v/>
      </c>
      <c r="G1925">
        <f>Skills!G6*IF(Skills!H6&gt;0,Skills!I6/Skills!H6,1)</f>
        <v/>
      </c>
      <c r="H1925">
        <f>1-(1-Skills!J6/100)^Skills!K6</f>
        <v/>
      </c>
      <c r="I1925" t="inlineStr">
        <is>
          <t>1</t>
        </is>
      </c>
      <c r="J1925">
        <f>((Inputs!$B$6*(1+Inputs!$B$7/100))+(((Inputs!$B$12*(1+Inputs!$B$13/100))-(Inputs!$B$12*(1+Inputs!$B$13/100)))+0.25*(Inputs!$B$14-Inputs!$B$14))*(1+Inputs!$B$7/100))*(F1925/100)</f>
        <v/>
      </c>
      <c r="K1925">
        <f>J1925*(1+((Inputs!$B$12*(1+Inputs!$B$13/100))*0.01+Inputs!$B$14*0.0025)/100)*(1+Inputs!$B$15/100)*(1+Inputs!$B$16/100)*(5000/(6000+Inputs!$B$42*(1-(100*(1-(1-(Inputs!$B$19+0)/100)*(1-CHOOSE(ArtifactsInput!$N$40+1,5,6,7,8,9,10)/100)^(ArtifactsInput!$M$40-ArtifactsInput!$M$40)))/100)))*(1+(Inputs!$B$24+((C1944=TRUE)*(F1944-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1940=TRUE)*(F1940-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1942=TRUE)*(F1942-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1932=TRUE)*F1932*IF(Inputs!$B$3&gt;=110,7,5))+((C1934=TRUE)*F1934*IF(AND(Inputs!$B$38&lt;&gt;"pvp",Inputs!$B$43&gt;0),(((R1934-1)*(Skills!T15*(1+(Inputs!$B$34+(ArtifactsInput!$M$7-ArtifactsInput!$M$7)*CHOOSE(ArtifactsInput!$N$7+1,6,7.2,8.4,9.6,10.8,12))/100))+MIN((Skills!T15*(1+(Inputs!$B$34+(ArtifactsInput!$M$7-ArtifactsInput!$M$7)*CHOOSE(ArtifactsInput!$N$7+1,6,7.2,8.4,9.6,10.8,12))/100)),MAX(0,Inputs!$B$43-((R1934-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Hunt"),CHOOSE(ArtifactsInput!$N$35+1,15,18,21,24,27,30)*(1-EXP(-(0.2*B1950)*5)),0)+IF(AND(ArtifactsInput!$M$22,Inputs!$B$4&lt;&gt;"Chapter Hunt"),CHOOSE(ArtifactsInput!$N$22+1,10,12,14,16,18,20)*((0*(((0.15*B1950*5))^0/1)+1*(((0.15*B1950*5))^1/1)+2*(((0.15*B1950*5))^2/2)+3*(((0.15*B1950*5))^3/6)+4*(((0.15*B1950*5))^4/24)+5*(((0.15*B1950*5))^5/120))/((((0.15*B1950*5))^0/1)+(((0.15*B1950*5))^1/1)+(((0.15*B1950*5))^2/2)+(((0.15*B1950*5))^3/6)+(((0.15*B1950*5))^4/24)+(((0.15*B1950*5))^5/120))),0)))/100)*I1925)</f>
        <v/>
      </c>
      <c r="L1925">
        <f>K1925*(MIN(Inputs!$B$22+((C1941=TRUE)*(F1941-Calc!F22)),(Inputs!$B$23+((C1943=TRUE)*(F1943-Calc!F24))+(IF(ArtifactsInput!$M$15,CHOOSE(ArtifactsInput!$N$15+1,25,30,35,40,45,50)/100*(Inputs!$B$11-Inputs!$B$11),0))))/100+(Inputs!$B$23+((C1943=TRUE)*(F1943-Calc!F24))+(IF(ArtifactsInput!$M$15,CHOOSE(ArtifactsInput!$N$15+1,25,30,35,40,45,50)/100*(Inputs!$B$11-Inputs!$B$11),0)))/100)/2</f>
        <v/>
      </c>
      <c r="M1925">
        <f>L1925*(1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5">
        <f>L1925*(1-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1925*(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5">
        <f>(1-Summary!$B$11)*T1925+Summary!$B$11*V1925</f>
        <v/>
      </c>
      <c r="P1925">
        <f>IF(B1958=0,0,O1925/B1958)</f>
        <v/>
      </c>
      <c r="Q1925">
        <f>IFERROR(1/(IF(Inputs!$B$38="pvp",15,MAX(0.1,Skills!D6-IF(Skills!E6=TRUE,Inputs!$B$32,0)))*(1-IF(AND(ArtifactsInput!$M$27,Inputs!$B$4="Chapter Hunt"),CHOOSE(ArtifactsInput!$N$27+1,20,24,28,32,36,40),0)/100)),0)</f>
        <v/>
      </c>
      <c r="R1925">
        <f>IF(AND(Inputs!$B$38&lt;&gt;"pvp",Inputs!$B$43&gt;0),IF(MAX(0,Inputs!$B$43-B1955)&lt;=0,0,(INT(MAX(0,Inputs!$B$43-B1955)/(IF(Inputs!$B$38="pvp",15,MAX(0.1,Skills!D6-IF(Skills!E6=TRUE,Inputs!$B$32,0)))*(1-IF(AND(ArtifactsInput!$M$27,Inputs!$B$4="Chapter Hunt"),CHOOSE(ArtifactsInput!$N$27+1,20,24,28,32,36,40),0)/100)))+1)),0)</f>
        <v/>
      </c>
      <c r="S1925">
        <f>IFERROR(O1925/N1925,0)</f>
        <v/>
      </c>
      <c r="T1925">
        <f>IF(C1925,(H1925*N1925*IF(AND(Inputs!$B$38&lt;&gt;"pvp",Inputs!$B$43&gt;0),((Skills!G6*((R1925-1)*IF(Skills!H6&gt;0,Skills!I6/Skills!H6,1)+IF(Skills!H6&gt;0,MIN(Skills!I6,MAX(0,MAX(0,Inputs!$B$43-B1955)-((R1925-1)*(IF(Inputs!$B$38="pvp",15,MAX(0.1,Skills!D6-IF(Skills!E6=TRUE,Inputs!$B$32,0)))*(1-IF(AND(ArtifactsInput!$M$27,Inputs!$B$4="Chapter Hunt"),CHOOSE(ArtifactsInput!$N$27+1,20,24,28,32,36,40),0)/100)))))/Skills!H6,1)))/Inputs!$B$43),G1925*Q1925)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1925*(1-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1925*(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1925*(1-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1925*(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5">
        <f>IF(C1925,(H1925*N1925*IF(AND(Inputs!$B$38&lt;&gt;"pvp",Inputs!$B$43&gt;0),((Skills!G6*((R1925-1)*IF(Skills!H6&gt;0,Skills!I6/Skills!H6,1)+IF(Skills!H6&gt;0,MIN(Skills!I6,MAX(0,MAX(0,Inputs!$B$43-B1955)-((R1925-1)*(IF(Inputs!$B$38="pvp",15,MAX(0.1,Skills!D6-IF(Skills!E6=TRUE,Inputs!$B$32,0)))*(1-IF(AND(ArtifactsInput!$M$27,Inputs!$B$4="Chapter Hunt"),CHOOSE(ArtifactsInput!$N$27+1,20,24,28,32,36,40),0)/100)))))/Skills!H6,1)))/Inputs!$B$43),G1925*Q1925)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6">
      <c r="A1926">
        <f>Skills!A7</f>
        <v/>
      </c>
      <c r="B1926">
        <f>Skills!B7</f>
        <v/>
      </c>
      <c r="C1926">
        <f>Inputs!$B$3&gt;=107</f>
        <v/>
      </c>
      <c r="D1926">
        <f>IF(Skills!C7=1,60+Inputs!$B$25+Inputs!$B$29,IF(Skills!C7=2,90+Inputs!$B$26+Inputs!$B$29,IF(Skills!C7=3,120+Inputs!$B$27+Inputs!$B$29,MAX(0,(Inputs!$B$3-100)*3)+Inputs!$B$28+Inputs!$B$29)))</f>
        <v/>
      </c>
      <c r="E1926">
        <f>INDEX(FactorTable!$B$2:$Y$301, MATCH(ROUND(MIN(300,MAX(1,D1926)),0), FactorTable!$A$2:$A$301,0), Skills!M7+1)</f>
        <v/>
      </c>
      <c r="F1926">
        <f>IF(Skills!N7=TRUE,(Skills!L7/10)*(E1926/1000),Skills!L7/10)+Skills!O7</f>
        <v/>
      </c>
      <c r="G1926">
        <f>Skills!G7*IF(Skills!H7&gt;0,Skills!I7/Skills!H7,1)</f>
        <v/>
      </c>
      <c r="H1926">
        <f>1-(1-Skills!J7/100)^Skills!K7</f>
        <v/>
      </c>
      <c r="I1926" t="inlineStr">
        <is>
          <t>1</t>
        </is>
      </c>
      <c r="J1926">
        <f>((Inputs!$B$6*(1+Inputs!$B$7/100))+(((Inputs!$B$12*(1+Inputs!$B$13/100))-(Inputs!$B$12*(1+Inputs!$B$13/100)))+0.25*(Inputs!$B$14-Inputs!$B$14))*(1+Inputs!$B$7/100))*(F1926/100)</f>
        <v/>
      </c>
      <c r="K1926">
        <f>J1926*(1+((Inputs!$B$12*(1+Inputs!$B$13/100))*0.01+Inputs!$B$14*0.0025)/100)*(1+Inputs!$B$15/100)*(1+Inputs!$B$16/100)*(5000/(6000+Inputs!$B$42*(1-(100*(1-(1-(Inputs!$B$19+0)/100)*(1-CHOOSE(ArtifactsInput!$N$40+1,5,6,7,8,9,10)/100)^(ArtifactsInput!$M$40-ArtifactsInput!$M$40)))/100)))*(1+(Inputs!$B$24+((C1944=TRUE)*(F1944-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1940=TRUE)*(F1940-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1942=TRUE)*(F1942-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1932=TRUE)*F1932*IF(Inputs!$B$3&gt;=110,7,5))+((C1934=TRUE)*F1934*IF(AND(Inputs!$B$38&lt;&gt;"pvp",Inputs!$B$43&gt;0),(((R1934-1)*(Skills!T15*(1+(Inputs!$B$34+(ArtifactsInput!$M$7-ArtifactsInput!$M$7)*CHOOSE(ArtifactsInput!$N$7+1,6,7.2,8.4,9.6,10.8,12))/100))+MIN((Skills!T15*(1+(Inputs!$B$34+(ArtifactsInput!$M$7-ArtifactsInput!$M$7)*CHOOSE(ArtifactsInput!$N$7+1,6,7.2,8.4,9.6,10.8,12))/100)),MAX(0,Inputs!$B$43-((R1934-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Hunt"),CHOOSE(ArtifactsInput!$N$35+1,15,18,21,24,27,30)*(1-EXP(-(0.2*B1950)*5)),0)+IF(AND(ArtifactsInput!$M$22,Inputs!$B$4&lt;&gt;"Chapter Hunt"),CHOOSE(ArtifactsInput!$N$22+1,10,12,14,16,18,20)*((0*(((0.15*B1950*5))^0/1)+1*(((0.15*B1950*5))^1/1)+2*(((0.15*B1950*5))^2/2)+3*(((0.15*B1950*5))^3/6)+4*(((0.15*B1950*5))^4/24)+5*(((0.15*B1950*5))^5/120))/((((0.15*B1950*5))^0/1)+(((0.15*B1950*5))^1/1)+(((0.15*B1950*5))^2/2)+(((0.15*B1950*5))^3/6)+(((0.15*B1950*5))^4/24)+(((0.15*B1950*5))^5/120))),0)))/100)*I1926)</f>
        <v/>
      </c>
      <c r="L1926">
        <f>K1926*(MIN(Inputs!$B$22+((C1941=TRUE)*(F1941-Calc!F22)),(Inputs!$B$23+((C1943=TRUE)*(F1943-Calc!F24))+(IF(ArtifactsInput!$M$15,CHOOSE(ArtifactsInput!$N$15+1,25,30,35,40,45,50)/100*(Inputs!$B$11-Inputs!$B$11),0))))/100+(Inputs!$B$23+((C1943=TRUE)*(F1943-Calc!F24))+(IF(ArtifactsInput!$M$15,CHOOSE(ArtifactsInput!$N$15+1,25,30,35,40,45,50)/100*(Inputs!$B$11-Inputs!$B$11),0)))/100)/2</f>
        <v/>
      </c>
      <c r="M1926">
        <f>L1926*(1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6">
        <f>L1926*(1-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1926*(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6">
        <f>(1-Summary!$B$11)*T1926+Summary!$B$11*V1926</f>
        <v/>
      </c>
      <c r="P1926">
        <f>IF(B1958=0,0,O1926/B1958)</f>
        <v/>
      </c>
      <c r="Q1926">
        <f>IFERROR(1/(IF(Inputs!$B$38="pvp",15,MAX(0.1,Skills!D7-IF(Skills!E7=TRUE,Inputs!$B$32,0)))*(1-IF(AND(ArtifactsInput!$M$27,Inputs!$B$4="Chapter Hunt"),CHOOSE(ArtifactsInput!$N$27+1,20,24,28,32,36,40),0)/100)),0)</f>
        <v/>
      </c>
      <c r="R1926">
        <f>IF(AND(Inputs!$B$38&lt;&gt;"pvp",Inputs!$B$43&gt;0),IF(MAX(0,Inputs!$B$43-B1955)&lt;=0,0,(INT(MAX(0,Inputs!$B$43-B1955)/(IF(Inputs!$B$38="pvp",15,MAX(0.1,Skills!D7-IF(Skills!E7=TRUE,Inputs!$B$32,0)))*(1-IF(AND(ArtifactsInput!$M$27,Inputs!$B$4="Chapter Hunt"),CHOOSE(ArtifactsInput!$N$27+1,20,24,28,32,36,40),0)/100)))+1)),0)</f>
        <v/>
      </c>
      <c r="S1926">
        <f>IFERROR(O1926/N1926,0)</f>
        <v/>
      </c>
      <c r="T1926">
        <f>IF(C1926,(H1926*N1926*IF(AND(Inputs!$B$38&lt;&gt;"pvp",Inputs!$B$43&gt;0),((Skills!G7*((R1926-1)*IF(Skills!H7&gt;0,Skills!I7/Skills!H7,1)+IF(Skills!H7&gt;0,MIN(Skills!I7,MAX(0,MAX(0,Inputs!$B$43-B1955)-((R1926-1)*(IF(Inputs!$B$38="pvp",15,MAX(0.1,Skills!D7-IF(Skills!E7=TRUE,Inputs!$B$32,0)))*(1-IF(AND(ArtifactsInput!$M$27,Inputs!$B$4="Chapter Hunt"),CHOOSE(ArtifactsInput!$N$27+1,20,24,28,32,36,40),0)/100)))))/Skills!H7,1)))/Inputs!$B$43),G1926*Q1926)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1926*(1-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1926*(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1926*(1-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1926*(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6">
        <f>IF(C1926,(H1926*N1926*IF(AND(Inputs!$B$38&lt;&gt;"pvp",Inputs!$B$43&gt;0),((Skills!G7*((R1926-1)*IF(Skills!H7&gt;0,Skills!I7/Skills!H7,1)+IF(Skills!H7&gt;0,MIN(Skills!I7,MAX(0,MAX(0,Inputs!$B$43-B1955)-((R1926-1)*(IF(Inputs!$B$38="pvp",15,MAX(0.1,Skills!D7-IF(Skills!E7=TRUE,Inputs!$B$32,0)))*(1-IF(AND(ArtifactsInput!$M$27,Inputs!$B$4="Chapter Hunt"),CHOOSE(ArtifactsInput!$N$27+1,20,24,28,32,36,40),0)/100)))))/Skills!H7,1)))/Inputs!$B$43),G1926*Q1926)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7">
      <c r="A1927">
        <f>Skills!A8</f>
        <v/>
      </c>
      <c r="B1927">
        <f>Skills!B8</f>
        <v/>
      </c>
      <c r="C1927">
        <f>Inputs!$B$3&gt;=117</f>
        <v/>
      </c>
      <c r="D1927">
        <f>IF(Skills!C8=1,60+Inputs!$B$25+Inputs!$B$29,IF(Skills!C8=2,90+Inputs!$B$26+Inputs!$B$29,IF(Skills!C8=3,120+Inputs!$B$27+Inputs!$B$29,MAX(0,(Inputs!$B$3-100)*3)+Inputs!$B$28+Inputs!$B$29)))</f>
        <v/>
      </c>
      <c r="E1927">
        <f>INDEX(FactorTable!$B$2:$Y$301, MATCH(ROUND(MIN(300,MAX(1,D1927)),0), FactorTable!$A$2:$A$301,0), Skills!M8+1)</f>
        <v/>
      </c>
      <c r="F1927">
        <f>IF(Skills!N8=TRUE,(Skills!L8/10)*(E1927/1000),Skills!L8/10)+Skills!O8</f>
        <v/>
      </c>
      <c r="G1927">
        <f>Skills!G8*IF(Skills!H8&gt;0,Skills!I8/Skills!H8,1)</f>
        <v/>
      </c>
      <c r="H1927">
        <f>1-(1-Skills!J8/100)^Skills!K8</f>
        <v/>
      </c>
      <c r="I1927" t="inlineStr">
        <is>
          <t>1</t>
        </is>
      </c>
      <c r="J1927">
        <f>((Inputs!$B$6*(1+Inputs!$B$7/100))+(((Inputs!$B$12*(1+Inputs!$B$13/100))-(Inputs!$B$12*(1+Inputs!$B$13/100)))+0.25*(Inputs!$B$14-Inputs!$B$14))*(1+Inputs!$B$7/100))*(F1927/100)</f>
        <v/>
      </c>
      <c r="K1927">
        <f>J1927*(1+((Inputs!$B$12*(1+Inputs!$B$13/100))*0.01+Inputs!$B$14*0.0025)/100)*(1+Inputs!$B$15/100)*(1+Inputs!$B$16/100)*(5000/(6000+Inputs!$B$42*(1-(100*(1-(1-(Inputs!$B$19+0)/100)*(1-CHOOSE(ArtifactsInput!$N$40+1,5,6,7,8,9,10)/100)^(ArtifactsInput!$M$40-ArtifactsInput!$M$40)))/100)))*(1+(Inputs!$B$24+((C1944=TRUE)*(F1944-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1940=TRUE)*(F1940-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1942=TRUE)*(F1942-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1932=TRUE)*F1932*IF(Inputs!$B$3&gt;=110,7,5))+((C1934=TRUE)*F1934*IF(AND(Inputs!$B$38&lt;&gt;"pvp",Inputs!$B$43&gt;0),(((R1934-1)*(Skills!T15*(1+(Inputs!$B$34+(ArtifactsInput!$M$7-ArtifactsInput!$M$7)*CHOOSE(ArtifactsInput!$N$7+1,6,7.2,8.4,9.6,10.8,12))/100))+MIN((Skills!T15*(1+(Inputs!$B$34+(ArtifactsInput!$M$7-ArtifactsInput!$M$7)*CHOOSE(ArtifactsInput!$N$7+1,6,7.2,8.4,9.6,10.8,12))/100)),MAX(0,Inputs!$B$43-((R1934-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Hunt"),CHOOSE(ArtifactsInput!$N$35+1,15,18,21,24,27,30)*(1-EXP(-(0.2*B1950)*5)),0)+IF(AND(ArtifactsInput!$M$22,Inputs!$B$4&lt;&gt;"Chapter Hunt"),CHOOSE(ArtifactsInput!$N$22+1,10,12,14,16,18,20)*((0*(((0.15*B1950*5))^0/1)+1*(((0.15*B1950*5))^1/1)+2*(((0.15*B1950*5))^2/2)+3*(((0.15*B1950*5))^3/6)+4*(((0.15*B1950*5))^4/24)+5*(((0.15*B1950*5))^5/120))/((((0.15*B1950*5))^0/1)+(((0.15*B1950*5))^1/1)+(((0.15*B1950*5))^2/2)+(((0.15*B1950*5))^3/6)+(((0.15*B1950*5))^4/24)+(((0.15*B1950*5))^5/120))),0)))/100)*I1927)</f>
        <v/>
      </c>
      <c r="L1927">
        <f>K1927*(MIN(Inputs!$B$22+((C1941=TRUE)*(F1941-Calc!F22)),(Inputs!$B$23+((C1943=TRUE)*(F1943-Calc!F24))+(IF(ArtifactsInput!$M$15,CHOOSE(ArtifactsInput!$N$15+1,25,30,35,40,45,50)/100*(Inputs!$B$11-Inputs!$B$11),0))))/100+(Inputs!$B$23+((C1943=TRUE)*(F1943-Calc!F24))+(IF(ArtifactsInput!$M$15,CHOOSE(ArtifactsInput!$N$15+1,25,30,35,40,45,50)/100*(Inputs!$B$11-Inputs!$B$11),0)))/100)/2</f>
        <v/>
      </c>
      <c r="M1927">
        <f>L1927*(1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7">
        <f>L1927*(1-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1927*(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7">
        <f>(1-Summary!$B$11)*T1927+Summary!$B$11*V1927</f>
        <v/>
      </c>
      <c r="P1927">
        <f>IF(B1958=0,0,O1927/B1958)</f>
        <v/>
      </c>
      <c r="Q1927">
        <f>IFERROR(1/(IF(Inputs!$B$38="pvp",15,MAX(0.1,Skills!D8-IF(Skills!E8=TRUE,Inputs!$B$32,0)))*(1-IF(AND(ArtifactsInput!$M$27,Inputs!$B$4="Chapter Hunt"),CHOOSE(ArtifactsInput!$N$27+1,20,24,28,32,36,40),0)/100)),0)</f>
        <v/>
      </c>
      <c r="R1927">
        <f>IF(AND(Inputs!$B$38&lt;&gt;"pvp",Inputs!$B$43&gt;0),IF(MAX(0,Inputs!$B$43-B1955)&lt;=0,0,(INT(MAX(0,Inputs!$B$43-B1955)/(IF(Inputs!$B$38="pvp",15,MAX(0.1,Skills!D8-IF(Skills!E8=TRUE,Inputs!$B$32,0)))*(1-IF(AND(ArtifactsInput!$M$27,Inputs!$B$4="Chapter Hunt"),CHOOSE(ArtifactsInput!$N$27+1,20,24,28,32,36,40),0)/100)))+1)),0)</f>
        <v/>
      </c>
      <c r="S1927">
        <f>IFERROR(O1927/N1927,0)</f>
        <v/>
      </c>
      <c r="T1927">
        <f>IF(C1927,(H1927*N1927*IF(AND(Inputs!$B$38&lt;&gt;"pvp",Inputs!$B$43&gt;0),((Skills!G8*((R1927-1)*IF(Skills!H8&gt;0,Skills!I8/Skills!H8,1)+IF(Skills!H8&gt;0,MIN(Skills!I8,MAX(0,MAX(0,Inputs!$B$43-B1955)-((R1927-1)*(IF(Inputs!$B$38="pvp",15,MAX(0.1,Skills!D8-IF(Skills!E8=TRUE,Inputs!$B$32,0)))*(1-IF(AND(ArtifactsInput!$M$27,Inputs!$B$4="Chapter Hunt"),CHOOSE(ArtifactsInput!$N$27+1,20,24,28,32,36,40),0)/100)))))/Skills!H8,1)))/Inputs!$B$43),G1927*Q1927)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1927*(1-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1927*(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1927*(1-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1927*(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7">
        <f>IF(C1927,(H1927*N1927*IF(AND(Inputs!$B$38&lt;&gt;"pvp",Inputs!$B$43&gt;0),((Skills!G8*((R1927-1)*IF(Skills!H8&gt;0,Skills!I8/Skills!H8,1)+IF(Skills!H8&gt;0,MIN(Skills!I8,MAX(0,MAX(0,Inputs!$B$43-B1955)-((R1927-1)*(IF(Inputs!$B$38="pvp",15,MAX(0.1,Skills!D8-IF(Skills!E8=TRUE,Inputs!$B$32,0)))*(1-IF(AND(ArtifactsInput!$M$27,Inputs!$B$4="Chapter Hunt"),CHOOSE(ArtifactsInput!$N$27+1,20,24,28,32,36,40),0)/100)))))/Skills!H8,1)))/Inputs!$B$43),G1927*Q1927)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8">
      <c r="A1928">
        <f>Skills!A9</f>
        <v/>
      </c>
      <c r="B1928">
        <f>Skills!B9</f>
        <v/>
      </c>
      <c r="C1928">
        <f>Inputs!$B$3&gt;=69</f>
        <v/>
      </c>
      <c r="D1928">
        <f>IF(Skills!C9=1,60+Inputs!$B$25+Inputs!$B$29,IF(Skills!C9=2,90+Inputs!$B$26+Inputs!$B$29,IF(Skills!C9=3,120+Inputs!$B$27+Inputs!$B$29,MAX(0,(Inputs!$B$3-100)*3)+Inputs!$B$28+Inputs!$B$29)))</f>
        <v/>
      </c>
      <c r="E1928">
        <f>INDEX(FactorTable!$B$2:$Y$301, MATCH(ROUND(MIN(300,MAX(1,D1928)),0), FactorTable!$A$2:$A$301,0), Skills!M9+1)</f>
        <v/>
      </c>
      <c r="F1928">
        <f>IF(Skills!N9=TRUE,(Skills!L9/10)*(E1928/1000),Skills!L9/10)+Skills!O9</f>
        <v/>
      </c>
      <c r="G1928">
        <f>Skills!G9*IF(Skills!H9&gt;0,Skills!I9/Skills!H9,1)</f>
        <v/>
      </c>
      <c r="H1928">
        <f>1-(1-Skills!J9/100)^Skills!K9</f>
        <v/>
      </c>
      <c r="I1928" t="inlineStr">
        <is>
          <t>1</t>
        </is>
      </c>
      <c r="J1928">
        <f>((Inputs!$B$6*(1+Inputs!$B$7/100))+(((Inputs!$B$12*(1+Inputs!$B$13/100))-(Inputs!$B$12*(1+Inputs!$B$13/100)))+0.25*(Inputs!$B$14-Inputs!$B$14))*(1+Inputs!$B$7/100))*(F1928/100)</f>
        <v/>
      </c>
      <c r="K1928">
        <f>J1928*(1+((Inputs!$B$12*(1+Inputs!$B$13/100))*0.01+Inputs!$B$14*0.0025)/100)*(1+Inputs!$B$15/100)*(1+Inputs!$B$16/100)*(5000/(6000+Inputs!$B$42*(1-(100*(1-(1-(Inputs!$B$19+0)/100)*(1-CHOOSE(ArtifactsInput!$N$40+1,5,6,7,8,9,10)/100)^(ArtifactsInput!$M$40-ArtifactsInput!$M$40)))/100)))*(1+(Inputs!$B$24+((C1944=TRUE)*(F1944-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1931=TRUE,F1931,0)/100)*(1+IF(Skills!A9="ENHANCED_RAGING_BLOW",IF(Inputs!$B$3&gt;=134,MAX(0,IF(Inputs!$B$3&gt;=110,7,5)-5)*50,0),0)/100)*(1+(IF(Skills!A9="RAGING_BLOW",Inputs!$B$17+((C1940=TRUE)*(F1940-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1942=TRUE)*(F1942-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1932=TRUE)*F1932*IF(Inputs!$B$3&gt;=110,7,5))+((C1934=TRUE)*F1934*IF(AND(Inputs!$B$38&lt;&gt;"pvp",Inputs!$B$43&gt;0),(((R1934-1)*(Skills!T15*(1+(Inputs!$B$34+(ArtifactsInput!$M$7-ArtifactsInput!$M$7)*CHOOSE(ArtifactsInput!$N$7+1,6,7.2,8.4,9.6,10.8,12))/100))+MIN((Skills!T15*(1+(Inputs!$B$34+(ArtifactsInput!$M$7-ArtifactsInput!$M$7)*CHOOSE(ArtifactsInput!$N$7+1,6,7.2,8.4,9.6,10.8,12))/100)),MAX(0,Inputs!$B$43-((R1934-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Hunt"),CHOOSE(ArtifactsInput!$N$35+1,15,18,21,24,27,30)*(1-EXP(-(0.2*B1950)*5)),0)+IF(AND(ArtifactsInput!$M$22,Inputs!$B$4&lt;&gt;"Chapter Hunt"),CHOOSE(ArtifactsInput!$N$22+1,10,12,14,16,18,20)*((0*(((0.15*B1950*5))^0/1)+1*(((0.15*B1950*5))^1/1)+2*(((0.15*B1950*5))^2/2)+3*(((0.15*B1950*5))^3/6)+4*(((0.15*B1950*5))^4/24)+5*(((0.15*B1950*5))^5/120))/((((0.15*B1950*5))^0/1)+(((0.15*B1950*5))^1/1)+(((0.15*B1950*5))^2/2)+(((0.15*B1950*5))^3/6)+(((0.15*B1950*5))^4/24)+(((0.15*B1950*5))^5/120))),0)))/100)*I1928)</f>
        <v/>
      </c>
      <c r="L1928">
        <f>K1928*(MIN(Inputs!$B$22+((C1941=TRUE)*(F1941-Calc!F22)),(Inputs!$B$23+((C1943=TRUE)*(F1943-Calc!F24))+(IF(ArtifactsInput!$M$15,CHOOSE(ArtifactsInput!$N$15+1,25,30,35,40,45,50)/100*(Inputs!$B$11-Inputs!$B$11),0))))/100+(Inputs!$B$23+((C1943=TRUE)*(F1943-Calc!F24))+(IF(ArtifactsInput!$M$15,CHOOSE(ArtifactsInput!$N$15+1,25,30,35,40,45,50)/100*(Inputs!$B$11-Inputs!$B$11),0)))/100)/2</f>
        <v/>
      </c>
      <c r="M1928">
        <f>L1928*(1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8">
        <f>L1928*(1-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1928*(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8">
        <f>(1-Summary!$B$11)*T1928+Summary!$B$11*V1928</f>
        <v/>
      </c>
      <c r="P1928">
        <f>IF(B1958=0,0,O1928/B1958)</f>
        <v/>
      </c>
      <c r="Q1928">
        <f>IFERROR(1/(IF(Inputs!$B$38="pvp",15,MAX(0.1,Skills!D9-IF(Skills!E9=TRUE,Inputs!$B$32,0)))*(1-IF(AND(ArtifactsInput!$M$27,Inputs!$B$4="Chapter Hunt"),CHOOSE(ArtifactsInput!$N$27+1,20,24,28,32,36,40),0)/100)),0)</f>
        <v/>
      </c>
      <c r="R1928">
        <f>IF(AND(Inputs!$B$38&lt;&gt;"pvp",Inputs!$B$43&gt;0),IF(MAX(0,Inputs!$B$43-B1955)&lt;=0,0,(INT(MAX(0,Inputs!$B$43-B1955)/(IF(Inputs!$B$38="pvp",15,MAX(0.1,Skills!D9-IF(Skills!E9=TRUE,Inputs!$B$32,0)))*(1-IF(AND(ArtifactsInput!$M$27,Inputs!$B$4="Chapter Hunt"),CHOOSE(ArtifactsInput!$N$27+1,20,24,28,32,36,40),0)/100)))+1)),0)</f>
        <v/>
      </c>
      <c r="S1928">
        <f>IFERROR(O1928/N1928,0)</f>
        <v/>
      </c>
      <c r="T1928">
        <f>IF(C1928,(H1928*N1928*IF(AND(Inputs!$B$38&lt;&gt;"pvp",Inputs!$B$43&gt;0),((Skills!G9*((R1928-1)*IF(Skills!H9&gt;0,Skills!I9/Skills!H9,1)+IF(Skills!H9&gt;0,MIN(Skills!I9,MAX(0,MAX(0,Inputs!$B$43-B1955)-((R1928-1)*(IF(Inputs!$B$38="pvp",15,MAX(0.1,Skills!D9-IF(Skills!E9=TRUE,Inputs!$B$32,0)))*(1-IF(AND(ArtifactsInput!$M$27,Inputs!$B$4="Chapter Hunt"),CHOOSE(ArtifactsInput!$N$27+1,20,24,28,32,36,40),0)/100)))))/Skills!H9,1)))/Inputs!$B$43),G1928*Q1928)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1928*(1-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1928*(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1928*(1-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1928*(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8">
        <f>IF(C1928,(H1928*N1928*IF(AND(Inputs!$B$38&lt;&gt;"pvp",Inputs!$B$43&gt;0),((Skills!G9*((R1928-1)*IF(Skills!H9&gt;0,Skills!I9/Skills!H9,1)+IF(Skills!H9&gt;0,MIN(Skills!I9,MAX(0,MAX(0,Inputs!$B$43-B1955)-((R1928-1)*(IF(Inputs!$B$38="pvp",15,MAX(0.1,Skills!D9-IF(Skills!E9=TRUE,Inputs!$B$32,0)))*(1-IF(AND(ArtifactsInput!$M$27,Inputs!$B$4="Chapter Hunt"),CHOOSE(ArtifactsInput!$N$27+1,20,24,28,32,36,40),0)/100)))))/Skills!H9,1)))/Inputs!$B$43),G1928*Q1928)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9">
      <c r="A1929">
        <f>Skills!A10</f>
        <v/>
      </c>
      <c r="B1929">
        <f>Skills!B10</f>
        <v/>
      </c>
      <c r="C1929">
        <f>Inputs!$B$3&gt;=63</f>
        <v/>
      </c>
      <c r="D1929">
        <f>IF(Skills!C10=1,60+Inputs!$B$25+Inputs!$B$29,IF(Skills!C10=2,90+Inputs!$B$26+Inputs!$B$29,IF(Skills!C10=3,120+Inputs!$B$27+Inputs!$B$29,MAX(0,(Inputs!$B$3-100)*3)+Inputs!$B$28+Inputs!$B$29)))</f>
        <v/>
      </c>
      <c r="E1929">
        <f>INDEX(FactorTable!$B$2:$Y$301, MATCH(ROUND(MIN(300,MAX(1,D1929)),0), FactorTable!$A$2:$A$301,0), Skills!M10+1)</f>
        <v/>
      </c>
      <c r="F1929">
        <f>IF(Skills!N10=TRUE,(Skills!L10/10)*(E1929/1000),Skills!L10/10)+Skills!O10</f>
        <v/>
      </c>
      <c r="G1929">
        <f>Skills!G10*IF(Skills!H10&gt;0,Skills!I10/Skills!H10,1)</f>
        <v/>
      </c>
      <c r="H1929">
        <f>1-(1-Skills!J10/100)^Skills!K10</f>
        <v/>
      </c>
      <c r="I1929" t="inlineStr">
        <is>
          <t>1</t>
        </is>
      </c>
      <c r="J1929">
        <f>((Inputs!$B$6*(1+Inputs!$B$7/100))+(((Inputs!$B$12*(1+Inputs!$B$13/100))-(Inputs!$B$12*(1+Inputs!$B$13/100)))+0.25*(Inputs!$B$14-Inputs!$B$14))*(1+Inputs!$B$7/100))*(F1929/100)</f>
        <v/>
      </c>
      <c r="K1929">
        <f>J1929*(1+((Inputs!$B$12*(1+Inputs!$B$13/100))*0.01+Inputs!$B$14*0.0025)/100)*(1+Inputs!$B$15/100)*(1+Inputs!$B$16/100)*(5000/(6000+Inputs!$B$42*(1-(100*(1-(1-(Inputs!$B$19+0)/100)*(1-CHOOSE(ArtifactsInput!$N$40+1,5,6,7,8,9,10)/100)^(ArtifactsInput!$M$40-ArtifactsInput!$M$40)))/100)))*(1+(Inputs!$B$24+((C1944=TRUE)*(F1944-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1931=TRUE,F1931,0)/100)*(1+IF(Skills!A10="ENHANCED_RAGING_BLOW",IF(Inputs!$B$3&gt;=134,MAX(0,IF(Inputs!$B$3&gt;=110,7,5)-5)*50,0),0)/100)*(1+(IF(Skills!A10="RAGING_BLOW",Inputs!$B$17+((C1940=TRUE)*(F1940-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1942=TRUE)*(F1942-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1932=TRUE)*F1932*IF(Inputs!$B$3&gt;=110,7,5))+((C1934=TRUE)*F1934*IF(AND(Inputs!$B$38&lt;&gt;"pvp",Inputs!$B$43&gt;0),(((R1934-1)*(Skills!T15*(1+(Inputs!$B$34+(ArtifactsInput!$M$7-ArtifactsInput!$M$7)*CHOOSE(ArtifactsInput!$N$7+1,6,7.2,8.4,9.6,10.8,12))/100))+MIN((Skills!T15*(1+(Inputs!$B$34+(ArtifactsInput!$M$7-ArtifactsInput!$M$7)*CHOOSE(ArtifactsInput!$N$7+1,6,7.2,8.4,9.6,10.8,12))/100)),MAX(0,Inputs!$B$43-((R1934-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Hunt"),CHOOSE(ArtifactsInput!$N$35+1,15,18,21,24,27,30)*(1-EXP(-(0.2*B1950)*5)),0)+IF(AND(ArtifactsInput!$M$22,Inputs!$B$4&lt;&gt;"Chapter Hunt"),CHOOSE(ArtifactsInput!$N$22+1,10,12,14,16,18,20)*((0*(((0.15*B1950*5))^0/1)+1*(((0.15*B1950*5))^1/1)+2*(((0.15*B1950*5))^2/2)+3*(((0.15*B1950*5))^3/6)+4*(((0.15*B1950*5))^4/24)+5*(((0.15*B1950*5))^5/120))/((((0.15*B1950*5))^0/1)+(((0.15*B1950*5))^1/1)+(((0.15*B1950*5))^2/2)+(((0.15*B1950*5))^3/6)+(((0.15*B1950*5))^4/24)+(((0.15*B1950*5))^5/120))),0)))/100)*I1929)</f>
        <v/>
      </c>
      <c r="L1929">
        <f>K1929*(MIN(Inputs!$B$22+((C1941=TRUE)*(F1941-Calc!F22)),(Inputs!$B$23+((C1943=TRUE)*(F1943-Calc!F24))+(IF(ArtifactsInput!$M$15,CHOOSE(ArtifactsInput!$N$15+1,25,30,35,40,45,50)/100*(Inputs!$B$11-Inputs!$B$11),0))))/100+(Inputs!$B$23+((C1943=TRUE)*(F1943-Calc!F24))+(IF(ArtifactsInput!$M$15,CHOOSE(ArtifactsInput!$N$15+1,25,30,35,40,45,50)/100*(Inputs!$B$11-Inputs!$B$11),0)))/100)/2</f>
        <v/>
      </c>
      <c r="M1929">
        <f>L1929*(1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9">
        <f>L1929*(1-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1929*(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9">
        <f>(1-Summary!$B$11)*T1929+Summary!$B$11*V1929</f>
        <v/>
      </c>
      <c r="P1929">
        <f>IF(B1958=0,0,O1929/B1958)</f>
        <v/>
      </c>
      <c r="Q1929">
        <f>IFERROR(1/(IF(Inputs!$B$38="pvp",15,MAX(0.1,Skills!D10-IF(Skills!E10=TRUE,Inputs!$B$32,0)))*(1-IF(AND(ArtifactsInput!$M$27,Inputs!$B$4="Chapter Hunt"),CHOOSE(ArtifactsInput!$N$27+1,20,24,28,32,36,40),0)/100)),0)</f>
        <v/>
      </c>
      <c r="R1929">
        <f>IF(AND(Inputs!$B$38&lt;&gt;"pvp",Inputs!$B$43&gt;0),IF(MAX(0,Inputs!$B$43-B1955)&lt;=0,0,(INT(MAX(0,Inputs!$B$43-B1955)/(IF(Inputs!$B$38="pvp",15,MAX(0.1,Skills!D10-IF(Skills!E10=TRUE,Inputs!$B$32,0)))*(1-IF(AND(ArtifactsInput!$M$27,Inputs!$B$4="Chapter Hunt"),CHOOSE(ArtifactsInput!$N$27+1,20,24,28,32,36,40),0)/100)))+1)),0)</f>
        <v/>
      </c>
      <c r="S1929">
        <f>IFERROR(O1929/N1929,0)</f>
        <v/>
      </c>
      <c r="T1929">
        <f>IF(C1929,(H1929*N1929*IF(AND(Inputs!$B$38&lt;&gt;"pvp",Inputs!$B$43&gt;0),((Skills!G10*((R1929-1)*IF(Skills!H10&gt;0,Skills!I10/Skills!H10,1)+IF(Skills!H10&gt;0,MIN(Skills!I10,MAX(0,MAX(0,Inputs!$B$43-B1955)-((R1929-1)*(IF(Inputs!$B$38="pvp",15,MAX(0.1,Skills!D10-IF(Skills!E10=TRUE,Inputs!$B$32,0)))*(1-IF(AND(ArtifactsInput!$M$27,Inputs!$B$4="Chapter Hunt"),CHOOSE(ArtifactsInput!$N$27+1,20,24,28,32,36,40),0)/100)))))/Skills!H10,1)))/Inputs!$B$43),G1929*Q1929)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1929*(1-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1929*(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1929*(1-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1929*(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9">
        <f>IF(C1929,(H1929*N1929*IF(AND(Inputs!$B$38&lt;&gt;"pvp",Inputs!$B$43&gt;0),((Skills!G10*((R1929-1)*IF(Skills!H10&gt;0,Skills!I10/Skills!H10,1)+IF(Skills!H10&gt;0,MIN(Skills!I10,MAX(0,MAX(0,Inputs!$B$43-B1955)-((R1929-1)*(IF(Inputs!$B$38="pvp",15,MAX(0.1,Skills!D10-IF(Skills!E10=TRUE,Inputs!$B$32,0)))*(1-IF(AND(ArtifactsInput!$M$27,Inputs!$B$4="Chapter Hunt"),CHOOSE(ArtifactsInput!$N$27+1,20,24,28,32,36,40),0)/100)))))/Skills!H10,1)))/Inputs!$B$43),G1929*Q1929)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30">
      <c r="A1930">
        <f>Skills!A11</f>
        <v/>
      </c>
      <c r="B1930">
        <f>Skills!B11</f>
        <v/>
      </c>
      <c r="C1930">
        <f>Inputs!$B$3&gt;=35</f>
        <v/>
      </c>
      <c r="D1930">
        <f>IF(Skills!C11=1,60+Inputs!$B$25+Inputs!$B$29,IF(Skills!C11=2,90+Inputs!$B$26+Inputs!$B$29,IF(Skills!C11=3,120+Inputs!$B$27+Inputs!$B$29,MAX(0,(Inputs!$B$3-100)*3)+Inputs!$B$28+Inputs!$B$29)))</f>
        <v/>
      </c>
      <c r="E1930">
        <f>INDEX(FactorTable!$B$2:$Y$301, MATCH(ROUND(MIN(300,MAX(1,D1930)),0), FactorTable!$A$2:$A$301,0), Skills!M11+1)</f>
        <v/>
      </c>
      <c r="F1930">
        <f>IF(Skills!N11=TRUE,(Skills!L11/10)*(E1930/1000),Skills!L11/10)+Skills!O11</f>
        <v/>
      </c>
      <c r="G1930">
        <f>Skills!G11*IF(Skills!H11&gt;0,Skills!I11/Skills!H11,1)</f>
        <v/>
      </c>
      <c r="H1930">
        <f>1-(1-Skills!J11/100)^Skills!K11</f>
        <v/>
      </c>
      <c r="I1930" t="inlineStr">
        <is>
          <t>1</t>
        </is>
      </c>
      <c r="J1930">
        <f>((Inputs!$B$6*(1+Inputs!$B$7/100))+(((Inputs!$B$12*(1+Inputs!$B$13/100))-(Inputs!$B$12*(1+Inputs!$B$13/100)))+0.25*(Inputs!$B$14-Inputs!$B$14))*(1+Inputs!$B$7/100))*(F1930/100)</f>
        <v/>
      </c>
      <c r="K1930">
        <f>J1930*(1+((Inputs!$B$12*(1+Inputs!$B$13/100))*0.01+Inputs!$B$14*0.0025)/100)*(1+Inputs!$B$15/100)*(1+Inputs!$B$16/100)*(5000/(6000+Inputs!$B$42*(1-(100*(1-(1-(Inputs!$B$19+0)/100)*(1-CHOOSE(ArtifactsInput!$N$40+1,5,6,7,8,9,10)/100)^(ArtifactsInput!$M$40-ArtifactsInput!$M$40)))/100)))*(1+(Inputs!$B$24+((C1944=TRUE)*(F1944-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1931=TRUE,F1931,0)/100)*(1+IF(Skills!A11="ENHANCED_RAGING_BLOW",IF(Inputs!$B$3&gt;=134,MAX(0,IF(Inputs!$B$3&gt;=110,7,5)-5)*50,0),0)/100)*(1+(IF(Skills!A11="RAGING_BLOW",Inputs!$B$17+((C1940=TRUE)*(F1940-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1942=TRUE)*(F1942-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1932=TRUE)*F1932*IF(Inputs!$B$3&gt;=110,7,5))+((C1934=TRUE)*F1934*IF(AND(Inputs!$B$38&lt;&gt;"pvp",Inputs!$B$43&gt;0),(((R1934-1)*(Skills!T15*(1+(Inputs!$B$34+(ArtifactsInput!$M$7-ArtifactsInput!$M$7)*CHOOSE(ArtifactsInput!$N$7+1,6,7.2,8.4,9.6,10.8,12))/100))+MIN((Skills!T15*(1+(Inputs!$B$34+(ArtifactsInput!$M$7-ArtifactsInput!$M$7)*CHOOSE(ArtifactsInput!$N$7+1,6,7.2,8.4,9.6,10.8,12))/100)),MAX(0,Inputs!$B$43-((R1934-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Hunt"),CHOOSE(ArtifactsInput!$N$35+1,15,18,21,24,27,30)*(1-EXP(-(0.2*B1950)*5)),0)+IF(AND(ArtifactsInput!$M$22,Inputs!$B$4&lt;&gt;"Chapter Hunt"),CHOOSE(ArtifactsInput!$N$22+1,10,12,14,16,18,20)*((0*(((0.15*B1950*5))^0/1)+1*(((0.15*B1950*5))^1/1)+2*(((0.15*B1950*5))^2/2)+3*(((0.15*B1950*5))^3/6)+4*(((0.15*B1950*5))^4/24)+5*(((0.15*B1950*5))^5/120))/((((0.15*B1950*5))^0/1)+(((0.15*B1950*5))^1/1)+(((0.15*B1950*5))^2/2)+(((0.15*B1950*5))^3/6)+(((0.15*B1950*5))^4/24)+(((0.15*B1950*5))^5/120))),0)))/100)*I1930)</f>
        <v/>
      </c>
      <c r="L1930">
        <f>K1930*(MIN(Inputs!$B$22+((C1941=TRUE)*(F1941-Calc!F22)),(Inputs!$B$23+((C1943=TRUE)*(F1943-Calc!F24))+(IF(ArtifactsInput!$M$15,CHOOSE(ArtifactsInput!$N$15+1,25,30,35,40,45,50)/100*(Inputs!$B$11-Inputs!$B$11),0))))/100+(Inputs!$B$23+((C1943=TRUE)*(F1943-Calc!F24))+(IF(ArtifactsInput!$M$15,CHOOSE(ArtifactsInput!$N$15+1,25,30,35,40,45,50)/100*(Inputs!$B$11-Inputs!$B$11),0)))/100)/2</f>
        <v/>
      </c>
      <c r="M1930">
        <f>L1930*(1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30">
        <f>L1930*(1-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1930*(MIN((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30">
        <f>(1-Summary!$B$11)*T1930+Summary!$B$11*V1930</f>
        <v/>
      </c>
      <c r="P1930">
        <f>IF(B1958=0,0,O1930/B1958)</f>
        <v/>
      </c>
      <c r="Q1930">
        <f>IFERROR(1/(IF(Inputs!$B$38="pvp",15,MAX(0.1,Skills!D11-IF(Skills!E11=TRUE,Inputs!$B$32,0)))*(1-IF(AND(ArtifactsInput!$M$27,Inputs!$B$4="Chapter Hunt"),CHOOSE(ArtifactsInput!$N$27+1,20,24,28,32,36,40),0)/100)),0)</f>
        <v/>
      </c>
      <c r="R1930">
        <f>IF(AND(Inputs!$B$38&lt;&gt;"pvp",Inputs!$B$43&gt;0),IF(MAX(0,Inputs!$B$43-B1955)&lt;=0,0,(INT(MAX(0,Inputs!$B$43-B1955)/(IF(Inputs!$B$38="pvp",15,MAX(0.1,Skills!D11-IF(Skills!E11=TRUE,Inputs!$B$32,0)))*(1-IF(AND(ArtifactsInput!$M$27,Inputs!$B$4="Chapter Hunt"),CHOOSE(ArtifactsInput!$N$27+1,20,24,28,32,36,40),0)/100)))+1)),0)</f>
        <v/>
      </c>
      <c r="S1930">
        <f>IFERROR(O1930/N1930,0)</f>
        <v/>
      </c>
      <c r="T1930">
        <f>IF(C1930,(H1930*N1930*IF(AND(Inputs!$B$38&lt;&gt;"pvp",Inputs!$B$43&gt;0),((Skills!G11*((R1930-1)*IF(Skills!H11&gt;0,Skills!I11/Skills!H11,1)+IF(Skills!H11&gt;0,MIN(Skills!I11,MAX(0,MAX(0,Inputs!$B$43-B1955)-((R1930-1)*(IF(Inputs!$B$38="pvp",15,MAX(0.1,Skills!D11-IF(Skills!E11=TRUE,Inputs!$B$32,0)))*(1-IF(AND(ArtifactsInput!$M$27,Inputs!$B$4="Chapter Hunt"),CHOOSE(ArtifactsInput!$N$27+1,20,24,28,32,36,40),0)/100)))))/Skills!H11,1)))/Inputs!$B$43),G1930*Q1930)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1930*(1-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1930*(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1930*(1-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1930*(MIN(100,(Inputs!$B$9+((C1945=TRUE)*(F1945-Calc!F26))+B1948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30">
        <f>IF(C1930,(H1930*N1930*IF(AND(Inputs!$B$38&lt;&gt;"pvp",Inputs!$B$43&gt;0),((Skills!G11*((R1930-1)*IF(Skills!H11&gt;0,Skills!I11/Skills!H11,1)+IF(Skills!H11&gt;0,MIN(Skills!I11,MAX(0,MAX(0,Inputs!$B$43-B1955)-((R1930-1)*(IF(Inputs!$B$38="pvp",15,MAX(0.1,Skills!D11-IF(Skills!E11=TRUE,Inputs!$B$32,0)))*(1-IF(AND(ArtifactsInput!$M$27,Inputs!$B$4="Chapter Hunt"),CHOOSE(ArtifactsInput!$N$27+1,20,24,28,32,36,40),0)/100)))))/Skills!H11,1)))/Inputs!$B$43),G1930*Q1930)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31">
      <c r="A1931">
        <f>Skills!A12</f>
        <v/>
      </c>
      <c r="B1931">
        <f>Skills!B12</f>
        <v/>
      </c>
      <c r="C1931">
        <f>Inputs!$B$3&gt;=100</f>
        <v/>
      </c>
      <c r="D1931">
        <f>IF(Skills!C12=1,60+Inputs!$B$25+Inputs!$B$29,IF(Skills!C12=2,90+Inputs!$B$26+Inputs!$B$29,IF(Skills!C12=3,120+Inputs!$B$27+Inputs!$B$29,MAX(0,(Inputs!$B$3-100)*3)+Inputs!$B$28+Inputs!$B$29)))</f>
        <v/>
      </c>
      <c r="E1931">
        <f>INDEX(FactorTable!$B$2:$Y$301, MATCH(ROUND(MIN(300,MAX(1,D1931)),0), FactorTable!$A$2:$A$301,0), Skills!M12+1)</f>
        <v/>
      </c>
      <c r="F1931">
        <f>IF(Skills!N12=TRUE,(Skills!L12/10)*(E1931/1000),Skills!L12/10)+Skills!O12</f>
        <v/>
      </c>
      <c r="G1931" t="inlineStr"/>
      <c r="H1931" t="inlineStr"/>
      <c r="I1931" t="inlineStr">
        <is>
          <t>1</t>
        </is>
      </c>
      <c r="J1931" t="inlineStr"/>
      <c r="K1931" t="inlineStr"/>
      <c r="L1931" t="inlineStr"/>
      <c r="M1931" t="inlineStr"/>
      <c r="N1931" t="inlineStr"/>
      <c r="O1931" t="inlineStr"/>
      <c r="P1931" t="inlineStr"/>
      <c r="Q1931" t="inlineStr"/>
      <c r="R1931" t="inlineStr"/>
      <c r="S1931" t="inlineStr"/>
    </row>
    <row r="1932">
      <c r="A1932">
        <f>Skills!A13</f>
        <v/>
      </c>
      <c r="B1932">
        <f>Skills!B13</f>
        <v/>
      </c>
      <c r="C1932">
        <f>Inputs!$B$3&gt;=45</f>
        <v/>
      </c>
      <c r="D1932">
        <f>IF(Skills!C13=1,60+Inputs!$B$25+Inputs!$B$29,IF(Skills!C13=2,90+Inputs!$B$26+Inputs!$B$29,IF(Skills!C13=3,120+Inputs!$B$27+Inputs!$B$29,MAX(0,(Inputs!$B$3-100)*3)+Inputs!$B$28+Inputs!$B$29)))</f>
        <v/>
      </c>
      <c r="E1932">
        <f>INDEX(FactorTable!$B$2:$Y$301, MATCH(ROUND(MIN(300,MAX(1,D1932)),0), FactorTable!$A$2:$A$301,0), Skills!M13+1)</f>
        <v/>
      </c>
      <c r="F1932">
        <f>IF(Skills!N13=TRUE,(Skills!L13/10)*(E1932/1000),Skills!L13/10)+Skills!O13</f>
        <v/>
      </c>
      <c r="G1932">
        <f>Skills!G13*IF(Skills!H13&gt;0,Skills!I13/Skills!H13,1)</f>
        <v/>
      </c>
      <c r="H1932">
        <f>1-(1-Skills!J13/100)^Skills!K13</f>
        <v/>
      </c>
      <c r="I1932" t="inlineStr">
        <is>
          <t>1</t>
        </is>
      </c>
      <c r="J1932" t="inlineStr"/>
      <c r="K1932" t="inlineStr"/>
      <c r="L1932" t="inlineStr"/>
      <c r="M1932" t="inlineStr"/>
      <c r="N1932" t="inlineStr"/>
      <c r="O1932">
        <f>(1-Summary!$B$11)*T1932+Summary!$B$11*V1932</f>
        <v/>
      </c>
      <c r="P1932">
        <f>IF(B1958=0,0,O1932/B1958)</f>
        <v/>
      </c>
      <c r="Q1932" t="n">
        <v>0</v>
      </c>
      <c r="R1932" t="n">
        <v>0</v>
      </c>
      <c r="S1932">
        <f>IFERROR(O1932/N1932,0)</f>
        <v/>
      </c>
      <c r="T1932" t="n">
        <v>0</v>
      </c>
      <c r="V1932" t="n">
        <v>0</v>
      </c>
    </row>
    <row r="1933">
      <c r="A1933">
        <f>Skills!A14</f>
        <v/>
      </c>
      <c r="B1933">
        <f>Skills!B14</f>
        <v/>
      </c>
      <c r="C1933">
        <f>Inputs!$B$3&gt;=75</f>
        <v/>
      </c>
      <c r="D1933">
        <f>IF(Skills!C14=1,60+Inputs!$B$25+Inputs!$B$29,IF(Skills!C14=2,90+Inputs!$B$26+Inputs!$B$29,IF(Skills!C14=3,120+Inputs!$B$27+Inputs!$B$29,MAX(0,(Inputs!$B$3-100)*3)+Inputs!$B$28+Inputs!$B$29)))</f>
        <v/>
      </c>
      <c r="E1933">
        <f>INDEX(FactorTable!$B$2:$Y$301, MATCH(ROUND(MIN(300,MAX(1,D1933)),0), FactorTable!$A$2:$A$301,0), Skills!M14+1)</f>
        <v/>
      </c>
      <c r="F1933">
        <f>IF(Skills!N14=TRUE,(Skills!L14/10)*(E1933/1000),Skills!L14/10)+Skills!O14</f>
        <v/>
      </c>
      <c r="G1933">
        <f>Skills!G14*IF(Skills!H14&gt;0,Skills!I14/Skills!H14,1)</f>
        <v/>
      </c>
      <c r="H1933">
        <f>1-(1-Skills!J14/100)^Skills!K14</f>
        <v/>
      </c>
      <c r="I1933" t="inlineStr">
        <is>
          <t>1</t>
        </is>
      </c>
      <c r="J1933" t="inlineStr"/>
      <c r="K1933" t="inlineStr"/>
      <c r="L1933" t="inlineStr"/>
      <c r="M1933" t="inlineStr"/>
      <c r="N1933" t="inlineStr"/>
      <c r="O1933">
        <f>(1-Summary!$B$11)*T1933+Summary!$B$11*V1933</f>
        <v/>
      </c>
      <c r="P1933">
        <f>IF(B1958=0,0,O1933/B1958)</f>
        <v/>
      </c>
      <c r="Q1933" t="n">
        <v>0</v>
      </c>
      <c r="R1933" t="n">
        <v>0</v>
      </c>
      <c r="S1933">
        <f>IFERROR(O1933/N1933,0)</f>
        <v/>
      </c>
      <c r="T1933" t="n">
        <v>0</v>
      </c>
      <c r="V1933" t="n">
        <v>0</v>
      </c>
    </row>
    <row r="1934">
      <c r="A1934">
        <f>Skills!A15</f>
        <v/>
      </c>
      <c r="B1934">
        <f>Skills!B15</f>
        <v/>
      </c>
      <c r="C1934">
        <f>Inputs!$B$3&gt;=40</f>
        <v/>
      </c>
      <c r="D1934">
        <f>IF(Skills!C15=1,60+Inputs!$B$25+Inputs!$B$29,IF(Skills!C15=2,90+Inputs!$B$26+Inputs!$B$29,IF(Skills!C15=3,120+Inputs!$B$27+Inputs!$B$29,MAX(0,(Inputs!$B$3-100)*3)+Inputs!$B$28+Inputs!$B$29)))</f>
        <v/>
      </c>
      <c r="E1934">
        <f>INDEX(FactorTable!$B$2:$Y$301, MATCH(ROUND(MIN(300,MAX(1,D1934)),0), FactorTable!$A$2:$A$301,0), Skills!M15+1)</f>
        <v/>
      </c>
      <c r="F1934">
        <f>IF(Skills!N15=TRUE,(Skills!L15/10)*(E1934/1000),Skills!L15/10)+Skills!O15</f>
        <v/>
      </c>
      <c r="G1934">
        <f>Skills!G15*IF(Skills!H15&gt;0,Skills!I15/Skills!H15,1)</f>
        <v/>
      </c>
      <c r="H1934">
        <f>1-(1-Skills!J15/100)^Skills!K15</f>
        <v/>
      </c>
      <c r="I1934" t="inlineStr">
        <is>
          <t>1</t>
        </is>
      </c>
      <c r="J1934" t="inlineStr"/>
      <c r="K1934" t="inlineStr"/>
      <c r="L1934" t="inlineStr"/>
      <c r="M1934" t="inlineStr"/>
      <c r="N1934" t="inlineStr"/>
      <c r="O1934">
        <f>(1-Summary!$B$11)*T1934+Summary!$B$11*V1934</f>
        <v/>
      </c>
      <c r="P1934">
        <f>IF(B1958=0,0,O1934/B1958)</f>
        <v/>
      </c>
      <c r="Q1934">
        <f>IFERROR(1/(IF(Inputs!$B$38="pvp",15,MAX(0.1,Skills!D15-IF(Skills!E15=TRUE,Inputs!$B$32,0)))*(1-IF(AND(ArtifactsInput!$M$27,Inputs!$B$4="Chapter Hunt"),CHOOSE(ArtifactsInput!$N$27+1,20,24,28,32,36,40),0)/100)),0)</f>
        <v/>
      </c>
      <c r="R1934">
        <f>IF(AND(Inputs!$B$38&lt;&gt;"pvp",Inputs!$B$43&gt;0),IF(Inputs!$B$43&lt;=0,0,(INT(Inputs!$B$43/(IF(Inputs!$B$38="pvp",15,MAX(0.1,Skills!D15-IF(Skills!E15=TRUE,Inputs!$B$32,0)))*(1-IF(AND(ArtifactsInput!$M$27,Inputs!$B$4="Chapter Hunt"),CHOOSE(ArtifactsInput!$N$27+1,20,24,28,32,36,40),0)/100)))+1)),0)</f>
        <v/>
      </c>
      <c r="S1934">
        <f>IFERROR(O1934/N1934,0)</f>
        <v/>
      </c>
      <c r="T1934" t="n">
        <v>0</v>
      </c>
      <c r="V1934" t="n">
        <v>0</v>
      </c>
    </row>
    <row r="1935">
      <c r="A1935">
        <f>Skills!A16</f>
        <v/>
      </c>
      <c r="B1935">
        <f>Skills!B16</f>
        <v/>
      </c>
      <c r="C1935">
        <f>Inputs!$B$3&gt;=66</f>
        <v/>
      </c>
      <c r="D1935">
        <f>IF(Skills!C16=1,60+Inputs!$B$25+Inputs!$B$29,IF(Skills!C16=2,90+Inputs!$B$26+Inputs!$B$29,IF(Skills!C16=3,120+Inputs!$B$27+Inputs!$B$29,MAX(0,(Inputs!$B$3-100)*3)+Inputs!$B$28+Inputs!$B$29)))</f>
        <v/>
      </c>
      <c r="E1935">
        <f>INDEX(FactorTable!$B$2:$Y$301, MATCH(ROUND(MIN(300,MAX(1,D1935)),0), FactorTable!$A$2:$A$301,0), Skills!M16+1)</f>
        <v/>
      </c>
      <c r="F1935">
        <f>IF(Skills!N16=TRUE,(Skills!L16/10)*(E1935/1000),Skills!L16/10)+Skills!O16</f>
        <v/>
      </c>
      <c r="G1935">
        <f>Skills!G16*IF(Skills!H16&gt;0,Skills!I16/Skills!H16,1)</f>
        <v/>
      </c>
      <c r="H1935">
        <f>1-(1-Skills!J16/100)^Skills!K16</f>
        <v/>
      </c>
      <c r="I1935" t="inlineStr">
        <is>
          <t>1</t>
        </is>
      </c>
      <c r="J1935" t="inlineStr"/>
      <c r="K1935" t="inlineStr"/>
      <c r="L1935" t="inlineStr"/>
      <c r="M1935" t="inlineStr"/>
      <c r="N1935" t="inlineStr"/>
      <c r="O1935">
        <f>(1-Summary!$B$11)*T1935+Summary!$B$11*V1935</f>
        <v/>
      </c>
      <c r="P1935">
        <f>IF(B1958=0,0,O1935/B1958)</f>
        <v/>
      </c>
      <c r="Q1935">
        <f>IFERROR(1/(IF(Inputs!$B$38="pvp",15,MAX(0.1,Skills!D16-IF(Skills!E16=TRUE,Inputs!$B$32,0)))*(1-IF(AND(ArtifactsInput!$M$27,Inputs!$B$4="Chapter Hunt"),CHOOSE(ArtifactsInput!$N$27+1,20,24,28,32,36,40),0)/100)),0)</f>
        <v/>
      </c>
      <c r="R1935">
        <f>IF(AND(Inputs!$B$38&lt;&gt;"pvp",Inputs!$B$43&gt;0),IF(Inputs!$B$43&lt;=0,0,(INT(Inputs!$B$43/(IF(Inputs!$B$38="pvp",15,MAX(0.1,Skills!D16-IF(Skills!E16=TRUE,Inputs!$B$32,0)))*(1-IF(AND(ArtifactsInput!$M$27,Inputs!$B$4="Chapter Hunt"),CHOOSE(ArtifactsInput!$N$27+1,20,24,28,32,36,40),0)/100)))+1)),0)</f>
        <v/>
      </c>
      <c r="S1935">
        <f>IFERROR(O1935/N1935,0)</f>
        <v/>
      </c>
      <c r="T1935" t="n">
        <v>0</v>
      </c>
      <c r="V1935" t="n">
        <v>0</v>
      </c>
    </row>
    <row r="1936">
      <c r="A1936">
        <f>Skills!A17</f>
        <v/>
      </c>
      <c r="B1936">
        <f>Skills!B17</f>
        <v/>
      </c>
      <c r="C1936">
        <f>Inputs!$B$3&gt;=115</f>
        <v/>
      </c>
      <c r="D1936">
        <f>IF(Skills!C17=1,60+Inputs!$B$25+Inputs!$B$29,IF(Skills!C17=2,90+Inputs!$B$26+Inputs!$B$29,IF(Skills!C17=3,120+Inputs!$B$27+Inputs!$B$29,MAX(0,(Inputs!$B$3-100)*3)+Inputs!$B$28+Inputs!$B$29)))</f>
        <v/>
      </c>
      <c r="E1936">
        <f>INDEX(FactorTable!$B$2:$Y$301, MATCH(ROUND(MIN(300,MAX(1,D1936)),0), FactorTable!$A$2:$A$301,0), Skills!M17+1)</f>
        <v/>
      </c>
      <c r="F1936">
        <f>IF(Skills!N17=TRUE,(Skills!L17/10)*(E1936/1000),Skills!L17/10)+Skills!O17</f>
        <v/>
      </c>
      <c r="G1936">
        <f>Skills!G17*IF(Skills!H17&gt;0,Skills!I17/Skills!H17,1)</f>
        <v/>
      </c>
      <c r="H1936">
        <f>1-(1-Skills!J17/100)^Skills!K17</f>
        <v/>
      </c>
      <c r="I1936" t="inlineStr">
        <is>
          <t>1</t>
        </is>
      </c>
      <c r="J1936" t="inlineStr"/>
      <c r="K1936" t="inlineStr"/>
      <c r="L1936" t="inlineStr"/>
      <c r="M1936" t="inlineStr"/>
      <c r="N1936" t="inlineStr"/>
      <c r="O1936">
        <f>(1-Summary!$B$11)*T1936+Summary!$B$11*V1936</f>
        <v/>
      </c>
      <c r="P1936">
        <f>IF(B1958=0,0,O1936/B1958)</f>
        <v/>
      </c>
      <c r="Q1936">
        <f>IFERROR(1/(IF(Inputs!$B$38="pvp",15,MAX(0.1,Skills!D17-IF(Skills!E17=TRUE,Inputs!$B$32,0)))*(1-IF(AND(ArtifactsInput!$M$27,Inputs!$B$4="Chapter Hunt"),CHOOSE(ArtifactsInput!$N$27+1,20,24,28,32,36,40),0)/100)),0)</f>
        <v/>
      </c>
      <c r="R1936">
        <f>IF(AND(Inputs!$B$38&lt;&gt;"pvp",Inputs!$B$43&gt;0),IF(Inputs!$B$43&lt;=0,0,(INT(Inputs!$B$43/(IF(Inputs!$B$38="pvp",15,MAX(0.1,Skills!D17-IF(Skills!E17=TRUE,Inputs!$B$32,0)))*(1-IF(AND(ArtifactsInput!$M$27,Inputs!$B$4="Chapter Hunt"),CHOOSE(ArtifactsInput!$N$27+1,20,24,28,32,36,40),0)/100)))+1)),0)</f>
        <v/>
      </c>
      <c r="S1936">
        <f>IFERROR(O1936/N1936,0)</f>
        <v/>
      </c>
      <c r="T1936" t="n">
        <v>0</v>
      </c>
      <c r="V1936" t="n">
        <v>0</v>
      </c>
    </row>
    <row r="1937">
      <c r="A1937">
        <f>Skills!A18</f>
        <v/>
      </c>
      <c r="B1937">
        <f>Skills!B18</f>
        <v/>
      </c>
      <c r="C1937">
        <f>Inputs!$B$3&gt;=115</f>
        <v/>
      </c>
      <c r="D1937">
        <f>IF(Skills!C18=1,60+Inputs!$B$25+Inputs!$B$29,IF(Skills!C18=2,90+Inputs!$B$26+Inputs!$B$29,IF(Skills!C18=3,120+Inputs!$B$27+Inputs!$B$29,MAX(0,(Inputs!$B$3-100)*3)+Inputs!$B$28+Inputs!$B$29)))</f>
        <v/>
      </c>
      <c r="E1937">
        <f>INDEX(FactorTable!$B$2:$Y$301, MATCH(ROUND(MIN(300,MAX(1,D1937)),0), FactorTable!$A$2:$A$301,0), Skills!M18+1)</f>
        <v/>
      </c>
      <c r="F1937">
        <f>IF(Skills!N18=TRUE,(Skills!L18/10)*(E1937/1000),Skills!L18/10)+Skills!O18</f>
        <v/>
      </c>
      <c r="G1937">
        <f>Skills!G18*IF(Skills!H18&gt;0,Skills!I18/Skills!H18,1)</f>
        <v/>
      </c>
      <c r="H1937">
        <f>1-(1-Skills!J18/100)^Skills!K18</f>
        <v/>
      </c>
      <c r="I1937" t="inlineStr">
        <is>
          <t>1</t>
        </is>
      </c>
      <c r="J1937" t="inlineStr"/>
      <c r="K1937" t="inlineStr"/>
      <c r="L1937" t="inlineStr"/>
      <c r="M1937" t="inlineStr"/>
      <c r="N1937" t="inlineStr"/>
      <c r="O1937">
        <f>(1-Summary!$B$11)*T1937+Summary!$B$11*V1937</f>
        <v/>
      </c>
      <c r="P1937">
        <f>IF(B1958=0,0,O1937/B1958)</f>
        <v/>
      </c>
      <c r="Q1937">
        <f>IFERROR(1/(IF(Inputs!$B$38="pvp",15,MAX(0.1,Skills!D18-IF(Skills!E18=TRUE,Inputs!$B$32,0)))*(1-IF(AND(ArtifactsInput!$M$27,Inputs!$B$4="Chapter Hunt"),CHOOSE(ArtifactsInput!$N$27+1,20,24,28,32,36,40),0)/100)),0)</f>
        <v/>
      </c>
      <c r="R1937">
        <f>IF(AND(Inputs!$B$38&lt;&gt;"pvp",Inputs!$B$43&gt;0),IF(Inputs!$B$43&lt;=0,0,(INT(Inputs!$B$43/(IF(Inputs!$B$38="pvp",15,MAX(0.1,Skills!D18-IF(Skills!E18=TRUE,Inputs!$B$32,0)))*(1-IF(AND(ArtifactsInput!$M$27,Inputs!$B$4="Chapter Hunt"),CHOOSE(ArtifactsInput!$N$27+1,20,24,28,32,36,40),0)/100)))+1)),0)</f>
        <v/>
      </c>
      <c r="S1937">
        <f>IFERROR(O1937/N1937,0)</f>
        <v/>
      </c>
      <c r="T1937" t="n">
        <v>0</v>
      </c>
      <c r="V1937" t="n">
        <v>0</v>
      </c>
    </row>
    <row r="1938">
      <c r="A1938">
        <f>Skills!A19</f>
        <v/>
      </c>
      <c r="B1938">
        <f>Skills!B19</f>
        <v/>
      </c>
      <c r="C1938">
        <f>TRUE</f>
        <v/>
      </c>
      <c r="D1938">
        <f>IF(Skills!C19=1,60+Inputs!$B$25+Inputs!$B$29,IF(Skills!C19=2,90+Inputs!$B$26+Inputs!$B$29,IF(Skills!C19=3,120+Inputs!$B$27+Inputs!$B$29,MAX(0,(Inputs!$B$3-100)*3)+Inputs!$B$28+Inputs!$B$29)))</f>
        <v/>
      </c>
      <c r="E1938">
        <f>INDEX(FactorTable!$B$2:$Y$301, MATCH(ROUND(MIN(300,MAX(1,D1938)),0), FactorTable!$A$2:$A$301,0), Skills!M19+1)</f>
        <v/>
      </c>
      <c r="F1938">
        <f>IF(Skills!N19=TRUE,(Skills!L19/10)*(E1938/1000),Skills!L19/10)+Skills!O19</f>
        <v/>
      </c>
      <c r="G1938">
        <f>Skills!G19*IF(Skills!H19&gt;0,Skills!I19/Skills!H19,1)</f>
        <v/>
      </c>
      <c r="H1938">
        <f>1-(1-Skills!J19/100)^Skills!K19</f>
        <v/>
      </c>
      <c r="I1938" t="inlineStr">
        <is>
          <t>1</t>
        </is>
      </c>
      <c r="J1938" t="inlineStr"/>
      <c r="K1938" t="inlineStr"/>
      <c r="L1938" t="inlineStr"/>
      <c r="M1938" t="inlineStr"/>
      <c r="N1938" t="inlineStr"/>
      <c r="O1938">
        <f>(1-Summary!$B$11)*T1938+Summary!$B$11*V1938</f>
        <v/>
      </c>
      <c r="P1938">
        <f>IF(B1958=0,0,O1938/B1958)</f>
        <v/>
      </c>
      <c r="Q1938">
        <f>IFERROR(1/(IF(Inputs!$B$38="pvp",15,MAX(0.1,Skills!D19-IF(Skills!E19=TRUE,Inputs!$B$32,0)))*(1-IF(AND(ArtifactsInput!$M$27,Inputs!$B$4="Chapter Hunt"),CHOOSE(ArtifactsInput!$N$27+1,20,24,28,32,36,40),0)/100)),0)</f>
        <v/>
      </c>
      <c r="R1938">
        <f>IF(AND(Inputs!$B$38&lt;&gt;"pvp",Inputs!$B$43&gt;0),IF(Inputs!$B$43&lt;=0,0,(INT(Inputs!$B$43/(IF(Inputs!$B$38="pvp",15,MAX(0.1,Skills!D19-IF(Skills!E19=TRUE,Inputs!$B$32,0)))*(1-IF(AND(ArtifactsInput!$M$27,Inputs!$B$4="Chapter Hunt"),CHOOSE(ArtifactsInput!$N$27+1,20,24,28,32,36,40),0)/100)))+1)),0)</f>
        <v/>
      </c>
      <c r="S1938">
        <f>IFERROR(O1938/N1938,0)</f>
        <v/>
      </c>
      <c r="T1938" t="n">
        <v>0</v>
      </c>
      <c r="V1938" t="n">
        <v>0</v>
      </c>
    </row>
    <row r="1939">
      <c r="A1939">
        <f>Skills!A20</f>
        <v/>
      </c>
      <c r="B1939">
        <f>Skills!B20</f>
        <v/>
      </c>
      <c r="C1939">
        <f>Inputs!$B$3&gt;=33</f>
        <v/>
      </c>
      <c r="D1939">
        <f>IF(Skills!C20=1,60+Inputs!$B$25+Inputs!$B$29,IF(Skills!C20=2,90+Inputs!$B$26+Inputs!$B$29,IF(Skills!C20=3,120+Inputs!$B$27+Inputs!$B$29,MAX(0,(Inputs!$B$3-100)*3)+Inputs!$B$28+Inputs!$B$29)))</f>
        <v/>
      </c>
      <c r="E1939">
        <f>INDEX(FactorTable!$B$2:$Y$301, MATCH(ROUND(MIN(300,MAX(1,D1939)),0), FactorTable!$A$2:$A$301,0), Skills!M20+1)</f>
        <v/>
      </c>
      <c r="F1939">
        <f>IF(Skills!N20=TRUE,(Skills!L20/10)*(E1939/1000),Skills!L20/10)+Skills!O20</f>
        <v/>
      </c>
      <c r="G1939">
        <f>Skills!G20*IF(Skills!H20&gt;0,Skills!I20/Skills!H20,1)</f>
        <v/>
      </c>
      <c r="H1939">
        <f>1-(1-Skills!J20/100)^Skills!K20</f>
        <v/>
      </c>
      <c r="I1939" t="inlineStr">
        <is>
          <t>1</t>
        </is>
      </c>
      <c r="J1939" t="inlineStr"/>
      <c r="K1939" t="inlineStr"/>
      <c r="L1939" t="inlineStr"/>
      <c r="M1939" t="inlineStr"/>
      <c r="N1939" t="inlineStr"/>
      <c r="O1939">
        <f>(1-Summary!$B$11)*T1939+Summary!$B$11*V1939</f>
        <v/>
      </c>
      <c r="P1939">
        <f>IF(B1958=0,0,O1939/B1958)</f>
        <v/>
      </c>
      <c r="Q1939" t="n">
        <v>0</v>
      </c>
      <c r="R1939" t="n">
        <v>0</v>
      </c>
      <c r="S1939">
        <f>IFERROR(O1939/N1939,0)</f>
        <v/>
      </c>
      <c r="T1939" t="n">
        <v>0</v>
      </c>
      <c r="V1939" t="n">
        <v>0</v>
      </c>
    </row>
    <row r="1940">
      <c r="A1940">
        <f>Skills!A21</f>
        <v/>
      </c>
      <c r="B1940">
        <f>Skills!B21</f>
        <v/>
      </c>
      <c r="C1940">
        <f>Inputs!$B$3&gt;=38</f>
        <v/>
      </c>
      <c r="D1940">
        <f>IF(Skills!C21=1,60+Inputs!$B$25+Inputs!$B$29,IF(Skills!C21=2,90+Inputs!$B$26+Inputs!$B$29,IF(Skills!C21=3,120+Inputs!$B$27+Inputs!$B$29,MAX(0,(Inputs!$B$3-100)*3)+Inputs!$B$28+Inputs!$B$29)))</f>
        <v/>
      </c>
      <c r="E1940">
        <f>INDEX(FactorTable!$B$2:$Y$301, MATCH(ROUND(MIN(300,MAX(1,D1940)),0), FactorTable!$A$2:$A$301,0), Skills!M21+1)</f>
        <v/>
      </c>
      <c r="F1940">
        <f>IF(Skills!N21=TRUE,(Skills!L21/10)*(E1940/1000),Skills!L21/10)+Skills!O21</f>
        <v/>
      </c>
      <c r="G1940">
        <f>Skills!G21*IF(Skills!H21&gt;0,Skills!I21/Skills!H21,1)</f>
        <v/>
      </c>
      <c r="H1940">
        <f>1-(1-Skills!J21/100)^Skills!K21</f>
        <v/>
      </c>
      <c r="I1940" t="inlineStr">
        <is>
          <t>1</t>
        </is>
      </c>
      <c r="J1940" t="inlineStr"/>
      <c r="K1940" t="inlineStr"/>
      <c r="L1940" t="inlineStr"/>
      <c r="M1940" t="inlineStr"/>
      <c r="N1940" t="inlineStr"/>
      <c r="O1940">
        <f>(1-Summary!$B$11)*T1940+Summary!$B$11*V1940</f>
        <v/>
      </c>
      <c r="P1940">
        <f>IF(B1958=0,0,O1940/B1958)</f>
        <v/>
      </c>
      <c r="Q1940" t="n">
        <v>0</v>
      </c>
      <c r="R1940" t="n">
        <v>0</v>
      </c>
      <c r="S1940">
        <f>IFERROR(O1940/N1940,0)</f>
        <v/>
      </c>
      <c r="T1940" t="n">
        <v>0</v>
      </c>
      <c r="V1940" t="n">
        <v>0</v>
      </c>
    </row>
    <row r="1941">
      <c r="A1941">
        <f>Skills!A22</f>
        <v/>
      </c>
      <c r="B1941">
        <f>Skills!B22</f>
        <v/>
      </c>
      <c r="C1941">
        <f>Inputs!$B$3&gt;=43</f>
        <v/>
      </c>
      <c r="D1941">
        <f>IF(Skills!C22=1,60+Inputs!$B$25+Inputs!$B$29,IF(Skills!C22=2,90+Inputs!$B$26+Inputs!$B$29,IF(Skills!C22=3,120+Inputs!$B$27+Inputs!$B$29,MAX(0,(Inputs!$B$3-100)*3)+Inputs!$B$28+Inputs!$B$29)))</f>
        <v/>
      </c>
      <c r="E1941">
        <f>INDEX(FactorTable!$B$2:$Y$301, MATCH(ROUND(MIN(300,MAX(1,D1941)),0), FactorTable!$A$2:$A$301,0), Skills!M22+1)</f>
        <v/>
      </c>
      <c r="F1941">
        <f>IF(Skills!N22=TRUE,(Skills!L22/10)*(E1941/1000),Skills!L22/10)+Skills!O22</f>
        <v/>
      </c>
      <c r="G1941">
        <f>Skills!G22*IF(Skills!H22&gt;0,Skills!I22/Skills!H22,1)</f>
        <v/>
      </c>
      <c r="H1941">
        <f>1-(1-Skills!J22/100)^Skills!K22</f>
        <v/>
      </c>
      <c r="I1941" t="inlineStr">
        <is>
          <t>1</t>
        </is>
      </c>
      <c r="J1941" t="inlineStr"/>
      <c r="K1941" t="inlineStr"/>
      <c r="L1941" t="inlineStr"/>
      <c r="M1941" t="inlineStr"/>
      <c r="N1941" t="inlineStr"/>
      <c r="O1941">
        <f>(1-Summary!$B$11)*T1941+Summary!$B$11*V1941</f>
        <v/>
      </c>
      <c r="P1941">
        <f>IF(B1958=0,0,O1941/B1958)</f>
        <v/>
      </c>
      <c r="Q1941" t="n">
        <v>0</v>
      </c>
      <c r="R1941" t="n">
        <v>0</v>
      </c>
      <c r="S1941">
        <f>IFERROR(O1941/N1941,0)</f>
        <v/>
      </c>
      <c r="T1941" t="n">
        <v>0</v>
      </c>
      <c r="V1941" t="n">
        <v>0</v>
      </c>
    </row>
    <row r="1942">
      <c r="A1942">
        <f>Skills!A23</f>
        <v/>
      </c>
      <c r="B1942">
        <f>Skills!B23</f>
        <v/>
      </c>
      <c r="C1942">
        <f>Inputs!$B$3&gt;=120</f>
        <v/>
      </c>
      <c r="D1942">
        <f>IF(Skills!C23=1,60+Inputs!$B$25+Inputs!$B$29,IF(Skills!C23=2,90+Inputs!$B$26+Inputs!$B$29,IF(Skills!C23=3,120+Inputs!$B$27+Inputs!$B$29,MAX(0,(Inputs!$B$3-100)*3)+Inputs!$B$28+Inputs!$B$29)))</f>
        <v/>
      </c>
      <c r="E1942">
        <f>INDEX(FactorTable!$B$2:$Y$301, MATCH(ROUND(MIN(300,MAX(1,D1942)),0), FactorTable!$A$2:$A$301,0), Skills!M23+1)</f>
        <v/>
      </c>
      <c r="F1942">
        <f>IF(Skills!N23=TRUE,(Skills!L23/10)*(E1942/1000),Skills!L23/10)+Skills!O23</f>
        <v/>
      </c>
      <c r="G1942">
        <f>Skills!G23*IF(Skills!H23&gt;0,Skills!I23/Skills!H23,1)</f>
        <v/>
      </c>
      <c r="H1942">
        <f>1-(1-Skills!J23/100)^Skills!K23</f>
        <v/>
      </c>
      <c r="I1942" t="inlineStr">
        <is>
          <t>1</t>
        </is>
      </c>
      <c r="J1942" t="inlineStr"/>
      <c r="K1942" t="inlineStr"/>
      <c r="L1942" t="inlineStr"/>
      <c r="M1942" t="inlineStr"/>
      <c r="N1942" t="inlineStr"/>
      <c r="O1942">
        <f>(1-Summary!$B$11)*T1942+Summary!$B$11*V1942</f>
        <v/>
      </c>
      <c r="P1942">
        <f>IF(B1958=0,0,O1942/B1958)</f>
        <v/>
      </c>
      <c r="Q1942" t="n">
        <v>0</v>
      </c>
      <c r="R1942" t="n">
        <v>0</v>
      </c>
      <c r="S1942">
        <f>IFERROR(O1942/N1942,0)</f>
        <v/>
      </c>
      <c r="T1942" t="n">
        <v>0</v>
      </c>
      <c r="V1942" t="n">
        <v>0</v>
      </c>
    </row>
    <row r="1943">
      <c r="A1943">
        <f>Skills!A24</f>
        <v/>
      </c>
      <c r="B1943">
        <f>Skills!B24</f>
        <v/>
      </c>
      <c r="C1943">
        <f>Inputs!$B$3&gt;=120</f>
        <v/>
      </c>
      <c r="D1943">
        <f>IF(Skills!C24=1,60+Inputs!$B$25+Inputs!$B$29,IF(Skills!C24=2,90+Inputs!$B$26+Inputs!$B$29,IF(Skills!C24=3,120+Inputs!$B$27+Inputs!$B$29,MAX(0,(Inputs!$B$3-100)*3)+Inputs!$B$28+Inputs!$B$29)))</f>
        <v/>
      </c>
      <c r="E1943">
        <f>INDEX(FactorTable!$B$2:$Y$301, MATCH(ROUND(MIN(300,MAX(1,D1943)),0), FactorTable!$A$2:$A$301,0), Skills!M24+1)</f>
        <v/>
      </c>
      <c r="F1943">
        <f>IF(Skills!N24=TRUE,(Skills!L24/10)*(E1943/1000),Skills!L24/10)+Skills!O24</f>
        <v/>
      </c>
      <c r="G1943">
        <f>Skills!G24*IF(Skills!H24&gt;0,Skills!I24/Skills!H24,1)</f>
        <v/>
      </c>
      <c r="H1943">
        <f>1-(1-Skills!J24/100)^Skills!K24</f>
        <v/>
      </c>
      <c r="I1943" t="inlineStr">
        <is>
          <t>1</t>
        </is>
      </c>
      <c r="J1943" t="inlineStr"/>
      <c r="K1943" t="inlineStr"/>
      <c r="L1943" t="inlineStr"/>
      <c r="M1943" t="inlineStr"/>
      <c r="N1943" t="inlineStr"/>
      <c r="O1943">
        <f>(1-Summary!$B$11)*T1943+Summary!$B$11*V1943</f>
        <v/>
      </c>
      <c r="P1943">
        <f>IF(B1958=0,0,O1943/B1958)</f>
        <v/>
      </c>
      <c r="Q1943" t="n">
        <v>0</v>
      </c>
      <c r="R1943" t="n">
        <v>0</v>
      </c>
      <c r="S1943">
        <f>IFERROR(O1943/N1943,0)</f>
        <v/>
      </c>
      <c r="T1943" t="n">
        <v>0</v>
      </c>
      <c r="V1943" t="n">
        <v>0</v>
      </c>
    </row>
    <row r="1944">
      <c r="A1944">
        <f>Skills!A25</f>
        <v/>
      </c>
      <c r="B1944">
        <f>Skills!B25</f>
        <v/>
      </c>
      <c r="C1944">
        <f>Inputs!$B$3&gt;=125</f>
        <v/>
      </c>
      <c r="D1944">
        <f>IF(Skills!C25=1,60+Inputs!$B$25+Inputs!$B$29,IF(Skills!C25=2,90+Inputs!$B$26+Inputs!$B$29,IF(Skills!C25=3,120+Inputs!$B$27+Inputs!$B$29,MAX(0,(Inputs!$B$3-100)*3)+Inputs!$B$28+Inputs!$B$29)))</f>
        <v/>
      </c>
      <c r="E1944">
        <f>INDEX(FactorTable!$B$2:$Y$301, MATCH(ROUND(MIN(300,MAX(1,D1944)),0), FactorTable!$A$2:$A$301,0), Skills!M25+1)</f>
        <v/>
      </c>
      <c r="F1944">
        <f>IF(Skills!N25=TRUE,(Skills!L25/10)*(E1944/1000),Skills!L25/10)+Skills!O25</f>
        <v/>
      </c>
      <c r="G1944">
        <f>Skills!G25*IF(Skills!H25&gt;0,Skills!I25/Skills!H25,1)</f>
        <v/>
      </c>
      <c r="H1944">
        <f>1-(1-Skills!J25/100)^Skills!K25</f>
        <v/>
      </c>
      <c r="I1944" t="inlineStr">
        <is>
          <t>1</t>
        </is>
      </c>
      <c r="J1944" t="inlineStr"/>
      <c r="K1944" t="inlineStr"/>
      <c r="L1944" t="inlineStr"/>
      <c r="M1944" t="inlineStr"/>
      <c r="N1944" t="inlineStr"/>
      <c r="O1944">
        <f>(1-Summary!$B$11)*T1944+Summary!$B$11*V1944</f>
        <v/>
      </c>
      <c r="P1944">
        <f>IF(B1958=0,0,O1944/B1958)</f>
        <v/>
      </c>
      <c r="Q1944" t="n">
        <v>0</v>
      </c>
      <c r="R1944" t="n">
        <v>0</v>
      </c>
      <c r="S1944">
        <f>IFERROR(O1944/N1944,0)</f>
        <v/>
      </c>
      <c r="T1944" t="n">
        <v>0</v>
      </c>
      <c r="V1944" t="n">
        <v>0</v>
      </c>
    </row>
    <row r="1945">
      <c r="A1945">
        <f>Skills!A26</f>
        <v/>
      </c>
      <c r="B1945">
        <f>Skills!B26</f>
        <v/>
      </c>
      <c r="C1945">
        <f>Inputs!$B$3&gt;=72</f>
        <v/>
      </c>
      <c r="D1945">
        <f>IF(Skills!C26=1,60+Inputs!$B$25+Inputs!$B$29,IF(Skills!C26=2,90+Inputs!$B$26+Inputs!$B$29,IF(Skills!C26=3,120+Inputs!$B$27+Inputs!$B$29,MAX(0,(Inputs!$B$3-100)*3)+Inputs!$B$28+Inputs!$B$29)))</f>
        <v/>
      </c>
      <c r="E1945">
        <f>INDEX(FactorTable!$B$2:$Y$301, MATCH(ROUND(MIN(300,MAX(1,D1945)),0), FactorTable!$A$2:$A$301,0), Skills!M26+1)</f>
        <v/>
      </c>
      <c r="F1945">
        <f>IF(Skills!N26=TRUE,(Skills!L26/10)*(E1945/1000),Skills!L26/10)+Skills!O26</f>
        <v/>
      </c>
      <c r="G1945">
        <f>Skills!G26*IF(Skills!H26&gt;0,Skills!I26/Skills!H26,1)</f>
        <v/>
      </c>
      <c r="H1945">
        <f>1-(1-Skills!J26/100)^Skills!K26</f>
        <v/>
      </c>
      <c r="I1945" t="inlineStr">
        <is>
          <t>1</t>
        </is>
      </c>
      <c r="J1945" t="inlineStr"/>
      <c r="K1945" t="inlineStr"/>
      <c r="L1945" t="inlineStr"/>
      <c r="M1945" t="inlineStr"/>
      <c r="N1945" t="inlineStr"/>
      <c r="O1945">
        <f>(1-Summary!$B$11)*T1945+Summary!$B$11*V1945</f>
        <v/>
      </c>
      <c r="P1945">
        <f>IF(B1958=0,0,O1945/B1958)</f>
        <v/>
      </c>
      <c r="Q1945" t="n">
        <v>0</v>
      </c>
      <c r="R1945" t="n">
        <v>0</v>
      </c>
      <c r="S1945">
        <f>IFERROR(O1945/N1945,0)</f>
        <v/>
      </c>
      <c r="T1945" t="n">
        <v>0</v>
      </c>
      <c r="V1945" t="n">
        <v>0</v>
      </c>
    </row>
    <row r="1947">
      <c r="A1947" t="inlineStr">
        <is>
          <t>Attack% Bucket Multiplier</t>
        </is>
      </c>
      <c r="B1947">
        <f>(1+(((C1932=TRUE)*F1932*IF(Inputs!$B$3&gt;=110,7,5))+((C1934=TRUE)*F1934*IF(AND(Inputs!$B$38&lt;&gt;"pvp",Inputs!$B$43&gt;0),(((R1934-1)*(Skills!T15*(1+(Inputs!$B$34+(ArtifactsInput!$M$7-ArtifactsInput!$M$7)*CHOOSE(ArtifactsInput!$N$7+1,6,7.2,8.4,9.6,10.8,12))/100))+MIN((Skills!T15*(1+(Inputs!$B$34+(ArtifactsInput!$M$7-ArtifactsInput!$M$7)*CHOOSE(ArtifactsInput!$N$7+1,6,7.2,8.4,9.6,10.8,12))/100)),MAX(0,Inputs!$B$43-((R1934-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48">
      <c r="A1948" t="inlineStr">
        <is>
          <t>Global Crit Rate Bonus %</t>
        </is>
      </c>
      <c r="B1948" t="n">
        <v>0</v>
      </c>
    </row>
    <row r="1949">
      <c r="A1949" t="inlineStr">
        <is>
          <t>Attack Speed Buff Bonus %</t>
        </is>
      </c>
      <c r="B1949">
        <f>((C1938=TRUE)*F1938*IF(AND(Inputs!$B$38&lt;&gt;"pvp",Inputs!$B$43&gt;0),(((R1938-1)*(Skills!T19*(1+(Inputs!$B$34+(ArtifactsInput!$M$7-ArtifactsInput!$M$7)*CHOOSE(ArtifactsInput!$N$7+1,6,7.2,8.4,9.6,10.8,12))/100))+MIN((Skills!T19*(1+(Inputs!$B$34+(ArtifactsInput!$M$7-ArtifactsInput!$M$7)*CHOOSE(ArtifactsInput!$N$7+1,6,7.2,8.4,9.6,10.8,12))/100)),MAX(0,Inputs!$B$43-((R1938-1)*Skills!D19))))/Inputs!$B$43),IF(Inputs!$B$38="pvp",MIN((Skills!T19*(1+(Inputs!$B$34+(ArtifactsInput!$M$7-ArtifactsInput!$M$7)*CHOOSE(ArtifactsInput!$N$7+1,6,7.2,8.4,9.6,10.8,12))/100)),15)/15,(Skills!T19*(1+(Inputs!$B$34+(ArtifactsInput!$M$7-ArtifactsInput!$M$7)*CHOOSE(ArtifactsInput!$N$7+1,6,7.2,8.4,9.6,10.8,12))/100))/Skills!D19)))</f>
        <v/>
      </c>
    </row>
    <row r="1950">
      <c r="A1950" t="inlineStr">
        <is>
          <t>Actions Per Second</t>
        </is>
      </c>
      <c r="B1950">
        <f>1+MIN(150,150*(1-(1-(Inputs!$B$11+((C1939=TRUE)*(F1939-Calc!F20)))/150)*(1-B1949/150)))/100</f>
        <v/>
      </c>
    </row>
    <row r="1951">
      <c r="A1951" t="inlineStr">
        <is>
          <t>Skill + Buff Cast Rate</t>
        </is>
      </c>
      <c r="B1951">
        <f>IF(AND(Inputs!$B$38&lt;&gt;"pvp",Inputs!$B$43&gt;0),SUMPRODUCT((Skills!E2:E26=TRUE)*(C1921:C1945=TRUE)*R1921:R1945*Skills!F2:F26)/Inputs!$B$43,SUMPRODUCT((Skills!E2:E26=TRUE)*(C1921:C1945=TRUE)*Q1921:Q1945*Skills!F2:F26))</f>
        <v/>
      </c>
    </row>
    <row r="1952">
      <c r="A1952" t="inlineStr">
        <is>
          <t>Raging Blow Casts Per Second</t>
        </is>
      </c>
      <c r="B1952">
        <f>MAX(0,B1950-B1951)</f>
        <v/>
      </c>
    </row>
    <row r="1953">
      <c r="A1953" t="inlineStr">
        <is>
          <t>Global Critical Damage Bonus % (Enrage)</t>
        </is>
      </c>
      <c r="B1953">
        <f>((C1937=TRUE)*F1937*IF(AND(Inputs!$B$38&lt;&gt;"pvp",Inputs!$B$43&gt;0),(((R1937-1)*(Skills!T18*(1+(Inputs!$B$34+(ArtifactsInput!$M$7-ArtifactsInput!$M$7)*CHOOSE(ArtifactsInput!$N$7+1,6,7.2,8.4,9.6,10.8,12))/100))+MIN((Skills!T18*(1+(Inputs!$B$34+(ArtifactsInput!$M$7-ArtifactsInput!$M$7)*CHOOSE(ArtifactsInput!$N$7+1,6,7.2,8.4,9.6,10.8,12))/100)),MAX(0,Inputs!$B$43-((R1937-1)*Skills!D18))))/Inputs!$B$43),IF(Inputs!$B$38="pvp",MIN((Skills!T18*(1+(Inputs!$B$34+(ArtifactsInput!$M$7-ArtifactsInput!$M$7)*CHOOSE(ArtifactsInput!$N$7+1,6,7.2,8.4,9.6,10.8,12))/100)),15)/15,(Skills!T18*(1+(Inputs!$B$34+(ArtifactsInput!$M$7-ArtifactsInput!$M$7)*CHOOSE(ArtifactsInput!$N$7+1,6,7.2,8.4,9.6,10.8,12))/100))/Skills!D18)))</f>
        <v/>
      </c>
    </row>
    <row r="1954">
      <c r="A1954" t="inlineStr">
        <is>
          <t>Global Final Damage Bonus % (Enrage + Combo Synergy)</t>
        </is>
      </c>
      <c r="B1954">
        <f>((C1936=TRUE)*F1936*IF(AND(Inputs!$B$38&lt;&gt;"pvp",Inputs!$B$43&gt;0),(((R1936-1)*(Skills!T17*(1+(Inputs!$B$34+(ArtifactsInput!$M$7-ArtifactsInput!$M$7)*CHOOSE(ArtifactsInput!$N$7+1,6,7.2,8.4,9.6,10.8,12))/100))+MIN((Skills!T17*(1+(Inputs!$B$34+(ArtifactsInput!$M$7-ArtifactsInput!$M$7)*CHOOSE(ArtifactsInput!$N$7+1,6,7.2,8.4,9.6,10.8,12))/100)),MAX(0,Inputs!$B$43-((R1936-1)*Skills!D17))))/Inputs!$B$43),IF(Inputs!$B$38="pvp",MIN((Skills!T17*(1+(Inputs!$B$34+(ArtifactsInput!$M$7-ArtifactsInput!$M$7)*CHOOSE(ArtifactsInput!$N$7+1,6,7.2,8.4,9.6,10.8,12))/100)),15)/15,(Skills!T17*(1+(Inputs!$B$34+(ArtifactsInput!$M$7-ArtifactsInput!$M$7)*CHOOSE(ArtifactsInput!$N$7+1,6,7.2,8.4,9.6,10.8,12))/100))/Skills!D17)))+((C1933=TRUE)*F1933*IF(Inputs!$B$3&gt;=110,7,5))</f>
        <v/>
      </c>
    </row>
    <row r="1955">
      <c r="A1955" t="inlineStr">
        <is>
          <t>Buff-Casting Startup Delay (s, fixed-duration only)</t>
        </is>
      </c>
      <c r="B1955">
        <f>IF(AND(Inputs!$B$38&lt;&gt;"pvp",Inputs!$B$43&gt;0),SUMPRODUCT((Skills!T2:T26&gt;0)*(Skills!E2:E26=TRUE)*(C1921:C1945=TRUE))/B1950,0)</f>
        <v/>
      </c>
    </row>
    <row r="1956">
      <c r="A1956" t="inlineStr">
        <is>
          <t>Boss-Only Total DPS (this block's swept value)</t>
        </is>
      </c>
      <c r="B1956">
        <f>SUM(T1921:T1945)</f>
        <v/>
      </c>
    </row>
    <row r="1957">
      <c r="A1957" t="inlineStr">
        <is>
          <t>Normal-Only Total DPS (this block's swept value)</t>
        </is>
      </c>
      <c r="B1957">
        <f>SUM(V1921:V1945)</f>
        <v/>
      </c>
    </row>
    <row r="1958">
      <c r="A1958" s="6" t="inlineStr">
        <is>
          <t>TOTAL DPS</t>
        </is>
      </c>
      <c r="B1958" s="6">
        <f>SUM(O1921:O1945)</f>
        <v/>
      </c>
    </row>
    <row r="1961">
      <c r="A1961" s="6" t="inlineStr">
        <is>
          <t>Stat: Fire Flower (Equip)</t>
        </is>
      </c>
    </row>
    <row r="1962">
      <c r="A1962" s="5" t="inlineStr">
        <is>
          <t>Key</t>
        </is>
      </c>
      <c r="B1962" s="5" t="inlineStr">
        <is>
          <t>Name</t>
        </is>
      </c>
      <c r="C1962" s="5" t="inlineStr">
        <is>
          <t>Unlocked</t>
        </is>
      </c>
      <c r="D1962" s="5" t="inlineStr">
        <is>
          <t>InputLevel</t>
        </is>
      </c>
      <c r="E1962" s="5" t="inlineStr">
        <is>
          <t>Factor</t>
        </is>
      </c>
      <c r="F1962" s="5" t="inlineStr">
        <is>
          <t>CoefficientPercent</t>
        </is>
      </c>
      <c r="G1962" s="5" t="inlineStr">
        <is>
          <t>EffectiveHits</t>
        </is>
      </c>
      <c r="H1962" s="5" t="inlineStr">
        <is>
          <t>ProcProbability</t>
        </is>
      </c>
      <c r="I1962" s="5" t="inlineStr">
        <is>
          <t>MapleHeroMultiplier</t>
        </is>
      </c>
      <c r="J1962" s="5" t="inlineStr">
        <is>
          <t>BaseDamage</t>
        </is>
      </c>
      <c r="K1962" s="5" t="inlineStr">
        <is>
          <t>BaseHitDamage</t>
        </is>
      </c>
      <c r="L1962" s="5" t="inlineStr">
        <is>
          <t>NonCritAvg</t>
        </is>
      </c>
      <c r="M1962" s="5" t="inlineStr">
        <is>
          <t>CritAvg</t>
        </is>
      </c>
      <c r="N1962" s="5" t="inlineStr">
        <is>
          <t>ExpectedDamage(perHit)</t>
        </is>
      </c>
      <c r="O1962" s="5" t="inlineStr">
        <is>
          <t>DPS</t>
        </is>
      </c>
      <c r="P1962" s="5" t="inlineStr">
        <is>
          <t>% of Total</t>
        </is>
      </c>
      <c r="Q1962" s="5" t="inlineStr">
        <is>
          <t>InvCooldown</t>
        </is>
      </c>
      <c r="R1962" s="5" t="inlineStr">
        <is>
          <t>CastsInFight</t>
        </is>
      </c>
      <c r="S1962" s="5" t="inlineStr">
        <is>
          <t>HitRate(perSec)</t>
        </is>
      </c>
      <c r="U1962" t="inlineStr">
        <is>
          <t>helpers</t>
        </is>
      </c>
    </row>
    <row r="1963">
      <c r="A1963">
        <f>Skills!A2</f>
        <v/>
      </c>
      <c r="B1963">
        <f>Skills!B2</f>
        <v/>
      </c>
      <c r="C1963">
        <f>Inputs!$B$3&gt;=100</f>
        <v/>
      </c>
      <c r="D1963" t="inlineStr"/>
      <c r="E1963" t="inlineStr"/>
      <c r="F1963">
        <f>U1965+Skills!O2</f>
        <v/>
      </c>
      <c r="G1963">
        <f>Skills!G2*IF(Skills!H2&gt;0,Skills!I2/Skills!H2,1)</f>
        <v/>
      </c>
      <c r="H1963">
        <f>1-(1-Skills!J2/100)^Skills!K2</f>
        <v/>
      </c>
      <c r="I1963" t="inlineStr">
        <is>
          <t>1</t>
        </is>
      </c>
      <c r="J1963">
        <f>((Inputs!$B$6*(1+Inputs!$B$7/100))+(((Inputs!$B$12*(1+Inputs!$B$13/100))-(Inputs!$B$12*(1+Inputs!$B$13/100)))+0.25*(Inputs!$B$14-Inputs!$B$14))*(1+Inputs!$B$7/100))*(F1963/100)</f>
        <v/>
      </c>
      <c r="K1963">
        <f>J1963*(1+((Inputs!$B$12*(1+Inputs!$B$13/100))*0.01+Inputs!$B$14*0.0025)/100)*(1+Inputs!$B$15/100)*(1+Inputs!$B$16/100)*(5000/(6000+Inputs!$B$42*(1-(100*(1-(1-(Inputs!$B$19+0)/100)*(1-CHOOSE(ArtifactsInput!$N$40+1,5,6,7,8,9,10)/100)^(ArtifactsInput!$M$40-ArtifactsInput!$M$40)))/100)))*(1+(Inputs!$B$24+((C1986=TRUE)*(F1986-Calc!F25))+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1982=TRUE)*(F1982-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1984=TRUE)*(F1984-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1974=TRUE)*F1974*IF(Inputs!$B$3&gt;=110,7,5))+((C1976=TRUE)*F1976*IF(AND(Inputs!$B$38&lt;&gt;"pvp",Inputs!$B$43&gt;0),(((R1976-1)*(Skills!T15*(1+(Inputs!$B$34+(ArtifactsInput!$M$7-ArtifactsInput!$M$7)*CHOOSE(ArtifactsInput!$N$7+1,6,7.2,8.4,9.6,10.8,12))/100))+MIN((Skills!T15*(1+(Inputs!$B$34+(ArtifactsInput!$M$7-ArtifactsInput!$M$7)*CHOOSE(ArtifactsInput!$N$7+1,6,7.2,8.4,9.6,10.8,12))/100)),MAX(0,Inputs!$B$43-((R1976-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100)*I1963)</f>
        <v/>
      </c>
      <c r="L1963">
        <f>K1963*(MIN(Inputs!$B$22+((C1983=TRUE)*(F1983-Calc!F22)),(Inputs!$B$23+((C1985=TRUE)*(F1985-Calc!F24))+(IF(ArtifactsInput!$M$15,CHOOSE(ArtifactsInput!$N$15+1,25,30,35,40,45,50)/100*(Inputs!$B$11-Inputs!$B$11),0))))/100+(Inputs!$B$23+((C1985=TRUE)*(F1985-Calc!F24))+(IF(ArtifactsInput!$M$15,CHOOSE(ArtifactsInput!$N$15+1,25,30,35,40,45,50)/100*(Inputs!$B$11-Inputs!$B$11),0)))/100)/2</f>
        <v/>
      </c>
      <c r="M1963">
        <f>L1963*(1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3">
        <f>L1963*(1-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1963*(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3">
        <f>(1-Summary!$B$11)*T1963+Summary!$B$11*V1963</f>
        <v/>
      </c>
      <c r="P1963">
        <f>IF(B2000=0,0,O1963/B2000)</f>
        <v/>
      </c>
      <c r="Q1963" t="n">
        <v>0</v>
      </c>
      <c r="R1963" t="n">
        <v>0</v>
      </c>
      <c r="S1963">
        <f>IFERROR(O1963/N1963,0)</f>
        <v/>
      </c>
      <c r="T1963">
        <f>IF(C1963,(Skills!G2*N1963*B1994)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1963*(1-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1963*(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1963*(1-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1963*(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3">
        <f>MAX(0,(Inputs!$B$3-100)*3)+Inputs!$B$28+Inputs!$B$29</f>
        <v/>
      </c>
      <c r="V1963">
        <f>IF(C1963,(Skills!G2*N1963*B1994)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4">
      <c r="A1964">
        <f>Skills!A3</f>
        <v/>
      </c>
      <c r="B1964">
        <f>Skills!B3</f>
        <v/>
      </c>
      <c r="C1964">
        <f>Inputs!$B$3&gt;=50</f>
        <v/>
      </c>
      <c r="D1964">
        <f>IF(Skills!C3=1,60+Inputs!$B$25+Inputs!$B$29,IF(Skills!C3=2,90+Inputs!$B$26+Inputs!$B$29,IF(Skills!C3=3,120+Inputs!$B$27+Inputs!$B$29,MAX(0,(Inputs!$B$3-100)*3)+Inputs!$B$28+Inputs!$B$29)))</f>
        <v/>
      </c>
      <c r="E1964">
        <f>INDEX(FactorTable!$B$2:$Y$301, MATCH(ROUND(MIN(300,MAX(1,D1964)),0), FactorTable!$A$2:$A$301,0), Skills!M3+1)</f>
        <v/>
      </c>
      <c r="F1964">
        <f>IF(Skills!N3=TRUE,(Skills!L3/10)*(E1964/1000),Skills!L3/10)+Skills!O3</f>
        <v/>
      </c>
      <c r="G1964" t="inlineStr"/>
      <c r="H1964" t="inlineStr"/>
      <c r="I1964" t="inlineStr">
        <is>
          <t>1</t>
        </is>
      </c>
      <c r="J1964" t="inlineStr"/>
      <c r="K1964" t="inlineStr"/>
      <c r="L1964" t="inlineStr"/>
      <c r="M1964" t="inlineStr"/>
      <c r="N1964" t="inlineStr"/>
      <c r="O1964" t="inlineStr"/>
      <c r="P1964" t="inlineStr"/>
      <c r="Q1964" t="inlineStr"/>
      <c r="R1964" t="inlineStr"/>
      <c r="S1964" t="inlineStr"/>
      <c r="U1964">
        <f>INDEX(FactorTable!$B$2:$Y$301, MATCH(ROUND(MIN(300,MAX(1,U1963)),0), FactorTable!$A$2:$A$301,0), 22)</f>
        <v/>
      </c>
    </row>
    <row r="1965">
      <c r="A1965">
        <f>Skills!A4</f>
        <v/>
      </c>
      <c r="B1965">
        <f>Skills!B4</f>
        <v/>
      </c>
      <c r="C1965">
        <f>Inputs!$B$3&gt;=105</f>
        <v/>
      </c>
      <c r="D1965">
        <f>IF(Skills!C4=1,60+Inputs!$B$25+Inputs!$B$29,IF(Skills!C4=2,90+Inputs!$B$26+Inputs!$B$29,IF(Skills!C4=3,120+Inputs!$B$27+Inputs!$B$29,MAX(0,(Inputs!$B$3-100)*3)+Inputs!$B$28+Inputs!$B$29)))</f>
        <v/>
      </c>
      <c r="E1965">
        <f>INDEX(FactorTable!$B$2:$Y$301, MATCH(ROUND(MIN(300,MAX(1,D1965)),0), FactorTable!$A$2:$A$301,0), Skills!M4+1)</f>
        <v/>
      </c>
      <c r="F1965">
        <f>IF(Skills!N4=TRUE,(Skills!L4/10)*(E1965/1000),Skills!L4/10)+Skills!O4</f>
        <v/>
      </c>
      <c r="G1965" t="inlineStr"/>
      <c r="H1965" t="inlineStr"/>
      <c r="I1965" t="inlineStr">
        <is>
          <t>1</t>
        </is>
      </c>
      <c r="J1965" t="inlineStr"/>
      <c r="K1965" t="inlineStr"/>
      <c r="L1965" t="inlineStr"/>
      <c r="M1965" t="inlineStr"/>
      <c r="N1965" t="inlineStr"/>
      <c r="O1965" t="inlineStr"/>
      <c r="P1965" t="inlineStr"/>
      <c r="Q1965" t="inlineStr"/>
      <c r="R1965" t="inlineStr"/>
      <c r="S1965" t="inlineStr"/>
      <c r="U1965">
        <f>290*U1964/1000</f>
        <v/>
      </c>
    </row>
    <row r="1966">
      <c r="A1966">
        <f>Skills!A5</f>
        <v/>
      </c>
      <c r="B1966">
        <f>Skills!B5</f>
        <v/>
      </c>
      <c r="C1966">
        <f>Inputs!$B$3&gt;=103</f>
        <v/>
      </c>
      <c r="D1966">
        <f>IF(Skills!C5=1,60+Inputs!$B$25+Inputs!$B$29,IF(Skills!C5=2,90+Inputs!$B$26+Inputs!$B$29,IF(Skills!C5=3,120+Inputs!$B$27+Inputs!$B$29,MAX(0,(Inputs!$B$3-100)*3)+Inputs!$B$28+Inputs!$B$29)))</f>
        <v/>
      </c>
      <c r="E1966">
        <f>INDEX(FactorTable!$B$2:$Y$301, MATCH(ROUND(MIN(300,MAX(1,D1966)),0), FactorTable!$A$2:$A$301,0), Skills!M5+1)</f>
        <v/>
      </c>
      <c r="F1966">
        <f>IF(Skills!N5=TRUE,(Skills!L5/10)*(E1966/1000),Skills!L5/10)+Skills!O5</f>
        <v/>
      </c>
      <c r="G1966">
        <f>Skills!G5*IF(Skills!H5&gt;0,Skills!I5/Skills!H5,1)</f>
        <v/>
      </c>
      <c r="H1966">
        <f>1-(1-Skills!J5/100)^Skills!K5</f>
        <v/>
      </c>
      <c r="I1966" t="inlineStr">
        <is>
          <t>1</t>
        </is>
      </c>
      <c r="J1966">
        <f>((Inputs!$B$6*(1+Inputs!$B$7/100))+(((Inputs!$B$12*(1+Inputs!$B$13/100))-(Inputs!$B$12*(1+Inputs!$B$13/100)))+0.25*(Inputs!$B$14-Inputs!$B$14))*(1+Inputs!$B$7/100))*(F1966/100)</f>
        <v/>
      </c>
      <c r="K1966">
        <f>J1966*(1+((Inputs!$B$12*(1+Inputs!$B$13/100))*0.01+Inputs!$B$14*0.0025)/100)*(1+Inputs!$B$15/100)*(1+Inputs!$B$16/100)*(5000/(6000+Inputs!$B$42*(1-(100*(1-(1-(Inputs!$B$19+0)/100)*(1-CHOOSE(ArtifactsInput!$N$40+1,5,6,7,8,9,10)/100)^(ArtifactsInput!$M$40-ArtifactsInput!$M$40)))/100)))*(1+(Inputs!$B$24+((C1986=TRUE)*(F1986-Calc!F25))+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1982=TRUE)*(F1982-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1984=TRUE)*(F1984-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1974=TRUE)*F1974*IF(Inputs!$B$3&gt;=110,7,5))+((C1976=TRUE)*F1976*IF(AND(Inputs!$B$38&lt;&gt;"pvp",Inputs!$B$43&gt;0),(((R1976-1)*(Skills!T15*(1+(Inputs!$B$34+(ArtifactsInput!$M$7-ArtifactsInput!$M$7)*CHOOSE(ArtifactsInput!$N$7+1,6,7.2,8.4,9.6,10.8,12))/100))+MIN((Skills!T15*(1+(Inputs!$B$34+(ArtifactsInput!$M$7-ArtifactsInput!$M$7)*CHOOSE(ArtifactsInput!$N$7+1,6,7.2,8.4,9.6,10.8,12))/100)),MAX(0,Inputs!$B$43-((R1976-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100)*I1966)</f>
        <v/>
      </c>
      <c r="L1966">
        <f>K1966*(MIN(Inputs!$B$22+((C1983=TRUE)*(F1983-Calc!F22)),(Inputs!$B$23+((C1985=TRUE)*(F1985-Calc!F24))+(IF(ArtifactsInput!$M$15,CHOOSE(ArtifactsInput!$N$15+1,25,30,35,40,45,50)/100*(Inputs!$B$11-Inputs!$B$11),0))))/100+(Inputs!$B$23+((C1985=TRUE)*(F1985-Calc!F24))+(IF(ArtifactsInput!$M$15,CHOOSE(ArtifactsInput!$N$15+1,25,30,35,40,45,50)/100*(Inputs!$B$11-Inputs!$B$11),0)))/100)/2</f>
        <v/>
      </c>
      <c r="M1966">
        <f>L1966*(1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6">
        <f>L1966*(1-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1966*(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6">
        <f>(1-Summary!$B$11)*T1966+Summary!$B$11*V1966</f>
        <v/>
      </c>
      <c r="P1966">
        <f>IF(B2000=0,0,O1966/B2000)</f>
        <v/>
      </c>
      <c r="Q1966">
        <f>IFERROR(1/(IF(Inputs!$B$38="pvp",15,MAX(0.1,Skills!D5-IF(Skills!E5=TRUE,Inputs!$B$32,0)))*(1-IF(AND(ArtifactsInput!$M$27,Inputs!$B$4="Chapter Hunt"),CHOOSE(ArtifactsInput!$N$27+1,20,24,28,32,36,40),0)/100)),0)</f>
        <v/>
      </c>
      <c r="R1966">
        <f>IF(AND(Inputs!$B$38&lt;&gt;"pvp",Inputs!$B$43&gt;0),IF(MAX(0,Inputs!$B$43-B1997)&lt;=0,0,(INT(MAX(0,Inputs!$B$43-B1997)/(IF(Inputs!$B$38="pvp",15,MAX(0.1,Skills!D5-IF(Skills!E5=TRUE,Inputs!$B$32,0)))*(1-IF(AND(ArtifactsInput!$M$27,Inputs!$B$4="Chapter Hunt"),CHOOSE(ArtifactsInput!$N$27+1,20,24,28,32,36,40),0)/100)))+1)),0)</f>
        <v/>
      </c>
      <c r="S1966">
        <f>IFERROR(O1966/N1966,0)</f>
        <v/>
      </c>
      <c r="T1966">
        <f>IF(C1966,(H1966*N1966*IF(AND(Inputs!$B$38&lt;&gt;"pvp",Inputs!$B$43&gt;0),((Skills!G5*((R1966-1)*IF(Skills!H5&gt;0,Skills!I5/Skills!H5,1)+IF(Skills!H5&gt;0,MIN(Skills!I5,MAX(0,MAX(0,Inputs!$B$43-B1997)-((R1966-1)*(IF(Inputs!$B$38="pvp",15,MAX(0.1,Skills!D5-IF(Skills!E5=TRUE,Inputs!$B$32,0)))*(1-IF(AND(ArtifactsInput!$M$27,Inputs!$B$4="Chapter Hunt"),CHOOSE(ArtifactsInput!$N$27+1,20,24,28,32,36,40),0)/100)))))/Skills!H5,1)))/Inputs!$B$43),G1966*Q1966)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1966*(1-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1966*(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1966*(1-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1966*(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6">
        <f>IF(C1966,(H1966*N1966*IF(AND(Inputs!$B$38&lt;&gt;"pvp",Inputs!$B$43&gt;0),((Skills!G5*((R1966-1)*IF(Skills!H5&gt;0,Skills!I5/Skills!H5,1)+IF(Skills!H5&gt;0,MIN(Skills!I5,MAX(0,MAX(0,Inputs!$B$43-B1997)-((R1966-1)*(IF(Inputs!$B$38="pvp",15,MAX(0.1,Skills!D5-IF(Skills!E5=TRUE,Inputs!$B$32,0)))*(1-IF(AND(ArtifactsInput!$M$27,Inputs!$B$4="Chapter Hunt"),CHOOSE(ArtifactsInput!$N$27+1,20,24,28,32,36,40),0)/100)))))/Skills!H5,1)))/Inputs!$B$43),G1966*Q1966)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7">
      <c r="A1967">
        <f>Skills!A6</f>
        <v/>
      </c>
      <c r="B1967">
        <f>Skills!B6</f>
        <v/>
      </c>
      <c r="C1967">
        <f>Inputs!$B$3&gt;=103</f>
        <v/>
      </c>
      <c r="D1967">
        <f>IF(Skills!C6=1,60+Inputs!$B$25+Inputs!$B$29,IF(Skills!C6=2,90+Inputs!$B$26+Inputs!$B$29,IF(Skills!C6=3,120+Inputs!$B$27+Inputs!$B$29,MAX(0,(Inputs!$B$3-100)*3)+Inputs!$B$28+Inputs!$B$29)))</f>
        <v/>
      </c>
      <c r="E1967">
        <f>INDEX(FactorTable!$B$2:$Y$301, MATCH(ROUND(MIN(300,MAX(1,D1967)),0), FactorTable!$A$2:$A$301,0), Skills!M6+1)</f>
        <v/>
      </c>
      <c r="F1967">
        <f>IF(Skills!N6=TRUE,(Skills!L6/10)*(E1967/1000),Skills!L6/10)+Skills!O6</f>
        <v/>
      </c>
      <c r="G1967">
        <f>Skills!G6*IF(Skills!H6&gt;0,Skills!I6/Skills!H6,1)</f>
        <v/>
      </c>
      <c r="H1967">
        <f>1-(1-Skills!J6/100)^Skills!K6</f>
        <v/>
      </c>
      <c r="I1967" t="inlineStr">
        <is>
          <t>1</t>
        </is>
      </c>
      <c r="J1967">
        <f>((Inputs!$B$6*(1+Inputs!$B$7/100))+(((Inputs!$B$12*(1+Inputs!$B$13/100))-(Inputs!$B$12*(1+Inputs!$B$13/100)))+0.25*(Inputs!$B$14-Inputs!$B$14))*(1+Inputs!$B$7/100))*(F1967/100)</f>
        <v/>
      </c>
      <c r="K1967">
        <f>J1967*(1+((Inputs!$B$12*(1+Inputs!$B$13/100))*0.01+Inputs!$B$14*0.0025)/100)*(1+Inputs!$B$15/100)*(1+Inputs!$B$16/100)*(5000/(6000+Inputs!$B$42*(1-(100*(1-(1-(Inputs!$B$19+0)/100)*(1-CHOOSE(ArtifactsInput!$N$40+1,5,6,7,8,9,10)/100)^(ArtifactsInput!$M$40-ArtifactsInput!$M$40)))/100)))*(1+(Inputs!$B$24+((C1986=TRUE)*(F1986-Calc!F25))+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1982=TRUE)*(F1982-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1984=TRUE)*(F1984-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1974=TRUE)*F1974*IF(Inputs!$B$3&gt;=110,7,5))+((C1976=TRUE)*F1976*IF(AND(Inputs!$B$38&lt;&gt;"pvp",Inputs!$B$43&gt;0),(((R1976-1)*(Skills!T15*(1+(Inputs!$B$34+(ArtifactsInput!$M$7-ArtifactsInput!$M$7)*CHOOSE(ArtifactsInput!$N$7+1,6,7.2,8.4,9.6,10.8,12))/100))+MIN((Skills!T15*(1+(Inputs!$B$34+(ArtifactsInput!$M$7-ArtifactsInput!$M$7)*CHOOSE(ArtifactsInput!$N$7+1,6,7.2,8.4,9.6,10.8,12))/100)),MAX(0,Inputs!$B$43-((R1976-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100)*I1967)</f>
        <v/>
      </c>
      <c r="L1967">
        <f>K1967*(MIN(Inputs!$B$22+((C1983=TRUE)*(F1983-Calc!F22)),(Inputs!$B$23+((C1985=TRUE)*(F1985-Calc!F24))+(IF(ArtifactsInput!$M$15,CHOOSE(ArtifactsInput!$N$15+1,25,30,35,40,45,50)/100*(Inputs!$B$11-Inputs!$B$11),0))))/100+(Inputs!$B$23+((C1985=TRUE)*(F1985-Calc!F24))+(IF(ArtifactsInput!$M$15,CHOOSE(ArtifactsInput!$N$15+1,25,30,35,40,45,50)/100*(Inputs!$B$11-Inputs!$B$11),0)))/100)/2</f>
        <v/>
      </c>
      <c r="M1967">
        <f>L1967*(1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7">
        <f>L1967*(1-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1967*(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7">
        <f>(1-Summary!$B$11)*T1967+Summary!$B$11*V1967</f>
        <v/>
      </c>
      <c r="P1967">
        <f>IF(B2000=0,0,O1967/B2000)</f>
        <v/>
      </c>
      <c r="Q1967">
        <f>IFERROR(1/(IF(Inputs!$B$38="pvp",15,MAX(0.1,Skills!D6-IF(Skills!E6=TRUE,Inputs!$B$32,0)))*(1-IF(AND(ArtifactsInput!$M$27,Inputs!$B$4="Chapter Hunt"),CHOOSE(ArtifactsInput!$N$27+1,20,24,28,32,36,40),0)/100)),0)</f>
        <v/>
      </c>
      <c r="R1967">
        <f>IF(AND(Inputs!$B$38&lt;&gt;"pvp",Inputs!$B$43&gt;0),IF(MAX(0,Inputs!$B$43-B1997)&lt;=0,0,(INT(MAX(0,Inputs!$B$43-B1997)/(IF(Inputs!$B$38="pvp",15,MAX(0.1,Skills!D6-IF(Skills!E6=TRUE,Inputs!$B$32,0)))*(1-IF(AND(ArtifactsInput!$M$27,Inputs!$B$4="Chapter Hunt"),CHOOSE(ArtifactsInput!$N$27+1,20,24,28,32,36,40),0)/100)))+1)),0)</f>
        <v/>
      </c>
      <c r="S1967">
        <f>IFERROR(O1967/N1967,0)</f>
        <v/>
      </c>
      <c r="T1967">
        <f>IF(C1967,(H1967*N1967*IF(AND(Inputs!$B$38&lt;&gt;"pvp",Inputs!$B$43&gt;0),((Skills!G6*((R1967-1)*IF(Skills!H6&gt;0,Skills!I6/Skills!H6,1)+IF(Skills!H6&gt;0,MIN(Skills!I6,MAX(0,MAX(0,Inputs!$B$43-B1997)-((R1967-1)*(IF(Inputs!$B$38="pvp",15,MAX(0.1,Skills!D6-IF(Skills!E6=TRUE,Inputs!$B$32,0)))*(1-IF(AND(ArtifactsInput!$M$27,Inputs!$B$4="Chapter Hunt"),CHOOSE(ArtifactsInput!$N$27+1,20,24,28,32,36,40),0)/100)))))/Skills!H6,1)))/Inputs!$B$43),G1967*Q1967)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1967*(1-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1967*(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1967*(1-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1967*(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7">
        <f>IF(C1967,(H1967*N1967*IF(AND(Inputs!$B$38&lt;&gt;"pvp",Inputs!$B$43&gt;0),((Skills!G6*((R1967-1)*IF(Skills!H6&gt;0,Skills!I6/Skills!H6,1)+IF(Skills!H6&gt;0,MIN(Skills!I6,MAX(0,MAX(0,Inputs!$B$43-B1997)-((R1967-1)*(IF(Inputs!$B$38="pvp",15,MAX(0.1,Skills!D6-IF(Skills!E6=TRUE,Inputs!$B$32,0)))*(1-IF(AND(ArtifactsInput!$M$27,Inputs!$B$4="Chapter Hunt"),CHOOSE(ArtifactsInput!$N$27+1,20,24,28,32,36,40),0)/100)))))/Skills!H6,1)))/Inputs!$B$43),G1967*Q1967)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8">
      <c r="A1968">
        <f>Skills!A7</f>
        <v/>
      </c>
      <c r="B1968">
        <f>Skills!B7</f>
        <v/>
      </c>
      <c r="C1968">
        <f>Inputs!$B$3&gt;=107</f>
        <v/>
      </c>
      <c r="D1968">
        <f>IF(Skills!C7=1,60+Inputs!$B$25+Inputs!$B$29,IF(Skills!C7=2,90+Inputs!$B$26+Inputs!$B$29,IF(Skills!C7=3,120+Inputs!$B$27+Inputs!$B$29,MAX(0,(Inputs!$B$3-100)*3)+Inputs!$B$28+Inputs!$B$29)))</f>
        <v/>
      </c>
      <c r="E1968">
        <f>INDEX(FactorTable!$B$2:$Y$301, MATCH(ROUND(MIN(300,MAX(1,D1968)),0), FactorTable!$A$2:$A$301,0), Skills!M7+1)</f>
        <v/>
      </c>
      <c r="F1968">
        <f>IF(Skills!N7=TRUE,(Skills!L7/10)*(E1968/1000),Skills!L7/10)+Skills!O7</f>
        <v/>
      </c>
      <c r="G1968">
        <f>Skills!G7*IF(Skills!H7&gt;0,Skills!I7/Skills!H7,1)</f>
        <v/>
      </c>
      <c r="H1968">
        <f>1-(1-Skills!J7/100)^Skills!K7</f>
        <v/>
      </c>
      <c r="I1968" t="inlineStr">
        <is>
          <t>1</t>
        </is>
      </c>
      <c r="J1968">
        <f>((Inputs!$B$6*(1+Inputs!$B$7/100))+(((Inputs!$B$12*(1+Inputs!$B$13/100))-(Inputs!$B$12*(1+Inputs!$B$13/100)))+0.25*(Inputs!$B$14-Inputs!$B$14))*(1+Inputs!$B$7/100))*(F1968/100)</f>
        <v/>
      </c>
      <c r="K1968">
        <f>J1968*(1+((Inputs!$B$12*(1+Inputs!$B$13/100))*0.01+Inputs!$B$14*0.0025)/100)*(1+Inputs!$B$15/100)*(1+Inputs!$B$16/100)*(5000/(6000+Inputs!$B$42*(1-(100*(1-(1-(Inputs!$B$19+0)/100)*(1-CHOOSE(ArtifactsInput!$N$40+1,5,6,7,8,9,10)/100)^(ArtifactsInput!$M$40-ArtifactsInput!$M$40)))/100)))*(1+(Inputs!$B$24+((C1986=TRUE)*(F1986-Calc!F25))+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1982=TRUE)*(F1982-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1984=TRUE)*(F1984-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1974=TRUE)*F1974*IF(Inputs!$B$3&gt;=110,7,5))+((C1976=TRUE)*F1976*IF(AND(Inputs!$B$38&lt;&gt;"pvp",Inputs!$B$43&gt;0),(((R1976-1)*(Skills!T15*(1+(Inputs!$B$34+(ArtifactsInput!$M$7-ArtifactsInput!$M$7)*CHOOSE(ArtifactsInput!$N$7+1,6,7.2,8.4,9.6,10.8,12))/100))+MIN((Skills!T15*(1+(Inputs!$B$34+(ArtifactsInput!$M$7-ArtifactsInput!$M$7)*CHOOSE(ArtifactsInput!$N$7+1,6,7.2,8.4,9.6,10.8,12))/100)),MAX(0,Inputs!$B$43-((R1976-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100)*I1968)</f>
        <v/>
      </c>
      <c r="L1968">
        <f>K1968*(MIN(Inputs!$B$22+((C1983=TRUE)*(F1983-Calc!F22)),(Inputs!$B$23+((C1985=TRUE)*(F1985-Calc!F24))+(IF(ArtifactsInput!$M$15,CHOOSE(ArtifactsInput!$N$15+1,25,30,35,40,45,50)/100*(Inputs!$B$11-Inputs!$B$11),0))))/100+(Inputs!$B$23+((C1985=TRUE)*(F1985-Calc!F24))+(IF(ArtifactsInput!$M$15,CHOOSE(ArtifactsInput!$N$15+1,25,30,35,40,45,50)/100*(Inputs!$B$11-Inputs!$B$11),0)))/100)/2</f>
        <v/>
      </c>
      <c r="M1968">
        <f>L1968*(1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8">
        <f>L1968*(1-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1968*(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8">
        <f>(1-Summary!$B$11)*T1968+Summary!$B$11*V1968</f>
        <v/>
      </c>
      <c r="P1968">
        <f>IF(B2000=0,0,O1968/B2000)</f>
        <v/>
      </c>
      <c r="Q1968">
        <f>IFERROR(1/(IF(Inputs!$B$38="pvp",15,MAX(0.1,Skills!D7-IF(Skills!E7=TRUE,Inputs!$B$32,0)))*(1-IF(AND(ArtifactsInput!$M$27,Inputs!$B$4="Chapter Hunt"),CHOOSE(ArtifactsInput!$N$27+1,20,24,28,32,36,40),0)/100)),0)</f>
        <v/>
      </c>
      <c r="R1968">
        <f>IF(AND(Inputs!$B$38&lt;&gt;"pvp",Inputs!$B$43&gt;0),IF(MAX(0,Inputs!$B$43-B1997)&lt;=0,0,(INT(MAX(0,Inputs!$B$43-B1997)/(IF(Inputs!$B$38="pvp",15,MAX(0.1,Skills!D7-IF(Skills!E7=TRUE,Inputs!$B$32,0)))*(1-IF(AND(ArtifactsInput!$M$27,Inputs!$B$4="Chapter Hunt"),CHOOSE(ArtifactsInput!$N$27+1,20,24,28,32,36,40),0)/100)))+1)),0)</f>
        <v/>
      </c>
      <c r="S1968">
        <f>IFERROR(O1968/N1968,0)</f>
        <v/>
      </c>
      <c r="T1968">
        <f>IF(C1968,(H1968*N1968*IF(AND(Inputs!$B$38&lt;&gt;"pvp",Inputs!$B$43&gt;0),((Skills!G7*((R1968-1)*IF(Skills!H7&gt;0,Skills!I7/Skills!H7,1)+IF(Skills!H7&gt;0,MIN(Skills!I7,MAX(0,MAX(0,Inputs!$B$43-B1997)-((R1968-1)*(IF(Inputs!$B$38="pvp",15,MAX(0.1,Skills!D7-IF(Skills!E7=TRUE,Inputs!$B$32,0)))*(1-IF(AND(ArtifactsInput!$M$27,Inputs!$B$4="Chapter Hunt"),CHOOSE(ArtifactsInput!$N$27+1,20,24,28,32,36,40),0)/100)))))/Skills!H7,1)))/Inputs!$B$43),G1968*Q1968)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1968*(1-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1968*(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1968*(1-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1968*(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8">
        <f>IF(C1968,(H1968*N1968*IF(AND(Inputs!$B$38&lt;&gt;"pvp",Inputs!$B$43&gt;0),((Skills!G7*((R1968-1)*IF(Skills!H7&gt;0,Skills!I7/Skills!H7,1)+IF(Skills!H7&gt;0,MIN(Skills!I7,MAX(0,MAX(0,Inputs!$B$43-B1997)-((R1968-1)*(IF(Inputs!$B$38="pvp",15,MAX(0.1,Skills!D7-IF(Skills!E7=TRUE,Inputs!$B$32,0)))*(1-IF(AND(ArtifactsInput!$M$27,Inputs!$B$4="Chapter Hunt"),CHOOSE(ArtifactsInput!$N$27+1,20,24,28,32,36,40),0)/100)))))/Skills!H7,1)))/Inputs!$B$43),G1968*Q1968)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9">
      <c r="A1969">
        <f>Skills!A8</f>
        <v/>
      </c>
      <c r="B1969">
        <f>Skills!B8</f>
        <v/>
      </c>
      <c r="C1969">
        <f>Inputs!$B$3&gt;=117</f>
        <v/>
      </c>
      <c r="D1969">
        <f>IF(Skills!C8=1,60+Inputs!$B$25+Inputs!$B$29,IF(Skills!C8=2,90+Inputs!$B$26+Inputs!$B$29,IF(Skills!C8=3,120+Inputs!$B$27+Inputs!$B$29,MAX(0,(Inputs!$B$3-100)*3)+Inputs!$B$28+Inputs!$B$29)))</f>
        <v/>
      </c>
      <c r="E1969">
        <f>INDEX(FactorTable!$B$2:$Y$301, MATCH(ROUND(MIN(300,MAX(1,D1969)),0), FactorTable!$A$2:$A$301,0), Skills!M8+1)</f>
        <v/>
      </c>
      <c r="F1969">
        <f>IF(Skills!N8=TRUE,(Skills!L8/10)*(E1969/1000),Skills!L8/10)+Skills!O8</f>
        <v/>
      </c>
      <c r="G1969">
        <f>Skills!G8*IF(Skills!H8&gt;0,Skills!I8/Skills!H8,1)</f>
        <v/>
      </c>
      <c r="H1969">
        <f>1-(1-Skills!J8/100)^Skills!K8</f>
        <v/>
      </c>
      <c r="I1969" t="inlineStr">
        <is>
          <t>1</t>
        </is>
      </c>
      <c r="J1969">
        <f>((Inputs!$B$6*(1+Inputs!$B$7/100))+(((Inputs!$B$12*(1+Inputs!$B$13/100))-(Inputs!$B$12*(1+Inputs!$B$13/100)))+0.25*(Inputs!$B$14-Inputs!$B$14))*(1+Inputs!$B$7/100))*(F1969/100)</f>
        <v/>
      </c>
      <c r="K1969">
        <f>J1969*(1+((Inputs!$B$12*(1+Inputs!$B$13/100))*0.01+Inputs!$B$14*0.0025)/100)*(1+Inputs!$B$15/100)*(1+Inputs!$B$16/100)*(5000/(6000+Inputs!$B$42*(1-(100*(1-(1-(Inputs!$B$19+0)/100)*(1-CHOOSE(ArtifactsInput!$N$40+1,5,6,7,8,9,10)/100)^(ArtifactsInput!$M$40-ArtifactsInput!$M$40)))/100)))*(1+(Inputs!$B$24+((C1986=TRUE)*(F1986-Calc!F25))+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1982=TRUE)*(F1982-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1984=TRUE)*(F1984-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1974=TRUE)*F1974*IF(Inputs!$B$3&gt;=110,7,5))+((C1976=TRUE)*F1976*IF(AND(Inputs!$B$38&lt;&gt;"pvp",Inputs!$B$43&gt;0),(((R1976-1)*(Skills!T15*(1+(Inputs!$B$34+(ArtifactsInput!$M$7-ArtifactsInput!$M$7)*CHOOSE(ArtifactsInput!$N$7+1,6,7.2,8.4,9.6,10.8,12))/100))+MIN((Skills!T15*(1+(Inputs!$B$34+(ArtifactsInput!$M$7-ArtifactsInput!$M$7)*CHOOSE(ArtifactsInput!$N$7+1,6,7.2,8.4,9.6,10.8,12))/100)),MAX(0,Inputs!$B$43-((R1976-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100)*I1969)</f>
        <v/>
      </c>
      <c r="L1969">
        <f>K1969*(MIN(Inputs!$B$22+((C1983=TRUE)*(F1983-Calc!F22)),(Inputs!$B$23+((C1985=TRUE)*(F1985-Calc!F24))+(IF(ArtifactsInput!$M$15,CHOOSE(ArtifactsInput!$N$15+1,25,30,35,40,45,50)/100*(Inputs!$B$11-Inputs!$B$11),0))))/100+(Inputs!$B$23+((C1985=TRUE)*(F1985-Calc!F24))+(IF(ArtifactsInput!$M$15,CHOOSE(ArtifactsInput!$N$15+1,25,30,35,40,45,50)/100*(Inputs!$B$11-Inputs!$B$11),0)))/100)/2</f>
        <v/>
      </c>
      <c r="M1969">
        <f>L1969*(1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9">
        <f>L1969*(1-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1969*(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9">
        <f>(1-Summary!$B$11)*T1969+Summary!$B$11*V1969</f>
        <v/>
      </c>
      <c r="P1969">
        <f>IF(B2000=0,0,O1969/B2000)</f>
        <v/>
      </c>
      <c r="Q1969">
        <f>IFERROR(1/(IF(Inputs!$B$38="pvp",15,MAX(0.1,Skills!D8-IF(Skills!E8=TRUE,Inputs!$B$32,0)))*(1-IF(AND(ArtifactsInput!$M$27,Inputs!$B$4="Chapter Hunt"),CHOOSE(ArtifactsInput!$N$27+1,20,24,28,32,36,40),0)/100)),0)</f>
        <v/>
      </c>
      <c r="R1969">
        <f>IF(AND(Inputs!$B$38&lt;&gt;"pvp",Inputs!$B$43&gt;0),IF(MAX(0,Inputs!$B$43-B1997)&lt;=0,0,(INT(MAX(0,Inputs!$B$43-B1997)/(IF(Inputs!$B$38="pvp",15,MAX(0.1,Skills!D8-IF(Skills!E8=TRUE,Inputs!$B$32,0)))*(1-IF(AND(ArtifactsInput!$M$27,Inputs!$B$4="Chapter Hunt"),CHOOSE(ArtifactsInput!$N$27+1,20,24,28,32,36,40),0)/100)))+1)),0)</f>
        <v/>
      </c>
      <c r="S1969">
        <f>IFERROR(O1969/N1969,0)</f>
        <v/>
      </c>
      <c r="T1969">
        <f>IF(C1969,(H1969*N1969*IF(AND(Inputs!$B$38&lt;&gt;"pvp",Inputs!$B$43&gt;0),((Skills!G8*((R1969-1)*IF(Skills!H8&gt;0,Skills!I8/Skills!H8,1)+IF(Skills!H8&gt;0,MIN(Skills!I8,MAX(0,MAX(0,Inputs!$B$43-B1997)-((R1969-1)*(IF(Inputs!$B$38="pvp",15,MAX(0.1,Skills!D8-IF(Skills!E8=TRUE,Inputs!$B$32,0)))*(1-IF(AND(ArtifactsInput!$M$27,Inputs!$B$4="Chapter Hunt"),CHOOSE(ArtifactsInput!$N$27+1,20,24,28,32,36,40),0)/100)))))/Skills!H8,1)))/Inputs!$B$43),G1969*Q1969)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1969*(1-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1969*(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1969*(1-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1969*(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9">
        <f>IF(C1969,(H1969*N1969*IF(AND(Inputs!$B$38&lt;&gt;"pvp",Inputs!$B$43&gt;0),((Skills!G8*((R1969-1)*IF(Skills!H8&gt;0,Skills!I8/Skills!H8,1)+IF(Skills!H8&gt;0,MIN(Skills!I8,MAX(0,MAX(0,Inputs!$B$43-B1997)-((R1969-1)*(IF(Inputs!$B$38="pvp",15,MAX(0.1,Skills!D8-IF(Skills!E8=TRUE,Inputs!$B$32,0)))*(1-IF(AND(ArtifactsInput!$M$27,Inputs!$B$4="Chapter Hunt"),CHOOSE(ArtifactsInput!$N$27+1,20,24,28,32,36,40),0)/100)))))/Skills!H8,1)))/Inputs!$B$43),G1969*Q1969)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0">
      <c r="A1970">
        <f>Skills!A9</f>
        <v/>
      </c>
      <c r="B1970">
        <f>Skills!B9</f>
        <v/>
      </c>
      <c r="C1970">
        <f>Inputs!$B$3&gt;=69</f>
        <v/>
      </c>
      <c r="D1970">
        <f>IF(Skills!C9=1,60+Inputs!$B$25+Inputs!$B$29,IF(Skills!C9=2,90+Inputs!$B$26+Inputs!$B$29,IF(Skills!C9=3,120+Inputs!$B$27+Inputs!$B$29,MAX(0,(Inputs!$B$3-100)*3)+Inputs!$B$28+Inputs!$B$29)))</f>
        <v/>
      </c>
      <c r="E1970">
        <f>INDEX(FactorTable!$B$2:$Y$301, MATCH(ROUND(MIN(300,MAX(1,D1970)),0), FactorTable!$A$2:$A$301,0), Skills!M9+1)</f>
        <v/>
      </c>
      <c r="F1970">
        <f>IF(Skills!N9=TRUE,(Skills!L9/10)*(E1970/1000),Skills!L9/10)+Skills!O9</f>
        <v/>
      </c>
      <c r="G1970">
        <f>Skills!G9*IF(Skills!H9&gt;0,Skills!I9/Skills!H9,1)</f>
        <v/>
      </c>
      <c r="H1970">
        <f>1-(1-Skills!J9/100)^Skills!K9</f>
        <v/>
      </c>
      <c r="I1970" t="inlineStr">
        <is>
          <t>1</t>
        </is>
      </c>
      <c r="J1970">
        <f>((Inputs!$B$6*(1+Inputs!$B$7/100))+(((Inputs!$B$12*(1+Inputs!$B$13/100))-(Inputs!$B$12*(1+Inputs!$B$13/100)))+0.25*(Inputs!$B$14-Inputs!$B$14))*(1+Inputs!$B$7/100))*(F1970/100)</f>
        <v/>
      </c>
      <c r="K1970">
        <f>J1970*(1+((Inputs!$B$12*(1+Inputs!$B$13/100))*0.01+Inputs!$B$14*0.0025)/100)*(1+Inputs!$B$15/100)*(1+Inputs!$B$16/100)*(5000/(6000+Inputs!$B$42*(1-(100*(1-(1-(Inputs!$B$19+0)/100)*(1-CHOOSE(ArtifactsInput!$N$40+1,5,6,7,8,9,10)/100)^(ArtifactsInput!$M$40-ArtifactsInput!$M$40)))/100)))*(1+(Inputs!$B$24+((C1986=TRUE)*(F1986-Calc!F25))+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1973=TRUE,F1973,0)/100)*(1+IF(Skills!A9="ENHANCED_RAGING_BLOW",IF(Inputs!$B$3&gt;=134,MAX(0,IF(Inputs!$B$3&gt;=110,7,5)-5)*50,0),0)/100)*(1+(IF(Skills!A9="RAGING_BLOW",Inputs!$B$17+((C1982=TRUE)*(F1982-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1984=TRUE)*(F1984-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1974=TRUE)*F1974*IF(Inputs!$B$3&gt;=110,7,5))+((C1976=TRUE)*F1976*IF(AND(Inputs!$B$38&lt;&gt;"pvp",Inputs!$B$43&gt;0),(((R1976-1)*(Skills!T15*(1+(Inputs!$B$34+(ArtifactsInput!$M$7-ArtifactsInput!$M$7)*CHOOSE(ArtifactsInput!$N$7+1,6,7.2,8.4,9.6,10.8,12))/100))+MIN((Skills!T15*(1+(Inputs!$B$34+(ArtifactsInput!$M$7-ArtifactsInput!$M$7)*CHOOSE(ArtifactsInput!$N$7+1,6,7.2,8.4,9.6,10.8,12))/100)),MAX(0,Inputs!$B$43-((R1976-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100)*I1970)</f>
        <v/>
      </c>
      <c r="L1970">
        <f>K1970*(MIN(Inputs!$B$22+((C1983=TRUE)*(F1983-Calc!F22)),(Inputs!$B$23+((C1985=TRUE)*(F1985-Calc!F24))+(IF(ArtifactsInput!$M$15,CHOOSE(ArtifactsInput!$N$15+1,25,30,35,40,45,50)/100*(Inputs!$B$11-Inputs!$B$11),0))))/100+(Inputs!$B$23+((C1985=TRUE)*(F1985-Calc!F24))+(IF(ArtifactsInput!$M$15,CHOOSE(ArtifactsInput!$N$15+1,25,30,35,40,45,50)/100*(Inputs!$B$11-Inputs!$B$11),0)))/100)/2</f>
        <v/>
      </c>
      <c r="M1970">
        <f>L1970*(1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0">
        <f>L1970*(1-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1970*(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0">
        <f>(1-Summary!$B$11)*T1970+Summary!$B$11*V1970</f>
        <v/>
      </c>
      <c r="P1970">
        <f>IF(B2000=0,0,O1970/B2000)</f>
        <v/>
      </c>
      <c r="Q1970">
        <f>IFERROR(1/(IF(Inputs!$B$38="pvp",15,MAX(0.1,Skills!D9-IF(Skills!E9=TRUE,Inputs!$B$32,0)))*(1-IF(AND(ArtifactsInput!$M$27,Inputs!$B$4="Chapter Hunt"),CHOOSE(ArtifactsInput!$N$27+1,20,24,28,32,36,40),0)/100)),0)</f>
        <v/>
      </c>
      <c r="R1970">
        <f>IF(AND(Inputs!$B$38&lt;&gt;"pvp",Inputs!$B$43&gt;0),IF(MAX(0,Inputs!$B$43-B1997)&lt;=0,0,(INT(MAX(0,Inputs!$B$43-B1997)/(IF(Inputs!$B$38="pvp",15,MAX(0.1,Skills!D9-IF(Skills!E9=TRUE,Inputs!$B$32,0)))*(1-IF(AND(ArtifactsInput!$M$27,Inputs!$B$4="Chapter Hunt"),CHOOSE(ArtifactsInput!$N$27+1,20,24,28,32,36,40),0)/100)))+1)),0)</f>
        <v/>
      </c>
      <c r="S1970">
        <f>IFERROR(O1970/N1970,0)</f>
        <v/>
      </c>
      <c r="T1970">
        <f>IF(C1970,(H1970*N1970*IF(AND(Inputs!$B$38&lt;&gt;"pvp",Inputs!$B$43&gt;0),((Skills!G9*((R1970-1)*IF(Skills!H9&gt;0,Skills!I9/Skills!H9,1)+IF(Skills!H9&gt;0,MIN(Skills!I9,MAX(0,MAX(0,Inputs!$B$43-B1997)-((R1970-1)*(IF(Inputs!$B$38="pvp",15,MAX(0.1,Skills!D9-IF(Skills!E9=TRUE,Inputs!$B$32,0)))*(1-IF(AND(ArtifactsInput!$M$27,Inputs!$B$4="Chapter Hunt"),CHOOSE(ArtifactsInput!$N$27+1,20,24,28,32,36,40),0)/100)))))/Skills!H9,1)))/Inputs!$B$43),G1970*Q1970)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1970*(1-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1970*(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1970*(1-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1970*(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0">
        <f>IF(C1970,(H1970*N1970*IF(AND(Inputs!$B$38&lt;&gt;"pvp",Inputs!$B$43&gt;0),((Skills!G9*((R1970-1)*IF(Skills!H9&gt;0,Skills!I9/Skills!H9,1)+IF(Skills!H9&gt;0,MIN(Skills!I9,MAX(0,MAX(0,Inputs!$B$43-B1997)-((R1970-1)*(IF(Inputs!$B$38="pvp",15,MAX(0.1,Skills!D9-IF(Skills!E9=TRUE,Inputs!$B$32,0)))*(1-IF(AND(ArtifactsInput!$M$27,Inputs!$B$4="Chapter Hunt"),CHOOSE(ArtifactsInput!$N$27+1,20,24,28,32,36,40),0)/100)))))/Skills!H9,1)))/Inputs!$B$43),G1970*Q1970)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1">
      <c r="A1971">
        <f>Skills!A10</f>
        <v/>
      </c>
      <c r="B1971">
        <f>Skills!B10</f>
        <v/>
      </c>
      <c r="C1971">
        <f>Inputs!$B$3&gt;=63</f>
        <v/>
      </c>
      <c r="D1971">
        <f>IF(Skills!C10=1,60+Inputs!$B$25+Inputs!$B$29,IF(Skills!C10=2,90+Inputs!$B$26+Inputs!$B$29,IF(Skills!C10=3,120+Inputs!$B$27+Inputs!$B$29,MAX(0,(Inputs!$B$3-100)*3)+Inputs!$B$28+Inputs!$B$29)))</f>
        <v/>
      </c>
      <c r="E1971">
        <f>INDEX(FactorTable!$B$2:$Y$301, MATCH(ROUND(MIN(300,MAX(1,D1971)),0), FactorTable!$A$2:$A$301,0), Skills!M10+1)</f>
        <v/>
      </c>
      <c r="F1971">
        <f>IF(Skills!N10=TRUE,(Skills!L10/10)*(E1971/1000),Skills!L10/10)+Skills!O10</f>
        <v/>
      </c>
      <c r="G1971">
        <f>Skills!G10*IF(Skills!H10&gt;0,Skills!I10/Skills!H10,1)</f>
        <v/>
      </c>
      <c r="H1971">
        <f>1-(1-Skills!J10/100)^Skills!K10</f>
        <v/>
      </c>
      <c r="I1971" t="inlineStr">
        <is>
          <t>1</t>
        </is>
      </c>
      <c r="J1971">
        <f>((Inputs!$B$6*(1+Inputs!$B$7/100))+(((Inputs!$B$12*(1+Inputs!$B$13/100))-(Inputs!$B$12*(1+Inputs!$B$13/100)))+0.25*(Inputs!$B$14-Inputs!$B$14))*(1+Inputs!$B$7/100))*(F1971/100)</f>
        <v/>
      </c>
      <c r="K1971">
        <f>J1971*(1+((Inputs!$B$12*(1+Inputs!$B$13/100))*0.01+Inputs!$B$14*0.0025)/100)*(1+Inputs!$B$15/100)*(1+Inputs!$B$16/100)*(5000/(6000+Inputs!$B$42*(1-(100*(1-(1-(Inputs!$B$19+0)/100)*(1-CHOOSE(ArtifactsInput!$N$40+1,5,6,7,8,9,10)/100)^(ArtifactsInput!$M$40-ArtifactsInput!$M$40)))/100)))*(1+(Inputs!$B$24+((C1986=TRUE)*(F1986-Calc!F25))+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1973=TRUE,F1973,0)/100)*(1+IF(Skills!A10="ENHANCED_RAGING_BLOW",IF(Inputs!$B$3&gt;=134,MAX(0,IF(Inputs!$B$3&gt;=110,7,5)-5)*50,0),0)/100)*(1+(IF(Skills!A10="RAGING_BLOW",Inputs!$B$17+((C1982=TRUE)*(F1982-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1984=TRUE)*(F1984-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1974=TRUE)*F1974*IF(Inputs!$B$3&gt;=110,7,5))+((C1976=TRUE)*F1976*IF(AND(Inputs!$B$38&lt;&gt;"pvp",Inputs!$B$43&gt;0),(((R1976-1)*(Skills!T15*(1+(Inputs!$B$34+(ArtifactsInput!$M$7-ArtifactsInput!$M$7)*CHOOSE(ArtifactsInput!$N$7+1,6,7.2,8.4,9.6,10.8,12))/100))+MIN((Skills!T15*(1+(Inputs!$B$34+(ArtifactsInput!$M$7-ArtifactsInput!$M$7)*CHOOSE(ArtifactsInput!$N$7+1,6,7.2,8.4,9.6,10.8,12))/100)),MAX(0,Inputs!$B$43-((R1976-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100)*I1971)</f>
        <v/>
      </c>
      <c r="L1971">
        <f>K1971*(MIN(Inputs!$B$22+((C1983=TRUE)*(F1983-Calc!F22)),(Inputs!$B$23+((C1985=TRUE)*(F1985-Calc!F24))+(IF(ArtifactsInput!$M$15,CHOOSE(ArtifactsInput!$N$15+1,25,30,35,40,45,50)/100*(Inputs!$B$11-Inputs!$B$11),0))))/100+(Inputs!$B$23+((C1985=TRUE)*(F1985-Calc!F24))+(IF(ArtifactsInput!$M$15,CHOOSE(ArtifactsInput!$N$15+1,25,30,35,40,45,50)/100*(Inputs!$B$11-Inputs!$B$11),0)))/100)/2</f>
        <v/>
      </c>
      <c r="M1971">
        <f>L1971*(1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1">
        <f>L1971*(1-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1971*(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1">
        <f>(1-Summary!$B$11)*T1971+Summary!$B$11*V1971</f>
        <v/>
      </c>
      <c r="P1971">
        <f>IF(B2000=0,0,O1971/B2000)</f>
        <v/>
      </c>
      <c r="Q1971">
        <f>IFERROR(1/(IF(Inputs!$B$38="pvp",15,MAX(0.1,Skills!D10-IF(Skills!E10=TRUE,Inputs!$B$32,0)))*(1-IF(AND(ArtifactsInput!$M$27,Inputs!$B$4="Chapter Hunt"),CHOOSE(ArtifactsInput!$N$27+1,20,24,28,32,36,40),0)/100)),0)</f>
        <v/>
      </c>
      <c r="R1971">
        <f>IF(AND(Inputs!$B$38&lt;&gt;"pvp",Inputs!$B$43&gt;0),IF(MAX(0,Inputs!$B$43-B1997)&lt;=0,0,(INT(MAX(0,Inputs!$B$43-B1997)/(IF(Inputs!$B$38="pvp",15,MAX(0.1,Skills!D10-IF(Skills!E10=TRUE,Inputs!$B$32,0)))*(1-IF(AND(ArtifactsInput!$M$27,Inputs!$B$4="Chapter Hunt"),CHOOSE(ArtifactsInput!$N$27+1,20,24,28,32,36,40),0)/100)))+1)),0)</f>
        <v/>
      </c>
      <c r="S1971">
        <f>IFERROR(O1971/N1971,0)</f>
        <v/>
      </c>
      <c r="T1971">
        <f>IF(C1971,(H1971*N1971*IF(AND(Inputs!$B$38&lt;&gt;"pvp",Inputs!$B$43&gt;0),((Skills!G10*((R1971-1)*IF(Skills!H10&gt;0,Skills!I10/Skills!H10,1)+IF(Skills!H10&gt;0,MIN(Skills!I10,MAX(0,MAX(0,Inputs!$B$43-B1997)-((R1971-1)*(IF(Inputs!$B$38="pvp",15,MAX(0.1,Skills!D10-IF(Skills!E10=TRUE,Inputs!$B$32,0)))*(1-IF(AND(ArtifactsInput!$M$27,Inputs!$B$4="Chapter Hunt"),CHOOSE(ArtifactsInput!$N$27+1,20,24,28,32,36,40),0)/100)))))/Skills!H10,1)))/Inputs!$B$43),G1971*Q1971)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1971*(1-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1971*(1-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1">
        <f>IF(C1971,(H1971*N1971*IF(AND(Inputs!$B$38&lt;&gt;"pvp",Inputs!$B$43&gt;0),((Skills!G10*((R1971-1)*IF(Skills!H10&gt;0,Skills!I10/Skills!H10,1)+IF(Skills!H10&gt;0,MIN(Skills!I10,MAX(0,MAX(0,Inputs!$B$43-B1997)-((R1971-1)*(IF(Inputs!$B$38="pvp",15,MAX(0.1,Skills!D10-IF(Skills!E10=TRUE,Inputs!$B$32,0)))*(1-IF(AND(ArtifactsInput!$M$27,Inputs!$B$4="Chapter Hunt"),CHOOSE(ArtifactsInput!$N$27+1,20,24,28,32,36,40),0)/100)))))/Skills!H10,1)))/Inputs!$B$43),G1971*Q1971)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2">
      <c r="A1972">
        <f>Skills!A11</f>
        <v/>
      </c>
      <c r="B1972">
        <f>Skills!B11</f>
        <v/>
      </c>
      <c r="C1972">
        <f>Inputs!$B$3&gt;=35</f>
        <v/>
      </c>
      <c r="D1972">
        <f>IF(Skills!C11=1,60+Inputs!$B$25+Inputs!$B$29,IF(Skills!C11=2,90+Inputs!$B$26+Inputs!$B$29,IF(Skills!C11=3,120+Inputs!$B$27+Inputs!$B$29,MAX(0,(Inputs!$B$3-100)*3)+Inputs!$B$28+Inputs!$B$29)))</f>
        <v/>
      </c>
      <c r="E1972">
        <f>INDEX(FactorTable!$B$2:$Y$301, MATCH(ROUND(MIN(300,MAX(1,D1972)),0), FactorTable!$A$2:$A$301,0), Skills!M11+1)</f>
        <v/>
      </c>
      <c r="F1972">
        <f>IF(Skills!N11=TRUE,(Skills!L11/10)*(E1972/1000),Skills!L11/10)+Skills!O11</f>
        <v/>
      </c>
      <c r="G1972">
        <f>Skills!G11*IF(Skills!H11&gt;0,Skills!I11/Skills!H11,1)</f>
        <v/>
      </c>
      <c r="H1972">
        <f>1-(1-Skills!J11/100)^Skills!K11</f>
        <v/>
      </c>
      <c r="I1972" t="inlineStr">
        <is>
          <t>1</t>
        </is>
      </c>
      <c r="J1972">
        <f>((Inputs!$B$6*(1+Inputs!$B$7/100))+(((Inputs!$B$12*(1+Inputs!$B$13/100))-(Inputs!$B$12*(1+Inputs!$B$13/100)))+0.25*(Inputs!$B$14-Inputs!$B$14))*(1+Inputs!$B$7/100))*(F1972/100)</f>
        <v/>
      </c>
      <c r="K1972">
        <f>J1972*(1+((Inputs!$B$12*(1+Inputs!$B$13/100))*0.01+Inputs!$B$14*0.0025)/100)*(1+Inputs!$B$15/100)*(1+Inputs!$B$16/100)*(5000/(6000+Inputs!$B$42*(1-(100*(1-(1-(Inputs!$B$19+0)/100)*(1-CHOOSE(ArtifactsInput!$N$40+1,5,6,7,8,9,10)/100)^(ArtifactsInput!$M$40-ArtifactsInput!$M$40)))/100)))*(1+(Inputs!$B$24+((C1986=TRUE)*(F1986-Calc!F25))+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1973=TRUE,F1973,0)/100)*(1+IF(Skills!A11="ENHANCED_RAGING_BLOW",IF(Inputs!$B$3&gt;=134,MAX(0,IF(Inputs!$B$3&gt;=110,7,5)-5)*50,0),0)/100)*(1+(IF(Skills!A11="RAGING_BLOW",Inputs!$B$17+((C1982=TRUE)*(F1982-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1984=TRUE)*(F1984-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1974=TRUE)*F1974*IF(Inputs!$B$3&gt;=110,7,5))+((C1976=TRUE)*F1976*IF(AND(Inputs!$B$38&lt;&gt;"pvp",Inputs!$B$43&gt;0),(((R1976-1)*(Skills!T15*(1+(Inputs!$B$34+(ArtifactsInput!$M$7-ArtifactsInput!$M$7)*CHOOSE(ArtifactsInput!$N$7+1,6,7.2,8.4,9.6,10.8,12))/100))+MIN((Skills!T15*(1+(Inputs!$B$34+(ArtifactsInput!$M$7-ArtifactsInput!$M$7)*CHOOSE(ArtifactsInput!$N$7+1,6,7.2,8.4,9.6,10.8,12))/100)),MAX(0,Inputs!$B$43-((R1976-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100)*I1972)</f>
        <v/>
      </c>
      <c r="L1972">
        <f>K1972*(MIN(Inputs!$B$22+((C1983=TRUE)*(F1983-Calc!F22)),(Inputs!$B$23+((C1985=TRUE)*(F1985-Calc!F24))+(IF(ArtifactsInput!$M$15,CHOOSE(ArtifactsInput!$N$15+1,25,30,35,40,45,50)/100*(Inputs!$B$11-Inputs!$B$11),0))))/100+(Inputs!$B$23+((C1985=TRUE)*(F1985-Calc!F24))+(IF(ArtifactsInput!$M$15,CHOOSE(ArtifactsInput!$N$15+1,25,30,35,40,45,50)/100*(Inputs!$B$11-Inputs!$B$11),0)))/100)/2</f>
        <v/>
      </c>
      <c r="M1972">
        <f>L1972*(1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2">
        <f>L1972*(1-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1972*(MIN((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2">
        <f>(1-Summary!$B$11)*T1972+Summary!$B$11*V1972</f>
        <v/>
      </c>
      <c r="P1972">
        <f>IF(B2000=0,0,O1972/B2000)</f>
        <v/>
      </c>
      <c r="Q1972">
        <f>IFERROR(1/(IF(Inputs!$B$38="pvp",15,MAX(0.1,Skills!D11-IF(Skills!E11=TRUE,Inputs!$B$32,0)))*(1-IF(AND(ArtifactsInput!$M$27,Inputs!$B$4="Chapter Hunt"),CHOOSE(ArtifactsInput!$N$27+1,20,24,28,32,36,40),0)/100)),0)</f>
        <v/>
      </c>
      <c r="R1972">
        <f>IF(AND(Inputs!$B$38&lt;&gt;"pvp",Inputs!$B$43&gt;0),IF(MAX(0,Inputs!$B$43-B1997)&lt;=0,0,(INT(MAX(0,Inputs!$B$43-B1997)/(IF(Inputs!$B$38="pvp",15,MAX(0.1,Skills!D11-IF(Skills!E11=TRUE,Inputs!$B$32,0)))*(1-IF(AND(ArtifactsInput!$M$27,Inputs!$B$4="Chapter Hunt"),CHOOSE(ArtifactsInput!$N$27+1,20,24,28,32,36,40),0)/100)))+1)),0)</f>
        <v/>
      </c>
      <c r="S1972">
        <f>IFERROR(O1972/N1972,0)</f>
        <v/>
      </c>
      <c r="T1972">
        <f>IF(C1972,(H1972*N1972*IF(AND(Inputs!$B$38&lt;&gt;"pvp",Inputs!$B$43&gt;0),((Skills!G11*((R1972-1)*IF(Skills!H11&gt;0,Skills!I11/Skills!H11,1)+IF(Skills!H11&gt;0,MIN(Skills!I11,MAX(0,MAX(0,Inputs!$B$43-B1997)-((R1972-1)*(IF(Inputs!$B$38="pvp",15,MAX(0.1,Skills!D11-IF(Skills!E11=TRUE,Inputs!$B$32,0)))*(1-IF(AND(ArtifactsInput!$M$27,Inputs!$B$4="Chapter Hunt"),CHOOSE(ArtifactsInput!$N$27+1,20,24,28,32,36,40),0)/100)))))/Skills!H11,1)))/Inputs!$B$43),G1972*Q1972)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1972*(1-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1972*(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1972*(1-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1972*(MIN(100,(Inputs!$B$9+((C1987=TRUE)*(F1987-Calc!F26))+B1990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2">
        <f>IF(C1972,(H1972*N1972*IF(AND(Inputs!$B$38&lt;&gt;"pvp",Inputs!$B$43&gt;0),((Skills!G11*((R1972-1)*IF(Skills!H11&gt;0,Skills!I11/Skills!H11,1)+IF(Skills!H11&gt;0,MIN(Skills!I11,MAX(0,MAX(0,Inputs!$B$43-B1997)-((R1972-1)*(IF(Inputs!$B$38="pvp",15,MAX(0.1,Skills!D11-IF(Skills!E11=TRUE,Inputs!$B$32,0)))*(1-IF(AND(ArtifactsInput!$M$27,Inputs!$B$4="Chapter Hunt"),CHOOSE(ArtifactsInput!$N$27+1,20,24,28,32,36,40),0)/100)))))/Skills!H11,1)))/Inputs!$B$43),G1972*Q1972)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3">
      <c r="A1973">
        <f>Skills!A12</f>
        <v/>
      </c>
      <c r="B1973">
        <f>Skills!B12</f>
        <v/>
      </c>
      <c r="C1973">
        <f>Inputs!$B$3&gt;=100</f>
        <v/>
      </c>
      <c r="D1973">
        <f>IF(Skills!C12=1,60+Inputs!$B$25+Inputs!$B$29,IF(Skills!C12=2,90+Inputs!$B$26+Inputs!$B$29,IF(Skills!C12=3,120+Inputs!$B$27+Inputs!$B$29,MAX(0,(Inputs!$B$3-100)*3)+Inputs!$B$28+Inputs!$B$29)))</f>
        <v/>
      </c>
      <c r="E1973">
        <f>INDEX(FactorTable!$B$2:$Y$301, MATCH(ROUND(MIN(300,MAX(1,D1973)),0), FactorTable!$A$2:$A$301,0), Skills!M12+1)</f>
        <v/>
      </c>
      <c r="F1973">
        <f>IF(Skills!N12=TRUE,(Skills!L12/10)*(E1973/1000),Skills!L12/10)+Skills!O12</f>
        <v/>
      </c>
      <c r="G1973" t="inlineStr"/>
      <c r="H1973" t="inlineStr"/>
      <c r="I1973" t="inlineStr">
        <is>
          <t>1</t>
        </is>
      </c>
      <c r="J1973" t="inlineStr"/>
      <c r="K1973" t="inlineStr"/>
      <c r="L1973" t="inlineStr"/>
      <c r="M1973" t="inlineStr"/>
      <c r="N1973" t="inlineStr"/>
      <c r="O1973" t="inlineStr"/>
      <c r="P1973" t="inlineStr"/>
      <c r="Q1973" t="inlineStr"/>
      <c r="R1973" t="inlineStr"/>
      <c r="S1973" t="inlineStr"/>
    </row>
    <row r="1974">
      <c r="A1974">
        <f>Skills!A13</f>
        <v/>
      </c>
      <c r="B1974">
        <f>Skills!B13</f>
        <v/>
      </c>
      <c r="C1974">
        <f>Inputs!$B$3&gt;=45</f>
        <v/>
      </c>
      <c r="D1974">
        <f>IF(Skills!C13=1,60+Inputs!$B$25+Inputs!$B$29,IF(Skills!C13=2,90+Inputs!$B$26+Inputs!$B$29,IF(Skills!C13=3,120+Inputs!$B$27+Inputs!$B$29,MAX(0,(Inputs!$B$3-100)*3)+Inputs!$B$28+Inputs!$B$29)))</f>
        <v/>
      </c>
      <c r="E1974">
        <f>INDEX(FactorTable!$B$2:$Y$301, MATCH(ROUND(MIN(300,MAX(1,D1974)),0), FactorTable!$A$2:$A$301,0), Skills!M13+1)</f>
        <v/>
      </c>
      <c r="F1974">
        <f>IF(Skills!N13=TRUE,(Skills!L13/10)*(E1974/1000),Skills!L13/10)+Skills!O13</f>
        <v/>
      </c>
      <c r="G1974">
        <f>Skills!G13*IF(Skills!H13&gt;0,Skills!I13/Skills!H13,1)</f>
        <v/>
      </c>
      <c r="H1974">
        <f>1-(1-Skills!J13/100)^Skills!K13</f>
        <v/>
      </c>
      <c r="I1974" t="inlineStr">
        <is>
          <t>1</t>
        </is>
      </c>
      <c r="J1974" t="inlineStr"/>
      <c r="K1974" t="inlineStr"/>
      <c r="L1974" t="inlineStr"/>
      <c r="M1974" t="inlineStr"/>
      <c r="N1974" t="inlineStr"/>
      <c r="O1974">
        <f>(1-Summary!$B$11)*T1974+Summary!$B$11*V1974</f>
        <v/>
      </c>
      <c r="P1974">
        <f>IF(B2000=0,0,O1974/B2000)</f>
        <v/>
      </c>
      <c r="Q1974" t="n">
        <v>0</v>
      </c>
      <c r="R1974" t="n">
        <v>0</v>
      </c>
      <c r="S1974">
        <f>IFERROR(O1974/N1974,0)</f>
        <v/>
      </c>
      <c r="T1974" t="n">
        <v>0</v>
      </c>
      <c r="V1974" t="n">
        <v>0</v>
      </c>
    </row>
    <row r="1975">
      <c r="A1975">
        <f>Skills!A14</f>
        <v/>
      </c>
      <c r="B1975">
        <f>Skills!B14</f>
        <v/>
      </c>
      <c r="C1975">
        <f>Inputs!$B$3&gt;=75</f>
        <v/>
      </c>
      <c r="D1975">
        <f>IF(Skills!C14=1,60+Inputs!$B$25+Inputs!$B$29,IF(Skills!C14=2,90+Inputs!$B$26+Inputs!$B$29,IF(Skills!C14=3,120+Inputs!$B$27+Inputs!$B$29,MAX(0,(Inputs!$B$3-100)*3)+Inputs!$B$28+Inputs!$B$29)))</f>
        <v/>
      </c>
      <c r="E1975">
        <f>INDEX(FactorTable!$B$2:$Y$301, MATCH(ROUND(MIN(300,MAX(1,D1975)),0), FactorTable!$A$2:$A$301,0), Skills!M14+1)</f>
        <v/>
      </c>
      <c r="F1975">
        <f>IF(Skills!N14=TRUE,(Skills!L14/10)*(E1975/1000),Skills!L14/10)+Skills!O14</f>
        <v/>
      </c>
      <c r="G1975">
        <f>Skills!G14*IF(Skills!H14&gt;0,Skills!I14/Skills!H14,1)</f>
        <v/>
      </c>
      <c r="H1975">
        <f>1-(1-Skills!J14/100)^Skills!K14</f>
        <v/>
      </c>
      <c r="I1975" t="inlineStr">
        <is>
          <t>1</t>
        </is>
      </c>
      <c r="J1975" t="inlineStr"/>
      <c r="K1975" t="inlineStr"/>
      <c r="L1975" t="inlineStr"/>
      <c r="M1975" t="inlineStr"/>
      <c r="N1975" t="inlineStr"/>
      <c r="O1975">
        <f>(1-Summary!$B$11)*T1975+Summary!$B$11*V1975</f>
        <v/>
      </c>
      <c r="P1975">
        <f>IF(B2000=0,0,O1975/B2000)</f>
        <v/>
      </c>
      <c r="Q1975" t="n">
        <v>0</v>
      </c>
      <c r="R1975" t="n">
        <v>0</v>
      </c>
      <c r="S1975">
        <f>IFERROR(O1975/N1975,0)</f>
        <v/>
      </c>
      <c r="T1975" t="n">
        <v>0</v>
      </c>
      <c r="V1975" t="n">
        <v>0</v>
      </c>
    </row>
    <row r="1976">
      <c r="A1976">
        <f>Skills!A15</f>
        <v/>
      </c>
      <c r="B1976">
        <f>Skills!B15</f>
        <v/>
      </c>
      <c r="C1976">
        <f>Inputs!$B$3&gt;=40</f>
        <v/>
      </c>
      <c r="D1976">
        <f>IF(Skills!C15=1,60+Inputs!$B$25+Inputs!$B$29,IF(Skills!C15=2,90+Inputs!$B$26+Inputs!$B$29,IF(Skills!C15=3,120+Inputs!$B$27+Inputs!$B$29,MAX(0,(Inputs!$B$3-100)*3)+Inputs!$B$28+Inputs!$B$29)))</f>
        <v/>
      </c>
      <c r="E1976">
        <f>INDEX(FactorTable!$B$2:$Y$301, MATCH(ROUND(MIN(300,MAX(1,D1976)),0), FactorTable!$A$2:$A$301,0), Skills!M15+1)</f>
        <v/>
      </c>
      <c r="F1976">
        <f>IF(Skills!N15=TRUE,(Skills!L15/10)*(E1976/1000),Skills!L15/10)+Skills!O15</f>
        <v/>
      </c>
      <c r="G1976">
        <f>Skills!G15*IF(Skills!H15&gt;0,Skills!I15/Skills!H15,1)</f>
        <v/>
      </c>
      <c r="H1976">
        <f>1-(1-Skills!J15/100)^Skills!K15</f>
        <v/>
      </c>
      <c r="I1976" t="inlineStr">
        <is>
          <t>1</t>
        </is>
      </c>
      <c r="J1976" t="inlineStr"/>
      <c r="K1976" t="inlineStr"/>
      <c r="L1976" t="inlineStr"/>
      <c r="M1976" t="inlineStr"/>
      <c r="N1976" t="inlineStr"/>
      <c r="O1976">
        <f>(1-Summary!$B$11)*T1976+Summary!$B$11*V1976</f>
        <v/>
      </c>
      <c r="P1976">
        <f>IF(B2000=0,0,O1976/B2000)</f>
        <v/>
      </c>
      <c r="Q1976">
        <f>IFERROR(1/(IF(Inputs!$B$38="pvp",15,MAX(0.1,Skills!D15-IF(Skills!E15=TRUE,Inputs!$B$32,0)))*(1-IF(AND(ArtifactsInput!$M$27,Inputs!$B$4="Chapter Hunt"),CHOOSE(ArtifactsInput!$N$27+1,20,24,28,32,36,40),0)/100)),0)</f>
        <v/>
      </c>
      <c r="R1976">
        <f>IF(AND(Inputs!$B$38&lt;&gt;"pvp",Inputs!$B$43&gt;0),IF(Inputs!$B$43&lt;=0,0,(INT(Inputs!$B$43/(IF(Inputs!$B$38="pvp",15,MAX(0.1,Skills!D15-IF(Skills!E15=TRUE,Inputs!$B$32,0)))*(1-IF(AND(ArtifactsInput!$M$27,Inputs!$B$4="Chapter Hunt"),CHOOSE(ArtifactsInput!$N$27+1,20,24,28,32,36,40),0)/100)))+1)),0)</f>
        <v/>
      </c>
      <c r="S1976">
        <f>IFERROR(O1976/N1976,0)</f>
        <v/>
      </c>
      <c r="T1976" t="n">
        <v>0</v>
      </c>
      <c r="V1976" t="n">
        <v>0</v>
      </c>
    </row>
    <row r="1977">
      <c r="A1977">
        <f>Skills!A16</f>
        <v/>
      </c>
      <c r="B1977">
        <f>Skills!B16</f>
        <v/>
      </c>
      <c r="C1977">
        <f>Inputs!$B$3&gt;=66</f>
        <v/>
      </c>
      <c r="D1977">
        <f>IF(Skills!C16=1,60+Inputs!$B$25+Inputs!$B$29,IF(Skills!C16=2,90+Inputs!$B$26+Inputs!$B$29,IF(Skills!C16=3,120+Inputs!$B$27+Inputs!$B$29,MAX(0,(Inputs!$B$3-100)*3)+Inputs!$B$28+Inputs!$B$29)))</f>
        <v/>
      </c>
      <c r="E1977">
        <f>INDEX(FactorTable!$B$2:$Y$301, MATCH(ROUND(MIN(300,MAX(1,D1977)),0), FactorTable!$A$2:$A$301,0), Skills!M16+1)</f>
        <v/>
      </c>
      <c r="F1977">
        <f>IF(Skills!N16=TRUE,(Skills!L16/10)*(E1977/1000),Skills!L16/10)+Skills!O16</f>
        <v/>
      </c>
      <c r="G1977">
        <f>Skills!G16*IF(Skills!H16&gt;0,Skills!I16/Skills!H16,1)</f>
        <v/>
      </c>
      <c r="H1977">
        <f>1-(1-Skills!J16/100)^Skills!K16</f>
        <v/>
      </c>
      <c r="I1977" t="inlineStr">
        <is>
          <t>1</t>
        </is>
      </c>
      <c r="J1977" t="inlineStr"/>
      <c r="K1977" t="inlineStr"/>
      <c r="L1977" t="inlineStr"/>
      <c r="M1977" t="inlineStr"/>
      <c r="N1977" t="inlineStr"/>
      <c r="O1977">
        <f>(1-Summary!$B$11)*T1977+Summary!$B$11*V1977</f>
        <v/>
      </c>
      <c r="P1977">
        <f>IF(B2000=0,0,O1977/B2000)</f>
        <v/>
      </c>
      <c r="Q1977">
        <f>IFERROR(1/(IF(Inputs!$B$38="pvp",15,MAX(0.1,Skills!D16-IF(Skills!E16=TRUE,Inputs!$B$32,0)))*(1-IF(AND(ArtifactsInput!$M$27,Inputs!$B$4="Chapter Hunt"),CHOOSE(ArtifactsInput!$N$27+1,20,24,28,32,36,40),0)/100)),0)</f>
        <v/>
      </c>
      <c r="R1977">
        <f>IF(AND(Inputs!$B$38&lt;&gt;"pvp",Inputs!$B$43&gt;0),IF(Inputs!$B$43&lt;=0,0,(INT(Inputs!$B$43/(IF(Inputs!$B$38="pvp",15,MAX(0.1,Skills!D16-IF(Skills!E16=TRUE,Inputs!$B$32,0)))*(1-IF(AND(ArtifactsInput!$M$27,Inputs!$B$4="Chapter Hunt"),CHOOSE(ArtifactsInput!$N$27+1,20,24,28,32,36,40),0)/100)))+1)),0)</f>
        <v/>
      </c>
      <c r="S1977">
        <f>IFERROR(O1977/N1977,0)</f>
        <v/>
      </c>
      <c r="T1977" t="n">
        <v>0</v>
      </c>
      <c r="V1977" t="n">
        <v>0</v>
      </c>
    </row>
    <row r="1978">
      <c r="A1978">
        <f>Skills!A17</f>
        <v/>
      </c>
      <c r="B1978">
        <f>Skills!B17</f>
        <v/>
      </c>
      <c r="C1978">
        <f>Inputs!$B$3&gt;=115</f>
        <v/>
      </c>
      <c r="D1978">
        <f>IF(Skills!C17=1,60+Inputs!$B$25+Inputs!$B$29,IF(Skills!C17=2,90+Inputs!$B$26+Inputs!$B$29,IF(Skills!C17=3,120+Inputs!$B$27+Inputs!$B$29,MAX(0,(Inputs!$B$3-100)*3)+Inputs!$B$28+Inputs!$B$29)))</f>
        <v/>
      </c>
      <c r="E1978">
        <f>INDEX(FactorTable!$B$2:$Y$301, MATCH(ROUND(MIN(300,MAX(1,D1978)),0), FactorTable!$A$2:$A$301,0), Skills!M17+1)</f>
        <v/>
      </c>
      <c r="F1978">
        <f>IF(Skills!N17=TRUE,(Skills!L17/10)*(E1978/1000),Skills!L17/10)+Skills!O17</f>
        <v/>
      </c>
      <c r="G1978">
        <f>Skills!G17*IF(Skills!H17&gt;0,Skills!I17/Skills!H17,1)</f>
        <v/>
      </c>
      <c r="H1978">
        <f>1-(1-Skills!J17/100)^Skills!K17</f>
        <v/>
      </c>
      <c r="I1978" t="inlineStr">
        <is>
          <t>1</t>
        </is>
      </c>
      <c r="J1978" t="inlineStr"/>
      <c r="K1978" t="inlineStr"/>
      <c r="L1978" t="inlineStr"/>
      <c r="M1978" t="inlineStr"/>
      <c r="N1978" t="inlineStr"/>
      <c r="O1978">
        <f>(1-Summary!$B$11)*T1978+Summary!$B$11*V1978</f>
        <v/>
      </c>
      <c r="P1978">
        <f>IF(B2000=0,0,O1978/B2000)</f>
        <v/>
      </c>
      <c r="Q1978">
        <f>IFERROR(1/(IF(Inputs!$B$38="pvp",15,MAX(0.1,Skills!D17-IF(Skills!E17=TRUE,Inputs!$B$32,0)))*(1-IF(AND(ArtifactsInput!$M$27,Inputs!$B$4="Chapter Hunt"),CHOOSE(ArtifactsInput!$N$27+1,20,24,28,32,36,40),0)/100)),0)</f>
        <v/>
      </c>
      <c r="R1978">
        <f>IF(AND(Inputs!$B$38&lt;&gt;"pvp",Inputs!$B$43&gt;0),IF(Inputs!$B$43&lt;=0,0,(INT(Inputs!$B$43/(IF(Inputs!$B$38="pvp",15,MAX(0.1,Skills!D17-IF(Skills!E17=TRUE,Inputs!$B$32,0)))*(1-IF(AND(ArtifactsInput!$M$27,Inputs!$B$4="Chapter Hunt"),CHOOSE(ArtifactsInput!$N$27+1,20,24,28,32,36,40),0)/100)))+1)),0)</f>
        <v/>
      </c>
      <c r="S1978">
        <f>IFERROR(O1978/N1978,0)</f>
        <v/>
      </c>
      <c r="T1978" t="n">
        <v>0</v>
      </c>
      <c r="V1978" t="n">
        <v>0</v>
      </c>
    </row>
    <row r="1979">
      <c r="A1979">
        <f>Skills!A18</f>
        <v/>
      </c>
      <c r="B1979">
        <f>Skills!B18</f>
        <v/>
      </c>
      <c r="C1979">
        <f>Inputs!$B$3&gt;=115</f>
        <v/>
      </c>
      <c r="D1979">
        <f>IF(Skills!C18=1,60+Inputs!$B$25+Inputs!$B$29,IF(Skills!C18=2,90+Inputs!$B$26+Inputs!$B$29,IF(Skills!C18=3,120+Inputs!$B$27+Inputs!$B$29,MAX(0,(Inputs!$B$3-100)*3)+Inputs!$B$28+Inputs!$B$29)))</f>
        <v/>
      </c>
      <c r="E1979">
        <f>INDEX(FactorTable!$B$2:$Y$301, MATCH(ROUND(MIN(300,MAX(1,D1979)),0), FactorTable!$A$2:$A$301,0), Skills!M18+1)</f>
        <v/>
      </c>
      <c r="F1979">
        <f>IF(Skills!N18=TRUE,(Skills!L18/10)*(E1979/1000),Skills!L18/10)+Skills!O18</f>
        <v/>
      </c>
      <c r="G1979">
        <f>Skills!G18*IF(Skills!H18&gt;0,Skills!I18/Skills!H18,1)</f>
        <v/>
      </c>
      <c r="H1979">
        <f>1-(1-Skills!J18/100)^Skills!K18</f>
        <v/>
      </c>
      <c r="I1979" t="inlineStr">
        <is>
          <t>1</t>
        </is>
      </c>
      <c r="J1979" t="inlineStr"/>
      <c r="K1979" t="inlineStr"/>
      <c r="L1979" t="inlineStr"/>
      <c r="M1979" t="inlineStr"/>
      <c r="N1979" t="inlineStr"/>
      <c r="O1979">
        <f>(1-Summary!$B$11)*T1979+Summary!$B$11*V1979</f>
        <v/>
      </c>
      <c r="P1979">
        <f>IF(B2000=0,0,O1979/B2000)</f>
        <v/>
      </c>
      <c r="Q1979">
        <f>IFERROR(1/(IF(Inputs!$B$38="pvp",15,MAX(0.1,Skills!D18-IF(Skills!E18=TRUE,Inputs!$B$32,0)))*(1-IF(AND(ArtifactsInput!$M$27,Inputs!$B$4="Chapter Hunt"),CHOOSE(ArtifactsInput!$N$27+1,20,24,28,32,36,40),0)/100)),0)</f>
        <v/>
      </c>
      <c r="R1979">
        <f>IF(AND(Inputs!$B$38&lt;&gt;"pvp",Inputs!$B$43&gt;0),IF(Inputs!$B$43&lt;=0,0,(INT(Inputs!$B$43/(IF(Inputs!$B$38="pvp",15,MAX(0.1,Skills!D18-IF(Skills!E18=TRUE,Inputs!$B$32,0)))*(1-IF(AND(ArtifactsInput!$M$27,Inputs!$B$4="Chapter Hunt"),CHOOSE(ArtifactsInput!$N$27+1,20,24,28,32,36,40),0)/100)))+1)),0)</f>
        <v/>
      </c>
      <c r="S1979">
        <f>IFERROR(O1979/N1979,0)</f>
        <v/>
      </c>
      <c r="T1979" t="n">
        <v>0</v>
      </c>
      <c r="V1979" t="n">
        <v>0</v>
      </c>
    </row>
    <row r="1980">
      <c r="A1980">
        <f>Skills!A19</f>
        <v/>
      </c>
      <c r="B1980">
        <f>Skills!B19</f>
        <v/>
      </c>
      <c r="C1980">
        <f>TRUE</f>
        <v/>
      </c>
      <c r="D1980">
        <f>IF(Skills!C19=1,60+Inputs!$B$25+Inputs!$B$29,IF(Skills!C19=2,90+Inputs!$B$26+Inputs!$B$29,IF(Skills!C19=3,120+Inputs!$B$27+Inputs!$B$29,MAX(0,(Inputs!$B$3-100)*3)+Inputs!$B$28+Inputs!$B$29)))</f>
        <v/>
      </c>
      <c r="E1980">
        <f>INDEX(FactorTable!$B$2:$Y$301, MATCH(ROUND(MIN(300,MAX(1,D1980)),0), FactorTable!$A$2:$A$301,0), Skills!M19+1)</f>
        <v/>
      </c>
      <c r="F1980">
        <f>IF(Skills!N19=TRUE,(Skills!L19/10)*(E1980/1000),Skills!L19/10)+Skills!O19</f>
        <v/>
      </c>
      <c r="G1980">
        <f>Skills!G19*IF(Skills!H19&gt;0,Skills!I19/Skills!H19,1)</f>
        <v/>
      </c>
      <c r="H1980">
        <f>1-(1-Skills!J19/100)^Skills!K19</f>
        <v/>
      </c>
      <c r="I1980" t="inlineStr">
        <is>
          <t>1</t>
        </is>
      </c>
      <c r="J1980" t="inlineStr"/>
      <c r="K1980" t="inlineStr"/>
      <c r="L1980" t="inlineStr"/>
      <c r="M1980" t="inlineStr"/>
      <c r="N1980" t="inlineStr"/>
      <c r="O1980">
        <f>(1-Summary!$B$11)*T1980+Summary!$B$11*V1980</f>
        <v/>
      </c>
      <c r="P1980">
        <f>IF(B2000=0,0,O1980/B2000)</f>
        <v/>
      </c>
      <c r="Q1980">
        <f>IFERROR(1/(IF(Inputs!$B$38="pvp",15,MAX(0.1,Skills!D19-IF(Skills!E19=TRUE,Inputs!$B$32,0)))*(1-IF(AND(ArtifactsInput!$M$27,Inputs!$B$4="Chapter Hunt"),CHOOSE(ArtifactsInput!$N$27+1,20,24,28,32,36,40),0)/100)),0)</f>
        <v/>
      </c>
      <c r="R1980">
        <f>IF(AND(Inputs!$B$38&lt;&gt;"pvp",Inputs!$B$43&gt;0),IF(Inputs!$B$43&lt;=0,0,(INT(Inputs!$B$43/(IF(Inputs!$B$38="pvp",15,MAX(0.1,Skills!D19-IF(Skills!E19=TRUE,Inputs!$B$32,0)))*(1-IF(AND(ArtifactsInput!$M$27,Inputs!$B$4="Chapter Hunt"),CHOOSE(ArtifactsInput!$N$27+1,20,24,28,32,36,40),0)/100)))+1)),0)</f>
        <v/>
      </c>
      <c r="S1980">
        <f>IFERROR(O1980/N1980,0)</f>
        <v/>
      </c>
      <c r="T1980" t="n">
        <v>0</v>
      </c>
      <c r="V1980" t="n">
        <v>0</v>
      </c>
    </row>
    <row r="1981">
      <c r="A1981">
        <f>Skills!A20</f>
        <v/>
      </c>
      <c r="B1981">
        <f>Skills!B20</f>
        <v/>
      </c>
      <c r="C1981">
        <f>Inputs!$B$3&gt;=33</f>
        <v/>
      </c>
      <c r="D1981">
        <f>IF(Skills!C20=1,60+Inputs!$B$25+Inputs!$B$29,IF(Skills!C20=2,90+Inputs!$B$26+Inputs!$B$29,IF(Skills!C20=3,120+Inputs!$B$27+Inputs!$B$29,MAX(0,(Inputs!$B$3-100)*3)+Inputs!$B$28+Inputs!$B$29)))</f>
        <v/>
      </c>
      <c r="E1981">
        <f>INDEX(FactorTable!$B$2:$Y$301, MATCH(ROUND(MIN(300,MAX(1,D1981)),0), FactorTable!$A$2:$A$301,0), Skills!M20+1)</f>
        <v/>
      </c>
      <c r="F1981">
        <f>IF(Skills!N20=TRUE,(Skills!L20/10)*(E1981/1000),Skills!L20/10)+Skills!O20</f>
        <v/>
      </c>
      <c r="G1981">
        <f>Skills!G20*IF(Skills!H20&gt;0,Skills!I20/Skills!H20,1)</f>
        <v/>
      </c>
      <c r="H1981">
        <f>1-(1-Skills!J20/100)^Skills!K20</f>
        <v/>
      </c>
      <c r="I1981" t="inlineStr">
        <is>
          <t>1</t>
        </is>
      </c>
      <c r="J1981" t="inlineStr"/>
      <c r="K1981" t="inlineStr"/>
      <c r="L1981" t="inlineStr"/>
      <c r="M1981" t="inlineStr"/>
      <c r="N1981" t="inlineStr"/>
      <c r="O1981">
        <f>(1-Summary!$B$11)*T1981+Summary!$B$11*V1981</f>
        <v/>
      </c>
      <c r="P1981">
        <f>IF(B2000=0,0,O1981/B2000)</f>
        <v/>
      </c>
      <c r="Q1981" t="n">
        <v>0</v>
      </c>
      <c r="R1981" t="n">
        <v>0</v>
      </c>
      <c r="S1981">
        <f>IFERROR(O1981/N1981,0)</f>
        <v/>
      </c>
      <c r="T1981" t="n">
        <v>0</v>
      </c>
      <c r="V1981" t="n">
        <v>0</v>
      </c>
    </row>
    <row r="1982">
      <c r="A1982">
        <f>Skills!A21</f>
        <v/>
      </c>
      <c r="B1982">
        <f>Skills!B21</f>
        <v/>
      </c>
      <c r="C1982">
        <f>Inputs!$B$3&gt;=38</f>
        <v/>
      </c>
      <c r="D1982">
        <f>IF(Skills!C21=1,60+Inputs!$B$25+Inputs!$B$29,IF(Skills!C21=2,90+Inputs!$B$26+Inputs!$B$29,IF(Skills!C21=3,120+Inputs!$B$27+Inputs!$B$29,MAX(0,(Inputs!$B$3-100)*3)+Inputs!$B$28+Inputs!$B$29)))</f>
        <v/>
      </c>
      <c r="E1982">
        <f>INDEX(FactorTable!$B$2:$Y$301, MATCH(ROUND(MIN(300,MAX(1,D1982)),0), FactorTable!$A$2:$A$301,0), Skills!M21+1)</f>
        <v/>
      </c>
      <c r="F1982">
        <f>IF(Skills!N21=TRUE,(Skills!L21/10)*(E1982/1000),Skills!L21/10)+Skills!O21</f>
        <v/>
      </c>
      <c r="G1982">
        <f>Skills!G21*IF(Skills!H21&gt;0,Skills!I21/Skills!H21,1)</f>
        <v/>
      </c>
      <c r="H1982">
        <f>1-(1-Skills!J21/100)^Skills!K21</f>
        <v/>
      </c>
      <c r="I1982" t="inlineStr">
        <is>
          <t>1</t>
        </is>
      </c>
      <c r="J1982" t="inlineStr"/>
      <c r="K1982" t="inlineStr"/>
      <c r="L1982" t="inlineStr"/>
      <c r="M1982" t="inlineStr"/>
      <c r="N1982" t="inlineStr"/>
      <c r="O1982">
        <f>(1-Summary!$B$11)*T1982+Summary!$B$11*V1982</f>
        <v/>
      </c>
      <c r="P1982">
        <f>IF(B2000=0,0,O1982/B2000)</f>
        <v/>
      </c>
      <c r="Q1982" t="n">
        <v>0</v>
      </c>
      <c r="R1982" t="n">
        <v>0</v>
      </c>
      <c r="S1982">
        <f>IFERROR(O1982/N1982,0)</f>
        <v/>
      </c>
      <c r="T1982" t="n">
        <v>0</v>
      </c>
      <c r="V1982" t="n">
        <v>0</v>
      </c>
    </row>
    <row r="1983">
      <c r="A1983">
        <f>Skills!A22</f>
        <v/>
      </c>
      <c r="B1983">
        <f>Skills!B22</f>
        <v/>
      </c>
      <c r="C1983">
        <f>Inputs!$B$3&gt;=43</f>
        <v/>
      </c>
      <c r="D1983">
        <f>IF(Skills!C22=1,60+Inputs!$B$25+Inputs!$B$29,IF(Skills!C22=2,90+Inputs!$B$26+Inputs!$B$29,IF(Skills!C22=3,120+Inputs!$B$27+Inputs!$B$29,MAX(0,(Inputs!$B$3-100)*3)+Inputs!$B$28+Inputs!$B$29)))</f>
        <v/>
      </c>
      <c r="E1983">
        <f>INDEX(FactorTable!$B$2:$Y$301, MATCH(ROUND(MIN(300,MAX(1,D1983)),0), FactorTable!$A$2:$A$301,0), Skills!M22+1)</f>
        <v/>
      </c>
      <c r="F1983">
        <f>IF(Skills!N22=TRUE,(Skills!L22/10)*(E1983/1000),Skills!L22/10)+Skills!O22</f>
        <v/>
      </c>
      <c r="G1983">
        <f>Skills!G22*IF(Skills!H22&gt;0,Skills!I22/Skills!H22,1)</f>
        <v/>
      </c>
      <c r="H1983">
        <f>1-(1-Skills!J22/100)^Skills!K22</f>
        <v/>
      </c>
      <c r="I1983" t="inlineStr">
        <is>
          <t>1</t>
        </is>
      </c>
      <c r="J1983" t="inlineStr"/>
      <c r="K1983" t="inlineStr"/>
      <c r="L1983" t="inlineStr"/>
      <c r="M1983" t="inlineStr"/>
      <c r="N1983" t="inlineStr"/>
      <c r="O1983">
        <f>(1-Summary!$B$11)*T1983+Summary!$B$11*V1983</f>
        <v/>
      </c>
      <c r="P1983">
        <f>IF(B2000=0,0,O1983/B2000)</f>
        <v/>
      </c>
      <c r="Q1983" t="n">
        <v>0</v>
      </c>
      <c r="R1983" t="n">
        <v>0</v>
      </c>
      <c r="S1983">
        <f>IFERROR(O1983/N1983,0)</f>
        <v/>
      </c>
      <c r="T1983" t="n">
        <v>0</v>
      </c>
      <c r="V1983" t="n">
        <v>0</v>
      </c>
    </row>
    <row r="1984">
      <c r="A1984">
        <f>Skills!A23</f>
        <v/>
      </c>
      <c r="B1984">
        <f>Skills!B23</f>
        <v/>
      </c>
      <c r="C1984">
        <f>Inputs!$B$3&gt;=120</f>
        <v/>
      </c>
      <c r="D1984">
        <f>IF(Skills!C23=1,60+Inputs!$B$25+Inputs!$B$29,IF(Skills!C23=2,90+Inputs!$B$26+Inputs!$B$29,IF(Skills!C23=3,120+Inputs!$B$27+Inputs!$B$29,MAX(0,(Inputs!$B$3-100)*3)+Inputs!$B$28+Inputs!$B$29)))</f>
        <v/>
      </c>
      <c r="E1984">
        <f>INDEX(FactorTable!$B$2:$Y$301, MATCH(ROUND(MIN(300,MAX(1,D1984)),0), FactorTable!$A$2:$A$301,0), Skills!M23+1)</f>
        <v/>
      </c>
      <c r="F1984">
        <f>IF(Skills!N23=TRUE,(Skills!L23/10)*(E1984/1000),Skills!L23/10)+Skills!O23</f>
        <v/>
      </c>
      <c r="G1984">
        <f>Skills!G23*IF(Skills!H23&gt;0,Skills!I23/Skills!H23,1)</f>
        <v/>
      </c>
      <c r="H1984">
        <f>1-(1-Skills!J23/100)^Skills!K23</f>
        <v/>
      </c>
      <c r="I1984" t="inlineStr">
        <is>
          <t>1</t>
        </is>
      </c>
      <c r="J1984" t="inlineStr"/>
      <c r="K1984" t="inlineStr"/>
      <c r="L1984" t="inlineStr"/>
      <c r="M1984" t="inlineStr"/>
      <c r="N1984" t="inlineStr"/>
      <c r="O1984">
        <f>(1-Summary!$B$11)*T1984+Summary!$B$11*V1984</f>
        <v/>
      </c>
      <c r="P1984">
        <f>IF(B2000=0,0,O1984/B2000)</f>
        <v/>
      </c>
      <c r="Q1984" t="n">
        <v>0</v>
      </c>
      <c r="R1984" t="n">
        <v>0</v>
      </c>
      <c r="S1984">
        <f>IFERROR(O1984/N1984,0)</f>
        <v/>
      </c>
      <c r="T1984" t="n">
        <v>0</v>
      </c>
      <c r="V1984" t="n">
        <v>0</v>
      </c>
    </row>
    <row r="1985">
      <c r="A1985">
        <f>Skills!A24</f>
        <v/>
      </c>
      <c r="B1985">
        <f>Skills!B24</f>
        <v/>
      </c>
      <c r="C1985">
        <f>Inputs!$B$3&gt;=120</f>
        <v/>
      </c>
      <c r="D1985">
        <f>IF(Skills!C24=1,60+Inputs!$B$25+Inputs!$B$29,IF(Skills!C24=2,90+Inputs!$B$26+Inputs!$B$29,IF(Skills!C24=3,120+Inputs!$B$27+Inputs!$B$29,MAX(0,(Inputs!$B$3-100)*3)+Inputs!$B$28+Inputs!$B$29)))</f>
        <v/>
      </c>
      <c r="E1985">
        <f>INDEX(FactorTable!$B$2:$Y$301, MATCH(ROUND(MIN(300,MAX(1,D1985)),0), FactorTable!$A$2:$A$301,0), Skills!M24+1)</f>
        <v/>
      </c>
      <c r="F1985">
        <f>IF(Skills!N24=TRUE,(Skills!L24/10)*(E1985/1000),Skills!L24/10)+Skills!O24</f>
        <v/>
      </c>
      <c r="G1985">
        <f>Skills!G24*IF(Skills!H24&gt;0,Skills!I24/Skills!H24,1)</f>
        <v/>
      </c>
      <c r="H1985">
        <f>1-(1-Skills!J24/100)^Skills!K24</f>
        <v/>
      </c>
      <c r="I1985" t="inlineStr">
        <is>
          <t>1</t>
        </is>
      </c>
      <c r="J1985" t="inlineStr"/>
      <c r="K1985" t="inlineStr"/>
      <c r="L1985" t="inlineStr"/>
      <c r="M1985" t="inlineStr"/>
      <c r="N1985" t="inlineStr"/>
      <c r="O1985">
        <f>(1-Summary!$B$11)*T1985+Summary!$B$11*V1985</f>
        <v/>
      </c>
      <c r="P1985">
        <f>IF(B2000=0,0,O1985/B2000)</f>
        <v/>
      </c>
      <c r="Q1985" t="n">
        <v>0</v>
      </c>
      <c r="R1985" t="n">
        <v>0</v>
      </c>
      <c r="S1985">
        <f>IFERROR(O1985/N1985,0)</f>
        <v/>
      </c>
      <c r="T1985" t="n">
        <v>0</v>
      </c>
      <c r="V1985" t="n">
        <v>0</v>
      </c>
    </row>
    <row r="1986">
      <c r="A1986">
        <f>Skills!A25</f>
        <v/>
      </c>
      <c r="B1986">
        <f>Skills!B25</f>
        <v/>
      </c>
      <c r="C1986">
        <f>Inputs!$B$3&gt;=125</f>
        <v/>
      </c>
      <c r="D1986">
        <f>IF(Skills!C25=1,60+Inputs!$B$25+Inputs!$B$29,IF(Skills!C25=2,90+Inputs!$B$26+Inputs!$B$29,IF(Skills!C25=3,120+Inputs!$B$27+Inputs!$B$29,MAX(0,(Inputs!$B$3-100)*3)+Inputs!$B$28+Inputs!$B$29)))</f>
        <v/>
      </c>
      <c r="E1986">
        <f>INDEX(FactorTable!$B$2:$Y$301, MATCH(ROUND(MIN(300,MAX(1,D1986)),0), FactorTable!$A$2:$A$301,0), Skills!M25+1)</f>
        <v/>
      </c>
      <c r="F1986">
        <f>IF(Skills!N25=TRUE,(Skills!L25/10)*(E1986/1000),Skills!L25/10)+Skills!O25</f>
        <v/>
      </c>
      <c r="G1986">
        <f>Skills!G25*IF(Skills!H25&gt;0,Skills!I25/Skills!H25,1)</f>
        <v/>
      </c>
      <c r="H1986">
        <f>1-(1-Skills!J25/100)^Skills!K25</f>
        <v/>
      </c>
      <c r="I1986" t="inlineStr">
        <is>
          <t>1</t>
        </is>
      </c>
      <c r="J1986" t="inlineStr"/>
      <c r="K1986" t="inlineStr"/>
      <c r="L1986" t="inlineStr"/>
      <c r="M1986" t="inlineStr"/>
      <c r="N1986" t="inlineStr"/>
      <c r="O1986">
        <f>(1-Summary!$B$11)*T1986+Summary!$B$11*V1986</f>
        <v/>
      </c>
      <c r="P1986">
        <f>IF(B2000=0,0,O1986/B2000)</f>
        <v/>
      </c>
      <c r="Q1986" t="n">
        <v>0</v>
      </c>
      <c r="R1986" t="n">
        <v>0</v>
      </c>
      <c r="S1986">
        <f>IFERROR(O1986/N1986,0)</f>
        <v/>
      </c>
      <c r="T1986" t="n">
        <v>0</v>
      </c>
      <c r="V1986" t="n">
        <v>0</v>
      </c>
    </row>
    <row r="1987">
      <c r="A1987">
        <f>Skills!A26</f>
        <v/>
      </c>
      <c r="B1987">
        <f>Skills!B26</f>
        <v/>
      </c>
      <c r="C1987">
        <f>Inputs!$B$3&gt;=72</f>
        <v/>
      </c>
      <c r="D1987">
        <f>IF(Skills!C26=1,60+Inputs!$B$25+Inputs!$B$29,IF(Skills!C26=2,90+Inputs!$B$26+Inputs!$B$29,IF(Skills!C26=3,120+Inputs!$B$27+Inputs!$B$29,MAX(0,(Inputs!$B$3-100)*3)+Inputs!$B$28+Inputs!$B$29)))</f>
        <v/>
      </c>
      <c r="E1987">
        <f>INDEX(FactorTable!$B$2:$Y$301, MATCH(ROUND(MIN(300,MAX(1,D1987)),0), FactorTable!$A$2:$A$301,0), Skills!M26+1)</f>
        <v/>
      </c>
      <c r="F1987">
        <f>IF(Skills!N26=TRUE,(Skills!L26/10)*(E1987/1000),Skills!L26/10)+Skills!O26</f>
        <v/>
      </c>
      <c r="G1987">
        <f>Skills!G26*IF(Skills!H26&gt;0,Skills!I26/Skills!H26,1)</f>
        <v/>
      </c>
      <c r="H1987">
        <f>1-(1-Skills!J26/100)^Skills!K26</f>
        <v/>
      </c>
      <c r="I1987" t="inlineStr">
        <is>
          <t>1</t>
        </is>
      </c>
      <c r="J1987" t="inlineStr"/>
      <c r="K1987" t="inlineStr"/>
      <c r="L1987" t="inlineStr"/>
      <c r="M1987" t="inlineStr"/>
      <c r="N1987" t="inlineStr"/>
      <c r="O1987">
        <f>(1-Summary!$B$11)*T1987+Summary!$B$11*V1987</f>
        <v/>
      </c>
      <c r="P1987">
        <f>IF(B2000=0,0,O1987/B2000)</f>
        <v/>
      </c>
      <c r="Q1987" t="n">
        <v>0</v>
      </c>
      <c r="R1987" t="n">
        <v>0</v>
      </c>
      <c r="S1987">
        <f>IFERROR(O1987/N1987,0)</f>
        <v/>
      </c>
      <c r="T1987" t="n">
        <v>0</v>
      </c>
      <c r="V1987" t="n">
        <v>0</v>
      </c>
    </row>
    <row r="1989">
      <c r="A1989" t="inlineStr">
        <is>
          <t>Attack% Bucket Multiplier</t>
        </is>
      </c>
      <c r="B1989">
        <f>(1+(((C1974=TRUE)*F1974*IF(Inputs!$B$3&gt;=110,7,5))+((C1976=TRUE)*F1976*IF(AND(Inputs!$B$38&lt;&gt;"pvp",Inputs!$B$43&gt;0),(((R1976-1)*(Skills!T15*(1+(Inputs!$B$34+(ArtifactsInput!$M$7-ArtifactsInput!$M$7)*CHOOSE(ArtifactsInput!$N$7+1,6,7.2,8.4,9.6,10.8,12))/100))+MIN((Skills!T15*(1+(Inputs!$B$34+(ArtifactsInput!$M$7-ArtifactsInput!$M$7)*CHOOSE(ArtifactsInput!$N$7+1,6,7.2,8.4,9.6,10.8,12))/100)),MAX(0,Inputs!$B$43-((R1976-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90">
      <c r="A1990" t="inlineStr">
        <is>
          <t>Global Crit Rate Bonus %</t>
        </is>
      </c>
      <c r="B1990" t="n">
        <v>0</v>
      </c>
    </row>
    <row r="1991">
      <c r="A1991" t="inlineStr">
        <is>
          <t>Attack Speed Buff Bonus %</t>
        </is>
      </c>
      <c r="B1991">
        <f>((C1980=TRUE)*F1980*IF(AND(Inputs!$B$38&lt;&gt;"pvp",Inputs!$B$43&gt;0),(((R1980-1)*(Skills!T19*(1+(Inputs!$B$34+(ArtifactsInput!$M$7-ArtifactsInput!$M$7)*CHOOSE(ArtifactsInput!$N$7+1,6,7.2,8.4,9.6,10.8,12))/100))+MIN((Skills!T19*(1+(Inputs!$B$34+(ArtifactsInput!$M$7-ArtifactsInput!$M$7)*CHOOSE(ArtifactsInput!$N$7+1,6,7.2,8.4,9.6,10.8,12))/100)),MAX(0,Inputs!$B$43-((R1980-1)*Skills!D19))))/Inputs!$B$43),IF(Inputs!$B$38="pvp",MIN((Skills!T19*(1+(Inputs!$B$34+(ArtifactsInput!$M$7-ArtifactsInput!$M$7)*CHOOSE(ArtifactsInput!$N$7+1,6,7.2,8.4,9.6,10.8,12))/100)),15)/15,(Skills!T19*(1+(Inputs!$B$34+(ArtifactsInput!$M$7-ArtifactsInput!$M$7)*CHOOSE(ArtifactsInput!$N$7+1,6,7.2,8.4,9.6,10.8,12))/100))/Skills!D19)))</f>
        <v/>
      </c>
    </row>
    <row r="1992">
      <c r="A1992" t="inlineStr">
        <is>
          <t>Actions Per Second</t>
        </is>
      </c>
      <c r="B1992">
        <f>1+MIN(150,150*(1-(1-(Inputs!$B$11+((C1981=TRUE)*(F1981-Calc!F20)))/150)*(1-B1991/150)))/100</f>
        <v/>
      </c>
    </row>
    <row r="1993">
      <c r="A1993" t="inlineStr">
        <is>
          <t>Skill + Buff Cast Rate</t>
        </is>
      </c>
      <c r="B1993">
        <f>IF(AND(Inputs!$B$38&lt;&gt;"pvp",Inputs!$B$43&gt;0),SUMPRODUCT((Skills!E2:E26=TRUE)*(C1963:C1987=TRUE)*R1963:R1987*Skills!F2:F26)/Inputs!$B$43,SUMPRODUCT((Skills!E2:E26=TRUE)*(C1963:C1987=TRUE)*Q1963:Q1987*Skills!F2:F26))</f>
        <v/>
      </c>
    </row>
    <row r="1994">
      <c r="A1994" t="inlineStr">
        <is>
          <t>Raging Blow Casts Per Second</t>
        </is>
      </c>
      <c r="B1994">
        <f>MAX(0,B1992-B1993)</f>
        <v/>
      </c>
    </row>
    <row r="1995">
      <c r="A1995" t="inlineStr">
        <is>
          <t>Global Critical Damage Bonus % (Enrage)</t>
        </is>
      </c>
      <c r="B1995">
        <f>((C1979=TRUE)*F1979*IF(AND(Inputs!$B$38&lt;&gt;"pvp",Inputs!$B$43&gt;0),(((R1979-1)*(Skills!T18*(1+(Inputs!$B$34+(ArtifactsInput!$M$7-ArtifactsInput!$M$7)*CHOOSE(ArtifactsInput!$N$7+1,6,7.2,8.4,9.6,10.8,12))/100))+MIN((Skills!T18*(1+(Inputs!$B$34+(ArtifactsInput!$M$7-ArtifactsInput!$M$7)*CHOOSE(ArtifactsInput!$N$7+1,6,7.2,8.4,9.6,10.8,12))/100)),MAX(0,Inputs!$B$43-((R1979-1)*Skills!D18))))/Inputs!$B$43),IF(Inputs!$B$38="pvp",MIN((Skills!T18*(1+(Inputs!$B$34+(ArtifactsInput!$M$7-ArtifactsInput!$M$7)*CHOOSE(ArtifactsInput!$N$7+1,6,7.2,8.4,9.6,10.8,12))/100)),15)/15,(Skills!T18*(1+(Inputs!$B$34+(ArtifactsInput!$M$7-ArtifactsInput!$M$7)*CHOOSE(ArtifactsInput!$N$7+1,6,7.2,8.4,9.6,10.8,12))/100))/Skills!D18)))</f>
        <v/>
      </c>
    </row>
    <row r="1996">
      <c r="A1996" t="inlineStr">
        <is>
          <t>Global Final Damage Bonus % (Enrage + Combo Synergy)</t>
        </is>
      </c>
      <c r="B1996">
        <f>((C1978=TRUE)*F1978*IF(AND(Inputs!$B$38&lt;&gt;"pvp",Inputs!$B$43&gt;0),(((R1978-1)*(Skills!T17*(1+(Inputs!$B$34+(ArtifactsInput!$M$7-ArtifactsInput!$M$7)*CHOOSE(ArtifactsInput!$N$7+1,6,7.2,8.4,9.6,10.8,12))/100))+MIN((Skills!T17*(1+(Inputs!$B$34+(ArtifactsInput!$M$7-ArtifactsInput!$M$7)*CHOOSE(ArtifactsInput!$N$7+1,6,7.2,8.4,9.6,10.8,12))/100)),MAX(0,Inputs!$B$43-((R1978-1)*Skills!D17))))/Inputs!$B$43),IF(Inputs!$B$38="pvp",MIN((Skills!T17*(1+(Inputs!$B$34+(ArtifactsInput!$M$7-ArtifactsInput!$M$7)*CHOOSE(ArtifactsInput!$N$7+1,6,7.2,8.4,9.6,10.8,12))/100)),15)/15,(Skills!T17*(1+(Inputs!$B$34+(ArtifactsInput!$M$7-ArtifactsInput!$M$7)*CHOOSE(ArtifactsInput!$N$7+1,6,7.2,8.4,9.6,10.8,12))/100))/Skills!D17)))+((C1975=TRUE)*F1975*IF(Inputs!$B$3&gt;=110,7,5))</f>
        <v/>
      </c>
    </row>
    <row r="1997">
      <c r="A1997" t="inlineStr">
        <is>
          <t>Buff-Casting Startup Delay (s, fixed-duration only)</t>
        </is>
      </c>
      <c r="B1997">
        <f>IF(AND(Inputs!$B$38&lt;&gt;"pvp",Inputs!$B$43&gt;0),SUMPRODUCT((Skills!T2:T26&gt;0)*(Skills!E2:E26=TRUE)*(C1963:C1987=TRUE))/B1992,0)</f>
        <v/>
      </c>
    </row>
    <row r="1998">
      <c r="A1998" t="inlineStr">
        <is>
          <t>Boss-Only Total DPS (this block's swept value)</t>
        </is>
      </c>
      <c r="B1998">
        <f>SUM(T1963:T1987)</f>
        <v/>
      </c>
    </row>
    <row r="1999">
      <c r="A1999" t="inlineStr">
        <is>
          <t>Normal-Only Total DPS (this block's swept value)</t>
        </is>
      </c>
      <c r="B1999">
        <f>SUM(V1963:V1987)</f>
        <v/>
      </c>
    </row>
    <row r="2000">
      <c r="A2000" s="6" t="inlineStr">
        <is>
          <t>TOTAL DPS</t>
        </is>
      </c>
      <c r="B2000" s="6">
        <f>SUM(O1963:O1987)</f>
        <v/>
      </c>
    </row>
    <row r="2003">
      <c r="A2003" s="6" t="inlineStr">
        <is>
          <t>Stat: Soul Contract (Equip)</t>
        </is>
      </c>
    </row>
    <row r="2004">
      <c r="A2004" s="5" t="inlineStr">
        <is>
          <t>Key</t>
        </is>
      </c>
      <c r="B2004" s="5" t="inlineStr">
        <is>
          <t>Name</t>
        </is>
      </c>
      <c r="C2004" s="5" t="inlineStr">
        <is>
          <t>Unlocked</t>
        </is>
      </c>
      <c r="D2004" s="5" t="inlineStr">
        <is>
          <t>InputLevel</t>
        </is>
      </c>
      <c r="E2004" s="5" t="inlineStr">
        <is>
          <t>Factor</t>
        </is>
      </c>
      <c r="F2004" s="5" t="inlineStr">
        <is>
          <t>CoefficientPercent</t>
        </is>
      </c>
      <c r="G2004" s="5" t="inlineStr">
        <is>
          <t>EffectiveHits</t>
        </is>
      </c>
      <c r="H2004" s="5" t="inlineStr">
        <is>
          <t>ProcProbability</t>
        </is>
      </c>
      <c r="I2004" s="5" t="inlineStr">
        <is>
          <t>MapleHeroMultiplier</t>
        </is>
      </c>
      <c r="J2004" s="5" t="inlineStr">
        <is>
          <t>BaseDamage</t>
        </is>
      </c>
      <c r="K2004" s="5" t="inlineStr">
        <is>
          <t>BaseHitDamage</t>
        </is>
      </c>
      <c r="L2004" s="5" t="inlineStr">
        <is>
          <t>NonCritAvg</t>
        </is>
      </c>
      <c r="M2004" s="5" t="inlineStr">
        <is>
          <t>CritAvg</t>
        </is>
      </c>
      <c r="N2004" s="5" t="inlineStr">
        <is>
          <t>ExpectedDamage(perHit)</t>
        </is>
      </c>
      <c r="O2004" s="5" t="inlineStr">
        <is>
          <t>DPS</t>
        </is>
      </c>
      <c r="P2004" s="5" t="inlineStr">
        <is>
          <t>% of Total</t>
        </is>
      </c>
      <c r="Q2004" s="5" t="inlineStr">
        <is>
          <t>InvCooldown</t>
        </is>
      </c>
      <c r="R2004" s="5" t="inlineStr">
        <is>
          <t>CastsInFight</t>
        </is>
      </c>
      <c r="S2004" s="5" t="inlineStr">
        <is>
          <t>HitRate(perSec)</t>
        </is>
      </c>
      <c r="U2004" t="inlineStr">
        <is>
          <t>helpers</t>
        </is>
      </c>
    </row>
    <row r="2005">
      <c r="A2005">
        <f>Skills!A2</f>
        <v/>
      </c>
      <c r="B2005">
        <f>Skills!B2</f>
        <v/>
      </c>
      <c r="C2005">
        <f>Inputs!$B$3&gt;=100</f>
        <v/>
      </c>
      <c r="D2005" t="inlineStr"/>
      <c r="E2005" t="inlineStr"/>
      <c r="F2005">
        <f>U2007+Skills!O2</f>
        <v/>
      </c>
      <c r="G2005">
        <f>Skills!G2*IF(Skills!H2&gt;0,Skills!I2/Skills!H2,1)</f>
        <v/>
      </c>
      <c r="H2005">
        <f>1-(1-Skills!J2/100)^Skills!K2</f>
        <v/>
      </c>
      <c r="I2005" t="inlineStr">
        <is>
          <t>1</t>
        </is>
      </c>
      <c r="J2005">
        <f>((Inputs!$B$6*(1+Inputs!$B$7/100))+(((Inputs!$B$12*(1+Inputs!$B$13/100))-(Inputs!$B$12*(1+Inputs!$B$13/100)))+0.25*(Inputs!$B$14-Inputs!$B$14))*(1+Inputs!$B$7/100))*(F2005/100)</f>
        <v/>
      </c>
      <c r="K2005">
        <f>J2005*(1+((Inputs!$B$12*(1+Inputs!$B$13/100))*0.01+Inputs!$B$14*0.0025)/100)*(1+Inputs!$B$15/100)*(1+Inputs!$B$16/100)*(5000/(6000+Inputs!$B$42*(1-(100*(1-(1-(Inputs!$B$19+0)/100)*(1-CHOOSE(ArtifactsInput!$N$40+1,5,6,7,8,9,10)/100)^(ArtifactsInput!$M$40-ArtifactsInput!$M$40)))/100)))*(1+(Inputs!$B$24+((C2028=TRUE)*(F2028-Calc!F25))+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2024=TRUE)*(F2024-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2026=TRUE)*(F2026-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2016=TRUE)*F2016*IF(Inputs!$B$3&gt;=110,7,5))+((C2018=TRUE)*F2018*IF(AND(Inputs!$B$38&lt;&gt;"pvp",Inputs!$B$43&gt;0),(((R2018-1)*(Skills!T15*(1+(Inputs!$B$34+(ArtifactsInput!$M$7-ArtifactsInput!$M$7)*CHOOSE(ArtifactsInput!$N$7+1,6,7.2,8.4,9.6,10.8,12))/100))+MIN((Skills!T15*(1+(Inputs!$B$34+(ArtifactsInput!$M$7-ArtifactsInput!$M$7)*CHOOSE(ArtifactsInput!$N$7+1,6,7.2,8.4,9.6,10.8,12))/100)),MAX(0,Inputs!$B$43-((R2018-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Hunt"),CHOOSE(ArtifactsInput!$N$35+1,15,18,21,24,27,30)*(1-EXP(-(0.2*B2034)*5)),0)+IF(AND(ArtifactsInput!$M$22,Inputs!$B$4&lt;&gt;"Chapter Hunt"),CHOOSE(ArtifactsInput!$N$22+1,10,12,14,16,18,20)*((0*(((0.15*B2034*5))^0/1)+1*(((0.15*B2034*5))^1/1)+2*(((0.15*B2034*5))^2/2)+3*(((0.15*B2034*5))^3/6)+4*(((0.15*B2034*5))^4/24)+5*(((0.15*B2034*5))^5/120))/((((0.15*B2034*5))^0/1)+(((0.15*B2034*5))^1/1)+(((0.15*B2034*5))^2/2)+(((0.15*B2034*5))^3/6)+(((0.15*B2034*5))^4/24)+(((0.15*B2034*5))^5/120))),0)))/100)*I2005)</f>
        <v/>
      </c>
      <c r="L2005">
        <f>K2005*(MIN(Inputs!$B$22+((C2025=TRUE)*(F2025-Calc!F22)),(Inputs!$B$23+((C2027=TRUE)*(F2027-Calc!F24))+(IF(ArtifactsInput!$M$15,CHOOSE(ArtifactsInput!$N$15+1,25,30,35,40,45,50)/100*(Inputs!$B$11-Inputs!$B$11),0))))/100+(Inputs!$B$23+((C2027=TRUE)*(F2027-Calc!F24))+(IF(ArtifactsInput!$M$15,CHOOSE(ArtifactsInput!$N$15+1,25,30,35,40,45,50)/100*(Inputs!$B$11-Inputs!$B$11),0)))/100)/2</f>
        <v/>
      </c>
      <c r="M2005">
        <f>L2005*(1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5">
        <f>L2005*(1-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2005*(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5">
        <f>(1-Summary!$B$11)*T2005+Summary!$B$11*V2005</f>
        <v/>
      </c>
      <c r="P2005">
        <f>IF(B2042=0,0,O2005/B2042)</f>
        <v/>
      </c>
      <c r="Q2005" t="n">
        <v>0</v>
      </c>
      <c r="R2005" t="n">
        <v>0</v>
      </c>
      <c r="S2005">
        <f>IFERROR(O2005/N2005,0)</f>
        <v/>
      </c>
      <c r="T2005">
        <f>IF(C2005,(Skills!G2*N2005*B2036)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2005*(1-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2005*(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2005*(1-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2005*(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5">
        <f>MAX(0,(Inputs!$B$3-100)*3)+Inputs!$B$28+Inputs!$B$29</f>
        <v/>
      </c>
      <c r="V2005">
        <f>IF(C2005,(Skills!G2*N2005*B2036)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6">
      <c r="A2006">
        <f>Skills!A3</f>
        <v/>
      </c>
      <c r="B2006">
        <f>Skills!B3</f>
        <v/>
      </c>
      <c r="C2006">
        <f>Inputs!$B$3&gt;=50</f>
        <v/>
      </c>
      <c r="D2006">
        <f>IF(Skills!C3=1,60+Inputs!$B$25+Inputs!$B$29,IF(Skills!C3=2,90+Inputs!$B$26+Inputs!$B$29,IF(Skills!C3=3,120+Inputs!$B$27+Inputs!$B$29,MAX(0,(Inputs!$B$3-100)*3)+Inputs!$B$28+Inputs!$B$29)))</f>
        <v/>
      </c>
      <c r="E2006">
        <f>INDEX(FactorTable!$B$2:$Y$301, MATCH(ROUND(MIN(300,MAX(1,D2006)),0), FactorTable!$A$2:$A$301,0), Skills!M3+1)</f>
        <v/>
      </c>
      <c r="F2006">
        <f>IF(Skills!N3=TRUE,(Skills!L3/10)*(E2006/1000),Skills!L3/10)+Skills!O3</f>
        <v/>
      </c>
      <c r="G2006" t="inlineStr"/>
      <c r="H2006" t="inlineStr"/>
      <c r="I2006" t="inlineStr">
        <is>
          <t>1</t>
        </is>
      </c>
      <c r="J2006" t="inlineStr"/>
      <c r="K2006" t="inlineStr"/>
      <c r="L2006" t="inlineStr"/>
      <c r="M2006" t="inlineStr"/>
      <c r="N2006" t="inlineStr"/>
      <c r="O2006" t="inlineStr"/>
      <c r="P2006" t="inlineStr"/>
      <c r="Q2006" t="inlineStr"/>
      <c r="R2006" t="inlineStr"/>
      <c r="S2006" t="inlineStr"/>
      <c r="U2006">
        <f>INDEX(FactorTable!$B$2:$Y$301, MATCH(ROUND(MIN(300,MAX(1,U2005)),0), FactorTable!$A$2:$A$301,0), 22)</f>
        <v/>
      </c>
    </row>
    <row r="2007">
      <c r="A2007">
        <f>Skills!A4</f>
        <v/>
      </c>
      <c r="B2007">
        <f>Skills!B4</f>
        <v/>
      </c>
      <c r="C2007">
        <f>Inputs!$B$3&gt;=105</f>
        <v/>
      </c>
      <c r="D2007">
        <f>IF(Skills!C4=1,60+Inputs!$B$25+Inputs!$B$29,IF(Skills!C4=2,90+Inputs!$B$26+Inputs!$B$29,IF(Skills!C4=3,120+Inputs!$B$27+Inputs!$B$29,MAX(0,(Inputs!$B$3-100)*3)+Inputs!$B$28+Inputs!$B$29)))</f>
        <v/>
      </c>
      <c r="E2007">
        <f>INDEX(FactorTable!$B$2:$Y$301, MATCH(ROUND(MIN(300,MAX(1,D2007)),0), FactorTable!$A$2:$A$301,0), Skills!M4+1)</f>
        <v/>
      </c>
      <c r="F2007">
        <f>IF(Skills!N4=TRUE,(Skills!L4/10)*(E2007/1000),Skills!L4/10)+Skills!O4</f>
        <v/>
      </c>
      <c r="G2007" t="inlineStr"/>
      <c r="H2007" t="inlineStr"/>
      <c r="I2007" t="inlineStr">
        <is>
          <t>1</t>
        </is>
      </c>
      <c r="J2007" t="inlineStr"/>
      <c r="K2007" t="inlineStr"/>
      <c r="L2007" t="inlineStr"/>
      <c r="M2007" t="inlineStr"/>
      <c r="N2007" t="inlineStr"/>
      <c r="O2007" t="inlineStr"/>
      <c r="P2007" t="inlineStr"/>
      <c r="Q2007" t="inlineStr"/>
      <c r="R2007" t="inlineStr"/>
      <c r="S2007" t="inlineStr"/>
      <c r="U2007">
        <f>290*U2006/1000</f>
        <v/>
      </c>
    </row>
    <row r="2008">
      <c r="A2008">
        <f>Skills!A5</f>
        <v/>
      </c>
      <c r="B2008">
        <f>Skills!B5</f>
        <v/>
      </c>
      <c r="C2008">
        <f>Inputs!$B$3&gt;=103</f>
        <v/>
      </c>
      <c r="D2008">
        <f>IF(Skills!C5=1,60+Inputs!$B$25+Inputs!$B$29,IF(Skills!C5=2,90+Inputs!$B$26+Inputs!$B$29,IF(Skills!C5=3,120+Inputs!$B$27+Inputs!$B$29,MAX(0,(Inputs!$B$3-100)*3)+Inputs!$B$28+Inputs!$B$29)))</f>
        <v/>
      </c>
      <c r="E2008">
        <f>INDEX(FactorTable!$B$2:$Y$301, MATCH(ROUND(MIN(300,MAX(1,D2008)),0), FactorTable!$A$2:$A$301,0), Skills!M5+1)</f>
        <v/>
      </c>
      <c r="F2008">
        <f>IF(Skills!N5=TRUE,(Skills!L5/10)*(E2008/1000),Skills!L5/10)+Skills!O5</f>
        <v/>
      </c>
      <c r="G2008">
        <f>Skills!G5*IF(Skills!H5&gt;0,Skills!I5/Skills!H5,1)</f>
        <v/>
      </c>
      <c r="H2008">
        <f>1-(1-Skills!J5/100)^Skills!K5</f>
        <v/>
      </c>
      <c r="I2008" t="inlineStr">
        <is>
          <t>1</t>
        </is>
      </c>
      <c r="J2008">
        <f>((Inputs!$B$6*(1+Inputs!$B$7/100))+(((Inputs!$B$12*(1+Inputs!$B$13/100))-(Inputs!$B$12*(1+Inputs!$B$13/100)))+0.25*(Inputs!$B$14-Inputs!$B$14))*(1+Inputs!$B$7/100))*(F2008/100)</f>
        <v/>
      </c>
      <c r="K2008">
        <f>J2008*(1+((Inputs!$B$12*(1+Inputs!$B$13/100))*0.01+Inputs!$B$14*0.0025)/100)*(1+Inputs!$B$15/100)*(1+Inputs!$B$16/100)*(5000/(6000+Inputs!$B$42*(1-(100*(1-(1-(Inputs!$B$19+0)/100)*(1-CHOOSE(ArtifactsInput!$N$40+1,5,6,7,8,9,10)/100)^(ArtifactsInput!$M$40-ArtifactsInput!$M$40)))/100)))*(1+(Inputs!$B$24+((C2028=TRUE)*(F2028-Calc!F25))+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2024=TRUE)*(F2024-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2026=TRUE)*(F2026-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2016=TRUE)*F2016*IF(Inputs!$B$3&gt;=110,7,5))+((C2018=TRUE)*F2018*IF(AND(Inputs!$B$38&lt;&gt;"pvp",Inputs!$B$43&gt;0),(((R2018-1)*(Skills!T15*(1+(Inputs!$B$34+(ArtifactsInput!$M$7-ArtifactsInput!$M$7)*CHOOSE(ArtifactsInput!$N$7+1,6,7.2,8.4,9.6,10.8,12))/100))+MIN((Skills!T15*(1+(Inputs!$B$34+(ArtifactsInput!$M$7-ArtifactsInput!$M$7)*CHOOSE(ArtifactsInput!$N$7+1,6,7.2,8.4,9.6,10.8,12))/100)),MAX(0,Inputs!$B$43-((R2018-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Hunt"),CHOOSE(ArtifactsInput!$N$35+1,15,18,21,24,27,30)*(1-EXP(-(0.2*B2034)*5)),0)+IF(AND(ArtifactsInput!$M$22,Inputs!$B$4&lt;&gt;"Chapter Hunt"),CHOOSE(ArtifactsInput!$N$22+1,10,12,14,16,18,20)*((0*(((0.15*B2034*5))^0/1)+1*(((0.15*B2034*5))^1/1)+2*(((0.15*B2034*5))^2/2)+3*(((0.15*B2034*5))^3/6)+4*(((0.15*B2034*5))^4/24)+5*(((0.15*B2034*5))^5/120))/((((0.15*B2034*5))^0/1)+(((0.15*B2034*5))^1/1)+(((0.15*B2034*5))^2/2)+(((0.15*B2034*5))^3/6)+(((0.15*B2034*5))^4/24)+(((0.15*B2034*5))^5/120))),0)))/100)*I2008)</f>
        <v/>
      </c>
      <c r="L2008">
        <f>K2008*(MIN(Inputs!$B$22+((C2025=TRUE)*(F2025-Calc!F22)),(Inputs!$B$23+((C2027=TRUE)*(F2027-Calc!F24))+(IF(ArtifactsInput!$M$15,CHOOSE(ArtifactsInput!$N$15+1,25,30,35,40,45,50)/100*(Inputs!$B$11-Inputs!$B$11),0))))/100+(Inputs!$B$23+((C2027=TRUE)*(F2027-Calc!F24))+(IF(ArtifactsInput!$M$15,CHOOSE(ArtifactsInput!$N$15+1,25,30,35,40,45,50)/100*(Inputs!$B$11-Inputs!$B$11),0)))/100)/2</f>
        <v/>
      </c>
      <c r="M2008">
        <f>L2008*(1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8">
        <f>L2008*(1-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2008*(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8">
        <f>(1-Summary!$B$11)*T2008+Summary!$B$11*V2008</f>
        <v/>
      </c>
      <c r="P2008">
        <f>IF(B2042=0,0,O2008/B2042)</f>
        <v/>
      </c>
      <c r="Q2008">
        <f>IFERROR(1/(IF(Inputs!$B$38="pvp",15,MAX(0.1,Skills!D5-IF(Skills!E5=TRUE,Inputs!$B$32,0)))*(1-IF(AND(IF(ArtifactsInput!$M$27,FALSE,TRUE),Inputs!$B$4="Chapter Hunt"),CHOOSE(ArtifactsInput!$N$27+1,20,24,28,32,36,40),0)/100)),0)</f>
        <v/>
      </c>
      <c r="R2008">
        <f>IF(AND(Inputs!$B$38&lt;&gt;"pvp",Inputs!$B$43&gt;0),IF(MAX(0,Inputs!$B$43-B2039)&lt;=0,0,(INT(MAX(0,Inputs!$B$43-B2039)/(IF(Inputs!$B$38="pvp",15,MAX(0.1,Skills!D5-IF(Skills!E5=TRUE,Inputs!$B$32,0)))*(1-IF(AND(IF(ArtifactsInput!$M$27,FALSE,TRUE),Inputs!$B$4="Chapter Hunt"),CHOOSE(ArtifactsInput!$N$27+1,20,24,28,32,36,40),0)/100)))+1)),0)</f>
        <v/>
      </c>
      <c r="S2008">
        <f>IFERROR(O2008/N2008,0)</f>
        <v/>
      </c>
      <c r="T2008">
        <f>IF(C2008,(H2008*N2008*IF(AND(Inputs!$B$38&lt;&gt;"pvp",Inputs!$B$43&gt;0),((Skills!G5*((R2008-1)*IF(Skills!H5&gt;0,Skills!I5/Skills!H5,1)+IF(Skills!H5&gt;0,MIN(Skills!I5,MAX(0,MAX(0,Inputs!$B$43-B2039)-((R2008-1)*(IF(Inputs!$B$38="pvp",15,MAX(0.1,Skills!D5-IF(Skills!E5=TRUE,Inputs!$B$32,0)))*(1-IF(AND(IF(ArtifactsInput!$M$27,FALSE,TRUE),Inputs!$B$4="Chapter Hunt"),CHOOSE(ArtifactsInput!$N$27+1,20,24,28,32,36,40),0)/100)))))/Skills!H5,1)))/Inputs!$B$43),G2008*Q2008)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2008*(1-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2008*(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2008*(1-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2008*(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8">
        <f>IF(C2008,(H2008*N2008*IF(AND(Inputs!$B$38&lt;&gt;"pvp",Inputs!$B$43&gt;0),((Skills!G5*((R2008-1)*IF(Skills!H5&gt;0,Skills!I5/Skills!H5,1)+IF(Skills!H5&gt;0,MIN(Skills!I5,MAX(0,MAX(0,Inputs!$B$43-B2039)-((R2008-1)*(IF(Inputs!$B$38="pvp",15,MAX(0.1,Skills!D5-IF(Skills!E5=TRUE,Inputs!$B$32,0)))*(1-IF(AND(IF(ArtifactsInput!$M$27,FALSE,TRUE),Inputs!$B$4="Chapter Hunt"),CHOOSE(ArtifactsInput!$N$27+1,20,24,28,32,36,40),0)/100)))))/Skills!H5,1)))/Inputs!$B$43),G2008*Q2008)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9">
      <c r="A2009">
        <f>Skills!A6</f>
        <v/>
      </c>
      <c r="B2009">
        <f>Skills!B6</f>
        <v/>
      </c>
      <c r="C2009">
        <f>Inputs!$B$3&gt;=103</f>
        <v/>
      </c>
      <c r="D2009">
        <f>IF(Skills!C6=1,60+Inputs!$B$25+Inputs!$B$29,IF(Skills!C6=2,90+Inputs!$B$26+Inputs!$B$29,IF(Skills!C6=3,120+Inputs!$B$27+Inputs!$B$29,MAX(0,(Inputs!$B$3-100)*3)+Inputs!$B$28+Inputs!$B$29)))</f>
        <v/>
      </c>
      <c r="E2009">
        <f>INDEX(FactorTable!$B$2:$Y$301, MATCH(ROUND(MIN(300,MAX(1,D2009)),0), FactorTable!$A$2:$A$301,0), Skills!M6+1)</f>
        <v/>
      </c>
      <c r="F2009">
        <f>IF(Skills!N6=TRUE,(Skills!L6/10)*(E2009/1000),Skills!L6/10)+Skills!O6</f>
        <v/>
      </c>
      <c r="G2009">
        <f>Skills!G6*IF(Skills!H6&gt;0,Skills!I6/Skills!H6,1)</f>
        <v/>
      </c>
      <c r="H2009">
        <f>1-(1-Skills!J6/100)^Skills!K6</f>
        <v/>
      </c>
      <c r="I2009" t="inlineStr">
        <is>
          <t>1</t>
        </is>
      </c>
      <c r="J2009">
        <f>((Inputs!$B$6*(1+Inputs!$B$7/100))+(((Inputs!$B$12*(1+Inputs!$B$13/100))-(Inputs!$B$12*(1+Inputs!$B$13/100)))+0.25*(Inputs!$B$14-Inputs!$B$14))*(1+Inputs!$B$7/100))*(F2009/100)</f>
        <v/>
      </c>
      <c r="K2009">
        <f>J2009*(1+((Inputs!$B$12*(1+Inputs!$B$13/100))*0.01+Inputs!$B$14*0.0025)/100)*(1+Inputs!$B$15/100)*(1+Inputs!$B$16/100)*(5000/(6000+Inputs!$B$42*(1-(100*(1-(1-(Inputs!$B$19+0)/100)*(1-CHOOSE(ArtifactsInput!$N$40+1,5,6,7,8,9,10)/100)^(ArtifactsInput!$M$40-ArtifactsInput!$M$40)))/100)))*(1+(Inputs!$B$24+((C2028=TRUE)*(F2028-Calc!F25))+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2024=TRUE)*(F2024-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2026=TRUE)*(F2026-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2016=TRUE)*F2016*IF(Inputs!$B$3&gt;=110,7,5))+((C2018=TRUE)*F2018*IF(AND(Inputs!$B$38&lt;&gt;"pvp",Inputs!$B$43&gt;0),(((R2018-1)*(Skills!T15*(1+(Inputs!$B$34+(ArtifactsInput!$M$7-ArtifactsInput!$M$7)*CHOOSE(ArtifactsInput!$N$7+1,6,7.2,8.4,9.6,10.8,12))/100))+MIN((Skills!T15*(1+(Inputs!$B$34+(ArtifactsInput!$M$7-ArtifactsInput!$M$7)*CHOOSE(ArtifactsInput!$N$7+1,6,7.2,8.4,9.6,10.8,12))/100)),MAX(0,Inputs!$B$43-((R2018-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Hunt"),CHOOSE(ArtifactsInput!$N$35+1,15,18,21,24,27,30)*(1-EXP(-(0.2*B2034)*5)),0)+IF(AND(ArtifactsInput!$M$22,Inputs!$B$4&lt;&gt;"Chapter Hunt"),CHOOSE(ArtifactsInput!$N$22+1,10,12,14,16,18,20)*((0*(((0.15*B2034*5))^0/1)+1*(((0.15*B2034*5))^1/1)+2*(((0.15*B2034*5))^2/2)+3*(((0.15*B2034*5))^3/6)+4*(((0.15*B2034*5))^4/24)+5*(((0.15*B2034*5))^5/120))/((((0.15*B2034*5))^0/1)+(((0.15*B2034*5))^1/1)+(((0.15*B2034*5))^2/2)+(((0.15*B2034*5))^3/6)+(((0.15*B2034*5))^4/24)+(((0.15*B2034*5))^5/120))),0)))/100)*I2009)</f>
        <v/>
      </c>
      <c r="L2009">
        <f>K2009*(MIN(Inputs!$B$22+((C2025=TRUE)*(F2025-Calc!F22)),(Inputs!$B$23+((C2027=TRUE)*(F2027-Calc!F24))+(IF(ArtifactsInput!$M$15,CHOOSE(ArtifactsInput!$N$15+1,25,30,35,40,45,50)/100*(Inputs!$B$11-Inputs!$B$11),0))))/100+(Inputs!$B$23+((C2027=TRUE)*(F2027-Calc!F24))+(IF(ArtifactsInput!$M$15,CHOOSE(ArtifactsInput!$N$15+1,25,30,35,40,45,50)/100*(Inputs!$B$11-Inputs!$B$11),0)))/100)/2</f>
        <v/>
      </c>
      <c r="M2009">
        <f>L2009*(1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9">
        <f>L2009*(1-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2009*(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9">
        <f>(1-Summary!$B$11)*T2009+Summary!$B$11*V2009</f>
        <v/>
      </c>
      <c r="P2009">
        <f>IF(B2042=0,0,O2009/B2042)</f>
        <v/>
      </c>
      <c r="Q2009">
        <f>IFERROR(1/(IF(Inputs!$B$38="pvp",15,MAX(0.1,Skills!D6-IF(Skills!E6=TRUE,Inputs!$B$32,0)))*(1-IF(AND(IF(ArtifactsInput!$M$27,FALSE,TRUE),Inputs!$B$4="Chapter Hunt"),CHOOSE(ArtifactsInput!$N$27+1,20,24,28,32,36,40),0)/100)),0)</f>
        <v/>
      </c>
      <c r="R2009">
        <f>IF(AND(Inputs!$B$38&lt;&gt;"pvp",Inputs!$B$43&gt;0),IF(MAX(0,Inputs!$B$43-B2039)&lt;=0,0,(INT(MAX(0,Inputs!$B$43-B2039)/(IF(Inputs!$B$38="pvp",15,MAX(0.1,Skills!D6-IF(Skills!E6=TRUE,Inputs!$B$32,0)))*(1-IF(AND(IF(ArtifactsInput!$M$27,FALSE,TRUE),Inputs!$B$4="Chapter Hunt"),CHOOSE(ArtifactsInput!$N$27+1,20,24,28,32,36,40),0)/100)))+1)),0)</f>
        <v/>
      </c>
      <c r="S2009">
        <f>IFERROR(O2009/N2009,0)</f>
        <v/>
      </c>
      <c r="T2009">
        <f>IF(C2009,(H2009*N2009*IF(AND(Inputs!$B$38&lt;&gt;"pvp",Inputs!$B$43&gt;0),((Skills!G6*((R2009-1)*IF(Skills!H6&gt;0,Skills!I6/Skills!H6,1)+IF(Skills!H6&gt;0,MIN(Skills!I6,MAX(0,MAX(0,Inputs!$B$43-B2039)-((R2009-1)*(IF(Inputs!$B$38="pvp",15,MAX(0.1,Skills!D6-IF(Skills!E6=TRUE,Inputs!$B$32,0)))*(1-IF(AND(IF(ArtifactsInput!$M$27,FALSE,TRUE),Inputs!$B$4="Chapter Hunt"),CHOOSE(ArtifactsInput!$N$27+1,20,24,28,32,36,40),0)/100)))))/Skills!H6,1)))/Inputs!$B$43),G2009*Q2009)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2009*(1-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2009*(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2009*(1-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2009*(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9">
        <f>IF(C2009,(H2009*N2009*IF(AND(Inputs!$B$38&lt;&gt;"pvp",Inputs!$B$43&gt;0),((Skills!G6*((R2009-1)*IF(Skills!H6&gt;0,Skills!I6/Skills!H6,1)+IF(Skills!H6&gt;0,MIN(Skills!I6,MAX(0,MAX(0,Inputs!$B$43-B2039)-((R2009-1)*(IF(Inputs!$B$38="pvp",15,MAX(0.1,Skills!D6-IF(Skills!E6=TRUE,Inputs!$B$32,0)))*(1-IF(AND(IF(ArtifactsInput!$M$27,FALSE,TRUE),Inputs!$B$4="Chapter Hunt"),CHOOSE(ArtifactsInput!$N$27+1,20,24,28,32,36,40),0)/100)))))/Skills!H6,1)))/Inputs!$B$43),G2009*Q2009)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0">
      <c r="A2010">
        <f>Skills!A7</f>
        <v/>
      </c>
      <c r="B2010">
        <f>Skills!B7</f>
        <v/>
      </c>
      <c r="C2010">
        <f>Inputs!$B$3&gt;=107</f>
        <v/>
      </c>
      <c r="D2010">
        <f>IF(Skills!C7=1,60+Inputs!$B$25+Inputs!$B$29,IF(Skills!C7=2,90+Inputs!$B$26+Inputs!$B$29,IF(Skills!C7=3,120+Inputs!$B$27+Inputs!$B$29,MAX(0,(Inputs!$B$3-100)*3)+Inputs!$B$28+Inputs!$B$29)))</f>
        <v/>
      </c>
      <c r="E2010">
        <f>INDEX(FactorTable!$B$2:$Y$301, MATCH(ROUND(MIN(300,MAX(1,D2010)),0), FactorTable!$A$2:$A$301,0), Skills!M7+1)</f>
        <v/>
      </c>
      <c r="F2010">
        <f>IF(Skills!N7=TRUE,(Skills!L7/10)*(E2010/1000),Skills!L7/10)+Skills!O7</f>
        <v/>
      </c>
      <c r="G2010">
        <f>Skills!G7*IF(Skills!H7&gt;0,Skills!I7/Skills!H7,1)</f>
        <v/>
      </c>
      <c r="H2010">
        <f>1-(1-Skills!J7/100)^Skills!K7</f>
        <v/>
      </c>
      <c r="I2010" t="inlineStr">
        <is>
          <t>1</t>
        </is>
      </c>
      <c r="J2010">
        <f>((Inputs!$B$6*(1+Inputs!$B$7/100))+(((Inputs!$B$12*(1+Inputs!$B$13/100))-(Inputs!$B$12*(1+Inputs!$B$13/100)))+0.25*(Inputs!$B$14-Inputs!$B$14))*(1+Inputs!$B$7/100))*(F2010/100)</f>
        <v/>
      </c>
      <c r="K2010">
        <f>J2010*(1+((Inputs!$B$12*(1+Inputs!$B$13/100))*0.01+Inputs!$B$14*0.0025)/100)*(1+Inputs!$B$15/100)*(1+Inputs!$B$16/100)*(5000/(6000+Inputs!$B$42*(1-(100*(1-(1-(Inputs!$B$19+0)/100)*(1-CHOOSE(ArtifactsInput!$N$40+1,5,6,7,8,9,10)/100)^(ArtifactsInput!$M$40-ArtifactsInput!$M$40)))/100)))*(1+(Inputs!$B$24+((C2028=TRUE)*(F2028-Calc!F25))+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2024=TRUE)*(F2024-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2026=TRUE)*(F2026-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2016=TRUE)*F2016*IF(Inputs!$B$3&gt;=110,7,5))+((C2018=TRUE)*F2018*IF(AND(Inputs!$B$38&lt;&gt;"pvp",Inputs!$B$43&gt;0),(((R2018-1)*(Skills!T15*(1+(Inputs!$B$34+(ArtifactsInput!$M$7-ArtifactsInput!$M$7)*CHOOSE(ArtifactsInput!$N$7+1,6,7.2,8.4,9.6,10.8,12))/100))+MIN((Skills!T15*(1+(Inputs!$B$34+(ArtifactsInput!$M$7-ArtifactsInput!$M$7)*CHOOSE(ArtifactsInput!$N$7+1,6,7.2,8.4,9.6,10.8,12))/100)),MAX(0,Inputs!$B$43-((R2018-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Hunt"),CHOOSE(ArtifactsInput!$N$35+1,15,18,21,24,27,30)*(1-EXP(-(0.2*B2034)*5)),0)+IF(AND(ArtifactsInput!$M$22,Inputs!$B$4&lt;&gt;"Chapter Hunt"),CHOOSE(ArtifactsInput!$N$22+1,10,12,14,16,18,20)*((0*(((0.15*B2034*5))^0/1)+1*(((0.15*B2034*5))^1/1)+2*(((0.15*B2034*5))^2/2)+3*(((0.15*B2034*5))^3/6)+4*(((0.15*B2034*5))^4/24)+5*(((0.15*B2034*5))^5/120))/((((0.15*B2034*5))^0/1)+(((0.15*B2034*5))^1/1)+(((0.15*B2034*5))^2/2)+(((0.15*B2034*5))^3/6)+(((0.15*B2034*5))^4/24)+(((0.15*B2034*5))^5/120))),0)))/100)*I2010)</f>
        <v/>
      </c>
      <c r="L2010">
        <f>K2010*(MIN(Inputs!$B$22+((C2025=TRUE)*(F2025-Calc!F22)),(Inputs!$B$23+((C2027=TRUE)*(F2027-Calc!F24))+(IF(ArtifactsInput!$M$15,CHOOSE(ArtifactsInput!$N$15+1,25,30,35,40,45,50)/100*(Inputs!$B$11-Inputs!$B$11),0))))/100+(Inputs!$B$23+((C2027=TRUE)*(F2027-Calc!F24))+(IF(ArtifactsInput!$M$15,CHOOSE(ArtifactsInput!$N$15+1,25,30,35,40,45,50)/100*(Inputs!$B$11-Inputs!$B$11),0)))/100)/2</f>
        <v/>
      </c>
      <c r="M2010">
        <f>L2010*(1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0">
        <f>L2010*(1-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2010*(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0">
        <f>(1-Summary!$B$11)*T2010+Summary!$B$11*V2010</f>
        <v/>
      </c>
      <c r="P2010">
        <f>IF(B2042=0,0,O2010/B2042)</f>
        <v/>
      </c>
      <c r="Q2010">
        <f>IFERROR(1/(IF(Inputs!$B$38="pvp",15,MAX(0.1,Skills!D7-IF(Skills!E7=TRUE,Inputs!$B$32,0)))*(1-IF(AND(IF(ArtifactsInput!$M$27,FALSE,TRUE),Inputs!$B$4="Chapter Hunt"),CHOOSE(ArtifactsInput!$N$27+1,20,24,28,32,36,40),0)/100)),0)</f>
        <v/>
      </c>
      <c r="R2010">
        <f>IF(AND(Inputs!$B$38&lt;&gt;"pvp",Inputs!$B$43&gt;0),IF(MAX(0,Inputs!$B$43-B2039)&lt;=0,0,(INT(MAX(0,Inputs!$B$43-B2039)/(IF(Inputs!$B$38="pvp",15,MAX(0.1,Skills!D7-IF(Skills!E7=TRUE,Inputs!$B$32,0)))*(1-IF(AND(IF(ArtifactsInput!$M$27,FALSE,TRUE),Inputs!$B$4="Chapter Hunt"),CHOOSE(ArtifactsInput!$N$27+1,20,24,28,32,36,40),0)/100)))+1)),0)</f>
        <v/>
      </c>
      <c r="S2010">
        <f>IFERROR(O2010/N2010,0)</f>
        <v/>
      </c>
      <c r="T2010">
        <f>IF(C2010,(H2010*N2010*IF(AND(Inputs!$B$38&lt;&gt;"pvp",Inputs!$B$43&gt;0),((Skills!G7*((R2010-1)*IF(Skills!H7&gt;0,Skills!I7/Skills!H7,1)+IF(Skills!H7&gt;0,MIN(Skills!I7,MAX(0,MAX(0,Inputs!$B$43-B2039)-((R2010-1)*(IF(Inputs!$B$38="pvp",15,MAX(0.1,Skills!D7-IF(Skills!E7=TRUE,Inputs!$B$32,0)))*(1-IF(AND(IF(ArtifactsInput!$M$27,FALSE,TRUE),Inputs!$B$4="Chapter Hunt"),CHOOSE(ArtifactsInput!$N$27+1,20,24,28,32,36,40),0)/100)))))/Skills!H7,1)))/Inputs!$B$43),G2010*Q2010)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2010*(1-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2010*(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2010*(1-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2010*(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0">
        <f>IF(C2010,(H2010*N2010*IF(AND(Inputs!$B$38&lt;&gt;"pvp",Inputs!$B$43&gt;0),((Skills!G7*((R2010-1)*IF(Skills!H7&gt;0,Skills!I7/Skills!H7,1)+IF(Skills!H7&gt;0,MIN(Skills!I7,MAX(0,MAX(0,Inputs!$B$43-B2039)-((R2010-1)*(IF(Inputs!$B$38="pvp",15,MAX(0.1,Skills!D7-IF(Skills!E7=TRUE,Inputs!$B$32,0)))*(1-IF(AND(IF(ArtifactsInput!$M$27,FALSE,TRUE),Inputs!$B$4="Chapter Hunt"),CHOOSE(ArtifactsInput!$N$27+1,20,24,28,32,36,40),0)/100)))))/Skills!H7,1)))/Inputs!$B$43),G2010*Q2010)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1">
      <c r="A2011">
        <f>Skills!A8</f>
        <v/>
      </c>
      <c r="B2011">
        <f>Skills!B8</f>
        <v/>
      </c>
      <c r="C2011">
        <f>Inputs!$B$3&gt;=117</f>
        <v/>
      </c>
      <c r="D2011">
        <f>IF(Skills!C8=1,60+Inputs!$B$25+Inputs!$B$29,IF(Skills!C8=2,90+Inputs!$B$26+Inputs!$B$29,IF(Skills!C8=3,120+Inputs!$B$27+Inputs!$B$29,MAX(0,(Inputs!$B$3-100)*3)+Inputs!$B$28+Inputs!$B$29)))</f>
        <v/>
      </c>
      <c r="E2011">
        <f>INDEX(FactorTable!$B$2:$Y$301, MATCH(ROUND(MIN(300,MAX(1,D2011)),0), FactorTable!$A$2:$A$301,0), Skills!M8+1)</f>
        <v/>
      </c>
      <c r="F2011">
        <f>IF(Skills!N8=TRUE,(Skills!L8/10)*(E2011/1000),Skills!L8/10)+Skills!O8</f>
        <v/>
      </c>
      <c r="G2011">
        <f>Skills!G8*IF(Skills!H8&gt;0,Skills!I8/Skills!H8,1)</f>
        <v/>
      </c>
      <c r="H2011">
        <f>1-(1-Skills!J8/100)^Skills!K8</f>
        <v/>
      </c>
      <c r="I2011" t="inlineStr">
        <is>
          <t>1</t>
        </is>
      </c>
      <c r="J2011">
        <f>((Inputs!$B$6*(1+Inputs!$B$7/100))+(((Inputs!$B$12*(1+Inputs!$B$13/100))-(Inputs!$B$12*(1+Inputs!$B$13/100)))+0.25*(Inputs!$B$14-Inputs!$B$14))*(1+Inputs!$B$7/100))*(F2011/100)</f>
        <v/>
      </c>
      <c r="K2011">
        <f>J2011*(1+((Inputs!$B$12*(1+Inputs!$B$13/100))*0.01+Inputs!$B$14*0.0025)/100)*(1+Inputs!$B$15/100)*(1+Inputs!$B$16/100)*(5000/(6000+Inputs!$B$42*(1-(100*(1-(1-(Inputs!$B$19+0)/100)*(1-CHOOSE(ArtifactsInput!$N$40+1,5,6,7,8,9,10)/100)^(ArtifactsInput!$M$40-ArtifactsInput!$M$40)))/100)))*(1+(Inputs!$B$24+((C2028=TRUE)*(F2028-Calc!F25))+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2024=TRUE)*(F2024-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2026=TRUE)*(F2026-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2016=TRUE)*F2016*IF(Inputs!$B$3&gt;=110,7,5))+((C2018=TRUE)*F2018*IF(AND(Inputs!$B$38&lt;&gt;"pvp",Inputs!$B$43&gt;0),(((R2018-1)*(Skills!T15*(1+(Inputs!$B$34+(ArtifactsInput!$M$7-ArtifactsInput!$M$7)*CHOOSE(ArtifactsInput!$N$7+1,6,7.2,8.4,9.6,10.8,12))/100))+MIN((Skills!T15*(1+(Inputs!$B$34+(ArtifactsInput!$M$7-ArtifactsInput!$M$7)*CHOOSE(ArtifactsInput!$N$7+1,6,7.2,8.4,9.6,10.8,12))/100)),MAX(0,Inputs!$B$43-((R2018-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Hunt"),CHOOSE(ArtifactsInput!$N$35+1,15,18,21,24,27,30)*(1-EXP(-(0.2*B2034)*5)),0)+IF(AND(ArtifactsInput!$M$22,Inputs!$B$4&lt;&gt;"Chapter Hunt"),CHOOSE(ArtifactsInput!$N$22+1,10,12,14,16,18,20)*((0*(((0.15*B2034*5))^0/1)+1*(((0.15*B2034*5))^1/1)+2*(((0.15*B2034*5))^2/2)+3*(((0.15*B2034*5))^3/6)+4*(((0.15*B2034*5))^4/24)+5*(((0.15*B2034*5))^5/120))/((((0.15*B2034*5))^0/1)+(((0.15*B2034*5))^1/1)+(((0.15*B2034*5))^2/2)+(((0.15*B2034*5))^3/6)+(((0.15*B2034*5))^4/24)+(((0.15*B2034*5))^5/120))),0)))/100)*I2011)</f>
        <v/>
      </c>
      <c r="L2011">
        <f>K2011*(MIN(Inputs!$B$22+((C2025=TRUE)*(F2025-Calc!F22)),(Inputs!$B$23+((C2027=TRUE)*(F2027-Calc!F24))+(IF(ArtifactsInput!$M$15,CHOOSE(ArtifactsInput!$N$15+1,25,30,35,40,45,50)/100*(Inputs!$B$11-Inputs!$B$11),0))))/100+(Inputs!$B$23+((C2027=TRUE)*(F2027-Calc!F24))+(IF(ArtifactsInput!$M$15,CHOOSE(ArtifactsInput!$N$15+1,25,30,35,40,45,50)/100*(Inputs!$B$11-Inputs!$B$11),0)))/100)/2</f>
        <v/>
      </c>
      <c r="M2011">
        <f>L2011*(1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1">
        <f>L2011*(1-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2011*(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1">
        <f>(1-Summary!$B$11)*T2011+Summary!$B$11*V2011</f>
        <v/>
      </c>
      <c r="P2011">
        <f>IF(B2042=0,0,O2011/B2042)</f>
        <v/>
      </c>
      <c r="Q2011">
        <f>IFERROR(1/(IF(Inputs!$B$38="pvp",15,MAX(0.1,Skills!D8-IF(Skills!E8=TRUE,Inputs!$B$32,0)))*(1-IF(AND(IF(ArtifactsInput!$M$27,FALSE,TRUE),Inputs!$B$4="Chapter Hunt"),CHOOSE(ArtifactsInput!$N$27+1,20,24,28,32,36,40),0)/100)),0)</f>
        <v/>
      </c>
      <c r="R2011">
        <f>IF(AND(Inputs!$B$38&lt;&gt;"pvp",Inputs!$B$43&gt;0),IF(MAX(0,Inputs!$B$43-B2039)&lt;=0,0,(INT(MAX(0,Inputs!$B$43-B2039)/(IF(Inputs!$B$38="pvp",15,MAX(0.1,Skills!D8-IF(Skills!E8=TRUE,Inputs!$B$32,0)))*(1-IF(AND(IF(ArtifactsInput!$M$27,FALSE,TRUE),Inputs!$B$4="Chapter Hunt"),CHOOSE(ArtifactsInput!$N$27+1,20,24,28,32,36,40),0)/100)))+1)),0)</f>
        <v/>
      </c>
      <c r="S2011">
        <f>IFERROR(O2011/N2011,0)</f>
        <v/>
      </c>
      <c r="T2011">
        <f>IF(C2011,(H2011*N2011*IF(AND(Inputs!$B$38&lt;&gt;"pvp",Inputs!$B$43&gt;0),((Skills!G8*((R2011-1)*IF(Skills!H8&gt;0,Skills!I8/Skills!H8,1)+IF(Skills!H8&gt;0,MIN(Skills!I8,MAX(0,MAX(0,Inputs!$B$43-B2039)-((R2011-1)*(IF(Inputs!$B$38="pvp",15,MAX(0.1,Skills!D8-IF(Skills!E8=TRUE,Inputs!$B$32,0)))*(1-IF(AND(IF(ArtifactsInput!$M$27,FALSE,TRUE),Inputs!$B$4="Chapter Hunt"),CHOOSE(ArtifactsInput!$N$27+1,20,24,28,32,36,40),0)/100)))))/Skills!H8,1)))/Inputs!$B$43),G2011*Q2011)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2011*(1-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2011*(1-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1">
        <f>IF(C2011,(H2011*N2011*IF(AND(Inputs!$B$38&lt;&gt;"pvp",Inputs!$B$43&gt;0),((Skills!G8*((R2011-1)*IF(Skills!H8&gt;0,Skills!I8/Skills!H8,1)+IF(Skills!H8&gt;0,MIN(Skills!I8,MAX(0,MAX(0,Inputs!$B$43-B2039)-((R2011-1)*(IF(Inputs!$B$38="pvp",15,MAX(0.1,Skills!D8-IF(Skills!E8=TRUE,Inputs!$B$32,0)))*(1-IF(AND(IF(ArtifactsInput!$M$27,FALSE,TRUE),Inputs!$B$4="Chapter Hunt"),CHOOSE(ArtifactsInput!$N$27+1,20,24,28,32,36,40),0)/100)))))/Skills!H8,1)))/Inputs!$B$43),G2011*Q2011)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2">
      <c r="A2012">
        <f>Skills!A9</f>
        <v/>
      </c>
      <c r="B2012">
        <f>Skills!B9</f>
        <v/>
      </c>
      <c r="C2012">
        <f>Inputs!$B$3&gt;=69</f>
        <v/>
      </c>
      <c r="D2012">
        <f>IF(Skills!C9=1,60+Inputs!$B$25+Inputs!$B$29,IF(Skills!C9=2,90+Inputs!$B$26+Inputs!$B$29,IF(Skills!C9=3,120+Inputs!$B$27+Inputs!$B$29,MAX(0,(Inputs!$B$3-100)*3)+Inputs!$B$28+Inputs!$B$29)))</f>
        <v/>
      </c>
      <c r="E2012">
        <f>INDEX(FactorTable!$B$2:$Y$301, MATCH(ROUND(MIN(300,MAX(1,D2012)),0), FactorTable!$A$2:$A$301,0), Skills!M9+1)</f>
        <v/>
      </c>
      <c r="F2012">
        <f>IF(Skills!N9=TRUE,(Skills!L9/10)*(E2012/1000),Skills!L9/10)+Skills!O9</f>
        <v/>
      </c>
      <c r="G2012">
        <f>Skills!G9*IF(Skills!H9&gt;0,Skills!I9/Skills!H9,1)</f>
        <v/>
      </c>
      <c r="H2012">
        <f>1-(1-Skills!J9/100)^Skills!K9</f>
        <v/>
      </c>
      <c r="I2012" t="inlineStr">
        <is>
          <t>1</t>
        </is>
      </c>
      <c r="J2012">
        <f>((Inputs!$B$6*(1+Inputs!$B$7/100))+(((Inputs!$B$12*(1+Inputs!$B$13/100))-(Inputs!$B$12*(1+Inputs!$B$13/100)))+0.25*(Inputs!$B$14-Inputs!$B$14))*(1+Inputs!$B$7/100))*(F2012/100)</f>
        <v/>
      </c>
      <c r="K2012">
        <f>J2012*(1+((Inputs!$B$12*(1+Inputs!$B$13/100))*0.01+Inputs!$B$14*0.0025)/100)*(1+Inputs!$B$15/100)*(1+Inputs!$B$16/100)*(5000/(6000+Inputs!$B$42*(1-(100*(1-(1-(Inputs!$B$19+0)/100)*(1-CHOOSE(ArtifactsInput!$N$40+1,5,6,7,8,9,10)/100)^(ArtifactsInput!$M$40-ArtifactsInput!$M$40)))/100)))*(1+(Inputs!$B$24+((C2028=TRUE)*(F2028-Calc!F25))+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2015=TRUE,F2015,0)/100)*(1+IF(Skills!A9="ENHANCED_RAGING_BLOW",IF(Inputs!$B$3&gt;=134,MAX(0,IF(Inputs!$B$3&gt;=110,7,5)-5)*50,0),0)/100)*(1+(IF(Skills!A9="RAGING_BLOW",Inputs!$B$17+((C2024=TRUE)*(F2024-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2026=TRUE)*(F2026-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2016=TRUE)*F2016*IF(Inputs!$B$3&gt;=110,7,5))+((C2018=TRUE)*F2018*IF(AND(Inputs!$B$38&lt;&gt;"pvp",Inputs!$B$43&gt;0),(((R2018-1)*(Skills!T15*(1+(Inputs!$B$34+(ArtifactsInput!$M$7-ArtifactsInput!$M$7)*CHOOSE(ArtifactsInput!$N$7+1,6,7.2,8.4,9.6,10.8,12))/100))+MIN((Skills!T15*(1+(Inputs!$B$34+(ArtifactsInput!$M$7-ArtifactsInput!$M$7)*CHOOSE(ArtifactsInput!$N$7+1,6,7.2,8.4,9.6,10.8,12))/100)),MAX(0,Inputs!$B$43-((R2018-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Hunt"),CHOOSE(ArtifactsInput!$N$35+1,15,18,21,24,27,30)*(1-EXP(-(0.2*B2034)*5)),0)+IF(AND(ArtifactsInput!$M$22,Inputs!$B$4&lt;&gt;"Chapter Hunt"),CHOOSE(ArtifactsInput!$N$22+1,10,12,14,16,18,20)*((0*(((0.15*B2034*5))^0/1)+1*(((0.15*B2034*5))^1/1)+2*(((0.15*B2034*5))^2/2)+3*(((0.15*B2034*5))^3/6)+4*(((0.15*B2034*5))^4/24)+5*(((0.15*B2034*5))^5/120))/((((0.15*B2034*5))^0/1)+(((0.15*B2034*5))^1/1)+(((0.15*B2034*5))^2/2)+(((0.15*B2034*5))^3/6)+(((0.15*B2034*5))^4/24)+(((0.15*B2034*5))^5/120))),0)))/100)*I2012)</f>
        <v/>
      </c>
      <c r="L2012">
        <f>K2012*(MIN(Inputs!$B$22+((C2025=TRUE)*(F2025-Calc!F22)),(Inputs!$B$23+((C2027=TRUE)*(F2027-Calc!F24))+(IF(ArtifactsInput!$M$15,CHOOSE(ArtifactsInput!$N$15+1,25,30,35,40,45,50)/100*(Inputs!$B$11-Inputs!$B$11),0))))/100+(Inputs!$B$23+((C2027=TRUE)*(F2027-Calc!F24))+(IF(ArtifactsInput!$M$15,CHOOSE(ArtifactsInput!$N$15+1,25,30,35,40,45,50)/100*(Inputs!$B$11-Inputs!$B$11),0)))/100)/2</f>
        <v/>
      </c>
      <c r="M2012">
        <f>L2012*(1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2">
        <f>L2012*(1-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2012*(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2">
        <f>(1-Summary!$B$11)*T2012+Summary!$B$11*V2012</f>
        <v/>
      </c>
      <c r="P2012">
        <f>IF(B2042=0,0,O2012/B2042)</f>
        <v/>
      </c>
      <c r="Q2012">
        <f>IFERROR(1/(IF(Inputs!$B$38="pvp",15,MAX(0.1,Skills!D9-IF(Skills!E9=TRUE,Inputs!$B$32,0)))*(1-IF(AND(IF(ArtifactsInput!$M$27,FALSE,TRUE),Inputs!$B$4="Chapter Hunt"),CHOOSE(ArtifactsInput!$N$27+1,20,24,28,32,36,40),0)/100)),0)</f>
        <v/>
      </c>
      <c r="R2012">
        <f>IF(AND(Inputs!$B$38&lt;&gt;"pvp",Inputs!$B$43&gt;0),IF(MAX(0,Inputs!$B$43-B2039)&lt;=0,0,(INT(MAX(0,Inputs!$B$43-B2039)/(IF(Inputs!$B$38="pvp",15,MAX(0.1,Skills!D9-IF(Skills!E9=TRUE,Inputs!$B$32,0)))*(1-IF(AND(IF(ArtifactsInput!$M$27,FALSE,TRUE),Inputs!$B$4="Chapter Hunt"),CHOOSE(ArtifactsInput!$N$27+1,20,24,28,32,36,40),0)/100)))+1)),0)</f>
        <v/>
      </c>
      <c r="S2012">
        <f>IFERROR(O2012/N2012,0)</f>
        <v/>
      </c>
      <c r="T2012">
        <f>IF(C2012,(H2012*N2012*IF(AND(Inputs!$B$38&lt;&gt;"pvp",Inputs!$B$43&gt;0),((Skills!G9*((R2012-1)*IF(Skills!H9&gt;0,Skills!I9/Skills!H9,1)+IF(Skills!H9&gt;0,MIN(Skills!I9,MAX(0,MAX(0,Inputs!$B$43-B2039)-((R2012-1)*(IF(Inputs!$B$38="pvp",15,MAX(0.1,Skills!D9-IF(Skills!E9=TRUE,Inputs!$B$32,0)))*(1-IF(AND(IF(ArtifactsInput!$M$27,FALSE,TRUE),Inputs!$B$4="Chapter Hunt"),CHOOSE(ArtifactsInput!$N$27+1,20,24,28,32,36,40),0)/100)))))/Skills!H9,1)))/Inputs!$B$43),G2012*Q2012)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2012*(1-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2012*(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2012*(1-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2012*(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2">
        <f>IF(C2012,(H2012*N2012*IF(AND(Inputs!$B$38&lt;&gt;"pvp",Inputs!$B$43&gt;0),((Skills!G9*((R2012-1)*IF(Skills!H9&gt;0,Skills!I9/Skills!H9,1)+IF(Skills!H9&gt;0,MIN(Skills!I9,MAX(0,MAX(0,Inputs!$B$43-B2039)-((R2012-1)*(IF(Inputs!$B$38="pvp",15,MAX(0.1,Skills!D9-IF(Skills!E9=TRUE,Inputs!$B$32,0)))*(1-IF(AND(IF(ArtifactsInput!$M$27,FALSE,TRUE),Inputs!$B$4="Chapter Hunt"),CHOOSE(ArtifactsInput!$N$27+1,20,24,28,32,36,40),0)/100)))))/Skills!H9,1)))/Inputs!$B$43),G2012*Q2012)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3">
      <c r="A2013">
        <f>Skills!A10</f>
        <v/>
      </c>
      <c r="B2013">
        <f>Skills!B10</f>
        <v/>
      </c>
      <c r="C2013">
        <f>Inputs!$B$3&gt;=63</f>
        <v/>
      </c>
      <c r="D2013">
        <f>IF(Skills!C10=1,60+Inputs!$B$25+Inputs!$B$29,IF(Skills!C10=2,90+Inputs!$B$26+Inputs!$B$29,IF(Skills!C10=3,120+Inputs!$B$27+Inputs!$B$29,MAX(0,(Inputs!$B$3-100)*3)+Inputs!$B$28+Inputs!$B$29)))</f>
        <v/>
      </c>
      <c r="E2013">
        <f>INDEX(FactorTable!$B$2:$Y$301, MATCH(ROUND(MIN(300,MAX(1,D2013)),0), FactorTable!$A$2:$A$301,0), Skills!M10+1)</f>
        <v/>
      </c>
      <c r="F2013">
        <f>IF(Skills!N10=TRUE,(Skills!L10/10)*(E2013/1000),Skills!L10/10)+Skills!O10</f>
        <v/>
      </c>
      <c r="G2013">
        <f>Skills!G10*IF(Skills!H10&gt;0,Skills!I10/Skills!H10,1)</f>
        <v/>
      </c>
      <c r="H2013">
        <f>1-(1-Skills!J10/100)^Skills!K10</f>
        <v/>
      </c>
      <c r="I2013" t="inlineStr">
        <is>
          <t>1</t>
        </is>
      </c>
      <c r="J2013">
        <f>((Inputs!$B$6*(1+Inputs!$B$7/100))+(((Inputs!$B$12*(1+Inputs!$B$13/100))-(Inputs!$B$12*(1+Inputs!$B$13/100)))+0.25*(Inputs!$B$14-Inputs!$B$14))*(1+Inputs!$B$7/100))*(F2013/100)</f>
        <v/>
      </c>
      <c r="K2013">
        <f>J2013*(1+((Inputs!$B$12*(1+Inputs!$B$13/100))*0.01+Inputs!$B$14*0.0025)/100)*(1+Inputs!$B$15/100)*(1+Inputs!$B$16/100)*(5000/(6000+Inputs!$B$42*(1-(100*(1-(1-(Inputs!$B$19+0)/100)*(1-CHOOSE(ArtifactsInput!$N$40+1,5,6,7,8,9,10)/100)^(ArtifactsInput!$M$40-ArtifactsInput!$M$40)))/100)))*(1+(Inputs!$B$24+((C2028=TRUE)*(F2028-Calc!F25))+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2015=TRUE,F2015,0)/100)*(1+IF(Skills!A10="ENHANCED_RAGING_BLOW",IF(Inputs!$B$3&gt;=134,MAX(0,IF(Inputs!$B$3&gt;=110,7,5)-5)*50,0),0)/100)*(1+(IF(Skills!A10="RAGING_BLOW",Inputs!$B$17+((C2024=TRUE)*(F2024-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2026=TRUE)*(F2026-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2016=TRUE)*F2016*IF(Inputs!$B$3&gt;=110,7,5))+((C2018=TRUE)*F2018*IF(AND(Inputs!$B$38&lt;&gt;"pvp",Inputs!$B$43&gt;0),(((R2018-1)*(Skills!T15*(1+(Inputs!$B$34+(ArtifactsInput!$M$7-ArtifactsInput!$M$7)*CHOOSE(ArtifactsInput!$N$7+1,6,7.2,8.4,9.6,10.8,12))/100))+MIN((Skills!T15*(1+(Inputs!$B$34+(ArtifactsInput!$M$7-ArtifactsInput!$M$7)*CHOOSE(ArtifactsInput!$N$7+1,6,7.2,8.4,9.6,10.8,12))/100)),MAX(0,Inputs!$B$43-((R2018-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Hunt"),CHOOSE(ArtifactsInput!$N$35+1,15,18,21,24,27,30)*(1-EXP(-(0.2*B2034)*5)),0)+IF(AND(ArtifactsInput!$M$22,Inputs!$B$4&lt;&gt;"Chapter Hunt"),CHOOSE(ArtifactsInput!$N$22+1,10,12,14,16,18,20)*((0*(((0.15*B2034*5))^0/1)+1*(((0.15*B2034*5))^1/1)+2*(((0.15*B2034*5))^2/2)+3*(((0.15*B2034*5))^3/6)+4*(((0.15*B2034*5))^4/24)+5*(((0.15*B2034*5))^5/120))/((((0.15*B2034*5))^0/1)+(((0.15*B2034*5))^1/1)+(((0.15*B2034*5))^2/2)+(((0.15*B2034*5))^3/6)+(((0.15*B2034*5))^4/24)+(((0.15*B2034*5))^5/120))),0)))/100)*I2013)</f>
        <v/>
      </c>
      <c r="L2013">
        <f>K2013*(MIN(Inputs!$B$22+((C2025=TRUE)*(F2025-Calc!F22)),(Inputs!$B$23+((C2027=TRUE)*(F2027-Calc!F24))+(IF(ArtifactsInput!$M$15,CHOOSE(ArtifactsInput!$N$15+1,25,30,35,40,45,50)/100*(Inputs!$B$11-Inputs!$B$11),0))))/100+(Inputs!$B$23+((C2027=TRUE)*(F2027-Calc!F24))+(IF(ArtifactsInput!$M$15,CHOOSE(ArtifactsInput!$N$15+1,25,30,35,40,45,50)/100*(Inputs!$B$11-Inputs!$B$11),0)))/100)/2</f>
        <v/>
      </c>
      <c r="M2013">
        <f>L2013*(1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3">
        <f>L2013*(1-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2013*(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3">
        <f>(1-Summary!$B$11)*T2013+Summary!$B$11*V2013</f>
        <v/>
      </c>
      <c r="P2013">
        <f>IF(B2042=0,0,O2013/B2042)</f>
        <v/>
      </c>
      <c r="Q2013">
        <f>IFERROR(1/(IF(Inputs!$B$38="pvp",15,MAX(0.1,Skills!D10-IF(Skills!E10=TRUE,Inputs!$B$32,0)))*(1-IF(AND(IF(ArtifactsInput!$M$27,FALSE,TRUE),Inputs!$B$4="Chapter Hunt"),CHOOSE(ArtifactsInput!$N$27+1,20,24,28,32,36,40),0)/100)),0)</f>
        <v/>
      </c>
      <c r="R2013">
        <f>IF(AND(Inputs!$B$38&lt;&gt;"pvp",Inputs!$B$43&gt;0),IF(MAX(0,Inputs!$B$43-B2039)&lt;=0,0,(INT(MAX(0,Inputs!$B$43-B2039)/(IF(Inputs!$B$38="pvp",15,MAX(0.1,Skills!D10-IF(Skills!E10=TRUE,Inputs!$B$32,0)))*(1-IF(AND(IF(ArtifactsInput!$M$27,FALSE,TRUE),Inputs!$B$4="Chapter Hunt"),CHOOSE(ArtifactsInput!$N$27+1,20,24,28,32,36,40),0)/100)))+1)),0)</f>
        <v/>
      </c>
      <c r="S2013">
        <f>IFERROR(O2013/N2013,0)</f>
        <v/>
      </c>
      <c r="T2013">
        <f>IF(C2013,(H2013*N2013*IF(AND(Inputs!$B$38&lt;&gt;"pvp",Inputs!$B$43&gt;0),((Skills!G10*((R2013-1)*IF(Skills!H10&gt;0,Skills!I10/Skills!H10,1)+IF(Skills!H10&gt;0,MIN(Skills!I10,MAX(0,MAX(0,Inputs!$B$43-B2039)-((R2013-1)*(IF(Inputs!$B$38="pvp",15,MAX(0.1,Skills!D10-IF(Skills!E10=TRUE,Inputs!$B$32,0)))*(1-IF(AND(IF(ArtifactsInput!$M$27,FALSE,TRUE),Inputs!$B$4="Chapter Hunt"),CHOOSE(ArtifactsInput!$N$27+1,20,24,28,32,36,40),0)/100)))))/Skills!H10,1)))/Inputs!$B$43),G2013*Q2013)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2013*(1-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2013*(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2013*(1-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2013*(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3">
        <f>IF(C2013,(H2013*N2013*IF(AND(Inputs!$B$38&lt;&gt;"pvp",Inputs!$B$43&gt;0),((Skills!G10*((R2013-1)*IF(Skills!H10&gt;0,Skills!I10/Skills!H10,1)+IF(Skills!H10&gt;0,MIN(Skills!I10,MAX(0,MAX(0,Inputs!$B$43-B2039)-((R2013-1)*(IF(Inputs!$B$38="pvp",15,MAX(0.1,Skills!D10-IF(Skills!E10=TRUE,Inputs!$B$32,0)))*(1-IF(AND(IF(ArtifactsInput!$M$27,FALSE,TRUE),Inputs!$B$4="Chapter Hunt"),CHOOSE(ArtifactsInput!$N$27+1,20,24,28,32,36,40),0)/100)))))/Skills!H10,1)))/Inputs!$B$43),G2013*Q2013)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4">
      <c r="A2014">
        <f>Skills!A11</f>
        <v/>
      </c>
      <c r="B2014">
        <f>Skills!B11</f>
        <v/>
      </c>
      <c r="C2014">
        <f>Inputs!$B$3&gt;=35</f>
        <v/>
      </c>
      <c r="D2014">
        <f>IF(Skills!C11=1,60+Inputs!$B$25+Inputs!$B$29,IF(Skills!C11=2,90+Inputs!$B$26+Inputs!$B$29,IF(Skills!C11=3,120+Inputs!$B$27+Inputs!$B$29,MAX(0,(Inputs!$B$3-100)*3)+Inputs!$B$28+Inputs!$B$29)))</f>
        <v/>
      </c>
      <c r="E2014">
        <f>INDEX(FactorTable!$B$2:$Y$301, MATCH(ROUND(MIN(300,MAX(1,D2014)),0), FactorTable!$A$2:$A$301,0), Skills!M11+1)</f>
        <v/>
      </c>
      <c r="F2014">
        <f>IF(Skills!N11=TRUE,(Skills!L11/10)*(E2014/1000),Skills!L11/10)+Skills!O11</f>
        <v/>
      </c>
      <c r="G2014">
        <f>Skills!G11*IF(Skills!H11&gt;0,Skills!I11/Skills!H11,1)</f>
        <v/>
      </c>
      <c r="H2014">
        <f>1-(1-Skills!J11/100)^Skills!K11</f>
        <v/>
      </c>
      <c r="I2014" t="inlineStr">
        <is>
          <t>1</t>
        </is>
      </c>
      <c r="J2014">
        <f>((Inputs!$B$6*(1+Inputs!$B$7/100))+(((Inputs!$B$12*(1+Inputs!$B$13/100))-(Inputs!$B$12*(1+Inputs!$B$13/100)))+0.25*(Inputs!$B$14-Inputs!$B$14))*(1+Inputs!$B$7/100))*(F2014/100)</f>
        <v/>
      </c>
      <c r="K2014">
        <f>J2014*(1+((Inputs!$B$12*(1+Inputs!$B$13/100))*0.01+Inputs!$B$14*0.0025)/100)*(1+Inputs!$B$15/100)*(1+Inputs!$B$16/100)*(5000/(6000+Inputs!$B$42*(1-(100*(1-(1-(Inputs!$B$19+0)/100)*(1-CHOOSE(ArtifactsInput!$N$40+1,5,6,7,8,9,10)/100)^(ArtifactsInput!$M$40-ArtifactsInput!$M$40)))/100)))*(1+(Inputs!$B$24+((C2028=TRUE)*(F2028-Calc!F25))+B2038)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2015=TRUE,F2015,0)/100)*(1+IF(Skills!A11="ENHANCED_RAGING_BLOW",IF(Inputs!$B$3&gt;=134,MAX(0,IF(Inputs!$B$3&gt;=110,7,5)-5)*50,0),0)/100)*(1+(IF(Skills!A11="RAGING_BLOW",Inputs!$B$17+((C2024=TRUE)*(F2024-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2026=TRUE)*(F2026-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2016=TRUE)*F2016*IF(Inputs!$B$3&gt;=110,7,5))+((C2018=TRUE)*F2018*IF(AND(Inputs!$B$38&lt;&gt;"pvp",Inputs!$B$43&gt;0),(((R2018-1)*(Skills!T15*(1+(Inputs!$B$34+(ArtifactsInput!$M$7-ArtifactsInput!$M$7)*CHOOSE(ArtifactsInput!$N$7+1,6,7.2,8.4,9.6,10.8,12))/100))+MIN((Skills!T15*(1+(Inputs!$B$34+(ArtifactsInput!$M$7-ArtifactsInput!$M$7)*CHOOSE(ArtifactsInput!$N$7+1,6,7.2,8.4,9.6,10.8,12))/100)),MAX(0,Inputs!$B$43-((R2018-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Hunt"),CHOOSE(ArtifactsInput!$N$35+1,15,18,21,24,27,30)*(1-EXP(-(0.2*B2034)*5)),0)+IF(AND(ArtifactsInput!$M$22,Inputs!$B$4&lt;&gt;"Chapter Hunt"),CHOOSE(ArtifactsInput!$N$22+1,10,12,14,16,18,20)*((0*(((0.15*B2034*5))^0/1)+1*(((0.15*B2034*5))^1/1)+2*(((0.15*B2034*5))^2/2)+3*(((0.15*B2034*5))^3/6)+4*(((0.15*B2034*5))^4/24)+5*(((0.15*B2034*5))^5/120))/((((0.15*B2034*5))^0/1)+(((0.15*B2034*5))^1/1)+(((0.15*B2034*5))^2/2)+(((0.15*B2034*5))^3/6)+(((0.15*B2034*5))^4/24)+(((0.15*B2034*5))^5/120))),0)))/100)*I2014)</f>
        <v/>
      </c>
      <c r="L2014">
        <f>K2014*(MIN(Inputs!$B$22+((C2025=TRUE)*(F2025-Calc!F22)),(Inputs!$B$23+((C2027=TRUE)*(F2027-Calc!F24))+(IF(ArtifactsInput!$M$15,CHOOSE(ArtifactsInput!$N$15+1,25,30,35,40,45,50)/100*(Inputs!$B$11-Inputs!$B$11),0))))/100+(Inputs!$B$23+((C2027=TRUE)*(F2027-Calc!F24))+(IF(ArtifactsInput!$M$15,CHOOSE(ArtifactsInput!$N$15+1,25,30,35,40,45,50)/100*(Inputs!$B$11-Inputs!$B$11),0)))/100)/2</f>
        <v/>
      </c>
      <c r="M2014">
        <f>L2014*(1+(Inputs!$B$10+0+B2037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4">
        <f>L2014*(1-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2014*(MIN((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4">
        <f>(1-Summary!$B$11)*T2014+Summary!$B$11*V2014</f>
        <v/>
      </c>
      <c r="P2014">
        <f>IF(B2042=0,0,O2014/B2042)</f>
        <v/>
      </c>
      <c r="Q2014">
        <f>IFERROR(1/(IF(Inputs!$B$38="pvp",15,MAX(0.1,Skills!D11-IF(Skills!E11=TRUE,Inputs!$B$32,0)))*(1-IF(AND(IF(ArtifactsInput!$M$27,FALSE,TRUE),Inputs!$B$4="Chapter Hunt"),CHOOSE(ArtifactsInput!$N$27+1,20,24,28,32,36,40),0)/100)),0)</f>
        <v/>
      </c>
      <c r="R2014">
        <f>IF(AND(Inputs!$B$38&lt;&gt;"pvp",Inputs!$B$43&gt;0),IF(MAX(0,Inputs!$B$43-B2039)&lt;=0,0,(INT(MAX(0,Inputs!$B$43-B2039)/(IF(Inputs!$B$38="pvp",15,MAX(0.1,Skills!D11-IF(Skills!E11=TRUE,Inputs!$B$32,0)))*(1-IF(AND(IF(ArtifactsInput!$M$27,FALSE,TRUE),Inputs!$B$4="Chapter Hunt"),CHOOSE(ArtifactsInput!$N$27+1,20,24,28,32,36,40),0)/100)))+1)),0)</f>
        <v/>
      </c>
      <c r="S2014">
        <f>IFERROR(O2014/N2014,0)</f>
        <v/>
      </c>
      <c r="T2014">
        <f>IF(C2014,(H2014*N2014*IF(AND(Inputs!$B$38&lt;&gt;"pvp",Inputs!$B$43&gt;0),((Skills!G11*((R2014-1)*IF(Skills!H11&gt;0,Skills!I11/Skills!H11,1)+IF(Skills!H11&gt;0,MIN(Skills!I11,MAX(0,MAX(0,Inputs!$B$43-B2039)-((R2014-1)*(IF(Inputs!$B$38="pvp",15,MAX(0.1,Skills!D11-IF(Skills!E11=TRUE,Inputs!$B$32,0)))*(1-IF(AND(IF(ArtifactsInput!$M$27,FALSE,TRUE),Inputs!$B$4="Chapter Hunt"),CHOOSE(ArtifactsInput!$N$27+1,20,24,28,32,36,40),0)/100)))))/Skills!H11,1)))/Inputs!$B$43),G2014*Q2014)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2014*(1-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2014*(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2014*(1-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2014*(MIN(100,(Inputs!$B$9+((C2029=TRUE)*(F2029-Calc!F26))+B2032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4">
        <f>IF(C2014,(H2014*N2014*IF(AND(Inputs!$B$38&lt;&gt;"pvp",Inputs!$B$43&gt;0),((Skills!G11*((R2014-1)*IF(Skills!H11&gt;0,Skills!I11/Skills!H11,1)+IF(Skills!H11&gt;0,MIN(Skills!I11,MAX(0,MAX(0,Inputs!$B$43-B2039)-((R2014-1)*(IF(Inputs!$B$38="pvp",15,MAX(0.1,Skills!D11-IF(Skills!E11=TRUE,Inputs!$B$32,0)))*(1-IF(AND(IF(ArtifactsInput!$M$27,FALSE,TRUE),Inputs!$B$4="Chapter Hunt"),CHOOSE(ArtifactsInput!$N$27+1,20,24,28,32,36,40),0)/100)))))/Skills!H11,1)))/Inputs!$B$43),G2014*Q2014)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5">
      <c r="A2015">
        <f>Skills!A12</f>
        <v/>
      </c>
      <c r="B2015">
        <f>Skills!B12</f>
        <v/>
      </c>
      <c r="C2015">
        <f>Inputs!$B$3&gt;=100</f>
        <v/>
      </c>
      <c r="D2015">
        <f>IF(Skills!C12=1,60+Inputs!$B$25+Inputs!$B$29,IF(Skills!C12=2,90+Inputs!$B$26+Inputs!$B$29,IF(Skills!C12=3,120+Inputs!$B$27+Inputs!$B$29,MAX(0,(Inputs!$B$3-100)*3)+Inputs!$B$28+Inputs!$B$29)))</f>
        <v/>
      </c>
      <c r="E2015">
        <f>INDEX(FactorTable!$B$2:$Y$301, MATCH(ROUND(MIN(300,MAX(1,D2015)),0), FactorTable!$A$2:$A$301,0), Skills!M12+1)</f>
        <v/>
      </c>
      <c r="F2015">
        <f>IF(Skills!N12=TRUE,(Skills!L12/10)*(E2015/1000),Skills!L12/10)+Skills!O12</f>
        <v/>
      </c>
      <c r="G2015" t="inlineStr"/>
      <c r="H2015" t="inlineStr"/>
      <c r="I2015" t="inlineStr">
        <is>
          <t>1</t>
        </is>
      </c>
      <c r="J2015" t="inlineStr"/>
      <c r="K2015" t="inlineStr"/>
      <c r="L2015" t="inlineStr"/>
      <c r="M2015" t="inlineStr"/>
      <c r="N2015" t="inlineStr"/>
      <c r="O2015" t="inlineStr"/>
      <c r="P2015" t="inlineStr"/>
      <c r="Q2015" t="inlineStr"/>
      <c r="R2015" t="inlineStr"/>
      <c r="S2015" t="inlineStr"/>
    </row>
    <row r="2016">
      <c r="A2016">
        <f>Skills!A13</f>
        <v/>
      </c>
      <c r="B2016">
        <f>Skills!B13</f>
        <v/>
      </c>
      <c r="C2016">
        <f>Inputs!$B$3&gt;=45</f>
        <v/>
      </c>
      <c r="D2016">
        <f>IF(Skills!C13=1,60+Inputs!$B$25+Inputs!$B$29,IF(Skills!C13=2,90+Inputs!$B$26+Inputs!$B$29,IF(Skills!C13=3,120+Inputs!$B$27+Inputs!$B$29,MAX(0,(Inputs!$B$3-100)*3)+Inputs!$B$28+Inputs!$B$29)))</f>
        <v/>
      </c>
      <c r="E2016">
        <f>INDEX(FactorTable!$B$2:$Y$301, MATCH(ROUND(MIN(300,MAX(1,D2016)),0), FactorTable!$A$2:$A$301,0), Skills!M13+1)</f>
        <v/>
      </c>
      <c r="F2016">
        <f>IF(Skills!N13=TRUE,(Skills!L13/10)*(E2016/1000),Skills!L13/10)+Skills!O13</f>
        <v/>
      </c>
      <c r="G2016">
        <f>Skills!G13*IF(Skills!H13&gt;0,Skills!I13/Skills!H13,1)</f>
        <v/>
      </c>
      <c r="H2016">
        <f>1-(1-Skills!J13/100)^Skills!K13</f>
        <v/>
      </c>
      <c r="I2016" t="inlineStr">
        <is>
          <t>1</t>
        </is>
      </c>
      <c r="J2016" t="inlineStr"/>
      <c r="K2016" t="inlineStr"/>
      <c r="L2016" t="inlineStr"/>
      <c r="M2016" t="inlineStr"/>
      <c r="N2016" t="inlineStr"/>
      <c r="O2016">
        <f>(1-Summary!$B$11)*T2016+Summary!$B$11*V2016</f>
        <v/>
      </c>
      <c r="P2016">
        <f>IF(B2042=0,0,O2016/B2042)</f>
        <v/>
      </c>
      <c r="Q2016" t="n">
        <v>0</v>
      </c>
      <c r="R2016" t="n">
        <v>0</v>
      </c>
      <c r="S2016">
        <f>IFERROR(O2016/N2016,0)</f>
        <v/>
      </c>
      <c r="T2016" t="n">
        <v>0</v>
      </c>
      <c r="V2016" t="n">
        <v>0</v>
      </c>
    </row>
    <row r="2017">
      <c r="A2017">
        <f>Skills!A14</f>
        <v/>
      </c>
      <c r="B2017">
        <f>Skills!B14</f>
        <v/>
      </c>
      <c r="C2017">
        <f>Inputs!$B$3&gt;=75</f>
        <v/>
      </c>
      <c r="D2017">
        <f>IF(Skills!C14=1,60+Inputs!$B$25+Inputs!$B$29,IF(Skills!C14=2,90+Inputs!$B$26+Inputs!$B$29,IF(Skills!C14=3,120+Inputs!$B$27+Inputs!$B$29,MAX(0,(Inputs!$B$3-100)*3)+Inputs!$B$28+Inputs!$B$29)))</f>
        <v/>
      </c>
      <c r="E2017">
        <f>INDEX(FactorTable!$B$2:$Y$301, MATCH(ROUND(MIN(300,MAX(1,D2017)),0), FactorTable!$A$2:$A$301,0), Skills!M14+1)</f>
        <v/>
      </c>
      <c r="F2017">
        <f>IF(Skills!N14=TRUE,(Skills!L14/10)*(E2017/1000),Skills!L14/10)+Skills!O14</f>
        <v/>
      </c>
      <c r="G2017">
        <f>Skills!G14*IF(Skills!H14&gt;0,Skills!I14/Skills!H14,1)</f>
        <v/>
      </c>
      <c r="H2017">
        <f>1-(1-Skills!J14/100)^Skills!K14</f>
        <v/>
      </c>
      <c r="I2017" t="inlineStr">
        <is>
          <t>1</t>
        </is>
      </c>
      <c r="J2017" t="inlineStr"/>
      <c r="K2017" t="inlineStr"/>
      <c r="L2017" t="inlineStr"/>
      <c r="M2017" t="inlineStr"/>
      <c r="N2017" t="inlineStr"/>
      <c r="O2017">
        <f>(1-Summary!$B$11)*T2017+Summary!$B$11*V2017</f>
        <v/>
      </c>
      <c r="P2017">
        <f>IF(B2042=0,0,O2017/B2042)</f>
        <v/>
      </c>
      <c r="Q2017" t="n">
        <v>0</v>
      </c>
      <c r="R2017" t="n">
        <v>0</v>
      </c>
      <c r="S2017">
        <f>IFERROR(O2017/N2017,0)</f>
        <v/>
      </c>
      <c r="T2017" t="n">
        <v>0</v>
      </c>
      <c r="V2017" t="n">
        <v>0</v>
      </c>
    </row>
    <row r="2018">
      <c r="A2018">
        <f>Skills!A15</f>
        <v/>
      </c>
      <c r="B2018">
        <f>Skills!B15</f>
        <v/>
      </c>
      <c r="C2018">
        <f>Inputs!$B$3&gt;=40</f>
        <v/>
      </c>
      <c r="D2018">
        <f>IF(Skills!C15=1,60+Inputs!$B$25+Inputs!$B$29,IF(Skills!C15=2,90+Inputs!$B$26+Inputs!$B$29,IF(Skills!C15=3,120+Inputs!$B$27+Inputs!$B$29,MAX(0,(Inputs!$B$3-100)*3)+Inputs!$B$28+Inputs!$B$29)))</f>
        <v/>
      </c>
      <c r="E2018">
        <f>INDEX(FactorTable!$B$2:$Y$301, MATCH(ROUND(MIN(300,MAX(1,D2018)),0), FactorTable!$A$2:$A$301,0), Skills!M15+1)</f>
        <v/>
      </c>
      <c r="F2018">
        <f>IF(Skills!N15=TRUE,(Skills!L15/10)*(E2018/1000),Skills!L15/10)+Skills!O15</f>
        <v/>
      </c>
      <c r="G2018">
        <f>Skills!G15*IF(Skills!H15&gt;0,Skills!I15/Skills!H15,1)</f>
        <v/>
      </c>
      <c r="H2018">
        <f>1-(1-Skills!J15/100)^Skills!K15</f>
        <v/>
      </c>
      <c r="I2018" t="inlineStr">
        <is>
          <t>1</t>
        </is>
      </c>
      <c r="J2018" t="inlineStr"/>
      <c r="K2018" t="inlineStr"/>
      <c r="L2018" t="inlineStr"/>
      <c r="M2018" t="inlineStr"/>
      <c r="N2018" t="inlineStr"/>
      <c r="O2018">
        <f>(1-Summary!$B$11)*T2018+Summary!$B$11*V2018</f>
        <v/>
      </c>
      <c r="P2018">
        <f>IF(B2042=0,0,O2018/B2042)</f>
        <v/>
      </c>
      <c r="Q2018">
        <f>IFERROR(1/(IF(Inputs!$B$38="pvp",15,MAX(0.1,Skills!D15-IF(Skills!E15=TRUE,Inputs!$B$32,0)))*(1-IF(AND(IF(ArtifactsInput!$M$27,FALSE,TRUE),Inputs!$B$4="Chapter Hunt"),CHOOSE(ArtifactsInput!$N$27+1,20,24,28,32,36,40),0)/100)),0)</f>
        <v/>
      </c>
      <c r="R2018">
        <f>IF(AND(Inputs!$B$38&lt;&gt;"pvp",Inputs!$B$43&gt;0),IF(Inputs!$B$43&lt;=0,0,(INT(Inputs!$B$43/(IF(Inputs!$B$38="pvp",15,MAX(0.1,Skills!D15-IF(Skills!E15=TRUE,Inputs!$B$32,0)))*(1-IF(AND(IF(ArtifactsInput!$M$27,FALSE,TRUE),Inputs!$B$4="Chapter Hunt"),CHOOSE(ArtifactsInput!$N$27+1,20,24,28,32,36,40),0)/100)))+1)),0)</f>
        <v/>
      </c>
      <c r="S2018">
        <f>IFERROR(O2018/N2018,0)</f>
        <v/>
      </c>
      <c r="T2018" t="n">
        <v>0</v>
      </c>
      <c r="V2018" t="n">
        <v>0</v>
      </c>
    </row>
    <row r="2019">
      <c r="A2019">
        <f>Skills!A16</f>
        <v/>
      </c>
      <c r="B2019">
        <f>Skills!B16</f>
        <v/>
      </c>
      <c r="C2019">
        <f>Inputs!$B$3&gt;=66</f>
        <v/>
      </c>
      <c r="D2019">
        <f>IF(Skills!C16=1,60+Inputs!$B$25+Inputs!$B$29,IF(Skills!C16=2,90+Inputs!$B$26+Inputs!$B$29,IF(Skills!C16=3,120+Inputs!$B$27+Inputs!$B$29,MAX(0,(Inputs!$B$3-100)*3)+Inputs!$B$28+Inputs!$B$29)))</f>
        <v/>
      </c>
      <c r="E2019">
        <f>INDEX(FactorTable!$B$2:$Y$301, MATCH(ROUND(MIN(300,MAX(1,D2019)),0), FactorTable!$A$2:$A$301,0), Skills!M16+1)</f>
        <v/>
      </c>
      <c r="F2019">
        <f>IF(Skills!N16=TRUE,(Skills!L16/10)*(E2019/1000),Skills!L16/10)+Skills!O16</f>
        <v/>
      </c>
      <c r="G2019">
        <f>Skills!G16*IF(Skills!H16&gt;0,Skills!I16/Skills!H16,1)</f>
        <v/>
      </c>
      <c r="H2019">
        <f>1-(1-Skills!J16/100)^Skills!K16</f>
        <v/>
      </c>
      <c r="I2019" t="inlineStr">
        <is>
          <t>1</t>
        </is>
      </c>
      <c r="J2019" t="inlineStr"/>
      <c r="K2019" t="inlineStr"/>
      <c r="L2019" t="inlineStr"/>
      <c r="M2019" t="inlineStr"/>
      <c r="N2019" t="inlineStr"/>
      <c r="O2019">
        <f>(1-Summary!$B$11)*T2019+Summary!$B$11*V2019</f>
        <v/>
      </c>
      <c r="P2019">
        <f>IF(B2042=0,0,O2019/B2042)</f>
        <v/>
      </c>
      <c r="Q2019">
        <f>IFERROR(1/(IF(Inputs!$B$38="pvp",15,MAX(0.1,Skills!D16-IF(Skills!E16=TRUE,Inputs!$B$32,0)))*(1-IF(AND(IF(ArtifactsInput!$M$27,FALSE,TRUE),Inputs!$B$4="Chapter Hunt"),CHOOSE(ArtifactsInput!$N$27+1,20,24,28,32,36,40),0)/100)),0)</f>
        <v/>
      </c>
      <c r="R2019">
        <f>IF(AND(Inputs!$B$38&lt;&gt;"pvp",Inputs!$B$43&gt;0),IF(Inputs!$B$43&lt;=0,0,(INT(Inputs!$B$43/(IF(Inputs!$B$38="pvp",15,MAX(0.1,Skills!D16-IF(Skills!E16=TRUE,Inputs!$B$32,0)))*(1-IF(AND(IF(ArtifactsInput!$M$27,FALSE,TRUE),Inputs!$B$4="Chapter Hunt"),CHOOSE(ArtifactsInput!$N$27+1,20,24,28,32,36,40),0)/100)))+1)),0)</f>
        <v/>
      </c>
      <c r="S2019">
        <f>IFERROR(O2019/N2019,0)</f>
        <v/>
      </c>
      <c r="T2019" t="n">
        <v>0</v>
      </c>
      <c r="V2019" t="n">
        <v>0</v>
      </c>
    </row>
    <row r="2020">
      <c r="A2020">
        <f>Skills!A17</f>
        <v/>
      </c>
      <c r="B2020">
        <f>Skills!B17</f>
        <v/>
      </c>
      <c r="C2020">
        <f>Inputs!$B$3&gt;=115</f>
        <v/>
      </c>
      <c r="D2020">
        <f>IF(Skills!C17=1,60+Inputs!$B$25+Inputs!$B$29,IF(Skills!C17=2,90+Inputs!$B$26+Inputs!$B$29,IF(Skills!C17=3,120+Inputs!$B$27+Inputs!$B$29,MAX(0,(Inputs!$B$3-100)*3)+Inputs!$B$28+Inputs!$B$29)))</f>
        <v/>
      </c>
      <c r="E2020">
        <f>INDEX(FactorTable!$B$2:$Y$301, MATCH(ROUND(MIN(300,MAX(1,D2020)),0), FactorTable!$A$2:$A$301,0), Skills!M17+1)</f>
        <v/>
      </c>
      <c r="F2020">
        <f>IF(Skills!N17=TRUE,(Skills!L17/10)*(E2020/1000),Skills!L17/10)+Skills!O17</f>
        <v/>
      </c>
      <c r="G2020">
        <f>Skills!G17*IF(Skills!H17&gt;0,Skills!I17/Skills!H17,1)</f>
        <v/>
      </c>
      <c r="H2020">
        <f>1-(1-Skills!J17/100)^Skills!K17</f>
        <v/>
      </c>
      <c r="I2020" t="inlineStr">
        <is>
          <t>1</t>
        </is>
      </c>
      <c r="J2020" t="inlineStr"/>
      <c r="K2020" t="inlineStr"/>
      <c r="L2020" t="inlineStr"/>
      <c r="M2020" t="inlineStr"/>
      <c r="N2020" t="inlineStr"/>
      <c r="O2020">
        <f>(1-Summary!$B$11)*T2020+Summary!$B$11*V2020</f>
        <v/>
      </c>
      <c r="P2020">
        <f>IF(B2042=0,0,O2020/B2042)</f>
        <v/>
      </c>
      <c r="Q2020">
        <f>IFERROR(1/(IF(Inputs!$B$38="pvp",15,MAX(0.1,Skills!D17-IF(Skills!E17=TRUE,Inputs!$B$32,0)))*(1-IF(AND(IF(ArtifactsInput!$M$27,FALSE,TRUE),Inputs!$B$4="Chapter Hunt"),CHOOSE(ArtifactsInput!$N$27+1,20,24,28,32,36,40),0)/100)),0)</f>
        <v/>
      </c>
      <c r="R2020">
        <f>IF(AND(Inputs!$B$38&lt;&gt;"pvp",Inputs!$B$43&gt;0),IF(Inputs!$B$43&lt;=0,0,(INT(Inputs!$B$43/(IF(Inputs!$B$38="pvp",15,MAX(0.1,Skills!D17-IF(Skills!E17=TRUE,Inputs!$B$32,0)))*(1-IF(AND(IF(ArtifactsInput!$M$27,FALSE,TRUE),Inputs!$B$4="Chapter Hunt"),CHOOSE(ArtifactsInput!$N$27+1,20,24,28,32,36,40),0)/100)))+1)),0)</f>
        <v/>
      </c>
      <c r="S2020">
        <f>IFERROR(O2020/N2020,0)</f>
        <v/>
      </c>
      <c r="T2020" t="n">
        <v>0</v>
      </c>
      <c r="V2020" t="n">
        <v>0</v>
      </c>
    </row>
    <row r="2021">
      <c r="A2021">
        <f>Skills!A18</f>
        <v/>
      </c>
      <c r="B2021">
        <f>Skills!B18</f>
        <v/>
      </c>
      <c r="C2021">
        <f>Inputs!$B$3&gt;=115</f>
        <v/>
      </c>
      <c r="D2021">
        <f>IF(Skills!C18=1,60+Inputs!$B$25+Inputs!$B$29,IF(Skills!C18=2,90+Inputs!$B$26+Inputs!$B$29,IF(Skills!C18=3,120+Inputs!$B$27+Inputs!$B$29,MAX(0,(Inputs!$B$3-100)*3)+Inputs!$B$28+Inputs!$B$29)))</f>
        <v/>
      </c>
      <c r="E2021">
        <f>INDEX(FactorTable!$B$2:$Y$301, MATCH(ROUND(MIN(300,MAX(1,D2021)),0), FactorTable!$A$2:$A$301,0), Skills!M18+1)</f>
        <v/>
      </c>
      <c r="F2021">
        <f>IF(Skills!N18=TRUE,(Skills!L18/10)*(E2021/1000),Skills!L18/10)+Skills!O18</f>
        <v/>
      </c>
      <c r="G2021">
        <f>Skills!G18*IF(Skills!H18&gt;0,Skills!I18/Skills!H18,1)</f>
        <v/>
      </c>
      <c r="H2021">
        <f>1-(1-Skills!J18/100)^Skills!K18</f>
        <v/>
      </c>
      <c r="I2021" t="inlineStr">
        <is>
          <t>1</t>
        </is>
      </c>
      <c r="J2021" t="inlineStr"/>
      <c r="K2021" t="inlineStr"/>
      <c r="L2021" t="inlineStr"/>
      <c r="M2021" t="inlineStr"/>
      <c r="N2021" t="inlineStr"/>
      <c r="O2021">
        <f>(1-Summary!$B$11)*T2021+Summary!$B$11*V2021</f>
        <v/>
      </c>
      <c r="P2021">
        <f>IF(B2042=0,0,O2021/B2042)</f>
        <v/>
      </c>
      <c r="Q2021">
        <f>IFERROR(1/(IF(Inputs!$B$38="pvp",15,MAX(0.1,Skills!D18-IF(Skills!E18=TRUE,Inputs!$B$32,0)))*(1-IF(AND(IF(ArtifactsInput!$M$27,FALSE,TRUE),Inputs!$B$4="Chapter Hunt"),CHOOSE(ArtifactsInput!$N$27+1,20,24,28,32,36,40),0)/100)),0)</f>
        <v/>
      </c>
      <c r="R2021">
        <f>IF(AND(Inputs!$B$38&lt;&gt;"pvp",Inputs!$B$43&gt;0),IF(Inputs!$B$43&lt;=0,0,(INT(Inputs!$B$43/(IF(Inputs!$B$38="pvp",15,MAX(0.1,Skills!D18-IF(Skills!E18=TRUE,Inputs!$B$32,0)))*(1-IF(AND(IF(ArtifactsInput!$M$27,FALSE,TRUE),Inputs!$B$4="Chapter Hunt"),CHOOSE(ArtifactsInput!$N$27+1,20,24,28,32,36,40),0)/100)))+1)),0)</f>
        <v/>
      </c>
      <c r="S2021">
        <f>IFERROR(O2021/N2021,0)</f>
        <v/>
      </c>
      <c r="T2021" t="n">
        <v>0</v>
      </c>
      <c r="V2021" t="n">
        <v>0</v>
      </c>
    </row>
    <row r="2022">
      <c r="A2022">
        <f>Skills!A19</f>
        <v/>
      </c>
      <c r="B2022">
        <f>Skills!B19</f>
        <v/>
      </c>
      <c r="C2022">
        <f>TRUE</f>
        <v/>
      </c>
      <c r="D2022">
        <f>IF(Skills!C19=1,60+Inputs!$B$25+Inputs!$B$29,IF(Skills!C19=2,90+Inputs!$B$26+Inputs!$B$29,IF(Skills!C19=3,120+Inputs!$B$27+Inputs!$B$29,MAX(0,(Inputs!$B$3-100)*3)+Inputs!$B$28+Inputs!$B$29)))</f>
        <v/>
      </c>
      <c r="E2022">
        <f>INDEX(FactorTable!$B$2:$Y$301, MATCH(ROUND(MIN(300,MAX(1,D2022)),0), FactorTable!$A$2:$A$301,0), Skills!M19+1)</f>
        <v/>
      </c>
      <c r="F2022">
        <f>IF(Skills!N19=TRUE,(Skills!L19/10)*(E2022/1000),Skills!L19/10)+Skills!O19</f>
        <v/>
      </c>
      <c r="G2022">
        <f>Skills!G19*IF(Skills!H19&gt;0,Skills!I19/Skills!H19,1)</f>
        <v/>
      </c>
      <c r="H2022">
        <f>1-(1-Skills!J19/100)^Skills!K19</f>
        <v/>
      </c>
      <c r="I2022" t="inlineStr">
        <is>
          <t>1</t>
        </is>
      </c>
      <c r="J2022" t="inlineStr"/>
      <c r="K2022" t="inlineStr"/>
      <c r="L2022" t="inlineStr"/>
      <c r="M2022" t="inlineStr"/>
      <c r="N2022" t="inlineStr"/>
      <c r="O2022">
        <f>(1-Summary!$B$11)*T2022+Summary!$B$11*V2022</f>
        <v/>
      </c>
      <c r="P2022">
        <f>IF(B2042=0,0,O2022/B2042)</f>
        <v/>
      </c>
      <c r="Q2022">
        <f>IFERROR(1/(IF(Inputs!$B$38="pvp",15,MAX(0.1,Skills!D19-IF(Skills!E19=TRUE,Inputs!$B$32,0)))*(1-IF(AND(IF(ArtifactsInput!$M$27,FALSE,TRUE),Inputs!$B$4="Chapter Hunt"),CHOOSE(ArtifactsInput!$N$27+1,20,24,28,32,36,40),0)/100)),0)</f>
        <v/>
      </c>
      <c r="R2022">
        <f>IF(AND(Inputs!$B$38&lt;&gt;"pvp",Inputs!$B$43&gt;0),IF(Inputs!$B$43&lt;=0,0,(INT(Inputs!$B$43/(IF(Inputs!$B$38="pvp",15,MAX(0.1,Skills!D19-IF(Skills!E19=TRUE,Inputs!$B$32,0)))*(1-IF(AND(IF(ArtifactsInput!$M$27,FALSE,TRUE),Inputs!$B$4="Chapter Hunt"),CHOOSE(ArtifactsInput!$N$27+1,20,24,28,32,36,40),0)/100)))+1)),0)</f>
        <v/>
      </c>
      <c r="S2022">
        <f>IFERROR(O2022/N2022,0)</f>
        <v/>
      </c>
      <c r="T2022" t="n">
        <v>0</v>
      </c>
      <c r="V2022" t="n">
        <v>0</v>
      </c>
    </row>
    <row r="2023">
      <c r="A2023">
        <f>Skills!A20</f>
        <v/>
      </c>
      <c r="B2023">
        <f>Skills!B20</f>
        <v/>
      </c>
      <c r="C2023">
        <f>Inputs!$B$3&gt;=33</f>
        <v/>
      </c>
      <c r="D2023">
        <f>IF(Skills!C20=1,60+Inputs!$B$25+Inputs!$B$29,IF(Skills!C20=2,90+Inputs!$B$26+Inputs!$B$29,IF(Skills!C20=3,120+Inputs!$B$27+Inputs!$B$29,MAX(0,(Inputs!$B$3-100)*3)+Inputs!$B$28+Inputs!$B$29)))</f>
        <v/>
      </c>
      <c r="E2023">
        <f>INDEX(FactorTable!$B$2:$Y$301, MATCH(ROUND(MIN(300,MAX(1,D2023)),0), FactorTable!$A$2:$A$301,0), Skills!M20+1)</f>
        <v/>
      </c>
      <c r="F2023">
        <f>IF(Skills!N20=TRUE,(Skills!L20/10)*(E2023/1000),Skills!L20/10)+Skills!O20</f>
        <v/>
      </c>
      <c r="G2023">
        <f>Skills!G20*IF(Skills!H20&gt;0,Skills!I20/Skills!H20,1)</f>
        <v/>
      </c>
      <c r="H2023">
        <f>1-(1-Skills!J20/100)^Skills!K20</f>
        <v/>
      </c>
      <c r="I2023" t="inlineStr">
        <is>
          <t>1</t>
        </is>
      </c>
      <c r="J2023" t="inlineStr"/>
      <c r="K2023" t="inlineStr"/>
      <c r="L2023" t="inlineStr"/>
      <c r="M2023" t="inlineStr"/>
      <c r="N2023" t="inlineStr"/>
      <c r="O2023">
        <f>(1-Summary!$B$11)*T2023+Summary!$B$11*V2023</f>
        <v/>
      </c>
      <c r="P2023">
        <f>IF(B2042=0,0,O2023/B2042)</f>
        <v/>
      </c>
      <c r="Q2023" t="n">
        <v>0</v>
      </c>
      <c r="R2023" t="n">
        <v>0</v>
      </c>
      <c r="S2023">
        <f>IFERROR(O2023/N2023,0)</f>
        <v/>
      </c>
      <c r="T2023" t="n">
        <v>0</v>
      </c>
      <c r="V2023" t="n">
        <v>0</v>
      </c>
    </row>
    <row r="2024">
      <c r="A2024">
        <f>Skills!A21</f>
        <v/>
      </c>
      <c r="B2024">
        <f>Skills!B21</f>
        <v/>
      </c>
      <c r="C2024">
        <f>Inputs!$B$3&gt;=38</f>
        <v/>
      </c>
      <c r="D2024">
        <f>IF(Skills!C21=1,60+Inputs!$B$25+Inputs!$B$29,IF(Skills!C21=2,90+Inputs!$B$26+Inputs!$B$29,IF(Skills!C21=3,120+Inputs!$B$27+Inputs!$B$29,MAX(0,(Inputs!$B$3-100)*3)+Inputs!$B$28+Inputs!$B$29)))</f>
        <v/>
      </c>
      <c r="E2024">
        <f>INDEX(FactorTable!$B$2:$Y$301, MATCH(ROUND(MIN(300,MAX(1,D2024)),0), FactorTable!$A$2:$A$301,0), Skills!M21+1)</f>
        <v/>
      </c>
      <c r="F2024">
        <f>IF(Skills!N21=TRUE,(Skills!L21/10)*(E2024/1000),Skills!L21/10)+Skills!O21</f>
        <v/>
      </c>
      <c r="G2024">
        <f>Skills!G21*IF(Skills!H21&gt;0,Skills!I21/Skills!H21,1)</f>
        <v/>
      </c>
      <c r="H2024">
        <f>1-(1-Skills!J21/100)^Skills!K21</f>
        <v/>
      </c>
      <c r="I2024" t="inlineStr">
        <is>
          <t>1</t>
        </is>
      </c>
      <c r="J2024" t="inlineStr"/>
      <c r="K2024" t="inlineStr"/>
      <c r="L2024" t="inlineStr"/>
      <c r="M2024" t="inlineStr"/>
      <c r="N2024" t="inlineStr"/>
      <c r="O2024">
        <f>(1-Summary!$B$11)*T2024+Summary!$B$11*V2024</f>
        <v/>
      </c>
      <c r="P2024">
        <f>IF(B2042=0,0,O2024/B2042)</f>
        <v/>
      </c>
      <c r="Q2024" t="n">
        <v>0</v>
      </c>
      <c r="R2024" t="n">
        <v>0</v>
      </c>
      <c r="S2024">
        <f>IFERROR(O2024/N2024,0)</f>
        <v/>
      </c>
      <c r="T2024" t="n">
        <v>0</v>
      </c>
      <c r="V2024" t="n">
        <v>0</v>
      </c>
    </row>
    <row r="2025">
      <c r="A2025">
        <f>Skills!A22</f>
        <v/>
      </c>
      <c r="B2025">
        <f>Skills!B22</f>
        <v/>
      </c>
      <c r="C2025">
        <f>Inputs!$B$3&gt;=43</f>
        <v/>
      </c>
      <c r="D2025">
        <f>IF(Skills!C22=1,60+Inputs!$B$25+Inputs!$B$29,IF(Skills!C22=2,90+Inputs!$B$26+Inputs!$B$29,IF(Skills!C22=3,120+Inputs!$B$27+Inputs!$B$29,MAX(0,(Inputs!$B$3-100)*3)+Inputs!$B$28+Inputs!$B$29)))</f>
        <v/>
      </c>
      <c r="E2025">
        <f>INDEX(FactorTable!$B$2:$Y$301, MATCH(ROUND(MIN(300,MAX(1,D2025)),0), FactorTable!$A$2:$A$301,0), Skills!M22+1)</f>
        <v/>
      </c>
      <c r="F2025">
        <f>IF(Skills!N22=TRUE,(Skills!L22/10)*(E2025/1000),Skills!L22/10)+Skills!O22</f>
        <v/>
      </c>
      <c r="G2025">
        <f>Skills!G22*IF(Skills!H22&gt;0,Skills!I22/Skills!H22,1)</f>
        <v/>
      </c>
      <c r="H2025">
        <f>1-(1-Skills!J22/100)^Skills!K22</f>
        <v/>
      </c>
      <c r="I2025" t="inlineStr">
        <is>
          <t>1</t>
        </is>
      </c>
      <c r="J2025" t="inlineStr"/>
      <c r="K2025" t="inlineStr"/>
      <c r="L2025" t="inlineStr"/>
      <c r="M2025" t="inlineStr"/>
      <c r="N2025" t="inlineStr"/>
      <c r="O2025">
        <f>(1-Summary!$B$11)*T2025+Summary!$B$11*V2025</f>
        <v/>
      </c>
      <c r="P2025">
        <f>IF(B2042=0,0,O2025/B2042)</f>
        <v/>
      </c>
      <c r="Q2025" t="n">
        <v>0</v>
      </c>
      <c r="R2025" t="n">
        <v>0</v>
      </c>
      <c r="S2025">
        <f>IFERROR(O2025/N2025,0)</f>
        <v/>
      </c>
      <c r="T2025" t="n">
        <v>0</v>
      </c>
      <c r="V2025" t="n">
        <v>0</v>
      </c>
    </row>
    <row r="2026">
      <c r="A2026">
        <f>Skills!A23</f>
        <v/>
      </c>
      <c r="B2026">
        <f>Skills!B23</f>
        <v/>
      </c>
      <c r="C2026">
        <f>Inputs!$B$3&gt;=120</f>
        <v/>
      </c>
      <c r="D2026">
        <f>IF(Skills!C23=1,60+Inputs!$B$25+Inputs!$B$29,IF(Skills!C23=2,90+Inputs!$B$26+Inputs!$B$29,IF(Skills!C23=3,120+Inputs!$B$27+Inputs!$B$29,MAX(0,(Inputs!$B$3-100)*3)+Inputs!$B$28+Inputs!$B$29)))</f>
        <v/>
      </c>
      <c r="E2026">
        <f>INDEX(FactorTable!$B$2:$Y$301, MATCH(ROUND(MIN(300,MAX(1,D2026)),0), FactorTable!$A$2:$A$301,0), Skills!M23+1)</f>
        <v/>
      </c>
      <c r="F2026">
        <f>IF(Skills!N23=TRUE,(Skills!L23/10)*(E2026/1000),Skills!L23/10)+Skills!O23</f>
        <v/>
      </c>
      <c r="G2026">
        <f>Skills!G23*IF(Skills!H23&gt;0,Skills!I23/Skills!H23,1)</f>
        <v/>
      </c>
      <c r="H2026">
        <f>1-(1-Skills!J23/100)^Skills!K23</f>
        <v/>
      </c>
      <c r="I2026" t="inlineStr">
        <is>
          <t>1</t>
        </is>
      </c>
      <c r="J2026" t="inlineStr"/>
      <c r="K2026" t="inlineStr"/>
      <c r="L2026" t="inlineStr"/>
      <c r="M2026" t="inlineStr"/>
      <c r="N2026" t="inlineStr"/>
      <c r="O2026">
        <f>(1-Summary!$B$11)*T2026+Summary!$B$11*V2026</f>
        <v/>
      </c>
      <c r="P2026">
        <f>IF(B2042=0,0,O2026/B2042)</f>
        <v/>
      </c>
      <c r="Q2026" t="n">
        <v>0</v>
      </c>
      <c r="R2026" t="n">
        <v>0</v>
      </c>
      <c r="S2026">
        <f>IFERROR(O2026/N2026,0)</f>
        <v/>
      </c>
      <c r="T2026" t="n">
        <v>0</v>
      </c>
      <c r="V2026" t="n">
        <v>0</v>
      </c>
    </row>
    <row r="2027">
      <c r="A2027">
        <f>Skills!A24</f>
        <v/>
      </c>
      <c r="B2027">
        <f>Skills!B24</f>
        <v/>
      </c>
      <c r="C2027">
        <f>Inputs!$B$3&gt;=120</f>
        <v/>
      </c>
      <c r="D2027">
        <f>IF(Skills!C24=1,60+Inputs!$B$25+Inputs!$B$29,IF(Skills!C24=2,90+Inputs!$B$26+Inputs!$B$29,IF(Skills!C24=3,120+Inputs!$B$27+Inputs!$B$29,MAX(0,(Inputs!$B$3-100)*3)+Inputs!$B$28+Inputs!$B$29)))</f>
        <v/>
      </c>
      <c r="E2027">
        <f>INDEX(FactorTable!$B$2:$Y$301, MATCH(ROUND(MIN(300,MAX(1,D2027)),0), FactorTable!$A$2:$A$301,0), Skills!M24+1)</f>
        <v/>
      </c>
      <c r="F2027">
        <f>IF(Skills!N24=TRUE,(Skills!L24/10)*(E2027/1000),Skills!L24/10)+Skills!O24</f>
        <v/>
      </c>
      <c r="G2027">
        <f>Skills!G24*IF(Skills!H24&gt;0,Skills!I24/Skills!H24,1)</f>
        <v/>
      </c>
      <c r="H2027">
        <f>1-(1-Skills!J24/100)^Skills!K24</f>
        <v/>
      </c>
      <c r="I2027" t="inlineStr">
        <is>
          <t>1</t>
        </is>
      </c>
      <c r="J2027" t="inlineStr"/>
      <c r="K2027" t="inlineStr"/>
      <c r="L2027" t="inlineStr"/>
      <c r="M2027" t="inlineStr"/>
      <c r="N2027" t="inlineStr"/>
      <c r="O2027">
        <f>(1-Summary!$B$11)*T2027+Summary!$B$11*V2027</f>
        <v/>
      </c>
      <c r="P2027">
        <f>IF(B2042=0,0,O2027/B2042)</f>
        <v/>
      </c>
      <c r="Q2027" t="n">
        <v>0</v>
      </c>
      <c r="R2027" t="n">
        <v>0</v>
      </c>
      <c r="S2027">
        <f>IFERROR(O2027/N2027,0)</f>
        <v/>
      </c>
      <c r="T2027" t="n">
        <v>0</v>
      </c>
      <c r="V2027" t="n">
        <v>0</v>
      </c>
    </row>
    <row r="2028">
      <c r="A2028">
        <f>Skills!A25</f>
        <v/>
      </c>
      <c r="B2028">
        <f>Skills!B25</f>
        <v/>
      </c>
      <c r="C2028">
        <f>Inputs!$B$3&gt;=125</f>
        <v/>
      </c>
      <c r="D2028">
        <f>IF(Skills!C25=1,60+Inputs!$B$25+Inputs!$B$29,IF(Skills!C25=2,90+Inputs!$B$26+Inputs!$B$29,IF(Skills!C25=3,120+Inputs!$B$27+Inputs!$B$29,MAX(0,(Inputs!$B$3-100)*3)+Inputs!$B$28+Inputs!$B$29)))</f>
        <v/>
      </c>
      <c r="E2028">
        <f>INDEX(FactorTable!$B$2:$Y$301, MATCH(ROUND(MIN(300,MAX(1,D2028)),0), FactorTable!$A$2:$A$301,0), Skills!M25+1)</f>
        <v/>
      </c>
      <c r="F2028">
        <f>IF(Skills!N25=TRUE,(Skills!L25/10)*(E2028/1000),Skills!L25/10)+Skills!O25</f>
        <v/>
      </c>
      <c r="G2028">
        <f>Skills!G25*IF(Skills!H25&gt;0,Skills!I25/Skills!H25,1)</f>
        <v/>
      </c>
      <c r="H2028">
        <f>1-(1-Skills!J25/100)^Skills!K25</f>
        <v/>
      </c>
      <c r="I2028" t="inlineStr">
        <is>
          <t>1</t>
        </is>
      </c>
      <c r="J2028" t="inlineStr"/>
      <c r="K2028" t="inlineStr"/>
      <c r="L2028" t="inlineStr"/>
      <c r="M2028" t="inlineStr"/>
      <c r="N2028" t="inlineStr"/>
      <c r="O2028">
        <f>(1-Summary!$B$11)*T2028+Summary!$B$11*V2028</f>
        <v/>
      </c>
      <c r="P2028">
        <f>IF(B2042=0,0,O2028/B2042)</f>
        <v/>
      </c>
      <c r="Q2028" t="n">
        <v>0</v>
      </c>
      <c r="R2028" t="n">
        <v>0</v>
      </c>
      <c r="S2028">
        <f>IFERROR(O2028/N2028,0)</f>
        <v/>
      </c>
      <c r="T2028" t="n">
        <v>0</v>
      </c>
      <c r="V2028" t="n">
        <v>0</v>
      </c>
    </row>
    <row r="2029">
      <c r="A2029">
        <f>Skills!A26</f>
        <v/>
      </c>
      <c r="B2029">
        <f>Skills!B26</f>
        <v/>
      </c>
      <c r="C2029">
        <f>Inputs!$B$3&gt;=72</f>
        <v/>
      </c>
      <c r="D2029">
        <f>IF(Skills!C26=1,60+Inputs!$B$25+Inputs!$B$29,IF(Skills!C26=2,90+Inputs!$B$26+Inputs!$B$29,IF(Skills!C26=3,120+Inputs!$B$27+Inputs!$B$29,MAX(0,(Inputs!$B$3-100)*3)+Inputs!$B$28+Inputs!$B$29)))</f>
        <v/>
      </c>
      <c r="E2029">
        <f>INDEX(FactorTable!$B$2:$Y$301, MATCH(ROUND(MIN(300,MAX(1,D2029)),0), FactorTable!$A$2:$A$301,0), Skills!M26+1)</f>
        <v/>
      </c>
      <c r="F2029">
        <f>IF(Skills!N26=TRUE,(Skills!L26/10)*(E2029/1000),Skills!L26/10)+Skills!O26</f>
        <v/>
      </c>
      <c r="G2029">
        <f>Skills!G26*IF(Skills!H26&gt;0,Skills!I26/Skills!H26,1)</f>
        <v/>
      </c>
      <c r="H2029">
        <f>1-(1-Skills!J26/100)^Skills!K26</f>
        <v/>
      </c>
      <c r="I2029" t="inlineStr">
        <is>
          <t>1</t>
        </is>
      </c>
      <c r="J2029" t="inlineStr"/>
      <c r="K2029" t="inlineStr"/>
      <c r="L2029" t="inlineStr"/>
      <c r="M2029" t="inlineStr"/>
      <c r="N2029" t="inlineStr"/>
      <c r="O2029">
        <f>(1-Summary!$B$11)*T2029+Summary!$B$11*V2029</f>
        <v/>
      </c>
      <c r="P2029">
        <f>IF(B2042=0,0,O2029/B2042)</f>
        <v/>
      </c>
      <c r="Q2029" t="n">
        <v>0</v>
      </c>
      <c r="R2029" t="n">
        <v>0</v>
      </c>
      <c r="S2029">
        <f>IFERROR(O2029/N2029,0)</f>
        <v/>
      </c>
      <c r="T2029" t="n">
        <v>0</v>
      </c>
      <c r="V2029" t="n">
        <v>0</v>
      </c>
    </row>
    <row r="2031">
      <c r="A2031" t="inlineStr">
        <is>
          <t>Attack% Bucket Multiplier</t>
        </is>
      </c>
      <c r="B2031">
        <f>(1+(((C2016=TRUE)*F2016*IF(Inputs!$B$3&gt;=110,7,5))+((C2018=TRUE)*F2018*IF(AND(Inputs!$B$38&lt;&gt;"pvp",Inputs!$B$43&gt;0),(((R2018-1)*(Skills!T15*(1+(Inputs!$B$34+(ArtifactsInput!$M$7-ArtifactsInput!$M$7)*CHOOSE(ArtifactsInput!$N$7+1,6,7.2,8.4,9.6,10.8,12))/100))+MIN((Skills!T15*(1+(Inputs!$B$34+(ArtifactsInput!$M$7-ArtifactsInput!$M$7)*CHOOSE(ArtifactsInput!$N$7+1,6,7.2,8.4,9.6,10.8,12))/100)),MAX(0,Inputs!$B$43-((R2018-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32">
      <c r="A2032" t="inlineStr">
        <is>
          <t>Global Crit Rate Bonus %</t>
        </is>
      </c>
      <c r="B2032" t="n">
        <v>0</v>
      </c>
    </row>
    <row r="2033">
      <c r="A2033" t="inlineStr">
        <is>
          <t>Attack Speed Buff Bonus %</t>
        </is>
      </c>
      <c r="B2033">
        <f>((C2022=TRUE)*F2022*IF(AND(Inputs!$B$38&lt;&gt;"pvp",Inputs!$B$43&gt;0),(((R2022-1)*(Skills!T19*(1+(Inputs!$B$34+(ArtifactsInput!$M$7-ArtifactsInput!$M$7)*CHOOSE(ArtifactsInput!$N$7+1,6,7.2,8.4,9.6,10.8,12))/100))+MIN((Skills!T19*(1+(Inputs!$B$34+(ArtifactsInput!$M$7-ArtifactsInput!$M$7)*CHOOSE(ArtifactsInput!$N$7+1,6,7.2,8.4,9.6,10.8,12))/100)),MAX(0,Inputs!$B$43-((R2022-1)*Skills!D19))))/Inputs!$B$43),IF(Inputs!$B$38="pvp",MIN((Skills!T19*(1+(Inputs!$B$34+(ArtifactsInput!$M$7-ArtifactsInput!$M$7)*CHOOSE(ArtifactsInput!$N$7+1,6,7.2,8.4,9.6,10.8,12))/100)),15)/15,(Skills!T19*(1+(Inputs!$B$34+(ArtifactsInput!$M$7-ArtifactsInput!$M$7)*CHOOSE(ArtifactsInput!$N$7+1,6,7.2,8.4,9.6,10.8,12))/100))/Skills!D19)))</f>
        <v/>
      </c>
    </row>
    <row r="2034">
      <c r="A2034" t="inlineStr">
        <is>
          <t>Actions Per Second</t>
        </is>
      </c>
      <c r="B2034">
        <f>1+MIN(150,150*(1-(1-(Inputs!$B$11+((C2023=TRUE)*(F2023-Calc!F20)))/150)*(1-B2033/150)))/100</f>
        <v/>
      </c>
    </row>
    <row r="2035">
      <c r="A2035" t="inlineStr">
        <is>
          <t>Skill + Buff Cast Rate</t>
        </is>
      </c>
      <c r="B2035">
        <f>IF(AND(Inputs!$B$38&lt;&gt;"pvp",Inputs!$B$43&gt;0),SUMPRODUCT((Skills!E2:E26=TRUE)*(C2005:C2029=TRUE)*R2005:R2029*Skills!F2:F26)/Inputs!$B$43,SUMPRODUCT((Skills!E2:E26=TRUE)*(C2005:C2029=TRUE)*Q2005:Q2029*Skills!F2:F26))</f>
        <v/>
      </c>
    </row>
    <row r="2036">
      <c r="A2036" t="inlineStr">
        <is>
          <t>Raging Blow Casts Per Second</t>
        </is>
      </c>
      <c r="B2036">
        <f>MAX(0,B2034-B2035)</f>
        <v/>
      </c>
    </row>
    <row r="2037">
      <c r="A2037" t="inlineStr">
        <is>
          <t>Global Critical Damage Bonus % (Enrage)</t>
        </is>
      </c>
      <c r="B2037">
        <f>((C2021=TRUE)*F2021*IF(AND(Inputs!$B$38&lt;&gt;"pvp",Inputs!$B$43&gt;0),(((R2021-1)*(Skills!T18*(1+(Inputs!$B$34+(ArtifactsInput!$M$7-ArtifactsInput!$M$7)*CHOOSE(ArtifactsInput!$N$7+1,6,7.2,8.4,9.6,10.8,12))/100))+MIN((Skills!T18*(1+(Inputs!$B$34+(ArtifactsInput!$M$7-ArtifactsInput!$M$7)*CHOOSE(ArtifactsInput!$N$7+1,6,7.2,8.4,9.6,10.8,12))/100)),MAX(0,Inputs!$B$43-((R2021-1)*Skills!D18))))/Inputs!$B$43),IF(Inputs!$B$38="pvp",MIN((Skills!T18*(1+(Inputs!$B$34+(ArtifactsInput!$M$7-ArtifactsInput!$M$7)*CHOOSE(ArtifactsInput!$N$7+1,6,7.2,8.4,9.6,10.8,12))/100)),15)/15,(Skills!T18*(1+(Inputs!$B$34+(ArtifactsInput!$M$7-ArtifactsInput!$M$7)*CHOOSE(ArtifactsInput!$N$7+1,6,7.2,8.4,9.6,10.8,12))/100))/Skills!D18)))</f>
        <v/>
      </c>
    </row>
    <row r="2038">
      <c r="A2038" t="inlineStr">
        <is>
          <t>Global Final Damage Bonus % (Enrage + Combo Synergy)</t>
        </is>
      </c>
      <c r="B2038">
        <f>((C2020=TRUE)*F2020*IF(AND(Inputs!$B$38&lt;&gt;"pvp",Inputs!$B$43&gt;0),(((R2020-1)*(Skills!T17*(1+(Inputs!$B$34+(ArtifactsInput!$M$7-ArtifactsInput!$M$7)*CHOOSE(ArtifactsInput!$N$7+1,6,7.2,8.4,9.6,10.8,12))/100))+MIN((Skills!T17*(1+(Inputs!$B$34+(ArtifactsInput!$M$7-ArtifactsInput!$M$7)*CHOOSE(ArtifactsInput!$N$7+1,6,7.2,8.4,9.6,10.8,12))/100)),MAX(0,Inputs!$B$43-((R2020-1)*Skills!D17))))/Inputs!$B$43),IF(Inputs!$B$38="pvp",MIN((Skills!T17*(1+(Inputs!$B$34+(ArtifactsInput!$M$7-ArtifactsInput!$M$7)*CHOOSE(ArtifactsInput!$N$7+1,6,7.2,8.4,9.6,10.8,12))/100)),15)/15,(Skills!T17*(1+(Inputs!$B$34+(ArtifactsInput!$M$7-ArtifactsInput!$M$7)*CHOOSE(ArtifactsInput!$N$7+1,6,7.2,8.4,9.6,10.8,12))/100))/Skills!D17)))+((C2017=TRUE)*F2017*IF(Inputs!$B$3&gt;=110,7,5))</f>
        <v/>
      </c>
    </row>
    <row r="2039">
      <c r="A2039" t="inlineStr">
        <is>
          <t>Buff-Casting Startup Delay (s, fixed-duration only)</t>
        </is>
      </c>
      <c r="B2039">
        <f>IF(AND(Inputs!$B$38&lt;&gt;"pvp",Inputs!$B$43&gt;0),SUMPRODUCT((Skills!T2:T26&gt;0)*(Skills!E2:E26=TRUE)*(C2005:C2029=TRUE))/B2034,0)</f>
        <v/>
      </c>
    </row>
    <row r="2040">
      <c r="A2040" t="inlineStr">
        <is>
          <t>Boss-Only Total DPS (this block's swept value)</t>
        </is>
      </c>
      <c r="B2040">
        <f>SUM(T2005:T2029)</f>
        <v/>
      </c>
    </row>
    <row r="2041">
      <c r="A2041" t="inlineStr">
        <is>
          <t>Normal-Only Total DPS (this block's swept value)</t>
        </is>
      </c>
      <c r="B2041">
        <f>SUM(V2005:V2029)</f>
        <v/>
      </c>
    </row>
    <row r="2042">
      <c r="A2042" s="6" t="inlineStr">
        <is>
          <t>TOTAL DPS</t>
        </is>
      </c>
      <c r="B2042" s="6">
        <f>SUM(O2005:O2029)</f>
        <v/>
      </c>
    </row>
    <row r="2045">
      <c r="A2045" s="6" t="inlineStr">
        <is>
          <t>Stat: Lit Lamp (Equip)</t>
        </is>
      </c>
    </row>
    <row r="2046">
      <c r="A2046" s="5" t="inlineStr">
        <is>
          <t>Key</t>
        </is>
      </c>
      <c r="B2046" s="5" t="inlineStr">
        <is>
          <t>Name</t>
        </is>
      </c>
      <c r="C2046" s="5" t="inlineStr">
        <is>
          <t>Unlocked</t>
        </is>
      </c>
      <c r="D2046" s="5" t="inlineStr">
        <is>
          <t>InputLevel</t>
        </is>
      </c>
      <c r="E2046" s="5" t="inlineStr">
        <is>
          <t>Factor</t>
        </is>
      </c>
      <c r="F2046" s="5" t="inlineStr">
        <is>
          <t>CoefficientPercent</t>
        </is>
      </c>
      <c r="G2046" s="5" t="inlineStr">
        <is>
          <t>EffectiveHits</t>
        </is>
      </c>
      <c r="H2046" s="5" t="inlineStr">
        <is>
          <t>ProcProbability</t>
        </is>
      </c>
      <c r="I2046" s="5" t="inlineStr">
        <is>
          <t>MapleHeroMultiplier</t>
        </is>
      </c>
      <c r="J2046" s="5" t="inlineStr">
        <is>
          <t>BaseDamage</t>
        </is>
      </c>
      <c r="K2046" s="5" t="inlineStr">
        <is>
          <t>BaseHitDamage</t>
        </is>
      </c>
      <c r="L2046" s="5" t="inlineStr">
        <is>
          <t>NonCritAvg</t>
        </is>
      </c>
      <c r="M2046" s="5" t="inlineStr">
        <is>
          <t>CritAvg</t>
        </is>
      </c>
      <c r="N2046" s="5" t="inlineStr">
        <is>
          <t>ExpectedDamage(perHit)</t>
        </is>
      </c>
      <c r="O2046" s="5" t="inlineStr">
        <is>
          <t>DPS</t>
        </is>
      </c>
      <c r="P2046" s="5" t="inlineStr">
        <is>
          <t>% of Total</t>
        </is>
      </c>
      <c r="Q2046" s="5" t="inlineStr">
        <is>
          <t>InvCooldown</t>
        </is>
      </c>
      <c r="R2046" s="5" t="inlineStr">
        <is>
          <t>CastsInFight</t>
        </is>
      </c>
      <c r="S2046" s="5" t="inlineStr">
        <is>
          <t>HitRate(perSec)</t>
        </is>
      </c>
      <c r="U2046" t="inlineStr">
        <is>
          <t>helpers</t>
        </is>
      </c>
    </row>
    <row r="2047">
      <c r="A2047">
        <f>Skills!A2</f>
        <v/>
      </c>
      <c r="B2047">
        <f>Skills!B2</f>
        <v/>
      </c>
      <c r="C2047">
        <f>Inputs!$B$3&gt;=100</f>
        <v/>
      </c>
      <c r="D2047" t="inlineStr"/>
      <c r="E2047" t="inlineStr"/>
      <c r="F2047">
        <f>U2049+Skills!O2</f>
        <v/>
      </c>
      <c r="G2047">
        <f>Skills!G2*IF(Skills!H2&gt;0,Skills!I2/Skills!H2,1)</f>
        <v/>
      </c>
      <c r="H2047">
        <f>1-(1-Skills!J2/100)^Skills!K2</f>
        <v/>
      </c>
      <c r="I2047" t="inlineStr">
        <is>
          <t>1</t>
        </is>
      </c>
      <c r="J2047">
        <f>((Inputs!$B$6*(1+Inputs!$B$7/100))+(((Inputs!$B$12*(1+Inputs!$B$13/100))-(Inputs!$B$12*(1+Inputs!$B$13/100)))+0.25*(Inputs!$B$14-Inputs!$B$14))*(1+Inputs!$B$7/100))*(F2047/100)</f>
        <v/>
      </c>
      <c r="K2047">
        <f>J2047*(1+((Inputs!$B$12*(1+Inputs!$B$13/100))*0.01+Inputs!$B$14*0.0025)/100)*(1+Inputs!$B$15/100)*(1+Inputs!$B$16/100)*(5000/(6000+Inputs!$B$42*(1-(100*(1-(1-(Inputs!$B$19+0)/100)*(1-CHOOSE(ArtifactsInput!$N$40+1,5,6,7,8,9,10)/100)^(ArtifactsInput!$M$40-ArtifactsInput!$M$40)))/100)))*(1+(Inputs!$B$24+((C2070=TRUE)*(F2070-Calc!F25))+B2080)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2066=TRUE)*(F2066-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2068=TRUE)*(F2068-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2058=TRUE)*F2058*IF(Inputs!$B$3&gt;=110,7,5))+((C2060=TRUE)*F2060*IF(AND(Inputs!$B$38&lt;&gt;"pvp",Inputs!$B$43&gt;0),(((R2060-1)*(Skills!T15*(1+(Inputs!$B$34+(ArtifactsInput!$M$7-ArtifactsInput!$M$7)*CHOOSE(ArtifactsInput!$N$7+1,6,7.2,8.4,9.6,10.8,12))/100))+MIN((Skills!T15*(1+(Inputs!$B$34+(ArtifactsInput!$M$7-ArtifactsInput!$M$7)*CHOOSE(ArtifactsInput!$N$7+1,6,7.2,8.4,9.6,10.8,12))/100)),MAX(0,Inputs!$B$43-((R2060-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Hunt"),CHOOSE(ArtifactsInput!$N$35+1,15,18,21,24,27,30)*(1-EXP(-(0.2*B2076)*5)),0)+IF(AND(ArtifactsInput!$M$22,Inputs!$B$4&lt;&gt;"Chapter Hunt"),CHOOSE(ArtifactsInput!$N$22+1,10,12,14,16,18,20)*((0*(((0.15*B2076*5))^0/1)+1*(((0.15*B2076*5))^1/1)+2*(((0.15*B2076*5))^2/2)+3*(((0.15*B2076*5))^3/6)+4*(((0.15*B2076*5))^4/24)+5*(((0.15*B2076*5))^5/120))/((((0.15*B2076*5))^0/1)+(((0.15*B2076*5))^1/1)+(((0.15*B2076*5))^2/2)+(((0.15*B2076*5))^3/6)+(((0.15*B2076*5))^4/24)+(((0.15*B2076*5))^5/120))),0)))/100)*I2047)</f>
        <v/>
      </c>
      <c r="L2047">
        <f>K2047*(MIN(Inputs!$B$22+((C2067=TRUE)*(F2067-Calc!F22)),(Inputs!$B$23+((C2069=TRUE)*(F2069-Calc!F24))+(IF(ArtifactsInput!$M$15,CHOOSE(ArtifactsInput!$N$15+1,25,30,35,40,45,50)/100*(Inputs!$B$11-Inputs!$B$11),0))))/100+(Inputs!$B$23+((C2069=TRUE)*(F2069-Calc!F24))+(IF(ArtifactsInput!$M$15,CHOOSE(ArtifactsInput!$N$15+1,25,30,35,40,45,50)/100*(Inputs!$B$11-Inputs!$B$11),0)))/100)/2</f>
        <v/>
      </c>
      <c r="M2047">
        <f>L2047*(1+(Inputs!$B$10+0+B2079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7">
        <f>L2047*(1-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2047*(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7">
        <f>(1-Summary!$B$11)*T2047+Summary!$B$11*V2047</f>
        <v/>
      </c>
      <c r="P2047">
        <f>IF(B2084=0,0,O2047/B2084)</f>
        <v/>
      </c>
      <c r="Q2047" t="n">
        <v>0</v>
      </c>
      <c r="R2047" t="n">
        <v>0</v>
      </c>
      <c r="S2047">
        <f>IFERROR(O2047/N2047,0)</f>
        <v/>
      </c>
      <c r="T2047">
        <f>IF(C2047,(Skills!G2*N2047*B2078)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2047*(1-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2047*(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2047*(1-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2047*(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47">
        <f>MAX(0,(Inputs!$B$3-100)*3)+Inputs!$B$28+Inputs!$B$29</f>
        <v/>
      </c>
      <c r="V2047">
        <f>IF(C2047,(Skills!G2*N2047*B2078)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8">
      <c r="A2048">
        <f>Skills!A3</f>
        <v/>
      </c>
      <c r="B2048">
        <f>Skills!B3</f>
        <v/>
      </c>
      <c r="C2048">
        <f>Inputs!$B$3&gt;=50</f>
        <v/>
      </c>
      <c r="D2048">
        <f>IF(Skills!C3=1,60+Inputs!$B$25+Inputs!$B$29,IF(Skills!C3=2,90+Inputs!$B$26+Inputs!$B$29,IF(Skills!C3=3,120+Inputs!$B$27+Inputs!$B$29,MAX(0,(Inputs!$B$3-100)*3)+Inputs!$B$28+Inputs!$B$29)))</f>
        <v/>
      </c>
      <c r="E2048">
        <f>INDEX(FactorTable!$B$2:$Y$301, MATCH(ROUND(MIN(300,MAX(1,D2048)),0), FactorTable!$A$2:$A$301,0), Skills!M3+1)</f>
        <v/>
      </c>
      <c r="F2048">
        <f>IF(Skills!N3=TRUE,(Skills!L3/10)*(E2048/1000),Skills!L3/10)+Skills!O3</f>
        <v/>
      </c>
      <c r="G2048" t="inlineStr"/>
      <c r="H2048" t="inlineStr"/>
      <c r="I2048" t="inlineStr">
        <is>
          <t>1</t>
        </is>
      </c>
      <c r="J2048" t="inlineStr"/>
      <c r="K2048" t="inlineStr"/>
      <c r="L2048" t="inlineStr"/>
      <c r="M2048" t="inlineStr"/>
      <c r="N2048" t="inlineStr"/>
      <c r="O2048" t="inlineStr"/>
      <c r="P2048" t="inlineStr"/>
      <c r="Q2048" t="inlineStr"/>
      <c r="R2048" t="inlineStr"/>
      <c r="S2048" t="inlineStr"/>
      <c r="U2048">
        <f>INDEX(FactorTable!$B$2:$Y$301, MATCH(ROUND(MIN(300,MAX(1,U2047)),0), FactorTable!$A$2:$A$301,0), 22)</f>
        <v/>
      </c>
    </row>
    <row r="2049">
      <c r="A2049">
        <f>Skills!A4</f>
        <v/>
      </c>
      <c r="B2049">
        <f>Skills!B4</f>
        <v/>
      </c>
      <c r="C2049">
        <f>Inputs!$B$3&gt;=105</f>
        <v/>
      </c>
      <c r="D2049">
        <f>IF(Skills!C4=1,60+Inputs!$B$25+Inputs!$B$29,IF(Skills!C4=2,90+Inputs!$B$26+Inputs!$B$29,IF(Skills!C4=3,120+Inputs!$B$27+Inputs!$B$29,MAX(0,(Inputs!$B$3-100)*3)+Inputs!$B$28+Inputs!$B$29)))</f>
        <v/>
      </c>
      <c r="E2049">
        <f>INDEX(FactorTable!$B$2:$Y$301, MATCH(ROUND(MIN(300,MAX(1,D2049)),0), FactorTable!$A$2:$A$301,0), Skills!M4+1)</f>
        <v/>
      </c>
      <c r="F2049">
        <f>IF(Skills!N4=TRUE,(Skills!L4/10)*(E2049/1000),Skills!L4/10)+Skills!O4</f>
        <v/>
      </c>
      <c r="G2049" t="inlineStr"/>
      <c r="H2049" t="inlineStr"/>
      <c r="I2049" t="inlineStr">
        <is>
          <t>1</t>
        </is>
      </c>
      <c r="J2049" t="inlineStr"/>
      <c r="K2049" t="inlineStr"/>
      <c r="L2049" t="inlineStr"/>
      <c r="M2049" t="inlineStr"/>
      <c r="N2049" t="inlineStr"/>
      <c r="O2049" t="inlineStr"/>
      <c r="P2049" t="inlineStr"/>
      <c r="Q2049" t="inlineStr"/>
      <c r="R2049" t="inlineStr"/>
      <c r="S2049" t="inlineStr"/>
      <c r="U2049">
        <f>290*U2048/1000</f>
        <v/>
      </c>
    </row>
    <row r="2050">
      <c r="A2050">
        <f>Skills!A5</f>
        <v/>
      </c>
      <c r="B2050">
        <f>Skills!B5</f>
        <v/>
      </c>
      <c r="C2050">
        <f>Inputs!$B$3&gt;=103</f>
        <v/>
      </c>
      <c r="D2050">
        <f>IF(Skills!C5=1,60+Inputs!$B$25+Inputs!$B$29,IF(Skills!C5=2,90+Inputs!$B$26+Inputs!$B$29,IF(Skills!C5=3,120+Inputs!$B$27+Inputs!$B$29,MAX(0,(Inputs!$B$3-100)*3)+Inputs!$B$28+Inputs!$B$29)))</f>
        <v/>
      </c>
      <c r="E2050">
        <f>INDEX(FactorTable!$B$2:$Y$301, MATCH(ROUND(MIN(300,MAX(1,D2050)),0), FactorTable!$A$2:$A$301,0), Skills!M5+1)</f>
        <v/>
      </c>
      <c r="F2050">
        <f>IF(Skills!N5=TRUE,(Skills!L5/10)*(E2050/1000),Skills!L5/10)+Skills!O5</f>
        <v/>
      </c>
      <c r="G2050">
        <f>Skills!G5*IF(Skills!H5&gt;0,Skills!I5/Skills!H5,1)</f>
        <v/>
      </c>
      <c r="H2050">
        <f>1-(1-Skills!J5/100)^Skills!K5</f>
        <v/>
      </c>
      <c r="I2050" t="inlineStr">
        <is>
          <t>1</t>
        </is>
      </c>
      <c r="J2050">
        <f>((Inputs!$B$6*(1+Inputs!$B$7/100))+(((Inputs!$B$12*(1+Inputs!$B$13/100))-(Inputs!$B$12*(1+Inputs!$B$13/100)))+0.25*(Inputs!$B$14-Inputs!$B$14))*(1+Inputs!$B$7/100))*(F2050/100)</f>
        <v/>
      </c>
      <c r="K2050">
        <f>J2050*(1+((Inputs!$B$12*(1+Inputs!$B$13/100))*0.01+Inputs!$B$14*0.0025)/100)*(1+Inputs!$B$15/100)*(1+Inputs!$B$16/100)*(5000/(6000+Inputs!$B$42*(1-(100*(1-(1-(Inputs!$B$19+0)/100)*(1-CHOOSE(ArtifactsInput!$N$40+1,5,6,7,8,9,10)/100)^(ArtifactsInput!$M$40-ArtifactsInput!$M$40)))/100)))*(1+(Inputs!$B$24+((C2070=TRUE)*(F2070-Calc!F25))+B2080)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2066=TRUE)*(F2066-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2068=TRUE)*(F2068-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2058=TRUE)*F2058*IF(Inputs!$B$3&gt;=110,7,5))+((C2060=TRUE)*F2060*IF(AND(Inputs!$B$38&lt;&gt;"pvp",Inputs!$B$43&gt;0),(((R2060-1)*(Skills!T15*(1+(Inputs!$B$34+(ArtifactsInput!$M$7-ArtifactsInput!$M$7)*CHOOSE(ArtifactsInput!$N$7+1,6,7.2,8.4,9.6,10.8,12))/100))+MIN((Skills!T15*(1+(Inputs!$B$34+(ArtifactsInput!$M$7-ArtifactsInput!$M$7)*CHOOSE(ArtifactsInput!$N$7+1,6,7.2,8.4,9.6,10.8,12))/100)),MAX(0,Inputs!$B$43-((R2060-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Hunt"),CHOOSE(ArtifactsInput!$N$35+1,15,18,21,24,27,30)*(1-EXP(-(0.2*B2076)*5)),0)+IF(AND(ArtifactsInput!$M$22,Inputs!$B$4&lt;&gt;"Chapter Hunt"),CHOOSE(ArtifactsInput!$N$22+1,10,12,14,16,18,20)*((0*(((0.15*B2076*5))^0/1)+1*(((0.15*B2076*5))^1/1)+2*(((0.15*B2076*5))^2/2)+3*(((0.15*B2076*5))^3/6)+4*(((0.15*B2076*5))^4/24)+5*(((0.15*B2076*5))^5/120))/((((0.15*B2076*5))^0/1)+(((0.15*B2076*5))^1/1)+(((0.15*B2076*5))^2/2)+(((0.15*B2076*5))^3/6)+(((0.15*B2076*5))^4/24)+(((0.15*B2076*5))^5/120))),0)))/100)*I2050)</f>
        <v/>
      </c>
      <c r="L2050">
        <f>K2050*(MIN(Inputs!$B$22+((C2067=TRUE)*(F2067-Calc!F22)),(Inputs!$B$23+((C2069=TRUE)*(F2069-Calc!F24))+(IF(ArtifactsInput!$M$15,CHOOSE(ArtifactsInput!$N$15+1,25,30,35,40,45,50)/100*(Inputs!$B$11-Inputs!$B$11),0))))/100+(Inputs!$B$23+((C2069=TRUE)*(F2069-Calc!F24))+(IF(ArtifactsInput!$M$15,CHOOSE(ArtifactsInput!$N$15+1,25,30,35,40,45,50)/100*(Inputs!$B$11-Inputs!$B$11),0)))/100)/2</f>
        <v/>
      </c>
      <c r="M2050">
        <f>L2050*(1+(Inputs!$B$10+0+B2079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0">
        <f>L2050*(1-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2050*(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0">
        <f>(1-Summary!$B$11)*T2050+Summary!$B$11*V2050</f>
        <v/>
      </c>
      <c r="P2050">
        <f>IF(B2084=0,0,O2050/B2084)</f>
        <v/>
      </c>
      <c r="Q2050">
        <f>IFERROR(1/(IF(Inputs!$B$38="pvp",15,MAX(0.1,Skills!D5-IF(Skills!E5=TRUE,Inputs!$B$32,0)))*(1-IF(AND(ArtifactsInput!$M$27,Inputs!$B$4="Chapter Hunt"),CHOOSE(ArtifactsInput!$N$27+1,20,24,28,32,36,40),0)/100)),0)</f>
        <v/>
      </c>
      <c r="R2050">
        <f>IF(AND(Inputs!$B$38&lt;&gt;"pvp",Inputs!$B$43&gt;0),IF(MAX(0,Inputs!$B$43-B2081)&lt;=0,0,(INT(MAX(0,Inputs!$B$43-B2081)/(IF(Inputs!$B$38="pvp",15,MAX(0.1,Skills!D5-IF(Skills!E5=TRUE,Inputs!$B$32,0)))*(1-IF(AND(ArtifactsInput!$M$27,Inputs!$B$4="Chapter Hunt"),CHOOSE(ArtifactsInput!$N$27+1,20,24,28,32,36,40),0)/100)))+1)),0)</f>
        <v/>
      </c>
      <c r="S2050">
        <f>IFERROR(O2050/N2050,0)</f>
        <v/>
      </c>
      <c r="T2050">
        <f>IF(C2050,(H2050*N2050*IF(AND(Inputs!$B$38&lt;&gt;"pvp",Inputs!$B$43&gt;0),((Skills!G5*((R2050-1)*IF(Skills!H5&gt;0,Skills!I5/Skills!H5,1)+IF(Skills!H5&gt;0,MIN(Skills!I5,MAX(0,MAX(0,Inputs!$B$43-B2081)-((R2050-1)*(IF(Inputs!$B$38="pvp",15,MAX(0.1,Skills!D5-IF(Skills!E5=TRUE,Inputs!$B$32,0)))*(1-IF(AND(ArtifactsInput!$M$27,Inputs!$B$4="Chapter Hunt"),CHOOSE(ArtifactsInput!$N$27+1,20,24,28,32,36,40),0)/100)))))/Skills!H5,1)))/Inputs!$B$43),G2050*Q2050)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2050*(1-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2050*(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2050*(1-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2050*(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0">
        <f>IF(C2050,(H2050*N2050*IF(AND(Inputs!$B$38&lt;&gt;"pvp",Inputs!$B$43&gt;0),((Skills!G5*((R2050-1)*IF(Skills!H5&gt;0,Skills!I5/Skills!H5,1)+IF(Skills!H5&gt;0,MIN(Skills!I5,MAX(0,MAX(0,Inputs!$B$43-B2081)-((R2050-1)*(IF(Inputs!$B$38="pvp",15,MAX(0.1,Skills!D5-IF(Skills!E5=TRUE,Inputs!$B$32,0)))*(1-IF(AND(ArtifactsInput!$M$27,Inputs!$B$4="Chapter Hunt"),CHOOSE(ArtifactsInput!$N$27+1,20,24,28,32,36,40),0)/100)))))/Skills!H5,1)))/Inputs!$B$43),G2050*Q2050)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1">
      <c r="A2051">
        <f>Skills!A6</f>
        <v/>
      </c>
      <c r="B2051">
        <f>Skills!B6</f>
        <v/>
      </c>
      <c r="C2051">
        <f>Inputs!$B$3&gt;=103</f>
        <v/>
      </c>
      <c r="D2051">
        <f>IF(Skills!C6=1,60+Inputs!$B$25+Inputs!$B$29,IF(Skills!C6=2,90+Inputs!$B$26+Inputs!$B$29,IF(Skills!C6=3,120+Inputs!$B$27+Inputs!$B$29,MAX(0,(Inputs!$B$3-100)*3)+Inputs!$B$28+Inputs!$B$29)))</f>
        <v/>
      </c>
      <c r="E2051">
        <f>INDEX(FactorTable!$B$2:$Y$301, MATCH(ROUND(MIN(300,MAX(1,D2051)),0), FactorTable!$A$2:$A$301,0), Skills!M6+1)</f>
        <v/>
      </c>
      <c r="F2051">
        <f>IF(Skills!N6=TRUE,(Skills!L6/10)*(E2051/1000),Skills!L6/10)+Skills!O6</f>
        <v/>
      </c>
      <c r="G2051">
        <f>Skills!G6*IF(Skills!H6&gt;0,Skills!I6/Skills!H6,1)</f>
        <v/>
      </c>
      <c r="H2051">
        <f>1-(1-Skills!J6/100)^Skills!K6</f>
        <v/>
      </c>
      <c r="I2051" t="inlineStr">
        <is>
          <t>1</t>
        </is>
      </c>
      <c r="J2051">
        <f>((Inputs!$B$6*(1+Inputs!$B$7/100))+(((Inputs!$B$12*(1+Inputs!$B$13/100))-(Inputs!$B$12*(1+Inputs!$B$13/100)))+0.25*(Inputs!$B$14-Inputs!$B$14))*(1+Inputs!$B$7/100))*(F2051/100)</f>
        <v/>
      </c>
      <c r="K2051">
        <f>J2051*(1+((Inputs!$B$12*(1+Inputs!$B$13/100))*0.01+Inputs!$B$14*0.0025)/100)*(1+Inputs!$B$15/100)*(1+Inputs!$B$16/100)*(5000/(6000+Inputs!$B$42*(1-(100*(1-(1-(Inputs!$B$19+0)/100)*(1-CHOOSE(ArtifactsInput!$N$40+1,5,6,7,8,9,10)/100)^(ArtifactsInput!$M$40-ArtifactsInput!$M$40)))/100)))*(1+(Inputs!$B$24+((C2070=TRUE)*(F2070-Calc!F25))+B2080)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2066=TRUE)*(F2066-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2068=TRUE)*(F2068-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2058=TRUE)*F2058*IF(Inputs!$B$3&gt;=110,7,5))+((C2060=TRUE)*F2060*IF(AND(Inputs!$B$38&lt;&gt;"pvp",Inputs!$B$43&gt;0),(((R2060-1)*(Skills!T15*(1+(Inputs!$B$34+(ArtifactsInput!$M$7-ArtifactsInput!$M$7)*CHOOSE(ArtifactsInput!$N$7+1,6,7.2,8.4,9.6,10.8,12))/100))+MIN((Skills!T15*(1+(Inputs!$B$34+(ArtifactsInput!$M$7-ArtifactsInput!$M$7)*CHOOSE(ArtifactsInput!$N$7+1,6,7.2,8.4,9.6,10.8,12))/100)),MAX(0,Inputs!$B$43-((R2060-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Hunt"),CHOOSE(ArtifactsInput!$N$35+1,15,18,21,24,27,30)*(1-EXP(-(0.2*B2076)*5)),0)+IF(AND(ArtifactsInput!$M$22,Inputs!$B$4&lt;&gt;"Chapter Hunt"),CHOOSE(ArtifactsInput!$N$22+1,10,12,14,16,18,20)*((0*(((0.15*B2076*5))^0/1)+1*(((0.15*B2076*5))^1/1)+2*(((0.15*B2076*5))^2/2)+3*(((0.15*B2076*5))^3/6)+4*(((0.15*B2076*5))^4/24)+5*(((0.15*B2076*5))^5/120))/((((0.15*B2076*5))^0/1)+(((0.15*B2076*5))^1/1)+(((0.15*B2076*5))^2/2)+(((0.15*B2076*5))^3/6)+(((0.15*B2076*5))^4/24)+(((0.15*B2076*5))^5/120))),0)))/100)*I2051)</f>
        <v/>
      </c>
      <c r="L2051">
        <f>K2051*(MIN(Inputs!$B$22+((C2067=TRUE)*(F2067-Calc!F22)),(Inputs!$B$23+((C2069=TRUE)*(F2069-Calc!F24))+(IF(ArtifactsInput!$M$15,CHOOSE(ArtifactsInput!$N$15+1,25,30,35,40,45,50)/100*(Inputs!$B$11-Inputs!$B$11),0))))/100+(Inputs!$B$23+((C2069=TRUE)*(F2069-Calc!F24))+(IF(ArtifactsInput!$M$15,CHOOSE(ArtifactsInput!$N$15+1,25,30,35,40,45,50)/100*(Inputs!$B$11-Inputs!$B$11),0)))/100)/2</f>
        <v/>
      </c>
      <c r="M2051">
        <f>L2051*(1+(Inputs!$B$10+0+B2079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1">
        <f>L2051*(1-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2051*(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1">
        <f>(1-Summary!$B$11)*T2051+Summary!$B$11*V2051</f>
        <v/>
      </c>
      <c r="P2051">
        <f>IF(B2084=0,0,O2051/B2084)</f>
        <v/>
      </c>
      <c r="Q2051">
        <f>IFERROR(1/(IF(Inputs!$B$38="pvp",15,MAX(0.1,Skills!D6-IF(Skills!E6=TRUE,Inputs!$B$32,0)))*(1-IF(AND(ArtifactsInput!$M$27,Inputs!$B$4="Chapter Hunt"),CHOOSE(ArtifactsInput!$N$27+1,20,24,28,32,36,40),0)/100)),0)</f>
        <v/>
      </c>
      <c r="R2051">
        <f>IF(AND(Inputs!$B$38&lt;&gt;"pvp",Inputs!$B$43&gt;0),IF(MAX(0,Inputs!$B$43-B2081)&lt;=0,0,(INT(MAX(0,Inputs!$B$43-B2081)/(IF(Inputs!$B$38="pvp",15,MAX(0.1,Skills!D6-IF(Skills!E6=TRUE,Inputs!$B$32,0)))*(1-IF(AND(ArtifactsInput!$M$27,Inputs!$B$4="Chapter Hunt"),CHOOSE(ArtifactsInput!$N$27+1,20,24,28,32,36,40),0)/100)))+1)),0)</f>
        <v/>
      </c>
      <c r="S2051">
        <f>IFERROR(O2051/N2051,0)</f>
        <v/>
      </c>
      <c r="T2051">
        <f>IF(C2051,(H2051*N2051*IF(AND(Inputs!$B$38&lt;&gt;"pvp",Inputs!$B$43&gt;0),((Skills!G6*((R2051-1)*IF(Skills!H6&gt;0,Skills!I6/Skills!H6,1)+IF(Skills!H6&gt;0,MIN(Skills!I6,MAX(0,MAX(0,Inputs!$B$43-B2081)-((R2051-1)*(IF(Inputs!$B$38="pvp",15,MAX(0.1,Skills!D6-IF(Skills!E6=TRUE,Inputs!$B$32,0)))*(1-IF(AND(ArtifactsInput!$M$27,Inputs!$B$4="Chapter Hunt"),CHOOSE(ArtifactsInput!$N$27+1,20,24,28,32,36,40),0)/100)))))/Skills!H6,1)))/Inputs!$B$43),G2051*Q2051)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2051*(1-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2051*(1-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1">
        <f>IF(C2051,(H2051*N2051*IF(AND(Inputs!$B$38&lt;&gt;"pvp",Inputs!$B$43&gt;0),((Skills!G6*((R2051-1)*IF(Skills!H6&gt;0,Skills!I6/Skills!H6,1)+IF(Skills!H6&gt;0,MIN(Skills!I6,MAX(0,MAX(0,Inputs!$B$43-B2081)-((R2051-1)*(IF(Inputs!$B$38="pvp",15,MAX(0.1,Skills!D6-IF(Skills!E6=TRUE,Inputs!$B$32,0)))*(1-IF(AND(ArtifactsInput!$M$27,Inputs!$B$4="Chapter Hunt"),CHOOSE(ArtifactsInput!$N$27+1,20,24,28,32,36,40),0)/100)))))/Skills!H6,1)))/Inputs!$B$43),G2051*Q2051)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2">
      <c r="A2052">
        <f>Skills!A7</f>
        <v/>
      </c>
      <c r="B2052">
        <f>Skills!B7</f>
        <v/>
      </c>
      <c r="C2052">
        <f>Inputs!$B$3&gt;=107</f>
        <v/>
      </c>
      <c r="D2052">
        <f>IF(Skills!C7=1,60+Inputs!$B$25+Inputs!$B$29,IF(Skills!C7=2,90+Inputs!$B$26+Inputs!$B$29,IF(Skills!C7=3,120+Inputs!$B$27+Inputs!$B$29,MAX(0,(Inputs!$B$3-100)*3)+Inputs!$B$28+Inputs!$B$29)))</f>
        <v/>
      </c>
      <c r="E2052">
        <f>INDEX(FactorTable!$B$2:$Y$301, MATCH(ROUND(MIN(300,MAX(1,D2052)),0), FactorTable!$A$2:$A$301,0), Skills!M7+1)</f>
        <v/>
      </c>
      <c r="F2052">
        <f>IF(Skills!N7=TRUE,(Skills!L7/10)*(E2052/1000),Skills!L7/10)+Skills!O7</f>
        <v/>
      </c>
      <c r="G2052">
        <f>Skills!G7*IF(Skills!H7&gt;0,Skills!I7/Skills!H7,1)</f>
        <v/>
      </c>
      <c r="H2052">
        <f>1-(1-Skills!J7/100)^Skills!K7</f>
        <v/>
      </c>
      <c r="I2052" t="inlineStr">
        <is>
          <t>1</t>
        </is>
      </c>
      <c r="J2052">
        <f>((Inputs!$B$6*(1+Inputs!$B$7/100))+(((Inputs!$B$12*(1+Inputs!$B$13/100))-(Inputs!$B$12*(1+Inputs!$B$13/100)))+0.25*(Inputs!$B$14-Inputs!$B$14))*(1+Inputs!$B$7/100))*(F2052/100)</f>
        <v/>
      </c>
      <c r="K2052">
        <f>J2052*(1+((Inputs!$B$12*(1+Inputs!$B$13/100))*0.01+Inputs!$B$14*0.0025)/100)*(1+Inputs!$B$15/100)*(1+Inputs!$B$16/100)*(5000/(6000+Inputs!$B$42*(1-(100*(1-(1-(Inputs!$B$19+0)/100)*(1-CHOOSE(ArtifactsInput!$N$40+1,5,6,7,8,9,10)/100)^(ArtifactsInput!$M$40-ArtifactsInput!$M$40)))/100)))*(1+(Inputs!$B$24+((C2070=TRUE)*(F2070-Calc!F25))+B2080)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2066=TRUE)*(F2066-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2068=TRUE)*(F2068-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2058=TRUE)*F2058*IF(Inputs!$B$3&gt;=110,7,5))+((C2060=TRUE)*F2060*IF(AND(Inputs!$B$38&lt;&gt;"pvp",Inputs!$B$43&gt;0),(((R2060-1)*(Skills!T15*(1+(Inputs!$B$34+(ArtifactsInput!$M$7-ArtifactsInput!$M$7)*CHOOSE(ArtifactsInput!$N$7+1,6,7.2,8.4,9.6,10.8,12))/100))+MIN((Skills!T15*(1+(Inputs!$B$34+(ArtifactsInput!$M$7-ArtifactsInput!$M$7)*CHOOSE(ArtifactsInput!$N$7+1,6,7.2,8.4,9.6,10.8,12))/100)),MAX(0,Inputs!$B$43-((R2060-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Hunt"),CHOOSE(ArtifactsInput!$N$35+1,15,18,21,24,27,30)*(1-EXP(-(0.2*B2076)*5)),0)+IF(AND(ArtifactsInput!$M$22,Inputs!$B$4&lt;&gt;"Chapter Hunt"),CHOOSE(ArtifactsInput!$N$22+1,10,12,14,16,18,20)*((0*(((0.15*B2076*5))^0/1)+1*(((0.15*B2076*5))^1/1)+2*(((0.15*B2076*5))^2/2)+3*(((0.15*B2076*5))^3/6)+4*(((0.15*B2076*5))^4/24)+5*(((0.15*B2076*5))^5/120))/((((0.15*B2076*5))^0/1)+(((0.15*B2076*5))^1/1)+(((0.15*B2076*5))^2/2)+(((0.15*B2076*5))^3/6)+(((0.15*B2076*5))^4/24)+(((0.15*B2076*5))^5/120))),0)))/100)*I2052)</f>
        <v/>
      </c>
      <c r="L2052">
        <f>K2052*(MIN(Inputs!$B$22+((C2067=TRUE)*(F2067-Calc!F22)),(Inputs!$B$23+((C2069=TRUE)*(F2069-Calc!F24))+(IF(ArtifactsInput!$M$15,CHOOSE(ArtifactsInput!$N$15+1,25,30,35,40,45,50)/100*(Inputs!$B$11-Inputs!$B$11),0))))/100+(Inputs!$B$23+((C2069=TRUE)*(F2069-Calc!F24))+(IF(ArtifactsInput!$M$15,CHOOSE(ArtifactsInput!$N$15+1,25,30,35,40,45,50)/100*(Inputs!$B$11-Inputs!$B$11),0)))/100)/2</f>
        <v/>
      </c>
      <c r="M2052">
        <f>L2052*(1+(Inputs!$B$10+0+B2079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2">
        <f>L2052*(1-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2052*(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2">
        <f>(1-Summary!$B$11)*T2052+Summary!$B$11*V2052</f>
        <v/>
      </c>
      <c r="P2052">
        <f>IF(B2084=0,0,O2052/B2084)</f>
        <v/>
      </c>
      <c r="Q2052">
        <f>IFERROR(1/(IF(Inputs!$B$38="pvp",15,MAX(0.1,Skills!D7-IF(Skills!E7=TRUE,Inputs!$B$32,0)))*(1-IF(AND(ArtifactsInput!$M$27,Inputs!$B$4="Chapter Hunt"),CHOOSE(ArtifactsInput!$N$27+1,20,24,28,32,36,40),0)/100)),0)</f>
        <v/>
      </c>
      <c r="R2052">
        <f>IF(AND(Inputs!$B$38&lt;&gt;"pvp",Inputs!$B$43&gt;0),IF(MAX(0,Inputs!$B$43-B2081)&lt;=0,0,(INT(MAX(0,Inputs!$B$43-B2081)/(IF(Inputs!$B$38="pvp",15,MAX(0.1,Skills!D7-IF(Skills!E7=TRUE,Inputs!$B$32,0)))*(1-IF(AND(ArtifactsInput!$M$27,Inputs!$B$4="Chapter Hunt"),CHOOSE(ArtifactsInput!$N$27+1,20,24,28,32,36,40),0)/100)))+1)),0)</f>
        <v/>
      </c>
      <c r="S2052">
        <f>IFERROR(O2052/N2052,0)</f>
        <v/>
      </c>
      <c r="T2052">
        <f>IF(C2052,(H2052*N2052*IF(AND(Inputs!$B$38&lt;&gt;"pvp",Inputs!$B$43&gt;0),((Skills!G7*((R2052-1)*IF(Skills!H7&gt;0,Skills!I7/Skills!H7,1)+IF(Skills!H7&gt;0,MIN(Skills!I7,MAX(0,MAX(0,Inputs!$B$43-B2081)-((R2052-1)*(IF(Inputs!$B$38="pvp",15,MAX(0.1,Skills!D7-IF(Skills!E7=TRUE,Inputs!$B$32,0)))*(1-IF(AND(ArtifactsInput!$M$27,Inputs!$B$4="Chapter Hunt"),CHOOSE(ArtifactsInput!$N$27+1,20,24,28,32,36,40),0)/100)))))/Skills!H7,1)))/Inputs!$B$43),G2052*Q2052)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2052*(1-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2052*(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2052*(1-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2052*(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2">
        <f>IF(C2052,(H2052*N2052*IF(AND(Inputs!$B$38&lt;&gt;"pvp",Inputs!$B$43&gt;0),((Skills!G7*((R2052-1)*IF(Skills!H7&gt;0,Skills!I7/Skills!H7,1)+IF(Skills!H7&gt;0,MIN(Skills!I7,MAX(0,MAX(0,Inputs!$B$43-B2081)-((R2052-1)*(IF(Inputs!$B$38="pvp",15,MAX(0.1,Skills!D7-IF(Skills!E7=TRUE,Inputs!$B$32,0)))*(1-IF(AND(ArtifactsInput!$M$27,Inputs!$B$4="Chapter Hunt"),CHOOSE(ArtifactsInput!$N$27+1,20,24,28,32,36,40),0)/100)))))/Skills!H7,1)))/Inputs!$B$43),G2052*Q2052)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3">
      <c r="A2053">
        <f>Skills!A8</f>
        <v/>
      </c>
      <c r="B2053">
        <f>Skills!B8</f>
        <v/>
      </c>
      <c r="C2053">
        <f>Inputs!$B$3&gt;=117</f>
        <v/>
      </c>
      <c r="D2053">
        <f>IF(Skills!C8=1,60+Inputs!$B$25+Inputs!$B$29,IF(Skills!C8=2,90+Inputs!$B$26+Inputs!$B$29,IF(Skills!C8=3,120+Inputs!$B$27+Inputs!$B$29,MAX(0,(Inputs!$B$3-100)*3)+Inputs!$B$28+Inputs!$B$29)))</f>
        <v/>
      </c>
      <c r="E2053">
        <f>INDEX(FactorTable!$B$2:$Y$301, MATCH(ROUND(MIN(300,MAX(1,D2053)),0), FactorTable!$A$2:$A$301,0), Skills!M8+1)</f>
        <v/>
      </c>
      <c r="F2053">
        <f>IF(Skills!N8=TRUE,(Skills!L8/10)*(E2053/1000),Skills!L8/10)+Skills!O8</f>
        <v/>
      </c>
      <c r="G2053">
        <f>Skills!G8*IF(Skills!H8&gt;0,Skills!I8/Skills!H8,1)</f>
        <v/>
      </c>
      <c r="H2053">
        <f>1-(1-Skills!J8/100)^Skills!K8</f>
        <v/>
      </c>
      <c r="I2053" t="inlineStr">
        <is>
          <t>1</t>
        </is>
      </c>
      <c r="J2053">
        <f>((Inputs!$B$6*(1+Inputs!$B$7/100))+(((Inputs!$B$12*(1+Inputs!$B$13/100))-(Inputs!$B$12*(1+Inputs!$B$13/100)))+0.25*(Inputs!$B$14-Inputs!$B$14))*(1+Inputs!$B$7/100))*(F2053/100)</f>
        <v/>
      </c>
      <c r="K2053">
        <f>J2053*(1+((Inputs!$B$12*(1+Inputs!$B$13/100))*0.01+Inputs!$B$14*0.0025)/100)*(1+Inputs!$B$15/100)*(1+Inputs!$B$16/100)*(5000/(6000+Inputs!$B$42*(1-(100*(1-(1-(Inputs!$B$19+0)/100)*(1-CHOOSE(ArtifactsInput!$N$40+1,5,6,7,8,9,10)/100)^(ArtifactsInput!$M$40-ArtifactsInput!$M$40)))/100)))*(1+(Inputs!$B$24+((C2070=TRUE)*(F2070-Calc!F25))+B2080)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2066=TRUE)*(F2066-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2068=TRUE)*(F2068-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2058=TRUE)*F2058*IF(Inputs!$B$3&gt;=110,7,5))+((C2060=TRUE)*F2060*IF(AND(Inputs!$B$38&lt;&gt;"pvp",Inputs!$B$43&gt;0),(((R2060-1)*(Skills!T15*(1+(Inputs!$B$34+(ArtifactsInput!$M$7-ArtifactsInput!$M$7)*CHOOSE(ArtifactsInput!$N$7+1,6,7.2,8.4,9.6,10.8,12))/100))+MIN((Skills!T15*(1+(Inputs!$B$34+(ArtifactsInput!$M$7-ArtifactsInput!$M$7)*CHOOSE(ArtifactsInput!$N$7+1,6,7.2,8.4,9.6,10.8,12))/100)),MAX(0,Inputs!$B$43-((R2060-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Hunt"),CHOOSE(ArtifactsInput!$N$35+1,15,18,21,24,27,30)*(1-EXP(-(0.2*B2076)*5)),0)+IF(AND(ArtifactsInput!$M$22,Inputs!$B$4&lt;&gt;"Chapter Hunt"),CHOOSE(ArtifactsInput!$N$22+1,10,12,14,16,18,20)*((0*(((0.15*B2076*5))^0/1)+1*(((0.15*B2076*5))^1/1)+2*(((0.15*B2076*5))^2/2)+3*(((0.15*B2076*5))^3/6)+4*(((0.15*B2076*5))^4/24)+5*(((0.15*B2076*5))^5/120))/((((0.15*B2076*5))^0/1)+(((0.15*B2076*5))^1/1)+(((0.15*B2076*5))^2/2)+(((0.15*B2076*5))^3/6)+(((0.15*B2076*5))^4/24)+(((0.15*B2076*5))^5/120))),0)))/100)*I2053)</f>
        <v/>
      </c>
      <c r="L2053">
        <f>K2053*(MIN(Inputs!$B$22+((C2067=TRUE)*(F2067-Calc!F22)),(Inputs!$B$23+((C2069=TRUE)*(F2069-Calc!F24))+(IF(ArtifactsInput!$M$15,CHOOSE(ArtifactsInput!$N$15+1,25,30,35,40,45,50)/100*(Inputs!$B$11-Inputs!$B$11),0))))/100+(Inputs!$B$23+((C2069=TRUE)*(F2069-Calc!F24))+(IF(ArtifactsInput!$M$15,CHOOSE(ArtifactsInput!$N$15+1,25,30,35,40,45,50)/100*(Inputs!$B$11-Inputs!$B$11),0)))/100)/2</f>
        <v/>
      </c>
      <c r="M2053">
        <f>L2053*(1+(Inputs!$B$10+0+B2079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3">
        <f>L2053*(1-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2053*(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3">
        <f>(1-Summary!$B$11)*T2053+Summary!$B$11*V2053</f>
        <v/>
      </c>
      <c r="P2053">
        <f>IF(B2084=0,0,O2053/B2084)</f>
        <v/>
      </c>
      <c r="Q2053">
        <f>IFERROR(1/(IF(Inputs!$B$38="pvp",15,MAX(0.1,Skills!D8-IF(Skills!E8=TRUE,Inputs!$B$32,0)))*(1-IF(AND(ArtifactsInput!$M$27,Inputs!$B$4="Chapter Hunt"),CHOOSE(ArtifactsInput!$N$27+1,20,24,28,32,36,40),0)/100)),0)</f>
        <v/>
      </c>
      <c r="R2053">
        <f>IF(AND(Inputs!$B$38&lt;&gt;"pvp",Inputs!$B$43&gt;0),IF(MAX(0,Inputs!$B$43-B2081)&lt;=0,0,(INT(MAX(0,Inputs!$B$43-B2081)/(IF(Inputs!$B$38="pvp",15,MAX(0.1,Skills!D8-IF(Skills!E8=TRUE,Inputs!$B$32,0)))*(1-IF(AND(ArtifactsInput!$M$27,Inputs!$B$4="Chapter Hunt"),CHOOSE(ArtifactsInput!$N$27+1,20,24,28,32,36,40),0)/100)))+1)),0)</f>
        <v/>
      </c>
      <c r="S2053">
        <f>IFERROR(O2053/N2053,0)</f>
        <v/>
      </c>
      <c r="T2053">
        <f>IF(C2053,(H2053*N2053*IF(AND(Inputs!$B$38&lt;&gt;"pvp",Inputs!$B$43&gt;0),((Skills!G8*((R2053-1)*IF(Skills!H8&gt;0,Skills!I8/Skills!H8,1)+IF(Skills!H8&gt;0,MIN(Skills!I8,MAX(0,MAX(0,Inputs!$B$43-B2081)-((R2053-1)*(IF(Inputs!$B$38="pvp",15,MAX(0.1,Skills!D8-IF(Skills!E8=TRUE,Inputs!$B$32,0)))*(1-IF(AND(ArtifactsInput!$M$27,Inputs!$B$4="Chapter Hunt"),CHOOSE(ArtifactsInput!$N$27+1,20,24,28,32,36,40),0)/100)))))/Skills!H8,1)))/Inputs!$B$43),G2053*Q2053)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2053*(1-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2053*(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2053*(1-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2053*(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3">
        <f>IF(C2053,(H2053*N2053*IF(AND(Inputs!$B$38&lt;&gt;"pvp",Inputs!$B$43&gt;0),((Skills!G8*((R2053-1)*IF(Skills!H8&gt;0,Skills!I8/Skills!H8,1)+IF(Skills!H8&gt;0,MIN(Skills!I8,MAX(0,MAX(0,Inputs!$B$43-B2081)-((R2053-1)*(IF(Inputs!$B$38="pvp",15,MAX(0.1,Skills!D8-IF(Skills!E8=TRUE,Inputs!$B$32,0)))*(1-IF(AND(ArtifactsInput!$M$27,Inputs!$B$4="Chapter Hunt"),CHOOSE(ArtifactsInput!$N$27+1,20,24,28,32,36,40),0)/100)))))/Skills!H8,1)))/Inputs!$B$43),G2053*Q2053)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4">
      <c r="A2054">
        <f>Skills!A9</f>
        <v/>
      </c>
      <c r="B2054">
        <f>Skills!B9</f>
        <v/>
      </c>
      <c r="C2054">
        <f>Inputs!$B$3&gt;=69</f>
        <v/>
      </c>
      <c r="D2054">
        <f>IF(Skills!C9=1,60+Inputs!$B$25+Inputs!$B$29,IF(Skills!C9=2,90+Inputs!$B$26+Inputs!$B$29,IF(Skills!C9=3,120+Inputs!$B$27+Inputs!$B$29,MAX(0,(Inputs!$B$3-100)*3)+Inputs!$B$28+Inputs!$B$29)))</f>
        <v/>
      </c>
      <c r="E2054">
        <f>INDEX(FactorTable!$B$2:$Y$301, MATCH(ROUND(MIN(300,MAX(1,D2054)),0), FactorTable!$A$2:$A$301,0), Skills!M9+1)</f>
        <v/>
      </c>
      <c r="F2054">
        <f>IF(Skills!N9=TRUE,(Skills!L9/10)*(E2054/1000),Skills!L9/10)+Skills!O9</f>
        <v/>
      </c>
      <c r="G2054">
        <f>Skills!G9*IF(Skills!H9&gt;0,Skills!I9/Skills!H9,1)</f>
        <v/>
      </c>
      <c r="H2054">
        <f>1-(1-Skills!J9/100)^Skills!K9</f>
        <v/>
      </c>
      <c r="I2054" t="inlineStr">
        <is>
          <t>1</t>
        </is>
      </c>
      <c r="J2054">
        <f>((Inputs!$B$6*(1+Inputs!$B$7/100))+(((Inputs!$B$12*(1+Inputs!$B$13/100))-(Inputs!$B$12*(1+Inputs!$B$13/100)))+0.25*(Inputs!$B$14-Inputs!$B$14))*(1+Inputs!$B$7/100))*(F2054/100)</f>
        <v/>
      </c>
      <c r="K2054">
        <f>J2054*(1+((Inputs!$B$12*(1+Inputs!$B$13/100))*0.01+Inputs!$B$14*0.0025)/100)*(1+Inputs!$B$15/100)*(1+Inputs!$B$16/100)*(5000/(6000+Inputs!$B$42*(1-(100*(1-(1-(Inputs!$B$19+0)/100)*(1-CHOOSE(ArtifactsInput!$N$40+1,5,6,7,8,9,10)/100)^(ArtifactsInput!$M$40-ArtifactsInput!$M$40)))/100)))*(1+(Inputs!$B$24+((C2070=TRUE)*(F2070-Calc!F25))+B2080)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2057=TRUE,F2057,0)/100)*(1+IF(Skills!A9="ENHANCED_RAGING_BLOW",IF(Inputs!$B$3&gt;=134,MAX(0,IF(Inputs!$B$3&gt;=110,7,5)-5)*50,0),0)/100)*(1+(IF(Skills!A9="RAGING_BLOW",Inputs!$B$17+((C2066=TRUE)*(F2066-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2068=TRUE)*(F2068-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2058=TRUE)*F2058*IF(Inputs!$B$3&gt;=110,7,5))+((C2060=TRUE)*F2060*IF(AND(Inputs!$B$38&lt;&gt;"pvp",Inputs!$B$43&gt;0),(((R2060-1)*(Skills!T15*(1+(Inputs!$B$34+(ArtifactsInput!$M$7-ArtifactsInput!$M$7)*CHOOSE(ArtifactsInput!$N$7+1,6,7.2,8.4,9.6,10.8,12))/100))+MIN((Skills!T15*(1+(Inputs!$B$34+(ArtifactsInput!$M$7-ArtifactsInput!$M$7)*CHOOSE(ArtifactsInput!$N$7+1,6,7.2,8.4,9.6,10.8,12))/100)),MAX(0,Inputs!$B$43-((R2060-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Hunt"),CHOOSE(ArtifactsInput!$N$35+1,15,18,21,24,27,30)*(1-EXP(-(0.2*B2076)*5)),0)+IF(AND(ArtifactsInput!$M$22,Inputs!$B$4&lt;&gt;"Chapter Hunt"),CHOOSE(ArtifactsInput!$N$22+1,10,12,14,16,18,20)*((0*(((0.15*B2076*5))^0/1)+1*(((0.15*B2076*5))^1/1)+2*(((0.15*B2076*5))^2/2)+3*(((0.15*B2076*5))^3/6)+4*(((0.15*B2076*5))^4/24)+5*(((0.15*B2076*5))^5/120))/((((0.15*B2076*5))^0/1)+(((0.15*B2076*5))^1/1)+(((0.15*B2076*5))^2/2)+(((0.15*B2076*5))^3/6)+(((0.15*B2076*5))^4/24)+(((0.15*B2076*5))^5/120))),0)))/100)*I2054)</f>
        <v/>
      </c>
      <c r="L2054">
        <f>K2054*(MIN(Inputs!$B$22+((C2067=TRUE)*(F2067-Calc!F22)),(Inputs!$B$23+((C2069=TRUE)*(F2069-Calc!F24))+(IF(ArtifactsInput!$M$15,CHOOSE(ArtifactsInput!$N$15+1,25,30,35,40,45,50)/100*(Inputs!$B$11-Inputs!$B$11),0))))/100+(Inputs!$B$23+((C2069=TRUE)*(F2069-Calc!F24))+(IF(ArtifactsInput!$M$15,CHOOSE(ArtifactsInput!$N$15+1,25,30,35,40,45,50)/100*(Inputs!$B$11-Inputs!$B$11),0)))/100)/2</f>
        <v/>
      </c>
      <c r="M2054">
        <f>L2054*(1+(Inputs!$B$10+0+B2079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4">
        <f>L2054*(1-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2054*(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4">
        <f>(1-Summary!$B$11)*T2054+Summary!$B$11*V2054</f>
        <v/>
      </c>
      <c r="P2054">
        <f>IF(B2084=0,0,O2054/B2084)</f>
        <v/>
      </c>
      <c r="Q2054">
        <f>IFERROR(1/(IF(Inputs!$B$38="pvp",15,MAX(0.1,Skills!D9-IF(Skills!E9=TRUE,Inputs!$B$32,0)))*(1-IF(AND(ArtifactsInput!$M$27,Inputs!$B$4="Chapter Hunt"),CHOOSE(ArtifactsInput!$N$27+1,20,24,28,32,36,40),0)/100)),0)</f>
        <v/>
      </c>
      <c r="R2054">
        <f>IF(AND(Inputs!$B$38&lt;&gt;"pvp",Inputs!$B$43&gt;0),IF(MAX(0,Inputs!$B$43-B2081)&lt;=0,0,(INT(MAX(0,Inputs!$B$43-B2081)/(IF(Inputs!$B$38="pvp",15,MAX(0.1,Skills!D9-IF(Skills!E9=TRUE,Inputs!$B$32,0)))*(1-IF(AND(ArtifactsInput!$M$27,Inputs!$B$4="Chapter Hunt"),CHOOSE(ArtifactsInput!$N$27+1,20,24,28,32,36,40),0)/100)))+1)),0)</f>
        <v/>
      </c>
      <c r="S2054">
        <f>IFERROR(O2054/N2054,0)</f>
        <v/>
      </c>
      <c r="T2054">
        <f>IF(C2054,(H2054*N2054*IF(AND(Inputs!$B$38&lt;&gt;"pvp",Inputs!$B$43&gt;0),((Skills!G9*((R2054-1)*IF(Skills!H9&gt;0,Skills!I9/Skills!H9,1)+IF(Skills!H9&gt;0,MIN(Skills!I9,MAX(0,MAX(0,Inputs!$B$43-B2081)-((R2054-1)*(IF(Inputs!$B$38="pvp",15,MAX(0.1,Skills!D9-IF(Skills!E9=TRUE,Inputs!$B$32,0)))*(1-IF(AND(ArtifactsInput!$M$27,Inputs!$B$4="Chapter Hunt"),CHOOSE(ArtifactsInput!$N$27+1,20,24,28,32,36,40),0)/100)))))/Skills!H9,1)))/Inputs!$B$43),G2054*Q2054)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2054*(1-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2054*(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2054*(1-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2054*(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4">
        <f>IF(C2054,(H2054*N2054*IF(AND(Inputs!$B$38&lt;&gt;"pvp",Inputs!$B$43&gt;0),((Skills!G9*((R2054-1)*IF(Skills!H9&gt;0,Skills!I9/Skills!H9,1)+IF(Skills!H9&gt;0,MIN(Skills!I9,MAX(0,MAX(0,Inputs!$B$43-B2081)-((R2054-1)*(IF(Inputs!$B$38="pvp",15,MAX(0.1,Skills!D9-IF(Skills!E9=TRUE,Inputs!$B$32,0)))*(1-IF(AND(ArtifactsInput!$M$27,Inputs!$B$4="Chapter Hunt"),CHOOSE(ArtifactsInput!$N$27+1,20,24,28,32,36,40),0)/100)))))/Skills!H9,1)))/Inputs!$B$43),G2054*Q2054)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5">
      <c r="A2055">
        <f>Skills!A10</f>
        <v/>
      </c>
      <c r="B2055">
        <f>Skills!B10</f>
        <v/>
      </c>
      <c r="C2055">
        <f>Inputs!$B$3&gt;=63</f>
        <v/>
      </c>
      <c r="D2055">
        <f>IF(Skills!C10=1,60+Inputs!$B$25+Inputs!$B$29,IF(Skills!C10=2,90+Inputs!$B$26+Inputs!$B$29,IF(Skills!C10=3,120+Inputs!$B$27+Inputs!$B$29,MAX(0,(Inputs!$B$3-100)*3)+Inputs!$B$28+Inputs!$B$29)))</f>
        <v/>
      </c>
      <c r="E2055">
        <f>INDEX(FactorTable!$B$2:$Y$301, MATCH(ROUND(MIN(300,MAX(1,D2055)),0), FactorTable!$A$2:$A$301,0), Skills!M10+1)</f>
        <v/>
      </c>
      <c r="F2055">
        <f>IF(Skills!N10=TRUE,(Skills!L10/10)*(E2055/1000),Skills!L10/10)+Skills!O10</f>
        <v/>
      </c>
      <c r="G2055">
        <f>Skills!G10*IF(Skills!H10&gt;0,Skills!I10/Skills!H10,1)</f>
        <v/>
      </c>
      <c r="H2055">
        <f>1-(1-Skills!J10/100)^Skills!K10</f>
        <v/>
      </c>
      <c r="I2055" t="inlineStr">
        <is>
          <t>1</t>
        </is>
      </c>
      <c r="J2055">
        <f>((Inputs!$B$6*(1+Inputs!$B$7/100))+(((Inputs!$B$12*(1+Inputs!$B$13/100))-(Inputs!$B$12*(1+Inputs!$B$13/100)))+0.25*(Inputs!$B$14-Inputs!$B$14))*(1+Inputs!$B$7/100))*(F2055/100)</f>
        <v/>
      </c>
      <c r="K2055">
        <f>J2055*(1+((Inputs!$B$12*(1+Inputs!$B$13/100))*0.01+Inputs!$B$14*0.0025)/100)*(1+Inputs!$B$15/100)*(1+Inputs!$B$16/100)*(5000/(6000+Inputs!$B$42*(1-(100*(1-(1-(Inputs!$B$19+0)/100)*(1-CHOOSE(ArtifactsInput!$N$40+1,5,6,7,8,9,10)/100)^(ArtifactsInput!$M$40-ArtifactsInput!$M$40)))/100)))*(1+(Inputs!$B$24+((C2070=TRUE)*(F2070-Calc!F25))+B2080)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2057=TRUE,F2057,0)/100)*(1+IF(Skills!A10="ENHANCED_RAGING_BLOW",IF(Inputs!$B$3&gt;=134,MAX(0,IF(Inputs!$B$3&gt;=110,7,5)-5)*50,0),0)/100)*(1+(IF(Skills!A10="RAGING_BLOW",Inputs!$B$17+((C2066=TRUE)*(F2066-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2068=TRUE)*(F2068-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2058=TRUE)*F2058*IF(Inputs!$B$3&gt;=110,7,5))+((C2060=TRUE)*F2060*IF(AND(Inputs!$B$38&lt;&gt;"pvp",Inputs!$B$43&gt;0),(((R2060-1)*(Skills!T15*(1+(Inputs!$B$34+(ArtifactsInput!$M$7-ArtifactsInput!$M$7)*CHOOSE(ArtifactsInput!$N$7+1,6,7.2,8.4,9.6,10.8,12))/100))+MIN((Skills!T15*(1+(Inputs!$B$34+(ArtifactsInput!$M$7-ArtifactsInput!$M$7)*CHOOSE(ArtifactsInput!$N$7+1,6,7.2,8.4,9.6,10.8,12))/100)),MAX(0,Inputs!$B$43-((R2060-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Hunt"),CHOOSE(ArtifactsInput!$N$35+1,15,18,21,24,27,30)*(1-EXP(-(0.2*B2076)*5)),0)+IF(AND(ArtifactsInput!$M$22,Inputs!$B$4&lt;&gt;"Chapter Hunt"),CHOOSE(ArtifactsInput!$N$22+1,10,12,14,16,18,20)*((0*(((0.15*B2076*5))^0/1)+1*(((0.15*B2076*5))^1/1)+2*(((0.15*B2076*5))^2/2)+3*(((0.15*B2076*5))^3/6)+4*(((0.15*B2076*5))^4/24)+5*(((0.15*B2076*5))^5/120))/((((0.15*B2076*5))^0/1)+(((0.15*B2076*5))^1/1)+(((0.15*B2076*5))^2/2)+(((0.15*B2076*5))^3/6)+(((0.15*B2076*5))^4/24)+(((0.15*B2076*5))^5/120))),0)))/100)*I2055)</f>
        <v/>
      </c>
      <c r="L2055">
        <f>K2055*(MIN(Inputs!$B$22+((C2067=TRUE)*(F2067-Calc!F22)),(Inputs!$B$23+((C2069=TRUE)*(F2069-Calc!F24))+(IF(ArtifactsInput!$M$15,CHOOSE(ArtifactsInput!$N$15+1,25,30,35,40,45,50)/100*(Inputs!$B$11-Inputs!$B$11),0))))/100+(Inputs!$B$23+((C2069=TRUE)*(F2069-Calc!F24))+(IF(ArtifactsInput!$M$15,CHOOSE(ArtifactsInput!$N$15+1,25,30,35,40,45,50)/100*(Inputs!$B$11-Inputs!$B$11),0)))/100)/2</f>
        <v/>
      </c>
      <c r="M2055">
        <f>L2055*(1+(Inputs!$B$10+0+B2079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5">
        <f>L2055*(1-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2055*(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5">
        <f>(1-Summary!$B$11)*T2055+Summary!$B$11*V2055</f>
        <v/>
      </c>
      <c r="P2055">
        <f>IF(B2084=0,0,O2055/B2084)</f>
        <v/>
      </c>
      <c r="Q2055">
        <f>IFERROR(1/(IF(Inputs!$B$38="pvp",15,MAX(0.1,Skills!D10-IF(Skills!E10=TRUE,Inputs!$B$32,0)))*(1-IF(AND(ArtifactsInput!$M$27,Inputs!$B$4="Chapter Hunt"),CHOOSE(ArtifactsInput!$N$27+1,20,24,28,32,36,40),0)/100)),0)</f>
        <v/>
      </c>
      <c r="R2055">
        <f>IF(AND(Inputs!$B$38&lt;&gt;"pvp",Inputs!$B$43&gt;0),IF(MAX(0,Inputs!$B$43-B2081)&lt;=0,0,(INT(MAX(0,Inputs!$B$43-B2081)/(IF(Inputs!$B$38="pvp",15,MAX(0.1,Skills!D10-IF(Skills!E10=TRUE,Inputs!$B$32,0)))*(1-IF(AND(ArtifactsInput!$M$27,Inputs!$B$4="Chapter Hunt"),CHOOSE(ArtifactsInput!$N$27+1,20,24,28,32,36,40),0)/100)))+1)),0)</f>
        <v/>
      </c>
      <c r="S2055">
        <f>IFERROR(O2055/N2055,0)</f>
        <v/>
      </c>
      <c r="T2055">
        <f>IF(C2055,(H2055*N2055*IF(AND(Inputs!$B$38&lt;&gt;"pvp",Inputs!$B$43&gt;0),((Skills!G10*((R2055-1)*IF(Skills!H10&gt;0,Skills!I10/Skills!H10,1)+IF(Skills!H10&gt;0,MIN(Skills!I10,MAX(0,MAX(0,Inputs!$B$43-B2081)-((R2055-1)*(IF(Inputs!$B$38="pvp",15,MAX(0.1,Skills!D10-IF(Skills!E10=TRUE,Inputs!$B$32,0)))*(1-IF(AND(ArtifactsInput!$M$27,Inputs!$B$4="Chapter Hunt"),CHOOSE(ArtifactsInput!$N$27+1,20,24,28,32,36,40),0)/100)))))/Skills!H10,1)))/Inputs!$B$43),G2055*Q2055)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2055*(1-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2055*(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2055*(1-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2055*(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5">
        <f>IF(C2055,(H2055*N2055*IF(AND(Inputs!$B$38&lt;&gt;"pvp",Inputs!$B$43&gt;0),((Skills!G10*((R2055-1)*IF(Skills!H10&gt;0,Skills!I10/Skills!H10,1)+IF(Skills!H10&gt;0,MIN(Skills!I10,MAX(0,MAX(0,Inputs!$B$43-B2081)-((R2055-1)*(IF(Inputs!$B$38="pvp",15,MAX(0.1,Skills!D10-IF(Skills!E10=TRUE,Inputs!$B$32,0)))*(1-IF(AND(ArtifactsInput!$M$27,Inputs!$B$4="Chapter Hunt"),CHOOSE(ArtifactsInput!$N$27+1,20,24,28,32,36,40),0)/100)))))/Skills!H10,1)))/Inputs!$B$43),G2055*Q2055)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6">
      <c r="A2056">
        <f>Skills!A11</f>
        <v/>
      </c>
      <c r="B2056">
        <f>Skills!B11</f>
        <v/>
      </c>
      <c r="C2056">
        <f>Inputs!$B$3&gt;=35</f>
        <v/>
      </c>
      <c r="D2056">
        <f>IF(Skills!C11=1,60+Inputs!$B$25+Inputs!$B$29,IF(Skills!C11=2,90+Inputs!$B$26+Inputs!$B$29,IF(Skills!C11=3,120+Inputs!$B$27+Inputs!$B$29,MAX(0,(Inputs!$B$3-100)*3)+Inputs!$B$28+Inputs!$B$29)))</f>
        <v/>
      </c>
      <c r="E2056">
        <f>INDEX(FactorTable!$B$2:$Y$301, MATCH(ROUND(MIN(300,MAX(1,D2056)),0), FactorTable!$A$2:$A$301,0), Skills!M11+1)</f>
        <v/>
      </c>
      <c r="F2056">
        <f>IF(Skills!N11=TRUE,(Skills!L11/10)*(E2056/1000),Skills!L11/10)+Skills!O11</f>
        <v/>
      </c>
      <c r="G2056">
        <f>Skills!G11*IF(Skills!H11&gt;0,Skills!I11/Skills!H11,1)</f>
        <v/>
      </c>
      <c r="H2056">
        <f>1-(1-Skills!J11/100)^Skills!K11</f>
        <v/>
      </c>
      <c r="I2056" t="inlineStr">
        <is>
          <t>1</t>
        </is>
      </c>
      <c r="J2056">
        <f>((Inputs!$B$6*(1+Inputs!$B$7/100))+(((Inputs!$B$12*(1+Inputs!$B$13/100))-(Inputs!$B$12*(1+Inputs!$B$13/100)))+0.25*(Inputs!$B$14-Inputs!$B$14))*(1+Inputs!$B$7/100))*(F2056/100)</f>
        <v/>
      </c>
      <c r="K2056">
        <f>J2056*(1+((Inputs!$B$12*(1+Inputs!$B$13/100))*0.01+Inputs!$B$14*0.0025)/100)*(1+Inputs!$B$15/100)*(1+Inputs!$B$16/100)*(5000/(6000+Inputs!$B$42*(1-(100*(1-(1-(Inputs!$B$19+0)/100)*(1-CHOOSE(ArtifactsInput!$N$40+1,5,6,7,8,9,10)/100)^(ArtifactsInput!$M$40-ArtifactsInput!$M$40)))/100)))*(1+(Inputs!$B$24+((C2070=TRUE)*(F2070-Calc!F25))+B2080)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2057=TRUE,F2057,0)/100)*(1+IF(Skills!A11="ENHANCED_RAGING_BLOW",IF(Inputs!$B$3&gt;=134,MAX(0,IF(Inputs!$B$3&gt;=110,7,5)-5)*50,0),0)/100)*(1+(IF(Skills!A11="RAGING_BLOW",Inputs!$B$17+((C2066=TRUE)*(F2066-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2068=TRUE)*(F2068-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2058=TRUE)*F2058*IF(Inputs!$B$3&gt;=110,7,5))+((C2060=TRUE)*F2060*IF(AND(Inputs!$B$38&lt;&gt;"pvp",Inputs!$B$43&gt;0),(((R2060-1)*(Skills!T15*(1+(Inputs!$B$34+(ArtifactsInput!$M$7-ArtifactsInput!$M$7)*CHOOSE(ArtifactsInput!$N$7+1,6,7.2,8.4,9.6,10.8,12))/100))+MIN((Skills!T15*(1+(Inputs!$B$34+(ArtifactsInput!$M$7-ArtifactsInput!$M$7)*CHOOSE(ArtifactsInput!$N$7+1,6,7.2,8.4,9.6,10.8,12))/100)),MAX(0,Inputs!$B$43-((R2060-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Hunt"),CHOOSE(ArtifactsInput!$N$35+1,15,18,21,24,27,30)*(1-EXP(-(0.2*B2076)*5)),0)+IF(AND(ArtifactsInput!$M$22,Inputs!$B$4&lt;&gt;"Chapter Hunt"),CHOOSE(ArtifactsInput!$N$22+1,10,12,14,16,18,20)*((0*(((0.15*B2076*5))^0/1)+1*(((0.15*B2076*5))^1/1)+2*(((0.15*B2076*5))^2/2)+3*(((0.15*B2076*5))^3/6)+4*(((0.15*B2076*5))^4/24)+5*(((0.15*B2076*5))^5/120))/((((0.15*B2076*5))^0/1)+(((0.15*B2076*5))^1/1)+(((0.15*B2076*5))^2/2)+(((0.15*B2076*5))^3/6)+(((0.15*B2076*5))^4/24)+(((0.15*B2076*5))^5/120))),0)))/100)*I2056)</f>
        <v/>
      </c>
      <c r="L2056">
        <f>K2056*(MIN(Inputs!$B$22+((C2067=TRUE)*(F2067-Calc!F22)),(Inputs!$B$23+((C2069=TRUE)*(F2069-Calc!F24))+(IF(ArtifactsInput!$M$15,CHOOSE(ArtifactsInput!$N$15+1,25,30,35,40,45,50)/100*(Inputs!$B$11-Inputs!$B$11),0))))/100+(Inputs!$B$23+((C2069=TRUE)*(F2069-Calc!F24))+(IF(ArtifactsInput!$M$15,CHOOSE(ArtifactsInput!$N$15+1,25,30,35,40,45,50)/100*(Inputs!$B$11-Inputs!$B$11),0)))/100)/2</f>
        <v/>
      </c>
      <c r="M2056">
        <f>L2056*(1+(Inputs!$B$10+0+B2079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6">
        <f>L2056*(1-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2056*(MIN((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6">
        <f>(1-Summary!$B$11)*T2056+Summary!$B$11*V2056</f>
        <v/>
      </c>
      <c r="P2056">
        <f>IF(B2084=0,0,O2056/B2084)</f>
        <v/>
      </c>
      <c r="Q2056">
        <f>IFERROR(1/(IF(Inputs!$B$38="pvp",15,MAX(0.1,Skills!D11-IF(Skills!E11=TRUE,Inputs!$B$32,0)))*(1-IF(AND(ArtifactsInput!$M$27,Inputs!$B$4="Chapter Hunt"),CHOOSE(ArtifactsInput!$N$27+1,20,24,28,32,36,40),0)/100)),0)</f>
        <v/>
      </c>
      <c r="R2056">
        <f>IF(AND(Inputs!$B$38&lt;&gt;"pvp",Inputs!$B$43&gt;0),IF(MAX(0,Inputs!$B$43-B2081)&lt;=0,0,(INT(MAX(0,Inputs!$B$43-B2081)/(IF(Inputs!$B$38="pvp",15,MAX(0.1,Skills!D11-IF(Skills!E11=TRUE,Inputs!$B$32,0)))*(1-IF(AND(ArtifactsInput!$M$27,Inputs!$B$4="Chapter Hunt"),CHOOSE(ArtifactsInput!$N$27+1,20,24,28,32,36,40),0)/100)))+1)),0)</f>
        <v/>
      </c>
      <c r="S2056">
        <f>IFERROR(O2056/N2056,0)</f>
        <v/>
      </c>
      <c r="T2056">
        <f>IF(C2056,(H2056*N2056*IF(AND(Inputs!$B$38&lt;&gt;"pvp",Inputs!$B$43&gt;0),((Skills!G11*((R2056-1)*IF(Skills!H11&gt;0,Skills!I11/Skills!H11,1)+IF(Skills!H11&gt;0,MIN(Skills!I11,MAX(0,MAX(0,Inputs!$B$43-B2081)-((R2056-1)*(IF(Inputs!$B$38="pvp",15,MAX(0.1,Skills!D11-IF(Skills!E11=TRUE,Inputs!$B$32,0)))*(1-IF(AND(ArtifactsInput!$M$27,Inputs!$B$4="Chapter Hunt"),CHOOSE(ArtifactsInput!$N$27+1,20,24,28,32,36,40),0)/100)))))/Skills!H11,1)))/Inputs!$B$43),G2056*Q2056)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2056*(1-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2056*(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2056*(1-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2056*(MIN(100,(Inputs!$B$9+((C2071=TRUE)*(F2071-Calc!F26))+B2074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6">
        <f>IF(C2056,(H2056*N2056*IF(AND(Inputs!$B$38&lt;&gt;"pvp",Inputs!$B$43&gt;0),((Skills!G11*((R2056-1)*IF(Skills!H11&gt;0,Skills!I11/Skills!H11,1)+IF(Skills!H11&gt;0,MIN(Skills!I11,MAX(0,MAX(0,Inputs!$B$43-B2081)-((R2056-1)*(IF(Inputs!$B$38="pvp",15,MAX(0.1,Skills!D11-IF(Skills!E11=TRUE,Inputs!$B$32,0)))*(1-IF(AND(ArtifactsInput!$M$27,Inputs!$B$4="Chapter Hunt"),CHOOSE(ArtifactsInput!$N$27+1,20,24,28,32,36,40),0)/100)))))/Skills!H11,1)))/Inputs!$B$43),G2056*Q2056)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7">
      <c r="A2057">
        <f>Skills!A12</f>
        <v/>
      </c>
      <c r="B2057">
        <f>Skills!B12</f>
        <v/>
      </c>
      <c r="C2057">
        <f>Inputs!$B$3&gt;=100</f>
        <v/>
      </c>
      <c r="D2057">
        <f>IF(Skills!C12=1,60+Inputs!$B$25+Inputs!$B$29,IF(Skills!C12=2,90+Inputs!$B$26+Inputs!$B$29,IF(Skills!C12=3,120+Inputs!$B$27+Inputs!$B$29,MAX(0,(Inputs!$B$3-100)*3)+Inputs!$B$28+Inputs!$B$29)))</f>
        <v/>
      </c>
      <c r="E2057">
        <f>INDEX(FactorTable!$B$2:$Y$301, MATCH(ROUND(MIN(300,MAX(1,D2057)),0), FactorTable!$A$2:$A$301,0), Skills!M12+1)</f>
        <v/>
      </c>
      <c r="F2057">
        <f>IF(Skills!N12=TRUE,(Skills!L12/10)*(E2057/1000),Skills!L12/10)+Skills!O12</f>
        <v/>
      </c>
      <c r="G2057" t="inlineStr"/>
      <c r="H2057" t="inlineStr"/>
      <c r="I2057" t="inlineStr">
        <is>
          <t>1</t>
        </is>
      </c>
      <c r="J2057" t="inlineStr"/>
      <c r="K2057" t="inlineStr"/>
      <c r="L2057" t="inlineStr"/>
      <c r="M2057" t="inlineStr"/>
      <c r="N2057" t="inlineStr"/>
      <c r="O2057" t="inlineStr"/>
      <c r="P2057" t="inlineStr"/>
      <c r="Q2057" t="inlineStr"/>
      <c r="R2057" t="inlineStr"/>
      <c r="S2057" t="inlineStr"/>
    </row>
    <row r="2058">
      <c r="A2058">
        <f>Skills!A13</f>
        <v/>
      </c>
      <c r="B2058">
        <f>Skills!B13</f>
        <v/>
      </c>
      <c r="C2058">
        <f>Inputs!$B$3&gt;=45</f>
        <v/>
      </c>
      <c r="D2058">
        <f>IF(Skills!C13=1,60+Inputs!$B$25+Inputs!$B$29,IF(Skills!C13=2,90+Inputs!$B$26+Inputs!$B$29,IF(Skills!C13=3,120+Inputs!$B$27+Inputs!$B$29,MAX(0,(Inputs!$B$3-100)*3)+Inputs!$B$28+Inputs!$B$29)))</f>
        <v/>
      </c>
      <c r="E2058">
        <f>INDEX(FactorTable!$B$2:$Y$301, MATCH(ROUND(MIN(300,MAX(1,D2058)),0), FactorTable!$A$2:$A$301,0), Skills!M13+1)</f>
        <v/>
      </c>
      <c r="F2058">
        <f>IF(Skills!N13=TRUE,(Skills!L13/10)*(E2058/1000),Skills!L13/10)+Skills!O13</f>
        <v/>
      </c>
      <c r="G2058">
        <f>Skills!G13*IF(Skills!H13&gt;0,Skills!I13/Skills!H13,1)</f>
        <v/>
      </c>
      <c r="H2058">
        <f>1-(1-Skills!J13/100)^Skills!K13</f>
        <v/>
      </c>
      <c r="I2058" t="inlineStr">
        <is>
          <t>1</t>
        </is>
      </c>
      <c r="J2058" t="inlineStr"/>
      <c r="K2058" t="inlineStr"/>
      <c r="L2058" t="inlineStr"/>
      <c r="M2058" t="inlineStr"/>
      <c r="N2058" t="inlineStr"/>
      <c r="O2058">
        <f>(1-Summary!$B$11)*T2058+Summary!$B$11*V2058</f>
        <v/>
      </c>
      <c r="P2058">
        <f>IF(B2084=0,0,O2058/B2084)</f>
        <v/>
      </c>
      <c r="Q2058" t="n">
        <v>0</v>
      </c>
      <c r="R2058" t="n">
        <v>0</v>
      </c>
      <c r="S2058">
        <f>IFERROR(O2058/N2058,0)</f>
        <v/>
      </c>
      <c r="T2058" t="n">
        <v>0</v>
      </c>
      <c r="V2058" t="n">
        <v>0</v>
      </c>
    </row>
    <row r="2059">
      <c r="A2059">
        <f>Skills!A14</f>
        <v/>
      </c>
      <c r="B2059">
        <f>Skills!B14</f>
        <v/>
      </c>
      <c r="C2059">
        <f>Inputs!$B$3&gt;=75</f>
        <v/>
      </c>
      <c r="D2059">
        <f>IF(Skills!C14=1,60+Inputs!$B$25+Inputs!$B$29,IF(Skills!C14=2,90+Inputs!$B$26+Inputs!$B$29,IF(Skills!C14=3,120+Inputs!$B$27+Inputs!$B$29,MAX(0,(Inputs!$B$3-100)*3)+Inputs!$B$28+Inputs!$B$29)))</f>
        <v/>
      </c>
      <c r="E2059">
        <f>INDEX(FactorTable!$B$2:$Y$301, MATCH(ROUND(MIN(300,MAX(1,D2059)),0), FactorTable!$A$2:$A$301,0), Skills!M14+1)</f>
        <v/>
      </c>
      <c r="F2059">
        <f>IF(Skills!N14=TRUE,(Skills!L14/10)*(E2059/1000),Skills!L14/10)+Skills!O14</f>
        <v/>
      </c>
      <c r="G2059">
        <f>Skills!G14*IF(Skills!H14&gt;0,Skills!I14/Skills!H14,1)</f>
        <v/>
      </c>
      <c r="H2059">
        <f>1-(1-Skills!J14/100)^Skills!K14</f>
        <v/>
      </c>
      <c r="I2059" t="inlineStr">
        <is>
          <t>1</t>
        </is>
      </c>
      <c r="J2059" t="inlineStr"/>
      <c r="K2059" t="inlineStr"/>
      <c r="L2059" t="inlineStr"/>
      <c r="M2059" t="inlineStr"/>
      <c r="N2059" t="inlineStr"/>
      <c r="O2059">
        <f>(1-Summary!$B$11)*T2059+Summary!$B$11*V2059</f>
        <v/>
      </c>
      <c r="P2059">
        <f>IF(B2084=0,0,O2059/B2084)</f>
        <v/>
      </c>
      <c r="Q2059" t="n">
        <v>0</v>
      </c>
      <c r="R2059" t="n">
        <v>0</v>
      </c>
      <c r="S2059">
        <f>IFERROR(O2059/N2059,0)</f>
        <v/>
      </c>
      <c r="T2059" t="n">
        <v>0</v>
      </c>
      <c r="V2059" t="n">
        <v>0</v>
      </c>
    </row>
    <row r="2060">
      <c r="A2060">
        <f>Skills!A15</f>
        <v/>
      </c>
      <c r="B2060">
        <f>Skills!B15</f>
        <v/>
      </c>
      <c r="C2060">
        <f>Inputs!$B$3&gt;=40</f>
        <v/>
      </c>
      <c r="D2060">
        <f>IF(Skills!C15=1,60+Inputs!$B$25+Inputs!$B$29,IF(Skills!C15=2,90+Inputs!$B$26+Inputs!$B$29,IF(Skills!C15=3,120+Inputs!$B$27+Inputs!$B$29,MAX(0,(Inputs!$B$3-100)*3)+Inputs!$B$28+Inputs!$B$29)))</f>
        <v/>
      </c>
      <c r="E2060">
        <f>INDEX(FactorTable!$B$2:$Y$301, MATCH(ROUND(MIN(300,MAX(1,D2060)),0), FactorTable!$A$2:$A$301,0), Skills!M15+1)</f>
        <v/>
      </c>
      <c r="F2060">
        <f>IF(Skills!N15=TRUE,(Skills!L15/10)*(E2060/1000),Skills!L15/10)+Skills!O15</f>
        <v/>
      </c>
      <c r="G2060">
        <f>Skills!G15*IF(Skills!H15&gt;0,Skills!I15/Skills!H15,1)</f>
        <v/>
      </c>
      <c r="H2060">
        <f>1-(1-Skills!J15/100)^Skills!K15</f>
        <v/>
      </c>
      <c r="I2060" t="inlineStr">
        <is>
          <t>1</t>
        </is>
      </c>
      <c r="J2060" t="inlineStr"/>
      <c r="K2060" t="inlineStr"/>
      <c r="L2060" t="inlineStr"/>
      <c r="M2060" t="inlineStr"/>
      <c r="N2060" t="inlineStr"/>
      <c r="O2060">
        <f>(1-Summary!$B$11)*T2060+Summary!$B$11*V2060</f>
        <v/>
      </c>
      <c r="P2060">
        <f>IF(B2084=0,0,O2060/B2084)</f>
        <v/>
      </c>
      <c r="Q2060">
        <f>IFERROR(1/(IF(Inputs!$B$38="pvp",15,MAX(0.1,Skills!D15-IF(Skills!E15=TRUE,Inputs!$B$32,0)))*(1-IF(AND(ArtifactsInput!$M$27,Inputs!$B$4="Chapter Hunt"),CHOOSE(ArtifactsInput!$N$27+1,20,24,28,32,36,40),0)/100)),0)</f>
        <v/>
      </c>
      <c r="R2060">
        <f>IF(AND(Inputs!$B$38&lt;&gt;"pvp",Inputs!$B$43&gt;0),IF(Inputs!$B$43&lt;=0,0,(INT(Inputs!$B$43/(IF(Inputs!$B$38="pvp",15,MAX(0.1,Skills!D15-IF(Skills!E15=TRUE,Inputs!$B$32,0)))*(1-IF(AND(ArtifactsInput!$M$27,Inputs!$B$4="Chapter Hunt"),CHOOSE(ArtifactsInput!$N$27+1,20,24,28,32,36,40),0)/100)))+1)),0)</f>
        <v/>
      </c>
      <c r="S2060">
        <f>IFERROR(O2060/N2060,0)</f>
        <v/>
      </c>
      <c r="T2060" t="n">
        <v>0</v>
      </c>
      <c r="V2060" t="n">
        <v>0</v>
      </c>
    </row>
    <row r="2061">
      <c r="A2061">
        <f>Skills!A16</f>
        <v/>
      </c>
      <c r="B2061">
        <f>Skills!B16</f>
        <v/>
      </c>
      <c r="C2061">
        <f>Inputs!$B$3&gt;=66</f>
        <v/>
      </c>
      <c r="D2061">
        <f>IF(Skills!C16=1,60+Inputs!$B$25+Inputs!$B$29,IF(Skills!C16=2,90+Inputs!$B$26+Inputs!$B$29,IF(Skills!C16=3,120+Inputs!$B$27+Inputs!$B$29,MAX(0,(Inputs!$B$3-100)*3)+Inputs!$B$28+Inputs!$B$29)))</f>
        <v/>
      </c>
      <c r="E2061">
        <f>INDEX(FactorTable!$B$2:$Y$301, MATCH(ROUND(MIN(300,MAX(1,D2061)),0), FactorTable!$A$2:$A$301,0), Skills!M16+1)</f>
        <v/>
      </c>
      <c r="F2061">
        <f>IF(Skills!N16=TRUE,(Skills!L16/10)*(E2061/1000),Skills!L16/10)+Skills!O16</f>
        <v/>
      </c>
      <c r="G2061">
        <f>Skills!G16*IF(Skills!H16&gt;0,Skills!I16/Skills!H16,1)</f>
        <v/>
      </c>
      <c r="H2061">
        <f>1-(1-Skills!J16/100)^Skills!K16</f>
        <v/>
      </c>
      <c r="I2061" t="inlineStr">
        <is>
          <t>1</t>
        </is>
      </c>
      <c r="J2061" t="inlineStr"/>
      <c r="K2061" t="inlineStr"/>
      <c r="L2061" t="inlineStr"/>
      <c r="M2061" t="inlineStr"/>
      <c r="N2061" t="inlineStr"/>
      <c r="O2061">
        <f>(1-Summary!$B$11)*T2061+Summary!$B$11*V2061</f>
        <v/>
      </c>
      <c r="P2061">
        <f>IF(B2084=0,0,O2061/B2084)</f>
        <v/>
      </c>
      <c r="Q2061">
        <f>IFERROR(1/(IF(Inputs!$B$38="pvp",15,MAX(0.1,Skills!D16-IF(Skills!E16=TRUE,Inputs!$B$32,0)))*(1-IF(AND(ArtifactsInput!$M$27,Inputs!$B$4="Chapter Hunt"),CHOOSE(ArtifactsInput!$N$27+1,20,24,28,32,36,40),0)/100)),0)</f>
        <v/>
      </c>
      <c r="R2061">
        <f>IF(AND(Inputs!$B$38&lt;&gt;"pvp",Inputs!$B$43&gt;0),IF(Inputs!$B$43&lt;=0,0,(INT(Inputs!$B$43/(IF(Inputs!$B$38="pvp",15,MAX(0.1,Skills!D16-IF(Skills!E16=TRUE,Inputs!$B$32,0)))*(1-IF(AND(ArtifactsInput!$M$27,Inputs!$B$4="Chapter Hunt"),CHOOSE(ArtifactsInput!$N$27+1,20,24,28,32,36,40),0)/100)))+1)),0)</f>
        <v/>
      </c>
      <c r="S2061">
        <f>IFERROR(O2061/N2061,0)</f>
        <v/>
      </c>
      <c r="T2061" t="n">
        <v>0</v>
      </c>
      <c r="V2061" t="n">
        <v>0</v>
      </c>
    </row>
    <row r="2062">
      <c r="A2062">
        <f>Skills!A17</f>
        <v/>
      </c>
      <c r="B2062">
        <f>Skills!B17</f>
        <v/>
      </c>
      <c r="C2062">
        <f>Inputs!$B$3&gt;=115</f>
        <v/>
      </c>
      <c r="D2062">
        <f>IF(Skills!C17=1,60+Inputs!$B$25+Inputs!$B$29,IF(Skills!C17=2,90+Inputs!$B$26+Inputs!$B$29,IF(Skills!C17=3,120+Inputs!$B$27+Inputs!$B$29,MAX(0,(Inputs!$B$3-100)*3)+Inputs!$B$28+Inputs!$B$29)))</f>
        <v/>
      </c>
      <c r="E2062">
        <f>INDEX(FactorTable!$B$2:$Y$301, MATCH(ROUND(MIN(300,MAX(1,D2062)),0), FactorTable!$A$2:$A$301,0), Skills!M17+1)</f>
        <v/>
      </c>
      <c r="F2062">
        <f>IF(Skills!N17=TRUE,(Skills!L17/10)*(E2062/1000),Skills!L17/10)+Skills!O17</f>
        <v/>
      </c>
      <c r="G2062">
        <f>Skills!G17*IF(Skills!H17&gt;0,Skills!I17/Skills!H17,1)</f>
        <v/>
      </c>
      <c r="H2062">
        <f>1-(1-Skills!J17/100)^Skills!K17</f>
        <v/>
      </c>
      <c r="I2062" t="inlineStr">
        <is>
          <t>1</t>
        </is>
      </c>
      <c r="J2062" t="inlineStr"/>
      <c r="K2062" t="inlineStr"/>
      <c r="L2062" t="inlineStr"/>
      <c r="M2062" t="inlineStr"/>
      <c r="N2062" t="inlineStr"/>
      <c r="O2062">
        <f>(1-Summary!$B$11)*T2062+Summary!$B$11*V2062</f>
        <v/>
      </c>
      <c r="P2062">
        <f>IF(B2084=0,0,O2062/B2084)</f>
        <v/>
      </c>
      <c r="Q2062">
        <f>IFERROR(1/(IF(Inputs!$B$38="pvp",15,MAX(0.1,Skills!D17-IF(Skills!E17=TRUE,Inputs!$B$32,0)))*(1-IF(AND(ArtifactsInput!$M$27,Inputs!$B$4="Chapter Hunt"),CHOOSE(ArtifactsInput!$N$27+1,20,24,28,32,36,40),0)/100)),0)</f>
        <v/>
      </c>
      <c r="R2062">
        <f>IF(AND(Inputs!$B$38&lt;&gt;"pvp",Inputs!$B$43&gt;0),IF(Inputs!$B$43&lt;=0,0,(INT(Inputs!$B$43/(IF(Inputs!$B$38="pvp",15,MAX(0.1,Skills!D17-IF(Skills!E17=TRUE,Inputs!$B$32,0)))*(1-IF(AND(ArtifactsInput!$M$27,Inputs!$B$4="Chapter Hunt"),CHOOSE(ArtifactsInput!$N$27+1,20,24,28,32,36,40),0)/100)))+1)),0)</f>
        <v/>
      </c>
      <c r="S2062">
        <f>IFERROR(O2062/N2062,0)</f>
        <v/>
      </c>
      <c r="T2062" t="n">
        <v>0</v>
      </c>
      <c r="V2062" t="n">
        <v>0</v>
      </c>
    </row>
    <row r="2063">
      <c r="A2063">
        <f>Skills!A18</f>
        <v/>
      </c>
      <c r="B2063">
        <f>Skills!B18</f>
        <v/>
      </c>
      <c r="C2063">
        <f>Inputs!$B$3&gt;=115</f>
        <v/>
      </c>
      <c r="D2063">
        <f>IF(Skills!C18=1,60+Inputs!$B$25+Inputs!$B$29,IF(Skills!C18=2,90+Inputs!$B$26+Inputs!$B$29,IF(Skills!C18=3,120+Inputs!$B$27+Inputs!$B$29,MAX(0,(Inputs!$B$3-100)*3)+Inputs!$B$28+Inputs!$B$29)))</f>
        <v/>
      </c>
      <c r="E2063">
        <f>INDEX(FactorTable!$B$2:$Y$301, MATCH(ROUND(MIN(300,MAX(1,D2063)),0), FactorTable!$A$2:$A$301,0), Skills!M18+1)</f>
        <v/>
      </c>
      <c r="F2063">
        <f>IF(Skills!N18=TRUE,(Skills!L18/10)*(E2063/1000),Skills!L18/10)+Skills!O18</f>
        <v/>
      </c>
      <c r="G2063">
        <f>Skills!G18*IF(Skills!H18&gt;0,Skills!I18/Skills!H18,1)</f>
        <v/>
      </c>
      <c r="H2063">
        <f>1-(1-Skills!J18/100)^Skills!K18</f>
        <v/>
      </c>
      <c r="I2063" t="inlineStr">
        <is>
          <t>1</t>
        </is>
      </c>
      <c r="J2063" t="inlineStr"/>
      <c r="K2063" t="inlineStr"/>
      <c r="L2063" t="inlineStr"/>
      <c r="M2063" t="inlineStr"/>
      <c r="N2063" t="inlineStr"/>
      <c r="O2063">
        <f>(1-Summary!$B$11)*T2063+Summary!$B$11*V2063</f>
        <v/>
      </c>
      <c r="P2063">
        <f>IF(B2084=0,0,O2063/B2084)</f>
        <v/>
      </c>
      <c r="Q2063">
        <f>IFERROR(1/(IF(Inputs!$B$38="pvp",15,MAX(0.1,Skills!D18-IF(Skills!E18=TRUE,Inputs!$B$32,0)))*(1-IF(AND(ArtifactsInput!$M$27,Inputs!$B$4="Chapter Hunt"),CHOOSE(ArtifactsInput!$N$27+1,20,24,28,32,36,40),0)/100)),0)</f>
        <v/>
      </c>
      <c r="R2063">
        <f>IF(AND(Inputs!$B$38&lt;&gt;"pvp",Inputs!$B$43&gt;0),IF(Inputs!$B$43&lt;=0,0,(INT(Inputs!$B$43/(IF(Inputs!$B$38="pvp",15,MAX(0.1,Skills!D18-IF(Skills!E18=TRUE,Inputs!$B$32,0)))*(1-IF(AND(ArtifactsInput!$M$27,Inputs!$B$4="Chapter Hunt"),CHOOSE(ArtifactsInput!$N$27+1,20,24,28,32,36,40),0)/100)))+1)),0)</f>
        <v/>
      </c>
      <c r="S2063">
        <f>IFERROR(O2063/N2063,0)</f>
        <v/>
      </c>
      <c r="T2063" t="n">
        <v>0</v>
      </c>
      <c r="V2063" t="n">
        <v>0</v>
      </c>
    </row>
    <row r="2064">
      <c r="A2064">
        <f>Skills!A19</f>
        <v/>
      </c>
      <c r="B2064">
        <f>Skills!B19</f>
        <v/>
      </c>
      <c r="C2064">
        <f>TRUE</f>
        <v/>
      </c>
      <c r="D2064">
        <f>IF(Skills!C19=1,60+Inputs!$B$25+Inputs!$B$29,IF(Skills!C19=2,90+Inputs!$B$26+Inputs!$B$29,IF(Skills!C19=3,120+Inputs!$B$27+Inputs!$B$29,MAX(0,(Inputs!$B$3-100)*3)+Inputs!$B$28+Inputs!$B$29)))</f>
        <v/>
      </c>
      <c r="E2064">
        <f>INDEX(FactorTable!$B$2:$Y$301, MATCH(ROUND(MIN(300,MAX(1,D2064)),0), FactorTable!$A$2:$A$301,0), Skills!M19+1)</f>
        <v/>
      </c>
      <c r="F2064">
        <f>IF(Skills!N19=TRUE,(Skills!L19/10)*(E2064/1000),Skills!L19/10)+Skills!O19</f>
        <v/>
      </c>
      <c r="G2064">
        <f>Skills!G19*IF(Skills!H19&gt;0,Skills!I19/Skills!H19,1)</f>
        <v/>
      </c>
      <c r="H2064">
        <f>1-(1-Skills!J19/100)^Skills!K19</f>
        <v/>
      </c>
      <c r="I2064" t="inlineStr">
        <is>
          <t>1</t>
        </is>
      </c>
      <c r="J2064" t="inlineStr"/>
      <c r="K2064" t="inlineStr"/>
      <c r="L2064" t="inlineStr"/>
      <c r="M2064" t="inlineStr"/>
      <c r="N2064" t="inlineStr"/>
      <c r="O2064">
        <f>(1-Summary!$B$11)*T2064+Summary!$B$11*V2064</f>
        <v/>
      </c>
      <c r="P2064">
        <f>IF(B2084=0,0,O2064/B2084)</f>
        <v/>
      </c>
      <c r="Q2064">
        <f>IFERROR(1/(IF(Inputs!$B$38="pvp",15,MAX(0.1,Skills!D19-IF(Skills!E19=TRUE,Inputs!$B$32,0)))*(1-IF(AND(ArtifactsInput!$M$27,Inputs!$B$4="Chapter Hunt"),CHOOSE(ArtifactsInput!$N$27+1,20,24,28,32,36,40),0)/100)),0)</f>
        <v/>
      </c>
      <c r="R2064">
        <f>IF(AND(Inputs!$B$38&lt;&gt;"pvp",Inputs!$B$43&gt;0),IF(Inputs!$B$43&lt;=0,0,(INT(Inputs!$B$43/(IF(Inputs!$B$38="pvp",15,MAX(0.1,Skills!D19-IF(Skills!E19=TRUE,Inputs!$B$32,0)))*(1-IF(AND(ArtifactsInput!$M$27,Inputs!$B$4="Chapter Hunt"),CHOOSE(ArtifactsInput!$N$27+1,20,24,28,32,36,40),0)/100)))+1)),0)</f>
        <v/>
      </c>
      <c r="S2064">
        <f>IFERROR(O2064/N2064,0)</f>
        <v/>
      </c>
      <c r="T2064" t="n">
        <v>0</v>
      </c>
      <c r="V2064" t="n">
        <v>0</v>
      </c>
    </row>
    <row r="2065">
      <c r="A2065">
        <f>Skills!A20</f>
        <v/>
      </c>
      <c r="B2065">
        <f>Skills!B20</f>
        <v/>
      </c>
      <c r="C2065">
        <f>Inputs!$B$3&gt;=33</f>
        <v/>
      </c>
      <c r="D2065">
        <f>IF(Skills!C20=1,60+Inputs!$B$25+Inputs!$B$29,IF(Skills!C20=2,90+Inputs!$B$26+Inputs!$B$29,IF(Skills!C20=3,120+Inputs!$B$27+Inputs!$B$29,MAX(0,(Inputs!$B$3-100)*3)+Inputs!$B$28+Inputs!$B$29)))</f>
        <v/>
      </c>
      <c r="E2065">
        <f>INDEX(FactorTable!$B$2:$Y$301, MATCH(ROUND(MIN(300,MAX(1,D2065)),0), FactorTable!$A$2:$A$301,0), Skills!M20+1)</f>
        <v/>
      </c>
      <c r="F2065">
        <f>IF(Skills!N20=TRUE,(Skills!L20/10)*(E2065/1000),Skills!L20/10)+Skills!O20</f>
        <v/>
      </c>
      <c r="G2065">
        <f>Skills!G20*IF(Skills!H20&gt;0,Skills!I20/Skills!H20,1)</f>
        <v/>
      </c>
      <c r="H2065">
        <f>1-(1-Skills!J20/100)^Skills!K20</f>
        <v/>
      </c>
      <c r="I2065" t="inlineStr">
        <is>
          <t>1</t>
        </is>
      </c>
      <c r="J2065" t="inlineStr"/>
      <c r="K2065" t="inlineStr"/>
      <c r="L2065" t="inlineStr"/>
      <c r="M2065" t="inlineStr"/>
      <c r="N2065" t="inlineStr"/>
      <c r="O2065">
        <f>(1-Summary!$B$11)*T2065+Summary!$B$11*V2065</f>
        <v/>
      </c>
      <c r="P2065">
        <f>IF(B2084=0,0,O2065/B2084)</f>
        <v/>
      </c>
      <c r="Q2065" t="n">
        <v>0</v>
      </c>
      <c r="R2065" t="n">
        <v>0</v>
      </c>
      <c r="S2065">
        <f>IFERROR(O2065/N2065,0)</f>
        <v/>
      </c>
      <c r="T2065" t="n">
        <v>0</v>
      </c>
      <c r="V2065" t="n">
        <v>0</v>
      </c>
    </row>
    <row r="2066">
      <c r="A2066">
        <f>Skills!A21</f>
        <v/>
      </c>
      <c r="B2066">
        <f>Skills!B21</f>
        <v/>
      </c>
      <c r="C2066">
        <f>Inputs!$B$3&gt;=38</f>
        <v/>
      </c>
      <c r="D2066">
        <f>IF(Skills!C21=1,60+Inputs!$B$25+Inputs!$B$29,IF(Skills!C21=2,90+Inputs!$B$26+Inputs!$B$29,IF(Skills!C21=3,120+Inputs!$B$27+Inputs!$B$29,MAX(0,(Inputs!$B$3-100)*3)+Inputs!$B$28+Inputs!$B$29)))</f>
        <v/>
      </c>
      <c r="E2066">
        <f>INDEX(FactorTable!$B$2:$Y$301, MATCH(ROUND(MIN(300,MAX(1,D2066)),0), FactorTable!$A$2:$A$301,0), Skills!M21+1)</f>
        <v/>
      </c>
      <c r="F2066">
        <f>IF(Skills!N21=TRUE,(Skills!L21/10)*(E2066/1000),Skills!L21/10)+Skills!O21</f>
        <v/>
      </c>
      <c r="G2066">
        <f>Skills!G21*IF(Skills!H21&gt;0,Skills!I21/Skills!H21,1)</f>
        <v/>
      </c>
      <c r="H2066">
        <f>1-(1-Skills!J21/100)^Skills!K21</f>
        <v/>
      </c>
      <c r="I2066" t="inlineStr">
        <is>
          <t>1</t>
        </is>
      </c>
      <c r="J2066" t="inlineStr"/>
      <c r="K2066" t="inlineStr"/>
      <c r="L2066" t="inlineStr"/>
      <c r="M2066" t="inlineStr"/>
      <c r="N2066" t="inlineStr"/>
      <c r="O2066">
        <f>(1-Summary!$B$11)*T2066+Summary!$B$11*V2066</f>
        <v/>
      </c>
      <c r="P2066">
        <f>IF(B2084=0,0,O2066/B2084)</f>
        <v/>
      </c>
      <c r="Q2066" t="n">
        <v>0</v>
      </c>
      <c r="R2066" t="n">
        <v>0</v>
      </c>
      <c r="S2066">
        <f>IFERROR(O2066/N2066,0)</f>
        <v/>
      </c>
      <c r="T2066" t="n">
        <v>0</v>
      </c>
      <c r="V2066" t="n">
        <v>0</v>
      </c>
    </row>
    <row r="2067">
      <c r="A2067">
        <f>Skills!A22</f>
        <v/>
      </c>
      <c r="B2067">
        <f>Skills!B22</f>
        <v/>
      </c>
      <c r="C2067">
        <f>Inputs!$B$3&gt;=43</f>
        <v/>
      </c>
      <c r="D2067">
        <f>IF(Skills!C22=1,60+Inputs!$B$25+Inputs!$B$29,IF(Skills!C22=2,90+Inputs!$B$26+Inputs!$B$29,IF(Skills!C22=3,120+Inputs!$B$27+Inputs!$B$29,MAX(0,(Inputs!$B$3-100)*3)+Inputs!$B$28+Inputs!$B$29)))</f>
        <v/>
      </c>
      <c r="E2067">
        <f>INDEX(FactorTable!$B$2:$Y$301, MATCH(ROUND(MIN(300,MAX(1,D2067)),0), FactorTable!$A$2:$A$301,0), Skills!M22+1)</f>
        <v/>
      </c>
      <c r="F2067">
        <f>IF(Skills!N22=TRUE,(Skills!L22/10)*(E2067/1000),Skills!L22/10)+Skills!O22</f>
        <v/>
      </c>
      <c r="G2067">
        <f>Skills!G22*IF(Skills!H22&gt;0,Skills!I22/Skills!H22,1)</f>
        <v/>
      </c>
      <c r="H2067">
        <f>1-(1-Skills!J22/100)^Skills!K22</f>
        <v/>
      </c>
      <c r="I2067" t="inlineStr">
        <is>
          <t>1</t>
        </is>
      </c>
      <c r="J2067" t="inlineStr"/>
      <c r="K2067" t="inlineStr"/>
      <c r="L2067" t="inlineStr"/>
      <c r="M2067" t="inlineStr"/>
      <c r="N2067" t="inlineStr"/>
      <c r="O2067">
        <f>(1-Summary!$B$11)*T2067+Summary!$B$11*V2067</f>
        <v/>
      </c>
      <c r="P2067">
        <f>IF(B2084=0,0,O2067/B2084)</f>
        <v/>
      </c>
      <c r="Q2067" t="n">
        <v>0</v>
      </c>
      <c r="R2067" t="n">
        <v>0</v>
      </c>
      <c r="S2067">
        <f>IFERROR(O2067/N2067,0)</f>
        <v/>
      </c>
      <c r="T2067" t="n">
        <v>0</v>
      </c>
      <c r="V2067" t="n">
        <v>0</v>
      </c>
    </row>
    <row r="2068">
      <c r="A2068">
        <f>Skills!A23</f>
        <v/>
      </c>
      <c r="B2068">
        <f>Skills!B23</f>
        <v/>
      </c>
      <c r="C2068">
        <f>Inputs!$B$3&gt;=120</f>
        <v/>
      </c>
      <c r="D2068">
        <f>IF(Skills!C23=1,60+Inputs!$B$25+Inputs!$B$29,IF(Skills!C23=2,90+Inputs!$B$26+Inputs!$B$29,IF(Skills!C23=3,120+Inputs!$B$27+Inputs!$B$29,MAX(0,(Inputs!$B$3-100)*3)+Inputs!$B$28+Inputs!$B$29)))</f>
        <v/>
      </c>
      <c r="E2068">
        <f>INDEX(FactorTable!$B$2:$Y$301, MATCH(ROUND(MIN(300,MAX(1,D2068)),0), FactorTable!$A$2:$A$301,0), Skills!M23+1)</f>
        <v/>
      </c>
      <c r="F2068">
        <f>IF(Skills!N23=TRUE,(Skills!L23/10)*(E2068/1000),Skills!L23/10)+Skills!O23</f>
        <v/>
      </c>
      <c r="G2068">
        <f>Skills!G23*IF(Skills!H23&gt;0,Skills!I23/Skills!H23,1)</f>
        <v/>
      </c>
      <c r="H2068">
        <f>1-(1-Skills!J23/100)^Skills!K23</f>
        <v/>
      </c>
      <c r="I2068" t="inlineStr">
        <is>
          <t>1</t>
        </is>
      </c>
      <c r="J2068" t="inlineStr"/>
      <c r="K2068" t="inlineStr"/>
      <c r="L2068" t="inlineStr"/>
      <c r="M2068" t="inlineStr"/>
      <c r="N2068" t="inlineStr"/>
      <c r="O2068">
        <f>(1-Summary!$B$11)*T2068+Summary!$B$11*V2068</f>
        <v/>
      </c>
      <c r="P2068">
        <f>IF(B2084=0,0,O2068/B2084)</f>
        <v/>
      </c>
      <c r="Q2068" t="n">
        <v>0</v>
      </c>
      <c r="R2068" t="n">
        <v>0</v>
      </c>
      <c r="S2068">
        <f>IFERROR(O2068/N2068,0)</f>
        <v/>
      </c>
      <c r="T2068" t="n">
        <v>0</v>
      </c>
      <c r="V2068" t="n">
        <v>0</v>
      </c>
    </row>
    <row r="2069">
      <c r="A2069">
        <f>Skills!A24</f>
        <v/>
      </c>
      <c r="B2069">
        <f>Skills!B24</f>
        <v/>
      </c>
      <c r="C2069">
        <f>Inputs!$B$3&gt;=120</f>
        <v/>
      </c>
      <c r="D2069">
        <f>IF(Skills!C24=1,60+Inputs!$B$25+Inputs!$B$29,IF(Skills!C24=2,90+Inputs!$B$26+Inputs!$B$29,IF(Skills!C24=3,120+Inputs!$B$27+Inputs!$B$29,MAX(0,(Inputs!$B$3-100)*3)+Inputs!$B$28+Inputs!$B$29)))</f>
        <v/>
      </c>
      <c r="E2069">
        <f>INDEX(FactorTable!$B$2:$Y$301, MATCH(ROUND(MIN(300,MAX(1,D2069)),0), FactorTable!$A$2:$A$301,0), Skills!M24+1)</f>
        <v/>
      </c>
      <c r="F2069">
        <f>IF(Skills!N24=TRUE,(Skills!L24/10)*(E2069/1000),Skills!L24/10)+Skills!O24</f>
        <v/>
      </c>
      <c r="G2069">
        <f>Skills!G24*IF(Skills!H24&gt;0,Skills!I24/Skills!H24,1)</f>
        <v/>
      </c>
      <c r="H2069">
        <f>1-(1-Skills!J24/100)^Skills!K24</f>
        <v/>
      </c>
      <c r="I2069" t="inlineStr">
        <is>
          <t>1</t>
        </is>
      </c>
      <c r="J2069" t="inlineStr"/>
      <c r="K2069" t="inlineStr"/>
      <c r="L2069" t="inlineStr"/>
      <c r="M2069" t="inlineStr"/>
      <c r="N2069" t="inlineStr"/>
      <c r="O2069">
        <f>(1-Summary!$B$11)*T2069+Summary!$B$11*V2069</f>
        <v/>
      </c>
      <c r="P2069">
        <f>IF(B2084=0,0,O2069/B2084)</f>
        <v/>
      </c>
      <c r="Q2069" t="n">
        <v>0</v>
      </c>
      <c r="R2069" t="n">
        <v>0</v>
      </c>
      <c r="S2069">
        <f>IFERROR(O2069/N2069,0)</f>
        <v/>
      </c>
      <c r="T2069" t="n">
        <v>0</v>
      </c>
      <c r="V2069" t="n">
        <v>0</v>
      </c>
    </row>
    <row r="2070">
      <c r="A2070">
        <f>Skills!A25</f>
        <v/>
      </c>
      <c r="B2070">
        <f>Skills!B25</f>
        <v/>
      </c>
      <c r="C2070">
        <f>Inputs!$B$3&gt;=125</f>
        <v/>
      </c>
      <c r="D2070">
        <f>IF(Skills!C25=1,60+Inputs!$B$25+Inputs!$B$29,IF(Skills!C25=2,90+Inputs!$B$26+Inputs!$B$29,IF(Skills!C25=3,120+Inputs!$B$27+Inputs!$B$29,MAX(0,(Inputs!$B$3-100)*3)+Inputs!$B$28+Inputs!$B$29)))</f>
        <v/>
      </c>
      <c r="E2070">
        <f>INDEX(FactorTable!$B$2:$Y$301, MATCH(ROUND(MIN(300,MAX(1,D2070)),0), FactorTable!$A$2:$A$301,0), Skills!M25+1)</f>
        <v/>
      </c>
      <c r="F2070">
        <f>IF(Skills!N25=TRUE,(Skills!L25/10)*(E2070/1000),Skills!L25/10)+Skills!O25</f>
        <v/>
      </c>
      <c r="G2070">
        <f>Skills!G25*IF(Skills!H25&gt;0,Skills!I25/Skills!H25,1)</f>
        <v/>
      </c>
      <c r="H2070">
        <f>1-(1-Skills!J25/100)^Skills!K25</f>
        <v/>
      </c>
      <c r="I2070" t="inlineStr">
        <is>
          <t>1</t>
        </is>
      </c>
      <c r="J2070" t="inlineStr"/>
      <c r="K2070" t="inlineStr"/>
      <c r="L2070" t="inlineStr"/>
      <c r="M2070" t="inlineStr"/>
      <c r="N2070" t="inlineStr"/>
      <c r="O2070">
        <f>(1-Summary!$B$11)*T2070+Summary!$B$11*V2070</f>
        <v/>
      </c>
      <c r="P2070">
        <f>IF(B2084=0,0,O2070/B2084)</f>
        <v/>
      </c>
      <c r="Q2070" t="n">
        <v>0</v>
      </c>
      <c r="R2070" t="n">
        <v>0</v>
      </c>
      <c r="S2070">
        <f>IFERROR(O2070/N2070,0)</f>
        <v/>
      </c>
      <c r="T2070" t="n">
        <v>0</v>
      </c>
      <c r="V2070" t="n">
        <v>0</v>
      </c>
    </row>
    <row r="2071">
      <c r="A2071">
        <f>Skills!A26</f>
        <v/>
      </c>
      <c r="B2071">
        <f>Skills!B26</f>
        <v/>
      </c>
      <c r="C2071">
        <f>Inputs!$B$3&gt;=72</f>
        <v/>
      </c>
      <c r="D2071">
        <f>IF(Skills!C26=1,60+Inputs!$B$25+Inputs!$B$29,IF(Skills!C26=2,90+Inputs!$B$26+Inputs!$B$29,IF(Skills!C26=3,120+Inputs!$B$27+Inputs!$B$29,MAX(0,(Inputs!$B$3-100)*3)+Inputs!$B$28+Inputs!$B$29)))</f>
        <v/>
      </c>
      <c r="E2071">
        <f>INDEX(FactorTable!$B$2:$Y$301, MATCH(ROUND(MIN(300,MAX(1,D2071)),0), FactorTable!$A$2:$A$301,0), Skills!M26+1)</f>
        <v/>
      </c>
      <c r="F2071">
        <f>IF(Skills!N26=TRUE,(Skills!L26/10)*(E2071/1000),Skills!L26/10)+Skills!O26</f>
        <v/>
      </c>
      <c r="G2071">
        <f>Skills!G26*IF(Skills!H26&gt;0,Skills!I26/Skills!H26,1)</f>
        <v/>
      </c>
      <c r="H2071">
        <f>1-(1-Skills!J26/100)^Skills!K26</f>
        <v/>
      </c>
      <c r="I2071" t="inlineStr">
        <is>
          <t>1</t>
        </is>
      </c>
      <c r="J2071" t="inlineStr"/>
      <c r="K2071" t="inlineStr"/>
      <c r="L2071" t="inlineStr"/>
      <c r="M2071" t="inlineStr"/>
      <c r="N2071" t="inlineStr"/>
      <c r="O2071">
        <f>(1-Summary!$B$11)*T2071+Summary!$B$11*V2071</f>
        <v/>
      </c>
      <c r="P2071">
        <f>IF(B2084=0,0,O2071/B2084)</f>
        <v/>
      </c>
      <c r="Q2071" t="n">
        <v>0</v>
      </c>
      <c r="R2071" t="n">
        <v>0</v>
      </c>
      <c r="S2071">
        <f>IFERROR(O2071/N2071,0)</f>
        <v/>
      </c>
      <c r="T2071" t="n">
        <v>0</v>
      </c>
      <c r="V2071" t="n">
        <v>0</v>
      </c>
    </row>
    <row r="2073">
      <c r="A2073" t="inlineStr">
        <is>
          <t>Attack% Bucket Multiplier</t>
        </is>
      </c>
      <c r="B2073">
        <f>(1+(((C2058=TRUE)*F2058*IF(Inputs!$B$3&gt;=110,7,5))+((C2060=TRUE)*F2060*IF(AND(Inputs!$B$38&lt;&gt;"pvp",Inputs!$B$43&gt;0),(((R2060-1)*(Skills!T15*(1+(Inputs!$B$34+(ArtifactsInput!$M$7-ArtifactsInput!$M$7)*CHOOSE(ArtifactsInput!$N$7+1,6,7.2,8.4,9.6,10.8,12))/100))+MIN((Skills!T15*(1+(Inputs!$B$34+(ArtifactsInput!$M$7-ArtifactsInput!$M$7)*CHOOSE(ArtifactsInput!$N$7+1,6,7.2,8.4,9.6,10.8,12))/100)),MAX(0,Inputs!$B$43-((R2060-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74">
      <c r="A2074" t="inlineStr">
        <is>
          <t>Global Crit Rate Bonus %</t>
        </is>
      </c>
      <c r="B2074" t="n">
        <v>0</v>
      </c>
    </row>
    <row r="2075">
      <c r="A2075" t="inlineStr">
        <is>
          <t>Attack Speed Buff Bonus %</t>
        </is>
      </c>
      <c r="B2075">
        <f>((C2064=TRUE)*F2064*IF(AND(Inputs!$B$38&lt;&gt;"pvp",Inputs!$B$43&gt;0),(((R2064-1)*(Skills!T19*(1+(Inputs!$B$34+(ArtifactsInput!$M$7-ArtifactsInput!$M$7)*CHOOSE(ArtifactsInput!$N$7+1,6,7.2,8.4,9.6,10.8,12))/100))+MIN((Skills!T19*(1+(Inputs!$B$34+(ArtifactsInput!$M$7-ArtifactsInput!$M$7)*CHOOSE(ArtifactsInput!$N$7+1,6,7.2,8.4,9.6,10.8,12))/100)),MAX(0,Inputs!$B$43-((R2064-1)*Skills!D19))))/Inputs!$B$43),IF(Inputs!$B$38="pvp",MIN((Skills!T19*(1+(Inputs!$B$34+(ArtifactsInput!$M$7-ArtifactsInput!$M$7)*CHOOSE(ArtifactsInput!$N$7+1,6,7.2,8.4,9.6,10.8,12))/100)),15)/15,(Skills!T19*(1+(Inputs!$B$34+(ArtifactsInput!$M$7-ArtifactsInput!$M$7)*CHOOSE(ArtifactsInput!$N$7+1,6,7.2,8.4,9.6,10.8,12))/100))/Skills!D19)))</f>
        <v/>
      </c>
    </row>
    <row r="2076">
      <c r="A2076" t="inlineStr">
        <is>
          <t>Actions Per Second</t>
        </is>
      </c>
      <c r="B2076">
        <f>1+MIN(150,150*(1-(1-(Inputs!$B$11+((C2065=TRUE)*(F2065-Calc!F20)))/150)*(1-B2075/150)))/100</f>
        <v/>
      </c>
    </row>
    <row r="2077">
      <c r="A2077" t="inlineStr">
        <is>
          <t>Skill + Buff Cast Rate</t>
        </is>
      </c>
      <c r="B2077">
        <f>IF(AND(Inputs!$B$38&lt;&gt;"pvp",Inputs!$B$43&gt;0),SUMPRODUCT((Skills!E2:E26=TRUE)*(C2047:C2071=TRUE)*R2047:R2071*Skills!F2:F26)/Inputs!$B$43,SUMPRODUCT((Skills!E2:E26=TRUE)*(C2047:C2071=TRUE)*Q2047:Q2071*Skills!F2:F26))</f>
        <v/>
      </c>
    </row>
    <row r="2078">
      <c r="A2078" t="inlineStr">
        <is>
          <t>Raging Blow Casts Per Second</t>
        </is>
      </c>
      <c r="B2078">
        <f>MAX(0,B2076-B2077)</f>
        <v/>
      </c>
    </row>
    <row r="2079">
      <c r="A2079" t="inlineStr">
        <is>
          <t>Global Critical Damage Bonus % (Enrage)</t>
        </is>
      </c>
      <c r="B2079">
        <f>((C2063=TRUE)*F2063*IF(AND(Inputs!$B$38&lt;&gt;"pvp",Inputs!$B$43&gt;0),(((R2063-1)*(Skills!T18*(1+(Inputs!$B$34+(ArtifactsInput!$M$7-ArtifactsInput!$M$7)*CHOOSE(ArtifactsInput!$N$7+1,6,7.2,8.4,9.6,10.8,12))/100))+MIN((Skills!T18*(1+(Inputs!$B$34+(ArtifactsInput!$M$7-ArtifactsInput!$M$7)*CHOOSE(ArtifactsInput!$N$7+1,6,7.2,8.4,9.6,10.8,12))/100)),MAX(0,Inputs!$B$43-((R2063-1)*Skills!D18))))/Inputs!$B$43),IF(Inputs!$B$38="pvp",MIN((Skills!T18*(1+(Inputs!$B$34+(ArtifactsInput!$M$7-ArtifactsInput!$M$7)*CHOOSE(ArtifactsInput!$N$7+1,6,7.2,8.4,9.6,10.8,12))/100)),15)/15,(Skills!T18*(1+(Inputs!$B$34+(ArtifactsInput!$M$7-ArtifactsInput!$M$7)*CHOOSE(ArtifactsInput!$N$7+1,6,7.2,8.4,9.6,10.8,12))/100))/Skills!D18)))</f>
        <v/>
      </c>
    </row>
    <row r="2080">
      <c r="A2080" t="inlineStr">
        <is>
          <t>Global Final Damage Bonus % (Enrage + Combo Synergy)</t>
        </is>
      </c>
      <c r="B2080">
        <f>((C2062=TRUE)*F2062*IF(AND(Inputs!$B$38&lt;&gt;"pvp",Inputs!$B$43&gt;0),(((R2062-1)*(Skills!T17*(1+(Inputs!$B$34+(ArtifactsInput!$M$7-ArtifactsInput!$M$7)*CHOOSE(ArtifactsInput!$N$7+1,6,7.2,8.4,9.6,10.8,12))/100))+MIN((Skills!T17*(1+(Inputs!$B$34+(ArtifactsInput!$M$7-ArtifactsInput!$M$7)*CHOOSE(ArtifactsInput!$N$7+1,6,7.2,8.4,9.6,10.8,12))/100)),MAX(0,Inputs!$B$43-((R2062-1)*Skills!D17))))/Inputs!$B$43),IF(Inputs!$B$38="pvp",MIN((Skills!T17*(1+(Inputs!$B$34+(ArtifactsInput!$M$7-ArtifactsInput!$M$7)*CHOOSE(ArtifactsInput!$N$7+1,6,7.2,8.4,9.6,10.8,12))/100)),15)/15,(Skills!T17*(1+(Inputs!$B$34+(ArtifactsInput!$M$7-ArtifactsInput!$M$7)*CHOOSE(ArtifactsInput!$N$7+1,6,7.2,8.4,9.6,10.8,12))/100))/Skills!D17)))+((C2059=TRUE)*F2059*IF(Inputs!$B$3&gt;=110,7,5))</f>
        <v/>
      </c>
    </row>
    <row r="2081">
      <c r="A2081" t="inlineStr">
        <is>
          <t>Buff-Casting Startup Delay (s, fixed-duration only)</t>
        </is>
      </c>
      <c r="B2081">
        <f>IF(AND(Inputs!$B$38&lt;&gt;"pvp",Inputs!$B$43&gt;0),SUMPRODUCT((Skills!T2:T26&gt;0)*(Skills!E2:E26=TRUE)*(C2047:C2071=TRUE))/B2076,0)</f>
        <v/>
      </c>
    </row>
    <row r="2082">
      <c r="A2082" t="inlineStr">
        <is>
          <t>Boss-Only Total DPS (this block's swept value)</t>
        </is>
      </c>
      <c r="B2082">
        <f>SUM(T2047:T2071)</f>
        <v/>
      </c>
    </row>
    <row r="2083">
      <c r="A2083" t="inlineStr">
        <is>
          <t>Normal-Only Total DPS (this block's swept value)</t>
        </is>
      </c>
      <c r="B2083">
        <f>SUM(V2047:V2071)</f>
        <v/>
      </c>
    </row>
    <row r="2084">
      <c r="A2084" s="6" t="inlineStr">
        <is>
          <t>TOTAL DPS</t>
        </is>
      </c>
      <c r="B2084" s="6">
        <f>SUM(O2047:O2071)</f>
        <v/>
      </c>
    </row>
    <row r="2087">
      <c r="A2087" s="6" t="inlineStr">
        <is>
          <t>Stat: Soul Pouch (Equip)</t>
        </is>
      </c>
    </row>
    <row r="2088">
      <c r="A2088" s="5" t="inlineStr">
        <is>
          <t>Key</t>
        </is>
      </c>
      <c r="B2088" s="5" t="inlineStr">
        <is>
          <t>Name</t>
        </is>
      </c>
      <c r="C2088" s="5" t="inlineStr">
        <is>
          <t>Unlocked</t>
        </is>
      </c>
      <c r="D2088" s="5" t="inlineStr">
        <is>
          <t>InputLevel</t>
        </is>
      </c>
      <c r="E2088" s="5" t="inlineStr">
        <is>
          <t>Factor</t>
        </is>
      </c>
      <c r="F2088" s="5" t="inlineStr">
        <is>
          <t>CoefficientPercent</t>
        </is>
      </c>
      <c r="G2088" s="5" t="inlineStr">
        <is>
          <t>EffectiveHits</t>
        </is>
      </c>
      <c r="H2088" s="5" t="inlineStr">
        <is>
          <t>ProcProbability</t>
        </is>
      </c>
      <c r="I2088" s="5" t="inlineStr">
        <is>
          <t>MapleHeroMultiplier</t>
        </is>
      </c>
      <c r="J2088" s="5" t="inlineStr">
        <is>
          <t>BaseDamage</t>
        </is>
      </c>
      <c r="K2088" s="5" t="inlineStr">
        <is>
          <t>BaseHitDamage</t>
        </is>
      </c>
      <c r="L2088" s="5" t="inlineStr">
        <is>
          <t>NonCritAvg</t>
        </is>
      </c>
      <c r="M2088" s="5" t="inlineStr">
        <is>
          <t>CritAvg</t>
        </is>
      </c>
      <c r="N2088" s="5" t="inlineStr">
        <is>
          <t>ExpectedDamage(perHit)</t>
        </is>
      </c>
      <c r="O2088" s="5" t="inlineStr">
        <is>
          <t>DPS</t>
        </is>
      </c>
      <c r="P2088" s="5" t="inlineStr">
        <is>
          <t>% of Total</t>
        </is>
      </c>
      <c r="Q2088" s="5" t="inlineStr">
        <is>
          <t>InvCooldown</t>
        </is>
      </c>
      <c r="R2088" s="5" t="inlineStr">
        <is>
          <t>CastsInFight</t>
        </is>
      </c>
      <c r="S2088" s="5" t="inlineStr">
        <is>
          <t>HitRate(perSec)</t>
        </is>
      </c>
      <c r="U2088" t="inlineStr">
        <is>
          <t>helpers</t>
        </is>
      </c>
    </row>
    <row r="2089">
      <c r="A2089">
        <f>Skills!A2</f>
        <v/>
      </c>
      <c r="B2089">
        <f>Skills!B2</f>
        <v/>
      </c>
      <c r="C2089">
        <f>Inputs!$B$3&gt;=100</f>
        <v/>
      </c>
      <c r="D2089" t="inlineStr"/>
      <c r="E2089" t="inlineStr"/>
      <c r="F2089">
        <f>U2091+Skills!O2</f>
        <v/>
      </c>
      <c r="G2089">
        <f>Skills!G2*IF(Skills!H2&gt;0,Skills!I2/Skills!H2,1)</f>
        <v/>
      </c>
      <c r="H2089">
        <f>1-(1-Skills!J2/100)^Skills!K2</f>
        <v/>
      </c>
      <c r="I2089" t="inlineStr">
        <is>
          <t>1</t>
        </is>
      </c>
      <c r="J2089">
        <f>((Inputs!$B$6*(1+Inputs!$B$7/100))+(((Inputs!$B$12*(1+Inputs!$B$13/100))-(Inputs!$B$12*(1+Inputs!$B$13/100)))+0.25*(Inputs!$B$14-Inputs!$B$14))*(1+Inputs!$B$7/100))*(F2089/100)</f>
        <v/>
      </c>
      <c r="K2089">
        <f>J2089*(1+((Inputs!$B$12*(1+Inputs!$B$13/100))*0.01+Inputs!$B$14*0.0025)/100)*(1+Inputs!$B$15/100)*(1+Inputs!$B$16/100)*(5000/(6000+Inputs!$B$42*(1-(100*(1-(1-(Inputs!$B$19+0)/100)*(1-CHOOSE(ArtifactsInput!$N$40+1,5,6,7,8,9,10)/100)^(ArtifactsInput!$M$40-ArtifactsInput!$M$40)))/100)))*(1+(Inputs!$B$24+((C2112=TRUE)*(F2112-Calc!F25))+B2122)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2108=TRUE)*(F2108-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2110=TRUE)*(F2110-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2100=TRUE)*F2100*IF(Inputs!$B$3&gt;=110,7,5))+((C2102=TRUE)*F2102*IF(AND(Inputs!$B$38&lt;&gt;"pvp",Inputs!$B$43&gt;0),(((R2102-1)*(Skills!T15*(1+(Inputs!$B$34+(ArtifactsInput!$M$7-ArtifactsInput!$M$7)*CHOOSE(ArtifactsInput!$N$7+1,6,7.2,8.4,9.6,10.8,12))/100))+MIN((Skills!T15*(1+(Inputs!$B$34+(ArtifactsInput!$M$7-ArtifactsInput!$M$7)*CHOOSE(ArtifactsInput!$N$7+1,6,7.2,8.4,9.6,10.8,12))/100)),MAX(0,Inputs!$B$43-((R2102-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Hunt"),CHOOSE(ArtifactsInput!$N$35+1,15,18,21,24,27,30)*(1-EXP(-(0.2*B2118)*5)),0)+IF(AND(ArtifactsInput!$M$22,Inputs!$B$4&lt;&gt;"Chapter Hunt"),CHOOSE(ArtifactsInput!$N$22+1,10,12,14,16,18,20)*((0*(((0.15*B2118*5))^0/1)+1*(((0.15*B2118*5))^1/1)+2*(((0.15*B2118*5))^2/2)+3*(((0.15*B2118*5))^3/6)+4*(((0.15*B2118*5))^4/24)+5*(((0.15*B2118*5))^5/120))/((((0.15*B2118*5))^0/1)+(((0.15*B2118*5))^1/1)+(((0.15*B2118*5))^2/2)+(((0.15*B2118*5))^3/6)+(((0.15*B2118*5))^4/24)+(((0.15*B2118*5))^5/120))),0)))/100)*I2089)</f>
        <v/>
      </c>
      <c r="L2089">
        <f>K2089*(MIN(Inputs!$B$22+((C2109=TRUE)*(F2109-Calc!F22)),(Inputs!$B$23+((C2111=TRUE)*(F2111-Calc!F24))+(IF(ArtifactsInput!$M$15,CHOOSE(ArtifactsInput!$N$15+1,25,30,35,40,45,50)/100*(Inputs!$B$11-Inputs!$B$11),0))))/100+(Inputs!$B$23+((C2111=TRUE)*(F2111-Calc!F24))+(IF(ArtifactsInput!$M$15,CHOOSE(ArtifactsInput!$N$15+1,25,30,35,40,45,50)/100*(Inputs!$B$11-Inputs!$B$11),0)))/100)/2</f>
        <v/>
      </c>
      <c r="M2089">
        <f>L2089*(1+(Inputs!$B$10+0+B2121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89">
        <f>L2089*(1-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2089*(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9">
        <f>(1-Summary!$B$11)*T2089+Summary!$B$11*V2089</f>
        <v/>
      </c>
      <c r="P2089">
        <f>IF(B2126=0,0,O2089/B2126)</f>
        <v/>
      </c>
      <c r="Q2089" t="n">
        <v>0</v>
      </c>
      <c r="R2089" t="n">
        <v>0</v>
      </c>
      <c r="S2089">
        <f>IFERROR(O2089/N2089,0)</f>
        <v/>
      </c>
      <c r="T2089">
        <f>IF(C2089,(Skills!G2*N2089*B2120)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2089*(1-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2089*(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2089*(1-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2089*(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89">
        <f>MAX(0,(Inputs!$B$3-100)*3)+Inputs!$B$28+Inputs!$B$29</f>
        <v/>
      </c>
      <c r="V2089">
        <f>IF(C2089,(Skills!G2*N2089*B2120)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0">
      <c r="A2090">
        <f>Skills!A3</f>
        <v/>
      </c>
      <c r="B2090">
        <f>Skills!B3</f>
        <v/>
      </c>
      <c r="C2090">
        <f>Inputs!$B$3&gt;=50</f>
        <v/>
      </c>
      <c r="D2090">
        <f>IF(Skills!C3=1,60+Inputs!$B$25+Inputs!$B$29,IF(Skills!C3=2,90+Inputs!$B$26+Inputs!$B$29,IF(Skills!C3=3,120+Inputs!$B$27+Inputs!$B$29,MAX(0,(Inputs!$B$3-100)*3)+Inputs!$B$28+Inputs!$B$29)))</f>
        <v/>
      </c>
      <c r="E2090">
        <f>INDEX(FactorTable!$B$2:$Y$301, MATCH(ROUND(MIN(300,MAX(1,D2090)),0), FactorTable!$A$2:$A$301,0), Skills!M3+1)</f>
        <v/>
      </c>
      <c r="F2090">
        <f>IF(Skills!N3=TRUE,(Skills!L3/10)*(E2090/1000),Skills!L3/10)+Skills!O3</f>
        <v/>
      </c>
      <c r="G2090" t="inlineStr"/>
      <c r="H2090" t="inlineStr"/>
      <c r="I2090" t="inlineStr">
        <is>
          <t>1</t>
        </is>
      </c>
      <c r="J2090" t="inlineStr"/>
      <c r="K2090" t="inlineStr"/>
      <c r="L2090" t="inlineStr"/>
      <c r="M2090" t="inlineStr"/>
      <c r="N2090" t="inlineStr"/>
      <c r="O2090" t="inlineStr"/>
      <c r="P2090" t="inlineStr"/>
      <c r="Q2090" t="inlineStr"/>
      <c r="R2090" t="inlineStr"/>
      <c r="S2090" t="inlineStr"/>
      <c r="U2090">
        <f>INDEX(FactorTable!$B$2:$Y$301, MATCH(ROUND(MIN(300,MAX(1,U2089)),0), FactorTable!$A$2:$A$301,0), 22)</f>
        <v/>
      </c>
    </row>
    <row r="2091">
      <c r="A2091">
        <f>Skills!A4</f>
        <v/>
      </c>
      <c r="B2091">
        <f>Skills!B4</f>
        <v/>
      </c>
      <c r="C2091">
        <f>Inputs!$B$3&gt;=105</f>
        <v/>
      </c>
      <c r="D2091">
        <f>IF(Skills!C4=1,60+Inputs!$B$25+Inputs!$B$29,IF(Skills!C4=2,90+Inputs!$B$26+Inputs!$B$29,IF(Skills!C4=3,120+Inputs!$B$27+Inputs!$B$29,MAX(0,(Inputs!$B$3-100)*3)+Inputs!$B$28+Inputs!$B$29)))</f>
        <v/>
      </c>
      <c r="E2091">
        <f>INDEX(FactorTable!$B$2:$Y$301, MATCH(ROUND(MIN(300,MAX(1,D2091)),0), FactorTable!$A$2:$A$301,0), Skills!M4+1)</f>
        <v/>
      </c>
      <c r="F2091">
        <f>IF(Skills!N4=TRUE,(Skills!L4/10)*(E2091/1000),Skills!L4/10)+Skills!O4</f>
        <v/>
      </c>
      <c r="G2091" t="inlineStr"/>
      <c r="H2091" t="inlineStr"/>
      <c r="I2091" t="inlineStr">
        <is>
          <t>1</t>
        </is>
      </c>
      <c r="J2091" t="inlineStr"/>
      <c r="K2091" t="inlineStr"/>
      <c r="L2091" t="inlineStr"/>
      <c r="M2091" t="inlineStr"/>
      <c r="N2091" t="inlineStr"/>
      <c r="O2091" t="inlineStr"/>
      <c r="P2091" t="inlineStr"/>
      <c r="Q2091" t="inlineStr"/>
      <c r="R2091" t="inlineStr"/>
      <c r="S2091" t="inlineStr"/>
      <c r="U2091">
        <f>290*U2090/1000</f>
        <v/>
      </c>
    </row>
    <row r="2092">
      <c r="A2092">
        <f>Skills!A5</f>
        <v/>
      </c>
      <c r="B2092">
        <f>Skills!B5</f>
        <v/>
      </c>
      <c r="C2092">
        <f>Inputs!$B$3&gt;=103</f>
        <v/>
      </c>
      <c r="D2092">
        <f>IF(Skills!C5=1,60+Inputs!$B$25+Inputs!$B$29,IF(Skills!C5=2,90+Inputs!$B$26+Inputs!$B$29,IF(Skills!C5=3,120+Inputs!$B$27+Inputs!$B$29,MAX(0,(Inputs!$B$3-100)*3)+Inputs!$B$28+Inputs!$B$29)))</f>
        <v/>
      </c>
      <c r="E2092">
        <f>INDEX(FactorTable!$B$2:$Y$301, MATCH(ROUND(MIN(300,MAX(1,D2092)),0), FactorTable!$A$2:$A$301,0), Skills!M5+1)</f>
        <v/>
      </c>
      <c r="F2092">
        <f>IF(Skills!N5=TRUE,(Skills!L5/10)*(E2092/1000),Skills!L5/10)+Skills!O5</f>
        <v/>
      </c>
      <c r="G2092">
        <f>Skills!G5*IF(Skills!H5&gt;0,Skills!I5/Skills!H5,1)</f>
        <v/>
      </c>
      <c r="H2092">
        <f>1-(1-Skills!J5/100)^Skills!K5</f>
        <v/>
      </c>
      <c r="I2092" t="inlineStr">
        <is>
          <t>1</t>
        </is>
      </c>
      <c r="J2092">
        <f>((Inputs!$B$6*(1+Inputs!$B$7/100))+(((Inputs!$B$12*(1+Inputs!$B$13/100))-(Inputs!$B$12*(1+Inputs!$B$13/100)))+0.25*(Inputs!$B$14-Inputs!$B$14))*(1+Inputs!$B$7/100))*(F2092/100)</f>
        <v/>
      </c>
      <c r="K2092">
        <f>J2092*(1+((Inputs!$B$12*(1+Inputs!$B$13/100))*0.01+Inputs!$B$14*0.0025)/100)*(1+Inputs!$B$15/100)*(1+Inputs!$B$16/100)*(5000/(6000+Inputs!$B$42*(1-(100*(1-(1-(Inputs!$B$19+0)/100)*(1-CHOOSE(ArtifactsInput!$N$40+1,5,6,7,8,9,10)/100)^(ArtifactsInput!$M$40-ArtifactsInput!$M$40)))/100)))*(1+(Inputs!$B$24+((C2112=TRUE)*(F2112-Calc!F25))+B2122)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2108=TRUE)*(F2108-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2110=TRUE)*(F2110-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2100=TRUE)*F2100*IF(Inputs!$B$3&gt;=110,7,5))+((C2102=TRUE)*F2102*IF(AND(Inputs!$B$38&lt;&gt;"pvp",Inputs!$B$43&gt;0),(((R2102-1)*(Skills!T15*(1+(Inputs!$B$34+(ArtifactsInput!$M$7-ArtifactsInput!$M$7)*CHOOSE(ArtifactsInput!$N$7+1,6,7.2,8.4,9.6,10.8,12))/100))+MIN((Skills!T15*(1+(Inputs!$B$34+(ArtifactsInput!$M$7-ArtifactsInput!$M$7)*CHOOSE(ArtifactsInput!$N$7+1,6,7.2,8.4,9.6,10.8,12))/100)),MAX(0,Inputs!$B$43-((R2102-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Hunt"),CHOOSE(ArtifactsInput!$N$35+1,15,18,21,24,27,30)*(1-EXP(-(0.2*B2118)*5)),0)+IF(AND(ArtifactsInput!$M$22,Inputs!$B$4&lt;&gt;"Chapter Hunt"),CHOOSE(ArtifactsInput!$N$22+1,10,12,14,16,18,20)*((0*(((0.15*B2118*5))^0/1)+1*(((0.15*B2118*5))^1/1)+2*(((0.15*B2118*5))^2/2)+3*(((0.15*B2118*5))^3/6)+4*(((0.15*B2118*5))^4/24)+5*(((0.15*B2118*5))^5/120))/((((0.15*B2118*5))^0/1)+(((0.15*B2118*5))^1/1)+(((0.15*B2118*5))^2/2)+(((0.15*B2118*5))^3/6)+(((0.15*B2118*5))^4/24)+(((0.15*B2118*5))^5/120))),0)))/100)*I2092)</f>
        <v/>
      </c>
      <c r="L2092">
        <f>K2092*(MIN(Inputs!$B$22+((C2109=TRUE)*(F2109-Calc!F22)),(Inputs!$B$23+((C2111=TRUE)*(F2111-Calc!F24))+(IF(ArtifactsInput!$M$15,CHOOSE(ArtifactsInput!$N$15+1,25,30,35,40,45,50)/100*(Inputs!$B$11-Inputs!$B$11),0))))/100+(Inputs!$B$23+((C2111=TRUE)*(F2111-Calc!F24))+(IF(ArtifactsInput!$M$15,CHOOSE(ArtifactsInput!$N$15+1,25,30,35,40,45,50)/100*(Inputs!$B$11-Inputs!$B$11),0)))/100)/2</f>
        <v/>
      </c>
      <c r="M2092">
        <f>L2092*(1+(Inputs!$B$10+0+B2121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2">
        <f>L2092*(1-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2092*(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2">
        <f>(1-Summary!$B$11)*T2092+Summary!$B$11*V2092</f>
        <v/>
      </c>
      <c r="P2092">
        <f>IF(B2126=0,0,O2092/B2126)</f>
        <v/>
      </c>
      <c r="Q2092">
        <f>IFERROR(1/(IF(Inputs!$B$38="pvp",15,MAX(0.1,Skills!D5-IF(Skills!E5=TRUE,Inputs!$B$32,0)))*(1-IF(AND(ArtifactsInput!$M$27,Inputs!$B$4="Chapter Hunt"),CHOOSE(ArtifactsInput!$N$27+1,20,24,28,32,36,40),0)/100)),0)</f>
        <v/>
      </c>
      <c r="R2092">
        <f>IF(AND(Inputs!$B$38&lt;&gt;"pvp",Inputs!$B$43&gt;0),IF(MAX(0,Inputs!$B$43-B2123)&lt;=0,0,(INT(MAX(0,Inputs!$B$43-B2123)/(IF(Inputs!$B$38="pvp",15,MAX(0.1,Skills!D5-IF(Skills!E5=TRUE,Inputs!$B$32,0)))*(1-IF(AND(ArtifactsInput!$M$27,Inputs!$B$4="Chapter Hunt"),CHOOSE(ArtifactsInput!$N$27+1,20,24,28,32,36,40),0)/100)))+1)),0)</f>
        <v/>
      </c>
      <c r="S2092">
        <f>IFERROR(O2092/N2092,0)</f>
        <v/>
      </c>
      <c r="T2092">
        <f>IF(C2092,(H2092*N2092*IF(AND(Inputs!$B$38&lt;&gt;"pvp",Inputs!$B$43&gt;0),((Skills!G5*((R2092-1)*IF(Skills!H5&gt;0,Skills!I5/Skills!H5,1)+IF(Skills!H5&gt;0,MIN(Skills!I5,MAX(0,MAX(0,Inputs!$B$43-B2123)-((R2092-1)*(IF(Inputs!$B$38="pvp",15,MAX(0.1,Skills!D5-IF(Skills!E5=TRUE,Inputs!$B$32,0)))*(1-IF(AND(ArtifactsInput!$M$27,Inputs!$B$4="Chapter Hunt"),CHOOSE(ArtifactsInput!$N$27+1,20,24,28,32,36,40),0)/100)))))/Skills!H5,1)))/Inputs!$B$43),G2092*Q2092)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2092*(1-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2092*(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2092*(1-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2092*(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92">
        <f>IF(C2092,(H2092*N2092*IF(AND(Inputs!$B$38&lt;&gt;"pvp",Inputs!$B$43&gt;0),((Skills!G5*((R2092-1)*IF(Skills!H5&gt;0,Skills!I5/Skills!H5,1)+IF(Skills!H5&gt;0,MIN(Skills!I5,MAX(0,MAX(0,Inputs!$B$43-B2123)-((R2092-1)*(IF(Inputs!$B$38="pvp",15,MAX(0.1,Skills!D5-IF(Skills!E5=TRUE,Inputs!$B$32,0)))*(1-IF(AND(ArtifactsInput!$M$27,Inputs!$B$4="Chapter Hunt"),CHOOSE(ArtifactsInput!$N$27+1,20,24,28,32,36,40),0)/100)))))/Skills!H5,1)))/Inputs!$B$43),G2092*Q2092)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3">
      <c r="A2093">
        <f>Skills!A6</f>
        <v/>
      </c>
      <c r="B2093">
        <f>Skills!B6</f>
        <v/>
      </c>
      <c r="C2093">
        <f>Inputs!$B$3&gt;=103</f>
        <v/>
      </c>
      <c r="D2093">
        <f>IF(Skills!C6=1,60+Inputs!$B$25+Inputs!$B$29,IF(Skills!C6=2,90+Inputs!$B$26+Inputs!$B$29,IF(Skills!C6=3,120+Inputs!$B$27+Inputs!$B$29,MAX(0,(Inputs!$B$3-100)*3)+Inputs!$B$28+Inputs!$B$29)))</f>
        <v/>
      </c>
      <c r="E2093">
        <f>INDEX(FactorTable!$B$2:$Y$301, MATCH(ROUND(MIN(300,MAX(1,D2093)),0), FactorTable!$A$2:$A$301,0), Skills!M6+1)</f>
        <v/>
      </c>
      <c r="F2093">
        <f>IF(Skills!N6=TRUE,(Skills!L6/10)*(E2093/1000),Skills!L6/10)+Skills!O6</f>
        <v/>
      </c>
      <c r="G2093">
        <f>Skills!G6*IF(Skills!H6&gt;0,Skills!I6/Skills!H6,1)</f>
        <v/>
      </c>
      <c r="H2093">
        <f>1-(1-Skills!J6/100)^Skills!K6</f>
        <v/>
      </c>
      <c r="I2093" t="inlineStr">
        <is>
          <t>1</t>
        </is>
      </c>
      <c r="J2093">
        <f>((Inputs!$B$6*(1+Inputs!$B$7/100))+(((Inputs!$B$12*(1+Inputs!$B$13/100))-(Inputs!$B$12*(1+Inputs!$B$13/100)))+0.25*(Inputs!$B$14-Inputs!$B$14))*(1+Inputs!$B$7/100))*(F2093/100)</f>
        <v/>
      </c>
      <c r="K2093">
        <f>J2093*(1+((Inputs!$B$12*(1+Inputs!$B$13/100))*0.01+Inputs!$B$14*0.0025)/100)*(1+Inputs!$B$15/100)*(1+Inputs!$B$16/100)*(5000/(6000+Inputs!$B$42*(1-(100*(1-(1-(Inputs!$B$19+0)/100)*(1-CHOOSE(ArtifactsInput!$N$40+1,5,6,7,8,9,10)/100)^(ArtifactsInput!$M$40-ArtifactsInput!$M$40)))/100)))*(1+(Inputs!$B$24+((C2112=TRUE)*(F2112-Calc!F25))+B2122)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2108=TRUE)*(F2108-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2110=TRUE)*(F2110-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2100=TRUE)*F2100*IF(Inputs!$B$3&gt;=110,7,5))+((C2102=TRUE)*F2102*IF(AND(Inputs!$B$38&lt;&gt;"pvp",Inputs!$B$43&gt;0),(((R2102-1)*(Skills!T15*(1+(Inputs!$B$34+(ArtifactsInput!$M$7-ArtifactsInput!$M$7)*CHOOSE(ArtifactsInput!$N$7+1,6,7.2,8.4,9.6,10.8,12))/100))+MIN((Skills!T15*(1+(Inputs!$B$34+(ArtifactsInput!$M$7-ArtifactsInput!$M$7)*CHOOSE(ArtifactsInput!$N$7+1,6,7.2,8.4,9.6,10.8,12))/100)),MAX(0,Inputs!$B$43-((R2102-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Hunt"),CHOOSE(ArtifactsInput!$N$35+1,15,18,21,24,27,30)*(1-EXP(-(0.2*B2118)*5)),0)+IF(AND(ArtifactsInput!$M$22,Inputs!$B$4&lt;&gt;"Chapter Hunt"),CHOOSE(ArtifactsInput!$N$22+1,10,12,14,16,18,20)*((0*(((0.15*B2118*5))^0/1)+1*(((0.15*B2118*5))^1/1)+2*(((0.15*B2118*5))^2/2)+3*(((0.15*B2118*5))^3/6)+4*(((0.15*B2118*5))^4/24)+5*(((0.15*B2118*5))^5/120))/((((0.15*B2118*5))^0/1)+(((0.15*B2118*5))^1/1)+(((0.15*B2118*5))^2/2)+(((0.15*B2118*5))^3/6)+(((0.15*B2118*5))^4/24)+(((0.15*B2118*5))^5/120))),0)))/100)*I2093)</f>
        <v/>
      </c>
      <c r="L2093">
        <f>K2093*(MIN(Inputs!$B$22+((C2109=TRUE)*(F2109-Calc!F22)),(Inputs!$B$23+((C2111=TRUE)*(F2111-Calc!F24))+(IF(ArtifactsInput!$M$15,CHOOSE(ArtifactsInput!$N$15+1,25,30,35,40,45,50)/100*(Inputs!$B$11-Inputs!$B$11),0))))/100+(Inputs!$B$23+((C2111=TRUE)*(F2111-Calc!F24))+(IF(ArtifactsInput!$M$15,CHOOSE(ArtifactsInput!$N$15+1,25,30,35,40,45,50)/100*(Inputs!$B$11-Inputs!$B$11),0)))/100)/2</f>
        <v/>
      </c>
      <c r="M2093">
        <f>L2093*(1+(Inputs!$B$10+0+B2121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3">
        <f>L2093*(1-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2093*(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3">
        <f>(1-Summary!$B$11)*T2093+Summary!$B$11*V2093</f>
        <v/>
      </c>
      <c r="P2093">
        <f>IF(B2126=0,0,O2093/B2126)</f>
        <v/>
      </c>
      <c r="Q2093">
        <f>IFERROR(1/(IF(Inputs!$B$38="pvp",15,MAX(0.1,Skills!D6-IF(Skills!E6=TRUE,Inputs!$B$32,0)))*(1-IF(AND(ArtifactsInput!$M$27,Inputs!$B$4="Chapter Hunt"),CHOOSE(ArtifactsInput!$N$27+1,20,24,28,32,36,40),0)/100)),0)</f>
        <v/>
      </c>
      <c r="R2093">
        <f>IF(AND(Inputs!$B$38&lt;&gt;"pvp",Inputs!$B$43&gt;0),IF(MAX(0,Inputs!$B$43-B2123)&lt;=0,0,(INT(MAX(0,Inputs!$B$43-B2123)/(IF(Inputs!$B$38="pvp",15,MAX(0.1,Skills!D6-IF(Skills!E6=TRUE,Inputs!$B$32,0)))*(1-IF(AND(ArtifactsInput!$M$27,Inputs!$B$4="Chapter Hunt"),CHOOSE(ArtifactsInput!$N$27+1,20,24,28,32,36,40),0)/100)))+1)),0)</f>
        <v/>
      </c>
      <c r="S2093">
        <f>IFERROR(O2093/N2093,0)</f>
        <v/>
      </c>
      <c r="T2093">
        <f>IF(C2093,(H2093*N2093*IF(AND(Inputs!$B$38&lt;&gt;"pvp",Inputs!$B$43&gt;0),((Skills!G6*((R2093-1)*IF(Skills!H6&gt;0,Skills!I6/Skills!H6,1)+IF(Skills!H6&gt;0,MIN(Skills!I6,MAX(0,MAX(0,Inputs!$B$43-B2123)-((R2093-1)*(IF(Inputs!$B$38="pvp",15,MAX(0.1,Skills!D6-IF(Skills!E6=TRUE,Inputs!$B$32,0)))*(1-IF(AND(ArtifactsInput!$M$27,Inputs!$B$4="Chapter Hunt"),CHOOSE(ArtifactsInput!$N$27+1,20,24,28,32,36,40),0)/100)))))/Skills!H6,1)))/Inputs!$B$43),G2093*Q2093)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2093*(1-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2093*(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2093*(1-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2093*(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93">
        <f>IF(C2093,(H2093*N2093*IF(AND(Inputs!$B$38&lt;&gt;"pvp",Inputs!$B$43&gt;0),((Skills!G6*((R2093-1)*IF(Skills!H6&gt;0,Skills!I6/Skills!H6,1)+IF(Skills!H6&gt;0,MIN(Skills!I6,MAX(0,MAX(0,Inputs!$B$43-B2123)-((R2093-1)*(IF(Inputs!$B$38="pvp",15,MAX(0.1,Skills!D6-IF(Skills!E6=TRUE,Inputs!$B$32,0)))*(1-IF(AND(ArtifactsInput!$M$27,Inputs!$B$4="Chapter Hunt"),CHOOSE(ArtifactsInput!$N$27+1,20,24,28,32,36,40),0)/100)))))/Skills!H6,1)))/Inputs!$B$43),G2093*Q2093)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4">
      <c r="A2094">
        <f>Skills!A7</f>
        <v/>
      </c>
      <c r="B2094">
        <f>Skills!B7</f>
        <v/>
      </c>
      <c r="C2094">
        <f>Inputs!$B$3&gt;=107</f>
        <v/>
      </c>
      <c r="D2094">
        <f>IF(Skills!C7=1,60+Inputs!$B$25+Inputs!$B$29,IF(Skills!C7=2,90+Inputs!$B$26+Inputs!$B$29,IF(Skills!C7=3,120+Inputs!$B$27+Inputs!$B$29,MAX(0,(Inputs!$B$3-100)*3)+Inputs!$B$28+Inputs!$B$29)))</f>
        <v/>
      </c>
      <c r="E2094">
        <f>INDEX(FactorTable!$B$2:$Y$301, MATCH(ROUND(MIN(300,MAX(1,D2094)),0), FactorTable!$A$2:$A$301,0), Skills!M7+1)</f>
        <v/>
      </c>
      <c r="F2094">
        <f>IF(Skills!N7=TRUE,(Skills!L7/10)*(E2094/1000),Skills!L7/10)+Skills!O7</f>
        <v/>
      </c>
      <c r="G2094">
        <f>Skills!G7*IF(Skills!H7&gt;0,Skills!I7/Skills!H7,1)</f>
        <v/>
      </c>
      <c r="H2094">
        <f>1-(1-Skills!J7/100)^Skills!K7</f>
        <v/>
      </c>
      <c r="I2094" t="inlineStr">
        <is>
          <t>1</t>
        </is>
      </c>
      <c r="J2094">
        <f>((Inputs!$B$6*(1+Inputs!$B$7/100))+(((Inputs!$B$12*(1+Inputs!$B$13/100))-(Inputs!$B$12*(1+Inputs!$B$13/100)))+0.25*(Inputs!$B$14-Inputs!$B$14))*(1+Inputs!$B$7/100))*(F2094/100)</f>
        <v/>
      </c>
      <c r="K2094">
        <f>J2094*(1+((Inputs!$B$12*(1+Inputs!$B$13/100))*0.01+Inputs!$B$14*0.0025)/100)*(1+Inputs!$B$15/100)*(1+Inputs!$B$16/100)*(5000/(6000+Inputs!$B$42*(1-(100*(1-(1-(Inputs!$B$19+0)/100)*(1-CHOOSE(ArtifactsInput!$N$40+1,5,6,7,8,9,10)/100)^(ArtifactsInput!$M$40-ArtifactsInput!$M$40)))/100)))*(1+(Inputs!$B$24+((C2112=TRUE)*(F2112-Calc!F25))+B2122)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2108=TRUE)*(F2108-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2110=TRUE)*(F2110-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2100=TRUE)*F2100*IF(Inputs!$B$3&gt;=110,7,5))+((C2102=TRUE)*F2102*IF(AND(Inputs!$B$38&lt;&gt;"pvp",Inputs!$B$43&gt;0),(((R2102-1)*(Skills!T15*(1+(Inputs!$B$34+(ArtifactsInput!$M$7-ArtifactsInput!$M$7)*CHOOSE(ArtifactsInput!$N$7+1,6,7.2,8.4,9.6,10.8,12))/100))+MIN((Skills!T15*(1+(Inputs!$B$34+(ArtifactsInput!$M$7-ArtifactsInput!$M$7)*CHOOSE(ArtifactsInput!$N$7+1,6,7.2,8.4,9.6,10.8,12))/100)),MAX(0,Inputs!$B$43-((R2102-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Hunt"),CHOOSE(ArtifactsInput!$N$35+1,15,18,21,24,27,30)*(1-EXP(-(0.2*B2118)*5)),0)+IF(AND(ArtifactsInput!$M$22,Inputs!$B$4&lt;&gt;"Chapter Hunt"),CHOOSE(ArtifactsInput!$N$22+1,10,12,14,16,18,20)*((0*(((0.15*B2118*5))^0/1)+1*(((0.15*B2118*5))^1/1)+2*(((0.15*B2118*5))^2/2)+3*(((0.15*B2118*5))^3/6)+4*(((0.15*B2118*5))^4/24)+5*(((0.15*B2118*5))^5/120))/((((0.15*B2118*5))^0/1)+(((0.15*B2118*5))^1/1)+(((0.15*B2118*5))^2/2)+(((0.15*B2118*5))^3/6)+(((0.15*B2118*5))^4/24)+(((0.15*B2118*5))^5/120))),0)))/100)*I2094)</f>
        <v/>
      </c>
      <c r="L2094">
        <f>K2094*(MIN(Inputs!$B$22+((C2109=TRUE)*(F2109-Calc!F22)),(Inputs!$B$23+((C2111=TRUE)*(F2111-Calc!F24))+(IF(ArtifactsInput!$M$15,CHOOSE(ArtifactsInput!$N$15+1,25,30,35,40,45,50)/100*(Inputs!$B$11-Inputs!$B$11),0))))/100+(Inputs!$B$23+((C2111=TRUE)*(F2111-Calc!F24))+(IF(ArtifactsInput!$M$15,CHOOSE(ArtifactsInput!$N$15+1,25,30,35,40,45,50)/100*(Inputs!$B$11-Inputs!$B$11),0)))/100)/2</f>
        <v/>
      </c>
      <c r="M2094">
        <f>L2094*(1+(Inputs!$B$10+0+B2121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4">
        <f>L2094*(1-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2094*(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4">
        <f>(1-Summary!$B$11)*T2094+Summary!$B$11*V2094</f>
        <v/>
      </c>
      <c r="P2094">
        <f>IF(B2126=0,0,O2094/B2126)</f>
        <v/>
      </c>
      <c r="Q2094">
        <f>IFERROR(1/(IF(Inputs!$B$38="pvp",15,MAX(0.1,Skills!D7-IF(Skills!E7=TRUE,Inputs!$B$32,0)))*(1-IF(AND(ArtifactsInput!$M$27,Inputs!$B$4="Chapter Hunt"),CHOOSE(ArtifactsInput!$N$27+1,20,24,28,32,36,40),0)/100)),0)</f>
        <v/>
      </c>
      <c r="R2094">
        <f>IF(AND(Inputs!$B$38&lt;&gt;"pvp",Inputs!$B$43&gt;0),IF(MAX(0,Inputs!$B$43-B2123)&lt;=0,0,(INT(MAX(0,Inputs!$B$43-B2123)/(IF(Inputs!$B$38="pvp",15,MAX(0.1,Skills!D7-IF(Skills!E7=TRUE,Inputs!$B$32,0)))*(1-IF(AND(ArtifactsInput!$M$27,Inputs!$B$4="Chapter Hunt"),CHOOSE(ArtifactsInput!$N$27+1,20,24,28,32,36,40),0)/100)))+1)),0)</f>
        <v/>
      </c>
      <c r="S2094">
        <f>IFERROR(O2094/N2094,0)</f>
        <v/>
      </c>
      <c r="T2094">
        <f>IF(C2094,(H2094*N2094*IF(AND(Inputs!$B$38&lt;&gt;"pvp",Inputs!$B$43&gt;0),((Skills!G7*((R2094-1)*IF(Skills!H7&gt;0,Skills!I7/Skills!H7,1)+IF(Skills!H7&gt;0,MIN(Skills!I7,MAX(0,MAX(0,Inputs!$B$43-B2123)-((R2094-1)*(IF(Inputs!$B$38="pvp",15,MAX(0.1,Skills!D7-IF(Skills!E7=TRUE,Inputs!$B$32,0)))*(1-IF(AND(ArtifactsInput!$M$27,Inputs!$B$4="Chapter Hunt"),CHOOSE(ArtifactsInput!$N$27+1,20,24,28,32,36,40),0)/100)))))/Skills!H7,1)))/Inputs!$B$43),G2094*Q2094)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2094*(1-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2094*(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2094*(1-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2094*(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94">
        <f>IF(C2094,(H2094*N2094*IF(AND(Inputs!$B$38&lt;&gt;"pvp",Inputs!$B$43&gt;0),((Skills!G7*((R2094-1)*IF(Skills!H7&gt;0,Skills!I7/Skills!H7,1)+IF(Skills!H7&gt;0,MIN(Skills!I7,MAX(0,MAX(0,Inputs!$B$43-B2123)-((R2094-1)*(IF(Inputs!$B$38="pvp",15,MAX(0.1,Skills!D7-IF(Skills!E7=TRUE,Inputs!$B$32,0)))*(1-IF(AND(ArtifactsInput!$M$27,Inputs!$B$4="Chapter Hunt"),CHOOSE(ArtifactsInput!$N$27+1,20,24,28,32,36,40),0)/100)))))/Skills!H7,1)))/Inputs!$B$43),G2094*Q2094)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5">
      <c r="A2095">
        <f>Skills!A8</f>
        <v/>
      </c>
      <c r="B2095">
        <f>Skills!B8</f>
        <v/>
      </c>
      <c r="C2095">
        <f>Inputs!$B$3&gt;=117</f>
        <v/>
      </c>
      <c r="D2095">
        <f>IF(Skills!C8=1,60+Inputs!$B$25+Inputs!$B$29,IF(Skills!C8=2,90+Inputs!$B$26+Inputs!$B$29,IF(Skills!C8=3,120+Inputs!$B$27+Inputs!$B$29,MAX(0,(Inputs!$B$3-100)*3)+Inputs!$B$28+Inputs!$B$29)))</f>
        <v/>
      </c>
      <c r="E2095">
        <f>INDEX(FactorTable!$B$2:$Y$301, MATCH(ROUND(MIN(300,MAX(1,D2095)),0), FactorTable!$A$2:$A$301,0), Skills!M8+1)</f>
        <v/>
      </c>
      <c r="F2095">
        <f>IF(Skills!N8=TRUE,(Skills!L8/10)*(E2095/1000),Skills!L8/10)+Skills!O8</f>
        <v/>
      </c>
      <c r="G2095">
        <f>Skills!G8*IF(Skills!H8&gt;0,Skills!I8/Skills!H8,1)</f>
        <v/>
      </c>
      <c r="H2095">
        <f>1-(1-Skills!J8/100)^Skills!K8</f>
        <v/>
      </c>
      <c r="I2095" t="inlineStr">
        <is>
          <t>1</t>
        </is>
      </c>
      <c r="J2095">
        <f>((Inputs!$B$6*(1+Inputs!$B$7/100))+(((Inputs!$B$12*(1+Inputs!$B$13/100))-(Inputs!$B$12*(1+Inputs!$B$13/100)))+0.25*(Inputs!$B$14-Inputs!$B$14))*(1+Inputs!$B$7/100))*(F2095/100)</f>
        <v/>
      </c>
      <c r="K2095">
        <f>J2095*(1+((Inputs!$B$12*(1+Inputs!$B$13/100))*0.01+Inputs!$B$14*0.0025)/100)*(1+Inputs!$B$15/100)*(1+Inputs!$B$16/100)*(5000/(6000+Inputs!$B$42*(1-(100*(1-(1-(Inputs!$B$19+0)/100)*(1-CHOOSE(ArtifactsInput!$N$40+1,5,6,7,8,9,10)/100)^(ArtifactsInput!$M$40-ArtifactsInput!$M$40)))/100)))*(1+(Inputs!$B$24+((C2112=TRUE)*(F2112-Calc!F25))+B2122)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2108=TRUE)*(F2108-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2110=TRUE)*(F2110-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2100=TRUE)*F2100*IF(Inputs!$B$3&gt;=110,7,5))+((C2102=TRUE)*F2102*IF(AND(Inputs!$B$38&lt;&gt;"pvp",Inputs!$B$43&gt;0),(((R2102-1)*(Skills!T15*(1+(Inputs!$B$34+(ArtifactsInput!$M$7-ArtifactsInput!$M$7)*CHOOSE(ArtifactsInput!$N$7+1,6,7.2,8.4,9.6,10.8,12))/100))+MIN((Skills!T15*(1+(Inputs!$B$34+(ArtifactsInput!$M$7-ArtifactsInput!$M$7)*CHOOSE(ArtifactsInput!$N$7+1,6,7.2,8.4,9.6,10.8,12))/100)),MAX(0,Inputs!$B$43-((R2102-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Hunt"),CHOOSE(ArtifactsInput!$N$35+1,15,18,21,24,27,30)*(1-EXP(-(0.2*B2118)*5)),0)+IF(AND(ArtifactsInput!$M$22,Inputs!$B$4&lt;&gt;"Chapter Hunt"),CHOOSE(ArtifactsInput!$N$22+1,10,12,14,16,18,20)*((0*(((0.15*B2118*5))^0/1)+1*(((0.15*B2118*5))^1/1)+2*(((0.15*B2118*5))^2/2)+3*(((0.15*B2118*5))^3/6)+4*(((0.15*B2118*5))^4/24)+5*(((0.15*B2118*5))^5/120))/((((0.15*B2118*5))^0/1)+(((0.15*B2118*5))^1/1)+(((0.15*B2118*5))^2/2)+(((0.15*B2118*5))^3/6)+(((0.15*B2118*5))^4/24)+(((0.15*B2118*5))^5/120))),0)))/100)*I2095)</f>
        <v/>
      </c>
      <c r="L2095">
        <f>K2095*(MIN(Inputs!$B$22+((C2109=TRUE)*(F2109-Calc!F22)),(Inputs!$B$23+((C2111=TRUE)*(F2111-Calc!F24))+(IF(ArtifactsInput!$M$15,CHOOSE(ArtifactsInput!$N$15+1,25,30,35,40,45,50)/100*(Inputs!$B$11-Inputs!$B$11),0))))/100+(Inputs!$B$23+((C2111=TRUE)*(F2111-Calc!F24))+(IF(ArtifactsInput!$M$15,CHOOSE(ArtifactsInput!$N$15+1,25,30,35,40,45,50)/100*(Inputs!$B$11-Inputs!$B$11),0)))/100)/2</f>
        <v/>
      </c>
      <c r="M2095">
        <f>L2095*(1+(Inputs!$B$10+0+B2121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5">
        <f>L2095*(1-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2095*(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5">
        <f>(1-Summary!$B$11)*T2095+Summary!$B$11*V2095</f>
        <v/>
      </c>
      <c r="P2095">
        <f>IF(B2126=0,0,O2095/B2126)</f>
        <v/>
      </c>
      <c r="Q2095">
        <f>IFERROR(1/(IF(Inputs!$B$38="pvp",15,MAX(0.1,Skills!D8-IF(Skills!E8=TRUE,Inputs!$B$32,0)))*(1-IF(AND(ArtifactsInput!$M$27,Inputs!$B$4="Chapter Hunt"),CHOOSE(ArtifactsInput!$N$27+1,20,24,28,32,36,40),0)/100)),0)</f>
        <v/>
      </c>
      <c r="R2095">
        <f>IF(AND(Inputs!$B$38&lt;&gt;"pvp",Inputs!$B$43&gt;0),IF(MAX(0,Inputs!$B$43-B2123)&lt;=0,0,(INT(MAX(0,Inputs!$B$43-B2123)/(IF(Inputs!$B$38="pvp",15,MAX(0.1,Skills!D8-IF(Skills!E8=TRUE,Inputs!$B$32,0)))*(1-IF(AND(ArtifactsInput!$M$27,Inputs!$B$4="Chapter Hunt"),CHOOSE(ArtifactsInput!$N$27+1,20,24,28,32,36,40),0)/100)))+1)),0)</f>
        <v/>
      </c>
      <c r="S2095">
        <f>IFERROR(O2095/N2095,0)</f>
        <v/>
      </c>
      <c r="T2095">
        <f>IF(C2095,(H2095*N2095*IF(AND(Inputs!$B$38&lt;&gt;"pvp",Inputs!$B$43&gt;0),((Skills!G8*((R2095-1)*IF(Skills!H8&gt;0,Skills!I8/Skills!H8,1)+IF(Skills!H8&gt;0,MIN(Skills!I8,MAX(0,MAX(0,Inputs!$B$43-B2123)-((R2095-1)*(IF(Inputs!$B$38="pvp",15,MAX(0.1,Skills!D8-IF(Skills!E8=TRUE,Inputs!$B$32,0)))*(1-IF(AND(ArtifactsInput!$M$27,Inputs!$B$4="Chapter Hunt"),CHOOSE(ArtifactsInput!$N$27+1,20,24,28,32,36,40),0)/100)))))/Skills!H8,1)))/Inputs!$B$43),G2095*Q2095)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2095*(1-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2095*(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2095*(1-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2095*(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95">
        <f>IF(C2095,(H2095*N2095*IF(AND(Inputs!$B$38&lt;&gt;"pvp",Inputs!$B$43&gt;0),((Skills!G8*((R2095-1)*IF(Skills!H8&gt;0,Skills!I8/Skills!H8,1)+IF(Skills!H8&gt;0,MIN(Skills!I8,MAX(0,MAX(0,Inputs!$B$43-B2123)-((R2095-1)*(IF(Inputs!$B$38="pvp",15,MAX(0.1,Skills!D8-IF(Skills!E8=TRUE,Inputs!$B$32,0)))*(1-IF(AND(ArtifactsInput!$M$27,Inputs!$B$4="Chapter Hunt"),CHOOSE(ArtifactsInput!$N$27+1,20,24,28,32,36,40),0)/100)))))/Skills!H8,1)))/Inputs!$B$43),G2095*Q2095)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6">
      <c r="A2096">
        <f>Skills!A9</f>
        <v/>
      </c>
      <c r="B2096">
        <f>Skills!B9</f>
        <v/>
      </c>
      <c r="C2096">
        <f>Inputs!$B$3&gt;=69</f>
        <v/>
      </c>
      <c r="D2096">
        <f>IF(Skills!C9=1,60+Inputs!$B$25+Inputs!$B$29,IF(Skills!C9=2,90+Inputs!$B$26+Inputs!$B$29,IF(Skills!C9=3,120+Inputs!$B$27+Inputs!$B$29,MAX(0,(Inputs!$B$3-100)*3)+Inputs!$B$28+Inputs!$B$29)))</f>
        <v/>
      </c>
      <c r="E2096">
        <f>INDEX(FactorTable!$B$2:$Y$301, MATCH(ROUND(MIN(300,MAX(1,D2096)),0), FactorTable!$A$2:$A$301,0), Skills!M9+1)</f>
        <v/>
      </c>
      <c r="F2096">
        <f>IF(Skills!N9=TRUE,(Skills!L9/10)*(E2096/1000),Skills!L9/10)+Skills!O9</f>
        <v/>
      </c>
      <c r="G2096">
        <f>Skills!G9*IF(Skills!H9&gt;0,Skills!I9/Skills!H9,1)</f>
        <v/>
      </c>
      <c r="H2096">
        <f>1-(1-Skills!J9/100)^Skills!K9</f>
        <v/>
      </c>
      <c r="I2096" t="inlineStr">
        <is>
          <t>1</t>
        </is>
      </c>
      <c r="J2096">
        <f>((Inputs!$B$6*(1+Inputs!$B$7/100))+(((Inputs!$B$12*(1+Inputs!$B$13/100))-(Inputs!$B$12*(1+Inputs!$B$13/100)))+0.25*(Inputs!$B$14-Inputs!$B$14))*(1+Inputs!$B$7/100))*(F2096/100)</f>
        <v/>
      </c>
      <c r="K2096">
        <f>J2096*(1+((Inputs!$B$12*(1+Inputs!$B$13/100))*0.01+Inputs!$B$14*0.0025)/100)*(1+Inputs!$B$15/100)*(1+Inputs!$B$16/100)*(5000/(6000+Inputs!$B$42*(1-(100*(1-(1-(Inputs!$B$19+0)/100)*(1-CHOOSE(ArtifactsInput!$N$40+1,5,6,7,8,9,10)/100)^(ArtifactsInput!$M$40-ArtifactsInput!$M$40)))/100)))*(1+(Inputs!$B$24+((C2112=TRUE)*(F2112-Calc!F25))+B2122)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2099=TRUE,F2099,0)/100)*(1+IF(Skills!A9="ENHANCED_RAGING_BLOW",IF(Inputs!$B$3&gt;=134,MAX(0,IF(Inputs!$B$3&gt;=110,7,5)-5)*50,0),0)/100)*(1+(IF(Skills!A9="RAGING_BLOW",Inputs!$B$17+((C2108=TRUE)*(F2108-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2110=TRUE)*(F2110-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2100=TRUE)*F2100*IF(Inputs!$B$3&gt;=110,7,5))+((C2102=TRUE)*F2102*IF(AND(Inputs!$B$38&lt;&gt;"pvp",Inputs!$B$43&gt;0),(((R2102-1)*(Skills!T15*(1+(Inputs!$B$34+(ArtifactsInput!$M$7-ArtifactsInput!$M$7)*CHOOSE(ArtifactsInput!$N$7+1,6,7.2,8.4,9.6,10.8,12))/100))+MIN((Skills!T15*(1+(Inputs!$B$34+(ArtifactsInput!$M$7-ArtifactsInput!$M$7)*CHOOSE(ArtifactsInput!$N$7+1,6,7.2,8.4,9.6,10.8,12))/100)),MAX(0,Inputs!$B$43-((R2102-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Hunt"),CHOOSE(ArtifactsInput!$N$35+1,15,18,21,24,27,30)*(1-EXP(-(0.2*B2118)*5)),0)+IF(AND(ArtifactsInput!$M$22,Inputs!$B$4&lt;&gt;"Chapter Hunt"),CHOOSE(ArtifactsInput!$N$22+1,10,12,14,16,18,20)*((0*(((0.15*B2118*5))^0/1)+1*(((0.15*B2118*5))^1/1)+2*(((0.15*B2118*5))^2/2)+3*(((0.15*B2118*5))^3/6)+4*(((0.15*B2118*5))^4/24)+5*(((0.15*B2118*5))^5/120))/((((0.15*B2118*5))^0/1)+(((0.15*B2118*5))^1/1)+(((0.15*B2118*5))^2/2)+(((0.15*B2118*5))^3/6)+(((0.15*B2118*5))^4/24)+(((0.15*B2118*5))^5/120))),0)))/100)*I2096)</f>
        <v/>
      </c>
      <c r="L2096">
        <f>K2096*(MIN(Inputs!$B$22+((C2109=TRUE)*(F2109-Calc!F22)),(Inputs!$B$23+((C2111=TRUE)*(F2111-Calc!F24))+(IF(ArtifactsInput!$M$15,CHOOSE(ArtifactsInput!$N$15+1,25,30,35,40,45,50)/100*(Inputs!$B$11-Inputs!$B$11),0))))/100+(Inputs!$B$23+((C2111=TRUE)*(F2111-Calc!F24))+(IF(ArtifactsInput!$M$15,CHOOSE(ArtifactsInput!$N$15+1,25,30,35,40,45,50)/100*(Inputs!$B$11-Inputs!$B$11),0)))/100)/2</f>
        <v/>
      </c>
      <c r="M2096">
        <f>L2096*(1+(Inputs!$B$10+0+B2121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6">
        <f>L2096*(1-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2096*(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6">
        <f>(1-Summary!$B$11)*T2096+Summary!$B$11*V2096</f>
        <v/>
      </c>
      <c r="P2096">
        <f>IF(B2126=0,0,O2096/B2126)</f>
        <v/>
      </c>
      <c r="Q2096">
        <f>IFERROR(1/(IF(Inputs!$B$38="pvp",15,MAX(0.1,Skills!D9-IF(Skills!E9=TRUE,Inputs!$B$32,0)))*(1-IF(AND(ArtifactsInput!$M$27,Inputs!$B$4="Chapter Hunt"),CHOOSE(ArtifactsInput!$N$27+1,20,24,28,32,36,40),0)/100)),0)</f>
        <v/>
      </c>
      <c r="R2096">
        <f>IF(AND(Inputs!$B$38&lt;&gt;"pvp",Inputs!$B$43&gt;0),IF(MAX(0,Inputs!$B$43-B2123)&lt;=0,0,(INT(MAX(0,Inputs!$B$43-B2123)/(IF(Inputs!$B$38="pvp",15,MAX(0.1,Skills!D9-IF(Skills!E9=TRUE,Inputs!$B$32,0)))*(1-IF(AND(ArtifactsInput!$M$27,Inputs!$B$4="Chapter Hunt"),CHOOSE(ArtifactsInput!$N$27+1,20,24,28,32,36,40),0)/100)))+1)),0)</f>
        <v/>
      </c>
      <c r="S2096">
        <f>IFERROR(O2096/N2096,0)</f>
        <v/>
      </c>
      <c r="T2096">
        <f>IF(C2096,(H2096*N2096*IF(AND(Inputs!$B$38&lt;&gt;"pvp",Inputs!$B$43&gt;0),((Skills!G9*((R2096-1)*IF(Skills!H9&gt;0,Skills!I9/Skills!H9,1)+IF(Skills!H9&gt;0,MIN(Skills!I9,MAX(0,MAX(0,Inputs!$B$43-B2123)-((R2096-1)*(IF(Inputs!$B$38="pvp",15,MAX(0.1,Skills!D9-IF(Skills!E9=TRUE,Inputs!$B$32,0)))*(1-IF(AND(ArtifactsInput!$M$27,Inputs!$B$4="Chapter Hunt"),CHOOSE(ArtifactsInput!$N$27+1,20,24,28,32,36,40),0)/100)))))/Skills!H9,1)))/Inputs!$B$43),G2096*Q2096)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2096*(1-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2096*(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2096*(1-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2096*(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96">
        <f>IF(C2096,(H2096*N2096*IF(AND(Inputs!$B$38&lt;&gt;"pvp",Inputs!$B$43&gt;0),((Skills!G9*((R2096-1)*IF(Skills!H9&gt;0,Skills!I9/Skills!H9,1)+IF(Skills!H9&gt;0,MIN(Skills!I9,MAX(0,MAX(0,Inputs!$B$43-B2123)-((R2096-1)*(IF(Inputs!$B$38="pvp",15,MAX(0.1,Skills!D9-IF(Skills!E9=TRUE,Inputs!$B$32,0)))*(1-IF(AND(ArtifactsInput!$M$27,Inputs!$B$4="Chapter Hunt"),CHOOSE(ArtifactsInput!$N$27+1,20,24,28,32,36,40),0)/100)))))/Skills!H9,1)))/Inputs!$B$43),G2096*Q2096)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7">
      <c r="A2097">
        <f>Skills!A10</f>
        <v/>
      </c>
      <c r="B2097">
        <f>Skills!B10</f>
        <v/>
      </c>
      <c r="C2097">
        <f>Inputs!$B$3&gt;=63</f>
        <v/>
      </c>
      <c r="D2097">
        <f>IF(Skills!C10=1,60+Inputs!$B$25+Inputs!$B$29,IF(Skills!C10=2,90+Inputs!$B$26+Inputs!$B$29,IF(Skills!C10=3,120+Inputs!$B$27+Inputs!$B$29,MAX(0,(Inputs!$B$3-100)*3)+Inputs!$B$28+Inputs!$B$29)))</f>
        <v/>
      </c>
      <c r="E2097">
        <f>INDEX(FactorTable!$B$2:$Y$301, MATCH(ROUND(MIN(300,MAX(1,D2097)),0), FactorTable!$A$2:$A$301,0), Skills!M10+1)</f>
        <v/>
      </c>
      <c r="F2097">
        <f>IF(Skills!N10=TRUE,(Skills!L10/10)*(E2097/1000),Skills!L10/10)+Skills!O10</f>
        <v/>
      </c>
      <c r="G2097">
        <f>Skills!G10*IF(Skills!H10&gt;0,Skills!I10/Skills!H10,1)</f>
        <v/>
      </c>
      <c r="H2097">
        <f>1-(1-Skills!J10/100)^Skills!K10</f>
        <v/>
      </c>
      <c r="I2097" t="inlineStr">
        <is>
          <t>1</t>
        </is>
      </c>
      <c r="J2097">
        <f>((Inputs!$B$6*(1+Inputs!$B$7/100))+(((Inputs!$B$12*(1+Inputs!$B$13/100))-(Inputs!$B$12*(1+Inputs!$B$13/100)))+0.25*(Inputs!$B$14-Inputs!$B$14))*(1+Inputs!$B$7/100))*(F2097/100)</f>
        <v/>
      </c>
      <c r="K2097">
        <f>J2097*(1+((Inputs!$B$12*(1+Inputs!$B$13/100))*0.01+Inputs!$B$14*0.0025)/100)*(1+Inputs!$B$15/100)*(1+Inputs!$B$16/100)*(5000/(6000+Inputs!$B$42*(1-(100*(1-(1-(Inputs!$B$19+0)/100)*(1-CHOOSE(ArtifactsInput!$N$40+1,5,6,7,8,9,10)/100)^(ArtifactsInput!$M$40-ArtifactsInput!$M$40)))/100)))*(1+(Inputs!$B$24+((C2112=TRUE)*(F2112-Calc!F25))+B2122)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2099=TRUE,F2099,0)/100)*(1+IF(Skills!A10="ENHANCED_RAGING_BLOW",IF(Inputs!$B$3&gt;=134,MAX(0,IF(Inputs!$B$3&gt;=110,7,5)-5)*50,0),0)/100)*(1+(IF(Skills!A10="RAGING_BLOW",Inputs!$B$17+((C2108=TRUE)*(F2108-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2110=TRUE)*(F2110-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2100=TRUE)*F2100*IF(Inputs!$B$3&gt;=110,7,5))+((C2102=TRUE)*F2102*IF(AND(Inputs!$B$38&lt;&gt;"pvp",Inputs!$B$43&gt;0),(((R2102-1)*(Skills!T15*(1+(Inputs!$B$34+(ArtifactsInput!$M$7-ArtifactsInput!$M$7)*CHOOSE(ArtifactsInput!$N$7+1,6,7.2,8.4,9.6,10.8,12))/100))+MIN((Skills!T15*(1+(Inputs!$B$34+(ArtifactsInput!$M$7-ArtifactsInput!$M$7)*CHOOSE(ArtifactsInput!$N$7+1,6,7.2,8.4,9.6,10.8,12))/100)),MAX(0,Inputs!$B$43-((R2102-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Hunt"),CHOOSE(ArtifactsInput!$N$35+1,15,18,21,24,27,30)*(1-EXP(-(0.2*B2118)*5)),0)+IF(AND(ArtifactsInput!$M$22,Inputs!$B$4&lt;&gt;"Chapter Hunt"),CHOOSE(ArtifactsInput!$N$22+1,10,12,14,16,18,20)*((0*(((0.15*B2118*5))^0/1)+1*(((0.15*B2118*5))^1/1)+2*(((0.15*B2118*5))^2/2)+3*(((0.15*B2118*5))^3/6)+4*(((0.15*B2118*5))^4/24)+5*(((0.15*B2118*5))^5/120))/((((0.15*B2118*5))^0/1)+(((0.15*B2118*5))^1/1)+(((0.15*B2118*5))^2/2)+(((0.15*B2118*5))^3/6)+(((0.15*B2118*5))^4/24)+(((0.15*B2118*5))^5/120))),0)))/100)*I2097)</f>
        <v/>
      </c>
      <c r="L2097">
        <f>K2097*(MIN(Inputs!$B$22+((C2109=TRUE)*(F2109-Calc!F22)),(Inputs!$B$23+((C2111=TRUE)*(F2111-Calc!F24))+(IF(ArtifactsInput!$M$15,CHOOSE(ArtifactsInput!$N$15+1,25,30,35,40,45,50)/100*(Inputs!$B$11-Inputs!$B$11),0))))/100+(Inputs!$B$23+((C2111=TRUE)*(F2111-Calc!F24))+(IF(ArtifactsInput!$M$15,CHOOSE(ArtifactsInput!$N$15+1,25,30,35,40,45,50)/100*(Inputs!$B$11-Inputs!$B$11),0)))/100)/2</f>
        <v/>
      </c>
      <c r="M2097">
        <f>L2097*(1+(Inputs!$B$10+0+B2121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7">
        <f>L2097*(1-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2097*(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7">
        <f>(1-Summary!$B$11)*T2097+Summary!$B$11*V2097</f>
        <v/>
      </c>
      <c r="P2097">
        <f>IF(B2126=0,0,O2097/B2126)</f>
        <v/>
      </c>
      <c r="Q2097">
        <f>IFERROR(1/(IF(Inputs!$B$38="pvp",15,MAX(0.1,Skills!D10-IF(Skills!E10=TRUE,Inputs!$B$32,0)))*(1-IF(AND(ArtifactsInput!$M$27,Inputs!$B$4="Chapter Hunt"),CHOOSE(ArtifactsInput!$N$27+1,20,24,28,32,36,40),0)/100)),0)</f>
        <v/>
      </c>
      <c r="R2097">
        <f>IF(AND(Inputs!$B$38&lt;&gt;"pvp",Inputs!$B$43&gt;0),IF(MAX(0,Inputs!$B$43-B2123)&lt;=0,0,(INT(MAX(0,Inputs!$B$43-B2123)/(IF(Inputs!$B$38="pvp",15,MAX(0.1,Skills!D10-IF(Skills!E10=TRUE,Inputs!$B$32,0)))*(1-IF(AND(ArtifactsInput!$M$27,Inputs!$B$4="Chapter Hunt"),CHOOSE(ArtifactsInput!$N$27+1,20,24,28,32,36,40),0)/100)))+1)),0)</f>
        <v/>
      </c>
      <c r="S2097">
        <f>IFERROR(O2097/N2097,0)</f>
        <v/>
      </c>
      <c r="T2097">
        <f>IF(C2097,(H2097*N2097*IF(AND(Inputs!$B$38&lt;&gt;"pvp",Inputs!$B$43&gt;0),((Skills!G10*((R2097-1)*IF(Skills!H10&gt;0,Skills!I10/Skills!H10,1)+IF(Skills!H10&gt;0,MIN(Skills!I10,MAX(0,MAX(0,Inputs!$B$43-B2123)-((R2097-1)*(IF(Inputs!$B$38="pvp",15,MAX(0.1,Skills!D10-IF(Skills!E10=TRUE,Inputs!$B$32,0)))*(1-IF(AND(ArtifactsInput!$M$27,Inputs!$B$4="Chapter Hunt"),CHOOSE(ArtifactsInput!$N$27+1,20,24,28,32,36,40),0)/100)))))/Skills!H10,1)))/Inputs!$B$43),G2097*Q2097)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2097*(1-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2097*(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2097*(1-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2097*(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97">
        <f>IF(C2097,(H2097*N2097*IF(AND(Inputs!$B$38&lt;&gt;"pvp",Inputs!$B$43&gt;0),((Skills!G10*((R2097-1)*IF(Skills!H10&gt;0,Skills!I10/Skills!H10,1)+IF(Skills!H10&gt;0,MIN(Skills!I10,MAX(0,MAX(0,Inputs!$B$43-B2123)-((R2097-1)*(IF(Inputs!$B$38="pvp",15,MAX(0.1,Skills!D10-IF(Skills!E10=TRUE,Inputs!$B$32,0)))*(1-IF(AND(ArtifactsInput!$M$27,Inputs!$B$4="Chapter Hunt"),CHOOSE(ArtifactsInput!$N$27+1,20,24,28,32,36,40),0)/100)))))/Skills!H10,1)))/Inputs!$B$43),G2097*Q2097)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8">
      <c r="A2098">
        <f>Skills!A11</f>
        <v/>
      </c>
      <c r="B2098">
        <f>Skills!B11</f>
        <v/>
      </c>
      <c r="C2098">
        <f>Inputs!$B$3&gt;=35</f>
        <v/>
      </c>
      <c r="D2098">
        <f>IF(Skills!C11=1,60+Inputs!$B$25+Inputs!$B$29,IF(Skills!C11=2,90+Inputs!$B$26+Inputs!$B$29,IF(Skills!C11=3,120+Inputs!$B$27+Inputs!$B$29,MAX(0,(Inputs!$B$3-100)*3)+Inputs!$B$28+Inputs!$B$29)))</f>
        <v/>
      </c>
      <c r="E2098">
        <f>INDEX(FactorTable!$B$2:$Y$301, MATCH(ROUND(MIN(300,MAX(1,D2098)),0), FactorTable!$A$2:$A$301,0), Skills!M11+1)</f>
        <v/>
      </c>
      <c r="F2098">
        <f>IF(Skills!N11=TRUE,(Skills!L11/10)*(E2098/1000),Skills!L11/10)+Skills!O11</f>
        <v/>
      </c>
      <c r="G2098">
        <f>Skills!G11*IF(Skills!H11&gt;0,Skills!I11/Skills!H11,1)</f>
        <v/>
      </c>
      <c r="H2098">
        <f>1-(1-Skills!J11/100)^Skills!K11</f>
        <v/>
      </c>
      <c r="I2098" t="inlineStr">
        <is>
          <t>1</t>
        </is>
      </c>
      <c r="J2098">
        <f>((Inputs!$B$6*(1+Inputs!$B$7/100))+(((Inputs!$B$12*(1+Inputs!$B$13/100))-(Inputs!$B$12*(1+Inputs!$B$13/100)))+0.25*(Inputs!$B$14-Inputs!$B$14))*(1+Inputs!$B$7/100))*(F2098/100)</f>
        <v/>
      </c>
      <c r="K2098">
        <f>J2098*(1+((Inputs!$B$12*(1+Inputs!$B$13/100))*0.01+Inputs!$B$14*0.0025)/100)*(1+Inputs!$B$15/100)*(1+Inputs!$B$16/100)*(5000/(6000+Inputs!$B$42*(1-(100*(1-(1-(Inputs!$B$19+0)/100)*(1-CHOOSE(ArtifactsInput!$N$40+1,5,6,7,8,9,10)/100)^(ArtifactsInput!$M$40-ArtifactsInput!$M$40)))/100)))*(1+(Inputs!$B$24+((C2112=TRUE)*(F2112-Calc!F25))+B2122)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2099=TRUE,F2099,0)/100)*(1+IF(Skills!A11="ENHANCED_RAGING_BLOW",IF(Inputs!$B$3&gt;=134,MAX(0,IF(Inputs!$B$3&gt;=110,7,5)-5)*50,0),0)/100)*(1+(IF(Skills!A11="RAGING_BLOW",Inputs!$B$17+((C2108=TRUE)*(F2108-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2110=TRUE)*(F2110-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2100=TRUE)*F2100*IF(Inputs!$B$3&gt;=110,7,5))+((C2102=TRUE)*F2102*IF(AND(Inputs!$B$38&lt;&gt;"pvp",Inputs!$B$43&gt;0),(((R2102-1)*(Skills!T15*(1+(Inputs!$B$34+(ArtifactsInput!$M$7-ArtifactsInput!$M$7)*CHOOSE(ArtifactsInput!$N$7+1,6,7.2,8.4,9.6,10.8,12))/100))+MIN((Skills!T15*(1+(Inputs!$B$34+(ArtifactsInput!$M$7-ArtifactsInput!$M$7)*CHOOSE(ArtifactsInput!$N$7+1,6,7.2,8.4,9.6,10.8,12))/100)),MAX(0,Inputs!$B$43-((R2102-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Hunt"),CHOOSE(ArtifactsInput!$N$35+1,15,18,21,24,27,30)*(1-EXP(-(0.2*B2118)*5)),0)+IF(AND(ArtifactsInput!$M$22,Inputs!$B$4&lt;&gt;"Chapter Hunt"),CHOOSE(ArtifactsInput!$N$22+1,10,12,14,16,18,20)*((0*(((0.15*B2118*5))^0/1)+1*(((0.15*B2118*5))^1/1)+2*(((0.15*B2118*5))^2/2)+3*(((0.15*B2118*5))^3/6)+4*(((0.15*B2118*5))^4/24)+5*(((0.15*B2118*5))^5/120))/((((0.15*B2118*5))^0/1)+(((0.15*B2118*5))^1/1)+(((0.15*B2118*5))^2/2)+(((0.15*B2118*5))^3/6)+(((0.15*B2118*5))^4/24)+(((0.15*B2118*5))^5/120))),0)))/100)*I2098)</f>
        <v/>
      </c>
      <c r="L2098">
        <f>K2098*(MIN(Inputs!$B$22+((C2109=TRUE)*(F2109-Calc!F22)),(Inputs!$B$23+((C2111=TRUE)*(F2111-Calc!F24))+(IF(ArtifactsInput!$M$15,CHOOSE(ArtifactsInput!$N$15+1,25,30,35,40,45,50)/100*(Inputs!$B$11-Inputs!$B$11),0))))/100+(Inputs!$B$23+((C2111=TRUE)*(F2111-Calc!F24))+(IF(ArtifactsInput!$M$15,CHOOSE(ArtifactsInput!$N$15+1,25,30,35,40,45,50)/100*(Inputs!$B$11-Inputs!$B$11),0)))/100)/2</f>
        <v/>
      </c>
      <c r="M2098">
        <f>L2098*(1+(Inputs!$B$10+0+B2121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8">
        <f>L2098*(1-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2098*(MIN((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8">
        <f>(1-Summary!$B$11)*T2098+Summary!$B$11*V2098</f>
        <v/>
      </c>
      <c r="P2098">
        <f>IF(B2126=0,0,O2098/B2126)</f>
        <v/>
      </c>
      <c r="Q2098">
        <f>IFERROR(1/(IF(Inputs!$B$38="pvp",15,MAX(0.1,Skills!D11-IF(Skills!E11=TRUE,Inputs!$B$32,0)))*(1-IF(AND(ArtifactsInput!$M$27,Inputs!$B$4="Chapter Hunt"),CHOOSE(ArtifactsInput!$N$27+1,20,24,28,32,36,40),0)/100)),0)</f>
        <v/>
      </c>
      <c r="R2098">
        <f>IF(AND(Inputs!$B$38&lt;&gt;"pvp",Inputs!$B$43&gt;0),IF(MAX(0,Inputs!$B$43-B2123)&lt;=0,0,(INT(MAX(0,Inputs!$B$43-B2123)/(IF(Inputs!$B$38="pvp",15,MAX(0.1,Skills!D11-IF(Skills!E11=TRUE,Inputs!$B$32,0)))*(1-IF(AND(ArtifactsInput!$M$27,Inputs!$B$4="Chapter Hunt"),CHOOSE(ArtifactsInput!$N$27+1,20,24,28,32,36,40),0)/100)))+1)),0)</f>
        <v/>
      </c>
      <c r="S2098">
        <f>IFERROR(O2098/N2098,0)</f>
        <v/>
      </c>
      <c r="T2098">
        <f>IF(C2098,(H2098*N2098*IF(AND(Inputs!$B$38&lt;&gt;"pvp",Inputs!$B$43&gt;0),((Skills!G11*((R2098-1)*IF(Skills!H11&gt;0,Skills!I11/Skills!H11,1)+IF(Skills!H11&gt;0,MIN(Skills!I11,MAX(0,MAX(0,Inputs!$B$43-B2123)-((R2098-1)*(IF(Inputs!$B$38="pvp",15,MAX(0.1,Skills!D11-IF(Skills!E11=TRUE,Inputs!$B$32,0)))*(1-IF(AND(ArtifactsInput!$M$27,Inputs!$B$4="Chapter Hunt"),CHOOSE(ArtifactsInput!$N$27+1,20,24,28,32,36,40),0)/100)))))/Skills!H11,1)))/Inputs!$B$43),G2098*Q2098)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2098*(1-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2098*(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2098*(1-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2098*(MIN(100,(Inputs!$B$9+((C2113=TRUE)*(F2113-Calc!F26))+B2116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98">
        <f>IF(C2098,(H2098*N2098*IF(AND(Inputs!$B$38&lt;&gt;"pvp",Inputs!$B$43&gt;0),((Skills!G11*((R2098-1)*IF(Skills!H11&gt;0,Skills!I11/Skills!H11,1)+IF(Skills!H11&gt;0,MIN(Skills!I11,MAX(0,MAX(0,Inputs!$B$43-B2123)-((R2098-1)*(IF(Inputs!$B$38="pvp",15,MAX(0.1,Skills!D11-IF(Skills!E11=TRUE,Inputs!$B$32,0)))*(1-IF(AND(ArtifactsInput!$M$27,Inputs!$B$4="Chapter Hunt"),CHOOSE(ArtifactsInput!$N$27+1,20,24,28,32,36,40),0)/100)))))/Skills!H11,1)))/Inputs!$B$43),G2098*Q2098)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9">
      <c r="A2099">
        <f>Skills!A12</f>
        <v/>
      </c>
      <c r="B2099">
        <f>Skills!B12</f>
        <v/>
      </c>
      <c r="C2099">
        <f>Inputs!$B$3&gt;=100</f>
        <v/>
      </c>
      <c r="D2099">
        <f>IF(Skills!C12=1,60+Inputs!$B$25+Inputs!$B$29,IF(Skills!C12=2,90+Inputs!$B$26+Inputs!$B$29,IF(Skills!C12=3,120+Inputs!$B$27+Inputs!$B$29,MAX(0,(Inputs!$B$3-100)*3)+Inputs!$B$28+Inputs!$B$29)))</f>
        <v/>
      </c>
      <c r="E2099">
        <f>INDEX(FactorTable!$B$2:$Y$301, MATCH(ROUND(MIN(300,MAX(1,D2099)),0), FactorTable!$A$2:$A$301,0), Skills!M12+1)</f>
        <v/>
      </c>
      <c r="F2099">
        <f>IF(Skills!N12=TRUE,(Skills!L12/10)*(E2099/1000),Skills!L12/10)+Skills!O12</f>
        <v/>
      </c>
      <c r="G2099" t="inlineStr"/>
      <c r="H2099" t="inlineStr"/>
      <c r="I2099" t="inlineStr">
        <is>
          <t>1</t>
        </is>
      </c>
      <c r="J2099" t="inlineStr"/>
      <c r="K2099" t="inlineStr"/>
      <c r="L2099" t="inlineStr"/>
      <c r="M2099" t="inlineStr"/>
      <c r="N2099" t="inlineStr"/>
      <c r="O2099" t="inlineStr"/>
      <c r="P2099" t="inlineStr"/>
      <c r="Q2099" t="inlineStr"/>
      <c r="R2099" t="inlineStr"/>
      <c r="S2099" t="inlineStr"/>
    </row>
    <row r="2100">
      <c r="A2100">
        <f>Skills!A13</f>
        <v/>
      </c>
      <c r="B2100">
        <f>Skills!B13</f>
        <v/>
      </c>
      <c r="C2100">
        <f>Inputs!$B$3&gt;=45</f>
        <v/>
      </c>
      <c r="D2100">
        <f>IF(Skills!C13=1,60+Inputs!$B$25+Inputs!$B$29,IF(Skills!C13=2,90+Inputs!$B$26+Inputs!$B$29,IF(Skills!C13=3,120+Inputs!$B$27+Inputs!$B$29,MAX(0,(Inputs!$B$3-100)*3)+Inputs!$B$28+Inputs!$B$29)))</f>
        <v/>
      </c>
      <c r="E2100">
        <f>INDEX(FactorTable!$B$2:$Y$301, MATCH(ROUND(MIN(300,MAX(1,D2100)),0), FactorTable!$A$2:$A$301,0), Skills!M13+1)</f>
        <v/>
      </c>
      <c r="F2100">
        <f>IF(Skills!N13=TRUE,(Skills!L13/10)*(E2100/1000),Skills!L13/10)+Skills!O13</f>
        <v/>
      </c>
      <c r="G2100">
        <f>Skills!G13*IF(Skills!H13&gt;0,Skills!I13/Skills!H13,1)</f>
        <v/>
      </c>
      <c r="H2100">
        <f>1-(1-Skills!J13/100)^Skills!K13</f>
        <v/>
      </c>
      <c r="I2100" t="inlineStr">
        <is>
          <t>1</t>
        </is>
      </c>
      <c r="J2100" t="inlineStr"/>
      <c r="K2100" t="inlineStr"/>
      <c r="L2100" t="inlineStr"/>
      <c r="M2100" t="inlineStr"/>
      <c r="N2100" t="inlineStr"/>
      <c r="O2100">
        <f>(1-Summary!$B$11)*T2100+Summary!$B$11*V2100</f>
        <v/>
      </c>
      <c r="P2100">
        <f>IF(B2126=0,0,O2100/B2126)</f>
        <v/>
      </c>
      <c r="Q2100" t="n">
        <v>0</v>
      </c>
      <c r="R2100" t="n">
        <v>0</v>
      </c>
      <c r="S2100">
        <f>IFERROR(O2100/N2100,0)</f>
        <v/>
      </c>
      <c r="T2100" t="n">
        <v>0</v>
      </c>
      <c r="V2100" t="n">
        <v>0</v>
      </c>
    </row>
    <row r="2101">
      <c r="A2101">
        <f>Skills!A14</f>
        <v/>
      </c>
      <c r="B2101">
        <f>Skills!B14</f>
        <v/>
      </c>
      <c r="C2101">
        <f>Inputs!$B$3&gt;=75</f>
        <v/>
      </c>
      <c r="D2101">
        <f>IF(Skills!C14=1,60+Inputs!$B$25+Inputs!$B$29,IF(Skills!C14=2,90+Inputs!$B$26+Inputs!$B$29,IF(Skills!C14=3,120+Inputs!$B$27+Inputs!$B$29,MAX(0,(Inputs!$B$3-100)*3)+Inputs!$B$28+Inputs!$B$29)))</f>
        <v/>
      </c>
      <c r="E2101">
        <f>INDEX(FactorTable!$B$2:$Y$301, MATCH(ROUND(MIN(300,MAX(1,D2101)),0), FactorTable!$A$2:$A$301,0), Skills!M14+1)</f>
        <v/>
      </c>
      <c r="F2101">
        <f>IF(Skills!N14=TRUE,(Skills!L14/10)*(E2101/1000),Skills!L14/10)+Skills!O14</f>
        <v/>
      </c>
      <c r="G2101">
        <f>Skills!G14*IF(Skills!H14&gt;0,Skills!I14/Skills!H14,1)</f>
        <v/>
      </c>
      <c r="H2101">
        <f>1-(1-Skills!J14/100)^Skills!K14</f>
        <v/>
      </c>
      <c r="I2101" t="inlineStr">
        <is>
          <t>1</t>
        </is>
      </c>
      <c r="J2101" t="inlineStr"/>
      <c r="K2101" t="inlineStr"/>
      <c r="L2101" t="inlineStr"/>
      <c r="M2101" t="inlineStr"/>
      <c r="N2101" t="inlineStr"/>
      <c r="O2101">
        <f>(1-Summary!$B$11)*T2101+Summary!$B$11*V2101</f>
        <v/>
      </c>
      <c r="P2101">
        <f>IF(B2126=0,0,O2101/B2126)</f>
        <v/>
      </c>
      <c r="Q2101" t="n">
        <v>0</v>
      </c>
      <c r="R2101" t="n">
        <v>0</v>
      </c>
      <c r="S2101">
        <f>IFERROR(O2101/N2101,0)</f>
        <v/>
      </c>
      <c r="T2101" t="n">
        <v>0</v>
      </c>
      <c r="V2101" t="n">
        <v>0</v>
      </c>
    </row>
    <row r="2102">
      <c r="A2102">
        <f>Skills!A15</f>
        <v/>
      </c>
      <c r="B2102">
        <f>Skills!B15</f>
        <v/>
      </c>
      <c r="C2102">
        <f>Inputs!$B$3&gt;=40</f>
        <v/>
      </c>
      <c r="D2102">
        <f>IF(Skills!C15=1,60+Inputs!$B$25+Inputs!$B$29,IF(Skills!C15=2,90+Inputs!$B$26+Inputs!$B$29,IF(Skills!C15=3,120+Inputs!$B$27+Inputs!$B$29,MAX(0,(Inputs!$B$3-100)*3)+Inputs!$B$28+Inputs!$B$29)))</f>
        <v/>
      </c>
      <c r="E2102">
        <f>INDEX(FactorTable!$B$2:$Y$301, MATCH(ROUND(MIN(300,MAX(1,D2102)),0), FactorTable!$A$2:$A$301,0), Skills!M15+1)</f>
        <v/>
      </c>
      <c r="F2102">
        <f>IF(Skills!N15=TRUE,(Skills!L15/10)*(E2102/1000),Skills!L15/10)+Skills!O15</f>
        <v/>
      </c>
      <c r="G2102">
        <f>Skills!G15*IF(Skills!H15&gt;0,Skills!I15/Skills!H15,1)</f>
        <v/>
      </c>
      <c r="H2102">
        <f>1-(1-Skills!J15/100)^Skills!K15</f>
        <v/>
      </c>
      <c r="I2102" t="inlineStr">
        <is>
          <t>1</t>
        </is>
      </c>
      <c r="J2102" t="inlineStr"/>
      <c r="K2102" t="inlineStr"/>
      <c r="L2102" t="inlineStr"/>
      <c r="M2102" t="inlineStr"/>
      <c r="N2102" t="inlineStr"/>
      <c r="O2102">
        <f>(1-Summary!$B$11)*T2102+Summary!$B$11*V2102</f>
        <v/>
      </c>
      <c r="P2102">
        <f>IF(B2126=0,0,O2102/B2126)</f>
        <v/>
      </c>
      <c r="Q2102">
        <f>IFERROR(1/(IF(Inputs!$B$38="pvp",15,MAX(0.1,Skills!D15-IF(Skills!E15=TRUE,Inputs!$B$32,0)))*(1-IF(AND(ArtifactsInput!$M$27,Inputs!$B$4="Chapter Hunt"),CHOOSE(ArtifactsInput!$N$27+1,20,24,28,32,36,40),0)/100)),0)</f>
        <v/>
      </c>
      <c r="R2102">
        <f>IF(AND(Inputs!$B$38&lt;&gt;"pvp",Inputs!$B$43&gt;0),IF(Inputs!$B$43&lt;=0,0,(INT(Inputs!$B$43/(IF(Inputs!$B$38="pvp",15,MAX(0.1,Skills!D15-IF(Skills!E15=TRUE,Inputs!$B$32,0)))*(1-IF(AND(ArtifactsInput!$M$27,Inputs!$B$4="Chapter Hunt"),CHOOSE(ArtifactsInput!$N$27+1,20,24,28,32,36,40),0)/100)))+1)),0)</f>
        <v/>
      </c>
      <c r="S2102">
        <f>IFERROR(O2102/N2102,0)</f>
        <v/>
      </c>
      <c r="T2102" t="n">
        <v>0</v>
      </c>
      <c r="V2102" t="n">
        <v>0</v>
      </c>
    </row>
    <row r="2103">
      <c r="A2103">
        <f>Skills!A16</f>
        <v/>
      </c>
      <c r="B2103">
        <f>Skills!B16</f>
        <v/>
      </c>
      <c r="C2103">
        <f>Inputs!$B$3&gt;=66</f>
        <v/>
      </c>
      <c r="D2103">
        <f>IF(Skills!C16=1,60+Inputs!$B$25+Inputs!$B$29,IF(Skills!C16=2,90+Inputs!$B$26+Inputs!$B$29,IF(Skills!C16=3,120+Inputs!$B$27+Inputs!$B$29,MAX(0,(Inputs!$B$3-100)*3)+Inputs!$B$28+Inputs!$B$29)))</f>
        <v/>
      </c>
      <c r="E2103">
        <f>INDEX(FactorTable!$B$2:$Y$301, MATCH(ROUND(MIN(300,MAX(1,D2103)),0), FactorTable!$A$2:$A$301,0), Skills!M16+1)</f>
        <v/>
      </c>
      <c r="F2103">
        <f>IF(Skills!N16=TRUE,(Skills!L16/10)*(E2103/1000),Skills!L16/10)+Skills!O16</f>
        <v/>
      </c>
      <c r="G2103">
        <f>Skills!G16*IF(Skills!H16&gt;0,Skills!I16/Skills!H16,1)</f>
        <v/>
      </c>
      <c r="H2103">
        <f>1-(1-Skills!J16/100)^Skills!K16</f>
        <v/>
      </c>
      <c r="I2103" t="inlineStr">
        <is>
          <t>1</t>
        </is>
      </c>
      <c r="J2103" t="inlineStr"/>
      <c r="K2103" t="inlineStr"/>
      <c r="L2103" t="inlineStr"/>
      <c r="M2103" t="inlineStr"/>
      <c r="N2103" t="inlineStr"/>
      <c r="O2103">
        <f>(1-Summary!$B$11)*T2103+Summary!$B$11*V2103</f>
        <v/>
      </c>
      <c r="P2103">
        <f>IF(B2126=0,0,O2103/B2126)</f>
        <v/>
      </c>
      <c r="Q2103">
        <f>IFERROR(1/(IF(Inputs!$B$38="pvp",15,MAX(0.1,Skills!D16-IF(Skills!E16=TRUE,Inputs!$B$32,0)))*(1-IF(AND(ArtifactsInput!$M$27,Inputs!$B$4="Chapter Hunt"),CHOOSE(ArtifactsInput!$N$27+1,20,24,28,32,36,40),0)/100)),0)</f>
        <v/>
      </c>
      <c r="R2103">
        <f>IF(AND(Inputs!$B$38&lt;&gt;"pvp",Inputs!$B$43&gt;0),IF(Inputs!$B$43&lt;=0,0,(INT(Inputs!$B$43/(IF(Inputs!$B$38="pvp",15,MAX(0.1,Skills!D16-IF(Skills!E16=TRUE,Inputs!$B$32,0)))*(1-IF(AND(ArtifactsInput!$M$27,Inputs!$B$4="Chapter Hunt"),CHOOSE(ArtifactsInput!$N$27+1,20,24,28,32,36,40),0)/100)))+1)),0)</f>
        <v/>
      </c>
      <c r="S2103">
        <f>IFERROR(O2103/N2103,0)</f>
        <v/>
      </c>
      <c r="T2103" t="n">
        <v>0</v>
      </c>
      <c r="V2103" t="n">
        <v>0</v>
      </c>
    </row>
    <row r="2104">
      <c r="A2104">
        <f>Skills!A17</f>
        <v/>
      </c>
      <c r="B2104">
        <f>Skills!B17</f>
        <v/>
      </c>
      <c r="C2104">
        <f>Inputs!$B$3&gt;=115</f>
        <v/>
      </c>
      <c r="D2104">
        <f>IF(Skills!C17=1,60+Inputs!$B$25+Inputs!$B$29,IF(Skills!C17=2,90+Inputs!$B$26+Inputs!$B$29,IF(Skills!C17=3,120+Inputs!$B$27+Inputs!$B$29,MAX(0,(Inputs!$B$3-100)*3)+Inputs!$B$28+Inputs!$B$29)))</f>
        <v/>
      </c>
      <c r="E2104">
        <f>INDEX(FactorTable!$B$2:$Y$301, MATCH(ROUND(MIN(300,MAX(1,D2104)),0), FactorTable!$A$2:$A$301,0), Skills!M17+1)</f>
        <v/>
      </c>
      <c r="F2104">
        <f>IF(Skills!N17=TRUE,(Skills!L17/10)*(E2104/1000),Skills!L17/10)+Skills!O17</f>
        <v/>
      </c>
      <c r="G2104">
        <f>Skills!G17*IF(Skills!H17&gt;0,Skills!I17/Skills!H17,1)</f>
        <v/>
      </c>
      <c r="H2104">
        <f>1-(1-Skills!J17/100)^Skills!K17</f>
        <v/>
      </c>
      <c r="I2104" t="inlineStr">
        <is>
          <t>1</t>
        </is>
      </c>
      <c r="J2104" t="inlineStr"/>
      <c r="K2104" t="inlineStr"/>
      <c r="L2104" t="inlineStr"/>
      <c r="M2104" t="inlineStr"/>
      <c r="N2104" t="inlineStr"/>
      <c r="O2104">
        <f>(1-Summary!$B$11)*T2104+Summary!$B$11*V2104</f>
        <v/>
      </c>
      <c r="P2104">
        <f>IF(B2126=0,0,O2104/B2126)</f>
        <v/>
      </c>
      <c r="Q2104">
        <f>IFERROR(1/(IF(Inputs!$B$38="pvp",15,MAX(0.1,Skills!D17-IF(Skills!E17=TRUE,Inputs!$B$32,0)))*(1-IF(AND(ArtifactsInput!$M$27,Inputs!$B$4="Chapter Hunt"),CHOOSE(ArtifactsInput!$N$27+1,20,24,28,32,36,40),0)/100)),0)</f>
        <v/>
      </c>
      <c r="R2104">
        <f>IF(AND(Inputs!$B$38&lt;&gt;"pvp",Inputs!$B$43&gt;0),IF(Inputs!$B$43&lt;=0,0,(INT(Inputs!$B$43/(IF(Inputs!$B$38="pvp",15,MAX(0.1,Skills!D17-IF(Skills!E17=TRUE,Inputs!$B$32,0)))*(1-IF(AND(ArtifactsInput!$M$27,Inputs!$B$4="Chapter Hunt"),CHOOSE(ArtifactsInput!$N$27+1,20,24,28,32,36,40),0)/100)))+1)),0)</f>
        <v/>
      </c>
      <c r="S2104">
        <f>IFERROR(O2104/N2104,0)</f>
        <v/>
      </c>
      <c r="T2104" t="n">
        <v>0</v>
      </c>
      <c r="V2104" t="n">
        <v>0</v>
      </c>
    </row>
    <row r="2105">
      <c r="A2105">
        <f>Skills!A18</f>
        <v/>
      </c>
      <c r="B2105">
        <f>Skills!B18</f>
        <v/>
      </c>
      <c r="C2105">
        <f>Inputs!$B$3&gt;=115</f>
        <v/>
      </c>
      <c r="D2105">
        <f>IF(Skills!C18=1,60+Inputs!$B$25+Inputs!$B$29,IF(Skills!C18=2,90+Inputs!$B$26+Inputs!$B$29,IF(Skills!C18=3,120+Inputs!$B$27+Inputs!$B$29,MAX(0,(Inputs!$B$3-100)*3)+Inputs!$B$28+Inputs!$B$29)))</f>
        <v/>
      </c>
      <c r="E2105">
        <f>INDEX(FactorTable!$B$2:$Y$301, MATCH(ROUND(MIN(300,MAX(1,D2105)),0), FactorTable!$A$2:$A$301,0), Skills!M18+1)</f>
        <v/>
      </c>
      <c r="F2105">
        <f>IF(Skills!N18=TRUE,(Skills!L18/10)*(E2105/1000),Skills!L18/10)+Skills!O18</f>
        <v/>
      </c>
      <c r="G2105">
        <f>Skills!G18*IF(Skills!H18&gt;0,Skills!I18/Skills!H18,1)</f>
        <v/>
      </c>
      <c r="H2105">
        <f>1-(1-Skills!J18/100)^Skills!K18</f>
        <v/>
      </c>
      <c r="I2105" t="inlineStr">
        <is>
          <t>1</t>
        </is>
      </c>
      <c r="J2105" t="inlineStr"/>
      <c r="K2105" t="inlineStr"/>
      <c r="L2105" t="inlineStr"/>
      <c r="M2105" t="inlineStr"/>
      <c r="N2105" t="inlineStr"/>
      <c r="O2105">
        <f>(1-Summary!$B$11)*T2105+Summary!$B$11*V2105</f>
        <v/>
      </c>
      <c r="P2105">
        <f>IF(B2126=0,0,O2105/B2126)</f>
        <v/>
      </c>
      <c r="Q2105">
        <f>IFERROR(1/(IF(Inputs!$B$38="pvp",15,MAX(0.1,Skills!D18-IF(Skills!E18=TRUE,Inputs!$B$32,0)))*(1-IF(AND(ArtifactsInput!$M$27,Inputs!$B$4="Chapter Hunt"),CHOOSE(ArtifactsInput!$N$27+1,20,24,28,32,36,40),0)/100)),0)</f>
        <v/>
      </c>
      <c r="R2105">
        <f>IF(AND(Inputs!$B$38&lt;&gt;"pvp",Inputs!$B$43&gt;0),IF(Inputs!$B$43&lt;=0,0,(INT(Inputs!$B$43/(IF(Inputs!$B$38="pvp",15,MAX(0.1,Skills!D18-IF(Skills!E18=TRUE,Inputs!$B$32,0)))*(1-IF(AND(ArtifactsInput!$M$27,Inputs!$B$4="Chapter Hunt"),CHOOSE(ArtifactsInput!$N$27+1,20,24,28,32,36,40),0)/100)))+1)),0)</f>
        <v/>
      </c>
      <c r="S2105">
        <f>IFERROR(O2105/N2105,0)</f>
        <v/>
      </c>
      <c r="T2105" t="n">
        <v>0</v>
      </c>
      <c r="V2105" t="n">
        <v>0</v>
      </c>
    </row>
    <row r="2106">
      <c r="A2106">
        <f>Skills!A19</f>
        <v/>
      </c>
      <c r="B2106">
        <f>Skills!B19</f>
        <v/>
      </c>
      <c r="C2106">
        <f>TRUE</f>
        <v/>
      </c>
      <c r="D2106">
        <f>IF(Skills!C19=1,60+Inputs!$B$25+Inputs!$B$29,IF(Skills!C19=2,90+Inputs!$B$26+Inputs!$B$29,IF(Skills!C19=3,120+Inputs!$B$27+Inputs!$B$29,MAX(0,(Inputs!$B$3-100)*3)+Inputs!$B$28+Inputs!$B$29)))</f>
        <v/>
      </c>
      <c r="E2106">
        <f>INDEX(FactorTable!$B$2:$Y$301, MATCH(ROUND(MIN(300,MAX(1,D2106)),0), FactorTable!$A$2:$A$301,0), Skills!M19+1)</f>
        <v/>
      </c>
      <c r="F2106">
        <f>IF(Skills!N19=TRUE,(Skills!L19/10)*(E2106/1000),Skills!L19/10)+Skills!O19</f>
        <v/>
      </c>
      <c r="G2106">
        <f>Skills!G19*IF(Skills!H19&gt;0,Skills!I19/Skills!H19,1)</f>
        <v/>
      </c>
      <c r="H2106">
        <f>1-(1-Skills!J19/100)^Skills!K19</f>
        <v/>
      </c>
      <c r="I2106" t="inlineStr">
        <is>
          <t>1</t>
        </is>
      </c>
      <c r="J2106" t="inlineStr"/>
      <c r="K2106" t="inlineStr"/>
      <c r="L2106" t="inlineStr"/>
      <c r="M2106" t="inlineStr"/>
      <c r="N2106" t="inlineStr"/>
      <c r="O2106">
        <f>(1-Summary!$B$11)*T2106+Summary!$B$11*V2106</f>
        <v/>
      </c>
      <c r="P2106">
        <f>IF(B2126=0,0,O2106/B2126)</f>
        <v/>
      </c>
      <c r="Q2106">
        <f>IFERROR(1/(IF(Inputs!$B$38="pvp",15,MAX(0.1,Skills!D19-IF(Skills!E19=TRUE,Inputs!$B$32,0)))*(1-IF(AND(ArtifactsInput!$M$27,Inputs!$B$4="Chapter Hunt"),CHOOSE(ArtifactsInput!$N$27+1,20,24,28,32,36,40),0)/100)),0)</f>
        <v/>
      </c>
      <c r="R2106">
        <f>IF(AND(Inputs!$B$38&lt;&gt;"pvp",Inputs!$B$43&gt;0),IF(Inputs!$B$43&lt;=0,0,(INT(Inputs!$B$43/(IF(Inputs!$B$38="pvp",15,MAX(0.1,Skills!D19-IF(Skills!E19=TRUE,Inputs!$B$32,0)))*(1-IF(AND(ArtifactsInput!$M$27,Inputs!$B$4="Chapter Hunt"),CHOOSE(ArtifactsInput!$N$27+1,20,24,28,32,36,40),0)/100)))+1)),0)</f>
        <v/>
      </c>
      <c r="S2106">
        <f>IFERROR(O2106/N2106,0)</f>
        <v/>
      </c>
      <c r="T2106" t="n">
        <v>0</v>
      </c>
      <c r="V2106" t="n">
        <v>0</v>
      </c>
    </row>
    <row r="2107">
      <c r="A2107">
        <f>Skills!A20</f>
        <v/>
      </c>
      <c r="B2107">
        <f>Skills!B20</f>
        <v/>
      </c>
      <c r="C2107">
        <f>Inputs!$B$3&gt;=33</f>
        <v/>
      </c>
      <c r="D2107">
        <f>IF(Skills!C20=1,60+Inputs!$B$25+Inputs!$B$29,IF(Skills!C20=2,90+Inputs!$B$26+Inputs!$B$29,IF(Skills!C20=3,120+Inputs!$B$27+Inputs!$B$29,MAX(0,(Inputs!$B$3-100)*3)+Inputs!$B$28+Inputs!$B$29)))</f>
        <v/>
      </c>
      <c r="E2107">
        <f>INDEX(FactorTable!$B$2:$Y$301, MATCH(ROUND(MIN(300,MAX(1,D2107)),0), FactorTable!$A$2:$A$301,0), Skills!M20+1)</f>
        <v/>
      </c>
      <c r="F2107">
        <f>IF(Skills!N20=TRUE,(Skills!L20/10)*(E2107/1000),Skills!L20/10)+Skills!O20</f>
        <v/>
      </c>
      <c r="G2107">
        <f>Skills!G20*IF(Skills!H20&gt;0,Skills!I20/Skills!H20,1)</f>
        <v/>
      </c>
      <c r="H2107">
        <f>1-(1-Skills!J20/100)^Skills!K20</f>
        <v/>
      </c>
      <c r="I2107" t="inlineStr">
        <is>
          <t>1</t>
        </is>
      </c>
      <c r="J2107" t="inlineStr"/>
      <c r="K2107" t="inlineStr"/>
      <c r="L2107" t="inlineStr"/>
      <c r="M2107" t="inlineStr"/>
      <c r="N2107" t="inlineStr"/>
      <c r="O2107">
        <f>(1-Summary!$B$11)*T2107+Summary!$B$11*V2107</f>
        <v/>
      </c>
      <c r="P2107">
        <f>IF(B2126=0,0,O2107/B2126)</f>
        <v/>
      </c>
      <c r="Q2107" t="n">
        <v>0</v>
      </c>
      <c r="R2107" t="n">
        <v>0</v>
      </c>
      <c r="S2107">
        <f>IFERROR(O2107/N2107,0)</f>
        <v/>
      </c>
      <c r="T2107" t="n">
        <v>0</v>
      </c>
      <c r="V2107" t="n">
        <v>0</v>
      </c>
    </row>
    <row r="2108">
      <c r="A2108">
        <f>Skills!A21</f>
        <v/>
      </c>
      <c r="B2108">
        <f>Skills!B21</f>
        <v/>
      </c>
      <c r="C2108">
        <f>Inputs!$B$3&gt;=38</f>
        <v/>
      </c>
      <c r="D2108">
        <f>IF(Skills!C21=1,60+Inputs!$B$25+Inputs!$B$29,IF(Skills!C21=2,90+Inputs!$B$26+Inputs!$B$29,IF(Skills!C21=3,120+Inputs!$B$27+Inputs!$B$29,MAX(0,(Inputs!$B$3-100)*3)+Inputs!$B$28+Inputs!$B$29)))</f>
        <v/>
      </c>
      <c r="E2108">
        <f>INDEX(FactorTable!$B$2:$Y$301, MATCH(ROUND(MIN(300,MAX(1,D2108)),0), FactorTable!$A$2:$A$301,0), Skills!M21+1)</f>
        <v/>
      </c>
      <c r="F2108">
        <f>IF(Skills!N21=TRUE,(Skills!L21/10)*(E2108/1000),Skills!L21/10)+Skills!O21</f>
        <v/>
      </c>
      <c r="G2108">
        <f>Skills!G21*IF(Skills!H21&gt;0,Skills!I21/Skills!H21,1)</f>
        <v/>
      </c>
      <c r="H2108">
        <f>1-(1-Skills!J21/100)^Skills!K21</f>
        <v/>
      </c>
      <c r="I2108" t="inlineStr">
        <is>
          <t>1</t>
        </is>
      </c>
      <c r="J2108" t="inlineStr"/>
      <c r="K2108" t="inlineStr"/>
      <c r="L2108" t="inlineStr"/>
      <c r="M2108" t="inlineStr"/>
      <c r="N2108" t="inlineStr"/>
      <c r="O2108">
        <f>(1-Summary!$B$11)*T2108+Summary!$B$11*V2108</f>
        <v/>
      </c>
      <c r="P2108">
        <f>IF(B2126=0,0,O2108/B2126)</f>
        <v/>
      </c>
      <c r="Q2108" t="n">
        <v>0</v>
      </c>
      <c r="R2108" t="n">
        <v>0</v>
      </c>
      <c r="S2108">
        <f>IFERROR(O2108/N2108,0)</f>
        <v/>
      </c>
      <c r="T2108" t="n">
        <v>0</v>
      </c>
      <c r="V2108" t="n">
        <v>0</v>
      </c>
    </row>
    <row r="2109">
      <c r="A2109">
        <f>Skills!A22</f>
        <v/>
      </c>
      <c r="B2109">
        <f>Skills!B22</f>
        <v/>
      </c>
      <c r="C2109">
        <f>Inputs!$B$3&gt;=43</f>
        <v/>
      </c>
      <c r="D2109">
        <f>IF(Skills!C22=1,60+Inputs!$B$25+Inputs!$B$29,IF(Skills!C22=2,90+Inputs!$B$26+Inputs!$B$29,IF(Skills!C22=3,120+Inputs!$B$27+Inputs!$B$29,MAX(0,(Inputs!$B$3-100)*3)+Inputs!$B$28+Inputs!$B$29)))</f>
        <v/>
      </c>
      <c r="E2109">
        <f>INDEX(FactorTable!$B$2:$Y$301, MATCH(ROUND(MIN(300,MAX(1,D2109)),0), FactorTable!$A$2:$A$301,0), Skills!M22+1)</f>
        <v/>
      </c>
      <c r="F2109">
        <f>IF(Skills!N22=TRUE,(Skills!L22/10)*(E2109/1000),Skills!L22/10)+Skills!O22</f>
        <v/>
      </c>
      <c r="G2109">
        <f>Skills!G22*IF(Skills!H22&gt;0,Skills!I22/Skills!H22,1)</f>
        <v/>
      </c>
      <c r="H2109">
        <f>1-(1-Skills!J22/100)^Skills!K22</f>
        <v/>
      </c>
      <c r="I2109" t="inlineStr">
        <is>
          <t>1</t>
        </is>
      </c>
      <c r="J2109" t="inlineStr"/>
      <c r="K2109" t="inlineStr"/>
      <c r="L2109" t="inlineStr"/>
      <c r="M2109" t="inlineStr"/>
      <c r="N2109" t="inlineStr"/>
      <c r="O2109">
        <f>(1-Summary!$B$11)*T2109+Summary!$B$11*V2109</f>
        <v/>
      </c>
      <c r="P2109">
        <f>IF(B2126=0,0,O2109/B2126)</f>
        <v/>
      </c>
      <c r="Q2109" t="n">
        <v>0</v>
      </c>
      <c r="R2109" t="n">
        <v>0</v>
      </c>
      <c r="S2109">
        <f>IFERROR(O2109/N2109,0)</f>
        <v/>
      </c>
      <c r="T2109" t="n">
        <v>0</v>
      </c>
      <c r="V2109" t="n">
        <v>0</v>
      </c>
    </row>
    <row r="2110">
      <c r="A2110">
        <f>Skills!A23</f>
        <v/>
      </c>
      <c r="B2110">
        <f>Skills!B23</f>
        <v/>
      </c>
      <c r="C2110">
        <f>Inputs!$B$3&gt;=120</f>
        <v/>
      </c>
      <c r="D2110">
        <f>IF(Skills!C23=1,60+Inputs!$B$25+Inputs!$B$29,IF(Skills!C23=2,90+Inputs!$B$26+Inputs!$B$29,IF(Skills!C23=3,120+Inputs!$B$27+Inputs!$B$29,MAX(0,(Inputs!$B$3-100)*3)+Inputs!$B$28+Inputs!$B$29)))</f>
        <v/>
      </c>
      <c r="E2110">
        <f>INDEX(FactorTable!$B$2:$Y$301, MATCH(ROUND(MIN(300,MAX(1,D2110)),0), FactorTable!$A$2:$A$301,0), Skills!M23+1)</f>
        <v/>
      </c>
      <c r="F2110">
        <f>IF(Skills!N23=TRUE,(Skills!L23/10)*(E2110/1000),Skills!L23/10)+Skills!O23</f>
        <v/>
      </c>
      <c r="G2110">
        <f>Skills!G23*IF(Skills!H23&gt;0,Skills!I23/Skills!H23,1)</f>
        <v/>
      </c>
      <c r="H2110">
        <f>1-(1-Skills!J23/100)^Skills!K23</f>
        <v/>
      </c>
      <c r="I2110" t="inlineStr">
        <is>
          <t>1</t>
        </is>
      </c>
      <c r="J2110" t="inlineStr"/>
      <c r="K2110" t="inlineStr"/>
      <c r="L2110" t="inlineStr"/>
      <c r="M2110" t="inlineStr"/>
      <c r="N2110" t="inlineStr"/>
      <c r="O2110">
        <f>(1-Summary!$B$11)*T2110+Summary!$B$11*V2110</f>
        <v/>
      </c>
      <c r="P2110">
        <f>IF(B2126=0,0,O2110/B2126)</f>
        <v/>
      </c>
      <c r="Q2110" t="n">
        <v>0</v>
      </c>
      <c r="R2110" t="n">
        <v>0</v>
      </c>
      <c r="S2110">
        <f>IFERROR(O2110/N2110,0)</f>
        <v/>
      </c>
      <c r="T2110" t="n">
        <v>0</v>
      </c>
      <c r="V2110" t="n">
        <v>0</v>
      </c>
    </row>
    <row r="2111">
      <c r="A2111">
        <f>Skills!A24</f>
        <v/>
      </c>
      <c r="B2111">
        <f>Skills!B24</f>
        <v/>
      </c>
      <c r="C2111">
        <f>Inputs!$B$3&gt;=120</f>
        <v/>
      </c>
      <c r="D2111">
        <f>IF(Skills!C24=1,60+Inputs!$B$25+Inputs!$B$29,IF(Skills!C24=2,90+Inputs!$B$26+Inputs!$B$29,IF(Skills!C24=3,120+Inputs!$B$27+Inputs!$B$29,MAX(0,(Inputs!$B$3-100)*3)+Inputs!$B$28+Inputs!$B$29)))</f>
        <v/>
      </c>
      <c r="E2111">
        <f>INDEX(FactorTable!$B$2:$Y$301, MATCH(ROUND(MIN(300,MAX(1,D2111)),0), FactorTable!$A$2:$A$301,0), Skills!M24+1)</f>
        <v/>
      </c>
      <c r="F2111">
        <f>IF(Skills!N24=TRUE,(Skills!L24/10)*(E2111/1000),Skills!L24/10)+Skills!O24</f>
        <v/>
      </c>
      <c r="G2111">
        <f>Skills!G24*IF(Skills!H24&gt;0,Skills!I24/Skills!H24,1)</f>
        <v/>
      </c>
      <c r="H2111">
        <f>1-(1-Skills!J24/100)^Skills!K24</f>
        <v/>
      </c>
      <c r="I2111" t="inlineStr">
        <is>
          <t>1</t>
        </is>
      </c>
      <c r="J2111" t="inlineStr"/>
      <c r="K2111" t="inlineStr"/>
      <c r="L2111" t="inlineStr"/>
      <c r="M2111" t="inlineStr"/>
      <c r="N2111" t="inlineStr"/>
      <c r="O2111">
        <f>(1-Summary!$B$11)*T2111+Summary!$B$11*V2111</f>
        <v/>
      </c>
      <c r="P2111">
        <f>IF(B2126=0,0,O2111/B2126)</f>
        <v/>
      </c>
      <c r="Q2111" t="n">
        <v>0</v>
      </c>
      <c r="R2111" t="n">
        <v>0</v>
      </c>
      <c r="S2111">
        <f>IFERROR(O2111/N2111,0)</f>
        <v/>
      </c>
      <c r="T2111" t="n">
        <v>0</v>
      </c>
      <c r="V2111" t="n">
        <v>0</v>
      </c>
    </row>
    <row r="2112">
      <c r="A2112">
        <f>Skills!A25</f>
        <v/>
      </c>
      <c r="B2112">
        <f>Skills!B25</f>
        <v/>
      </c>
      <c r="C2112">
        <f>Inputs!$B$3&gt;=125</f>
        <v/>
      </c>
      <c r="D2112">
        <f>IF(Skills!C25=1,60+Inputs!$B$25+Inputs!$B$29,IF(Skills!C25=2,90+Inputs!$B$26+Inputs!$B$29,IF(Skills!C25=3,120+Inputs!$B$27+Inputs!$B$29,MAX(0,(Inputs!$B$3-100)*3)+Inputs!$B$28+Inputs!$B$29)))</f>
        <v/>
      </c>
      <c r="E2112">
        <f>INDEX(FactorTable!$B$2:$Y$301, MATCH(ROUND(MIN(300,MAX(1,D2112)),0), FactorTable!$A$2:$A$301,0), Skills!M25+1)</f>
        <v/>
      </c>
      <c r="F2112">
        <f>IF(Skills!N25=TRUE,(Skills!L25/10)*(E2112/1000),Skills!L25/10)+Skills!O25</f>
        <v/>
      </c>
      <c r="G2112">
        <f>Skills!G25*IF(Skills!H25&gt;0,Skills!I25/Skills!H25,1)</f>
        <v/>
      </c>
      <c r="H2112">
        <f>1-(1-Skills!J25/100)^Skills!K25</f>
        <v/>
      </c>
      <c r="I2112" t="inlineStr">
        <is>
          <t>1</t>
        </is>
      </c>
      <c r="J2112" t="inlineStr"/>
      <c r="K2112" t="inlineStr"/>
      <c r="L2112" t="inlineStr"/>
      <c r="M2112" t="inlineStr"/>
      <c r="N2112" t="inlineStr"/>
      <c r="O2112">
        <f>(1-Summary!$B$11)*T2112+Summary!$B$11*V2112</f>
        <v/>
      </c>
      <c r="P2112">
        <f>IF(B2126=0,0,O2112/B2126)</f>
        <v/>
      </c>
      <c r="Q2112" t="n">
        <v>0</v>
      </c>
      <c r="R2112" t="n">
        <v>0</v>
      </c>
      <c r="S2112">
        <f>IFERROR(O2112/N2112,0)</f>
        <v/>
      </c>
      <c r="T2112" t="n">
        <v>0</v>
      </c>
      <c r="V2112" t="n">
        <v>0</v>
      </c>
    </row>
    <row r="2113">
      <c r="A2113">
        <f>Skills!A26</f>
        <v/>
      </c>
      <c r="B2113">
        <f>Skills!B26</f>
        <v/>
      </c>
      <c r="C2113">
        <f>Inputs!$B$3&gt;=72</f>
        <v/>
      </c>
      <c r="D2113">
        <f>IF(Skills!C26=1,60+Inputs!$B$25+Inputs!$B$29,IF(Skills!C26=2,90+Inputs!$B$26+Inputs!$B$29,IF(Skills!C26=3,120+Inputs!$B$27+Inputs!$B$29,MAX(0,(Inputs!$B$3-100)*3)+Inputs!$B$28+Inputs!$B$29)))</f>
        <v/>
      </c>
      <c r="E2113">
        <f>INDEX(FactorTable!$B$2:$Y$301, MATCH(ROUND(MIN(300,MAX(1,D2113)),0), FactorTable!$A$2:$A$301,0), Skills!M26+1)</f>
        <v/>
      </c>
      <c r="F2113">
        <f>IF(Skills!N26=TRUE,(Skills!L26/10)*(E2113/1000),Skills!L26/10)+Skills!O26</f>
        <v/>
      </c>
      <c r="G2113">
        <f>Skills!G26*IF(Skills!H26&gt;0,Skills!I26/Skills!H26,1)</f>
        <v/>
      </c>
      <c r="H2113">
        <f>1-(1-Skills!J26/100)^Skills!K26</f>
        <v/>
      </c>
      <c r="I2113" t="inlineStr">
        <is>
          <t>1</t>
        </is>
      </c>
      <c r="J2113" t="inlineStr"/>
      <c r="K2113" t="inlineStr"/>
      <c r="L2113" t="inlineStr"/>
      <c r="M2113" t="inlineStr"/>
      <c r="N2113" t="inlineStr"/>
      <c r="O2113">
        <f>(1-Summary!$B$11)*T2113+Summary!$B$11*V2113</f>
        <v/>
      </c>
      <c r="P2113">
        <f>IF(B2126=0,0,O2113/B2126)</f>
        <v/>
      </c>
      <c r="Q2113" t="n">
        <v>0</v>
      </c>
      <c r="R2113" t="n">
        <v>0</v>
      </c>
      <c r="S2113">
        <f>IFERROR(O2113/N2113,0)</f>
        <v/>
      </c>
      <c r="T2113" t="n">
        <v>0</v>
      </c>
      <c r="V2113" t="n">
        <v>0</v>
      </c>
    </row>
    <row r="2115">
      <c r="A2115" t="inlineStr">
        <is>
          <t>Attack% Bucket Multiplier</t>
        </is>
      </c>
      <c r="B2115">
        <f>(1+(((C2100=TRUE)*F2100*IF(Inputs!$B$3&gt;=110,7,5))+((C2102=TRUE)*F2102*IF(AND(Inputs!$B$38&lt;&gt;"pvp",Inputs!$B$43&gt;0),(((R2102-1)*(Skills!T15*(1+(Inputs!$B$34+(ArtifactsInput!$M$7-ArtifactsInput!$M$7)*CHOOSE(ArtifactsInput!$N$7+1,6,7.2,8.4,9.6,10.8,12))/100))+MIN((Skills!T15*(1+(Inputs!$B$34+(ArtifactsInput!$M$7-ArtifactsInput!$M$7)*CHOOSE(ArtifactsInput!$N$7+1,6,7.2,8.4,9.6,10.8,12))/100)),MAX(0,Inputs!$B$43-((R2102-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16">
      <c r="A2116" t="inlineStr">
        <is>
          <t>Global Crit Rate Bonus %</t>
        </is>
      </c>
      <c r="B2116" t="n">
        <v>0</v>
      </c>
    </row>
    <row r="2117">
      <c r="A2117" t="inlineStr">
        <is>
          <t>Attack Speed Buff Bonus %</t>
        </is>
      </c>
      <c r="B2117">
        <f>((C2106=TRUE)*F2106*IF(AND(Inputs!$B$38&lt;&gt;"pvp",Inputs!$B$43&gt;0),(((R2106-1)*(Skills!T19*(1+(Inputs!$B$34+(ArtifactsInput!$M$7-ArtifactsInput!$M$7)*CHOOSE(ArtifactsInput!$N$7+1,6,7.2,8.4,9.6,10.8,12))/100))+MIN((Skills!T19*(1+(Inputs!$B$34+(ArtifactsInput!$M$7-ArtifactsInput!$M$7)*CHOOSE(ArtifactsInput!$N$7+1,6,7.2,8.4,9.6,10.8,12))/100)),MAX(0,Inputs!$B$43-((R2106-1)*Skills!D19))))/Inputs!$B$43),IF(Inputs!$B$38="pvp",MIN((Skills!T19*(1+(Inputs!$B$34+(ArtifactsInput!$M$7-ArtifactsInput!$M$7)*CHOOSE(ArtifactsInput!$N$7+1,6,7.2,8.4,9.6,10.8,12))/100)),15)/15,(Skills!T19*(1+(Inputs!$B$34+(ArtifactsInput!$M$7-ArtifactsInput!$M$7)*CHOOSE(ArtifactsInput!$N$7+1,6,7.2,8.4,9.6,10.8,12))/100))/Skills!D19)))</f>
        <v/>
      </c>
    </row>
    <row r="2118">
      <c r="A2118" t="inlineStr">
        <is>
          <t>Actions Per Second</t>
        </is>
      </c>
      <c r="B2118">
        <f>1+MIN(150,150*(1-(1-(Inputs!$B$11+((C2107=TRUE)*(F2107-Calc!F20)))/150)*(1-B2117/150)))/100</f>
        <v/>
      </c>
    </row>
    <row r="2119">
      <c r="A2119" t="inlineStr">
        <is>
          <t>Skill + Buff Cast Rate</t>
        </is>
      </c>
      <c r="B2119">
        <f>IF(AND(Inputs!$B$38&lt;&gt;"pvp",Inputs!$B$43&gt;0),SUMPRODUCT((Skills!E2:E26=TRUE)*(C2089:C2113=TRUE)*R2089:R2113*Skills!F2:F26)/Inputs!$B$43,SUMPRODUCT((Skills!E2:E26=TRUE)*(C2089:C2113=TRUE)*Q2089:Q2113*Skills!F2:F26))</f>
        <v/>
      </c>
    </row>
    <row r="2120">
      <c r="A2120" t="inlineStr">
        <is>
          <t>Raging Blow Casts Per Second</t>
        </is>
      </c>
      <c r="B2120">
        <f>MAX(0,B2118-B2119)</f>
        <v/>
      </c>
    </row>
    <row r="2121">
      <c r="A2121" t="inlineStr">
        <is>
          <t>Global Critical Damage Bonus % (Enrage)</t>
        </is>
      </c>
      <c r="B2121">
        <f>((C2105=TRUE)*F2105*IF(AND(Inputs!$B$38&lt;&gt;"pvp",Inputs!$B$43&gt;0),(((R2105-1)*(Skills!T18*(1+(Inputs!$B$34+(ArtifactsInput!$M$7-ArtifactsInput!$M$7)*CHOOSE(ArtifactsInput!$N$7+1,6,7.2,8.4,9.6,10.8,12))/100))+MIN((Skills!T18*(1+(Inputs!$B$34+(ArtifactsInput!$M$7-ArtifactsInput!$M$7)*CHOOSE(ArtifactsInput!$N$7+1,6,7.2,8.4,9.6,10.8,12))/100)),MAX(0,Inputs!$B$43-((R2105-1)*Skills!D18))))/Inputs!$B$43),IF(Inputs!$B$38="pvp",MIN((Skills!T18*(1+(Inputs!$B$34+(ArtifactsInput!$M$7-ArtifactsInput!$M$7)*CHOOSE(ArtifactsInput!$N$7+1,6,7.2,8.4,9.6,10.8,12))/100)),15)/15,(Skills!T18*(1+(Inputs!$B$34+(ArtifactsInput!$M$7-ArtifactsInput!$M$7)*CHOOSE(ArtifactsInput!$N$7+1,6,7.2,8.4,9.6,10.8,12))/100))/Skills!D18)))</f>
        <v/>
      </c>
    </row>
    <row r="2122">
      <c r="A2122" t="inlineStr">
        <is>
          <t>Global Final Damage Bonus % (Enrage + Combo Synergy)</t>
        </is>
      </c>
      <c r="B2122">
        <f>((C2104=TRUE)*F2104*IF(AND(Inputs!$B$38&lt;&gt;"pvp",Inputs!$B$43&gt;0),(((R2104-1)*(Skills!T17*(1+(Inputs!$B$34+(ArtifactsInput!$M$7-ArtifactsInput!$M$7)*CHOOSE(ArtifactsInput!$N$7+1,6,7.2,8.4,9.6,10.8,12))/100))+MIN((Skills!T17*(1+(Inputs!$B$34+(ArtifactsInput!$M$7-ArtifactsInput!$M$7)*CHOOSE(ArtifactsInput!$N$7+1,6,7.2,8.4,9.6,10.8,12))/100)),MAX(0,Inputs!$B$43-((R2104-1)*Skills!D17))))/Inputs!$B$43),IF(Inputs!$B$38="pvp",MIN((Skills!T17*(1+(Inputs!$B$34+(ArtifactsInput!$M$7-ArtifactsInput!$M$7)*CHOOSE(ArtifactsInput!$N$7+1,6,7.2,8.4,9.6,10.8,12))/100)),15)/15,(Skills!T17*(1+(Inputs!$B$34+(ArtifactsInput!$M$7-ArtifactsInput!$M$7)*CHOOSE(ArtifactsInput!$N$7+1,6,7.2,8.4,9.6,10.8,12))/100))/Skills!D17)))+((C2101=TRUE)*F2101*IF(Inputs!$B$3&gt;=110,7,5))</f>
        <v/>
      </c>
    </row>
    <row r="2123">
      <c r="A2123" t="inlineStr">
        <is>
          <t>Buff-Casting Startup Delay (s, fixed-duration only)</t>
        </is>
      </c>
      <c r="B2123">
        <f>IF(AND(Inputs!$B$38&lt;&gt;"pvp",Inputs!$B$43&gt;0),SUMPRODUCT((Skills!T2:T26&gt;0)*(Skills!E2:E26=TRUE)*(C2089:C2113=TRUE))/B2118,0)</f>
        <v/>
      </c>
    </row>
    <row r="2124">
      <c r="A2124" t="inlineStr">
        <is>
          <t>Boss-Only Total DPS (this block's swept value)</t>
        </is>
      </c>
      <c r="B2124">
        <f>SUM(T2089:T2113)</f>
        <v/>
      </c>
    </row>
    <row r="2125">
      <c r="A2125" t="inlineStr">
        <is>
          <t>Normal-Only Total DPS (this block's swept value)</t>
        </is>
      </c>
      <c r="B2125">
        <f>SUM(V2089:V2113)</f>
        <v/>
      </c>
    </row>
    <row r="2126">
      <c r="A2126" s="6" t="inlineStr">
        <is>
          <t>TOTAL DPS</t>
        </is>
      </c>
      <c r="B2126" s="6">
        <f>SUM(O2089:O2113)</f>
        <v/>
      </c>
    </row>
    <row r="2129">
      <c r="A2129" s="6" t="inlineStr">
        <is>
          <t>Stat: Ancient Text Piece (Equip)</t>
        </is>
      </c>
    </row>
    <row r="2130">
      <c r="A2130" s="5" t="inlineStr">
        <is>
          <t>Key</t>
        </is>
      </c>
      <c r="B2130" s="5" t="inlineStr">
        <is>
          <t>Name</t>
        </is>
      </c>
      <c r="C2130" s="5" t="inlineStr">
        <is>
          <t>Unlocked</t>
        </is>
      </c>
      <c r="D2130" s="5" t="inlineStr">
        <is>
          <t>InputLevel</t>
        </is>
      </c>
      <c r="E2130" s="5" t="inlineStr">
        <is>
          <t>Factor</t>
        </is>
      </c>
      <c r="F2130" s="5" t="inlineStr">
        <is>
          <t>CoefficientPercent</t>
        </is>
      </c>
      <c r="G2130" s="5" t="inlineStr">
        <is>
          <t>EffectiveHits</t>
        </is>
      </c>
      <c r="H2130" s="5" t="inlineStr">
        <is>
          <t>ProcProbability</t>
        </is>
      </c>
      <c r="I2130" s="5" t="inlineStr">
        <is>
          <t>MapleHeroMultiplier</t>
        </is>
      </c>
      <c r="J2130" s="5" t="inlineStr">
        <is>
          <t>BaseDamage</t>
        </is>
      </c>
      <c r="K2130" s="5" t="inlineStr">
        <is>
          <t>BaseHitDamage</t>
        </is>
      </c>
      <c r="L2130" s="5" t="inlineStr">
        <is>
          <t>NonCritAvg</t>
        </is>
      </c>
      <c r="M2130" s="5" t="inlineStr">
        <is>
          <t>CritAvg</t>
        </is>
      </c>
      <c r="N2130" s="5" t="inlineStr">
        <is>
          <t>ExpectedDamage(perHit)</t>
        </is>
      </c>
      <c r="O2130" s="5" t="inlineStr">
        <is>
          <t>DPS</t>
        </is>
      </c>
      <c r="P2130" s="5" t="inlineStr">
        <is>
          <t>% of Total</t>
        </is>
      </c>
      <c r="Q2130" s="5" t="inlineStr">
        <is>
          <t>InvCooldown</t>
        </is>
      </c>
      <c r="R2130" s="5" t="inlineStr">
        <is>
          <t>CastsInFight</t>
        </is>
      </c>
      <c r="S2130" s="5" t="inlineStr">
        <is>
          <t>HitRate(perSec)</t>
        </is>
      </c>
      <c r="U2130" t="inlineStr">
        <is>
          <t>helpers</t>
        </is>
      </c>
    </row>
    <row r="2131">
      <c r="A2131">
        <f>Skills!A2</f>
        <v/>
      </c>
      <c r="B2131">
        <f>Skills!B2</f>
        <v/>
      </c>
      <c r="C2131">
        <f>Inputs!$B$3&gt;=100</f>
        <v/>
      </c>
      <c r="D2131" t="inlineStr"/>
      <c r="E2131" t="inlineStr"/>
      <c r="F2131">
        <f>U2133+Skills!O2</f>
        <v/>
      </c>
      <c r="G2131">
        <f>Skills!G2*IF(Skills!H2&gt;0,Skills!I2/Skills!H2,1)</f>
        <v/>
      </c>
      <c r="H2131">
        <f>1-(1-Skills!J2/100)^Skills!K2</f>
        <v/>
      </c>
      <c r="I2131" t="inlineStr">
        <is>
          <t>1</t>
        </is>
      </c>
      <c r="J2131">
        <f>((Inputs!$B$6*(1+Inputs!$B$7/100))+(((Inputs!$B$12*(1+Inputs!$B$13/100))-(Inputs!$B$12*(1+Inputs!$B$13/100)))+0.25*(Inputs!$B$14-Inputs!$B$14))*(1+Inputs!$B$7/100))*(F2131/100)</f>
        <v/>
      </c>
      <c r="K2131">
        <f>J2131*(1+((Inputs!$B$12*(1+Inputs!$B$13/100))*0.01+Inputs!$B$14*0.0025)/100)*(1+Inputs!$B$15/100)*(1+Inputs!$B$16/100)*(5000/(6000+Inputs!$B$42*(1-(100*(1-(1-(Inputs!$B$19+0)/100)*(1-CHOOSE(ArtifactsInput!$N$40+1,5,6,7,8,9,10)/100)^(ArtifactsInput!$M$40-ArtifactsInput!$M$40)))/100)))*(1+(Inputs!$B$24+((C2154=TRUE)*(F2154-Calc!F25))+B2164)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2150=TRUE)*(F2150-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2152=TRUE)*(F2152-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2142=TRUE)*F2142*IF(Inputs!$B$3&gt;=110,7,5))+((C2144=TRUE)*F2144*IF(AND(Inputs!$B$38&lt;&gt;"pvp",Inputs!$B$43&gt;0),(((R2144-1)*(Skills!T15*(1+(Inputs!$B$34+(ArtifactsInput!$M$7-ArtifactsInput!$M$7)*CHOOSE(ArtifactsInput!$N$7+1,6,7.2,8.4,9.6,10.8,12))/100))+MIN((Skills!T15*(1+(Inputs!$B$34+(ArtifactsInput!$M$7-ArtifactsInput!$M$7)*CHOOSE(ArtifactsInput!$N$7+1,6,7.2,8.4,9.6,10.8,12))/100)),MAX(0,Inputs!$B$43-((R2144-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Hunt"),CHOOSE(ArtifactsInput!$N$35+1,15,18,21,24,27,30)*(1-EXP(-(0.2*B2160)*5)),0)+IF(AND(ArtifactsInput!$M$22,Inputs!$B$4&lt;&gt;"Chapter Hunt"),CHOOSE(ArtifactsInput!$N$22+1,10,12,14,16,18,20)*((0*(((0.15*B2160*5))^0/1)+1*(((0.15*B2160*5))^1/1)+2*(((0.15*B2160*5))^2/2)+3*(((0.15*B2160*5))^3/6)+4*(((0.15*B2160*5))^4/24)+5*(((0.15*B2160*5))^5/120))/((((0.15*B2160*5))^0/1)+(((0.15*B2160*5))^1/1)+(((0.15*B2160*5))^2/2)+(((0.15*B2160*5))^3/6)+(((0.15*B2160*5))^4/24)+(((0.15*B2160*5))^5/120))),0)))/100)*I2131)</f>
        <v/>
      </c>
      <c r="L2131">
        <f>K2131*(MIN(Inputs!$B$22+((C2151=TRUE)*(F2151-Calc!F22)),(Inputs!$B$23+((C2153=TRUE)*(F2153-Calc!F24))+(IF(ArtifactsInput!$M$15,CHOOSE(ArtifactsInput!$N$15+1,25,30,35,40,45,50)/100*(Inputs!$B$11-Inputs!$B$11),0))))/100+(Inputs!$B$23+((C2153=TRUE)*(F2153-Calc!F24))+(IF(ArtifactsInput!$M$15,CHOOSE(ArtifactsInput!$N$15+1,25,30,35,40,45,50)/100*(Inputs!$B$11-Inputs!$B$11),0)))/100)/2</f>
        <v/>
      </c>
      <c r="M2131">
        <f>L2131*(1+(Inputs!$B$10+0+B2163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1">
        <f>L2131*(1-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2131*(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1">
        <f>(1-Summary!$B$11)*T2131+Summary!$B$11*V2131</f>
        <v/>
      </c>
      <c r="P2131">
        <f>IF(B2168=0,0,O2131/B2168)</f>
        <v/>
      </c>
      <c r="Q2131" t="n">
        <v>0</v>
      </c>
      <c r="R2131" t="n">
        <v>0</v>
      </c>
      <c r="S2131">
        <f>IFERROR(O2131/N2131,0)</f>
        <v/>
      </c>
      <c r="T2131">
        <f>IF(C2131,(Skills!G2*N2131*B2162)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2131*(1-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2131*(1-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31">
        <f>MAX(0,(Inputs!$B$3-100)*3)+Inputs!$B$28+Inputs!$B$29</f>
        <v/>
      </c>
      <c r="V2131">
        <f>IF(C2131,(Skills!G2*N2131*B2162)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2">
      <c r="A2132">
        <f>Skills!A3</f>
        <v/>
      </c>
      <c r="B2132">
        <f>Skills!B3</f>
        <v/>
      </c>
      <c r="C2132">
        <f>Inputs!$B$3&gt;=50</f>
        <v/>
      </c>
      <c r="D2132">
        <f>IF(Skills!C3=1,60+Inputs!$B$25+Inputs!$B$29,IF(Skills!C3=2,90+Inputs!$B$26+Inputs!$B$29,IF(Skills!C3=3,120+Inputs!$B$27+Inputs!$B$29,MAX(0,(Inputs!$B$3-100)*3)+Inputs!$B$28+Inputs!$B$29)))</f>
        <v/>
      </c>
      <c r="E2132">
        <f>INDEX(FactorTable!$B$2:$Y$301, MATCH(ROUND(MIN(300,MAX(1,D2132)),0), FactorTable!$A$2:$A$301,0), Skills!M3+1)</f>
        <v/>
      </c>
      <c r="F2132">
        <f>IF(Skills!N3=TRUE,(Skills!L3/10)*(E2132/1000),Skills!L3/10)+Skills!O3</f>
        <v/>
      </c>
      <c r="G2132" t="inlineStr"/>
      <c r="H2132" t="inlineStr"/>
      <c r="I2132" t="inlineStr">
        <is>
          <t>1</t>
        </is>
      </c>
      <c r="J2132" t="inlineStr"/>
      <c r="K2132" t="inlineStr"/>
      <c r="L2132" t="inlineStr"/>
      <c r="M2132" t="inlineStr"/>
      <c r="N2132" t="inlineStr"/>
      <c r="O2132" t="inlineStr"/>
      <c r="P2132" t="inlineStr"/>
      <c r="Q2132" t="inlineStr"/>
      <c r="R2132" t="inlineStr"/>
      <c r="S2132" t="inlineStr"/>
      <c r="U2132">
        <f>INDEX(FactorTable!$B$2:$Y$301, MATCH(ROUND(MIN(300,MAX(1,U2131)),0), FactorTable!$A$2:$A$301,0), 22)</f>
        <v/>
      </c>
    </row>
    <row r="2133">
      <c r="A2133">
        <f>Skills!A4</f>
        <v/>
      </c>
      <c r="B2133">
        <f>Skills!B4</f>
        <v/>
      </c>
      <c r="C2133">
        <f>Inputs!$B$3&gt;=105</f>
        <v/>
      </c>
      <c r="D2133">
        <f>IF(Skills!C4=1,60+Inputs!$B$25+Inputs!$B$29,IF(Skills!C4=2,90+Inputs!$B$26+Inputs!$B$29,IF(Skills!C4=3,120+Inputs!$B$27+Inputs!$B$29,MAX(0,(Inputs!$B$3-100)*3)+Inputs!$B$28+Inputs!$B$29)))</f>
        <v/>
      </c>
      <c r="E2133">
        <f>INDEX(FactorTable!$B$2:$Y$301, MATCH(ROUND(MIN(300,MAX(1,D2133)),0), FactorTable!$A$2:$A$301,0), Skills!M4+1)</f>
        <v/>
      </c>
      <c r="F2133">
        <f>IF(Skills!N4=TRUE,(Skills!L4/10)*(E2133/1000),Skills!L4/10)+Skills!O4</f>
        <v/>
      </c>
      <c r="G2133" t="inlineStr"/>
      <c r="H2133" t="inlineStr"/>
      <c r="I2133" t="inlineStr">
        <is>
          <t>1</t>
        </is>
      </c>
      <c r="J2133" t="inlineStr"/>
      <c r="K2133" t="inlineStr"/>
      <c r="L2133" t="inlineStr"/>
      <c r="M2133" t="inlineStr"/>
      <c r="N2133" t="inlineStr"/>
      <c r="O2133" t="inlineStr"/>
      <c r="P2133" t="inlineStr"/>
      <c r="Q2133" t="inlineStr"/>
      <c r="R2133" t="inlineStr"/>
      <c r="S2133" t="inlineStr"/>
      <c r="U2133">
        <f>290*U2132/1000</f>
        <v/>
      </c>
    </row>
    <row r="2134">
      <c r="A2134">
        <f>Skills!A5</f>
        <v/>
      </c>
      <c r="B2134">
        <f>Skills!B5</f>
        <v/>
      </c>
      <c r="C2134">
        <f>Inputs!$B$3&gt;=103</f>
        <v/>
      </c>
      <c r="D2134">
        <f>IF(Skills!C5=1,60+Inputs!$B$25+Inputs!$B$29,IF(Skills!C5=2,90+Inputs!$B$26+Inputs!$B$29,IF(Skills!C5=3,120+Inputs!$B$27+Inputs!$B$29,MAX(0,(Inputs!$B$3-100)*3)+Inputs!$B$28+Inputs!$B$29)))</f>
        <v/>
      </c>
      <c r="E2134">
        <f>INDEX(FactorTable!$B$2:$Y$301, MATCH(ROUND(MIN(300,MAX(1,D2134)),0), FactorTable!$A$2:$A$301,0), Skills!M5+1)</f>
        <v/>
      </c>
      <c r="F2134">
        <f>IF(Skills!N5=TRUE,(Skills!L5/10)*(E2134/1000),Skills!L5/10)+Skills!O5</f>
        <v/>
      </c>
      <c r="G2134">
        <f>Skills!G5*IF(Skills!H5&gt;0,Skills!I5/Skills!H5,1)</f>
        <v/>
      </c>
      <c r="H2134">
        <f>1-(1-Skills!J5/100)^Skills!K5</f>
        <v/>
      </c>
      <c r="I2134" t="inlineStr">
        <is>
          <t>1</t>
        </is>
      </c>
      <c r="J2134">
        <f>((Inputs!$B$6*(1+Inputs!$B$7/100))+(((Inputs!$B$12*(1+Inputs!$B$13/100))-(Inputs!$B$12*(1+Inputs!$B$13/100)))+0.25*(Inputs!$B$14-Inputs!$B$14))*(1+Inputs!$B$7/100))*(F2134/100)</f>
        <v/>
      </c>
      <c r="K2134">
        <f>J2134*(1+((Inputs!$B$12*(1+Inputs!$B$13/100))*0.01+Inputs!$B$14*0.0025)/100)*(1+Inputs!$B$15/100)*(1+Inputs!$B$16/100)*(5000/(6000+Inputs!$B$42*(1-(100*(1-(1-(Inputs!$B$19+0)/100)*(1-CHOOSE(ArtifactsInput!$N$40+1,5,6,7,8,9,10)/100)^(ArtifactsInput!$M$40-ArtifactsInput!$M$40)))/100)))*(1+(Inputs!$B$24+((C2154=TRUE)*(F2154-Calc!F25))+B2164)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2150=TRUE)*(F2150-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2152=TRUE)*(F2152-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2142=TRUE)*F2142*IF(Inputs!$B$3&gt;=110,7,5))+((C2144=TRUE)*F2144*IF(AND(Inputs!$B$38&lt;&gt;"pvp",Inputs!$B$43&gt;0),(((R2144-1)*(Skills!T15*(1+(Inputs!$B$34+(ArtifactsInput!$M$7-ArtifactsInput!$M$7)*CHOOSE(ArtifactsInput!$N$7+1,6,7.2,8.4,9.6,10.8,12))/100))+MIN((Skills!T15*(1+(Inputs!$B$34+(ArtifactsInput!$M$7-ArtifactsInput!$M$7)*CHOOSE(ArtifactsInput!$N$7+1,6,7.2,8.4,9.6,10.8,12))/100)),MAX(0,Inputs!$B$43-((R2144-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Hunt"),CHOOSE(ArtifactsInput!$N$35+1,15,18,21,24,27,30)*(1-EXP(-(0.2*B2160)*5)),0)+IF(AND(ArtifactsInput!$M$22,Inputs!$B$4&lt;&gt;"Chapter Hunt"),CHOOSE(ArtifactsInput!$N$22+1,10,12,14,16,18,20)*((0*(((0.15*B2160*5))^0/1)+1*(((0.15*B2160*5))^1/1)+2*(((0.15*B2160*5))^2/2)+3*(((0.15*B2160*5))^3/6)+4*(((0.15*B2160*5))^4/24)+5*(((0.15*B2160*5))^5/120))/((((0.15*B2160*5))^0/1)+(((0.15*B2160*5))^1/1)+(((0.15*B2160*5))^2/2)+(((0.15*B2160*5))^3/6)+(((0.15*B2160*5))^4/24)+(((0.15*B2160*5))^5/120))),0)))/100)*I2134)</f>
        <v/>
      </c>
      <c r="L2134">
        <f>K2134*(MIN(Inputs!$B$22+((C2151=TRUE)*(F2151-Calc!F22)),(Inputs!$B$23+((C2153=TRUE)*(F2153-Calc!F24))+(IF(ArtifactsInput!$M$15,CHOOSE(ArtifactsInput!$N$15+1,25,30,35,40,45,50)/100*(Inputs!$B$11-Inputs!$B$11),0))))/100+(Inputs!$B$23+((C2153=TRUE)*(F2153-Calc!F24))+(IF(ArtifactsInput!$M$15,CHOOSE(ArtifactsInput!$N$15+1,25,30,35,40,45,50)/100*(Inputs!$B$11-Inputs!$B$11),0)))/100)/2</f>
        <v/>
      </c>
      <c r="M2134">
        <f>L2134*(1+(Inputs!$B$10+0+B2163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4">
        <f>L2134*(1-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2134*(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4">
        <f>(1-Summary!$B$11)*T2134+Summary!$B$11*V2134</f>
        <v/>
      </c>
      <c r="P2134">
        <f>IF(B2168=0,0,O2134/B2168)</f>
        <v/>
      </c>
      <c r="Q2134">
        <f>IFERROR(1/(IF(Inputs!$B$38="pvp",15,MAX(0.1,Skills!D5-IF(Skills!E5=TRUE,Inputs!$B$32,0)))*(1-IF(AND(ArtifactsInput!$M$27,Inputs!$B$4="Chapter Hunt"),CHOOSE(ArtifactsInput!$N$27+1,20,24,28,32,36,40),0)/100)),0)</f>
        <v/>
      </c>
      <c r="R2134">
        <f>IF(AND(Inputs!$B$38&lt;&gt;"pvp",Inputs!$B$43&gt;0),IF(MAX(0,Inputs!$B$43-B2165)&lt;=0,0,(INT(MAX(0,Inputs!$B$43-B2165)/(IF(Inputs!$B$38="pvp",15,MAX(0.1,Skills!D5-IF(Skills!E5=TRUE,Inputs!$B$32,0)))*(1-IF(AND(ArtifactsInput!$M$27,Inputs!$B$4="Chapter Hunt"),CHOOSE(ArtifactsInput!$N$27+1,20,24,28,32,36,40),0)/100)))+1)),0)</f>
        <v/>
      </c>
      <c r="S2134">
        <f>IFERROR(O2134/N2134,0)</f>
        <v/>
      </c>
      <c r="T2134">
        <f>IF(C2134,(H2134*N2134*IF(AND(Inputs!$B$38&lt;&gt;"pvp",Inputs!$B$43&gt;0),((Skills!G5*((R2134-1)*IF(Skills!H5&gt;0,Skills!I5/Skills!H5,1)+IF(Skills!H5&gt;0,MIN(Skills!I5,MAX(0,MAX(0,Inputs!$B$43-B2165)-((R2134-1)*(IF(Inputs!$B$38="pvp",15,MAX(0.1,Skills!D5-IF(Skills!E5=TRUE,Inputs!$B$32,0)))*(1-IF(AND(ArtifactsInput!$M$27,Inputs!$B$4="Chapter Hunt"),CHOOSE(ArtifactsInput!$N$27+1,20,24,28,32,36,40),0)/100)))))/Skills!H5,1)))/Inputs!$B$43),G2134*Q2134)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2134*(1-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2134*(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2134*(1-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2134*(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34">
        <f>IF(C2134,(H2134*N2134*IF(AND(Inputs!$B$38&lt;&gt;"pvp",Inputs!$B$43&gt;0),((Skills!G5*((R2134-1)*IF(Skills!H5&gt;0,Skills!I5/Skills!H5,1)+IF(Skills!H5&gt;0,MIN(Skills!I5,MAX(0,MAX(0,Inputs!$B$43-B2165)-((R2134-1)*(IF(Inputs!$B$38="pvp",15,MAX(0.1,Skills!D5-IF(Skills!E5=TRUE,Inputs!$B$32,0)))*(1-IF(AND(ArtifactsInput!$M$27,Inputs!$B$4="Chapter Hunt"),CHOOSE(ArtifactsInput!$N$27+1,20,24,28,32,36,40),0)/100)))))/Skills!H5,1)))/Inputs!$B$43),G2134*Q2134)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5">
      <c r="A2135">
        <f>Skills!A6</f>
        <v/>
      </c>
      <c r="B2135">
        <f>Skills!B6</f>
        <v/>
      </c>
      <c r="C2135">
        <f>Inputs!$B$3&gt;=103</f>
        <v/>
      </c>
      <c r="D2135">
        <f>IF(Skills!C6=1,60+Inputs!$B$25+Inputs!$B$29,IF(Skills!C6=2,90+Inputs!$B$26+Inputs!$B$29,IF(Skills!C6=3,120+Inputs!$B$27+Inputs!$B$29,MAX(0,(Inputs!$B$3-100)*3)+Inputs!$B$28+Inputs!$B$29)))</f>
        <v/>
      </c>
      <c r="E2135">
        <f>INDEX(FactorTable!$B$2:$Y$301, MATCH(ROUND(MIN(300,MAX(1,D2135)),0), FactorTable!$A$2:$A$301,0), Skills!M6+1)</f>
        <v/>
      </c>
      <c r="F2135">
        <f>IF(Skills!N6=TRUE,(Skills!L6/10)*(E2135/1000),Skills!L6/10)+Skills!O6</f>
        <v/>
      </c>
      <c r="G2135">
        <f>Skills!G6*IF(Skills!H6&gt;0,Skills!I6/Skills!H6,1)</f>
        <v/>
      </c>
      <c r="H2135">
        <f>1-(1-Skills!J6/100)^Skills!K6</f>
        <v/>
      </c>
      <c r="I2135" t="inlineStr">
        <is>
          <t>1</t>
        </is>
      </c>
      <c r="J2135">
        <f>((Inputs!$B$6*(1+Inputs!$B$7/100))+(((Inputs!$B$12*(1+Inputs!$B$13/100))-(Inputs!$B$12*(1+Inputs!$B$13/100)))+0.25*(Inputs!$B$14-Inputs!$B$14))*(1+Inputs!$B$7/100))*(F2135/100)</f>
        <v/>
      </c>
      <c r="K2135">
        <f>J2135*(1+((Inputs!$B$12*(1+Inputs!$B$13/100))*0.01+Inputs!$B$14*0.0025)/100)*(1+Inputs!$B$15/100)*(1+Inputs!$B$16/100)*(5000/(6000+Inputs!$B$42*(1-(100*(1-(1-(Inputs!$B$19+0)/100)*(1-CHOOSE(ArtifactsInput!$N$40+1,5,6,7,8,9,10)/100)^(ArtifactsInput!$M$40-ArtifactsInput!$M$40)))/100)))*(1+(Inputs!$B$24+((C2154=TRUE)*(F2154-Calc!F25))+B2164)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2150=TRUE)*(F2150-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2152=TRUE)*(F2152-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2142=TRUE)*F2142*IF(Inputs!$B$3&gt;=110,7,5))+((C2144=TRUE)*F2144*IF(AND(Inputs!$B$38&lt;&gt;"pvp",Inputs!$B$43&gt;0),(((R2144-1)*(Skills!T15*(1+(Inputs!$B$34+(ArtifactsInput!$M$7-ArtifactsInput!$M$7)*CHOOSE(ArtifactsInput!$N$7+1,6,7.2,8.4,9.6,10.8,12))/100))+MIN((Skills!T15*(1+(Inputs!$B$34+(ArtifactsInput!$M$7-ArtifactsInput!$M$7)*CHOOSE(ArtifactsInput!$N$7+1,6,7.2,8.4,9.6,10.8,12))/100)),MAX(0,Inputs!$B$43-((R2144-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Hunt"),CHOOSE(ArtifactsInput!$N$35+1,15,18,21,24,27,30)*(1-EXP(-(0.2*B2160)*5)),0)+IF(AND(ArtifactsInput!$M$22,Inputs!$B$4&lt;&gt;"Chapter Hunt"),CHOOSE(ArtifactsInput!$N$22+1,10,12,14,16,18,20)*((0*(((0.15*B2160*5))^0/1)+1*(((0.15*B2160*5))^1/1)+2*(((0.15*B2160*5))^2/2)+3*(((0.15*B2160*5))^3/6)+4*(((0.15*B2160*5))^4/24)+5*(((0.15*B2160*5))^5/120))/((((0.15*B2160*5))^0/1)+(((0.15*B2160*5))^1/1)+(((0.15*B2160*5))^2/2)+(((0.15*B2160*5))^3/6)+(((0.15*B2160*5))^4/24)+(((0.15*B2160*5))^5/120))),0)))/100)*I2135)</f>
        <v/>
      </c>
      <c r="L2135">
        <f>K2135*(MIN(Inputs!$B$22+((C2151=TRUE)*(F2151-Calc!F22)),(Inputs!$B$23+((C2153=TRUE)*(F2153-Calc!F24))+(IF(ArtifactsInput!$M$15,CHOOSE(ArtifactsInput!$N$15+1,25,30,35,40,45,50)/100*(Inputs!$B$11-Inputs!$B$11),0))))/100+(Inputs!$B$23+((C2153=TRUE)*(F2153-Calc!F24))+(IF(ArtifactsInput!$M$15,CHOOSE(ArtifactsInput!$N$15+1,25,30,35,40,45,50)/100*(Inputs!$B$11-Inputs!$B$11),0)))/100)/2</f>
        <v/>
      </c>
      <c r="M2135">
        <f>L2135*(1+(Inputs!$B$10+0+B2163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5">
        <f>L2135*(1-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2135*(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5">
        <f>(1-Summary!$B$11)*T2135+Summary!$B$11*V2135</f>
        <v/>
      </c>
      <c r="P2135">
        <f>IF(B2168=0,0,O2135/B2168)</f>
        <v/>
      </c>
      <c r="Q2135">
        <f>IFERROR(1/(IF(Inputs!$B$38="pvp",15,MAX(0.1,Skills!D6-IF(Skills!E6=TRUE,Inputs!$B$32,0)))*(1-IF(AND(ArtifactsInput!$M$27,Inputs!$B$4="Chapter Hunt"),CHOOSE(ArtifactsInput!$N$27+1,20,24,28,32,36,40),0)/100)),0)</f>
        <v/>
      </c>
      <c r="R2135">
        <f>IF(AND(Inputs!$B$38&lt;&gt;"pvp",Inputs!$B$43&gt;0),IF(MAX(0,Inputs!$B$43-B2165)&lt;=0,0,(INT(MAX(0,Inputs!$B$43-B2165)/(IF(Inputs!$B$38="pvp",15,MAX(0.1,Skills!D6-IF(Skills!E6=TRUE,Inputs!$B$32,0)))*(1-IF(AND(ArtifactsInput!$M$27,Inputs!$B$4="Chapter Hunt"),CHOOSE(ArtifactsInput!$N$27+1,20,24,28,32,36,40),0)/100)))+1)),0)</f>
        <v/>
      </c>
      <c r="S2135">
        <f>IFERROR(O2135/N2135,0)</f>
        <v/>
      </c>
      <c r="T2135">
        <f>IF(C2135,(H2135*N2135*IF(AND(Inputs!$B$38&lt;&gt;"pvp",Inputs!$B$43&gt;0),((Skills!G6*((R2135-1)*IF(Skills!H6&gt;0,Skills!I6/Skills!H6,1)+IF(Skills!H6&gt;0,MIN(Skills!I6,MAX(0,MAX(0,Inputs!$B$43-B2165)-((R2135-1)*(IF(Inputs!$B$38="pvp",15,MAX(0.1,Skills!D6-IF(Skills!E6=TRUE,Inputs!$B$32,0)))*(1-IF(AND(ArtifactsInput!$M$27,Inputs!$B$4="Chapter Hunt"),CHOOSE(ArtifactsInput!$N$27+1,20,24,28,32,36,40),0)/100)))))/Skills!H6,1)))/Inputs!$B$43),G2135*Q2135)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2135*(1-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2135*(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2135*(1-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2135*(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35">
        <f>IF(C2135,(H2135*N2135*IF(AND(Inputs!$B$38&lt;&gt;"pvp",Inputs!$B$43&gt;0),((Skills!G6*((R2135-1)*IF(Skills!H6&gt;0,Skills!I6/Skills!H6,1)+IF(Skills!H6&gt;0,MIN(Skills!I6,MAX(0,MAX(0,Inputs!$B$43-B2165)-((R2135-1)*(IF(Inputs!$B$38="pvp",15,MAX(0.1,Skills!D6-IF(Skills!E6=TRUE,Inputs!$B$32,0)))*(1-IF(AND(ArtifactsInput!$M$27,Inputs!$B$4="Chapter Hunt"),CHOOSE(ArtifactsInput!$N$27+1,20,24,28,32,36,40),0)/100)))))/Skills!H6,1)))/Inputs!$B$43),G2135*Q2135)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6">
      <c r="A2136">
        <f>Skills!A7</f>
        <v/>
      </c>
      <c r="B2136">
        <f>Skills!B7</f>
        <v/>
      </c>
      <c r="C2136">
        <f>Inputs!$B$3&gt;=107</f>
        <v/>
      </c>
      <c r="D2136">
        <f>IF(Skills!C7=1,60+Inputs!$B$25+Inputs!$B$29,IF(Skills!C7=2,90+Inputs!$B$26+Inputs!$B$29,IF(Skills!C7=3,120+Inputs!$B$27+Inputs!$B$29,MAX(0,(Inputs!$B$3-100)*3)+Inputs!$B$28+Inputs!$B$29)))</f>
        <v/>
      </c>
      <c r="E2136">
        <f>INDEX(FactorTable!$B$2:$Y$301, MATCH(ROUND(MIN(300,MAX(1,D2136)),0), FactorTable!$A$2:$A$301,0), Skills!M7+1)</f>
        <v/>
      </c>
      <c r="F2136">
        <f>IF(Skills!N7=TRUE,(Skills!L7/10)*(E2136/1000),Skills!L7/10)+Skills!O7</f>
        <v/>
      </c>
      <c r="G2136">
        <f>Skills!G7*IF(Skills!H7&gt;0,Skills!I7/Skills!H7,1)</f>
        <v/>
      </c>
      <c r="H2136">
        <f>1-(1-Skills!J7/100)^Skills!K7</f>
        <v/>
      </c>
      <c r="I2136" t="inlineStr">
        <is>
          <t>1</t>
        </is>
      </c>
      <c r="J2136">
        <f>((Inputs!$B$6*(1+Inputs!$B$7/100))+(((Inputs!$B$12*(1+Inputs!$B$13/100))-(Inputs!$B$12*(1+Inputs!$B$13/100)))+0.25*(Inputs!$B$14-Inputs!$B$14))*(1+Inputs!$B$7/100))*(F2136/100)</f>
        <v/>
      </c>
      <c r="K2136">
        <f>J2136*(1+((Inputs!$B$12*(1+Inputs!$B$13/100))*0.01+Inputs!$B$14*0.0025)/100)*(1+Inputs!$B$15/100)*(1+Inputs!$B$16/100)*(5000/(6000+Inputs!$B$42*(1-(100*(1-(1-(Inputs!$B$19+0)/100)*(1-CHOOSE(ArtifactsInput!$N$40+1,5,6,7,8,9,10)/100)^(ArtifactsInput!$M$40-ArtifactsInput!$M$40)))/100)))*(1+(Inputs!$B$24+((C2154=TRUE)*(F2154-Calc!F25))+B2164)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2150=TRUE)*(F2150-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2152=TRUE)*(F2152-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2142=TRUE)*F2142*IF(Inputs!$B$3&gt;=110,7,5))+((C2144=TRUE)*F2144*IF(AND(Inputs!$B$38&lt;&gt;"pvp",Inputs!$B$43&gt;0),(((R2144-1)*(Skills!T15*(1+(Inputs!$B$34+(ArtifactsInput!$M$7-ArtifactsInput!$M$7)*CHOOSE(ArtifactsInput!$N$7+1,6,7.2,8.4,9.6,10.8,12))/100))+MIN((Skills!T15*(1+(Inputs!$B$34+(ArtifactsInput!$M$7-ArtifactsInput!$M$7)*CHOOSE(ArtifactsInput!$N$7+1,6,7.2,8.4,9.6,10.8,12))/100)),MAX(0,Inputs!$B$43-((R2144-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Hunt"),CHOOSE(ArtifactsInput!$N$35+1,15,18,21,24,27,30)*(1-EXP(-(0.2*B2160)*5)),0)+IF(AND(ArtifactsInput!$M$22,Inputs!$B$4&lt;&gt;"Chapter Hunt"),CHOOSE(ArtifactsInput!$N$22+1,10,12,14,16,18,20)*((0*(((0.15*B2160*5))^0/1)+1*(((0.15*B2160*5))^1/1)+2*(((0.15*B2160*5))^2/2)+3*(((0.15*B2160*5))^3/6)+4*(((0.15*B2160*5))^4/24)+5*(((0.15*B2160*5))^5/120))/((((0.15*B2160*5))^0/1)+(((0.15*B2160*5))^1/1)+(((0.15*B2160*5))^2/2)+(((0.15*B2160*5))^3/6)+(((0.15*B2160*5))^4/24)+(((0.15*B2160*5))^5/120))),0)))/100)*I2136)</f>
        <v/>
      </c>
      <c r="L2136">
        <f>K2136*(MIN(Inputs!$B$22+((C2151=TRUE)*(F2151-Calc!F22)),(Inputs!$B$23+((C2153=TRUE)*(F2153-Calc!F24))+(IF(ArtifactsInput!$M$15,CHOOSE(ArtifactsInput!$N$15+1,25,30,35,40,45,50)/100*(Inputs!$B$11-Inputs!$B$11),0))))/100+(Inputs!$B$23+((C2153=TRUE)*(F2153-Calc!F24))+(IF(ArtifactsInput!$M$15,CHOOSE(ArtifactsInput!$N$15+1,25,30,35,40,45,50)/100*(Inputs!$B$11-Inputs!$B$11),0)))/100)/2</f>
        <v/>
      </c>
      <c r="M2136">
        <f>L2136*(1+(Inputs!$B$10+0+B2163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6">
        <f>L2136*(1-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2136*(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6">
        <f>(1-Summary!$B$11)*T2136+Summary!$B$11*V2136</f>
        <v/>
      </c>
      <c r="P2136">
        <f>IF(B2168=0,0,O2136/B2168)</f>
        <v/>
      </c>
      <c r="Q2136">
        <f>IFERROR(1/(IF(Inputs!$B$38="pvp",15,MAX(0.1,Skills!D7-IF(Skills!E7=TRUE,Inputs!$B$32,0)))*(1-IF(AND(ArtifactsInput!$M$27,Inputs!$B$4="Chapter Hunt"),CHOOSE(ArtifactsInput!$N$27+1,20,24,28,32,36,40),0)/100)),0)</f>
        <v/>
      </c>
      <c r="R2136">
        <f>IF(AND(Inputs!$B$38&lt;&gt;"pvp",Inputs!$B$43&gt;0),IF(MAX(0,Inputs!$B$43-B2165)&lt;=0,0,(INT(MAX(0,Inputs!$B$43-B2165)/(IF(Inputs!$B$38="pvp",15,MAX(0.1,Skills!D7-IF(Skills!E7=TRUE,Inputs!$B$32,0)))*(1-IF(AND(ArtifactsInput!$M$27,Inputs!$B$4="Chapter Hunt"),CHOOSE(ArtifactsInput!$N$27+1,20,24,28,32,36,40),0)/100)))+1)),0)</f>
        <v/>
      </c>
      <c r="S2136">
        <f>IFERROR(O2136/N2136,0)</f>
        <v/>
      </c>
      <c r="T2136">
        <f>IF(C2136,(H2136*N2136*IF(AND(Inputs!$B$38&lt;&gt;"pvp",Inputs!$B$43&gt;0),((Skills!G7*((R2136-1)*IF(Skills!H7&gt;0,Skills!I7/Skills!H7,1)+IF(Skills!H7&gt;0,MIN(Skills!I7,MAX(0,MAX(0,Inputs!$B$43-B2165)-((R2136-1)*(IF(Inputs!$B$38="pvp",15,MAX(0.1,Skills!D7-IF(Skills!E7=TRUE,Inputs!$B$32,0)))*(1-IF(AND(ArtifactsInput!$M$27,Inputs!$B$4="Chapter Hunt"),CHOOSE(ArtifactsInput!$N$27+1,20,24,28,32,36,40),0)/100)))))/Skills!H7,1)))/Inputs!$B$43),G2136*Q2136)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2136*(1-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2136*(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2136*(1-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2136*(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36">
        <f>IF(C2136,(H2136*N2136*IF(AND(Inputs!$B$38&lt;&gt;"pvp",Inputs!$B$43&gt;0),((Skills!G7*((R2136-1)*IF(Skills!H7&gt;0,Skills!I7/Skills!H7,1)+IF(Skills!H7&gt;0,MIN(Skills!I7,MAX(0,MAX(0,Inputs!$B$43-B2165)-((R2136-1)*(IF(Inputs!$B$38="pvp",15,MAX(0.1,Skills!D7-IF(Skills!E7=TRUE,Inputs!$B$32,0)))*(1-IF(AND(ArtifactsInput!$M$27,Inputs!$B$4="Chapter Hunt"),CHOOSE(ArtifactsInput!$N$27+1,20,24,28,32,36,40),0)/100)))))/Skills!H7,1)))/Inputs!$B$43),G2136*Q2136)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7">
      <c r="A2137">
        <f>Skills!A8</f>
        <v/>
      </c>
      <c r="B2137">
        <f>Skills!B8</f>
        <v/>
      </c>
      <c r="C2137">
        <f>Inputs!$B$3&gt;=117</f>
        <v/>
      </c>
      <c r="D2137">
        <f>IF(Skills!C8=1,60+Inputs!$B$25+Inputs!$B$29,IF(Skills!C8=2,90+Inputs!$B$26+Inputs!$B$29,IF(Skills!C8=3,120+Inputs!$B$27+Inputs!$B$29,MAX(0,(Inputs!$B$3-100)*3)+Inputs!$B$28+Inputs!$B$29)))</f>
        <v/>
      </c>
      <c r="E2137">
        <f>INDEX(FactorTable!$B$2:$Y$301, MATCH(ROUND(MIN(300,MAX(1,D2137)),0), FactorTable!$A$2:$A$301,0), Skills!M8+1)</f>
        <v/>
      </c>
      <c r="F2137">
        <f>IF(Skills!N8=TRUE,(Skills!L8/10)*(E2137/1000),Skills!L8/10)+Skills!O8</f>
        <v/>
      </c>
      <c r="G2137">
        <f>Skills!G8*IF(Skills!H8&gt;0,Skills!I8/Skills!H8,1)</f>
        <v/>
      </c>
      <c r="H2137">
        <f>1-(1-Skills!J8/100)^Skills!K8</f>
        <v/>
      </c>
      <c r="I2137" t="inlineStr">
        <is>
          <t>1</t>
        </is>
      </c>
      <c r="J2137">
        <f>((Inputs!$B$6*(1+Inputs!$B$7/100))+(((Inputs!$B$12*(1+Inputs!$B$13/100))-(Inputs!$B$12*(1+Inputs!$B$13/100)))+0.25*(Inputs!$B$14-Inputs!$B$14))*(1+Inputs!$B$7/100))*(F2137/100)</f>
        <v/>
      </c>
      <c r="K2137">
        <f>J2137*(1+((Inputs!$B$12*(1+Inputs!$B$13/100))*0.01+Inputs!$B$14*0.0025)/100)*(1+Inputs!$B$15/100)*(1+Inputs!$B$16/100)*(5000/(6000+Inputs!$B$42*(1-(100*(1-(1-(Inputs!$B$19+0)/100)*(1-CHOOSE(ArtifactsInput!$N$40+1,5,6,7,8,9,10)/100)^(ArtifactsInput!$M$40-ArtifactsInput!$M$40)))/100)))*(1+(Inputs!$B$24+((C2154=TRUE)*(F2154-Calc!F25))+B2164)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2150=TRUE)*(F2150-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2152=TRUE)*(F2152-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2142=TRUE)*F2142*IF(Inputs!$B$3&gt;=110,7,5))+((C2144=TRUE)*F2144*IF(AND(Inputs!$B$38&lt;&gt;"pvp",Inputs!$B$43&gt;0),(((R2144-1)*(Skills!T15*(1+(Inputs!$B$34+(ArtifactsInput!$M$7-ArtifactsInput!$M$7)*CHOOSE(ArtifactsInput!$N$7+1,6,7.2,8.4,9.6,10.8,12))/100))+MIN((Skills!T15*(1+(Inputs!$B$34+(ArtifactsInput!$M$7-ArtifactsInput!$M$7)*CHOOSE(ArtifactsInput!$N$7+1,6,7.2,8.4,9.6,10.8,12))/100)),MAX(0,Inputs!$B$43-((R2144-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Hunt"),CHOOSE(ArtifactsInput!$N$35+1,15,18,21,24,27,30)*(1-EXP(-(0.2*B2160)*5)),0)+IF(AND(ArtifactsInput!$M$22,Inputs!$B$4&lt;&gt;"Chapter Hunt"),CHOOSE(ArtifactsInput!$N$22+1,10,12,14,16,18,20)*((0*(((0.15*B2160*5))^0/1)+1*(((0.15*B2160*5))^1/1)+2*(((0.15*B2160*5))^2/2)+3*(((0.15*B2160*5))^3/6)+4*(((0.15*B2160*5))^4/24)+5*(((0.15*B2160*5))^5/120))/((((0.15*B2160*5))^0/1)+(((0.15*B2160*5))^1/1)+(((0.15*B2160*5))^2/2)+(((0.15*B2160*5))^3/6)+(((0.15*B2160*5))^4/24)+(((0.15*B2160*5))^5/120))),0)))/100)*I2137)</f>
        <v/>
      </c>
      <c r="L2137">
        <f>K2137*(MIN(Inputs!$B$22+((C2151=TRUE)*(F2151-Calc!F22)),(Inputs!$B$23+((C2153=TRUE)*(F2153-Calc!F24))+(IF(ArtifactsInput!$M$15,CHOOSE(ArtifactsInput!$N$15+1,25,30,35,40,45,50)/100*(Inputs!$B$11-Inputs!$B$11),0))))/100+(Inputs!$B$23+((C2153=TRUE)*(F2153-Calc!F24))+(IF(ArtifactsInput!$M$15,CHOOSE(ArtifactsInput!$N$15+1,25,30,35,40,45,50)/100*(Inputs!$B$11-Inputs!$B$11),0)))/100)/2</f>
        <v/>
      </c>
      <c r="M2137">
        <f>L2137*(1+(Inputs!$B$10+0+B2163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7">
        <f>L2137*(1-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2137*(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7">
        <f>(1-Summary!$B$11)*T2137+Summary!$B$11*V2137</f>
        <v/>
      </c>
      <c r="P2137">
        <f>IF(B2168=0,0,O2137/B2168)</f>
        <v/>
      </c>
      <c r="Q2137">
        <f>IFERROR(1/(IF(Inputs!$B$38="pvp",15,MAX(0.1,Skills!D8-IF(Skills!E8=TRUE,Inputs!$B$32,0)))*(1-IF(AND(ArtifactsInput!$M$27,Inputs!$B$4="Chapter Hunt"),CHOOSE(ArtifactsInput!$N$27+1,20,24,28,32,36,40),0)/100)),0)</f>
        <v/>
      </c>
      <c r="R2137">
        <f>IF(AND(Inputs!$B$38&lt;&gt;"pvp",Inputs!$B$43&gt;0),IF(MAX(0,Inputs!$B$43-B2165)&lt;=0,0,(INT(MAX(0,Inputs!$B$43-B2165)/(IF(Inputs!$B$38="pvp",15,MAX(0.1,Skills!D8-IF(Skills!E8=TRUE,Inputs!$B$32,0)))*(1-IF(AND(ArtifactsInput!$M$27,Inputs!$B$4="Chapter Hunt"),CHOOSE(ArtifactsInput!$N$27+1,20,24,28,32,36,40),0)/100)))+1)),0)</f>
        <v/>
      </c>
      <c r="S2137">
        <f>IFERROR(O2137/N2137,0)</f>
        <v/>
      </c>
      <c r="T2137">
        <f>IF(C2137,(H2137*N2137*IF(AND(Inputs!$B$38&lt;&gt;"pvp",Inputs!$B$43&gt;0),((Skills!G8*((R2137-1)*IF(Skills!H8&gt;0,Skills!I8/Skills!H8,1)+IF(Skills!H8&gt;0,MIN(Skills!I8,MAX(0,MAX(0,Inputs!$B$43-B2165)-((R2137-1)*(IF(Inputs!$B$38="pvp",15,MAX(0.1,Skills!D8-IF(Skills!E8=TRUE,Inputs!$B$32,0)))*(1-IF(AND(ArtifactsInput!$M$27,Inputs!$B$4="Chapter Hunt"),CHOOSE(ArtifactsInput!$N$27+1,20,24,28,32,36,40),0)/100)))))/Skills!H8,1)))/Inputs!$B$43),G2137*Q2137)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2137*(1-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2137*(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2137*(1-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2137*(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37">
        <f>IF(C2137,(H2137*N2137*IF(AND(Inputs!$B$38&lt;&gt;"pvp",Inputs!$B$43&gt;0),((Skills!G8*((R2137-1)*IF(Skills!H8&gt;0,Skills!I8/Skills!H8,1)+IF(Skills!H8&gt;0,MIN(Skills!I8,MAX(0,MAX(0,Inputs!$B$43-B2165)-((R2137-1)*(IF(Inputs!$B$38="pvp",15,MAX(0.1,Skills!D8-IF(Skills!E8=TRUE,Inputs!$B$32,0)))*(1-IF(AND(ArtifactsInput!$M$27,Inputs!$B$4="Chapter Hunt"),CHOOSE(ArtifactsInput!$N$27+1,20,24,28,32,36,40),0)/100)))))/Skills!H8,1)))/Inputs!$B$43),G2137*Q2137)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8">
      <c r="A2138">
        <f>Skills!A9</f>
        <v/>
      </c>
      <c r="B2138">
        <f>Skills!B9</f>
        <v/>
      </c>
      <c r="C2138">
        <f>Inputs!$B$3&gt;=69</f>
        <v/>
      </c>
      <c r="D2138">
        <f>IF(Skills!C9=1,60+Inputs!$B$25+Inputs!$B$29,IF(Skills!C9=2,90+Inputs!$B$26+Inputs!$B$29,IF(Skills!C9=3,120+Inputs!$B$27+Inputs!$B$29,MAX(0,(Inputs!$B$3-100)*3)+Inputs!$B$28+Inputs!$B$29)))</f>
        <v/>
      </c>
      <c r="E2138">
        <f>INDEX(FactorTable!$B$2:$Y$301, MATCH(ROUND(MIN(300,MAX(1,D2138)),0), FactorTable!$A$2:$A$301,0), Skills!M9+1)</f>
        <v/>
      </c>
      <c r="F2138">
        <f>IF(Skills!N9=TRUE,(Skills!L9/10)*(E2138/1000),Skills!L9/10)+Skills!O9</f>
        <v/>
      </c>
      <c r="G2138">
        <f>Skills!G9*IF(Skills!H9&gt;0,Skills!I9/Skills!H9,1)</f>
        <v/>
      </c>
      <c r="H2138">
        <f>1-(1-Skills!J9/100)^Skills!K9</f>
        <v/>
      </c>
      <c r="I2138" t="inlineStr">
        <is>
          <t>1</t>
        </is>
      </c>
      <c r="J2138">
        <f>((Inputs!$B$6*(1+Inputs!$B$7/100))+(((Inputs!$B$12*(1+Inputs!$B$13/100))-(Inputs!$B$12*(1+Inputs!$B$13/100)))+0.25*(Inputs!$B$14-Inputs!$B$14))*(1+Inputs!$B$7/100))*(F2138/100)</f>
        <v/>
      </c>
      <c r="K2138">
        <f>J2138*(1+((Inputs!$B$12*(1+Inputs!$B$13/100))*0.01+Inputs!$B$14*0.0025)/100)*(1+Inputs!$B$15/100)*(1+Inputs!$B$16/100)*(5000/(6000+Inputs!$B$42*(1-(100*(1-(1-(Inputs!$B$19+0)/100)*(1-CHOOSE(ArtifactsInput!$N$40+1,5,6,7,8,9,10)/100)^(ArtifactsInput!$M$40-ArtifactsInput!$M$40)))/100)))*(1+(Inputs!$B$24+((C2154=TRUE)*(F2154-Calc!F25))+B2164)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2141=TRUE,F2141,0)/100)*(1+IF(Skills!A9="ENHANCED_RAGING_BLOW",IF(Inputs!$B$3&gt;=134,MAX(0,IF(Inputs!$B$3&gt;=110,7,5)-5)*50,0),0)/100)*(1+(IF(Skills!A9="RAGING_BLOW",Inputs!$B$17+((C2150=TRUE)*(F2150-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2152=TRUE)*(F2152-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2142=TRUE)*F2142*IF(Inputs!$B$3&gt;=110,7,5))+((C2144=TRUE)*F2144*IF(AND(Inputs!$B$38&lt;&gt;"pvp",Inputs!$B$43&gt;0),(((R2144-1)*(Skills!T15*(1+(Inputs!$B$34+(ArtifactsInput!$M$7-ArtifactsInput!$M$7)*CHOOSE(ArtifactsInput!$N$7+1,6,7.2,8.4,9.6,10.8,12))/100))+MIN((Skills!T15*(1+(Inputs!$B$34+(ArtifactsInput!$M$7-ArtifactsInput!$M$7)*CHOOSE(ArtifactsInput!$N$7+1,6,7.2,8.4,9.6,10.8,12))/100)),MAX(0,Inputs!$B$43-((R2144-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Hunt"),CHOOSE(ArtifactsInput!$N$35+1,15,18,21,24,27,30)*(1-EXP(-(0.2*B2160)*5)),0)+IF(AND(ArtifactsInput!$M$22,Inputs!$B$4&lt;&gt;"Chapter Hunt"),CHOOSE(ArtifactsInput!$N$22+1,10,12,14,16,18,20)*((0*(((0.15*B2160*5))^0/1)+1*(((0.15*B2160*5))^1/1)+2*(((0.15*B2160*5))^2/2)+3*(((0.15*B2160*5))^3/6)+4*(((0.15*B2160*5))^4/24)+5*(((0.15*B2160*5))^5/120))/((((0.15*B2160*5))^0/1)+(((0.15*B2160*5))^1/1)+(((0.15*B2160*5))^2/2)+(((0.15*B2160*5))^3/6)+(((0.15*B2160*5))^4/24)+(((0.15*B2160*5))^5/120))),0)))/100)*I2138)</f>
        <v/>
      </c>
      <c r="L2138">
        <f>K2138*(MIN(Inputs!$B$22+((C2151=TRUE)*(F2151-Calc!F22)),(Inputs!$B$23+((C2153=TRUE)*(F2153-Calc!F24))+(IF(ArtifactsInput!$M$15,CHOOSE(ArtifactsInput!$N$15+1,25,30,35,40,45,50)/100*(Inputs!$B$11-Inputs!$B$11),0))))/100+(Inputs!$B$23+((C2153=TRUE)*(F2153-Calc!F24))+(IF(ArtifactsInput!$M$15,CHOOSE(ArtifactsInput!$N$15+1,25,30,35,40,45,50)/100*(Inputs!$B$11-Inputs!$B$11),0)))/100)/2</f>
        <v/>
      </c>
      <c r="M2138">
        <f>L2138*(1+(Inputs!$B$10+0+B2163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8">
        <f>L2138*(1-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2138*(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8">
        <f>(1-Summary!$B$11)*T2138+Summary!$B$11*V2138</f>
        <v/>
      </c>
      <c r="P2138">
        <f>IF(B2168=0,0,O2138/B2168)</f>
        <v/>
      </c>
      <c r="Q2138">
        <f>IFERROR(1/(IF(Inputs!$B$38="pvp",15,MAX(0.1,Skills!D9-IF(Skills!E9=TRUE,Inputs!$B$32,0)))*(1-IF(AND(ArtifactsInput!$M$27,Inputs!$B$4="Chapter Hunt"),CHOOSE(ArtifactsInput!$N$27+1,20,24,28,32,36,40),0)/100)),0)</f>
        <v/>
      </c>
      <c r="R2138">
        <f>IF(AND(Inputs!$B$38&lt;&gt;"pvp",Inputs!$B$43&gt;0),IF(MAX(0,Inputs!$B$43-B2165)&lt;=0,0,(INT(MAX(0,Inputs!$B$43-B2165)/(IF(Inputs!$B$38="pvp",15,MAX(0.1,Skills!D9-IF(Skills!E9=TRUE,Inputs!$B$32,0)))*(1-IF(AND(ArtifactsInput!$M$27,Inputs!$B$4="Chapter Hunt"),CHOOSE(ArtifactsInput!$N$27+1,20,24,28,32,36,40),0)/100)))+1)),0)</f>
        <v/>
      </c>
      <c r="S2138">
        <f>IFERROR(O2138/N2138,0)</f>
        <v/>
      </c>
      <c r="T2138">
        <f>IF(C2138,(H2138*N2138*IF(AND(Inputs!$B$38&lt;&gt;"pvp",Inputs!$B$43&gt;0),((Skills!G9*((R2138-1)*IF(Skills!H9&gt;0,Skills!I9/Skills!H9,1)+IF(Skills!H9&gt;0,MIN(Skills!I9,MAX(0,MAX(0,Inputs!$B$43-B2165)-((R2138-1)*(IF(Inputs!$B$38="pvp",15,MAX(0.1,Skills!D9-IF(Skills!E9=TRUE,Inputs!$B$32,0)))*(1-IF(AND(ArtifactsInput!$M$27,Inputs!$B$4="Chapter Hunt"),CHOOSE(ArtifactsInput!$N$27+1,20,24,28,32,36,40),0)/100)))))/Skills!H9,1)))/Inputs!$B$43),G2138*Q2138)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2138*(1-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2138*(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2138*(1-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2138*(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38">
        <f>IF(C2138,(H2138*N2138*IF(AND(Inputs!$B$38&lt;&gt;"pvp",Inputs!$B$43&gt;0),((Skills!G9*((R2138-1)*IF(Skills!H9&gt;0,Skills!I9/Skills!H9,1)+IF(Skills!H9&gt;0,MIN(Skills!I9,MAX(0,MAX(0,Inputs!$B$43-B2165)-((R2138-1)*(IF(Inputs!$B$38="pvp",15,MAX(0.1,Skills!D9-IF(Skills!E9=TRUE,Inputs!$B$32,0)))*(1-IF(AND(ArtifactsInput!$M$27,Inputs!$B$4="Chapter Hunt"),CHOOSE(ArtifactsInput!$N$27+1,20,24,28,32,36,40),0)/100)))))/Skills!H9,1)))/Inputs!$B$43),G2138*Q2138)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9">
      <c r="A2139">
        <f>Skills!A10</f>
        <v/>
      </c>
      <c r="B2139">
        <f>Skills!B10</f>
        <v/>
      </c>
      <c r="C2139">
        <f>Inputs!$B$3&gt;=63</f>
        <v/>
      </c>
      <c r="D2139">
        <f>IF(Skills!C10=1,60+Inputs!$B$25+Inputs!$B$29,IF(Skills!C10=2,90+Inputs!$B$26+Inputs!$B$29,IF(Skills!C10=3,120+Inputs!$B$27+Inputs!$B$29,MAX(0,(Inputs!$B$3-100)*3)+Inputs!$B$28+Inputs!$B$29)))</f>
        <v/>
      </c>
      <c r="E2139">
        <f>INDEX(FactorTable!$B$2:$Y$301, MATCH(ROUND(MIN(300,MAX(1,D2139)),0), FactorTable!$A$2:$A$301,0), Skills!M10+1)</f>
        <v/>
      </c>
      <c r="F2139">
        <f>IF(Skills!N10=TRUE,(Skills!L10/10)*(E2139/1000),Skills!L10/10)+Skills!O10</f>
        <v/>
      </c>
      <c r="G2139">
        <f>Skills!G10*IF(Skills!H10&gt;0,Skills!I10/Skills!H10,1)</f>
        <v/>
      </c>
      <c r="H2139">
        <f>1-(1-Skills!J10/100)^Skills!K10</f>
        <v/>
      </c>
      <c r="I2139" t="inlineStr">
        <is>
          <t>1</t>
        </is>
      </c>
      <c r="J2139">
        <f>((Inputs!$B$6*(1+Inputs!$B$7/100))+(((Inputs!$B$12*(1+Inputs!$B$13/100))-(Inputs!$B$12*(1+Inputs!$B$13/100)))+0.25*(Inputs!$B$14-Inputs!$B$14))*(1+Inputs!$B$7/100))*(F2139/100)</f>
        <v/>
      </c>
      <c r="K2139">
        <f>J2139*(1+((Inputs!$B$12*(1+Inputs!$B$13/100))*0.01+Inputs!$B$14*0.0025)/100)*(1+Inputs!$B$15/100)*(1+Inputs!$B$16/100)*(5000/(6000+Inputs!$B$42*(1-(100*(1-(1-(Inputs!$B$19+0)/100)*(1-CHOOSE(ArtifactsInput!$N$40+1,5,6,7,8,9,10)/100)^(ArtifactsInput!$M$40-ArtifactsInput!$M$40)))/100)))*(1+(Inputs!$B$24+((C2154=TRUE)*(F2154-Calc!F25))+B2164)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2141=TRUE,F2141,0)/100)*(1+IF(Skills!A10="ENHANCED_RAGING_BLOW",IF(Inputs!$B$3&gt;=134,MAX(0,IF(Inputs!$B$3&gt;=110,7,5)-5)*50,0),0)/100)*(1+(IF(Skills!A10="RAGING_BLOW",Inputs!$B$17+((C2150=TRUE)*(F2150-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2152=TRUE)*(F2152-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2142=TRUE)*F2142*IF(Inputs!$B$3&gt;=110,7,5))+((C2144=TRUE)*F2144*IF(AND(Inputs!$B$38&lt;&gt;"pvp",Inputs!$B$43&gt;0),(((R2144-1)*(Skills!T15*(1+(Inputs!$B$34+(ArtifactsInput!$M$7-ArtifactsInput!$M$7)*CHOOSE(ArtifactsInput!$N$7+1,6,7.2,8.4,9.6,10.8,12))/100))+MIN((Skills!T15*(1+(Inputs!$B$34+(ArtifactsInput!$M$7-ArtifactsInput!$M$7)*CHOOSE(ArtifactsInput!$N$7+1,6,7.2,8.4,9.6,10.8,12))/100)),MAX(0,Inputs!$B$43-((R2144-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Hunt"),CHOOSE(ArtifactsInput!$N$35+1,15,18,21,24,27,30)*(1-EXP(-(0.2*B2160)*5)),0)+IF(AND(ArtifactsInput!$M$22,Inputs!$B$4&lt;&gt;"Chapter Hunt"),CHOOSE(ArtifactsInput!$N$22+1,10,12,14,16,18,20)*((0*(((0.15*B2160*5))^0/1)+1*(((0.15*B2160*5))^1/1)+2*(((0.15*B2160*5))^2/2)+3*(((0.15*B2160*5))^3/6)+4*(((0.15*B2160*5))^4/24)+5*(((0.15*B2160*5))^5/120))/((((0.15*B2160*5))^0/1)+(((0.15*B2160*5))^1/1)+(((0.15*B2160*5))^2/2)+(((0.15*B2160*5))^3/6)+(((0.15*B2160*5))^4/24)+(((0.15*B2160*5))^5/120))),0)))/100)*I2139)</f>
        <v/>
      </c>
      <c r="L2139">
        <f>K2139*(MIN(Inputs!$B$22+((C2151=TRUE)*(F2151-Calc!F22)),(Inputs!$B$23+((C2153=TRUE)*(F2153-Calc!F24))+(IF(ArtifactsInput!$M$15,CHOOSE(ArtifactsInput!$N$15+1,25,30,35,40,45,50)/100*(Inputs!$B$11-Inputs!$B$11),0))))/100+(Inputs!$B$23+((C2153=TRUE)*(F2153-Calc!F24))+(IF(ArtifactsInput!$M$15,CHOOSE(ArtifactsInput!$N$15+1,25,30,35,40,45,50)/100*(Inputs!$B$11-Inputs!$B$11),0)))/100)/2</f>
        <v/>
      </c>
      <c r="M2139">
        <f>L2139*(1+(Inputs!$B$10+0+B2163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9">
        <f>L2139*(1-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2139*(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9">
        <f>(1-Summary!$B$11)*T2139+Summary!$B$11*V2139</f>
        <v/>
      </c>
      <c r="P2139">
        <f>IF(B2168=0,0,O2139/B2168)</f>
        <v/>
      </c>
      <c r="Q2139">
        <f>IFERROR(1/(IF(Inputs!$B$38="pvp",15,MAX(0.1,Skills!D10-IF(Skills!E10=TRUE,Inputs!$B$32,0)))*(1-IF(AND(ArtifactsInput!$M$27,Inputs!$B$4="Chapter Hunt"),CHOOSE(ArtifactsInput!$N$27+1,20,24,28,32,36,40),0)/100)),0)</f>
        <v/>
      </c>
      <c r="R2139">
        <f>IF(AND(Inputs!$B$38&lt;&gt;"pvp",Inputs!$B$43&gt;0),IF(MAX(0,Inputs!$B$43-B2165)&lt;=0,0,(INT(MAX(0,Inputs!$B$43-B2165)/(IF(Inputs!$B$38="pvp",15,MAX(0.1,Skills!D10-IF(Skills!E10=TRUE,Inputs!$B$32,0)))*(1-IF(AND(ArtifactsInput!$M$27,Inputs!$B$4="Chapter Hunt"),CHOOSE(ArtifactsInput!$N$27+1,20,24,28,32,36,40),0)/100)))+1)),0)</f>
        <v/>
      </c>
      <c r="S2139">
        <f>IFERROR(O2139/N2139,0)</f>
        <v/>
      </c>
      <c r="T2139">
        <f>IF(C2139,(H2139*N2139*IF(AND(Inputs!$B$38&lt;&gt;"pvp",Inputs!$B$43&gt;0),((Skills!G10*((R2139-1)*IF(Skills!H10&gt;0,Skills!I10/Skills!H10,1)+IF(Skills!H10&gt;0,MIN(Skills!I10,MAX(0,MAX(0,Inputs!$B$43-B2165)-((R2139-1)*(IF(Inputs!$B$38="pvp",15,MAX(0.1,Skills!D10-IF(Skills!E10=TRUE,Inputs!$B$32,0)))*(1-IF(AND(ArtifactsInput!$M$27,Inputs!$B$4="Chapter Hunt"),CHOOSE(ArtifactsInput!$N$27+1,20,24,28,32,36,40),0)/100)))))/Skills!H10,1)))/Inputs!$B$43),G2139*Q2139)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2139*(1-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2139*(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2139*(1-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2139*(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39">
        <f>IF(C2139,(H2139*N2139*IF(AND(Inputs!$B$38&lt;&gt;"pvp",Inputs!$B$43&gt;0),((Skills!G10*((R2139-1)*IF(Skills!H10&gt;0,Skills!I10/Skills!H10,1)+IF(Skills!H10&gt;0,MIN(Skills!I10,MAX(0,MAX(0,Inputs!$B$43-B2165)-((R2139-1)*(IF(Inputs!$B$38="pvp",15,MAX(0.1,Skills!D10-IF(Skills!E10=TRUE,Inputs!$B$32,0)))*(1-IF(AND(ArtifactsInput!$M$27,Inputs!$B$4="Chapter Hunt"),CHOOSE(ArtifactsInput!$N$27+1,20,24,28,32,36,40),0)/100)))))/Skills!H10,1)))/Inputs!$B$43),G2139*Q2139)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0">
      <c r="A2140">
        <f>Skills!A11</f>
        <v/>
      </c>
      <c r="B2140">
        <f>Skills!B11</f>
        <v/>
      </c>
      <c r="C2140">
        <f>Inputs!$B$3&gt;=35</f>
        <v/>
      </c>
      <c r="D2140">
        <f>IF(Skills!C11=1,60+Inputs!$B$25+Inputs!$B$29,IF(Skills!C11=2,90+Inputs!$B$26+Inputs!$B$29,IF(Skills!C11=3,120+Inputs!$B$27+Inputs!$B$29,MAX(0,(Inputs!$B$3-100)*3)+Inputs!$B$28+Inputs!$B$29)))</f>
        <v/>
      </c>
      <c r="E2140">
        <f>INDEX(FactorTable!$B$2:$Y$301, MATCH(ROUND(MIN(300,MAX(1,D2140)),0), FactorTable!$A$2:$A$301,0), Skills!M11+1)</f>
        <v/>
      </c>
      <c r="F2140">
        <f>IF(Skills!N11=TRUE,(Skills!L11/10)*(E2140/1000),Skills!L11/10)+Skills!O11</f>
        <v/>
      </c>
      <c r="G2140">
        <f>Skills!G11*IF(Skills!H11&gt;0,Skills!I11/Skills!H11,1)</f>
        <v/>
      </c>
      <c r="H2140">
        <f>1-(1-Skills!J11/100)^Skills!K11</f>
        <v/>
      </c>
      <c r="I2140" t="inlineStr">
        <is>
          <t>1</t>
        </is>
      </c>
      <c r="J2140">
        <f>((Inputs!$B$6*(1+Inputs!$B$7/100))+(((Inputs!$B$12*(1+Inputs!$B$13/100))-(Inputs!$B$12*(1+Inputs!$B$13/100)))+0.25*(Inputs!$B$14-Inputs!$B$14))*(1+Inputs!$B$7/100))*(F2140/100)</f>
        <v/>
      </c>
      <c r="K2140">
        <f>J2140*(1+((Inputs!$B$12*(1+Inputs!$B$13/100))*0.01+Inputs!$B$14*0.0025)/100)*(1+Inputs!$B$15/100)*(1+Inputs!$B$16/100)*(5000/(6000+Inputs!$B$42*(1-(100*(1-(1-(Inputs!$B$19+0)/100)*(1-CHOOSE(ArtifactsInput!$N$40+1,5,6,7,8,9,10)/100)^(ArtifactsInput!$M$40-ArtifactsInput!$M$40)))/100)))*(1+(Inputs!$B$24+((C2154=TRUE)*(F2154-Calc!F25))+B2164)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2141=TRUE,F2141,0)/100)*(1+IF(Skills!A11="ENHANCED_RAGING_BLOW",IF(Inputs!$B$3&gt;=134,MAX(0,IF(Inputs!$B$3&gt;=110,7,5)-5)*50,0),0)/100)*(1+(IF(Skills!A11="RAGING_BLOW",Inputs!$B$17+((C2150=TRUE)*(F2150-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2152=TRUE)*(F2152-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2142=TRUE)*F2142*IF(Inputs!$B$3&gt;=110,7,5))+((C2144=TRUE)*F2144*IF(AND(Inputs!$B$38&lt;&gt;"pvp",Inputs!$B$43&gt;0),(((R2144-1)*(Skills!T15*(1+(Inputs!$B$34+(ArtifactsInput!$M$7-ArtifactsInput!$M$7)*CHOOSE(ArtifactsInput!$N$7+1,6,7.2,8.4,9.6,10.8,12))/100))+MIN((Skills!T15*(1+(Inputs!$B$34+(ArtifactsInput!$M$7-ArtifactsInput!$M$7)*CHOOSE(ArtifactsInput!$N$7+1,6,7.2,8.4,9.6,10.8,12))/100)),MAX(0,Inputs!$B$43-((R2144-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Hunt"),CHOOSE(ArtifactsInput!$N$35+1,15,18,21,24,27,30)*(1-EXP(-(0.2*B2160)*5)),0)+IF(AND(ArtifactsInput!$M$22,Inputs!$B$4&lt;&gt;"Chapter Hunt"),CHOOSE(ArtifactsInput!$N$22+1,10,12,14,16,18,20)*((0*(((0.15*B2160*5))^0/1)+1*(((0.15*B2160*5))^1/1)+2*(((0.15*B2160*5))^2/2)+3*(((0.15*B2160*5))^3/6)+4*(((0.15*B2160*5))^4/24)+5*(((0.15*B2160*5))^5/120))/((((0.15*B2160*5))^0/1)+(((0.15*B2160*5))^1/1)+(((0.15*B2160*5))^2/2)+(((0.15*B2160*5))^3/6)+(((0.15*B2160*5))^4/24)+(((0.15*B2160*5))^5/120))),0)))/100)*I2140)</f>
        <v/>
      </c>
      <c r="L2140">
        <f>K2140*(MIN(Inputs!$B$22+((C2151=TRUE)*(F2151-Calc!F22)),(Inputs!$B$23+((C2153=TRUE)*(F2153-Calc!F24))+(IF(ArtifactsInput!$M$15,CHOOSE(ArtifactsInput!$N$15+1,25,30,35,40,45,50)/100*(Inputs!$B$11-Inputs!$B$11),0))))/100+(Inputs!$B$23+((C2153=TRUE)*(F2153-Calc!F24))+(IF(ArtifactsInput!$M$15,CHOOSE(ArtifactsInput!$N$15+1,25,30,35,40,45,50)/100*(Inputs!$B$11-Inputs!$B$11),0)))/100)/2</f>
        <v/>
      </c>
      <c r="M2140">
        <f>L2140*(1+(Inputs!$B$10+0+B2163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0">
        <f>L2140*(1-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2140*(MIN((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0">
        <f>(1-Summary!$B$11)*T2140+Summary!$B$11*V2140</f>
        <v/>
      </c>
      <c r="P2140">
        <f>IF(B2168=0,0,O2140/B2168)</f>
        <v/>
      </c>
      <c r="Q2140">
        <f>IFERROR(1/(IF(Inputs!$B$38="pvp",15,MAX(0.1,Skills!D11-IF(Skills!E11=TRUE,Inputs!$B$32,0)))*(1-IF(AND(ArtifactsInput!$M$27,Inputs!$B$4="Chapter Hunt"),CHOOSE(ArtifactsInput!$N$27+1,20,24,28,32,36,40),0)/100)),0)</f>
        <v/>
      </c>
      <c r="R2140">
        <f>IF(AND(Inputs!$B$38&lt;&gt;"pvp",Inputs!$B$43&gt;0),IF(MAX(0,Inputs!$B$43-B2165)&lt;=0,0,(INT(MAX(0,Inputs!$B$43-B2165)/(IF(Inputs!$B$38="pvp",15,MAX(0.1,Skills!D11-IF(Skills!E11=TRUE,Inputs!$B$32,0)))*(1-IF(AND(ArtifactsInput!$M$27,Inputs!$B$4="Chapter Hunt"),CHOOSE(ArtifactsInput!$N$27+1,20,24,28,32,36,40),0)/100)))+1)),0)</f>
        <v/>
      </c>
      <c r="S2140">
        <f>IFERROR(O2140/N2140,0)</f>
        <v/>
      </c>
      <c r="T2140">
        <f>IF(C2140,(H2140*N2140*IF(AND(Inputs!$B$38&lt;&gt;"pvp",Inputs!$B$43&gt;0),((Skills!G11*((R2140-1)*IF(Skills!H11&gt;0,Skills!I11/Skills!H11,1)+IF(Skills!H11&gt;0,MIN(Skills!I11,MAX(0,MAX(0,Inputs!$B$43-B2165)-((R2140-1)*(IF(Inputs!$B$38="pvp",15,MAX(0.1,Skills!D11-IF(Skills!E11=TRUE,Inputs!$B$32,0)))*(1-IF(AND(ArtifactsInput!$M$27,Inputs!$B$4="Chapter Hunt"),CHOOSE(ArtifactsInput!$N$27+1,20,24,28,32,36,40),0)/100)))))/Skills!H11,1)))/Inputs!$B$43),G2140*Q2140)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2140*(1-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2140*(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2140*(1-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2140*(MIN(100,(Inputs!$B$9+((C2155=TRUE)*(F2155-Calc!F26))+B2158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0">
        <f>IF(C2140,(H2140*N2140*IF(AND(Inputs!$B$38&lt;&gt;"pvp",Inputs!$B$43&gt;0),((Skills!G11*((R2140-1)*IF(Skills!H11&gt;0,Skills!I11/Skills!H11,1)+IF(Skills!H11&gt;0,MIN(Skills!I11,MAX(0,MAX(0,Inputs!$B$43-B2165)-((R2140-1)*(IF(Inputs!$B$38="pvp",15,MAX(0.1,Skills!D11-IF(Skills!E11=TRUE,Inputs!$B$32,0)))*(1-IF(AND(ArtifactsInput!$M$27,Inputs!$B$4="Chapter Hunt"),CHOOSE(ArtifactsInput!$N$27+1,20,24,28,32,36,40),0)/100)))))/Skills!H11,1)))/Inputs!$B$43),G2140*Q2140)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1">
      <c r="A2141">
        <f>Skills!A12</f>
        <v/>
      </c>
      <c r="B2141">
        <f>Skills!B12</f>
        <v/>
      </c>
      <c r="C2141">
        <f>Inputs!$B$3&gt;=100</f>
        <v/>
      </c>
      <c r="D2141">
        <f>IF(Skills!C12=1,60+Inputs!$B$25+Inputs!$B$29,IF(Skills!C12=2,90+Inputs!$B$26+Inputs!$B$29,IF(Skills!C12=3,120+Inputs!$B$27+Inputs!$B$29,MAX(0,(Inputs!$B$3-100)*3)+Inputs!$B$28+Inputs!$B$29)))</f>
        <v/>
      </c>
      <c r="E2141">
        <f>INDEX(FactorTable!$B$2:$Y$301, MATCH(ROUND(MIN(300,MAX(1,D2141)),0), FactorTable!$A$2:$A$301,0), Skills!M12+1)</f>
        <v/>
      </c>
      <c r="F2141">
        <f>IF(Skills!N12=TRUE,(Skills!L12/10)*(E2141/1000),Skills!L12/10)+Skills!O12</f>
        <v/>
      </c>
      <c r="G2141" t="inlineStr"/>
      <c r="H2141" t="inlineStr"/>
      <c r="I2141" t="inlineStr">
        <is>
          <t>1</t>
        </is>
      </c>
      <c r="J2141" t="inlineStr"/>
      <c r="K2141" t="inlineStr"/>
      <c r="L2141" t="inlineStr"/>
      <c r="M2141" t="inlineStr"/>
      <c r="N2141" t="inlineStr"/>
      <c r="O2141" t="inlineStr"/>
      <c r="P2141" t="inlineStr"/>
      <c r="Q2141" t="inlineStr"/>
      <c r="R2141" t="inlineStr"/>
      <c r="S2141" t="inlineStr"/>
    </row>
    <row r="2142">
      <c r="A2142">
        <f>Skills!A13</f>
        <v/>
      </c>
      <c r="B2142">
        <f>Skills!B13</f>
        <v/>
      </c>
      <c r="C2142">
        <f>Inputs!$B$3&gt;=45</f>
        <v/>
      </c>
      <c r="D2142">
        <f>IF(Skills!C13=1,60+Inputs!$B$25+Inputs!$B$29,IF(Skills!C13=2,90+Inputs!$B$26+Inputs!$B$29,IF(Skills!C13=3,120+Inputs!$B$27+Inputs!$B$29,MAX(0,(Inputs!$B$3-100)*3)+Inputs!$B$28+Inputs!$B$29)))</f>
        <v/>
      </c>
      <c r="E2142">
        <f>INDEX(FactorTable!$B$2:$Y$301, MATCH(ROUND(MIN(300,MAX(1,D2142)),0), FactorTable!$A$2:$A$301,0), Skills!M13+1)</f>
        <v/>
      </c>
      <c r="F2142">
        <f>IF(Skills!N13=TRUE,(Skills!L13/10)*(E2142/1000),Skills!L13/10)+Skills!O13</f>
        <v/>
      </c>
      <c r="G2142">
        <f>Skills!G13*IF(Skills!H13&gt;0,Skills!I13/Skills!H13,1)</f>
        <v/>
      </c>
      <c r="H2142">
        <f>1-(1-Skills!J13/100)^Skills!K13</f>
        <v/>
      </c>
      <c r="I2142" t="inlineStr">
        <is>
          <t>1</t>
        </is>
      </c>
      <c r="J2142" t="inlineStr"/>
      <c r="K2142" t="inlineStr"/>
      <c r="L2142" t="inlineStr"/>
      <c r="M2142" t="inlineStr"/>
      <c r="N2142" t="inlineStr"/>
      <c r="O2142">
        <f>(1-Summary!$B$11)*T2142+Summary!$B$11*V2142</f>
        <v/>
      </c>
      <c r="P2142">
        <f>IF(B2168=0,0,O2142/B2168)</f>
        <v/>
      </c>
      <c r="Q2142" t="n">
        <v>0</v>
      </c>
      <c r="R2142" t="n">
        <v>0</v>
      </c>
      <c r="S2142">
        <f>IFERROR(O2142/N2142,0)</f>
        <v/>
      </c>
      <c r="T2142" t="n">
        <v>0</v>
      </c>
      <c r="V2142" t="n">
        <v>0</v>
      </c>
    </row>
    <row r="2143">
      <c r="A2143">
        <f>Skills!A14</f>
        <v/>
      </c>
      <c r="B2143">
        <f>Skills!B14</f>
        <v/>
      </c>
      <c r="C2143">
        <f>Inputs!$B$3&gt;=75</f>
        <v/>
      </c>
      <c r="D2143">
        <f>IF(Skills!C14=1,60+Inputs!$B$25+Inputs!$B$29,IF(Skills!C14=2,90+Inputs!$B$26+Inputs!$B$29,IF(Skills!C14=3,120+Inputs!$B$27+Inputs!$B$29,MAX(0,(Inputs!$B$3-100)*3)+Inputs!$B$28+Inputs!$B$29)))</f>
        <v/>
      </c>
      <c r="E2143">
        <f>INDEX(FactorTable!$B$2:$Y$301, MATCH(ROUND(MIN(300,MAX(1,D2143)),0), FactorTable!$A$2:$A$301,0), Skills!M14+1)</f>
        <v/>
      </c>
      <c r="F2143">
        <f>IF(Skills!N14=TRUE,(Skills!L14/10)*(E2143/1000),Skills!L14/10)+Skills!O14</f>
        <v/>
      </c>
      <c r="G2143">
        <f>Skills!G14*IF(Skills!H14&gt;0,Skills!I14/Skills!H14,1)</f>
        <v/>
      </c>
      <c r="H2143">
        <f>1-(1-Skills!J14/100)^Skills!K14</f>
        <v/>
      </c>
      <c r="I2143" t="inlineStr">
        <is>
          <t>1</t>
        </is>
      </c>
      <c r="J2143" t="inlineStr"/>
      <c r="K2143" t="inlineStr"/>
      <c r="L2143" t="inlineStr"/>
      <c r="M2143" t="inlineStr"/>
      <c r="N2143" t="inlineStr"/>
      <c r="O2143">
        <f>(1-Summary!$B$11)*T2143+Summary!$B$11*V2143</f>
        <v/>
      </c>
      <c r="P2143">
        <f>IF(B2168=0,0,O2143/B2168)</f>
        <v/>
      </c>
      <c r="Q2143" t="n">
        <v>0</v>
      </c>
      <c r="R2143" t="n">
        <v>0</v>
      </c>
      <c r="S2143">
        <f>IFERROR(O2143/N2143,0)</f>
        <v/>
      </c>
      <c r="T2143" t="n">
        <v>0</v>
      </c>
      <c r="V2143" t="n">
        <v>0</v>
      </c>
    </row>
    <row r="2144">
      <c r="A2144">
        <f>Skills!A15</f>
        <v/>
      </c>
      <c r="B2144">
        <f>Skills!B15</f>
        <v/>
      </c>
      <c r="C2144">
        <f>Inputs!$B$3&gt;=40</f>
        <v/>
      </c>
      <c r="D2144">
        <f>IF(Skills!C15=1,60+Inputs!$B$25+Inputs!$B$29,IF(Skills!C15=2,90+Inputs!$B$26+Inputs!$B$29,IF(Skills!C15=3,120+Inputs!$B$27+Inputs!$B$29,MAX(0,(Inputs!$B$3-100)*3)+Inputs!$B$28+Inputs!$B$29)))</f>
        <v/>
      </c>
      <c r="E2144">
        <f>INDEX(FactorTable!$B$2:$Y$301, MATCH(ROUND(MIN(300,MAX(1,D2144)),0), FactorTable!$A$2:$A$301,0), Skills!M15+1)</f>
        <v/>
      </c>
      <c r="F2144">
        <f>IF(Skills!N15=TRUE,(Skills!L15/10)*(E2144/1000),Skills!L15/10)+Skills!O15</f>
        <v/>
      </c>
      <c r="G2144">
        <f>Skills!G15*IF(Skills!H15&gt;0,Skills!I15/Skills!H15,1)</f>
        <v/>
      </c>
      <c r="H2144">
        <f>1-(1-Skills!J15/100)^Skills!K15</f>
        <v/>
      </c>
      <c r="I2144" t="inlineStr">
        <is>
          <t>1</t>
        </is>
      </c>
      <c r="J2144" t="inlineStr"/>
      <c r="K2144" t="inlineStr"/>
      <c r="L2144" t="inlineStr"/>
      <c r="M2144" t="inlineStr"/>
      <c r="N2144" t="inlineStr"/>
      <c r="O2144">
        <f>(1-Summary!$B$11)*T2144+Summary!$B$11*V2144</f>
        <v/>
      </c>
      <c r="P2144">
        <f>IF(B2168=0,0,O2144/B2168)</f>
        <v/>
      </c>
      <c r="Q2144">
        <f>IFERROR(1/(IF(Inputs!$B$38="pvp",15,MAX(0.1,Skills!D15-IF(Skills!E15=TRUE,Inputs!$B$32,0)))*(1-IF(AND(ArtifactsInput!$M$27,Inputs!$B$4="Chapter Hunt"),CHOOSE(ArtifactsInput!$N$27+1,20,24,28,32,36,40),0)/100)),0)</f>
        <v/>
      </c>
      <c r="R2144">
        <f>IF(AND(Inputs!$B$38&lt;&gt;"pvp",Inputs!$B$43&gt;0),IF(Inputs!$B$43&lt;=0,0,(INT(Inputs!$B$43/(IF(Inputs!$B$38="pvp",15,MAX(0.1,Skills!D15-IF(Skills!E15=TRUE,Inputs!$B$32,0)))*(1-IF(AND(ArtifactsInput!$M$27,Inputs!$B$4="Chapter Hunt"),CHOOSE(ArtifactsInput!$N$27+1,20,24,28,32,36,40),0)/100)))+1)),0)</f>
        <v/>
      </c>
      <c r="S2144">
        <f>IFERROR(O2144/N2144,0)</f>
        <v/>
      </c>
      <c r="T2144" t="n">
        <v>0</v>
      </c>
      <c r="V2144" t="n">
        <v>0</v>
      </c>
    </row>
    <row r="2145">
      <c r="A2145">
        <f>Skills!A16</f>
        <v/>
      </c>
      <c r="B2145">
        <f>Skills!B16</f>
        <v/>
      </c>
      <c r="C2145">
        <f>Inputs!$B$3&gt;=66</f>
        <v/>
      </c>
      <c r="D2145">
        <f>IF(Skills!C16=1,60+Inputs!$B$25+Inputs!$B$29,IF(Skills!C16=2,90+Inputs!$B$26+Inputs!$B$29,IF(Skills!C16=3,120+Inputs!$B$27+Inputs!$B$29,MAX(0,(Inputs!$B$3-100)*3)+Inputs!$B$28+Inputs!$B$29)))</f>
        <v/>
      </c>
      <c r="E2145">
        <f>INDEX(FactorTable!$B$2:$Y$301, MATCH(ROUND(MIN(300,MAX(1,D2145)),0), FactorTable!$A$2:$A$301,0), Skills!M16+1)</f>
        <v/>
      </c>
      <c r="F2145">
        <f>IF(Skills!N16=TRUE,(Skills!L16/10)*(E2145/1000),Skills!L16/10)+Skills!O16</f>
        <v/>
      </c>
      <c r="G2145">
        <f>Skills!G16*IF(Skills!H16&gt;0,Skills!I16/Skills!H16,1)</f>
        <v/>
      </c>
      <c r="H2145">
        <f>1-(1-Skills!J16/100)^Skills!K16</f>
        <v/>
      </c>
      <c r="I2145" t="inlineStr">
        <is>
          <t>1</t>
        </is>
      </c>
      <c r="J2145" t="inlineStr"/>
      <c r="K2145" t="inlineStr"/>
      <c r="L2145" t="inlineStr"/>
      <c r="M2145" t="inlineStr"/>
      <c r="N2145" t="inlineStr"/>
      <c r="O2145">
        <f>(1-Summary!$B$11)*T2145+Summary!$B$11*V2145</f>
        <v/>
      </c>
      <c r="P2145">
        <f>IF(B2168=0,0,O2145/B2168)</f>
        <v/>
      </c>
      <c r="Q2145">
        <f>IFERROR(1/(IF(Inputs!$B$38="pvp",15,MAX(0.1,Skills!D16-IF(Skills!E16=TRUE,Inputs!$B$32,0)))*(1-IF(AND(ArtifactsInput!$M$27,Inputs!$B$4="Chapter Hunt"),CHOOSE(ArtifactsInput!$N$27+1,20,24,28,32,36,40),0)/100)),0)</f>
        <v/>
      </c>
      <c r="R2145">
        <f>IF(AND(Inputs!$B$38&lt;&gt;"pvp",Inputs!$B$43&gt;0),IF(Inputs!$B$43&lt;=0,0,(INT(Inputs!$B$43/(IF(Inputs!$B$38="pvp",15,MAX(0.1,Skills!D16-IF(Skills!E16=TRUE,Inputs!$B$32,0)))*(1-IF(AND(ArtifactsInput!$M$27,Inputs!$B$4="Chapter Hunt"),CHOOSE(ArtifactsInput!$N$27+1,20,24,28,32,36,40),0)/100)))+1)),0)</f>
        <v/>
      </c>
      <c r="S2145">
        <f>IFERROR(O2145/N2145,0)</f>
        <v/>
      </c>
      <c r="T2145" t="n">
        <v>0</v>
      </c>
      <c r="V2145" t="n">
        <v>0</v>
      </c>
    </row>
    <row r="2146">
      <c r="A2146">
        <f>Skills!A17</f>
        <v/>
      </c>
      <c r="B2146">
        <f>Skills!B17</f>
        <v/>
      </c>
      <c r="C2146">
        <f>Inputs!$B$3&gt;=115</f>
        <v/>
      </c>
      <c r="D2146">
        <f>IF(Skills!C17=1,60+Inputs!$B$25+Inputs!$B$29,IF(Skills!C17=2,90+Inputs!$B$26+Inputs!$B$29,IF(Skills!C17=3,120+Inputs!$B$27+Inputs!$B$29,MAX(0,(Inputs!$B$3-100)*3)+Inputs!$B$28+Inputs!$B$29)))</f>
        <v/>
      </c>
      <c r="E2146">
        <f>INDEX(FactorTable!$B$2:$Y$301, MATCH(ROUND(MIN(300,MAX(1,D2146)),0), FactorTable!$A$2:$A$301,0), Skills!M17+1)</f>
        <v/>
      </c>
      <c r="F2146">
        <f>IF(Skills!N17=TRUE,(Skills!L17/10)*(E2146/1000),Skills!L17/10)+Skills!O17</f>
        <v/>
      </c>
      <c r="G2146">
        <f>Skills!G17*IF(Skills!H17&gt;0,Skills!I17/Skills!H17,1)</f>
        <v/>
      </c>
      <c r="H2146">
        <f>1-(1-Skills!J17/100)^Skills!K17</f>
        <v/>
      </c>
      <c r="I2146" t="inlineStr">
        <is>
          <t>1</t>
        </is>
      </c>
      <c r="J2146" t="inlineStr"/>
      <c r="K2146" t="inlineStr"/>
      <c r="L2146" t="inlineStr"/>
      <c r="M2146" t="inlineStr"/>
      <c r="N2146" t="inlineStr"/>
      <c r="O2146">
        <f>(1-Summary!$B$11)*T2146+Summary!$B$11*V2146</f>
        <v/>
      </c>
      <c r="P2146">
        <f>IF(B2168=0,0,O2146/B2168)</f>
        <v/>
      </c>
      <c r="Q2146">
        <f>IFERROR(1/(IF(Inputs!$B$38="pvp",15,MAX(0.1,Skills!D17-IF(Skills!E17=TRUE,Inputs!$B$32,0)))*(1-IF(AND(ArtifactsInput!$M$27,Inputs!$B$4="Chapter Hunt"),CHOOSE(ArtifactsInput!$N$27+1,20,24,28,32,36,40),0)/100)),0)</f>
        <v/>
      </c>
      <c r="R2146">
        <f>IF(AND(Inputs!$B$38&lt;&gt;"pvp",Inputs!$B$43&gt;0),IF(Inputs!$B$43&lt;=0,0,(INT(Inputs!$B$43/(IF(Inputs!$B$38="pvp",15,MAX(0.1,Skills!D17-IF(Skills!E17=TRUE,Inputs!$B$32,0)))*(1-IF(AND(ArtifactsInput!$M$27,Inputs!$B$4="Chapter Hunt"),CHOOSE(ArtifactsInput!$N$27+1,20,24,28,32,36,40),0)/100)))+1)),0)</f>
        <v/>
      </c>
      <c r="S2146">
        <f>IFERROR(O2146/N2146,0)</f>
        <v/>
      </c>
      <c r="T2146" t="n">
        <v>0</v>
      </c>
      <c r="V2146" t="n">
        <v>0</v>
      </c>
    </row>
    <row r="2147">
      <c r="A2147">
        <f>Skills!A18</f>
        <v/>
      </c>
      <c r="B2147">
        <f>Skills!B18</f>
        <v/>
      </c>
      <c r="C2147">
        <f>Inputs!$B$3&gt;=115</f>
        <v/>
      </c>
      <c r="D2147">
        <f>IF(Skills!C18=1,60+Inputs!$B$25+Inputs!$B$29,IF(Skills!C18=2,90+Inputs!$B$26+Inputs!$B$29,IF(Skills!C18=3,120+Inputs!$B$27+Inputs!$B$29,MAX(0,(Inputs!$B$3-100)*3)+Inputs!$B$28+Inputs!$B$29)))</f>
        <v/>
      </c>
      <c r="E2147">
        <f>INDEX(FactorTable!$B$2:$Y$301, MATCH(ROUND(MIN(300,MAX(1,D2147)),0), FactorTable!$A$2:$A$301,0), Skills!M18+1)</f>
        <v/>
      </c>
      <c r="F2147">
        <f>IF(Skills!N18=TRUE,(Skills!L18/10)*(E2147/1000),Skills!L18/10)+Skills!O18</f>
        <v/>
      </c>
      <c r="G2147">
        <f>Skills!G18*IF(Skills!H18&gt;0,Skills!I18/Skills!H18,1)</f>
        <v/>
      </c>
      <c r="H2147">
        <f>1-(1-Skills!J18/100)^Skills!K18</f>
        <v/>
      </c>
      <c r="I2147" t="inlineStr">
        <is>
          <t>1</t>
        </is>
      </c>
      <c r="J2147" t="inlineStr"/>
      <c r="K2147" t="inlineStr"/>
      <c r="L2147" t="inlineStr"/>
      <c r="M2147" t="inlineStr"/>
      <c r="N2147" t="inlineStr"/>
      <c r="O2147">
        <f>(1-Summary!$B$11)*T2147+Summary!$B$11*V2147</f>
        <v/>
      </c>
      <c r="P2147">
        <f>IF(B2168=0,0,O2147/B2168)</f>
        <v/>
      </c>
      <c r="Q2147">
        <f>IFERROR(1/(IF(Inputs!$B$38="pvp",15,MAX(0.1,Skills!D18-IF(Skills!E18=TRUE,Inputs!$B$32,0)))*(1-IF(AND(ArtifactsInput!$M$27,Inputs!$B$4="Chapter Hunt"),CHOOSE(ArtifactsInput!$N$27+1,20,24,28,32,36,40),0)/100)),0)</f>
        <v/>
      </c>
      <c r="R2147">
        <f>IF(AND(Inputs!$B$38&lt;&gt;"pvp",Inputs!$B$43&gt;0),IF(Inputs!$B$43&lt;=0,0,(INT(Inputs!$B$43/(IF(Inputs!$B$38="pvp",15,MAX(0.1,Skills!D18-IF(Skills!E18=TRUE,Inputs!$B$32,0)))*(1-IF(AND(ArtifactsInput!$M$27,Inputs!$B$4="Chapter Hunt"),CHOOSE(ArtifactsInput!$N$27+1,20,24,28,32,36,40),0)/100)))+1)),0)</f>
        <v/>
      </c>
      <c r="S2147">
        <f>IFERROR(O2147/N2147,0)</f>
        <v/>
      </c>
      <c r="T2147" t="n">
        <v>0</v>
      </c>
      <c r="V2147" t="n">
        <v>0</v>
      </c>
    </row>
    <row r="2148">
      <c r="A2148">
        <f>Skills!A19</f>
        <v/>
      </c>
      <c r="B2148">
        <f>Skills!B19</f>
        <v/>
      </c>
      <c r="C2148">
        <f>TRUE</f>
        <v/>
      </c>
      <c r="D2148">
        <f>IF(Skills!C19=1,60+Inputs!$B$25+Inputs!$B$29,IF(Skills!C19=2,90+Inputs!$B$26+Inputs!$B$29,IF(Skills!C19=3,120+Inputs!$B$27+Inputs!$B$29,MAX(0,(Inputs!$B$3-100)*3)+Inputs!$B$28+Inputs!$B$29)))</f>
        <v/>
      </c>
      <c r="E2148">
        <f>INDEX(FactorTable!$B$2:$Y$301, MATCH(ROUND(MIN(300,MAX(1,D2148)),0), FactorTable!$A$2:$A$301,0), Skills!M19+1)</f>
        <v/>
      </c>
      <c r="F2148">
        <f>IF(Skills!N19=TRUE,(Skills!L19/10)*(E2148/1000),Skills!L19/10)+Skills!O19</f>
        <v/>
      </c>
      <c r="G2148">
        <f>Skills!G19*IF(Skills!H19&gt;0,Skills!I19/Skills!H19,1)</f>
        <v/>
      </c>
      <c r="H2148">
        <f>1-(1-Skills!J19/100)^Skills!K19</f>
        <v/>
      </c>
      <c r="I2148" t="inlineStr">
        <is>
          <t>1</t>
        </is>
      </c>
      <c r="J2148" t="inlineStr"/>
      <c r="K2148" t="inlineStr"/>
      <c r="L2148" t="inlineStr"/>
      <c r="M2148" t="inlineStr"/>
      <c r="N2148" t="inlineStr"/>
      <c r="O2148">
        <f>(1-Summary!$B$11)*T2148+Summary!$B$11*V2148</f>
        <v/>
      </c>
      <c r="P2148">
        <f>IF(B2168=0,0,O2148/B2168)</f>
        <v/>
      </c>
      <c r="Q2148">
        <f>IFERROR(1/(IF(Inputs!$B$38="pvp",15,MAX(0.1,Skills!D19-IF(Skills!E19=TRUE,Inputs!$B$32,0)))*(1-IF(AND(ArtifactsInput!$M$27,Inputs!$B$4="Chapter Hunt"),CHOOSE(ArtifactsInput!$N$27+1,20,24,28,32,36,40),0)/100)),0)</f>
        <v/>
      </c>
      <c r="R2148">
        <f>IF(AND(Inputs!$B$38&lt;&gt;"pvp",Inputs!$B$43&gt;0),IF(Inputs!$B$43&lt;=0,0,(INT(Inputs!$B$43/(IF(Inputs!$B$38="pvp",15,MAX(0.1,Skills!D19-IF(Skills!E19=TRUE,Inputs!$B$32,0)))*(1-IF(AND(ArtifactsInput!$M$27,Inputs!$B$4="Chapter Hunt"),CHOOSE(ArtifactsInput!$N$27+1,20,24,28,32,36,40),0)/100)))+1)),0)</f>
        <v/>
      </c>
      <c r="S2148">
        <f>IFERROR(O2148/N2148,0)</f>
        <v/>
      </c>
      <c r="T2148" t="n">
        <v>0</v>
      </c>
      <c r="V2148" t="n">
        <v>0</v>
      </c>
    </row>
    <row r="2149">
      <c r="A2149">
        <f>Skills!A20</f>
        <v/>
      </c>
      <c r="B2149">
        <f>Skills!B20</f>
        <v/>
      </c>
      <c r="C2149">
        <f>Inputs!$B$3&gt;=33</f>
        <v/>
      </c>
      <c r="D2149">
        <f>IF(Skills!C20=1,60+Inputs!$B$25+Inputs!$B$29,IF(Skills!C20=2,90+Inputs!$B$26+Inputs!$B$29,IF(Skills!C20=3,120+Inputs!$B$27+Inputs!$B$29,MAX(0,(Inputs!$B$3-100)*3)+Inputs!$B$28+Inputs!$B$29)))</f>
        <v/>
      </c>
      <c r="E2149">
        <f>INDEX(FactorTable!$B$2:$Y$301, MATCH(ROUND(MIN(300,MAX(1,D2149)),0), FactorTable!$A$2:$A$301,0), Skills!M20+1)</f>
        <v/>
      </c>
      <c r="F2149">
        <f>IF(Skills!N20=TRUE,(Skills!L20/10)*(E2149/1000),Skills!L20/10)+Skills!O20</f>
        <v/>
      </c>
      <c r="G2149">
        <f>Skills!G20*IF(Skills!H20&gt;0,Skills!I20/Skills!H20,1)</f>
        <v/>
      </c>
      <c r="H2149">
        <f>1-(1-Skills!J20/100)^Skills!K20</f>
        <v/>
      </c>
      <c r="I2149" t="inlineStr">
        <is>
          <t>1</t>
        </is>
      </c>
      <c r="J2149" t="inlineStr"/>
      <c r="K2149" t="inlineStr"/>
      <c r="L2149" t="inlineStr"/>
      <c r="M2149" t="inlineStr"/>
      <c r="N2149" t="inlineStr"/>
      <c r="O2149">
        <f>(1-Summary!$B$11)*T2149+Summary!$B$11*V2149</f>
        <v/>
      </c>
      <c r="P2149">
        <f>IF(B2168=0,0,O2149/B2168)</f>
        <v/>
      </c>
      <c r="Q2149" t="n">
        <v>0</v>
      </c>
      <c r="R2149" t="n">
        <v>0</v>
      </c>
      <c r="S2149">
        <f>IFERROR(O2149/N2149,0)</f>
        <v/>
      </c>
      <c r="T2149" t="n">
        <v>0</v>
      </c>
      <c r="V2149" t="n">
        <v>0</v>
      </c>
    </row>
    <row r="2150">
      <c r="A2150">
        <f>Skills!A21</f>
        <v/>
      </c>
      <c r="B2150">
        <f>Skills!B21</f>
        <v/>
      </c>
      <c r="C2150">
        <f>Inputs!$B$3&gt;=38</f>
        <v/>
      </c>
      <c r="D2150">
        <f>IF(Skills!C21=1,60+Inputs!$B$25+Inputs!$B$29,IF(Skills!C21=2,90+Inputs!$B$26+Inputs!$B$29,IF(Skills!C21=3,120+Inputs!$B$27+Inputs!$B$29,MAX(0,(Inputs!$B$3-100)*3)+Inputs!$B$28+Inputs!$B$29)))</f>
        <v/>
      </c>
      <c r="E2150">
        <f>INDEX(FactorTable!$B$2:$Y$301, MATCH(ROUND(MIN(300,MAX(1,D2150)),0), FactorTable!$A$2:$A$301,0), Skills!M21+1)</f>
        <v/>
      </c>
      <c r="F2150">
        <f>IF(Skills!N21=TRUE,(Skills!L21/10)*(E2150/1000),Skills!L21/10)+Skills!O21</f>
        <v/>
      </c>
      <c r="G2150">
        <f>Skills!G21*IF(Skills!H21&gt;0,Skills!I21/Skills!H21,1)</f>
        <v/>
      </c>
      <c r="H2150">
        <f>1-(1-Skills!J21/100)^Skills!K21</f>
        <v/>
      </c>
      <c r="I2150" t="inlineStr">
        <is>
          <t>1</t>
        </is>
      </c>
      <c r="J2150" t="inlineStr"/>
      <c r="K2150" t="inlineStr"/>
      <c r="L2150" t="inlineStr"/>
      <c r="M2150" t="inlineStr"/>
      <c r="N2150" t="inlineStr"/>
      <c r="O2150">
        <f>(1-Summary!$B$11)*T2150+Summary!$B$11*V2150</f>
        <v/>
      </c>
      <c r="P2150">
        <f>IF(B2168=0,0,O2150/B2168)</f>
        <v/>
      </c>
      <c r="Q2150" t="n">
        <v>0</v>
      </c>
      <c r="R2150" t="n">
        <v>0</v>
      </c>
      <c r="S2150">
        <f>IFERROR(O2150/N2150,0)</f>
        <v/>
      </c>
      <c r="T2150" t="n">
        <v>0</v>
      </c>
      <c r="V2150" t="n">
        <v>0</v>
      </c>
    </row>
    <row r="2151">
      <c r="A2151">
        <f>Skills!A22</f>
        <v/>
      </c>
      <c r="B2151">
        <f>Skills!B22</f>
        <v/>
      </c>
      <c r="C2151">
        <f>Inputs!$B$3&gt;=43</f>
        <v/>
      </c>
      <c r="D2151">
        <f>IF(Skills!C22=1,60+Inputs!$B$25+Inputs!$B$29,IF(Skills!C22=2,90+Inputs!$B$26+Inputs!$B$29,IF(Skills!C22=3,120+Inputs!$B$27+Inputs!$B$29,MAX(0,(Inputs!$B$3-100)*3)+Inputs!$B$28+Inputs!$B$29)))</f>
        <v/>
      </c>
      <c r="E2151">
        <f>INDEX(FactorTable!$B$2:$Y$301, MATCH(ROUND(MIN(300,MAX(1,D2151)),0), FactorTable!$A$2:$A$301,0), Skills!M22+1)</f>
        <v/>
      </c>
      <c r="F2151">
        <f>IF(Skills!N22=TRUE,(Skills!L22/10)*(E2151/1000),Skills!L22/10)+Skills!O22</f>
        <v/>
      </c>
      <c r="G2151">
        <f>Skills!G22*IF(Skills!H22&gt;0,Skills!I22/Skills!H22,1)</f>
        <v/>
      </c>
      <c r="H2151">
        <f>1-(1-Skills!J22/100)^Skills!K22</f>
        <v/>
      </c>
      <c r="I2151" t="inlineStr">
        <is>
          <t>1</t>
        </is>
      </c>
      <c r="J2151" t="inlineStr"/>
      <c r="K2151" t="inlineStr"/>
      <c r="L2151" t="inlineStr"/>
      <c r="M2151" t="inlineStr"/>
      <c r="N2151" t="inlineStr"/>
      <c r="O2151">
        <f>(1-Summary!$B$11)*T2151+Summary!$B$11*V2151</f>
        <v/>
      </c>
      <c r="P2151">
        <f>IF(B2168=0,0,O2151/B2168)</f>
        <v/>
      </c>
      <c r="Q2151" t="n">
        <v>0</v>
      </c>
      <c r="R2151" t="n">
        <v>0</v>
      </c>
      <c r="S2151">
        <f>IFERROR(O2151/N2151,0)</f>
        <v/>
      </c>
      <c r="T2151" t="n">
        <v>0</v>
      </c>
      <c r="V2151" t="n">
        <v>0</v>
      </c>
    </row>
    <row r="2152">
      <c r="A2152">
        <f>Skills!A23</f>
        <v/>
      </c>
      <c r="B2152">
        <f>Skills!B23</f>
        <v/>
      </c>
      <c r="C2152">
        <f>Inputs!$B$3&gt;=120</f>
        <v/>
      </c>
      <c r="D2152">
        <f>IF(Skills!C23=1,60+Inputs!$B$25+Inputs!$B$29,IF(Skills!C23=2,90+Inputs!$B$26+Inputs!$B$29,IF(Skills!C23=3,120+Inputs!$B$27+Inputs!$B$29,MAX(0,(Inputs!$B$3-100)*3)+Inputs!$B$28+Inputs!$B$29)))</f>
        <v/>
      </c>
      <c r="E2152">
        <f>INDEX(FactorTable!$B$2:$Y$301, MATCH(ROUND(MIN(300,MAX(1,D2152)),0), FactorTable!$A$2:$A$301,0), Skills!M23+1)</f>
        <v/>
      </c>
      <c r="F2152">
        <f>IF(Skills!N23=TRUE,(Skills!L23/10)*(E2152/1000),Skills!L23/10)+Skills!O23</f>
        <v/>
      </c>
      <c r="G2152">
        <f>Skills!G23*IF(Skills!H23&gt;0,Skills!I23/Skills!H23,1)</f>
        <v/>
      </c>
      <c r="H2152">
        <f>1-(1-Skills!J23/100)^Skills!K23</f>
        <v/>
      </c>
      <c r="I2152" t="inlineStr">
        <is>
          <t>1</t>
        </is>
      </c>
      <c r="J2152" t="inlineStr"/>
      <c r="K2152" t="inlineStr"/>
      <c r="L2152" t="inlineStr"/>
      <c r="M2152" t="inlineStr"/>
      <c r="N2152" t="inlineStr"/>
      <c r="O2152">
        <f>(1-Summary!$B$11)*T2152+Summary!$B$11*V2152</f>
        <v/>
      </c>
      <c r="P2152">
        <f>IF(B2168=0,0,O2152/B2168)</f>
        <v/>
      </c>
      <c r="Q2152" t="n">
        <v>0</v>
      </c>
      <c r="R2152" t="n">
        <v>0</v>
      </c>
      <c r="S2152">
        <f>IFERROR(O2152/N2152,0)</f>
        <v/>
      </c>
      <c r="T2152" t="n">
        <v>0</v>
      </c>
      <c r="V2152" t="n">
        <v>0</v>
      </c>
    </row>
    <row r="2153">
      <c r="A2153">
        <f>Skills!A24</f>
        <v/>
      </c>
      <c r="B2153">
        <f>Skills!B24</f>
        <v/>
      </c>
      <c r="C2153">
        <f>Inputs!$B$3&gt;=120</f>
        <v/>
      </c>
      <c r="D2153">
        <f>IF(Skills!C24=1,60+Inputs!$B$25+Inputs!$B$29,IF(Skills!C24=2,90+Inputs!$B$26+Inputs!$B$29,IF(Skills!C24=3,120+Inputs!$B$27+Inputs!$B$29,MAX(0,(Inputs!$B$3-100)*3)+Inputs!$B$28+Inputs!$B$29)))</f>
        <v/>
      </c>
      <c r="E2153">
        <f>INDEX(FactorTable!$B$2:$Y$301, MATCH(ROUND(MIN(300,MAX(1,D2153)),0), FactorTable!$A$2:$A$301,0), Skills!M24+1)</f>
        <v/>
      </c>
      <c r="F2153">
        <f>IF(Skills!N24=TRUE,(Skills!L24/10)*(E2153/1000),Skills!L24/10)+Skills!O24</f>
        <v/>
      </c>
      <c r="G2153">
        <f>Skills!G24*IF(Skills!H24&gt;0,Skills!I24/Skills!H24,1)</f>
        <v/>
      </c>
      <c r="H2153">
        <f>1-(1-Skills!J24/100)^Skills!K24</f>
        <v/>
      </c>
      <c r="I2153" t="inlineStr">
        <is>
          <t>1</t>
        </is>
      </c>
      <c r="J2153" t="inlineStr"/>
      <c r="K2153" t="inlineStr"/>
      <c r="L2153" t="inlineStr"/>
      <c r="M2153" t="inlineStr"/>
      <c r="N2153" t="inlineStr"/>
      <c r="O2153">
        <f>(1-Summary!$B$11)*T2153+Summary!$B$11*V2153</f>
        <v/>
      </c>
      <c r="P2153">
        <f>IF(B2168=0,0,O2153/B2168)</f>
        <v/>
      </c>
      <c r="Q2153" t="n">
        <v>0</v>
      </c>
      <c r="R2153" t="n">
        <v>0</v>
      </c>
      <c r="S2153">
        <f>IFERROR(O2153/N2153,0)</f>
        <v/>
      </c>
      <c r="T2153" t="n">
        <v>0</v>
      </c>
      <c r="V2153" t="n">
        <v>0</v>
      </c>
    </row>
    <row r="2154">
      <c r="A2154">
        <f>Skills!A25</f>
        <v/>
      </c>
      <c r="B2154">
        <f>Skills!B25</f>
        <v/>
      </c>
      <c r="C2154">
        <f>Inputs!$B$3&gt;=125</f>
        <v/>
      </c>
      <c r="D2154">
        <f>IF(Skills!C25=1,60+Inputs!$B$25+Inputs!$B$29,IF(Skills!C25=2,90+Inputs!$B$26+Inputs!$B$29,IF(Skills!C25=3,120+Inputs!$B$27+Inputs!$B$29,MAX(0,(Inputs!$B$3-100)*3)+Inputs!$B$28+Inputs!$B$29)))</f>
        <v/>
      </c>
      <c r="E2154">
        <f>INDEX(FactorTable!$B$2:$Y$301, MATCH(ROUND(MIN(300,MAX(1,D2154)),0), FactorTable!$A$2:$A$301,0), Skills!M25+1)</f>
        <v/>
      </c>
      <c r="F2154">
        <f>IF(Skills!N25=TRUE,(Skills!L25/10)*(E2154/1000),Skills!L25/10)+Skills!O25</f>
        <v/>
      </c>
      <c r="G2154">
        <f>Skills!G25*IF(Skills!H25&gt;0,Skills!I25/Skills!H25,1)</f>
        <v/>
      </c>
      <c r="H2154">
        <f>1-(1-Skills!J25/100)^Skills!K25</f>
        <v/>
      </c>
      <c r="I2154" t="inlineStr">
        <is>
          <t>1</t>
        </is>
      </c>
      <c r="J2154" t="inlineStr"/>
      <c r="K2154" t="inlineStr"/>
      <c r="L2154" t="inlineStr"/>
      <c r="M2154" t="inlineStr"/>
      <c r="N2154" t="inlineStr"/>
      <c r="O2154">
        <f>(1-Summary!$B$11)*T2154+Summary!$B$11*V2154</f>
        <v/>
      </c>
      <c r="P2154">
        <f>IF(B2168=0,0,O2154/B2168)</f>
        <v/>
      </c>
      <c r="Q2154" t="n">
        <v>0</v>
      </c>
      <c r="R2154" t="n">
        <v>0</v>
      </c>
      <c r="S2154">
        <f>IFERROR(O2154/N2154,0)</f>
        <v/>
      </c>
      <c r="T2154" t="n">
        <v>0</v>
      </c>
      <c r="V2154" t="n">
        <v>0</v>
      </c>
    </row>
    <row r="2155">
      <c r="A2155">
        <f>Skills!A26</f>
        <v/>
      </c>
      <c r="B2155">
        <f>Skills!B26</f>
        <v/>
      </c>
      <c r="C2155">
        <f>Inputs!$B$3&gt;=72</f>
        <v/>
      </c>
      <c r="D2155">
        <f>IF(Skills!C26=1,60+Inputs!$B$25+Inputs!$B$29,IF(Skills!C26=2,90+Inputs!$B$26+Inputs!$B$29,IF(Skills!C26=3,120+Inputs!$B$27+Inputs!$B$29,MAX(0,(Inputs!$B$3-100)*3)+Inputs!$B$28+Inputs!$B$29)))</f>
        <v/>
      </c>
      <c r="E2155">
        <f>INDEX(FactorTable!$B$2:$Y$301, MATCH(ROUND(MIN(300,MAX(1,D2155)),0), FactorTable!$A$2:$A$301,0), Skills!M26+1)</f>
        <v/>
      </c>
      <c r="F2155">
        <f>IF(Skills!N26=TRUE,(Skills!L26/10)*(E2155/1000),Skills!L26/10)+Skills!O26</f>
        <v/>
      </c>
      <c r="G2155">
        <f>Skills!G26*IF(Skills!H26&gt;0,Skills!I26/Skills!H26,1)</f>
        <v/>
      </c>
      <c r="H2155">
        <f>1-(1-Skills!J26/100)^Skills!K26</f>
        <v/>
      </c>
      <c r="I2155" t="inlineStr">
        <is>
          <t>1</t>
        </is>
      </c>
      <c r="J2155" t="inlineStr"/>
      <c r="K2155" t="inlineStr"/>
      <c r="L2155" t="inlineStr"/>
      <c r="M2155" t="inlineStr"/>
      <c r="N2155" t="inlineStr"/>
      <c r="O2155">
        <f>(1-Summary!$B$11)*T2155+Summary!$B$11*V2155</f>
        <v/>
      </c>
      <c r="P2155">
        <f>IF(B2168=0,0,O2155/B2168)</f>
        <v/>
      </c>
      <c r="Q2155" t="n">
        <v>0</v>
      </c>
      <c r="R2155" t="n">
        <v>0</v>
      </c>
      <c r="S2155">
        <f>IFERROR(O2155/N2155,0)</f>
        <v/>
      </c>
      <c r="T2155" t="n">
        <v>0</v>
      </c>
      <c r="V2155" t="n">
        <v>0</v>
      </c>
    </row>
    <row r="2157">
      <c r="A2157" t="inlineStr">
        <is>
          <t>Attack% Bucket Multiplier</t>
        </is>
      </c>
      <c r="B2157">
        <f>(1+(((C2142=TRUE)*F2142*IF(Inputs!$B$3&gt;=110,7,5))+((C2144=TRUE)*F2144*IF(AND(Inputs!$B$38&lt;&gt;"pvp",Inputs!$B$43&gt;0),(((R2144-1)*(Skills!T15*(1+(Inputs!$B$34+(ArtifactsInput!$M$7-ArtifactsInput!$M$7)*CHOOSE(ArtifactsInput!$N$7+1,6,7.2,8.4,9.6,10.8,12))/100))+MIN((Skills!T15*(1+(Inputs!$B$34+(ArtifactsInput!$M$7-ArtifactsInput!$M$7)*CHOOSE(ArtifactsInput!$N$7+1,6,7.2,8.4,9.6,10.8,12))/100)),MAX(0,Inputs!$B$43-((R2144-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58">
      <c r="A2158" t="inlineStr">
        <is>
          <t>Global Crit Rate Bonus %</t>
        </is>
      </c>
      <c r="B2158" t="n">
        <v>0</v>
      </c>
    </row>
    <row r="2159">
      <c r="A2159" t="inlineStr">
        <is>
          <t>Attack Speed Buff Bonus %</t>
        </is>
      </c>
      <c r="B2159">
        <f>((C2148=TRUE)*F2148*IF(AND(Inputs!$B$38&lt;&gt;"pvp",Inputs!$B$43&gt;0),(((R2148-1)*(Skills!T19*(1+(Inputs!$B$34+(ArtifactsInput!$M$7-ArtifactsInput!$M$7)*CHOOSE(ArtifactsInput!$N$7+1,6,7.2,8.4,9.6,10.8,12))/100))+MIN((Skills!T19*(1+(Inputs!$B$34+(ArtifactsInput!$M$7-ArtifactsInput!$M$7)*CHOOSE(ArtifactsInput!$N$7+1,6,7.2,8.4,9.6,10.8,12))/100)),MAX(0,Inputs!$B$43-((R2148-1)*Skills!D19))))/Inputs!$B$43),IF(Inputs!$B$38="pvp",MIN((Skills!T19*(1+(Inputs!$B$34+(ArtifactsInput!$M$7-ArtifactsInput!$M$7)*CHOOSE(ArtifactsInput!$N$7+1,6,7.2,8.4,9.6,10.8,12))/100)),15)/15,(Skills!T19*(1+(Inputs!$B$34+(ArtifactsInput!$M$7-ArtifactsInput!$M$7)*CHOOSE(ArtifactsInput!$N$7+1,6,7.2,8.4,9.6,10.8,12))/100))/Skills!D19)))</f>
        <v/>
      </c>
    </row>
    <row r="2160">
      <c r="A2160" t="inlineStr">
        <is>
          <t>Actions Per Second</t>
        </is>
      </c>
      <c r="B2160">
        <f>1+MIN(150,150*(1-(1-(Inputs!$B$11+((C2149=TRUE)*(F2149-Calc!F20)))/150)*(1-B2159/150)))/100</f>
        <v/>
      </c>
    </row>
    <row r="2161">
      <c r="A2161" t="inlineStr">
        <is>
          <t>Skill + Buff Cast Rate</t>
        </is>
      </c>
      <c r="B2161">
        <f>IF(AND(Inputs!$B$38&lt;&gt;"pvp",Inputs!$B$43&gt;0),SUMPRODUCT((Skills!E2:E26=TRUE)*(C2131:C2155=TRUE)*R2131:R2155*Skills!F2:F26)/Inputs!$B$43,SUMPRODUCT((Skills!E2:E26=TRUE)*(C2131:C2155=TRUE)*Q2131:Q2155*Skills!F2:F26))</f>
        <v/>
      </c>
    </row>
    <row r="2162">
      <c r="A2162" t="inlineStr">
        <is>
          <t>Raging Blow Casts Per Second</t>
        </is>
      </c>
      <c r="B2162">
        <f>MAX(0,B2160-B2161)</f>
        <v/>
      </c>
    </row>
    <row r="2163">
      <c r="A2163" t="inlineStr">
        <is>
          <t>Global Critical Damage Bonus % (Enrage)</t>
        </is>
      </c>
      <c r="B2163">
        <f>((C2147=TRUE)*F2147*IF(AND(Inputs!$B$38&lt;&gt;"pvp",Inputs!$B$43&gt;0),(((R2147-1)*(Skills!T18*(1+(Inputs!$B$34+(ArtifactsInput!$M$7-ArtifactsInput!$M$7)*CHOOSE(ArtifactsInput!$N$7+1,6,7.2,8.4,9.6,10.8,12))/100))+MIN((Skills!T18*(1+(Inputs!$B$34+(ArtifactsInput!$M$7-ArtifactsInput!$M$7)*CHOOSE(ArtifactsInput!$N$7+1,6,7.2,8.4,9.6,10.8,12))/100)),MAX(0,Inputs!$B$43-((R2147-1)*Skills!D18))))/Inputs!$B$43),IF(Inputs!$B$38="pvp",MIN((Skills!T18*(1+(Inputs!$B$34+(ArtifactsInput!$M$7-ArtifactsInput!$M$7)*CHOOSE(ArtifactsInput!$N$7+1,6,7.2,8.4,9.6,10.8,12))/100)),15)/15,(Skills!T18*(1+(Inputs!$B$34+(ArtifactsInput!$M$7-ArtifactsInput!$M$7)*CHOOSE(ArtifactsInput!$N$7+1,6,7.2,8.4,9.6,10.8,12))/100))/Skills!D18)))</f>
        <v/>
      </c>
    </row>
    <row r="2164">
      <c r="A2164" t="inlineStr">
        <is>
          <t>Global Final Damage Bonus % (Enrage + Combo Synergy)</t>
        </is>
      </c>
      <c r="B2164">
        <f>((C2146=TRUE)*F2146*IF(AND(Inputs!$B$38&lt;&gt;"pvp",Inputs!$B$43&gt;0),(((R2146-1)*(Skills!T17*(1+(Inputs!$B$34+(ArtifactsInput!$M$7-ArtifactsInput!$M$7)*CHOOSE(ArtifactsInput!$N$7+1,6,7.2,8.4,9.6,10.8,12))/100))+MIN((Skills!T17*(1+(Inputs!$B$34+(ArtifactsInput!$M$7-ArtifactsInput!$M$7)*CHOOSE(ArtifactsInput!$N$7+1,6,7.2,8.4,9.6,10.8,12))/100)),MAX(0,Inputs!$B$43-((R2146-1)*Skills!D17))))/Inputs!$B$43),IF(Inputs!$B$38="pvp",MIN((Skills!T17*(1+(Inputs!$B$34+(ArtifactsInput!$M$7-ArtifactsInput!$M$7)*CHOOSE(ArtifactsInput!$N$7+1,6,7.2,8.4,9.6,10.8,12))/100)),15)/15,(Skills!T17*(1+(Inputs!$B$34+(ArtifactsInput!$M$7-ArtifactsInput!$M$7)*CHOOSE(ArtifactsInput!$N$7+1,6,7.2,8.4,9.6,10.8,12))/100))/Skills!D17)))+((C2143=TRUE)*F2143*IF(Inputs!$B$3&gt;=110,7,5))</f>
        <v/>
      </c>
    </row>
    <row r="2165">
      <c r="A2165" t="inlineStr">
        <is>
          <t>Buff-Casting Startup Delay (s, fixed-duration only)</t>
        </is>
      </c>
      <c r="B2165">
        <f>IF(AND(Inputs!$B$38&lt;&gt;"pvp",Inputs!$B$43&gt;0),SUMPRODUCT((Skills!T2:T26&gt;0)*(Skills!E2:E26=TRUE)*(C2131:C2155=TRUE))/B2160,0)</f>
        <v/>
      </c>
    </row>
    <row r="2166">
      <c r="A2166" t="inlineStr">
        <is>
          <t>Boss-Only Total DPS (this block's swept value)</t>
        </is>
      </c>
      <c r="B2166">
        <f>SUM(T2131:T2155)</f>
        <v/>
      </c>
    </row>
    <row r="2167">
      <c r="A2167" t="inlineStr">
        <is>
          <t>Normal-Only Total DPS (this block's swept value)</t>
        </is>
      </c>
      <c r="B2167">
        <f>SUM(V2131:V2155)</f>
        <v/>
      </c>
    </row>
    <row r="2168">
      <c r="A2168" s="6" t="inlineStr">
        <is>
          <t>TOTAL DPS</t>
        </is>
      </c>
      <c r="B2168" s="6">
        <f>SUM(O2131:O2155)</f>
        <v/>
      </c>
    </row>
    <row r="2171">
      <c r="A2171" s="6" t="inlineStr">
        <is>
          <t>Stat: Icy Soul Rock (Equip)</t>
        </is>
      </c>
    </row>
    <row r="2172">
      <c r="A2172" s="5" t="inlineStr">
        <is>
          <t>Key</t>
        </is>
      </c>
      <c r="B2172" s="5" t="inlineStr">
        <is>
          <t>Name</t>
        </is>
      </c>
      <c r="C2172" s="5" t="inlineStr">
        <is>
          <t>Unlocked</t>
        </is>
      </c>
      <c r="D2172" s="5" t="inlineStr">
        <is>
          <t>InputLevel</t>
        </is>
      </c>
      <c r="E2172" s="5" t="inlineStr">
        <is>
          <t>Factor</t>
        </is>
      </c>
      <c r="F2172" s="5" t="inlineStr">
        <is>
          <t>CoefficientPercent</t>
        </is>
      </c>
      <c r="G2172" s="5" t="inlineStr">
        <is>
          <t>EffectiveHits</t>
        </is>
      </c>
      <c r="H2172" s="5" t="inlineStr">
        <is>
          <t>ProcProbability</t>
        </is>
      </c>
      <c r="I2172" s="5" t="inlineStr">
        <is>
          <t>MapleHeroMultiplier</t>
        </is>
      </c>
      <c r="J2172" s="5" t="inlineStr">
        <is>
          <t>BaseDamage</t>
        </is>
      </c>
      <c r="K2172" s="5" t="inlineStr">
        <is>
          <t>BaseHitDamage</t>
        </is>
      </c>
      <c r="L2172" s="5" t="inlineStr">
        <is>
          <t>NonCritAvg</t>
        </is>
      </c>
      <c r="M2172" s="5" t="inlineStr">
        <is>
          <t>CritAvg</t>
        </is>
      </c>
      <c r="N2172" s="5" t="inlineStr">
        <is>
          <t>ExpectedDamage(perHit)</t>
        </is>
      </c>
      <c r="O2172" s="5" t="inlineStr">
        <is>
          <t>DPS</t>
        </is>
      </c>
      <c r="P2172" s="5" t="inlineStr">
        <is>
          <t>% of Total</t>
        </is>
      </c>
      <c r="Q2172" s="5" t="inlineStr">
        <is>
          <t>InvCooldown</t>
        </is>
      </c>
      <c r="R2172" s="5" t="inlineStr">
        <is>
          <t>CastsInFight</t>
        </is>
      </c>
      <c r="S2172" s="5" t="inlineStr">
        <is>
          <t>HitRate(perSec)</t>
        </is>
      </c>
      <c r="U2172" t="inlineStr">
        <is>
          <t>helpers</t>
        </is>
      </c>
    </row>
    <row r="2173">
      <c r="A2173">
        <f>Skills!A2</f>
        <v/>
      </c>
      <c r="B2173">
        <f>Skills!B2</f>
        <v/>
      </c>
      <c r="C2173">
        <f>Inputs!$B$3&gt;=100</f>
        <v/>
      </c>
      <c r="D2173" t="inlineStr"/>
      <c r="E2173" t="inlineStr"/>
      <c r="F2173">
        <f>U2175+Skills!O2</f>
        <v/>
      </c>
      <c r="G2173">
        <f>Skills!G2*IF(Skills!H2&gt;0,Skills!I2/Skills!H2,1)</f>
        <v/>
      </c>
      <c r="H2173">
        <f>1-(1-Skills!J2/100)^Skills!K2</f>
        <v/>
      </c>
      <c r="I2173" t="inlineStr">
        <is>
          <t>1</t>
        </is>
      </c>
      <c r="J2173">
        <f>((Inputs!$B$6*(1+Inputs!$B$7/100))+(((Inputs!$B$12*(1+Inputs!$B$13/100))-(Inputs!$B$12*(1+Inputs!$B$13/100)))+0.25*(Inputs!$B$14-Inputs!$B$14))*(1+Inputs!$B$7/100))*(F2173/100)</f>
        <v/>
      </c>
      <c r="K2173">
        <f>J2173*(1+((Inputs!$B$12*(1+Inputs!$B$13/100))*0.01+Inputs!$B$14*0.0025)/100)*(1+Inputs!$B$15/100)*(1+Inputs!$B$16/100)*(5000/(6000+Inputs!$B$42*(1-(100*(1-(1-(Inputs!$B$19+0)/100)*(1-CHOOSE(ArtifactsInput!$N$40+1,5,6,7,8,9,10)/100)^(ArtifactsInput!$M$40-ArtifactsInput!$M$40)))/100)))*(1+(Inputs!$B$24+((C2196=TRUE)*(F2196-Calc!F25))+B2206)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2192=TRUE)*(F2192-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2194=TRUE)*(F2194-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2184=TRUE)*F2184*IF(Inputs!$B$3&gt;=110,7,5))+((C2186=TRUE)*F2186*IF(AND(Inputs!$B$38&lt;&gt;"pvp",Inputs!$B$43&gt;0),(((R2186-1)*(Skills!T15*(1+(Inputs!$B$34+(ArtifactsInput!$M$7-ArtifactsInput!$M$7)*CHOOSE(ArtifactsInput!$N$7+1,6,7.2,8.4,9.6,10.8,12))/100))+MIN((Skills!T15*(1+(Inputs!$B$34+(ArtifactsInput!$M$7-ArtifactsInput!$M$7)*CHOOSE(ArtifactsInput!$N$7+1,6,7.2,8.4,9.6,10.8,12))/100)),MAX(0,Inputs!$B$43-((R2186-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Hunt"),CHOOSE(ArtifactsInput!$N$35+1,15,18,21,24,27,30)*(1-EXP(-(0.2*B2202)*5)),0)+IF(AND(ArtifactsInput!$M$22,Inputs!$B$4&lt;&gt;"Chapter Hunt"),CHOOSE(ArtifactsInput!$N$22+1,10,12,14,16,18,20)*((0*(((0.15*B2202*5))^0/1)+1*(((0.15*B2202*5))^1/1)+2*(((0.15*B2202*5))^2/2)+3*(((0.15*B2202*5))^3/6)+4*(((0.15*B2202*5))^4/24)+5*(((0.15*B2202*5))^5/120))/((((0.15*B2202*5))^0/1)+(((0.15*B2202*5))^1/1)+(((0.15*B2202*5))^2/2)+(((0.15*B2202*5))^3/6)+(((0.15*B2202*5))^4/24)+(((0.15*B2202*5))^5/120))),0)))/100)*I2173)</f>
        <v/>
      </c>
      <c r="L2173">
        <f>K2173*(MIN(Inputs!$B$22+((C2193=TRUE)*(F2193-Calc!F22)),(Inputs!$B$23+((C2195=TRUE)*(F2195-Calc!F24))+(IF(ArtifactsInput!$M$15,CHOOSE(ArtifactsInput!$N$15+1,25,30,35,40,45,50)/100*(Inputs!$B$11-Inputs!$B$11),0))))/100+(Inputs!$B$23+((C2195=TRUE)*(F2195-Calc!F24))+(IF(ArtifactsInput!$M$15,CHOOSE(ArtifactsInput!$N$15+1,25,30,35,40,45,50)/100*(Inputs!$B$11-Inputs!$B$11),0)))/100)/2</f>
        <v/>
      </c>
      <c r="M2173">
        <f>L2173*(1+(Inputs!$B$10+0+B2205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173">
        <f>L2173*(1-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2173*(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3">
        <f>(1-Summary!$B$11)*T2173+Summary!$B$11*V2173</f>
        <v/>
      </c>
      <c r="P2173">
        <f>IF(B2210=0,0,O2173/B2210)</f>
        <v/>
      </c>
      <c r="Q2173" t="n">
        <v>0</v>
      </c>
      <c r="R2173" t="n">
        <v>0</v>
      </c>
      <c r="S2173">
        <f>IFERROR(O2173/N2173,0)</f>
        <v/>
      </c>
      <c r="T2173">
        <f>IF(C2173,(Skills!G2*N2173*B2204)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2173*(1-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2173*(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2173*(1-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2173*(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73">
        <f>MAX(0,(Inputs!$B$3-100)*3)+Inputs!$B$28+Inputs!$B$29</f>
        <v/>
      </c>
      <c r="V2173">
        <f>IF(C2173,(Skills!G2*N2173*B2204)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4">
      <c r="A2174">
        <f>Skills!A3</f>
        <v/>
      </c>
      <c r="B2174">
        <f>Skills!B3</f>
        <v/>
      </c>
      <c r="C2174">
        <f>Inputs!$B$3&gt;=50</f>
        <v/>
      </c>
      <c r="D2174">
        <f>IF(Skills!C3=1,60+Inputs!$B$25+Inputs!$B$29,IF(Skills!C3=2,90+Inputs!$B$26+Inputs!$B$29,IF(Skills!C3=3,120+Inputs!$B$27+Inputs!$B$29,MAX(0,(Inputs!$B$3-100)*3)+Inputs!$B$28+Inputs!$B$29)))</f>
        <v/>
      </c>
      <c r="E2174">
        <f>INDEX(FactorTable!$B$2:$Y$301, MATCH(ROUND(MIN(300,MAX(1,D2174)),0), FactorTable!$A$2:$A$301,0), Skills!M3+1)</f>
        <v/>
      </c>
      <c r="F2174">
        <f>IF(Skills!N3=TRUE,(Skills!L3/10)*(E2174/1000),Skills!L3/10)+Skills!O3</f>
        <v/>
      </c>
      <c r="G2174" t="inlineStr"/>
      <c r="H2174" t="inlineStr"/>
      <c r="I2174" t="inlineStr">
        <is>
          <t>1</t>
        </is>
      </c>
      <c r="J2174" t="inlineStr"/>
      <c r="K2174" t="inlineStr"/>
      <c r="L2174" t="inlineStr"/>
      <c r="M2174" t="inlineStr"/>
      <c r="N2174" t="inlineStr"/>
      <c r="O2174" t="inlineStr"/>
      <c r="P2174" t="inlineStr"/>
      <c r="Q2174" t="inlineStr"/>
      <c r="R2174" t="inlineStr"/>
      <c r="S2174" t="inlineStr"/>
      <c r="U2174">
        <f>INDEX(FactorTable!$B$2:$Y$301, MATCH(ROUND(MIN(300,MAX(1,U2173)),0), FactorTable!$A$2:$A$301,0), 22)</f>
        <v/>
      </c>
    </row>
    <row r="2175">
      <c r="A2175">
        <f>Skills!A4</f>
        <v/>
      </c>
      <c r="B2175">
        <f>Skills!B4</f>
        <v/>
      </c>
      <c r="C2175">
        <f>Inputs!$B$3&gt;=105</f>
        <v/>
      </c>
      <c r="D2175">
        <f>IF(Skills!C4=1,60+Inputs!$B$25+Inputs!$B$29,IF(Skills!C4=2,90+Inputs!$B$26+Inputs!$B$29,IF(Skills!C4=3,120+Inputs!$B$27+Inputs!$B$29,MAX(0,(Inputs!$B$3-100)*3)+Inputs!$B$28+Inputs!$B$29)))</f>
        <v/>
      </c>
      <c r="E2175">
        <f>INDEX(FactorTable!$B$2:$Y$301, MATCH(ROUND(MIN(300,MAX(1,D2175)),0), FactorTable!$A$2:$A$301,0), Skills!M4+1)</f>
        <v/>
      </c>
      <c r="F2175">
        <f>IF(Skills!N4=TRUE,(Skills!L4/10)*(E2175/1000),Skills!L4/10)+Skills!O4</f>
        <v/>
      </c>
      <c r="G2175" t="inlineStr"/>
      <c r="H2175" t="inlineStr"/>
      <c r="I2175" t="inlineStr">
        <is>
          <t>1</t>
        </is>
      </c>
      <c r="J2175" t="inlineStr"/>
      <c r="K2175" t="inlineStr"/>
      <c r="L2175" t="inlineStr"/>
      <c r="M2175" t="inlineStr"/>
      <c r="N2175" t="inlineStr"/>
      <c r="O2175" t="inlineStr"/>
      <c r="P2175" t="inlineStr"/>
      <c r="Q2175" t="inlineStr"/>
      <c r="R2175" t="inlineStr"/>
      <c r="S2175" t="inlineStr"/>
      <c r="U2175">
        <f>290*U2174/1000</f>
        <v/>
      </c>
    </row>
    <row r="2176">
      <c r="A2176">
        <f>Skills!A5</f>
        <v/>
      </c>
      <c r="B2176">
        <f>Skills!B5</f>
        <v/>
      </c>
      <c r="C2176">
        <f>Inputs!$B$3&gt;=103</f>
        <v/>
      </c>
      <c r="D2176">
        <f>IF(Skills!C5=1,60+Inputs!$B$25+Inputs!$B$29,IF(Skills!C5=2,90+Inputs!$B$26+Inputs!$B$29,IF(Skills!C5=3,120+Inputs!$B$27+Inputs!$B$29,MAX(0,(Inputs!$B$3-100)*3)+Inputs!$B$28+Inputs!$B$29)))</f>
        <v/>
      </c>
      <c r="E2176">
        <f>INDEX(FactorTable!$B$2:$Y$301, MATCH(ROUND(MIN(300,MAX(1,D2176)),0), FactorTable!$A$2:$A$301,0), Skills!M5+1)</f>
        <v/>
      </c>
      <c r="F2176">
        <f>IF(Skills!N5=TRUE,(Skills!L5/10)*(E2176/1000),Skills!L5/10)+Skills!O5</f>
        <v/>
      </c>
      <c r="G2176">
        <f>Skills!G5*IF(Skills!H5&gt;0,Skills!I5/Skills!H5,1)</f>
        <v/>
      </c>
      <c r="H2176">
        <f>1-(1-Skills!J5/100)^Skills!K5</f>
        <v/>
      </c>
      <c r="I2176" t="inlineStr">
        <is>
          <t>1</t>
        </is>
      </c>
      <c r="J2176">
        <f>((Inputs!$B$6*(1+Inputs!$B$7/100))+(((Inputs!$B$12*(1+Inputs!$B$13/100))-(Inputs!$B$12*(1+Inputs!$B$13/100)))+0.25*(Inputs!$B$14-Inputs!$B$14))*(1+Inputs!$B$7/100))*(F2176/100)</f>
        <v/>
      </c>
      <c r="K2176">
        <f>J2176*(1+((Inputs!$B$12*(1+Inputs!$B$13/100))*0.01+Inputs!$B$14*0.0025)/100)*(1+Inputs!$B$15/100)*(1+Inputs!$B$16/100)*(5000/(6000+Inputs!$B$42*(1-(100*(1-(1-(Inputs!$B$19+0)/100)*(1-CHOOSE(ArtifactsInput!$N$40+1,5,6,7,8,9,10)/100)^(ArtifactsInput!$M$40-ArtifactsInput!$M$40)))/100)))*(1+(Inputs!$B$24+((C2196=TRUE)*(F2196-Calc!F25))+B2206)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2192=TRUE)*(F2192-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2194=TRUE)*(F2194-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2184=TRUE)*F2184*IF(Inputs!$B$3&gt;=110,7,5))+((C2186=TRUE)*F2186*IF(AND(Inputs!$B$38&lt;&gt;"pvp",Inputs!$B$43&gt;0),(((R2186-1)*(Skills!T15*(1+(Inputs!$B$34+(ArtifactsInput!$M$7-ArtifactsInput!$M$7)*CHOOSE(ArtifactsInput!$N$7+1,6,7.2,8.4,9.6,10.8,12))/100))+MIN((Skills!T15*(1+(Inputs!$B$34+(ArtifactsInput!$M$7-ArtifactsInput!$M$7)*CHOOSE(ArtifactsInput!$N$7+1,6,7.2,8.4,9.6,10.8,12))/100)),MAX(0,Inputs!$B$43-((R2186-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Hunt"),CHOOSE(ArtifactsInput!$N$35+1,15,18,21,24,27,30)*(1-EXP(-(0.2*B2202)*5)),0)+IF(AND(ArtifactsInput!$M$22,Inputs!$B$4&lt;&gt;"Chapter Hunt"),CHOOSE(ArtifactsInput!$N$22+1,10,12,14,16,18,20)*((0*(((0.15*B2202*5))^0/1)+1*(((0.15*B2202*5))^1/1)+2*(((0.15*B2202*5))^2/2)+3*(((0.15*B2202*5))^3/6)+4*(((0.15*B2202*5))^4/24)+5*(((0.15*B2202*5))^5/120))/((((0.15*B2202*5))^0/1)+(((0.15*B2202*5))^1/1)+(((0.15*B2202*5))^2/2)+(((0.15*B2202*5))^3/6)+(((0.15*B2202*5))^4/24)+(((0.15*B2202*5))^5/120))),0)))/100)*I2176)</f>
        <v/>
      </c>
      <c r="L2176">
        <f>K2176*(MIN(Inputs!$B$22+((C2193=TRUE)*(F2193-Calc!F22)),(Inputs!$B$23+((C2195=TRUE)*(F2195-Calc!F24))+(IF(ArtifactsInput!$M$15,CHOOSE(ArtifactsInput!$N$15+1,25,30,35,40,45,50)/100*(Inputs!$B$11-Inputs!$B$11),0))))/100+(Inputs!$B$23+((C2195=TRUE)*(F2195-Calc!F24))+(IF(ArtifactsInput!$M$15,CHOOSE(ArtifactsInput!$N$15+1,25,30,35,40,45,50)/100*(Inputs!$B$11-Inputs!$B$11),0)))/100)/2</f>
        <v/>
      </c>
      <c r="M2176">
        <f>L2176*(1+(Inputs!$B$10+0+B2205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176">
        <f>L2176*(1-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2176*(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6">
        <f>(1-Summary!$B$11)*T2176+Summary!$B$11*V2176</f>
        <v/>
      </c>
      <c r="P2176">
        <f>IF(B2210=0,0,O2176/B2210)</f>
        <v/>
      </c>
      <c r="Q2176">
        <f>IFERROR(1/(IF(Inputs!$B$38="pvp",15,MAX(0.1,Skills!D5-IF(Skills!E5=TRUE,Inputs!$B$32,0)))*(1-IF(AND(ArtifactsInput!$M$27,Inputs!$B$4="Chapter Hunt"),CHOOSE(ArtifactsInput!$N$27+1,20,24,28,32,36,40),0)/100)),0)</f>
        <v/>
      </c>
      <c r="R2176">
        <f>IF(AND(Inputs!$B$38&lt;&gt;"pvp",Inputs!$B$43&gt;0),IF(MAX(0,Inputs!$B$43-B2207)&lt;=0,0,(INT(MAX(0,Inputs!$B$43-B2207)/(IF(Inputs!$B$38="pvp",15,MAX(0.1,Skills!D5-IF(Skills!E5=TRUE,Inputs!$B$32,0)))*(1-IF(AND(ArtifactsInput!$M$27,Inputs!$B$4="Chapter Hunt"),CHOOSE(ArtifactsInput!$N$27+1,20,24,28,32,36,40),0)/100)))+1)),0)</f>
        <v/>
      </c>
      <c r="S2176">
        <f>IFERROR(O2176/N2176,0)</f>
        <v/>
      </c>
      <c r="T2176">
        <f>IF(C2176,(H2176*N2176*IF(AND(Inputs!$B$38&lt;&gt;"pvp",Inputs!$B$43&gt;0),((Skills!G5*((R2176-1)*IF(Skills!H5&gt;0,Skills!I5/Skills!H5,1)+IF(Skills!H5&gt;0,MIN(Skills!I5,MAX(0,MAX(0,Inputs!$B$43-B2207)-((R2176-1)*(IF(Inputs!$B$38="pvp",15,MAX(0.1,Skills!D5-IF(Skills!E5=TRUE,Inputs!$B$32,0)))*(1-IF(AND(ArtifactsInput!$M$27,Inputs!$B$4="Chapter Hunt"),CHOOSE(ArtifactsInput!$N$27+1,20,24,28,32,36,40),0)/100)))))/Skills!H5,1)))/Inputs!$B$43),G2176*Q2176)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2176*(1-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2176*(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2176*(1-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2176*(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76">
        <f>IF(C2176,(H2176*N2176*IF(AND(Inputs!$B$38&lt;&gt;"pvp",Inputs!$B$43&gt;0),((Skills!G5*((R2176-1)*IF(Skills!H5&gt;0,Skills!I5/Skills!H5,1)+IF(Skills!H5&gt;0,MIN(Skills!I5,MAX(0,MAX(0,Inputs!$B$43-B2207)-((R2176-1)*(IF(Inputs!$B$38="pvp",15,MAX(0.1,Skills!D5-IF(Skills!E5=TRUE,Inputs!$B$32,0)))*(1-IF(AND(ArtifactsInput!$M$27,Inputs!$B$4="Chapter Hunt"),CHOOSE(ArtifactsInput!$N$27+1,20,24,28,32,36,40),0)/100)))))/Skills!H5,1)))/Inputs!$B$43),G2176*Q2176)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7">
      <c r="A2177">
        <f>Skills!A6</f>
        <v/>
      </c>
      <c r="B2177">
        <f>Skills!B6</f>
        <v/>
      </c>
      <c r="C2177">
        <f>Inputs!$B$3&gt;=103</f>
        <v/>
      </c>
      <c r="D2177">
        <f>IF(Skills!C6=1,60+Inputs!$B$25+Inputs!$B$29,IF(Skills!C6=2,90+Inputs!$B$26+Inputs!$B$29,IF(Skills!C6=3,120+Inputs!$B$27+Inputs!$B$29,MAX(0,(Inputs!$B$3-100)*3)+Inputs!$B$28+Inputs!$B$29)))</f>
        <v/>
      </c>
      <c r="E2177">
        <f>INDEX(FactorTable!$B$2:$Y$301, MATCH(ROUND(MIN(300,MAX(1,D2177)),0), FactorTable!$A$2:$A$301,0), Skills!M6+1)</f>
        <v/>
      </c>
      <c r="F2177">
        <f>IF(Skills!N6=TRUE,(Skills!L6/10)*(E2177/1000),Skills!L6/10)+Skills!O6</f>
        <v/>
      </c>
      <c r="G2177">
        <f>Skills!G6*IF(Skills!H6&gt;0,Skills!I6/Skills!H6,1)</f>
        <v/>
      </c>
      <c r="H2177">
        <f>1-(1-Skills!J6/100)^Skills!K6</f>
        <v/>
      </c>
      <c r="I2177" t="inlineStr">
        <is>
          <t>1</t>
        </is>
      </c>
      <c r="J2177">
        <f>((Inputs!$B$6*(1+Inputs!$B$7/100))+(((Inputs!$B$12*(1+Inputs!$B$13/100))-(Inputs!$B$12*(1+Inputs!$B$13/100)))+0.25*(Inputs!$B$14-Inputs!$B$14))*(1+Inputs!$B$7/100))*(F2177/100)</f>
        <v/>
      </c>
      <c r="K2177">
        <f>J2177*(1+((Inputs!$B$12*(1+Inputs!$B$13/100))*0.01+Inputs!$B$14*0.0025)/100)*(1+Inputs!$B$15/100)*(1+Inputs!$B$16/100)*(5000/(6000+Inputs!$B$42*(1-(100*(1-(1-(Inputs!$B$19+0)/100)*(1-CHOOSE(ArtifactsInput!$N$40+1,5,6,7,8,9,10)/100)^(ArtifactsInput!$M$40-ArtifactsInput!$M$40)))/100)))*(1+(Inputs!$B$24+((C2196=TRUE)*(F2196-Calc!F25))+B2206)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2192=TRUE)*(F2192-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2194=TRUE)*(F2194-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2184=TRUE)*F2184*IF(Inputs!$B$3&gt;=110,7,5))+((C2186=TRUE)*F2186*IF(AND(Inputs!$B$38&lt;&gt;"pvp",Inputs!$B$43&gt;0),(((R2186-1)*(Skills!T15*(1+(Inputs!$B$34+(ArtifactsInput!$M$7-ArtifactsInput!$M$7)*CHOOSE(ArtifactsInput!$N$7+1,6,7.2,8.4,9.6,10.8,12))/100))+MIN((Skills!T15*(1+(Inputs!$B$34+(ArtifactsInput!$M$7-ArtifactsInput!$M$7)*CHOOSE(ArtifactsInput!$N$7+1,6,7.2,8.4,9.6,10.8,12))/100)),MAX(0,Inputs!$B$43-((R2186-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Hunt"),CHOOSE(ArtifactsInput!$N$35+1,15,18,21,24,27,30)*(1-EXP(-(0.2*B2202)*5)),0)+IF(AND(ArtifactsInput!$M$22,Inputs!$B$4&lt;&gt;"Chapter Hunt"),CHOOSE(ArtifactsInput!$N$22+1,10,12,14,16,18,20)*((0*(((0.15*B2202*5))^0/1)+1*(((0.15*B2202*5))^1/1)+2*(((0.15*B2202*5))^2/2)+3*(((0.15*B2202*5))^3/6)+4*(((0.15*B2202*5))^4/24)+5*(((0.15*B2202*5))^5/120))/((((0.15*B2202*5))^0/1)+(((0.15*B2202*5))^1/1)+(((0.15*B2202*5))^2/2)+(((0.15*B2202*5))^3/6)+(((0.15*B2202*5))^4/24)+(((0.15*B2202*5))^5/120))),0)))/100)*I2177)</f>
        <v/>
      </c>
      <c r="L2177">
        <f>K2177*(MIN(Inputs!$B$22+((C2193=TRUE)*(F2193-Calc!F22)),(Inputs!$B$23+((C2195=TRUE)*(F2195-Calc!F24))+(IF(ArtifactsInput!$M$15,CHOOSE(ArtifactsInput!$N$15+1,25,30,35,40,45,50)/100*(Inputs!$B$11-Inputs!$B$11),0))))/100+(Inputs!$B$23+((C2195=TRUE)*(F2195-Calc!F24))+(IF(ArtifactsInput!$M$15,CHOOSE(ArtifactsInput!$N$15+1,25,30,35,40,45,50)/100*(Inputs!$B$11-Inputs!$B$11),0)))/100)/2</f>
        <v/>
      </c>
      <c r="M2177">
        <f>L2177*(1+(Inputs!$B$10+0+B2205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177">
        <f>L2177*(1-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2177*(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7">
        <f>(1-Summary!$B$11)*T2177+Summary!$B$11*V2177</f>
        <v/>
      </c>
      <c r="P2177">
        <f>IF(B2210=0,0,O2177/B2210)</f>
        <v/>
      </c>
      <c r="Q2177">
        <f>IFERROR(1/(IF(Inputs!$B$38="pvp",15,MAX(0.1,Skills!D6-IF(Skills!E6=TRUE,Inputs!$B$32,0)))*(1-IF(AND(ArtifactsInput!$M$27,Inputs!$B$4="Chapter Hunt"),CHOOSE(ArtifactsInput!$N$27+1,20,24,28,32,36,40),0)/100)),0)</f>
        <v/>
      </c>
      <c r="R2177">
        <f>IF(AND(Inputs!$B$38&lt;&gt;"pvp",Inputs!$B$43&gt;0),IF(MAX(0,Inputs!$B$43-B2207)&lt;=0,0,(INT(MAX(0,Inputs!$B$43-B2207)/(IF(Inputs!$B$38="pvp",15,MAX(0.1,Skills!D6-IF(Skills!E6=TRUE,Inputs!$B$32,0)))*(1-IF(AND(ArtifactsInput!$M$27,Inputs!$B$4="Chapter Hunt"),CHOOSE(ArtifactsInput!$N$27+1,20,24,28,32,36,40),0)/100)))+1)),0)</f>
        <v/>
      </c>
      <c r="S2177">
        <f>IFERROR(O2177/N2177,0)</f>
        <v/>
      </c>
      <c r="T2177">
        <f>IF(C2177,(H2177*N2177*IF(AND(Inputs!$B$38&lt;&gt;"pvp",Inputs!$B$43&gt;0),((Skills!G6*((R2177-1)*IF(Skills!H6&gt;0,Skills!I6/Skills!H6,1)+IF(Skills!H6&gt;0,MIN(Skills!I6,MAX(0,MAX(0,Inputs!$B$43-B2207)-((R2177-1)*(IF(Inputs!$B$38="pvp",15,MAX(0.1,Skills!D6-IF(Skills!E6=TRUE,Inputs!$B$32,0)))*(1-IF(AND(ArtifactsInput!$M$27,Inputs!$B$4="Chapter Hunt"),CHOOSE(ArtifactsInput!$N$27+1,20,24,28,32,36,40),0)/100)))))/Skills!H6,1)))/Inputs!$B$43),G2177*Q2177)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2177*(1-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2177*(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2177*(1-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2177*(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77">
        <f>IF(C2177,(H2177*N2177*IF(AND(Inputs!$B$38&lt;&gt;"pvp",Inputs!$B$43&gt;0),((Skills!G6*((R2177-1)*IF(Skills!H6&gt;0,Skills!I6/Skills!H6,1)+IF(Skills!H6&gt;0,MIN(Skills!I6,MAX(0,MAX(0,Inputs!$B$43-B2207)-((R2177-1)*(IF(Inputs!$B$38="pvp",15,MAX(0.1,Skills!D6-IF(Skills!E6=TRUE,Inputs!$B$32,0)))*(1-IF(AND(ArtifactsInput!$M$27,Inputs!$B$4="Chapter Hunt"),CHOOSE(ArtifactsInput!$N$27+1,20,24,28,32,36,40),0)/100)))))/Skills!H6,1)))/Inputs!$B$43),G2177*Q2177)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8">
      <c r="A2178">
        <f>Skills!A7</f>
        <v/>
      </c>
      <c r="B2178">
        <f>Skills!B7</f>
        <v/>
      </c>
      <c r="C2178">
        <f>Inputs!$B$3&gt;=107</f>
        <v/>
      </c>
      <c r="D2178">
        <f>IF(Skills!C7=1,60+Inputs!$B$25+Inputs!$B$29,IF(Skills!C7=2,90+Inputs!$B$26+Inputs!$B$29,IF(Skills!C7=3,120+Inputs!$B$27+Inputs!$B$29,MAX(0,(Inputs!$B$3-100)*3)+Inputs!$B$28+Inputs!$B$29)))</f>
        <v/>
      </c>
      <c r="E2178">
        <f>INDEX(FactorTable!$B$2:$Y$301, MATCH(ROUND(MIN(300,MAX(1,D2178)),0), FactorTable!$A$2:$A$301,0), Skills!M7+1)</f>
        <v/>
      </c>
      <c r="F2178">
        <f>IF(Skills!N7=TRUE,(Skills!L7/10)*(E2178/1000),Skills!L7/10)+Skills!O7</f>
        <v/>
      </c>
      <c r="G2178">
        <f>Skills!G7*IF(Skills!H7&gt;0,Skills!I7/Skills!H7,1)</f>
        <v/>
      </c>
      <c r="H2178">
        <f>1-(1-Skills!J7/100)^Skills!K7</f>
        <v/>
      </c>
      <c r="I2178" t="inlineStr">
        <is>
          <t>1</t>
        </is>
      </c>
      <c r="J2178">
        <f>((Inputs!$B$6*(1+Inputs!$B$7/100))+(((Inputs!$B$12*(1+Inputs!$B$13/100))-(Inputs!$B$12*(1+Inputs!$B$13/100)))+0.25*(Inputs!$B$14-Inputs!$B$14))*(1+Inputs!$B$7/100))*(F2178/100)</f>
        <v/>
      </c>
      <c r="K2178">
        <f>J2178*(1+((Inputs!$B$12*(1+Inputs!$B$13/100))*0.01+Inputs!$B$14*0.0025)/100)*(1+Inputs!$B$15/100)*(1+Inputs!$B$16/100)*(5000/(6000+Inputs!$B$42*(1-(100*(1-(1-(Inputs!$B$19+0)/100)*(1-CHOOSE(ArtifactsInput!$N$40+1,5,6,7,8,9,10)/100)^(ArtifactsInput!$M$40-ArtifactsInput!$M$40)))/100)))*(1+(Inputs!$B$24+((C2196=TRUE)*(F2196-Calc!F25))+B2206)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2192=TRUE)*(F2192-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2194=TRUE)*(F2194-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2184=TRUE)*F2184*IF(Inputs!$B$3&gt;=110,7,5))+((C2186=TRUE)*F2186*IF(AND(Inputs!$B$38&lt;&gt;"pvp",Inputs!$B$43&gt;0),(((R2186-1)*(Skills!T15*(1+(Inputs!$B$34+(ArtifactsInput!$M$7-ArtifactsInput!$M$7)*CHOOSE(ArtifactsInput!$N$7+1,6,7.2,8.4,9.6,10.8,12))/100))+MIN((Skills!T15*(1+(Inputs!$B$34+(ArtifactsInput!$M$7-ArtifactsInput!$M$7)*CHOOSE(ArtifactsInput!$N$7+1,6,7.2,8.4,9.6,10.8,12))/100)),MAX(0,Inputs!$B$43-((R2186-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Hunt"),CHOOSE(ArtifactsInput!$N$35+1,15,18,21,24,27,30)*(1-EXP(-(0.2*B2202)*5)),0)+IF(AND(ArtifactsInput!$M$22,Inputs!$B$4&lt;&gt;"Chapter Hunt"),CHOOSE(ArtifactsInput!$N$22+1,10,12,14,16,18,20)*((0*(((0.15*B2202*5))^0/1)+1*(((0.15*B2202*5))^1/1)+2*(((0.15*B2202*5))^2/2)+3*(((0.15*B2202*5))^3/6)+4*(((0.15*B2202*5))^4/24)+5*(((0.15*B2202*5))^5/120))/((((0.15*B2202*5))^0/1)+(((0.15*B2202*5))^1/1)+(((0.15*B2202*5))^2/2)+(((0.15*B2202*5))^3/6)+(((0.15*B2202*5))^4/24)+(((0.15*B2202*5))^5/120))),0)))/100)*I2178)</f>
        <v/>
      </c>
      <c r="L2178">
        <f>K2178*(MIN(Inputs!$B$22+((C2193=TRUE)*(F2193-Calc!F22)),(Inputs!$B$23+((C2195=TRUE)*(F2195-Calc!F24))+(IF(ArtifactsInput!$M$15,CHOOSE(ArtifactsInput!$N$15+1,25,30,35,40,45,50)/100*(Inputs!$B$11-Inputs!$B$11),0))))/100+(Inputs!$B$23+((C2195=TRUE)*(F2195-Calc!F24))+(IF(ArtifactsInput!$M$15,CHOOSE(ArtifactsInput!$N$15+1,25,30,35,40,45,50)/100*(Inputs!$B$11-Inputs!$B$11),0)))/100)/2</f>
        <v/>
      </c>
      <c r="M2178">
        <f>L2178*(1+(Inputs!$B$10+0+B2205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178">
        <f>L2178*(1-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2178*(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8">
        <f>(1-Summary!$B$11)*T2178+Summary!$B$11*V2178</f>
        <v/>
      </c>
      <c r="P2178">
        <f>IF(B2210=0,0,O2178/B2210)</f>
        <v/>
      </c>
      <c r="Q2178">
        <f>IFERROR(1/(IF(Inputs!$B$38="pvp",15,MAX(0.1,Skills!D7-IF(Skills!E7=TRUE,Inputs!$B$32,0)))*(1-IF(AND(ArtifactsInput!$M$27,Inputs!$B$4="Chapter Hunt"),CHOOSE(ArtifactsInput!$N$27+1,20,24,28,32,36,40),0)/100)),0)</f>
        <v/>
      </c>
      <c r="R2178">
        <f>IF(AND(Inputs!$B$38&lt;&gt;"pvp",Inputs!$B$43&gt;0),IF(MAX(0,Inputs!$B$43-B2207)&lt;=0,0,(INT(MAX(0,Inputs!$B$43-B2207)/(IF(Inputs!$B$38="pvp",15,MAX(0.1,Skills!D7-IF(Skills!E7=TRUE,Inputs!$B$32,0)))*(1-IF(AND(ArtifactsInput!$M$27,Inputs!$B$4="Chapter Hunt"),CHOOSE(ArtifactsInput!$N$27+1,20,24,28,32,36,40),0)/100)))+1)),0)</f>
        <v/>
      </c>
      <c r="S2178">
        <f>IFERROR(O2178/N2178,0)</f>
        <v/>
      </c>
      <c r="T2178">
        <f>IF(C2178,(H2178*N2178*IF(AND(Inputs!$B$38&lt;&gt;"pvp",Inputs!$B$43&gt;0),((Skills!G7*((R2178-1)*IF(Skills!H7&gt;0,Skills!I7/Skills!H7,1)+IF(Skills!H7&gt;0,MIN(Skills!I7,MAX(0,MAX(0,Inputs!$B$43-B2207)-((R2178-1)*(IF(Inputs!$B$38="pvp",15,MAX(0.1,Skills!D7-IF(Skills!E7=TRUE,Inputs!$B$32,0)))*(1-IF(AND(ArtifactsInput!$M$27,Inputs!$B$4="Chapter Hunt"),CHOOSE(ArtifactsInput!$N$27+1,20,24,28,32,36,40),0)/100)))))/Skills!H7,1)))/Inputs!$B$43),G2178*Q2178)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2178*(1-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2178*(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2178*(1-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2178*(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78">
        <f>IF(C2178,(H2178*N2178*IF(AND(Inputs!$B$38&lt;&gt;"pvp",Inputs!$B$43&gt;0),((Skills!G7*((R2178-1)*IF(Skills!H7&gt;0,Skills!I7/Skills!H7,1)+IF(Skills!H7&gt;0,MIN(Skills!I7,MAX(0,MAX(0,Inputs!$B$43-B2207)-((R2178-1)*(IF(Inputs!$B$38="pvp",15,MAX(0.1,Skills!D7-IF(Skills!E7=TRUE,Inputs!$B$32,0)))*(1-IF(AND(ArtifactsInput!$M$27,Inputs!$B$4="Chapter Hunt"),CHOOSE(ArtifactsInput!$N$27+1,20,24,28,32,36,40),0)/100)))))/Skills!H7,1)))/Inputs!$B$43),G2178*Q2178)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9">
      <c r="A2179">
        <f>Skills!A8</f>
        <v/>
      </c>
      <c r="B2179">
        <f>Skills!B8</f>
        <v/>
      </c>
      <c r="C2179">
        <f>Inputs!$B$3&gt;=117</f>
        <v/>
      </c>
      <c r="D2179">
        <f>IF(Skills!C8=1,60+Inputs!$B$25+Inputs!$B$29,IF(Skills!C8=2,90+Inputs!$B$26+Inputs!$B$29,IF(Skills!C8=3,120+Inputs!$B$27+Inputs!$B$29,MAX(0,(Inputs!$B$3-100)*3)+Inputs!$B$28+Inputs!$B$29)))</f>
        <v/>
      </c>
      <c r="E2179">
        <f>INDEX(FactorTable!$B$2:$Y$301, MATCH(ROUND(MIN(300,MAX(1,D2179)),0), FactorTable!$A$2:$A$301,0), Skills!M8+1)</f>
        <v/>
      </c>
      <c r="F2179">
        <f>IF(Skills!N8=TRUE,(Skills!L8/10)*(E2179/1000),Skills!L8/10)+Skills!O8</f>
        <v/>
      </c>
      <c r="G2179">
        <f>Skills!G8*IF(Skills!H8&gt;0,Skills!I8/Skills!H8,1)</f>
        <v/>
      </c>
      <c r="H2179">
        <f>1-(1-Skills!J8/100)^Skills!K8</f>
        <v/>
      </c>
      <c r="I2179" t="inlineStr">
        <is>
          <t>1</t>
        </is>
      </c>
      <c r="J2179">
        <f>((Inputs!$B$6*(1+Inputs!$B$7/100))+(((Inputs!$B$12*(1+Inputs!$B$13/100))-(Inputs!$B$12*(1+Inputs!$B$13/100)))+0.25*(Inputs!$B$14-Inputs!$B$14))*(1+Inputs!$B$7/100))*(F2179/100)</f>
        <v/>
      </c>
      <c r="K2179">
        <f>J2179*(1+((Inputs!$B$12*(1+Inputs!$B$13/100))*0.01+Inputs!$B$14*0.0025)/100)*(1+Inputs!$B$15/100)*(1+Inputs!$B$16/100)*(5000/(6000+Inputs!$B$42*(1-(100*(1-(1-(Inputs!$B$19+0)/100)*(1-CHOOSE(ArtifactsInput!$N$40+1,5,6,7,8,9,10)/100)^(ArtifactsInput!$M$40-ArtifactsInput!$M$40)))/100)))*(1+(Inputs!$B$24+((C2196=TRUE)*(F2196-Calc!F25))+B2206)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2192=TRUE)*(F2192-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2194=TRUE)*(F2194-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2184=TRUE)*F2184*IF(Inputs!$B$3&gt;=110,7,5))+((C2186=TRUE)*F2186*IF(AND(Inputs!$B$38&lt;&gt;"pvp",Inputs!$B$43&gt;0),(((R2186-1)*(Skills!T15*(1+(Inputs!$B$34+(ArtifactsInput!$M$7-ArtifactsInput!$M$7)*CHOOSE(ArtifactsInput!$N$7+1,6,7.2,8.4,9.6,10.8,12))/100))+MIN((Skills!T15*(1+(Inputs!$B$34+(ArtifactsInput!$M$7-ArtifactsInput!$M$7)*CHOOSE(ArtifactsInput!$N$7+1,6,7.2,8.4,9.6,10.8,12))/100)),MAX(0,Inputs!$B$43-((R2186-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Hunt"),CHOOSE(ArtifactsInput!$N$35+1,15,18,21,24,27,30)*(1-EXP(-(0.2*B2202)*5)),0)+IF(AND(ArtifactsInput!$M$22,Inputs!$B$4&lt;&gt;"Chapter Hunt"),CHOOSE(ArtifactsInput!$N$22+1,10,12,14,16,18,20)*((0*(((0.15*B2202*5))^0/1)+1*(((0.15*B2202*5))^1/1)+2*(((0.15*B2202*5))^2/2)+3*(((0.15*B2202*5))^3/6)+4*(((0.15*B2202*5))^4/24)+5*(((0.15*B2202*5))^5/120))/((((0.15*B2202*5))^0/1)+(((0.15*B2202*5))^1/1)+(((0.15*B2202*5))^2/2)+(((0.15*B2202*5))^3/6)+(((0.15*B2202*5))^4/24)+(((0.15*B2202*5))^5/120))),0)))/100)*I2179)</f>
        <v/>
      </c>
      <c r="L2179">
        <f>K2179*(MIN(Inputs!$B$22+((C2193=TRUE)*(F2193-Calc!F22)),(Inputs!$B$23+((C2195=TRUE)*(F2195-Calc!F24))+(IF(ArtifactsInput!$M$15,CHOOSE(ArtifactsInput!$N$15+1,25,30,35,40,45,50)/100*(Inputs!$B$11-Inputs!$B$11),0))))/100+(Inputs!$B$23+((C2195=TRUE)*(F2195-Calc!F24))+(IF(ArtifactsInput!$M$15,CHOOSE(ArtifactsInput!$N$15+1,25,30,35,40,45,50)/100*(Inputs!$B$11-Inputs!$B$11),0)))/100)/2</f>
        <v/>
      </c>
      <c r="M2179">
        <f>L2179*(1+(Inputs!$B$10+0+B2205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179">
        <f>L2179*(1-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2179*(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9">
        <f>(1-Summary!$B$11)*T2179+Summary!$B$11*V2179</f>
        <v/>
      </c>
      <c r="P2179">
        <f>IF(B2210=0,0,O2179/B2210)</f>
        <v/>
      </c>
      <c r="Q2179">
        <f>IFERROR(1/(IF(Inputs!$B$38="pvp",15,MAX(0.1,Skills!D8-IF(Skills!E8=TRUE,Inputs!$B$32,0)))*(1-IF(AND(ArtifactsInput!$M$27,Inputs!$B$4="Chapter Hunt"),CHOOSE(ArtifactsInput!$N$27+1,20,24,28,32,36,40),0)/100)),0)</f>
        <v/>
      </c>
      <c r="R2179">
        <f>IF(AND(Inputs!$B$38&lt;&gt;"pvp",Inputs!$B$43&gt;0),IF(MAX(0,Inputs!$B$43-B2207)&lt;=0,0,(INT(MAX(0,Inputs!$B$43-B2207)/(IF(Inputs!$B$38="pvp",15,MAX(0.1,Skills!D8-IF(Skills!E8=TRUE,Inputs!$B$32,0)))*(1-IF(AND(ArtifactsInput!$M$27,Inputs!$B$4="Chapter Hunt"),CHOOSE(ArtifactsInput!$N$27+1,20,24,28,32,36,40),0)/100)))+1)),0)</f>
        <v/>
      </c>
      <c r="S2179">
        <f>IFERROR(O2179/N2179,0)</f>
        <v/>
      </c>
      <c r="T2179">
        <f>IF(C2179,(H2179*N2179*IF(AND(Inputs!$B$38&lt;&gt;"pvp",Inputs!$B$43&gt;0),((Skills!G8*((R2179-1)*IF(Skills!H8&gt;0,Skills!I8/Skills!H8,1)+IF(Skills!H8&gt;0,MIN(Skills!I8,MAX(0,MAX(0,Inputs!$B$43-B2207)-((R2179-1)*(IF(Inputs!$B$38="pvp",15,MAX(0.1,Skills!D8-IF(Skills!E8=TRUE,Inputs!$B$32,0)))*(1-IF(AND(ArtifactsInput!$M$27,Inputs!$B$4="Chapter Hunt"),CHOOSE(ArtifactsInput!$N$27+1,20,24,28,32,36,40),0)/100)))))/Skills!H8,1)))/Inputs!$B$43),G2179*Q2179)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2179*(1-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2179*(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2179*(1-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2179*(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79">
        <f>IF(C2179,(H2179*N2179*IF(AND(Inputs!$B$38&lt;&gt;"pvp",Inputs!$B$43&gt;0),((Skills!G8*((R2179-1)*IF(Skills!H8&gt;0,Skills!I8/Skills!H8,1)+IF(Skills!H8&gt;0,MIN(Skills!I8,MAX(0,MAX(0,Inputs!$B$43-B2207)-((R2179-1)*(IF(Inputs!$B$38="pvp",15,MAX(0.1,Skills!D8-IF(Skills!E8=TRUE,Inputs!$B$32,0)))*(1-IF(AND(ArtifactsInput!$M$27,Inputs!$B$4="Chapter Hunt"),CHOOSE(ArtifactsInput!$N$27+1,20,24,28,32,36,40),0)/100)))))/Skills!H8,1)))/Inputs!$B$43),G2179*Q2179)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0">
      <c r="A2180">
        <f>Skills!A9</f>
        <v/>
      </c>
      <c r="B2180">
        <f>Skills!B9</f>
        <v/>
      </c>
      <c r="C2180">
        <f>Inputs!$B$3&gt;=69</f>
        <v/>
      </c>
      <c r="D2180">
        <f>IF(Skills!C9=1,60+Inputs!$B$25+Inputs!$B$29,IF(Skills!C9=2,90+Inputs!$B$26+Inputs!$B$29,IF(Skills!C9=3,120+Inputs!$B$27+Inputs!$B$29,MAX(0,(Inputs!$B$3-100)*3)+Inputs!$B$28+Inputs!$B$29)))</f>
        <v/>
      </c>
      <c r="E2180">
        <f>INDEX(FactorTable!$B$2:$Y$301, MATCH(ROUND(MIN(300,MAX(1,D2180)),0), FactorTable!$A$2:$A$301,0), Skills!M9+1)</f>
        <v/>
      </c>
      <c r="F2180">
        <f>IF(Skills!N9=TRUE,(Skills!L9/10)*(E2180/1000),Skills!L9/10)+Skills!O9</f>
        <v/>
      </c>
      <c r="G2180">
        <f>Skills!G9*IF(Skills!H9&gt;0,Skills!I9/Skills!H9,1)</f>
        <v/>
      </c>
      <c r="H2180">
        <f>1-(1-Skills!J9/100)^Skills!K9</f>
        <v/>
      </c>
      <c r="I2180" t="inlineStr">
        <is>
          <t>1</t>
        </is>
      </c>
      <c r="J2180">
        <f>((Inputs!$B$6*(1+Inputs!$B$7/100))+(((Inputs!$B$12*(1+Inputs!$B$13/100))-(Inputs!$B$12*(1+Inputs!$B$13/100)))+0.25*(Inputs!$B$14-Inputs!$B$14))*(1+Inputs!$B$7/100))*(F2180/100)</f>
        <v/>
      </c>
      <c r="K2180">
        <f>J2180*(1+((Inputs!$B$12*(1+Inputs!$B$13/100))*0.01+Inputs!$B$14*0.0025)/100)*(1+Inputs!$B$15/100)*(1+Inputs!$B$16/100)*(5000/(6000+Inputs!$B$42*(1-(100*(1-(1-(Inputs!$B$19+0)/100)*(1-CHOOSE(ArtifactsInput!$N$40+1,5,6,7,8,9,10)/100)^(ArtifactsInput!$M$40-ArtifactsInput!$M$40)))/100)))*(1+(Inputs!$B$24+((C2196=TRUE)*(F2196-Calc!F25))+B2206)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2183=TRUE,F2183,0)/100)*(1+IF(Skills!A9="ENHANCED_RAGING_BLOW",IF(Inputs!$B$3&gt;=134,MAX(0,IF(Inputs!$B$3&gt;=110,7,5)-5)*50,0),0)/100)*(1+(IF(Skills!A9="RAGING_BLOW",Inputs!$B$17+((C2192=TRUE)*(F2192-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2194=TRUE)*(F2194-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2184=TRUE)*F2184*IF(Inputs!$B$3&gt;=110,7,5))+((C2186=TRUE)*F2186*IF(AND(Inputs!$B$38&lt;&gt;"pvp",Inputs!$B$43&gt;0),(((R2186-1)*(Skills!T15*(1+(Inputs!$B$34+(ArtifactsInput!$M$7-ArtifactsInput!$M$7)*CHOOSE(ArtifactsInput!$N$7+1,6,7.2,8.4,9.6,10.8,12))/100))+MIN((Skills!T15*(1+(Inputs!$B$34+(ArtifactsInput!$M$7-ArtifactsInput!$M$7)*CHOOSE(ArtifactsInput!$N$7+1,6,7.2,8.4,9.6,10.8,12))/100)),MAX(0,Inputs!$B$43-((R2186-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Hunt"),CHOOSE(ArtifactsInput!$N$35+1,15,18,21,24,27,30)*(1-EXP(-(0.2*B2202)*5)),0)+IF(AND(ArtifactsInput!$M$22,Inputs!$B$4&lt;&gt;"Chapter Hunt"),CHOOSE(ArtifactsInput!$N$22+1,10,12,14,16,18,20)*((0*(((0.15*B2202*5))^0/1)+1*(((0.15*B2202*5))^1/1)+2*(((0.15*B2202*5))^2/2)+3*(((0.15*B2202*5))^3/6)+4*(((0.15*B2202*5))^4/24)+5*(((0.15*B2202*5))^5/120))/((((0.15*B2202*5))^0/1)+(((0.15*B2202*5))^1/1)+(((0.15*B2202*5))^2/2)+(((0.15*B2202*5))^3/6)+(((0.15*B2202*5))^4/24)+(((0.15*B2202*5))^5/120))),0)))/100)*I2180)</f>
        <v/>
      </c>
      <c r="L2180">
        <f>K2180*(MIN(Inputs!$B$22+((C2193=TRUE)*(F2193-Calc!F22)),(Inputs!$B$23+((C2195=TRUE)*(F2195-Calc!F24))+(IF(ArtifactsInput!$M$15,CHOOSE(ArtifactsInput!$N$15+1,25,30,35,40,45,50)/100*(Inputs!$B$11-Inputs!$B$11),0))))/100+(Inputs!$B$23+((C2195=TRUE)*(F2195-Calc!F24))+(IF(ArtifactsInput!$M$15,CHOOSE(ArtifactsInput!$N$15+1,25,30,35,40,45,50)/100*(Inputs!$B$11-Inputs!$B$11),0)))/100)/2</f>
        <v/>
      </c>
      <c r="M2180">
        <f>L2180*(1+(Inputs!$B$10+0+B2205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180">
        <f>L2180*(1-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2180*(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0">
        <f>(1-Summary!$B$11)*T2180+Summary!$B$11*V2180</f>
        <v/>
      </c>
      <c r="P2180">
        <f>IF(B2210=0,0,O2180/B2210)</f>
        <v/>
      </c>
      <c r="Q2180">
        <f>IFERROR(1/(IF(Inputs!$B$38="pvp",15,MAX(0.1,Skills!D9-IF(Skills!E9=TRUE,Inputs!$B$32,0)))*(1-IF(AND(ArtifactsInput!$M$27,Inputs!$B$4="Chapter Hunt"),CHOOSE(ArtifactsInput!$N$27+1,20,24,28,32,36,40),0)/100)),0)</f>
        <v/>
      </c>
      <c r="R2180">
        <f>IF(AND(Inputs!$B$38&lt;&gt;"pvp",Inputs!$B$43&gt;0),IF(MAX(0,Inputs!$B$43-B2207)&lt;=0,0,(INT(MAX(0,Inputs!$B$43-B2207)/(IF(Inputs!$B$38="pvp",15,MAX(0.1,Skills!D9-IF(Skills!E9=TRUE,Inputs!$B$32,0)))*(1-IF(AND(ArtifactsInput!$M$27,Inputs!$B$4="Chapter Hunt"),CHOOSE(ArtifactsInput!$N$27+1,20,24,28,32,36,40),0)/100)))+1)),0)</f>
        <v/>
      </c>
      <c r="S2180">
        <f>IFERROR(O2180/N2180,0)</f>
        <v/>
      </c>
      <c r="T2180">
        <f>IF(C2180,(H2180*N2180*IF(AND(Inputs!$B$38&lt;&gt;"pvp",Inputs!$B$43&gt;0),((Skills!G9*((R2180-1)*IF(Skills!H9&gt;0,Skills!I9/Skills!H9,1)+IF(Skills!H9&gt;0,MIN(Skills!I9,MAX(0,MAX(0,Inputs!$B$43-B2207)-((R2180-1)*(IF(Inputs!$B$38="pvp",15,MAX(0.1,Skills!D9-IF(Skills!E9=TRUE,Inputs!$B$32,0)))*(1-IF(AND(ArtifactsInput!$M$27,Inputs!$B$4="Chapter Hunt"),CHOOSE(ArtifactsInput!$N$27+1,20,24,28,32,36,40),0)/100)))))/Skills!H9,1)))/Inputs!$B$43),G2180*Q2180)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2180*(1-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2180*(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2180*(1-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2180*(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80">
        <f>IF(C2180,(H2180*N2180*IF(AND(Inputs!$B$38&lt;&gt;"pvp",Inputs!$B$43&gt;0),((Skills!G9*((R2180-1)*IF(Skills!H9&gt;0,Skills!I9/Skills!H9,1)+IF(Skills!H9&gt;0,MIN(Skills!I9,MAX(0,MAX(0,Inputs!$B$43-B2207)-((R2180-1)*(IF(Inputs!$B$38="pvp",15,MAX(0.1,Skills!D9-IF(Skills!E9=TRUE,Inputs!$B$32,0)))*(1-IF(AND(ArtifactsInput!$M$27,Inputs!$B$4="Chapter Hunt"),CHOOSE(ArtifactsInput!$N$27+1,20,24,28,32,36,40),0)/100)))))/Skills!H9,1)))/Inputs!$B$43),G2180*Q2180)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1">
      <c r="A2181">
        <f>Skills!A10</f>
        <v/>
      </c>
      <c r="B2181">
        <f>Skills!B10</f>
        <v/>
      </c>
      <c r="C2181">
        <f>Inputs!$B$3&gt;=63</f>
        <v/>
      </c>
      <c r="D2181">
        <f>IF(Skills!C10=1,60+Inputs!$B$25+Inputs!$B$29,IF(Skills!C10=2,90+Inputs!$B$26+Inputs!$B$29,IF(Skills!C10=3,120+Inputs!$B$27+Inputs!$B$29,MAX(0,(Inputs!$B$3-100)*3)+Inputs!$B$28+Inputs!$B$29)))</f>
        <v/>
      </c>
      <c r="E2181">
        <f>INDEX(FactorTable!$B$2:$Y$301, MATCH(ROUND(MIN(300,MAX(1,D2181)),0), FactorTable!$A$2:$A$301,0), Skills!M10+1)</f>
        <v/>
      </c>
      <c r="F2181">
        <f>IF(Skills!N10=TRUE,(Skills!L10/10)*(E2181/1000),Skills!L10/10)+Skills!O10</f>
        <v/>
      </c>
      <c r="G2181">
        <f>Skills!G10*IF(Skills!H10&gt;0,Skills!I10/Skills!H10,1)</f>
        <v/>
      </c>
      <c r="H2181">
        <f>1-(1-Skills!J10/100)^Skills!K10</f>
        <v/>
      </c>
      <c r="I2181" t="inlineStr">
        <is>
          <t>1</t>
        </is>
      </c>
      <c r="J2181">
        <f>((Inputs!$B$6*(1+Inputs!$B$7/100))+(((Inputs!$B$12*(1+Inputs!$B$13/100))-(Inputs!$B$12*(1+Inputs!$B$13/100)))+0.25*(Inputs!$B$14-Inputs!$B$14))*(1+Inputs!$B$7/100))*(F2181/100)</f>
        <v/>
      </c>
      <c r="K2181">
        <f>J2181*(1+((Inputs!$B$12*(1+Inputs!$B$13/100))*0.01+Inputs!$B$14*0.0025)/100)*(1+Inputs!$B$15/100)*(1+Inputs!$B$16/100)*(5000/(6000+Inputs!$B$42*(1-(100*(1-(1-(Inputs!$B$19+0)/100)*(1-CHOOSE(ArtifactsInput!$N$40+1,5,6,7,8,9,10)/100)^(ArtifactsInput!$M$40-ArtifactsInput!$M$40)))/100)))*(1+(Inputs!$B$24+((C2196=TRUE)*(F2196-Calc!F25))+B2206)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2183=TRUE,F2183,0)/100)*(1+IF(Skills!A10="ENHANCED_RAGING_BLOW",IF(Inputs!$B$3&gt;=134,MAX(0,IF(Inputs!$B$3&gt;=110,7,5)-5)*50,0),0)/100)*(1+(IF(Skills!A10="RAGING_BLOW",Inputs!$B$17+((C2192=TRUE)*(F2192-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2194=TRUE)*(F2194-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2184=TRUE)*F2184*IF(Inputs!$B$3&gt;=110,7,5))+((C2186=TRUE)*F2186*IF(AND(Inputs!$B$38&lt;&gt;"pvp",Inputs!$B$43&gt;0),(((R2186-1)*(Skills!T15*(1+(Inputs!$B$34+(ArtifactsInput!$M$7-ArtifactsInput!$M$7)*CHOOSE(ArtifactsInput!$N$7+1,6,7.2,8.4,9.6,10.8,12))/100))+MIN((Skills!T15*(1+(Inputs!$B$34+(ArtifactsInput!$M$7-ArtifactsInput!$M$7)*CHOOSE(ArtifactsInput!$N$7+1,6,7.2,8.4,9.6,10.8,12))/100)),MAX(0,Inputs!$B$43-((R2186-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Hunt"),CHOOSE(ArtifactsInput!$N$35+1,15,18,21,24,27,30)*(1-EXP(-(0.2*B2202)*5)),0)+IF(AND(ArtifactsInput!$M$22,Inputs!$B$4&lt;&gt;"Chapter Hunt"),CHOOSE(ArtifactsInput!$N$22+1,10,12,14,16,18,20)*((0*(((0.15*B2202*5))^0/1)+1*(((0.15*B2202*5))^1/1)+2*(((0.15*B2202*5))^2/2)+3*(((0.15*B2202*5))^3/6)+4*(((0.15*B2202*5))^4/24)+5*(((0.15*B2202*5))^5/120))/((((0.15*B2202*5))^0/1)+(((0.15*B2202*5))^1/1)+(((0.15*B2202*5))^2/2)+(((0.15*B2202*5))^3/6)+(((0.15*B2202*5))^4/24)+(((0.15*B2202*5))^5/120))),0)))/100)*I2181)</f>
        <v/>
      </c>
      <c r="L2181">
        <f>K2181*(MIN(Inputs!$B$22+((C2193=TRUE)*(F2193-Calc!F22)),(Inputs!$B$23+((C2195=TRUE)*(F2195-Calc!F24))+(IF(ArtifactsInput!$M$15,CHOOSE(ArtifactsInput!$N$15+1,25,30,35,40,45,50)/100*(Inputs!$B$11-Inputs!$B$11),0))))/100+(Inputs!$B$23+((C2195=TRUE)*(F2195-Calc!F24))+(IF(ArtifactsInput!$M$15,CHOOSE(ArtifactsInput!$N$15+1,25,30,35,40,45,50)/100*(Inputs!$B$11-Inputs!$B$11),0)))/100)/2</f>
        <v/>
      </c>
      <c r="M2181">
        <f>L2181*(1+(Inputs!$B$10+0+B2205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181">
        <f>L2181*(1-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2181*(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1">
        <f>(1-Summary!$B$11)*T2181+Summary!$B$11*V2181</f>
        <v/>
      </c>
      <c r="P2181">
        <f>IF(B2210=0,0,O2181/B2210)</f>
        <v/>
      </c>
      <c r="Q2181">
        <f>IFERROR(1/(IF(Inputs!$B$38="pvp",15,MAX(0.1,Skills!D10-IF(Skills!E10=TRUE,Inputs!$B$32,0)))*(1-IF(AND(ArtifactsInput!$M$27,Inputs!$B$4="Chapter Hunt"),CHOOSE(ArtifactsInput!$N$27+1,20,24,28,32,36,40),0)/100)),0)</f>
        <v/>
      </c>
      <c r="R2181">
        <f>IF(AND(Inputs!$B$38&lt;&gt;"pvp",Inputs!$B$43&gt;0),IF(MAX(0,Inputs!$B$43-B2207)&lt;=0,0,(INT(MAX(0,Inputs!$B$43-B2207)/(IF(Inputs!$B$38="pvp",15,MAX(0.1,Skills!D10-IF(Skills!E10=TRUE,Inputs!$B$32,0)))*(1-IF(AND(ArtifactsInput!$M$27,Inputs!$B$4="Chapter Hunt"),CHOOSE(ArtifactsInput!$N$27+1,20,24,28,32,36,40),0)/100)))+1)),0)</f>
        <v/>
      </c>
      <c r="S2181">
        <f>IFERROR(O2181/N2181,0)</f>
        <v/>
      </c>
      <c r="T2181">
        <f>IF(C2181,(H2181*N2181*IF(AND(Inputs!$B$38&lt;&gt;"pvp",Inputs!$B$43&gt;0),((Skills!G10*((R2181-1)*IF(Skills!H10&gt;0,Skills!I10/Skills!H10,1)+IF(Skills!H10&gt;0,MIN(Skills!I10,MAX(0,MAX(0,Inputs!$B$43-B2207)-((R2181-1)*(IF(Inputs!$B$38="pvp",15,MAX(0.1,Skills!D10-IF(Skills!E10=TRUE,Inputs!$B$32,0)))*(1-IF(AND(ArtifactsInput!$M$27,Inputs!$B$4="Chapter Hunt"),CHOOSE(ArtifactsInput!$N$27+1,20,24,28,32,36,40),0)/100)))))/Skills!H10,1)))/Inputs!$B$43),G2181*Q2181)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2181*(1-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2181*(1-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81">
        <f>IF(C2181,(H2181*N2181*IF(AND(Inputs!$B$38&lt;&gt;"pvp",Inputs!$B$43&gt;0),((Skills!G10*((R2181-1)*IF(Skills!H10&gt;0,Skills!I10/Skills!H10,1)+IF(Skills!H10&gt;0,MIN(Skills!I10,MAX(0,MAX(0,Inputs!$B$43-B2207)-((R2181-1)*(IF(Inputs!$B$38="pvp",15,MAX(0.1,Skills!D10-IF(Skills!E10=TRUE,Inputs!$B$32,0)))*(1-IF(AND(ArtifactsInput!$M$27,Inputs!$B$4="Chapter Hunt"),CHOOSE(ArtifactsInput!$N$27+1,20,24,28,32,36,40),0)/100)))))/Skills!H10,1)))/Inputs!$B$43),G2181*Q2181)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2">
      <c r="A2182">
        <f>Skills!A11</f>
        <v/>
      </c>
      <c r="B2182">
        <f>Skills!B11</f>
        <v/>
      </c>
      <c r="C2182">
        <f>Inputs!$B$3&gt;=35</f>
        <v/>
      </c>
      <c r="D2182">
        <f>IF(Skills!C11=1,60+Inputs!$B$25+Inputs!$B$29,IF(Skills!C11=2,90+Inputs!$B$26+Inputs!$B$29,IF(Skills!C11=3,120+Inputs!$B$27+Inputs!$B$29,MAX(0,(Inputs!$B$3-100)*3)+Inputs!$B$28+Inputs!$B$29)))</f>
        <v/>
      </c>
      <c r="E2182">
        <f>INDEX(FactorTable!$B$2:$Y$301, MATCH(ROUND(MIN(300,MAX(1,D2182)),0), FactorTable!$A$2:$A$301,0), Skills!M11+1)</f>
        <v/>
      </c>
      <c r="F2182">
        <f>IF(Skills!N11=TRUE,(Skills!L11/10)*(E2182/1000),Skills!L11/10)+Skills!O11</f>
        <v/>
      </c>
      <c r="G2182">
        <f>Skills!G11*IF(Skills!H11&gt;0,Skills!I11/Skills!H11,1)</f>
        <v/>
      </c>
      <c r="H2182">
        <f>1-(1-Skills!J11/100)^Skills!K11</f>
        <v/>
      </c>
      <c r="I2182" t="inlineStr">
        <is>
          <t>1</t>
        </is>
      </c>
      <c r="J2182">
        <f>((Inputs!$B$6*(1+Inputs!$B$7/100))+(((Inputs!$B$12*(1+Inputs!$B$13/100))-(Inputs!$B$12*(1+Inputs!$B$13/100)))+0.25*(Inputs!$B$14-Inputs!$B$14))*(1+Inputs!$B$7/100))*(F2182/100)</f>
        <v/>
      </c>
      <c r="K2182">
        <f>J2182*(1+((Inputs!$B$12*(1+Inputs!$B$13/100))*0.01+Inputs!$B$14*0.0025)/100)*(1+Inputs!$B$15/100)*(1+Inputs!$B$16/100)*(5000/(6000+Inputs!$B$42*(1-(100*(1-(1-(Inputs!$B$19+0)/100)*(1-CHOOSE(ArtifactsInput!$N$40+1,5,6,7,8,9,10)/100)^(ArtifactsInput!$M$40-ArtifactsInput!$M$40)))/100)))*(1+(Inputs!$B$24+((C2196=TRUE)*(F2196-Calc!F25))+B2206)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2183=TRUE,F2183,0)/100)*(1+IF(Skills!A11="ENHANCED_RAGING_BLOW",IF(Inputs!$B$3&gt;=134,MAX(0,IF(Inputs!$B$3&gt;=110,7,5)-5)*50,0),0)/100)*(1+(IF(Skills!A11="RAGING_BLOW",Inputs!$B$17+((C2192=TRUE)*(F2192-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2194=TRUE)*(F2194-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2184=TRUE)*F2184*IF(Inputs!$B$3&gt;=110,7,5))+((C2186=TRUE)*F2186*IF(AND(Inputs!$B$38&lt;&gt;"pvp",Inputs!$B$43&gt;0),(((R2186-1)*(Skills!T15*(1+(Inputs!$B$34+(ArtifactsInput!$M$7-ArtifactsInput!$M$7)*CHOOSE(ArtifactsInput!$N$7+1,6,7.2,8.4,9.6,10.8,12))/100))+MIN((Skills!T15*(1+(Inputs!$B$34+(ArtifactsInput!$M$7-ArtifactsInput!$M$7)*CHOOSE(ArtifactsInput!$N$7+1,6,7.2,8.4,9.6,10.8,12))/100)),MAX(0,Inputs!$B$43-((R2186-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Hunt"),CHOOSE(ArtifactsInput!$N$35+1,15,18,21,24,27,30)*(1-EXP(-(0.2*B2202)*5)),0)+IF(AND(ArtifactsInput!$M$22,Inputs!$B$4&lt;&gt;"Chapter Hunt"),CHOOSE(ArtifactsInput!$N$22+1,10,12,14,16,18,20)*((0*(((0.15*B2202*5))^0/1)+1*(((0.15*B2202*5))^1/1)+2*(((0.15*B2202*5))^2/2)+3*(((0.15*B2202*5))^3/6)+4*(((0.15*B2202*5))^4/24)+5*(((0.15*B2202*5))^5/120))/((((0.15*B2202*5))^0/1)+(((0.15*B2202*5))^1/1)+(((0.15*B2202*5))^2/2)+(((0.15*B2202*5))^3/6)+(((0.15*B2202*5))^4/24)+(((0.15*B2202*5))^5/120))),0)))/100)*I2182)</f>
        <v/>
      </c>
      <c r="L2182">
        <f>K2182*(MIN(Inputs!$B$22+((C2193=TRUE)*(F2193-Calc!F22)),(Inputs!$B$23+((C2195=TRUE)*(F2195-Calc!F24))+(IF(ArtifactsInput!$M$15,CHOOSE(ArtifactsInput!$N$15+1,25,30,35,40,45,50)/100*(Inputs!$B$11-Inputs!$B$11),0))))/100+(Inputs!$B$23+((C2195=TRUE)*(F2195-Calc!F24))+(IF(ArtifactsInput!$M$15,CHOOSE(ArtifactsInput!$N$15+1,25,30,35,40,45,50)/100*(Inputs!$B$11-Inputs!$B$11),0)))/100)/2</f>
        <v/>
      </c>
      <c r="M2182">
        <f>L2182*(1+(Inputs!$B$10+0+B2205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182">
        <f>L2182*(1-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2182*(MIN((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2">
        <f>(1-Summary!$B$11)*T2182+Summary!$B$11*V2182</f>
        <v/>
      </c>
      <c r="P2182">
        <f>IF(B2210=0,0,O2182/B2210)</f>
        <v/>
      </c>
      <c r="Q2182">
        <f>IFERROR(1/(IF(Inputs!$B$38="pvp",15,MAX(0.1,Skills!D11-IF(Skills!E11=TRUE,Inputs!$B$32,0)))*(1-IF(AND(ArtifactsInput!$M$27,Inputs!$B$4="Chapter Hunt"),CHOOSE(ArtifactsInput!$N$27+1,20,24,28,32,36,40),0)/100)),0)</f>
        <v/>
      </c>
      <c r="R2182">
        <f>IF(AND(Inputs!$B$38&lt;&gt;"pvp",Inputs!$B$43&gt;0),IF(MAX(0,Inputs!$B$43-B2207)&lt;=0,0,(INT(MAX(0,Inputs!$B$43-B2207)/(IF(Inputs!$B$38="pvp",15,MAX(0.1,Skills!D11-IF(Skills!E11=TRUE,Inputs!$B$32,0)))*(1-IF(AND(ArtifactsInput!$M$27,Inputs!$B$4="Chapter Hunt"),CHOOSE(ArtifactsInput!$N$27+1,20,24,28,32,36,40),0)/100)))+1)),0)</f>
        <v/>
      </c>
      <c r="S2182">
        <f>IFERROR(O2182/N2182,0)</f>
        <v/>
      </c>
      <c r="T2182">
        <f>IF(C2182,(H2182*N2182*IF(AND(Inputs!$B$38&lt;&gt;"pvp",Inputs!$B$43&gt;0),((Skills!G11*((R2182-1)*IF(Skills!H11&gt;0,Skills!I11/Skills!H11,1)+IF(Skills!H11&gt;0,MIN(Skills!I11,MAX(0,MAX(0,Inputs!$B$43-B2207)-((R2182-1)*(IF(Inputs!$B$38="pvp",15,MAX(0.1,Skills!D11-IF(Skills!E11=TRUE,Inputs!$B$32,0)))*(1-IF(AND(ArtifactsInput!$M$27,Inputs!$B$4="Chapter Hunt"),CHOOSE(ArtifactsInput!$N$27+1,20,24,28,32,36,40),0)/100)))))/Skills!H11,1)))/Inputs!$B$43),G2182*Q2182)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2182*(1-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2182*(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2182*(1-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2182*(MIN(100,(Inputs!$B$9+((C2197=TRUE)*(F2197-Calc!F26))+B2200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82">
        <f>IF(C2182,(H2182*N2182*IF(AND(Inputs!$B$38&lt;&gt;"pvp",Inputs!$B$43&gt;0),((Skills!G11*((R2182-1)*IF(Skills!H11&gt;0,Skills!I11/Skills!H11,1)+IF(Skills!H11&gt;0,MIN(Skills!I11,MAX(0,MAX(0,Inputs!$B$43-B2207)-((R2182-1)*(IF(Inputs!$B$38="pvp",15,MAX(0.1,Skills!D11-IF(Skills!E11=TRUE,Inputs!$B$32,0)))*(1-IF(AND(ArtifactsInput!$M$27,Inputs!$B$4="Chapter Hunt"),CHOOSE(ArtifactsInput!$N$27+1,20,24,28,32,36,40),0)/100)))))/Skills!H11,1)))/Inputs!$B$43),G2182*Q2182)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3">
      <c r="A2183">
        <f>Skills!A12</f>
        <v/>
      </c>
      <c r="B2183">
        <f>Skills!B12</f>
        <v/>
      </c>
      <c r="C2183">
        <f>Inputs!$B$3&gt;=100</f>
        <v/>
      </c>
      <c r="D2183">
        <f>IF(Skills!C12=1,60+Inputs!$B$25+Inputs!$B$29,IF(Skills!C12=2,90+Inputs!$B$26+Inputs!$B$29,IF(Skills!C12=3,120+Inputs!$B$27+Inputs!$B$29,MAX(0,(Inputs!$B$3-100)*3)+Inputs!$B$28+Inputs!$B$29)))</f>
        <v/>
      </c>
      <c r="E2183">
        <f>INDEX(FactorTable!$B$2:$Y$301, MATCH(ROUND(MIN(300,MAX(1,D2183)),0), FactorTable!$A$2:$A$301,0), Skills!M12+1)</f>
        <v/>
      </c>
      <c r="F2183">
        <f>IF(Skills!N12=TRUE,(Skills!L12/10)*(E2183/1000),Skills!L12/10)+Skills!O12</f>
        <v/>
      </c>
      <c r="G2183" t="inlineStr"/>
      <c r="H2183" t="inlineStr"/>
      <c r="I2183" t="inlineStr">
        <is>
          <t>1</t>
        </is>
      </c>
      <c r="J2183" t="inlineStr"/>
      <c r="K2183" t="inlineStr"/>
      <c r="L2183" t="inlineStr"/>
      <c r="M2183" t="inlineStr"/>
      <c r="N2183" t="inlineStr"/>
      <c r="O2183" t="inlineStr"/>
      <c r="P2183" t="inlineStr"/>
      <c r="Q2183" t="inlineStr"/>
      <c r="R2183" t="inlineStr"/>
      <c r="S2183" t="inlineStr"/>
    </row>
    <row r="2184">
      <c r="A2184">
        <f>Skills!A13</f>
        <v/>
      </c>
      <c r="B2184">
        <f>Skills!B13</f>
        <v/>
      </c>
      <c r="C2184">
        <f>Inputs!$B$3&gt;=45</f>
        <v/>
      </c>
      <c r="D2184">
        <f>IF(Skills!C13=1,60+Inputs!$B$25+Inputs!$B$29,IF(Skills!C13=2,90+Inputs!$B$26+Inputs!$B$29,IF(Skills!C13=3,120+Inputs!$B$27+Inputs!$B$29,MAX(0,(Inputs!$B$3-100)*3)+Inputs!$B$28+Inputs!$B$29)))</f>
        <v/>
      </c>
      <c r="E2184">
        <f>INDEX(FactorTable!$B$2:$Y$301, MATCH(ROUND(MIN(300,MAX(1,D2184)),0), FactorTable!$A$2:$A$301,0), Skills!M13+1)</f>
        <v/>
      </c>
      <c r="F2184">
        <f>IF(Skills!N13=TRUE,(Skills!L13/10)*(E2184/1000),Skills!L13/10)+Skills!O13</f>
        <v/>
      </c>
      <c r="G2184">
        <f>Skills!G13*IF(Skills!H13&gt;0,Skills!I13/Skills!H13,1)</f>
        <v/>
      </c>
      <c r="H2184">
        <f>1-(1-Skills!J13/100)^Skills!K13</f>
        <v/>
      </c>
      <c r="I2184" t="inlineStr">
        <is>
          <t>1</t>
        </is>
      </c>
      <c r="J2184" t="inlineStr"/>
      <c r="K2184" t="inlineStr"/>
      <c r="L2184" t="inlineStr"/>
      <c r="M2184" t="inlineStr"/>
      <c r="N2184" t="inlineStr"/>
      <c r="O2184">
        <f>(1-Summary!$B$11)*T2184+Summary!$B$11*V2184</f>
        <v/>
      </c>
      <c r="P2184">
        <f>IF(B2210=0,0,O2184/B2210)</f>
        <v/>
      </c>
      <c r="Q2184" t="n">
        <v>0</v>
      </c>
      <c r="R2184" t="n">
        <v>0</v>
      </c>
      <c r="S2184">
        <f>IFERROR(O2184/N2184,0)</f>
        <v/>
      </c>
      <c r="T2184" t="n">
        <v>0</v>
      </c>
      <c r="V2184" t="n">
        <v>0</v>
      </c>
    </row>
    <row r="2185">
      <c r="A2185">
        <f>Skills!A14</f>
        <v/>
      </c>
      <c r="B2185">
        <f>Skills!B14</f>
        <v/>
      </c>
      <c r="C2185">
        <f>Inputs!$B$3&gt;=75</f>
        <v/>
      </c>
      <c r="D2185">
        <f>IF(Skills!C14=1,60+Inputs!$B$25+Inputs!$B$29,IF(Skills!C14=2,90+Inputs!$B$26+Inputs!$B$29,IF(Skills!C14=3,120+Inputs!$B$27+Inputs!$B$29,MAX(0,(Inputs!$B$3-100)*3)+Inputs!$B$28+Inputs!$B$29)))</f>
        <v/>
      </c>
      <c r="E2185">
        <f>INDEX(FactorTable!$B$2:$Y$301, MATCH(ROUND(MIN(300,MAX(1,D2185)),0), FactorTable!$A$2:$A$301,0), Skills!M14+1)</f>
        <v/>
      </c>
      <c r="F2185">
        <f>IF(Skills!N14=TRUE,(Skills!L14/10)*(E2185/1000),Skills!L14/10)+Skills!O14</f>
        <v/>
      </c>
      <c r="G2185">
        <f>Skills!G14*IF(Skills!H14&gt;0,Skills!I14/Skills!H14,1)</f>
        <v/>
      </c>
      <c r="H2185">
        <f>1-(1-Skills!J14/100)^Skills!K14</f>
        <v/>
      </c>
      <c r="I2185" t="inlineStr">
        <is>
          <t>1</t>
        </is>
      </c>
      <c r="J2185" t="inlineStr"/>
      <c r="K2185" t="inlineStr"/>
      <c r="L2185" t="inlineStr"/>
      <c r="M2185" t="inlineStr"/>
      <c r="N2185" t="inlineStr"/>
      <c r="O2185">
        <f>(1-Summary!$B$11)*T2185+Summary!$B$11*V2185</f>
        <v/>
      </c>
      <c r="P2185">
        <f>IF(B2210=0,0,O2185/B2210)</f>
        <v/>
      </c>
      <c r="Q2185" t="n">
        <v>0</v>
      </c>
      <c r="R2185" t="n">
        <v>0</v>
      </c>
      <c r="S2185">
        <f>IFERROR(O2185/N2185,0)</f>
        <v/>
      </c>
      <c r="T2185" t="n">
        <v>0</v>
      </c>
      <c r="V2185" t="n">
        <v>0</v>
      </c>
    </row>
    <row r="2186">
      <c r="A2186">
        <f>Skills!A15</f>
        <v/>
      </c>
      <c r="B2186">
        <f>Skills!B15</f>
        <v/>
      </c>
      <c r="C2186">
        <f>Inputs!$B$3&gt;=40</f>
        <v/>
      </c>
      <c r="D2186">
        <f>IF(Skills!C15=1,60+Inputs!$B$25+Inputs!$B$29,IF(Skills!C15=2,90+Inputs!$B$26+Inputs!$B$29,IF(Skills!C15=3,120+Inputs!$B$27+Inputs!$B$29,MAX(0,(Inputs!$B$3-100)*3)+Inputs!$B$28+Inputs!$B$29)))</f>
        <v/>
      </c>
      <c r="E2186">
        <f>INDEX(FactorTable!$B$2:$Y$301, MATCH(ROUND(MIN(300,MAX(1,D2186)),0), FactorTable!$A$2:$A$301,0), Skills!M15+1)</f>
        <v/>
      </c>
      <c r="F2186">
        <f>IF(Skills!N15=TRUE,(Skills!L15/10)*(E2186/1000),Skills!L15/10)+Skills!O15</f>
        <v/>
      </c>
      <c r="G2186">
        <f>Skills!G15*IF(Skills!H15&gt;0,Skills!I15/Skills!H15,1)</f>
        <v/>
      </c>
      <c r="H2186">
        <f>1-(1-Skills!J15/100)^Skills!K15</f>
        <v/>
      </c>
      <c r="I2186" t="inlineStr">
        <is>
          <t>1</t>
        </is>
      </c>
      <c r="J2186" t="inlineStr"/>
      <c r="K2186" t="inlineStr"/>
      <c r="L2186" t="inlineStr"/>
      <c r="M2186" t="inlineStr"/>
      <c r="N2186" t="inlineStr"/>
      <c r="O2186">
        <f>(1-Summary!$B$11)*T2186+Summary!$B$11*V2186</f>
        <v/>
      </c>
      <c r="P2186">
        <f>IF(B2210=0,0,O2186/B2210)</f>
        <v/>
      </c>
      <c r="Q2186">
        <f>IFERROR(1/(IF(Inputs!$B$38="pvp",15,MAX(0.1,Skills!D15-IF(Skills!E15=TRUE,Inputs!$B$32,0)))*(1-IF(AND(ArtifactsInput!$M$27,Inputs!$B$4="Chapter Hunt"),CHOOSE(ArtifactsInput!$N$27+1,20,24,28,32,36,40),0)/100)),0)</f>
        <v/>
      </c>
      <c r="R2186">
        <f>IF(AND(Inputs!$B$38&lt;&gt;"pvp",Inputs!$B$43&gt;0),IF(Inputs!$B$43&lt;=0,0,(INT(Inputs!$B$43/(IF(Inputs!$B$38="pvp",15,MAX(0.1,Skills!D15-IF(Skills!E15=TRUE,Inputs!$B$32,0)))*(1-IF(AND(ArtifactsInput!$M$27,Inputs!$B$4="Chapter Hunt"),CHOOSE(ArtifactsInput!$N$27+1,20,24,28,32,36,40),0)/100)))+1)),0)</f>
        <v/>
      </c>
      <c r="S2186">
        <f>IFERROR(O2186/N2186,0)</f>
        <v/>
      </c>
      <c r="T2186" t="n">
        <v>0</v>
      </c>
      <c r="V2186" t="n">
        <v>0</v>
      </c>
    </row>
    <row r="2187">
      <c r="A2187">
        <f>Skills!A16</f>
        <v/>
      </c>
      <c r="B2187">
        <f>Skills!B16</f>
        <v/>
      </c>
      <c r="C2187">
        <f>Inputs!$B$3&gt;=66</f>
        <v/>
      </c>
      <c r="D2187">
        <f>IF(Skills!C16=1,60+Inputs!$B$25+Inputs!$B$29,IF(Skills!C16=2,90+Inputs!$B$26+Inputs!$B$29,IF(Skills!C16=3,120+Inputs!$B$27+Inputs!$B$29,MAX(0,(Inputs!$B$3-100)*3)+Inputs!$B$28+Inputs!$B$29)))</f>
        <v/>
      </c>
      <c r="E2187">
        <f>INDEX(FactorTable!$B$2:$Y$301, MATCH(ROUND(MIN(300,MAX(1,D2187)),0), FactorTable!$A$2:$A$301,0), Skills!M16+1)</f>
        <v/>
      </c>
      <c r="F2187">
        <f>IF(Skills!N16=TRUE,(Skills!L16/10)*(E2187/1000),Skills!L16/10)+Skills!O16</f>
        <v/>
      </c>
      <c r="G2187">
        <f>Skills!G16*IF(Skills!H16&gt;0,Skills!I16/Skills!H16,1)</f>
        <v/>
      </c>
      <c r="H2187">
        <f>1-(1-Skills!J16/100)^Skills!K16</f>
        <v/>
      </c>
      <c r="I2187" t="inlineStr">
        <is>
          <t>1</t>
        </is>
      </c>
      <c r="J2187" t="inlineStr"/>
      <c r="K2187" t="inlineStr"/>
      <c r="L2187" t="inlineStr"/>
      <c r="M2187" t="inlineStr"/>
      <c r="N2187" t="inlineStr"/>
      <c r="O2187">
        <f>(1-Summary!$B$11)*T2187+Summary!$B$11*V2187</f>
        <v/>
      </c>
      <c r="P2187">
        <f>IF(B2210=0,0,O2187/B2210)</f>
        <v/>
      </c>
      <c r="Q2187">
        <f>IFERROR(1/(IF(Inputs!$B$38="pvp",15,MAX(0.1,Skills!D16-IF(Skills!E16=TRUE,Inputs!$B$32,0)))*(1-IF(AND(ArtifactsInput!$M$27,Inputs!$B$4="Chapter Hunt"),CHOOSE(ArtifactsInput!$N$27+1,20,24,28,32,36,40),0)/100)),0)</f>
        <v/>
      </c>
      <c r="R2187">
        <f>IF(AND(Inputs!$B$38&lt;&gt;"pvp",Inputs!$B$43&gt;0),IF(Inputs!$B$43&lt;=0,0,(INT(Inputs!$B$43/(IF(Inputs!$B$38="pvp",15,MAX(0.1,Skills!D16-IF(Skills!E16=TRUE,Inputs!$B$32,0)))*(1-IF(AND(ArtifactsInput!$M$27,Inputs!$B$4="Chapter Hunt"),CHOOSE(ArtifactsInput!$N$27+1,20,24,28,32,36,40),0)/100)))+1)),0)</f>
        <v/>
      </c>
      <c r="S2187">
        <f>IFERROR(O2187/N2187,0)</f>
        <v/>
      </c>
      <c r="T2187" t="n">
        <v>0</v>
      </c>
      <c r="V2187" t="n">
        <v>0</v>
      </c>
    </row>
    <row r="2188">
      <c r="A2188">
        <f>Skills!A17</f>
        <v/>
      </c>
      <c r="B2188">
        <f>Skills!B17</f>
        <v/>
      </c>
      <c r="C2188">
        <f>Inputs!$B$3&gt;=115</f>
        <v/>
      </c>
      <c r="D2188">
        <f>IF(Skills!C17=1,60+Inputs!$B$25+Inputs!$B$29,IF(Skills!C17=2,90+Inputs!$B$26+Inputs!$B$29,IF(Skills!C17=3,120+Inputs!$B$27+Inputs!$B$29,MAX(0,(Inputs!$B$3-100)*3)+Inputs!$B$28+Inputs!$B$29)))</f>
        <v/>
      </c>
      <c r="E2188">
        <f>INDEX(FactorTable!$B$2:$Y$301, MATCH(ROUND(MIN(300,MAX(1,D2188)),0), FactorTable!$A$2:$A$301,0), Skills!M17+1)</f>
        <v/>
      </c>
      <c r="F2188">
        <f>IF(Skills!N17=TRUE,(Skills!L17/10)*(E2188/1000),Skills!L17/10)+Skills!O17</f>
        <v/>
      </c>
      <c r="G2188">
        <f>Skills!G17*IF(Skills!H17&gt;0,Skills!I17/Skills!H17,1)</f>
        <v/>
      </c>
      <c r="H2188">
        <f>1-(1-Skills!J17/100)^Skills!K17</f>
        <v/>
      </c>
      <c r="I2188" t="inlineStr">
        <is>
          <t>1</t>
        </is>
      </c>
      <c r="J2188" t="inlineStr"/>
      <c r="K2188" t="inlineStr"/>
      <c r="L2188" t="inlineStr"/>
      <c r="M2188" t="inlineStr"/>
      <c r="N2188" t="inlineStr"/>
      <c r="O2188">
        <f>(1-Summary!$B$11)*T2188+Summary!$B$11*V2188</f>
        <v/>
      </c>
      <c r="P2188">
        <f>IF(B2210=0,0,O2188/B2210)</f>
        <v/>
      </c>
      <c r="Q2188">
        <f>IFERROR(1/(IF(Inputs!$B$38="pvp",15,MAX(0.1,Skills!D17-IF(Skills!E17=TRUE,Inputs!$B$32,0)))*(1-IF(AND(ArtifactsInput!$M$27,Inputs!$B$4="Chapter Hunt"),CHOOSE(ArtifactsInput!$N$27+1,20,24,28,32,36,40),0)/100)),0)</f>
        <v/>
      </c>
      <c r="R2188">
        <f>IF(AND(Inputs!$B$38&lt;&gt;"pvp",Inputs!$B$43&gt;0),IF(Inputs!$B$43&lt;=0,0,(INT(Inputs!$B$43/(IF(Inputs!$B$38="pvp",15,MAX(0.1,Skills!D17-IF(Skills!E17=TRUE,Inputs!$B$32,0)))*(1-IF(AND(ArtifactsInput!$M$27,Inputs!$B$4="Chapter Hunt"),CHOOSE(ArtifactsInput!$N$27+1,20,24,28,32,36,40),0)/100)))+1)),0)</f>
        <v/>
      </c>
      <c r="S2188">
        <f>IFERROR(O2188/N2188,0)</f>
        <v/>
      </c>
      <c r="T2188" t="n">
        <v>0</v>
      </c>
      <c r="V2188" t="n">
        <v>0</v>
      </c>
    </row>
    <row r="2189">
      <c r="A2189">
        <f>Skills!A18</f>
        <v/>
      </c>
      <c r="B2189">
        <f>Skills!B18</f>
        <v/>
      </c>
      <c r="C2189">
        <f>Inputs!$B$3&gt;=115</f>
        <v/>
      </c>
      <c r="D2189">
        <f>IF(Skills!C18=1,60+Inputs!$B$25+Inputs!$B$29,IF(Skills!C18=2,90+Inputs!$B$26+Inputs!$B$29,IF(Skills!C18=3,120+Inputs!$B$27+Inputs!$B$29,MAX(0,(Inputs!$B$3-100)*3)+Inputs!$B$28+Inputs!$B$29)))</f>
        <v/>
      </c>
      <c r="E2189">
        <f>INDEX(FactorTable!$B$2:$Y$301, MATCH(ROUND(MIN(300,MAX(1,D2189)),0), FactorTable!$A$2:$A$301,0), Skills!M18+1)</f>
        <v/>
      </c>
      <c r="F2189">
        <f>IF(Skills!N18=TRUE,(Skills!L18/10)*(E2189/1000),Skills!L18/10)+Skills!O18</f>
        <v/>
      </c>
      <c r="G2189">
        <f>Skills!G18*IF(Skills!H18&gt;0,Skills!I18/Skills!H18,1)</f>
        <v/>
      </c>
      <c r="H2189">
        <f>1-(1-Skills!J18/100)^Skills!K18</f>
        <v/>
      </c>
      <c r="I2189" t="inlineStr">
        <is>
          <t>1</t>
        </is>
      </c>
      <c r="J2189" t="inlineStr"/>
      <c r="K2189" t="inlineStr"/>
      <c r="L2189" t="inlineStr"/>
      <c r="M2189" t="inlineStr"/>
      <c r="N2189" t="inlineStr"/>
      <c r="O2189">
        <f>(1-Summary!$B$11)*T2189+Summary!$B$11*V2189</f>
        <v/>
      </c>
      <c r="P2189">
        <f>IF(B2210=0,0,O2189/B2210)</f>
        <v/>
      </c>
      <c r="Q2189">
        <f>IFERROR(1/(IF(Inputs!$B$38="pvp",15,MAX(0.1,Skills!D18-IF(Skills!E18=TRUE,Inputs!$B$32,0)))*(1-IF(AND(ArtifactsInput!$M$27,Inputs!$B$4="Chapter Hunt"),CHOOSE(ArtifactsInput!$N$27+1,20,24,28,32,36,40),0)/100)),0)</f>
        <v/>
      </c>
      <c r="R2189">
        <f>IF(AND(Inputs!$B$38&lt;&gt;"pvp",Inputs!$B$43&gt;0),IF(Inputs!$B$43&lt;=0,0,(INT(Inputs!$B$43/(IF(Inputs!$B$38="pvp",15,MAX(0.1,Skills!D18-IF(Skills!E18=TRUE,Inputs!$B$32,0)))*(1-IF(AND(ArtifactsInput!$M$27,Inputs!$B$4="Chapter Hunt"),CHOOSE(ArtifactsInput!$N$27+1,20,24,28,32,36,40),0)/100)))+1)),0)</f>
        <v/>
      </c>
      <c r="S2189">
        <f>IFERROR(O2189/N2189,0)</f>
        <v/>
      </c>
      <c r="T2189" t="n">
        <v>0</v>
      </c>
      <c r="V2189" t="n">
        <v>0</v>
      </c>
    </row>
    <row r="2190">
      <c r="A2190">
        <f>Skills!A19</f>
        <v/>
      </c>
      <c r="B2190">
        <f>Skills!B19</f>
        <v/>
      </c>
      <c r="C2190">
        <f>TRUE</f>
        <v/>
      </c>
      <c r="D2190">
        <f>IF(Skills!C19=1,60+Inputs!$B$25+Inputs!$B$29,IF(Skills!C19=2,90+Inputs!$B$26+Inputs!$B$29,IF(Skills!C19=3,120+Inputs!$B$27+Inputs!$B$29,MAX(0,(Inputs!$B$3-100)*3)+Inputs!$B$28+Inputs!$B$29)))</f>
        <v/>
      </c>
      <c r="E2190">
        <f>INDEX(FactorTable!$B$2:$Y$301, MATCH(ROUND(MIN(300,MAX(1,D2190)),0), FactorTable!$A$2:$A$301,0), Skills!M19+1)</f>
        <v/>
      </c>
      <c r="F2190">
        <f>IF(Skills!N19=TRUE,(Skills!L19/10)*(E2190/1000),Skills!L19/10)+Skills!O19</f>
        <v/>
      </c>
      <c r="G2190">
        <f>Skills!G19*IF(Skills!H19&gt;0,Skills!I19/Skills!H19,1)</f>
        <v/>
      </c>
      <c r="H2190">
        <f>1-(1-Skills!J19/100)^Skills!K19</f>
        <v/>
      </c>
      <c r="I2190" t="inlineStr">
        <is>
          <t>1</t>
        </is>
      </c>
      <c r="J2190" t="inlineStr"/>
      <c r="K2190" t="inlineStr"/>
      <c r="L2190" t="inlineStr"/>
      <c r="M2190" t="inlineStr"/>
      <c r="N2190" t="inlineStr"/>
      <c r="O2190">
        <f>(1-Summary!$B$11)*T2190+Summary!$B$11*V2190</f>
        <v/>
      </c>
      <c r="P2190">
        <f>IF(B2210=0,0,O2190/B2210)</f>
        <v/>
      </c>
      <c r="Q2190">
        <f>IFERROR(1/(IF(Inputs!$B$38="pvp",15,MAX(0.1,Skills!D19-IF(Skills!E19=TRUE,Inputs!$B$32,0)))*(1-IF(AND(ArtifactsInput!$M$27,Inputs!$B$4="Chapter Hunt"),CHOOSE(ArtifactsInput!$N$27+1,20,24,28,32,36,40),0)/100)),0)</f>
        <v/>
      </c>
      <c r="R2190">
        <f>IF(AND(Inputs!$B$38&lt;&gt;"pvp",Inputs!$B$43&gt;0),IF(Inputs!$B$43&lt;=0,0,(INT(Inputs!$B$43/(IF(Inputs!$B$38="pvp",15,MAX(0.1,Skills!D19-IF(Skills!E19=TRUE,Inputs!$B$32,0)))*(1-IF(AND(ArtifactsInput!$M$27,Inputs!$B$4="Chapter Hunt"),CHOOSE(ArtifactsInput!$N$27+1,20,24,28,32,36,40),0)/100)))+1)),0)</f>
        <v/>
      </c>
      <c r="S2190">
        <f>IFERROR(O2190/N2190,0)</f>
        <v/>
      </c>
      <c r="T2190" t="n">
        <v>0</v>
      </c>
      <c r="V2190" t="n">
        <v>0</v>
      </c>
    </row>
    <row r="2191">
      <c r="A2191">
        <f>Skills!A20</f>
        <v/>
      </c>
      <c r="B2191">
        <f>Skills!B20</f>
        <v/>
      </c>
      <c r="C2191">
        <f>Inputs!$B$3&gt;=33</f>
        <v/>
      </c>
      <c r="D2191">
        <f>IF(Skills!C20=1,60+Inputs!$B$25+Inputs!$B$29,IF(Skills!C20=2,90+Inputs!$B$26+Inputs!$B$29,IF(Skills!C20=3,120+Inputs!$B$27+Inputs!$B$29,MAX(0,(Inputs!$B$3-100)*3)+Inputs!$B$28+Inputs!$B$29)))</f>
        <v/>
      </c>
      <c r="E2191">
        <f>INDEX(FactorTable!$B$2:$Y$301, MATCH(ROUND(MIN(300,MAX(1,D2191)),0), FactorTable!$A$2:$A$301,0), Skills!M20+1)</f>
        <v/>
      </c>
      <c r="F2191">
        <f>IF(Skills!N20=TRUE,(Skills!L20/10)*(E2191/1000),Skills!L20/10)+Skills!O20</f>
        <v/>
      </c>
      <c r="G2191">
        <f>Skills!G20*IF(Skills!H20&gt;0,Skills!I20/Skills!H20,1)</f>
        <v/>
      </c>
      <c r="H2191">
        <f>1-(1-Skills!J20/100)^Skills!K20</f>
        <v/>
      </c>
      <c r="I2191" t="inlineStr">
        <is>
          <t>1</t>
        </is>
      </c>
      <c r="J2191" t="inlineStr"/>
      <c r="K2191" t="inlineStr"/>
      <c r="L2191" t="inlineStr"/>
      <c r="M2191" t="inlineStr"/>
      <c r="N2191" t="inlineStr"/>
      <c r="O2191">
        <f>(1-Summary!$B$11)*T2191+Summary!$B$11*V2191</f>
        <v/>
      </c>
      <c r="P2191">
        <f>IF(B2210=0,0,O2191/B2210)</f>
        <v/>
      </c>
      <c r="Q2191" t="n">
        <v>0</v>
      </c>
      <c r="R2191" t="n">
        <v>0</v>
      </c>
      <c r="S2191">
        <f>IFERROR(O2191/N2191,0)</f>
        <v/>
      </c>
      <c r="T2191" t="n">
        <v>0</v>
      </c>
      <c r="V2191" t="n">
        <v>0</v>
      </c>
    </row>
    <row r="2192">
      <c r="A2192">
        <f>Skills!A21</f>
        <v/>
      </c>
      <c r="B2192">
        <f>Skills!B21</f>
        <v/>
      </c>
      <c r="C2192">
        <f>Inputs!$B$3&gt;=38</f>
        <v/>
      </c>
      <c r="D2192">
        <f>IF(Skills!C21=1,60+Inputs!$B$25+Inputs!$B$29,IF(Skills!C21=2,90+Inputs!$B$26+Inputs!$B$29,IF(Skills!C21=3,120+Inputs!$B$27+Inputs!$B$29,MAX(0,(Inputs!$B$3-100)*3)+Inputs!$B$28+Inputs!$B$29)))</f>
        <v/>
      </c>
      <c r="E2192">
        <f>INDEX(FactorTable!$B$2:$Y$301, MATCH(ROUND(MIN(300,MAX(1,D2192)),0), FactorTable!$A$2:$A$301,0), Skills!M21+1)</f>
        <v/>
      </c>
      <c r="F2192">
        <f>IF(Skills!N21=TRUE,(Skills!L21/10)*(E2192/1000),Skills!L21/10)+Skills!O21</f>
        <v/>
      </c>
      <c r="G2192">
        <f>Skills!G21*IF(Skills!H21&gt;0,Skills!I21/Skills!H21,1)</f>
        <v/>
      </c>
      <c r="H2192">
        <f>1-(1-Skills!J21/100)^Skills!K21</f>
        <v/>
      </c>
      <c r="I2192" t="inlineStr">
        <is>
          <t>1</t>
        </is>
      </c>
      <c r="J2192" t="inlineStr"/>
      <c r="K2192" t="inlineStr"/>
      <c r="L2192" t="inlineStr"/>
      <c r="M2192" t="inlineStr"/>
      <c r="N2192" t="inlineStr"/>
      <c r="O2192">
        <f>(1-Summary!$B$11)*T2192+Summary!$B$11*V2192</f>
        <v/>
      </c>
      <c r="P2192">
        <f>IF(B2210=0,0,O2192/B2210)</f>
        <v/>
      </c>
      <c r="Q2192" t="n">
        <v>0</v>
      </c>
      <c r="R2192" t="n">
        <v>0</v>
      </c>
      <c r="S2192">
        <f>IFERROR(O2192/N2192,0)</f>
        <v/>
      </c>
      <c r="T2192" t="n">
        <v>0</v>
      </c>
      <c r="V2192" t="n">
        <v>0</v>
      </c>
    </row>
    <row r="2193">
      <c r="A2193">
        <f>Skills!A22</f>
        <v/>
      </c>
      <c r="B2193">
        <f>Skills!B22</f>
        <v/>
      </c>
      <c r="C2193">
        <f>Inputs!$B$3&gt;=43</f>
        <v/>
      </c>
      <c r="D2193">
        <f>IF(Skills!C22=1,60+Inputs!$B$25+Inputs!$B$29,IF(Skills!C22=2,90+Inputs!$B$26+Inputs!$B$29,IF(Skills!C22=3,120+Inputs!$B$27+Inputs!$B$29,MAX(0,(Inputs!$B$3-100)*3)+Inputs!$B$28+Inputs!$B$29)))</f>
        <v/>
      </c>
      <c r="E2193">
        <f>INDEX(FactorTable!$B$2:$Y$301, MATCH(ROUND(MIN(300,MAX(1,D2193)),0), FactorTable!$A$2:$A$301,0), Skills!M22+1)</f>
        <v/>
      </c>
      <c r="F2193">
        <f>IF(Skills!N22=TRUE,(Skills!L22/10)*(E2193/1000),Skills!L22/10)+Skills!O22</f>
        <v/>
      </c>
      <c r="G2193">
        <f>Skills!G22*IF(Skills!H22&gt;0,Skills!I22/Skills!H22,1)</f>
        <v/>
      </c>
      <c r="H2193">
        <f>1-(1-Skills!J22/100)^Skills!K22</f>
        <v/>
      </c>
      <c r="I2193" t="inlineStr">
        <is>
          <t>1</t>
        </is>
      </c>
      <c r="J2193" t="inlineStr"/>
      <c r="K2193" t="inlineStr"/>
      <c r="L2193" t="inlineStr"/>
      <c r="M2193" t="inlineStr"/>
      <c r="N2193" t="inlineStr"/>
      <c r="O2193">
        <f>(1-Summary!$B$11)*T2193+Summary!$B$11*V2193</f>
        <v/>
      </c>
      <c r="P2193">
        <f>IF(B2210=0,0,O2193/B2210)</f>
        <v/>
      </c>
      <c r="Q2193" t="n">
        <v>0</v>
      </c>
      <c r="R2193" t="n">
        <v>0</v>
      </c>
      <c r="S2193">
        <f>IFERROR(O2193/N2193,0)</f>
        <v/>
      </c>
      <c r="T2193" t="n">
        <v>0</v>
      </c>
      <c r="V2193" t="n">
        <v>0</v>
      </c>
    </row>
    <row r="2194">
      <c r="A2194">
        <f>Skills!A23</f>
        <v/>
      </c>
      <c r="B2194">
        <f>Skills!B23</f>
        <v/>
      </c>
      <c r="C2194">
        <f>Inputs!$B$3&gt;=120</f>
        <v/>
      </c>
      <c r="D2194">
        <f>IF(Skills!C23=1,60+Inputs!$B$25+Inputs!$B$29,IF(Skills!C23=2,90+Inputs!$B$26+Inputs!$B$29,IF(Skills!C23=3,120+Inputs!$B$27+Inputs!$B$29,MAX(0,(Inputs!$B$3-100)*3)+Inputs!$B$28+Inputs!$B$29)))</f>
        <v/>
      </c>
      <c r="E2194">
        <f>INDEX(FactorTable!$B$2:$Y$301, MATCH(ROUND(MIN(300,MAX(1,D2194)),0), FactorTable!$A$2:$A$301,0), Skills!M23+1)</f>
        <v/>
      </c>
      <c r="F2194">
        <f>IF(Skills!N23=TRUE,(Skills!L23/10)*(E2194/1000),Skills!L23/10)+Skills!O23</f>
        <v/>
      </c>
      <c r="G2194">
        <f>Skills!G23*IF(Skills!H23&gt;0,Skills!I23/Skills!H23,1)</f>
        <v/>
      </c>
      <c r="H2194">
        <f>1-(1-Skills!J23/100)^Skills!K23</f>
        <v/>
      </c>
      <c r="I2194" t="inlineStr">
        <is>
          <t>1</t>
        </is>
      </c>
      <c r="J2194" t="inlineStr"/>
      <c r="K2194" t="inlineStr"/>
      <c r="L2194" t="inlineStr"/>
      <c r="M2194" t="inlineStr"/>
      <c r="N2194" t="inlineStr"/>
      <c r="O2194">
        <f>(1-Summary!$B$11)*T2194+Summary!$B$11*V2194</f>
        <v/>
      </c>
      <c r="P2194">
        <f>IF(B2210=0,0,O2194/B2210)</f>
        <v/>
      </c>
      <c r="Q2194" t="n">
        <v>0</v>
      </c>
      <c r="R2194" t="n">
        <v>0</v>
      </c>
      <c r="S2194">
        <f>IFERROR(O2194/N2194,0)</f>
        <v/>
      </c>
      <c r="T2194" t="n">
        <v>0</v>
      </c>
      <c r="V2194" t="n">
        <v>0</v>
      </c>
    </row>
    <row r="2195">
      <c r="A2195">
        <f>Skills!A24</f>
        <v/>
      </c>
      <c r="B2195">
        <f>Skills!B24</f>
        <v/>
      </c>
      <c r="C2195">
        <f>Inputs!$B$3&gt;=120</f>
        <v/>
      </c>
      <c r="D2195">
        <f>IF(Skills!C24=1,60+Inputs!$B$25+Inputs!$B$29,IF(Skills!C24=2,90+Inputs!$B$26+Inputs!$B$29,IF(Skills!C24=3,120+Inputs!$B$27+Inputs!$B$29,MAX(0,(Inputs!$B$3-100)*3)+Inputs!$B$28+Inputs!$B$29)))</f>
        <v/>
      </c>
      <c r="E2195">
        <f>INDEX(FactorTable!$B$2:$Y$301, MATCH(ROUND(MIN(300,MAX(1,D2195)),0), FactorTable!$A$2:$A$301,0), Skills!M24+1)</f>
        <v/>
      </c>
      <c r="F2195">
        <f>IF(Skills!N24=TRUE,(Skills!L24/10)*(E2195/1000),Skills!L24/10)+Skills!O24</f>
        <v/>
      </c>
      <c r="G2195">
        <f>Skills!G24*IF(Skills!H24&gt;0,Skills!I24/Skills!H24,1)</f>
        <v/>
      </c>
      <c r="H2195">
        <f>1-(1-Skills!J24/100)^Skills!K24</f>
        <v/>
      </c>
      <c r="I2195" t="inlineStr">
        <is>
          <t>1</t>
        </is>
      </c>
      <c r="J2195" t="inlineStr"/>
      <c r="K2195" t="inlineStr"/>
      <c r="L2195" t="inlineStr"/>
      <c r="M2195" t="inlineStr"/>
      <c r="N2195" t="inlineStr"/>
      <c r="O2195">
        <f>(1-Summary!$B$11)*T2195+Summary!$B$11*V2195</f>
        <v/>
      </c>
      <c r="P2195">
        <f>IF(B2210=0,0,O2195/B2210)</f>
        <v/>
      </c>
      <c r="Q2195" t="n">
        <v>0</v>
      </c>
      <c r="R2195" t="n">
        <v>0</v>
      </c>
      <c r="S2195">
        <f>IFERROR(O2195/N2195,0)</f>
        <v/>
      </c>
      <c r="T2195" t="n">
        <v>0</v>
      </c>
      <c r="V2195" t="n">
        <v>0</v>
      </c>
    </row>
    <row r="2196">
      <c r="A2196">
        <f>Skills!A25</f>
        <v/>
      </c>
      <c r="B2196">
        <f>Skills!B25</f>
        <v/>
      </c>
      <c r="C2196">
        <f>Inputs!$B$3&gt;=125</f>
        <v/>
      </c>
      <c r="D2196">
        <f>IF(Skills!C25=1,60+Inputs!$B$25+Inputs!$B$29,IF(Skills!C25=2,90+Inputs!$B$26+Inputs!$B$29,IF(Skills!C25=3,120+Inputs!$B$27+Inputs!$B$29,MAX(0,(Inputs!$B$3-100)*3)+Inputs!$B$28+Inputs!$B$29)))</f>
        <v/>
      </c>
      <c r="E2196">
        <f>INDEX(FactorTable!$B$2:$Y$301, MATCH(ROUND(MIN(300,MAX(1,D2196)),0), FactorTable!$A$2:$A$301,0), Skills!M25+1)</f>
        <v/>
      </c>
      <c r="F2196">
        <f>IF(Skills!N25=TRUE,(Skills!L25/10)*(E2196/1000),Skills!L25/10)+Skills!O25</f>
        <v/>
      </c>
      <c r="G2196">
        <f>Skills!G25*IF(Skills!H25&gt;0,Skills!I25/Skills!H25,1)</f>
        <v/>
      </c>
      <c r="H2196">
        <f>1-(1-Skills!J25/100)^Skills!K25</f>
        <v/>
      </c>
      <c r="I2196" t="inlineStr">
        <is>
          <t>1</t>
        </is>
      </c>
      <c r="J2196" t="inlineStr"/>
      <c r="K2196" t="inlineStr"/>
      <c r="L2196" t="inlineStr"/>
      <c r="M2196" t="inlineStr"/>
      <c r="N2196" t="inlineStr"/>
      <c r="O2196">
        <f>(1-Summary!$B$11)*T2196+Summary!$B$11*V2196</f>
        <v/>
      </c>
      <c r="P2196">
        <f>IF(B2210=0,0,O2196/B2210)</f>
        <v/>
      </c>
      <c r="Q2196" t="n">
        <v>0</v>
      </c>
      <c r="R2196" t="n">
        <v>0</v>
      </c>
      <c r="S2196">
        <f>IFERROR(O2196/N2196,0)</f>
        <v/>
      </c>
      <c r="T2196" t="n">
        <v>0</v>
      </c>
      <c r="V2196" t="n">
        <v>0</v>
      </c>
    </row>
    <row r="2197">
      <c r="A2197">
        <f>Skills!A26</f>
        <v/>
      </c>
      <c r="B2197">
        <f>Skills!B26</f>
        <v/>
      </c>
      <c r="C2197">
        <f>Inputs!$B$3&gt;=72</f>
        <v/>
      </c>
      <c r="D2197">
        <f>IF(Skills!C26=1,60+Inputs!$B$25+Inputs!$B$29,IF(Skills!C26=2,90+Inputs!$B$26+Inputs!$B$29,IF(Skills!C26=3,120+Inputs!$B$27+Inputs!$B$29,MAX(0,(Inputs!$B$3-100)*3)+Inputs!$B$28+Inputs!$B$29)))</f>
        <v/>
      </c>
      <c r="E2197">
        <f>INDEX(FactorTable!$B$2:$Y$301, MATCH(ROUND(MIN(300,MAX(1,D2197)),0), FactorTable!$A$2:$A$301,0), Skills!M26+1)</f>
        <v/>
      </c>
      <c r="F2197">
        <f>IF(Skills!N26=TRUE,(Skills!L26/10)*(E2197/1000),Skills!L26/10)+Skills!O26</f>
        <v/>
      </c>
      <c r="G2197">
        <f>Skills!G26*IF(Skills!H26&gt;0,Skills!I26/Skills!H26,1)</f>
        <v/>
      </c>
      <c r="H2197">
        <f>1-(1-Skills!J26/100)^Skills!K26</f>
        <v/>
      </c>
      <c r="I2197" t="inlineStr">
        <is>
          <t>1</t>
        </is>
      </c>
      <c r="J2197" t="inlineStr"/>
      <c r="K2197" t="inlineStr"/>
      <c r="L2197" t="inlineStr"/>
      <c r="M2197" t="inlineStr"/>
      <c r="N2197" t="inlineStr"/>
      <c r="O2197">
        <f>(1-Summary!$B$11)*T2197+Summary!$B$11*V2197</f>
        <v/>
      </c>
      <c r="P2197">
        <f>IF(B2210=0,0,O2197/B2210)</f>
        <v/>
      </c>
      <c r="Q2197" t="n">
        <v>0</v>
      </c>
      <c r="R2197" t="n">
        <v>0</v>
      </c>
      <c r="S2197">
        <f>IFERROR(O2197/N2197,0)</f>
        <v/>
      </c>
      <c r="T2197" t="n">
        <v>0</v>
      </c>
      <c r="V2197" t="n">
        <v>0</v>
      </c>
    </row>
    <row r="2199">
      <c r="A2199" t="inlineStr">
        <is>
          <t>Attack% Bucket Multiplier</t>
        </is>
      </c>
      <c r="B2199">
        <f>(1+(((C2184=TRUE)*F2184*IF(Inputs!$B$3&gt;=110,7,5))+((C2186=TRUE)*F2186*IF(AND(Inputs!$B$38&lt;&gt;"pvp",Inputs!$B$43&gt;0),(((R2186-1)*(Skills!T15*(1+(Inputs!$B$34+(ArtifactsInput!$M$7-ArtifactsInput!$M$7)*CHOOSE(ArtifactsInput!$N$7+1,6,7.2,8.4,9.6,10.8,12))/100))+MIN((Skills!T15*(1+(Inputs!$B$34+(ArtifactsInput!$M$7-ArtifactsInput!$M$7)*CHOOSE(ArtifactsInput!$N$7+1,6,7.2,8.4,9.6,10.8,12))/100)),MAX(0,Inputs!$B$43-((R2186-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00">
      <c r="A2200" t="inlineStr">
        <is>
          <t>Global Crit Rate Bonus %</t>
        </is>
      </c>
      <c r="B2200" t="n">
        <v>0</v>
      </c>
    </row>
    <row r="2201">
      <c r="A2201" t="inlineStr">
        <is>
          <t>Attack Speed Buff Bonus %</t>
        </is>
      </c>
      <c r="B2201">
        <f>((C2190=TRUE)*F2190*IF(AND(Inputs!$B$38&lt;&gt;"pvp",Inputs!$B$43&gt;0),(((R2190-1)*(Skills!T19*(1+(Inputs!$B$34+(ArtifactsInput!$M$7-ArtifactsInput!$M$7)*CHOOSE(ArtifactsInput!$N$7+1,6,7.2,8.4,9.6,10.8,12))/100))+MIN((Skills!T19*(1+(Inputs!$B$34+(ArtifactsInput!$M$7-ArtifactsInput!$M$7)*CHOOSE(ArtifactsInput!$N$7+1,6,7.2,8.4,9.6,10.8,12))/100)),MAX(0,Inputs!$B$43-((R2190-1)*Skills!D19))))/Inputs!$B$43),IF(Inputs!$B$38="pvp",MIN((Skills!T19*(1+(Inputs!$B$34+(ArtifactsInput!$M$7-ArtifactsInput!$M$7)*CHOOSE(ArtifactsInput!$N$7+1,6,7.2,8.4,9.6,10.8,12))/100)),15)/15,(Skills!T19*(1+(Inputs!$B$34+(ArtifactsInput!$M$7-ArtifactsInput!$M$7)*CHOOSE(ArtifactsInput!$N$7+1,6,7.2,8.4,9.6,10.8,12))/100))/Skills!D19)))</f>
        <v/>
      </c>
    </row>
    <row r="2202">
      <c r="A2202" t="inlineStr">
        <is>
          <t>Actions Per Second</t>
        </is>
      </c>
      <c r="B2202">
        <f>1+MIN(150,150*(1-(1-(Inputs!$B$11+((C2191=TRUE)*(F2191-Calc!F20)))/150)*(1-B2201/150)))/100</f>
        <v/>
      </c>
    </row>
    <row r="2203">
      <c r="A2203" t="inlineStr">
        <is>
          <t>Skill + Buff Cast Rate</t>
        </is>
      </c>
      <c r="B2203">
        <f>IF(AND(Inputs!$B$38&lt;&gt;"pvp",Inputs!$B$43&gt;0),SUMPRODUCT((Skills!E2:E26=TRUE)*(C2173:C2197=TRUE)*R2173:R2197*Skills!F2:F26)/Inputs!$B$43,SUMPRODUCT((Skills!E2:E26=TRUE)*(C2173:C2197=TRUE)*Q2173:Q2197*Skills!F2:F26))</f>
        <v/>
      </c>
    </row>
    <row r="2204">
      <c r="A2204" t="inlineStr">
        <is>
          <t>Raging Blow Casts Per Second</t>
        </is>
      </c>
      <c r="B2204">
        <f>MAX(0,B2202-B2203)</f>
        <v/>
      </c>
    </row>
    <row r="2205">
      <c r="A2205" t="inlineStr">
        <is>
          <t>Global Critical Damage Bonus % (Enrage)</t>
        </is>
      </c>
      <c r="B2205">
        <f>((C2189=TRUE)*F2189*IF(AND(Inputs!$B$38&lt;&gt;"pvp",Inputs!$B$43&gt;0),(((R2189-1)*(Skills!T18*(1+(Inputs!$B$34+(ArtifactsInput!$M$7-ArtifactsInput!$M$7)*CHOOSE(ArtifactsInput!$N$7+1,6,7.2,8.4,9.6,10.8,12))/100))+MIN((Skills!T18*(1+(Inputs!$B$34+(ArtifactsInput!$M$7-ArtifactsInput!$M$7)*CHOOSE(ArtifactsInput!$N$7+1,6,7.2,8.4,9.6,10.8,12))/100)),MAX(0,Inputs!$B$43-((R2189-1)*Skills!D18))))/Inputs!$B$43),IF(Inputs!$B$38="pvp",MIN((Skills!T18*(1+(Inputs!$B$34+(ArtifactsInput!$M$7-ArtifactsInput!$M$7)*CHOOSE(ArtifactsInput!$N$7+1,6,7.2,8.4,9.6,10.8,12))/100)),15)/15,(Skills!T18*(1+(Inputs!$B$34+(ArtifactsInput!$M$7-ArtifactsInput!$M$7)*CHOOSE(ArtifactsInput!$N$7+1,6,7.2,8.4,9.6,10.8,12))/100))/Skills!D18)))</f>
        <v/>
      </c>
    </row>
    <row r="2206">
      <c r="A2206" t="inlineStr">
        <is>
          <t>Global Final Damage Bonus % (Enrage + Combo Synergy)</t>
        </is>
      </c>
      <c r="B2206">
        <f>((C2188=TRUE)*F2188*IF(AND(Inputs!$B$38&lt;&gt;"pvp",Inputs!$B$43&gt;0),(((R2188-1)*(Skills!T17*(1+(Inputs!$B$34+(ArtifactsInput!$M$7-ArtifactsInput!$M$7)*CHOOSE(ArtifactsInput!$N$7+1,6,7.2,8.4,9.6,10.8,12))/100))+MIN((Skills!T17*(1+(Inputs!$B$34+(ArtifactsInput!$M$7-ArtifactsInput!$M$7)*CHOOSE(ArtifactsInput!$N$7+1,6,7.2,8.4,9.6,10.8,12))/100)),MAX(0,Inputs!$B$43-((R2188-1)*Skills!D17))))/Inputs!$B$43),IF(Inputs!$B$38="pvp",MIN((Skills!T17*(1+(Inputs!$B$34+(ArtifactsInput!$M$7-ArtifactsInput!$M$7)*CHOOSE(ArtifactsInput!$N$7+1,6,7.2,8.4,9.6,10.8,12))/100)),15)/15,(Skills!T17*(1+(Inputs!$B$34+(ArtifactsInput!$M$7-ArtifactsInput!$M$7)*CHOOSE(ArtifactsInput!$N$7+1,6,7.2,8.4,9.6,10.8,12))/100))/Skills!D17)))+((C2185=TRUE)*F2185*IF(Inputs!$B$3&gt;=110,7,5))</f>
        <v/>
      </c>
    </row>
    <row r="2207">
      <c r="A2207" t="inlineStr">
        <is>
          <t>Buff-Casting Startup Delay (s, fixed-duration only)</t>
        </is>
      </c>
      <c r="B2207">
        <f>IF(AND(Inputs!$B$38&lt;&gt;"pvp",Inputs!$B$43&gt;0),SUMPRODUCT((Skills!T2:T26&gt;0)*(Skills!E2:E26=TRUE)*(C2173:C2197=TRUE))/B2202,0)</f>
        <v/>
      </c>
    </row>
    <row r="2208">
      <c r="A2208" t="inlineStr">
        <is>
          <t>Boss-Only Total DPS (this block's swept value)</t>
        </is>
      </c>
      <c r="B2208">
        <f>SUM(T2173:T2197)</f>
        <v/>
      </c>
    </row>
    <row r="2209">
      <c r="A2209" t="inlineStr">
        <is>
          <t>Normal-Only Total DPS (this block's swept value)</t>
        </is>
      </c>
      <c r="B2209">
        <f>SUM(V2173:V2197)</f>
        <v/>
      </c>
    </row>
    <row r="2210">
      <c r="A2210" s="6" t="inlineStr">
        <is>
          <t>TOTAL DPS</t>
        </is>
      </c>
      <c r="B2210" s="6">
        <f>SUM(O2173:O2197)</f>
        <v/>
      </c>
    </row>
    <row r="2213">
      <c r="A2213" s="6" t="inlineStr">
        <is>
          <t>Stat: Flaming Lava (Equip)</t>
        </is>
      </c>
    </row>
    <row r="2214">
      <c r="A2214" s="5" t="inlineStr">
        <is>
          <t>Key</t>
        </is>
      </c>
      <c r="B2214" s="5" t="inlineStr">
        <is>
          <t>Name</t>
        </is>
      </c>
      <c r="C2214" s="5" t="inlineStr">
        <is>
          <t>Unlocked</t>
        </is>
      </c>
      <c r="D2214" s="5" t="inlineStr">
        <is>
          <t>InputLevel</t>
        </is>
      </c>
      <c r="E2214" s="5" t="inlineStr">
        <is>
          <t>Factor</t>
        </is>
      </c>
      <c r="F2214" s="5" t="inlineStr">
        <is>
          <t>CoefficientPercent</t>
        </is>
      </c>
      <c r="G2214" s="5" t="inlineStr">
        <is>
          <t>EffectiveHits</t>
        </is>
      </c>
      <c r="H2214" s="5" t="inlineStr">
        <is>
          <t>ProcProbability</t>
        </is>
      </c>
      <c r="I2214" s="5" t="inlineStr">
        <is>
          <t>MapleHeroMultiplier</t>
        </is>
      </c>
      <c r="J2214" s="5" t="inlineStr">
        <is>
          <t>BaseDamage</t>
        </is>
      </c>
      <c r="K2214" s="5" t="inlineStr">
        <is>
          <t>BaseHitDamage</t>
        </is>
      </c>
      <c r="L2214" s="5" t="inlineStr">
        <is>
          <t>NonCritAvg</t>
        </is>
      </c>
      <c r="M2214" s="5" t="inlineStr">
        <is>
          <t>CritAvg</t>
        </is>
      </c>
      <c r="N2214" s="5" t="inlineStr">
        <is>
          <t>ExpectedDamage(perHit)</t>
        </is>
      </c>
      <c r="O2214" s="5" t="inlineStr">
        <is>
          <t>DPS</t>
        </is>
      </c>
      <c r="P2214" s="5" t="inlineStr">
        <is>
          <t>% of Total</t>
        </is>
      </c>
      <c r="Q2214" s="5" t="inlineStr">
        <is>
          <t>InvCooldown</t>
        </is>
      </c>
      <c r="R2214" s="5" t="inlineStr">
        <is>
          <t>CastsInFight</t>
        </is>
      </c>
      <c r="S2214" s="5" t="inlineStr">
        <is>
          <t>HitRate(perSec)</t>
        </is>
      </c>
      <c r="U2214" t="inlineStr">
        <is>
          <t>helpers</t>
        </is>
      </c>
    </row>
    <row r="2215">
      <c r="A2215">
        <f>Skills!A2</f>
        <v/>
      </c>
      <c r="B2215">
        <f>Skills!B2</f>
        <v/>
      </c>
      <c r="C2215">
        <f>Inputs!$B$3&gt;=100</f>
        <v/>
      </c>
      <c r="D2215" t="inlineStr"/>
      <c r="E2215" t="inlineStr"/>
      <c r="F2215">
        <f>U2217+Skills!O2</f>
        <v/>
      </c>
      <c r="G2215">
        <f>Skills!G2*IF(Skills!H2&gt;0,Skills!I2/Skills!H2,1)</f>
        <v/>
      </c>
      <c r="H2215">
        <f>1-(1-Skills!J2/100)^Skills!K2</f>
        <v/>
      </c>
      <c r="I2215" t="inlineStr">
        <is>
          <t>1</t>
        </is>
      </c>
      <c r="J2215">
        <f>((Inputs!$B$6*(1+Inputs!$B$7/100))+(((Inputs!$B$12*(1+Inputs!$B$13/100))-(Inputs!$B$12*(1+Inputs!$B$13/100)))+0.25*(Inputs!$B$14-Inputs!$B$14))*(1+Inputs!$B$7/100))*(F2215/100)</f>
        <v/>
      </c>
      <c r="K2215">
        <f>J2215*(1+((Inputs!$B$12*(1+Inputs!$B$13/100))*0.01+Inputs!$B$14*0.0025)/100)*(1+Inputs!$B$15/100)*(1+Inputs!$B$16/100)*(5000/(6000+Inputs!$B$42*(1-(100*(1-(1-(Inputs!$B$19+0)/100)*(1-CHOOSE(ArtifactsInput!$N$40+1,5,6,7,8,9,10)/100)^(ArtifactsInput!$M$40-ArtifactsInput!$M$40)))/100)))*(1+(Inputs!$B$24+((C2238=TRUE)*(F2238-Calc!F25))+B2248)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2234=TRUE)*(F2234-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2236=TRUE)*(F2236-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2226=TRUE)*F2226*IF(Inputs!$B$3&gt;=110,7,5))+((C2228=TRUE)*F2228*IF(AND(Inputs!$B$38&lt;&gt;"pvp",Inputs!$B$43&gt;0),(((R2228-1)*(Skills!T15*(1+(Inputs!$B$34+(ArtifactsInput!$M$7-ArtifactsInput!$M$7)*CHOOSE(ArtifactsInput!$N$7+1,6,7.2,8.4,9.6,10.8,12))/100))+MIN((Skills!T15*(1+(Inputs!$B$34+(ArtifactsInput!$M$7-ArtifactsInput!$M$7)*CHOOSE(ArtifactsInput!$N$7+1,6,7.2,8.4,9.6,10.8,12))/100)),MAX(0,Inputs!$B$43-((R2228-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Hunt"),CHOOSE(ArtifactsInput!$N$35+1,15,18,21,24,27,30)*(1-EXP(-(0.2*B2244)*5)),0)+IF(AND(ArtifactsInput!$M$22,Inputs!$B$4&lt;&gt;"Chapter Hunt"),CHOOSE(ArtifactsInput!$N$22+1,10,12,14,16,18,20)*((0*(((0.15*B2244*5))^0/1)+1*(((0.15*B2244*5))^1/1)+2*(((0.15*B2244*5))^2/2)+3*(((0.15*B2244*5))^3/6)+4*(((0.15*B2244*5))^4/24)+5*(((0.15*B2244*5))^5/120))/((((0.15*B2244*5))^0/1)+(((0.15*B2244*5))^1/1)+(((0.15*B2244*5))^2/2)+(((0.15*B2244*5))^3/6)+(((0.15*B2244*5))^4/24)+(((0.15*B2244*5))^5/120))),0)))/100)*I2215)</f>
        <v/>
      </c>
      <c r="L2215">
        <f>K2215*(MIN(Inputs!$B$22+((C2235=TRUE)*(F2235-Calc!F22)),(Inputs!$B$23+((C2237=TRUE)*(F2237-Calc!F24))+(IF(ArtifactsInput!$M$15,CHOOSE(ArtifactsInput!$N$15+1,25,30,35,40,45,50)/100*(Inputs!$B$11-Inputs!$B$11),0))))/100+(Inputs!$B$23+((C2237=TRUE)*(F2237-Calc!F24))+(IF(ArtifactsInput!$M$15,CHOOSE(ArtifactsInput!$N$15+1,25,30,35,40,45,50)/100*(Inputs!$B$11-Inputs!$B$11),0)))/100)/2</f>
        <v/>
      </c>
      <c r="M2215">
        <f>L2215*(1+(Inputs!$B$10+0+B2247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15">
        <f>L2215*(1-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2215*(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15">
        <f>(1-Summary!$B$11)*T2215+Summary!$B$11*V2215</f>
        <v/>
      </c>
      <c r="P2215">
        <f>IF(B2252=0,0,O2215/B2252)</f>
        <v/>
      </c>
      <c r="Q2215" t="n">
        <v>0</v>
      </c>
      <c r="R2215" t="n">
        <v>0</v>
      </c>
      <c r="S2215">
        <f>IFERROR(O2215/N2215,0)</f>
        <v/>
      </c>
      <c r="T2215">
        <f>IF(C2215,(Skills!G2*N2215*B2246)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2215*(1-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2215*(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2215*(1-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2215*(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15">
        <f>MAX(0,(Inputs!$B$3-100)*3)+Inputs!$B$28+Inputs!$B$29</f>
        <v/>
      </c>
      <c r="V2215">
        <f>IF(C2215,(Skills!G2*N2215*B2246)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16">
      <c r="A2216">
        <f>Skills!A3</f>
        <v/>
      </c>
      <c r="B2216">
        <f>Skills!B3</f>
        <v/>
      </c>
      <c r="C2216">
        <f>Inputs!$B$3&gt;=50</f>
        <v/>
      </c>
      <c r="D2216">
        <f>IF(Skills!C3=1,60+Inputs!$B$25+Inputs!$B$29,IF(Skills!C3=2,90+Inputs!$B$26+Inputs!$B$29,IF(Skills!C3=3,120+Inputs!$B$27+Inputs!$B$29,MAX(0,(Inputs!$B$3-100)*3)+Inputs!$B$28+Inputs!$B$29)))</f>
        <v/>
      </c>
      <c r="E2216">
        <f>INDEX(FactorTable!$B$2:$Y$301, MATCH(ROUND(MIN(300,MAX(1,D2216)),0), FactorTable!$A$2:$A$301,0), Skills!M3+1)</f>
        <v/>
      </c>
      <c r="F2216">
        <f>IF(Skills!N3=TRUE,(Skills!L3/10)*(E2216/1000),Skills!L3/10)+Skills!O3</f>
        <v/>
      </c>
      <c r="G2216" t="inlineStr"/>
      <c r="H2216" t="inlineStr"/>
      <c r="I2216" t="inlineStr">
        <is>
          <t>1</t>
        </is>
      </c>
      <c r="J2216" t="inlineStr"/>
      <c r="K2216" t="inlineStr"/>
      <c r="L2216" t="inlineStr"/>
      <c r="M2216" t="inlineStr"/>
      <c r="N2216" t="inlineStr"/>
      <c r="O2216" t="inlineStr"/>
      <c r="P2216" t="inlineStr"/>
      <c r="Q2216" t="inlineStr"/>
      <c r="R2216" t="inlineStr"/>
      <c r="S2216" t="inlineStr"/>
      <c r="U2216">
        <f>INDEX(FactorTable!$B$2:$Y$301, MATCH(ROUND(MIN(300,MAX(1,U2215)),0), FactorTable!$A$2:$A$301,0), 22)</f>
        <v/>
      </c>
    </row>
    <row r="2217">
      <c r="A2217">
        <f>Skills!A4</f>
        <v/>
      </c>
      <c r="B2217">
        <f>Skills!B4</f>
        <v/>
      </c>
      <c r="C2217">
        <f>Inputs!$B$3&gt;=105</f>
        <v/>
      </c>
      <c r="D2217">
        <f>IF(Skills!C4=1,60+Inputs!$B$25+Inputs!$B$29,IF(Skills!C4=2,90+Inputs!$B$26+Inputs!$B$29,IF(Skills!C4=3,120+Inputs!$B$27+Inputs!$B$29,MAX(0,(Inputs!$B$3-100)*3)+Inputs!$B$28+Inputs!$B$29)))</f>
        <v/>
      </c>
      <c r="E2217">
        <f>INDEX(FactorTable!$B$2:$Y$301, MATCH(ROUND(MIN(300,MAX(1,D2217)),0), FactorTable!$A$2:$A$301,0), Skills!M4+1)</f>
        <v/>
      </c>
      <c r="F2217">
        <f>IF(Skills!N4=TRUE,(Skills!L4/10)*(E2217/1000),Skills!L4/10)+Skills!O4</f>
        <v/>
      </c>
      <c r="G2217" t="inlineStr"/>
      <c r="H2217" t="inlineStr"/>
      <c r="I2217" t="inlineStr">
        <is>
          <t>1</t>
        </is>
      </c>
      <c r="J2217" t="inlineStr"/>
      <c r="K2217" t="inlineStr"/>
      <c r="L2217" t="inlineStr"/>
      <c r="M2217" t="inlineStr"/>
      <c r="N2217" t="inlineStr"/>
      <c r="O2217" t="inlineStr"/>
      <c r="P2217" t="inlineStr"/>
      <c r="Q2217" t="inlineStr"/>
      <c r="R2217" t="inlineStr"/>
      <c r="S2217" t="inlineStr"/>
      <c r="U2217">
        <f>290*U2216/1000</f>
        <v/>
      </c>
    </row>
    <row r="2218">
      <c r="A2218">
        <f>Skills!A5</f>
        <v/>
      </c>
      <c r="B2218">
        <f>Skills!B5</f>
        <v/>
      </c>
      <c r="C2218">
        <f>Inputs!$B$3&gt;=103</f>
        <v/>
      </c>
      <c r="D2218">
        <f>IF(Skills!C5=1,60+Inputs!$B$25+Inputs!$B$29,IF(Skills!C5=2,90+Inputs!$B$26+Inputs!$B$29,IF(Skills!C5=3,120+Inputs!$B$27+Inputs!$B$29,MAX(0,(Inputs!$B$3-100)*3)+Inputs!$B$28+Inputs!$B$29)))</f>
        <v/>
      </c>
      <c r="E2218">
        <f>INDEX(FactorTable!$B$2:$Y$301, MATCH(ROUND(MIN(300,MAX(1,D2218)),0), FactorTable!$A$2:$A$301,0), Skills!M5+1)</f>
        <v/>
      </c>
      <c r="F2218">
        <f>IF(Skills!N5=TRUE,(Skills!L5/10)*(E2218/1000),Skills!L5/10)+Skills!O5</f>
        <v/>
      </c>
      <c r="G2218">
        <f>Skills!G5*IF(Skills!H5&gt;0,Skills!I5/Skills!H5,1)</f>
        <v/>
      </c>
      <c r="H2218">
        <f>1-(1-Skills!J5/100)^Skills!K5</f>
        <v/>
      </c>
      <c r="I2218" t="inlineStr">
        <is>
          <t>1</t>
        </is>
      </c>
      <c r="J2218">
        <f>((Inputs!$B$6*(1+Inputs!$B$7/100))+(((Inputs!$B$12*(1+Inputs!$B$13/100))-(Inputs!$B$12*(1+Inputs!$B$13/100)))+0.25*(Inputs!$B$14-Inputs!$B$14))*(1+Inputs!$B$7/100))*(F2218/100)</f>
        <v/>
      </c>
      <c r="K2218">
        <f>J2218*(1+((Inputs!$B$12*(1+Inputs!$B$13/100))*0.01+Inputs!$B$14*0.0025)/100)*(1+Inputs!$B$15/100)*(1+Inputs!$B$16/100)*(5000/(6000+Inputs!$B$42*(1-(100*(1-(1-(Inputs!$B$19+0)/100)*(1-CHOOSE(ArtifactsInput!$N$40+1,5,6,7,8,9,10)/100)^(ArtifactsInput!$M$40-ArtifactsInput!$M$40)))/100)))*(1+(Inputs!$B$24+((C2238=TRUE)*(F2238-Calc!F25))+B2248)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2234=TRUE)*(F2234-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2236=TRUE)*(F2236-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2226=TRUE)*F2226*IF(Inputs!$B$3&gt;=110,7,5))+((C2228=TRUE)*F2228*IF(AND(Inputs!$B$38&lt;&gt;"pvp",Inputs!$B$43&gt;0),(((R2228-1)*(Skills!T15*(1+(Inputs!$B$34+(ArtifactsInput!$M$7-ArtifactsInput!$M$7)*CHOOSE(ArtifactsInput!$N$7+1,6,7.2,8.4,9.6,10.8,12))/100))+MIN((Skills!T15*(1+(Inputs!$B$34+(ArtifactsInput!$M$7-ArtifactsInput!$M$7)*CHOOSE(ArtifactsInput!$N$7+1,6,7.2,8.4,9.6,10.8,12))/100)),MAX(0,Inputs!$B$43-((R2228-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Hunt"),CHOOSE(ArtifactsInput!$N$35+1,15,18,21,24,27,30)*(1-EXP(-(0.2*B2244)*5)),0)+IF(AND(ArtifactsInput!$M$22,Inputs!$B$4&lt;&gt;"Chapter Hunt"),CHOOSE(ArtifactsInput!$N$22+1,10,12,14,16,18,20)*((0*(((0.15*B2244*5))^0/1)+1*(((0.15*B2244*5))^1/1)+2*(((0.15*B2244*5))^2/2)+3*(((0.15*B2244*5))^3/6)+4*(((0.15*B2244*5))^4/24)+5*(((0.15*B2244*5))^5/120))/((((0.15*B2244*5))^0/1)+(((0.15*B2244*5))^1/1)+(((0.15*B2244*5))^2/2)+(((0.15*B2244*5))^3/6)+(((0.15*B2244*5))^4/24)+(((0.15*B2244*5))^5/120))),0)))/100)*I2218)</f>
        <v/>
      </c>
      <c r="L2218">
        <f>K2218*(MIN(Inputs!$B$22+((C2235=TRUE)*(F2235-Calc!F22)),(Inputs!$B$23+((C2237=TRUE)*(F2237-Calc!F24))+(IF(ArtifactsInput!$M$15,CHOOSE(ArtifactsInput!$N$15+1,25,30,35,40,45,50)/100*(Inputs!$B$11-Inputs!$B$11),0))))/100+(Inputs!$B$23+((C2237=TRUE)*(F2237-Calc!F24))+(IF(ArtifactsInput!$M$15,CHOOSE(ArtifactsInput!$N$15+1,25,30,35,40,45,50)/100*(Inputs!$B$11-Inputs!$B$11),0)))/100)/2</f>
        <v/>
      </c>
      <c r="M2218">
        <f>L2218*(1+(Inputs!$B$10+0+B2247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18">
        <f>L2218*(1-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2218*(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18">
        <f>(1-Summary!$B$11)*T2218+Summary!$B$11*V2218</f>
        <v/>
      </c>
      <c r="P2218">
        <f>IF(B2252=0,0,O2218/B2252)</f>
        <v/>
      </c>
      <c r="Q2218">
        <f>IFERROR(1/(IF(Inputs!$B$38="pvp",15,MAX(0.1,Skills!D5-IF(Skills!E5=TRUE,Inputs!$B$32,0)))*(1-IF(AND(ArtifactsInput!$M$27,Inputs!$B$4="Chapter Hunt"),CHOOSE(ArtifactsInput!$N$27+1,20,24,28,32,36,40),0)/100)),0)</f>
        <v/>
      </c>
      <c r="R2218">
        <f>IF(AND(Inputs!$B$38&lt;&gt;"pvp",Inputs!$B$43&gt;0),IF(MAX(0,Inputs!$B$43-B2249)&lt;=0,0,(INT(MAX(0,Inputs!$B$43-B2249)/(IF(Inputs!$B$38="pvp",15,MAX(0.1,Skills!D5-IF(Skills!E5=TRUE,Inputs!$B$32,0)))*(1-IF(AND(ArtifactsInput!$M$27,Inputs!$B$4="Chapter Hunt"),CHOOSE(ArtifactsInput!$N$27+1,20,24,28,32,36,40),0)/100)))+1)),0)</f>
        <v/>
      </c>
      <c r="S2218">
        <f>IFERROR(O2218/N2218,0)</f>
        <v/>
      </c>
      <c r="T2218">
        <f>IF(C2218,(H2218*N2218*IF(AND(Inputs!$B$38&lt;&gt;"pvp",Inputs!$B$43&gt;0),((Skills!G5*((R2218-1)*IF(Skills!H5&gt;0,Skills!I5/Skills!H5,1)+IF(Skills!H5&gt;0,MIN(Skills!I5,MAX(0,MAX(0,Inputs!$B$43-B2249)-((R2218-1)*(IF(Inputs!$B$38="pvp",15,MAX(0.1,Skills!D5-IF(Skills!E5=TRUE,Inputs!$B$32,0)))*(1-IF(AND(ArtifactsInput!$M$27,Inputs!$B$4="Chapter Hunt"),CHOOSE(ArtifactsInput!$N$27+1,20,24,28,32,36,40),0)/100)))))/Skills!H5,1)))/Inputs!$B$43),G2218*Q2218)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2218*(1-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2218*(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2218*(1-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2218*(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18">
        <f>IF(C2218,(H2218*N2218*IF(AND(Inputs!$B$38&lt;&gt;"pvp",Inputs!$B$43&gt;0),((Skills!G5*((R2218-1)*IF(Skills!H5&gt;0,Skills!I5/Skills!H5,1)+IF(Skills!H5&gt;0,MIN(Skills!I5,MAX(0,MAX(0,Inputs!$B$43-B2249)-((R2218-1)*(IF(Inputs!$B$38="pvp",15,MAX(0.1,Skills!D5-IF(Skills!E5=TRUE,Inputs!$B$32,0)))*(1-IF(AND(ArtifactsInput!$M$27,Inputs!$B$4="Chapter Hunt"),CHOOSE(ArtifactsInput!$N$27+1,20,24,28,32,36,40),0)/100)))))/Skills!H5,1)))/Inputs!$B$43),G2218*Q2218)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19">
      <c r="A2219">
        <f>Skills!A6</f>
        <v/>
      </c>
      <c r="B2219">
        <f>Skills!B6</f>
        <v/>
      </c>
      <c r="C2219">
        <f>Inputs!$B$3&gt;=103</f>
        <v/>
      </c>
      <c r="D2219">
        <f>IF(Skills!C6=1,60+Inputs!$B$25+Inputs!$B$29,IF(Skills!C6=2,90+Inputs!$B$26+Inputs!$B$29,IF(Skills!C6=3,120+Inputs!$B$27+Inputs!$B$29,MAX(0,(Inputs!$B$3-100)*3)+Inputs!$B$28+Inputs!$B$29)))</f>
        <v/>
      </c>
      <c r="E2219">
        <f>INDEX(FactorTable!$B$2:$Y$301, MATCH(ROUND(MIN(300,MAX(1,D2219)),0), FactorTable!$A$2:$A$301,0), Skills!M6+1)</f>
        <v/>
      </c>
      <c r="F2219">
        <f>IF(Skills!N6=TRUE,(Skills!L6/10)*(E2219/1000),Skills!L6/10)+Skills!O6</f>
        <v/>
      </c>
      <c r="G2219">
        <f>Skills!G6*IF(Skills!H6&gt;0,Skills!I6/Skills!H6,1)</f>
        <v/>
      </c>
      <c r="H2219">
        <f>1-(1-Skills!J6/100)^Skills!K6</f>
        <v/>
      </c>
      <c r="I2219" t="inlineStr">
        <is>
          <t>1</t>
        </is>
      </c>
      <c r="J2219">
        <f>((Inputs!$B$6*(1+Inputs!$B$7/100))+(((Inputs!$B$12*(1+Inputs!$B$13/100))-(Inputs!$B$12*(1+Inputs!$B$13/100)))+0.25*(Inputs!$B$14-Inputs!$B$14))*(1+Inputs!$B$7/100))*(F2219/100)</f>
        <v/>
      </c>
      <c r="K2219">
        <f>J2219*(1+((Inputs!$B$12*(1+Inputs!$B$13/100))*0.01+Inputs!$B$14*0.0025)/100)*(1+Inputs!$B$15/100)*(1+Inputs!$B$16/100)*(5000/(6000+Inputs!$B$42*(1-(100*(1-(1-(Inputs!$B$19+0)/100)*(1-CHOOSE(ArtifactsInput!$N$40+1,5,6,7,8,9,10)/100)^(ArtifactsInput!$M$40-ArtifactsInput!$M$40)))/100)))*(1+(Inputs!$B$24+((C2238=TRUE)*(F2238-Calc!F25))+B2248)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2234=TRUE)*(F2234-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2236=TRUE)*(F2236-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2226=TRUE)*F2226*IF(Inputs!$B$3&gt;=110,7,5))+((C2228=TRUE)*F2228*IF(AND(Inputs!$B$38&lt;&gt;"pvp",Inputs!$B$43&gt;0),(((R2228-1)*(Skills!T15*(1+(Inputs!$B$34+(ArtifactsInput!$M$7-ArtifactsInput!$M$7)*CHOOSE(ArtifactsInput!$N$7+1,6,7.2,8.4,9.6,10.8,12))/100))+MIN((Skills!T15*(1+(Inputs!$B$34+(ArtifactsInput!$M$7-ArtifactsInput!$M$7)*CHOOSE(ArtifactsInput!$N$7+1,6,7.2,8.4,9.6,10.8,12))/100)),MAX(0,Inputs!$B$43-((R2228-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Hunt"),CHOOSE(ArtifactsInput!$N$35+1,15,18,21,24,27,30)*(1-EXP(-(0.2*B2244)*5)),0)+IF(AND(ArtifactsInput!$M$22,Inputs!$B$4&lt;&gt;"Chapter Hunt"),CHOOSE(ArtifactsInput!$N$22+1,10,12,14,16,18,20)*((0*(((0.15*B2244*5))^0/1)+1*(((0.15*B2244*5))^1/1)+2*(((0.15*B2244*5))^2/2)+3*(((0.15*B2244*5))^3/6)+4*(((0.15*B2244*5))^4/24)+5*(((0.15*B2244*5))^5/120))/((((0.15*B2244*5))^0/1)+(((0.15*B2244*5))^1/1)+(((0.15*B2244*5))^2/2)+(((0.15*B2244*5))^3/6)+(((0.15*B2244*5))^4/24)+(((0.15*B2244*5))^5/120))),0)))/100)*I2219)</f>
        <v/>
      </c>
      <c r="L2219">
        <f>K2219*(MIN(Inputs!$B$22+((C2235=TRUE)*(F2235-Calc!F22)),(Inputs!$B$23+((C2237=TRUE)*(F2237-Calc!F24))+(IF(ArtifactsInput!$M$15,CHOOSE(ArtifactsInput!$N$15+1,25,30,35,40,45,50)/100*(Inputs!$B$11-Inputs!$B$11),0))))/100+(Inputs!$B$23+((C2237=TRUE)*(F2237-Calc!F24))+(IF(ArtifactsInput!$M$15,CHOOSE(ArtifactsInput!$N$15+1,25,30,35,40,45,50)/100*(Inputs!$B$11-Inputs!$B$11),0)))/100)/2</f>
        <v/>
      </c>
      <c r="M2219">
        <f>L2219*(1+(Inputs!$B$10+0+B2247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19">
        <f>L2219*(1-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2219*(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19">
        <f>(1-Summary!$B$11)*T2219+Summary!$B$11*V2219</f>
        <v/>
      </c>
      <c r="P2219">
        <f>IF(B2252=0,0,O2219/B2252)</f>
        <v/>
      </c>
      <c r="Q2219">
        <f>IFERROR(1/(IF(Inputs!$B$38="pvp",15,MAX(0.1,Skills!D6-IF(Skills!E6=TRUE,Inputs!$B$32,0)))*(1-IF(AND(ArtifactsInput!$M$27,Inputs!$B$4="Chapter Hunt"),CHOOSE(ArtifactsInput!$N$27+1,20,24,28,32,36,40),0)/100)),0)</f>
        <v/>
      </c>
      <c r="R2219">
        <f>IF(AND(Inputs!$B$38&lt;&gt;"pvp",Inputs!$B$43&gt;0),IF(MAX(0,Inputs!$B$43-B2249)&lt;=0,0,(INT(MAX(0,Inputs!$B$43-B2249)/(IF(Inputs!$B$38="pvp",15,MAX(0.1,Skills!D6-IF(Skills!E6=TRUE,Inputs!$B$32,0)))*(1-IF(AND(ArtifactsInput!$M$27,Inputs!$B$4="Chapter Hunt"),CHOOSE(ArtifactsInput!$N$27+1,20,24,28,32,36,40),0)/100)))+1)),0)</f>
        <v/>
      </c>
      <c r="S2219">
        <f>IFERROR(O2219/N2219,0)</f>
        <v/>
      </c>
      <c r="T2219">
        <f>IF(C2219,(H2219*N2219*IF(AND(Inputs!$B$38&lt;&gt;"pvp",Inputs!$B$43&gt;0),((Skills!G6*((R2219-1)*IF(Skills!H6&gt;0,Skills!I6/Skills!H6,1)+IF(Skills!H6&gt;0,MIN(Skills!I6,MAX(0,MAX(0,Inputs!$B$43-B2249)-((R2219-1)*(IF(Inputs!$B$38="pvp",15,MAX(0.1,Skills!D6-IF(Skills!E6=TRUE,Inputs!$B$32,0)))*(1-IF(AND(ArtifactsInput!$M$27,Inputs!$B$4="Chapter Hunt"),CHOOSE(ArtifactsInput!$N$27+1,20,24,28,32,36,40),0)/100)))))/Skills!H6,1)))/Inputs!$B$43),G2219*Q2219)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2219*(1-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2219*(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2219*(1-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2219*(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19">
        <f>IF(C2219,(H2219*N2219*IF(AND(Inputs!$B$38&lt;&gt;"pvp",Inputs!$B$43&gt;0),((Skills!G6*((R2219-1)*IF(Skills!H6&gt;0,Skills!I6/Skills!H6,1)+IF(Skills!H6&gt;0,MIN(Skills!I6,MAX(0,MAX(0,Inputs!$B$43-B2249)-((R2219-1)*(IF(Inputs!$B$38="pvp",15,MAX(0.1,Skills!D6-IF(Skills!E6=TRUE,Inputs!$B$32,0)))*(1-IF(AND(ArtifactsInput!$M$27,Inputs!$B$4="Chapter Hunt"),CHOOSE(ArtifactsInput!$N$27+1,20,24,28,32,36,40),0)/100)))))/Skills!H6,1)))/Inputs!$B$43),G2219*Q2219)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20">
      <c r="A2220">
        <f>Skills!A7</f>
        <v/>
      </c>
      <c r="B2220">
        <f>Skills!B7</f>
        <v/>
      </c>
      <c r="C2220">
        <f>Inputs!$B$3&gt;=107</f>
        <v/>
      </c>
      <c r="D2220">
        <f>IF(Skills!C7=1,60+Inputs!$B$25+Inputs!$B$29,IF(Skills!C7=2,90+Inputs!$B$26+Inputs!$B$29,IF(Skills!C7=3,120+Inputs!$B$27+Inputs!$B$29,MAX(0,(Inputs!$B$3-100)*3)+Inputs!$B$28+Inputs!$B$29)))</f>
        <v/>
      </c>
      <c r="E2220">
        <f>INDEX(FactorTable!$B$2:$Y$301, MATCH(ROUND(MIN(300,MAX(1,D2220)),0), FactorTable!$A$2:$A$301,0), Skills!M7+1)</f>
        <v/>
      </c>
      <c r="F2220">
        <f>IF(Skills!N7=TRUE,(Skills!L7/10)*(E2220/1000),Skills!L7/10)+Skills!O7</f>
        <v/>
      </c>
      <c r="G2220">
        <f>Skills!G7*IF(Skills!H7&gt;0,Skills!I7/Skills!H7,1)</f>
        <v/>
      </c>
      <c r="H2220">
        <f>1-(1-Skills!J7/100)^Skills!K7</f>
        <v/>
      </c>
      <c r="I2220" t="inlineStr">
        <is>
          <t>1</t>
        </is>
      </c>
      <c r="J2220">
        <f>((Inputs!$B$6*(1+Inputs!$B$7/100))+(((Inputs!$B$12*(1+Inputs!$B$13/100))-(Inputs!$B$12*(1+Inputs!$B$13/100)))+0.25*(Inputs!$B$14-Inputs!$B$14))*(1+Inputs!$B$7/100))*(F2220/100)</f>
        <v/>
      </c>
      <c r="K2220">
        <f>J2220*(1+((Inputs!$B$12*(1+Inputs!$B$13/100))*0.01+Inputs!$B$14*0.0025)/100)*(1+Inputs!$B$15/100)*(1+Inputs!$B$16/100)*(5000/(6000+Inputs!$B$42*(1-(100*(1-(1-(Inputs!$B$19+0)/100)*(1-CHOOSE(ArtifactsInput!$N$40+1,5,6,7,8,9,10)/100)^(ArtifactsInput!$M$40-ArtifactsInput!$M$40)))/100)))*(1+(Inputs!$B$24+((C2238=TRUE)*(F2238-Calc!F25))+B2248)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2234=TRUE)*(F2234-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2236=TRUE)*(F2236-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2226=TRUE)*F2226*IF(Inputs!$B$3&gt;=110,7,5))+((C2228=TRUE)*F2228*IF(AND(Inputs!$B$38&lt;&gt;"pvp",Inputs!$B$43&gt;0),(((R2228-1)*(Skills!T15*(1+(Inputs!$B$34+(ArtifactsInput!$M$7-ArtifactsInput!$M$7)*CHOOSE(ArtifactsInput!$N$7+1,6,7.2,8.4,9.6,10.8,12))/100))+MIN((Skills!T15*(1+(Inputs!$B$34+(ArtifactsInput!$M$7-ArtifactsInput!$M$7)*CHOOSE(ArtifactsInput!$N$7+1,6,7.2,8.4,9.6,10.8,12))/100)),MAX(0,Inputs!$B$43-((R2228-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Hunt"),CHOOSE(ArtifactsInput!$N$35+1,15,18,21,24,27,30)*(1-EXP(-(0.2*B2244)*5)),0)+IF(AND(ArtifactsInput!$M$22,Inputs!$B$4&lt;&gt;"Chapter Hunt"),CHOOSE(ArtifactsInput!$N$22+1,10,12,14,16,18,20)*((0*(((0.15*B2244*5))^0/1)+1*(((0.15*B2244*5))^1/1)+2*(((0.15*B2244*5))^2/2)+3*(((0.15*B2244*5))^3/6)+4*(((0.15*B2244*5))^4/24)+5*(((0.15*B2244*5))^5/120))/((((0.15*B2244*5))^0/1)+(((0.15*B2244*5))^1/1)+(((0.15*B2244*5))^2/2)+(((0.15*B2244*5))^3/6)+(((0.15*B2244*5))^4/24)+(((0.15*B2244*5))^5/120))),0)))/100)*I2220)</f>
        <v/>
      </c>
      <c r="L2220">
        <f>K2220*(MIN(Inputs!$B$22+((C2235=TRUE)*(F2235-Calc!F22)),(Inputs!$B$23+((C2237=TRUE)*(F2237-Calc!F24))+(IF(ArtifactsInput!$M$15,CHOOSE(ArtifactsInput!$N$15+1,25,30,35,40,45,50)/100*(Inputs!$B$11-Inputs!$B$11),0))))/100+(Inputs!$B$23+((C2237=TRUE)*(F2237-Calc!F24))+(IF(ArtifactsInput!$M$15,CHOOSE(ArtifactsInput!$N$15+1,25,30,35,40,45,50)/100*(Inputs!$B$11-Inputs!$B$11),0)))/100)/2</f>
        <v/>
      </c>
      <c r="M2220">
        <f>L2220*(1+(Inputs!$B$10+0+B2247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20">
        <f>L2220*(1-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2220*(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20">
        <f>(1-Summary!$B$11)*T2220+Summary!$B$11*V2220</f>
        <v/>
      </c>
      <c r="P2220">
        <f>IF(B2252=0,0,O2220/B2252)</f>
        <v/>
      </c>
      <c r="Q2220">
        <f>IFERROR(1/(IF(Inputs!$B$38="pvp",15,MAX(0.1,Skills!D7-IF(Skills!E7=TRUE,Inputs!$B$32,0)))*(1-IF(AND(ArtifactsInput!$M$27,Inputs!$B$4="Chapter Hunt"),CHOOSE(ArtifactsInput!$N$27+1,20,24,28,32,36,40),0)/100)),0)</f>
        <v/>
      </c>
      <c r="R2220">
        <f>IF(AND(Inputs!$B$38&lt;&gt;"pvp",Inputs!$B$43&gt;0),IF(MAX(0,Inputs!$B$43-B2249)&lt;=0,0,(INT(MAX(0,Inputs!$B$43-B2249)/(IF(Inputs!$B$38="pvp",15,MAX(0.1,Skills!D7-IF(Skills!E7=TRUE,Inputs!$B$32,0)))*(1-IF(AND(ArtifactsInput!$M$27,Inputs!$B$4="Chapter Hunt"),CHOOSE(ArtifactsInput!$N$27+1,20,24,28,32,36,40),0)/100)))+1)),0)</f>
        <v/>
      </c>
      <c r="S2220">
        <f>IFERROR(O2220/N2220,0)</f>
        <v/>
      </c>
      <c r="T2220">
        <f>IF(C2220,(H2220*N2220*IF(AND(Inputs!$B$38&lt;&gt;"pvp",Inputs!$B$43&gt;0),((Skills!G7*((R2220-1)*IF(Skills!H7&gt;0,Skills!I7/Skills!H7,1)+IF(Skills!H7&gt;0,MIN(Skills!I7,MAX(0,MAX(0,Inputs!$B$43-B2249)-((R2220-1)*(IF(Inputs!$B$38="pvp",15,MAX(0.1,Skills!D7-IF(Skills!E7=TRUE,Inputs!$B$32,0)))*(1-IF(AND(ArtifactsInput!$M$27,Inputs!$B$4="Chapter Hunt"),CHOOSE(ArtifactsInput!$N$27+1,20,24,28,32,36,40),0)/100)))))/Skills!H7,1)))/Inputs!$B$43),G2220*Q2220)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2220*(1-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2220*(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2220*(1-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2220*(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20">
        <f>IF(C2220,(H2220*N2220*IF(AND(Inputs!$B$38&lt;&gt;"pvp",Inputs!$B$43&gt;0),((Skills!G7*((R2220-1)*IF(Skills!H7&gt;0,Skills!I7/Skills!H7,1)+IF(Skills!H7&gt;0,MIN(Skills!I7,MAX(0,MAX(0,Inputs!$B$43-B2249)-((R2220-1)*(IF(Inputs!$B$38="pvp",15,MAX(0.1,Skills!D7-IF(Skills!E7=TRUE,Inputs!$B$32,0)))*(1-IF(AND(ArtifactsInput!$M$27,Inputs!$B$4="Chapter Hunt"),CHOOSE(ArtifactsInput!$N$27+1,20,24,28,32,36,40),0)/100)))))/Skills!H7,1)))/Inputs!$B$43),G2220*Q2220)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21">
      <c r="A2221">
        <f>Skills!A8</f>
        <v/>
      </c>
      <c r="B2221">
        <f>Skills!B8</f>
        <v/>
      </c>
      <c r="C2221">
        <f>Inputs!$B$3&gt;=117</f>
        <v/>
      </c>
      <c r="D2221">
        <f>IF(Skills!C8=1,60+Inputs!$B$25+Inputs!$B$29,IF(Skills!C8=2,90+Inputs!$B$26+Inputs!$B$29,IF(Skills!C8=3,120+Inputs!$B$27+Inputs!$B$29,MAX(0,(Inputs!$B$3-100)*3)+Inputs!$B$28+Inputs!$B$29)))</f>
        <v/>
      </c>
      <c r="E2221">
        <f>INDEX(FactorTable!$B$2:$Y$301, MATCH(ROUND(MIN(300,MAX(1,D2221)),0), FactorTable!$A$2:$A$301,0), Skills!M8+1)</f>
        <v/>
      </c>
      <c r="F2221">
        <f>IF(Skills!N8=TRUE,(Skills!L8/10)*(E2221/1000),Skills!L8/10)+Skills!O8</f>
        <v/>
      </c>
      <c r="G2221">
        <f>Skills!G8*IF(Skills!H8&gt;0,Skills!I8/Skills!H8,1)</f>
        <v/>
      </c>
      <c r="H2221">
        <f>1-(1-Skills!J8/100)^Skills!K8</f>
        <v/>
      </c>
      <c r="I2221" t="inlineStr">
        <is>
          <t>1</t>
        </is>
      </c>
      <c r="J2221">
        <f>((Inputs!$B$6*(1+Inputs!$B$7/100))+(((Inputs!$B$12*(1+Inputs!$B$13/100))-(Inputs!$B$12*(1+Inputs!$B$13/100)))+0.25*(Inputs!$B$14-Inputs!$B$14))*(1+Inputs!$B$7/100))*(F2221/100)</f>
        <v/>
      </c>
      <c r="K2221">
        <f>J2221*(1+((Inputs!$B$12*(1+Inputs!$B$13/100))*0.01+Inputs!$B$14*0.0025)/100)*(1+Inputs!$B$15/100)*(1+Inputs!$B$16/100)*(5000/(6000+Inputs!$B$42*(1-(100*(1-(1-(Inputs!$B$19+0)/100)*(1-CHOOSE(ArtifactsInput!$N$40+1,5,6,7,8,9,10)/100)^(ArtifactsInput!$M$40-ArtifactsInput!$M$40)))/100)))*(1+(Inputs!$B$24+((C2238=TRUE)*(F2238-Calc!F25))+B2248)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2234=TRUE)*(F2234-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2236=TRUE)*(F2236-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2226=TRUE)*F2226*IF(Inputs!$B$3&gt;=110,7,5))+((C2228=TRUE)*F2228*IF(AND(Inputs!$B$38&lt;&gt;"pvp",Inputs!$B$43&gt;0),(((R2228-1)*(Skills!T15*(1+(Inputs!$B$34+(ArtifactsInput!$M$7-ArtifactsInput!$M$7)*CHOOSE(ArtifactsInput!$N$7+1,6,7.2,8.4,9.6,10.8,12))/100))+MIN((Skills!T15*(1+(Inputs!$B$34+(ArtifactsInput!$M$7-ArtifactsInput!$M$7)*CHOOSE(ArtifactsInput!$N$7+1,6,7.2,8.4,9.6,10.8,12))/100)),MAX(0,Inputs!$B$43-((R2228-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Hunt"),CHOOSE(ArtifactsInput!$N$35+1,15,18,21,24,27,30)*(1-EXP(-(0.2*B2244)*5)),0)+IF(AND(ArtifactsInput!$M$22,Inputs!$B$4&lt;&gt;"Chapter Hunt"),CHOOSE(ArtifactsInput!$N$22+1,10,12,14,16,18,20)*((0*(((0.15*B2244*5))^0/1)+1*(((0.15*B2244*5))^1/1)+2*(((0.15*B2244*5))^2/2)+3*(((0.15*B2244*5))^3/6)+4*(((0.15*B2244*5))^4/24)+5*(((0.15*B2244*5))^5/120))/((((0.15*B2244*5))^0/1)+(((0.15*B2244*5))^1/1)+(((0.15*B2244*5))^2/2)+(((0.15*B2244*5))^3/6)+(((0.15*B2244*5))^4/24)+(((0.15*B2244*5))^5/120))),0)))/100)*I2221)</f>
        <v/>
      </c>
      <c r="L2221">
        <f>K2221*(MIN(Inputs!$B$22+((C2235=TRUE)*(F2235-Calc!F22)),(Inputs!$B$23+((C2237=TRUE)*(F2237-Calc!F24))+(IF(ArtifactsInput!$M$15,CHOOSE(ArtifactsInput!$N$15+1,25,30,35,40,45,50)/100*(Inputs!$B$11-Inputs!$B$11),0))))/100+(Inputs!$B$23+((C2237=TRUE)*(F2237-Calc!F24))+(IF(ArtifactsInput!$M$15,CHOOSE(ArtifactsInput!$N$15+1,25,30,35,40,45,50)/100*(Inputs!$B$11-Inputs!$B$11),0)))/100)/2</f>
        <v/>
      </c>
      <c r="M2221">
        <f>L2221*(1+(Inputs!$B$10+0+B2247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21">
        <f>L2221*(1-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2221*(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21">
        <f>(1-Summary!$B$11)*T2221+Summary!$B$11*V2221</f>
        <v/>
      </c>
      <c r="P2221">
        <f>IF(B2252=0,0,O2221/B2252)</f>
        <v/>
      </c>
      <c r="Q2221">
        <f>IFERROR(1/(IF(Inputs!$B$38="pvp",15,MAX(0.1,Skills!D8-IF(Skills!E8=TRUE,Inputs!$B$32,0)))*(1-IF(AND(ArtifactsInput!$M$27,Inputs!$B$4="Chapter Hunt"),CHOOSE(ArtifactsInput!$N$27+1,20,24,28,32,36,40),0)/100)),0)</f>
        <v/>
      </c>
      <c r="R2221">
        <f>IF(AND(Inputs!$B$38&lt;&gt;"pvp",Inputs!$B$43&gt;0),IF(MAX(0,Inputs!$B$43-B2249)&lt;=0,0,(INT(MAX(0,Inputs!$B$43-B2249)/(IF(Inputs!$B$38="pvp",15,MAX(0.1,Skills!D8-IF(Skills!E8=TRUE,Inputs!$B$32,0)))*(1-IF(AND(ArtifactsInput!$M$27,Inputs!$B$4="Chapter Hunt"),CHOOSE(ArtifactsInput!$N$27+1,20,24,28,32,36,40),0)/100)))+1)),0)</f>
        <v/>
      </c>
      <c r="S2221">
        <f>IFERROR(O2221/N2221,0)</f>
        <v/>
      </c>
      <c r="T2221">
        <f>IF(C2221,(H2221*N2221*IF(AND(Inputs!$B$38&lt;&gt;"pvp",Inputs!$B$43&gt;0),((Skills!G8*((R2221-1)*IF(Skills!H8&gt;0,Skills!I8/Skills!H8,1)+IF(Skills!H8&gt;0,MIN(Skills!I8,MAX(0,MAX(0,Inputs!$B$43-B2249)-((R2221-1)*(IF(Inputs!$B$38="pvp",15,MAX(0.1,Skills!D8-IF(Skills!E8=TRUE,Inputs!$B$32,0)))*(1-IF(AND(ArtifactsInput!$M$27,Inputs!$B$4="Chapter Hunt"),CHOOSE(ArtifactsInput!$N$27+1,20,24,28,32,36,40),0)/100)))))/Skills!H8,1)))/Inputs!$B$43),G2221*Q2221)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2221*(1-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2221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2221*(1-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2221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21">
        <f>IF(C2221,(H2221*N2221*IF(AND(Inputs!$B$38&lt;&gt;"pvp",Inputs!$B$43&gt;0),((Skills!G8*((R2221-1)*IF(Skills!H8&gt;0,Skills!I8/Skills!H8,1)+IF(Skills!H8&gt;0,MIN(Skills!I8,MAX(0,MAX(0,Inputs!$B$43-B2249)-((R2221-1)*(IF(Inputs!$B$38="pvp",15,MAX(0.1,Skills!D8-IF(Skills!E8=TRUE,Inputs!$B$32,0)))*(1-IF(AND(ArtifactsInput!$M$27,Inputs!$B$4="Chapter Hunt"),CHOOSE(ArtifactsInput!$N$27+1,20,24,28,32,36,40),0)/100)))))/Skills!H8,1)))/Inputs!$B$43),G2221*Q2221)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22">
      <c r="A2222">
        <f>Skills!A9</f>
        <v/>
      </c>
      <c r="B2222">
        <f>Skills!B9</f>
        <v/>
      </c>
      <c r="C2222">
        <f>Inputs!$B$3&gt;=69</f>
        <v/>
      </c>
      <c r="D2222">
        <f>IF(Skills!C9=1,60+Inputs!$B$25+Inputs!$B$29,IF(Skills!C9=2,90+Inputs!$B$26+Inputs!$B$29,IF(Skills!C9=3,120+Inputs!$B$27+Inputs!$B$29,MAX(0,(Inputs!$B$3-100)*3)+Inputs!$B$28+Inputs!$B$29)))</f>
        <v/>
      </c>
      <c r="E2222">
        <f>INDEX(FactorTable!$B$2:$Y$301, MATCH(ROUND(MIN(300,MAX(1,D2222)),0), FactorTable!$A$2:$A$301,0), Skills!M9+1)</f>
        <v/>
      </c>
      <c r="F2222">
        <f>IF(Skills!N9=TRUE,(Skills!L9/10)*(E2222/1000),Skills!L9/10)+Skills!O9</f>
        <v/>
      </c>
      <c r="G2222">
        <f>Skills!G9*IF(Skills!H9&gt;0,Skills!I9/Skills!H9,1)</f>
        <v/>
      </c>
      <c r="H2222">
        <f>1-(1-Skills!J9/100)^Skills!K9</f>
        <v/>
      </c>
      <c r="I2222" t="inlineStr">
        <is>
          <t>1</t>
        </is>
      </c>
      <c r="J2222">
        <f>((Inputs!$B$6*(1+Inputs!$B$7/100))+(((Inputs!$B$12*(1+Inputs!$B$13/100))-(Inputs!$B$12*(1+Inputs!$B$13/100)))+0.25*(Inputs!$B$14-Inputs!$B$14))*(1+Inputs!$B$7/100))*(F2222/100)</f>
        <v/>
      </c>
      <c r="K2222">
        <f>J2222*(1+((Inputs!$B$12*(1+Inputs!$B$13/100))*0.01+Inputs!$B$14*0.0025)/100)*(1+Inputs!$B$15/100)*(1+Inputs!$B$16/100)*(5000/(6000+Inputs!$B$42*(1-(100*(1-(1-(Inputs!$B$19+0)/100)*(1-CHOOSE(ArtifactsInput!$N$40+1,5,6,7,8,9,10)/100)^(ArtifactsInput!$M$40-ArtifactsInput!$M$40)))/100)))*(1+(Inputs!$B$24+((C2238=TRUE)*(F2238-Calc!F25))+B2248)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2225=TRUE,F2225,0)/100)*(1+IF(Skills!A9="ENHANCED_RAGING_BLOW",IF(Inputs!$B$3&gt;=134,MAX(0,IF(Inputs!$B$3&gt;=110,7,5)-5)*50,0),0)/100)*(1+(IF(Skills!A9="RAGING_BLOW",Inputs!$B$17+((C2234=TRUE)*(F2234-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2236=TRUE)*(F2236-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2226=TRUE)*F2226*IF(Inputs!$B$3&gt;=110,7,5))+((C2228=TRUE)*F2228*IF(AND(Inputs!$B$38&lt;&gt;"pvp",Inputs!$B$43&gt;0),(((R2228-1)*(Skills!T15*(1+(Inputs!$B$34+(ArtifactsInput!$M$7-ArtifactsInput!$M$7)*CHOOSE(ArtifactsInput!$N$7+1,6,7.2,8.4,9.6,10.8,12))/100))+MIN((Skills!T15*(1+(Inputs!$B$34+(ArtifactsInput!$M$7-ArtifactsInput!$M$7)*CHOOSE(ArtifactsInput!$N$7+1,6,7.2,8.4,9.6,10.8,12))/100)),MAX(0,Inputs!$B$43-((R2228-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Hunt"),CHOOSE(ArtifactsInput!$N$35+1,15,18,21,24,27,30)*(1-EXP(-(0.2*B2244)*5)),0)+IF(AND(ArtifactsInput!$M$22,Inputs!$B$4&lt;&gt;"Chapter Hunt"),CHOOSE(ArtifactsInput!$N$22+1,10,12,14,16,18,20)*((0*(((0.15*B2244*5))^0/1)+1*(((0.15*B2244*5))^1/1)+2*(((0.15*B2244*5))^2/2)+3*(((0.15*B2244*5))^3/6)+4*(((0.15*B2244*5))^4/24)+5*(((0.15*B2244*5))^5/120))/((((0.15*B2244*5))^0/1)+(((0.15*B2244*5))^1/1)+(((0.15*B2244*5))^2/2)+(((0.15*B2244*5))^3/6)+(((0.15*B2244*5))^4/24)+(((0.15*B2244*5))^5/120))),0)))/100)*I2222)</f>
        <v/>
      </c>
      <c r="L2222">
        <f>K2222*(MIN(Inputs!$B$22+((C2235=TRUE)*(F2235-Calc!F22)),(Inputs!$B$23+((C2237=TRUE)*(F2237-Calc!F24))+(IF(ArtifactsInput!$M$15,CHOOSE(ArtifactsInput!$N$15+1,25,30,35,40,45,50)/100*(Inputs!$B$11-Inputs!$B$11),0))))/100+(Inputs!$B$23+((C2237=TRUE)*(F2237-Calc!F24))+(IF(ArtifactsInput!$M$15,CHOOSE(ArtifactsInput!$N$15+1,25,30,35,40,45,50)/100*(Inputs!$B$11-Inputs!$B$11),0)))/100)/2</f>
        <v/>
      </c>
      <c r="M2222">
        <f>L2222*(1+(Inputs!$B$10+0+B2247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22">
        <f>L2222*(1-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2222*(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22">
        <f>(1-Summary!$B$11)*T2222+Summary!$B$11*V2222</f>
        <v/>
      </c>
      <c r="P2222">
        <f>IF(B2252=0,0,O2222/B2252)</f>
        <v/>
      </c>
      <c r="Q2222">
        <f>IFERROR(1/(IF(Inputs!$B$38="pvp",15,MAX(0.1,Skills!D9-IF(Skills!E9=TRUE,Inputs!$B$32,0)))*(1-IF(AND(ArtifactsInput!$M$27,Inputs!$B$4="Chapter Hunt"),CHOOSE(ArtifactsInput!$N$27+1,20,24,28,32,36,40),0)/100)),0)</f>
        <v/>
      </c>
      <c r="R2222">
        <f>IF(AND(Inputs!$B$38&lt;&gt;"pvp",Inputs!$B$43&gt;0),IF(MAX(0,Inputs!$B$43-B2249)&lt;=0,0,(INT(MAX(0,Inputs!$B$43-B2249)/(IF(Inputs!$B$38="pvp",15,MAX(0.1,Skills!D9-IF(Skills!E9=TRUE,Inputs!$B$32,0)))*(1-IF(AND(ArtifactsInput!$M$27,Inputs!$B$4="Chapter Hunt"),CHOOSE(ArtifactsInput!$N$27+1,20,24,28,32,36,40),0)/100)))+1)),0)</f>
        <v/>
      </c>
      <c r="S2222">
        <f>IFERROR(O2222/N2222,0)</f>
        <v/>
      </c>
      <c r="T2222">
        <f>IF(C2222,(H2222*N2222*IF(AND(Inputs!$B$38&lt;&gt;"pvp",Inputs!$B$43&gt;0),((Skills!G9*((R2222-1)*IF(Skills!H9&gt;0,Skills!I9/Skills!H9,1)+IF(Skills!H9&gt;0,MIN(Skills!I9,MAX(0,MAX(0,Inputs!$B$43-B2249)-((R2222-1)*(IF(Inputs!$B$38="pvp",15,MAX(0.1,Skills!D9-IF(Skills!E9=TRUE,Inputs!$B$32,0)))*(1-IF(AND(ArtifactsInput!$M$27,Inputs!$B$4="Chapter Hunt"),CHOOSE(ArtifactsInput!$N$27+1,20,24,28,32,36,40),0)/100)))))/Skills!H9,1)))/Inputs!$B$43),G2222*Q2222)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2222*(1-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2222*(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2222*(1-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2222*(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22">
        <f>IF(C2222,(H2222*N2222*IF(AND(Inputs!$B$38&lt;&gt;"pvp",Inputs!$B$43&gt;0),((Skills!G9*((R2222-1)*IF(Skills!H9&gt;0,Skills!I9/Skills!H9,1)+IF(Skills!H9&gt;0,MIN(Skills!I9,MAX(0,MAX(0,Inputs!$B$43-B2249)-((R2222-1)*(IF(Inputs!$B$38="pvp",15,MAX(0.1,Skills!D9-IF(Skills!E9=TRUE,Inputs!$B$32,0)))*(1-IF(AND(ArtifactsInput!$M$27,Inputs!$B$4="Chapter Hunt"),CHOOSE(ArtifactsInput!$N$27+1,20,24,28,32,36,40),0)/100)))))/Skills!H9,1)))/Inputs!$B$43),G2222*Q2222)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23">
      <c r="A2223">
        <f>Skills!A10</f>
        <v/>
      </c>
      <c r="B2223">
        <f>Skills!B10</f>
        <v/>
      </c>
      <c r="C2223">
        <f>Inputs!$B$3&gt;=63</f>
        <v/>
      </c>
      <c r="D2223">
        <f>IF(Skills!C10=1,60+Inputs!$B$25+Inputs!$B$29,IF(Skills!C10=2,90+Inputs!$B$26+Inputs!$B$29,IF(Skills!C10=3,120+Inputs!$B$27+Inputs!$B$29,MAX(0,(Inputs!$B$3-100)*3)+Inputs!$B$28+Inputs!$B$29)))</f>
        <v/>
      </c>
      <c r="E2223">
        <f>INDEX(FactorTable!$B$2:$Y$301, MATCH(ROUND(MIN(300,MAX(1,D2223)),0), FactorTable!$A$2:$A$301,0), Skills!M10+1)</f>
        <v/>
      </c>
      <c r="F2223">
        <f>IF(Skills!N10=TRUE,(Skills!L10/10)*(E2223/1000),Skills!L10/10)+Skills!O10</f>
        <v/>
      </c>
      <c r="G2223">
        <f>Skills!G10*IF(Skills!H10&gt;0,Skills!I10/Skills!H10,1)</f>
        <v/>
      </c>
      <c r="H2223">
        <f>1-(1-Skills!J10/100)^Skills!K10</f>
        <v/>
      </c>
      <c r="I2223" t="inlineStr">
        <is>
          <t>1</t>
        </is>
      </c>
      <c r="J2223">
        <f>((Inputs!$B$6*(1+Inputs!$B$7/100))+(((Inputs!$B$12*(1+Inputs!$B$13/100))-(Inputs!$B$12*(1+Inputs!$B$13/100)))+0.25*(Inputs!$B$14-Inputs!$B$14))*(1+Inputs!$B$7/100))*(F2223/100)</f>
        <v/>
      </c>
      <c r="K2223">
        <f>J2223*(1+((Inputs!$B$12*(1+Inputs!$B$13/100))*0.01+Inputs!$B$14*0.0025)/100)*(1+Inputs!$B$15/100)*(1+Inputs!$B$16/100)*(5000/(6000+Inputs!$B$42*(1-(100*(1-(1-(Inputs!$B$19+0)/100)*(1-CHOOSE(ArtifactsInput!$N$40+1,5,6,7,8,9,10)/100)^(ArtifactsInput!$M$40-ArtifactsInput!$M$40)))/100)))*(1+(Inputs!$B$24+((C2238=TRUE)*(F2238-Calc!F25))+B2248)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2225=TRUE,F2225,0)/100)*(1+IF(Skills!A10="ENHANCED_RAGING_BLOW",IF(Inputs!$B$3&gt;=134,MAX(0,IF(Inputs!$B$3&gt;=110,7,5)-5)*50,0),0)/100)*(1+(IF(Skills!A10="RAGING_BLOW",Inputs!$B$17+((C2234=TRUE)*(F2234-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2236=TRUE)*(F2236-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2226=TRUE)*F2226*IF(Inputs!$B$3&gt;=110,7,5))+((C2228=TRUE)*F2228*IF(AND(Inputs!$B$38&lt;&gt;"pvp",Inputs!$B$43&gt;0),(((R2228-1)*(Skills!T15*(1+(Inputs!$B$34+(ArtifactsInput!$M$7-ArtifactsInput!$M$7)*CHOOSE(ArtifactsInput!$N$7+1,6,7.2,8.4,9.6,10.8,12))/100))+MIN((Skills!T15*(1+(Inputs!$B$34+(ArtifactsInput!$M$7-ArtifactsInput!$M$7)*CHOOSE(ArtifactsInput!$N$7+1,6,7.2,8.4,9.6,10.8,12))/100)),MAX(0,Inputs!$B$43-((R2228-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Hunt"),CHOOSE(ArtifactsInput!$N$35+1,15,18,21,24,27,30)*(1-EXP(-(0.2*B2244)*5)),0)+IF(AND(ArtifactsInput!$M$22,Inputs!$B$4&lt;&gt;"Chapter Hunt"),CHOOSE(ArtifactsInput!$N$22+1,10,12,14,16,18,20)*((0*(((0.15*B2244*5))^0/1)+1*(((0.15*B2244*5))^1/1)+2*(((0.15*B2244*5))^2/2)+3*(((0.15*B2244*5))^3/6)+4*(((0.15*B2244*5))^4/24)+5*(((0.15*B2244*5))^5/120))/((((0.15*B2244*5))^0/1)+(((0.15*B2244*5))^1/1)+(((0.15*B2244*5))^2/2)+(((0.15*B2244*5))^3/6)+(((0.15*B2244*5))^4/24)+(((0.15*B2244*5))^5/120))),0)))/100)*I2223)</f>
        <v/>
      </c>
      <c r="L2223">
        <f>K2223*(MIN(Inputs!$B$22+((C2235=TRUE)*(F2235-Calc!F22)),(Inputs!$B$23+((C2237=TRUE)*(F2237-Calc!F24))+(IF(ArtifactsInput!$M$15,CHOOSE(ArtifactsInput!$N$15+1,25,30,35,40,45,50)/100*(Inputs!$B$11-Inputs!$B$11),0))))/100+(Inputs!$B$23+((C2237=TRUE)*(F2237-Calc!F24))+(IF(ArtifactsInput!$M$15,CHOOSE(ArtifactsInput!$N$15+1,25,30,35,40,45,50)/100*(Inputs!$B$11-Inputs!$B$11),0)))/100)/2</f>
        <v/>
      </c>
      <c r="M2223">
        <f>L2223*(1+(Inputs!$B$10+0+B2247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23">
        <f>L2223*(1-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2223*(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23">
        <f>(1-Summary!$B$11)*T2223+Summary!$B$11*V2223</f>
        <v/>
      </c>
      <c r="P2223">
        <f>IF(B2252=0,0,O2223/B2252)</f>
        <v/>
      </c>
      <c r="Q2223">
        <f>IFERROR(1/(IF(Inputs!$B$38="pvp",15,MAX(0.1,Skills!D10-IF(Skills!E10=TRUE,Inputs!$B$32,0)))*(1-IF(AND(ArtifactsInput!$M$27,Inputs!$B$4="Chapter Hunt"),CHOOSE(ArtifactsInput!$N$27+1,20,24,28,32,36,40),0)/100)),0)</f>
        <v/>
      </c>
      <c r="R2223">
        <f>IF(AND(Inputs!$B$38&lt;&gt;"pvp",Inputs!$B$43&gt;0),IF(MAX(0,Inputs!$B$43-B2249)&lt;=0,0,(INT(MAX(0,Inputs!$B$43-B2249)/(IF(Inputs!$B$38="pvp",15,MAX(0.1,Skills!D10-IF(Skills!E10=TRUE,Inputs!$B$32,0)))*(1-IF(AND(ArtifactsInput!$M$27,Inputs!$B$4="Chapter Hunt"),CHOOSE(ArtifactsInput!$N$27+1,20,24,28,32,36,40),0)/100)))+1)),0)</f>
        <v/>
      </c>
      <c r="S2223">
        <f>IFERROR(O2223/N2223,0)</f>
        <v/>
      </c>
      <c r="T2223">
        <f>IF(C2223,(H2223*N2223*IF(AND(Inputs!$B$38&lt;&gt;"pvp",Inputs!$B$43&gt;0),((Skills!G10*((R2223-1)*IF(Skills!H10&gt;0,Skills!I10/Skills!H10,1)+IF(Skills!H10&gt;0,MIN(Skills!I10,MAX(0,MAX(0,Inputs!$B$43-B2249)-((R2223-1)*(IF(Inputs!$B$38="pvp",15,MAX(0.1,Skills!D10-IF(Skills!E10=TRUE,Inputs!$B$32,0)))*(1-IF(AND(ArtifactsInput!$M$27,Inputs!$B$4="Chapter Hunt"),CHOOSE(ArtifactsInput!$N$27+1,20,24,28,32,36,40),0)/100)))))/Skills!H10,1)))/Inputs!$B$43),G2223*Q2223)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2223*(1-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2223*(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2223*(1-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2223*(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23">
        <f>IF(C2223,(H2223*N2223*IF(AND(Inputs!$B$38&lt;&gt;"pvp",Inputs!$B$43&gt;0),((Skills!G10*((R2223-1)*IF(Skills!H10&gt;0,Skills!I10/Skills!H10,1)+IF(Skills!H10&gt;0,MIN(Skills!I10,MAX(0,MAX(0,Inputs!$B$43-B2249)-((R2223-1)*(IF(Inputs!$B$38="pvp",15,MAX(0.1,Skills!D10-IF(Skills!E10=TRUE,Inputs!$B$32,0)))*(1-IF(AND(ArtifactsInput!$M$27,Inputs!$B$4="Chapter Hunt"),CHOOSE(ArtifactsInput!$N$27+1,20,24,28,32,36,40),0)/100)))))/Skills!H10,1)))/Inputs!$B$43),G2223*Q2223)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24">
      <c r="A2224">
        <f>Skills!A11</f>
        <v/>
      </c>
      <c r="B2224">
        <f>Skills!B11</f>
        <v/>
      </c>
      <c r="C2224">
        <f>Inputs!$B$3&gt;=35</f>
        <v/>
      </c>
      <c r="D2224">
        <f>IF(Skills!C11=1,60+Inputs!$B$25+Inputs!$B$29,IF(Skills!C11=2,90+Inputs!$B$26+Inputs!$B$29,IF(Skills!C11=3,120+Inputs!$B$27+Inputs!$B$29,MAX(0,(Inputs!$B$3-100)*3)+Inputs!$B$28+Inputs!$B$29)))</f>
        <v/>
      </c>
      <c r="E2224">
        <f>INDEX(FactorTable!$B$2:$Y$301, MATCH(ROUND(MIN(300,MAX(1,D2224)),0), FactorTable!$A$2:$A$301,0), Skills!M11+1)</f>
        <v/>
      </c>
      <c r="F2224">
        <f>IF(Skills!N11=TRUE,(Skills!L11/10)*(E2224/1000),Skills!L11/10)+Skills!O11</f>
        <v/>
      </c>
      <c r="G2224">
        <f>Skills!G11*IF(Skills!H11&gt;0,Skills!I11/Skills!H11,1)</f>
        <v/>
      </c>
      <c r="H2224">
        <f>1-(1-Skills!J11/100)^Skills!K11</f>
        <v/>
      </c>
      <c r="I2224" t="inlineStr">
        <is>
          <t>1</t>
        </is>
      </c>
      <c r="J2224">
        <f>((Inputs!$B$6*(1+Inputs!$B$7/100))+(((Inputs!$B$12*(1+Inputs!$B$13/100))-(Inputs!$B$12*(1+Inputs!$B$13/100)))+0.25*(Inputs!$B$14-Inputs!$B$14))*(1+Inputs!$B$7/100))*(F2224/100)</f>
        <v/>
      </c>
      <c r="K2224">
        <f>J2224*(1+((Inputs!$B$12*(1+Inputs!$B$13/100))*0.01+Inputs!$B$14*0.0025)/100)*(1+Inputs!$B$15/100)*(1+Inputs!$B$16/100)*(5000/(6000+Inputs!$B$42*(1-(100*(1-(1-(Inputs!$B$19+0)/100)*(1-CHOOSE(ArtifactsInput!$N$40+1,5,6,7,8,9,10)/100)^(ArtifactsInput!$M$40-ArtifactsInput!$M$40)))/100)))*(1+(Inputs!$B$24+((C2238=TRUE)*(F2238-Calc!F25))+B2248)/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2225=TRUE,F2225,0)/100)*(1+IF(Skills!A11="ENHANCED_RAGING_BLOW",IF(Inputs!$B$3&gt;=134,MAX(0,IF(Inputs!$B$3&gt;=110,7,5)-5)*50,0),0)/100)*(1+(IF(Skills!A11="RAGING_BLOW",Inputs!$B$17+((C2234=TRUE)*(F2234-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2236=TRUE)*(F2236-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2226=TRUE)*F2226*IF(Inputs!$B$3&gt;=110,7,5))+((C2228=TRUE)*F2228*IF(AND(Inputs!$B$38&lt;&gt;"pvp",Inputs!$B$43&gt;0),(((R2228-1)*(Skills!T15*(1+(Inputs!$B$34+(ArtifactsInput!$M$7-ArtifactsInput!$M$7)*CHOOSE(ArtifactsInput!$N$7+1,6,7.2,8.4,9.6,10.8,12))/100))+MIN((Skills!T15*(1+(Inputs!$B$34+(ArtifactsInput!$M$7-ArtifactsInput!$M$7)*CHOOSE(ArtifactsInput!$N$7+1,6,7.2,8.4,9.6,10.8,12))/100)),MAX(0,Inputs!$B$43-((R2228-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Hunt"),CHOOSE(ArtifactsInput!$N$35+1,15,18,21,24,27,30)*(1-EXP(-(0.2*B2244)*5)),0)+IF(AND(ArtifactsInput!$M$22,Inputs!$B$4&lt;&gt;"Chapter Hunt"),CHOOSE(ArtifactsInput!$N$22+1,10,12,14,16,18,20)*((0*(((0.15*B2244*5))^0/1)+1*(((0.15*B2244*5))^1/1)+2*(((0.15*B2244*5))^2/2)+3*(((0.15*B2244*5))^3/6)+4*(((0.15*B2244*5))^4/24)+5*(((0.15*B2244*5))^5/120))/((((0.15*B2244*5))^0/1)+(((0.15*B2244*5))^1/1)+(((0.15*B2244*5))^2/2)+(((0.15*B2244*5))^3/6)+(((0.15*B2244*5))^4/24)+(((0.15*B2244*5))^5/120))),0)))/100)*I2224)</f>
        <v/>
      </c>
      <c r="L2224">
        <f>K2224*(MIN(Inputs!$B$22+((C2235=TRUE)*(F2235-Calc!F22)),(Inputs!$B$23+((C2237=TRUE)*(F2237-Calc!F24))+(IF(ArtifactsInput!$M$15,CHOOSE(ArtifactsInput!$N$15+1,25,30,35,40,45,50)/100*(Inputs!$B$11-Inputs!$B$11),0))))/100+(Inputs!$B$23+((C2237=TRUE)*(F2237-Calc!F24))+(IF(ArtifactsInput!$M$15,CHOOSE(ArtifactsInput!$N$15+1,25,30,35,40,45,50)/100*(Inputs!$B$11-Inputs!$B$11),0)))/100)/2</f>
        <v/>
      </c>
      <c r="M2224">
        <f>L2224*(1+(Inputs!$B$10+0+B2247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24">
        <f>L2224*(1-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2224*(MIN((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24">
        <f>(1-Summary!$B$11)*T2224+Summary!$B$11*V2224</f>
        <v/>
      </c>
      <c r="P2224">
        <f>IF(B2252=0,0,O2224/B2252)</f>
        <v/>
      </c>
      <c r="Q2224">
        <f>IFERROR(1/(IF(Inputs!$B$38="pvp",15,MAX(0.1,Skills!D11-IF(Skills!E11=TRUE,Inputs!$B$32,0)))*(1-IF(AND(ArtifactsInput!$M$27,Inputs!$B$4="Chapter Hunt"),CHOOSE(ArtifactsInput!$N$27+1,20,24,28,32,36,40),0)/100)),0)</f>
        <v/>
      </c>
      <c r="R2224">
        <f>IF(AND(Inputs!$B$38&lt;&gt;"pvp",Inputs!$B$43&gt;0),IF(MAX(0,Inputs!$B$43-B2249)&lt;=0,0,(INT(MAX(0,Inputs!$B$43-B2249)/(IF(Inputs!$B$38="pvp",15,MAX(0.1,Skills!D11-IF(Skills!E11=TRUE,Inputs!$B$32,0)))*(1-IF(AND(ArtifactsInput!$M$27,Inputs!$B$4="Chapter Hunt"),CHOOSE(ArtifactsInput!$N$27+1,20,24,28,32,36,40),0)/100)))+1)),0)</f>
        <v/>
      </c>
      <c r="S2224">
        <f>IFERROR(O2224/N2224,0)</f>
        <v/>
      </c>
      <c r="T2224">
        <f>IF(C2224,(H2224*N2224*IF(AND(Inputs!$B$38&lt;&gt;"pvp",Inputs!$B$43&gt;0),((Skills!G11*((R2224-1)*IF(Skills!H11&gt;0,Skills!I11/Skills!H11,1)+IF(Skills!H11&gt;0,MIN(Skills!I11,MAX(0,MAX(0,Inputs!$B$43-B2249)-((R2224-1)*(IF(Inputs!$B$38="pvp",15,MAX(0.1,Skills!D11-IF(Skills!E11=TRUE,Inputs!$B$32,0)))*(1-IF(AND(ArtifactsInput!$M$27,Inputs!$B$4="Chapter Hunt"),CHOOSE(ArtifactsInput!$N$27+1,20,24,28,32,36,40),0)/100)))))/Skills!H11,1)))/Inputs!$B$43),G2224*Q2224)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2224*(1-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2224*(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2224*(1-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2224*(MIN(100,(Inputs!$B$9+((C2239=TRUE)*(F2239-Calc!F26))+B2242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24">
        <f>IF(C2224,(H2224*N2224*IF(AND(Inputs!$B$38&lt;&gt;"pvp",Inputs!$B$43&gt;0),((Skills!G11*((R2224-1)*IF(Skills!H11&gt;0,Skills!I11/Skills!H11,1)+IF(Skills!H11&gt;0,MIN(Skills!I11,MAX(0,MAX(0,Inputs!$B$43-B2249)-((R2224-1)*(IF(Inputs!$B$38="pvp",15,MAX(0.1,Skills!D11-IF(Skills!E11=TRUE,Inputs!$B$32,0)))*(1-IF(AND(ArtifactsInput!$M$27,Inputs!$B$4="Chapter Hunt"),CHOOSE(ArtifactsInput!$N$27+1,20,24,28,32,36,40),0)/100)))))/Skills!H11,1)))/Inputs!$B$43),G2224*Q2224)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25">
      <c r="A2225">
        <f>Skills!A12</f>
        <v/>
      </c>
      <c r="B2225">
        <f>Skills!B12</f>
        <v/>
      </c>
      <c r="C2225">
        <f>Inputs!$B$3&gt;=100</f>
        <v/>
      </c>
      <c r="D2225">
        <f>IF(Skills!C12=1,60+Inputs!$B$25+Inputs!$B$29,IF(Skills!C12=2,90+Inputs!$B$26+Inputs!$B$29,IF(Skills!C12=3,120+Inputs!$B$27+Inputs!$B$29,MAX(0,(Inputs!$B$3-100)*3)+Inputs!$B$28+Inputs!$B$29)))</f>
        <v/>
      </c>
      <c r="E2225">
        <f>INDEX(FactorTable!$B$2:$Y$301, MATCH(ROUND(MIN(300,MAX(1,D2225)),0), FactorTable!$A$2:$A$301,0), Skills!M12+1)</f>
        <v/>
      </c>
      <c r="F2225">
        <f>IF(Skills!N12=TRUE,(Skills!L12/10)*(E2225/1000),Skills!L12/10)+Skills!O12</f>
        <v/>
      </c>
      <c r="G2225" t="inlineStr"/>
      <c r="H2225" t="inlineStr"/>
      <c r="I2225" t="inlineStr">
        <is>
          <t>1</t>
        </is>
      </c>
      <c r="J2225" t="inlineStr"/>
      <c r="K2225" t="inlineStr"/>
      <c r="L2225" t="inlineStr"/>
      <c r="M2225" t="inlineStr"/>
      <c r="N2225" t="inlineStr"/>
      <c r="O2225" t="inlineStr"/>
      <c r="P2225" t="inlineStr"/>
      <c r="Q2225" t="inlineStr"/>
      <c r="R2225" t="inlineStr"/>
      <c r="S2225" t="inlineStr"/>
    </row>
    <row r="2226">
      <c r="A2226">
        <f>Skills!A13</f>
        <v/>
      </c>
      <c r="B2226">
        <f>Skills!B13</f>
        <v/>
      </c>
      <c r="C2226">
        <f>Inputs!$B$3&gt;=45</f>
        <v/>
      </c>
      <c r="D2226">
        <f>IF(Skills!C13=1,60+Inputs!$B$25+Inputs!$B$29,IF(Skills!C13=2,90+Inputs!$B$26+Inputs!$B$29,IF(Skills!C13=3,120+Inputs!$B$27+Inputs!$B$29,MAX(0,(Inputs!$B$3-100)*3)+Inputs!$B$28+Inputs!$B$29)))</f>
        <v/>
      </c>
      <c r="E2226">
        <f>INDEX(FactorTable!$B$2:$Y$301, MATCH(ROUND(MIN(300,MAX(1,D2226)),0), FactorTable!$A$2:$A$301,0), Skills!M13+1)</f>
        <v/>
      </c>
      <c r="F2226">
        <f>IF(Skills!N13=TRUE,(Skills!L13/10)*(E2226/1000),Skills!L13/10)+Skills!O13</f>
        <v/>
      </c>
      <c r="G2226">
        <f>Skills!G13*IF(Skills!H13&gt;0,Skills!I13/Skills!H13,1)</f>
        <v/>
      </c>
      <c r="H2226">
        <f>1-(1-Skills!J13/100)^Skills!K13</f>
        <v/>
      </c>
      <c r="I2226" t="inlineStr">
        <is>
          <t>1</t>
        </is>
      </c>
      <c r="J2226" t="inlineStr"/>
      <c r="K2226" t="inlineStr"/>
      <c r="L2226" t="inlineStr"/>
      <c r="M2226" t="inlineStr"/>
      <c r="N2226" t="inlineStr"/>
      <c r="O2226">
        <f>(1-Summary!$B$11)*T2226+Summary!$B$11*V2226</f>
        <v/>
      </c>
      <c r="P2226">
        <f>IF(B2252=0,0,O2226/B2252)</f>
        <v/>
      </c>
      <c r="Q2226" t="n">
        <v>0</v>
      </c>
      <c r="R2226" t="n">
        <v>0</v>
      </c>
      <c r="S2226">
        <f>IFERROR(O2226/N2226,0)</f>
        <v/>
      </c>
      <c r="T2226" t="n">
        <v>0</v>
      </c>
      <c r="V2226" t="n">
        <v>0</v>
      </c>
    </row>
    <row r="2227">
      <c r="A2227">
        <f>Skills!A14</f>
        <v/>
      </c>
      <c r="B2227">
        <f>Skills!B14</f>
        <v/>
      </c>
      <c r="C2227">
        <f>Inputs!$B$3&gt;=75</f>
        <v/>
      </c>
      <c r="D2227">
        <f>IF(Skills!C14=1,60+Inputs!$B$25+Inputs!$B$29,IF(Skills!C14=2,90+Inputs!$B$26+Inputs!$B$29,IF(Skills!C14=3,120+Inputs!$B$27+Inputs!$B$29,MAX(0,(Inputs!$B$3-100)*3)+Inputs!$B$28+Inputs!$B$29)))</f>
        <v/>
      </c>
      <c r="E2227">
        <f>INDEX(FactorTable!$B$2:$Y$301, MATCH(ROUND(MIN(300,MAX(1,D2227)),0), FactorTable!$A$2:$A$301,0), Skills!M14+1)</f>
        <v/>
      </c>
      <c r="F2227">
        <f>IF(Skills!N14=TRUE,(Skills!L14/10)*(E2227/1000),Skills!L14/10)+Skills!O14</f>
        <v/>
      </c>
      <c r="G2227">
        <f>Skills!G14*IF(Skills!H14&gt;0,Skills!I14/Skills!H14,1)</f>
        <v/>
      </c>
      <c r="H2227">
        <f>1-(1-Skills!J14/100)^Skills!K14</f>
        <v/>
      </c>
      <c r="I2227" t="inlineStr">
        <is>
          <t>1</t>
        </is>
      </c>
      <c r="J2227" t="inlineStr"/>
      <c r="K2227" t="inlineStr"/>
      <c r="L2227" t="inlineStr"/>
      <c r="M2227" t="inlineStr"/>
      <c r="N2227" t="inlineStr"/>
      <c r="O2227">
        <f>(1-Summary!$B$11)*T2227+Summary!$B$11*V2227</f>
        <v/>
      </c>
      <c r="P2227">
        <f>IF(B2252=0,0,O2227/B2252)</f>
        <v/>
      </c>
      <c r="Q2227" t="n">
        <v>0</v>
      </c>
      <c r="R2227" t="n">
        <v>0</v>
      </c>
      <c r="S2227">
        <f>IFERROR(O2227/N2227,0)</f>
        <v/>
      </c>
      <c r="T2227" t="n">
        <v>0</v>
      </c>
      <c r="V2227" t="n">
        <v>0</v>
      </c>
    </row>
    <row r="2228">
      <c r="A2228">
        <f>Skills!A15</f>
        <v/>
      </c>
      <c r="B2228">
        <f>Skills!B15</f>
        <v/>
      </c>
      <c r="C2228">
        <f>Inputs!$B$3&gt;=40</f>
        <v/>
      </c>
      <c r="D2228">
        <f>IF(Skills!C15=1,60+Inputs!$B$25+Inputs!$B$29,IF(Skills!C15=2,90+Inputs!$B$26+Inputs!$B$29,IF(Skills!C15=3,120+Inputs!$B$27+Inputs!$B$29,MAX(0,(Inputs!$B$3-100)*3)+Inputs!$B$28+Inputs!$B$29)))</f>
        <v/>
      </c>
      <c r="E2228">
        <f>INDEX(FactorTable!$B$2:$Y$301, MATCH(ROUND(MIN(300,MAX(1,D2228)),0), FactorTable!$A$2:$A$301,0), Skills!M15+1)</f>
        <v/>
      </c>
      <c r="F2228">
        <f>IF(Skills!N15=TRUE,(Skills!L15/10)*(E2228/1000),Skills!L15/10)+Skills!O15</f>
        <v/>
      </c>
      <c r="G2228">
        <f>Skills!G15*IF(Skills!H15&gt;0,Skills!I15/Skills!H15,1)</f>
        <v/>
      </c>
      <c r="H2228">
        <f>1-(1-Skills!J15/100)^Skills!K15</f>
        <v/>
      </c>
      <c r="I2228" t="inlineStr">
        <is>
          <t>1</t>
        </is>
      </c>
      <c r="J2228" t="inlineStr"/>
      <c r="K2228" t="inlineStr"/>
      <c r="L2228" t="inlineStr"/>
      <c r="M2228" t="inlineStr"/>
      <c r="N2228" t="inlineStr"/>
      <c r="O2228">
        <f>(1-Summary!$B$11)*T2228+Summary!$B$11*V2228</f>
        <v/>
      </c>
      <c r="P2228">
        <f>IF(B2252=0,0,O2228/B2252)</f>
        <v/>
      </c>
      <c r="Q2228">
        <f>IFERROR(1/(IF(Inputs!$B$38="pvp",15,MAX(0.1,Skills!D15-IF(Skills!E15=TRUE,Inputs!$B$32,0)))*(1-IF(AND(ArtifactsInput!$M$27,Inputs!$B$4="Chapter Hunt"),CHOOSE(ArtifactsInput!$N$27+1,20,24,28,32,36,40),0)/100)),0)</f>
        <v/>
      </c>
      <c r="R2228">
        <f>IF(AND(Inputs!$B$38&lt;&gt;"pvp",Inputs!$B$43&gt;0),IF(Inputs!$B$43&lt;=0,0,(INT(Inputs!$B$43/(IF(Inputs!$B$38="pvp",15,MAX(0.1,Skills!D15-IF(Skills!E15=TRUE,Inputs!$B$32,0)))*(1-IF(AND(ArtifactsInput!$M$27,Inputs!$B$4="Chapter Hunt"),CHOOSE(ArtifactsInput!$N$27+1,20,24,28,32,36,40),0)/100)))+1)),0)</f>
        <v/>
      </c>
      <c r="S2228">
        <f>IFERROR(O2228/N2228,0)</f>
        <v/>
      </c>
      <c r="T2228" t="n">
        <v>0</v>
      </c>
      <c r="V2228" t="n">
        <v>0</v>
      </c>
    </row>
    <row r="2229">
      <c r="A2229">
        <f>Skills!A16</f>
        <v/>
      </c>
      <c r="B2229">
        <f>Skills!B16</f>
        <v/>
      </c>
      <c r="C2229">
        <f>Inputs!$B$3&gt;=66</f>
        <v/>
      </c>
      <c r="D2229">
        <f>IF(Skills!C16=1,60+Inputs!$B$25+Inputs!$B$29,IF(Skills!C16=2,90+Inputs!$B$26+Inputs!$B$29,IF(Skills!C16=3,120+Inputs!$B$27+Inputs!$B$29,MAX(0,(Inputs!$B$3-100)*3)+Inputs!$B$28+Inputs!$B$29)))</f>
        <v/>
      </c>
      <c r="E2229">
        <f>INDEX(FactorTable!$B$2:$Y$301, MATCH(ROUND(MIN(300,MAX(1,D2229)),0), FactorTable!$A$2:$A$301,0), Skills!M16+1)</f>
        <v/>
      </c>
      <c r="F2229">
        <f>IF(Skills!N16=TRUE,(Skills!L16/10)*(E2229/1000),Skills!L16/10)+Skills!O16</f>
        <v/>
      </c>
      <c r="G2229">
        <f>Skills!G16*IF(Skills!H16&gt;0,Skills!I16/Skills!H16,1)</f>
        <v/>
      </c>
      <c r="H2229">
        <f>1-(1-Skills!J16/100)^Skills!K16</f>
        <v/>
      </c>
      <c r="I2229" t="inlineStr">
        <is>
          <t>1</t>
        </is>
      </c>
      <c r="J2229" t="inlineStr"/>
      <c r="K2229" t="inlineStr"/>
      <c r="L2229" t="inlineStr"/>
      <c r="M2229" t="inlineStr"/>
      <c r="N2229" t="inlineStr"/>
      <c r="O2229">
        <f>(1-Summary!$B$11)*T2229+Summary!$B$11*V2229</f>
        <v/>
      </c>
      <c r="P2229">
        <f>IF(B2252=0,0,O2229/B2252)</f>
        <v/>
      </c>
      <c r="Q2229">
        <f>IFERROR(1/(IF(Inputs!$B$38="pvp",15,MAX(0.1,Skills!D16-IF(Skills!E16=TRUE,Inputs!$B$32,0)))*(1-IF(AND(ArtifactsInput!$M$27,Inputs!$B$4="Chapter Hunt"),CHOOSE(ArtifactsInput!$N$27+1,20,24,28,32,36,40),0)/100)),0)</f>
        <v/>
      </c>
      <c r="R2229">
        <f>IF(AND(Inputs!$B$38&lt;&gt;"pvp",Inputs!$B$43&gt;0),IF(Inputs!$B$43&lt;=0,0,(INT(Inputs!$B$43/(IF(Inputs!$B$38="pvp",15,MAX(0.1,Skills!D16-IF(Skills!E16=TRUE,Inputs!$B$32,0)))*(1-IF(AND(ArtifactsInput!$M$27,Inputs!$B$4="Chapter Hunt"),CHOOSE(ArtifactsInput!$N$27+1,20,24,28,32,36,40),0)/100)))+1)),0)</f>
        <v/>
      </c>
      <c r="S2229">
        <f>IFERROR(O2229/N2229,0)</f>
        <v/>
      </c>
      <c r="T2229" t="n">
        <v>0</v>
      </c>
      <c r="V2229" t="n">
        <v>0</v>
      </c>
    </row>
    <row r="2230">
      <c r="A2230">
        <f>Skills!A17</f>
        <v/>
      </c>
      <c r="B2230">
        <f>Skills!B17</f>
        <v/>
      </c>
      <c r="C2230">
        <f>Inputs!$B$3&gt;=115</f>
        <v/>
      </c>
      <c r="D2230">
        <f>IF(Skills!C17=1,60+Inputs!$B$25+Inputs!$B$29,IF(Skills!C17=2,90+Inputs!$B$26+Inputs!$B$29,IF(Skills!C17=3,120+Inputs!$B$27+Inputs!$B$29,MAX(0,(Inputs!$B$3-100)*3)+Inputs!$B$28+Inputs!$B$29)))</f>
        <v/>
      </c>
      <c r="E2230">
        <f>INDEX(FactorTable!$B$2:$Y$301, MATCH(ROUND(MIN(300,MAX(1,D2230)),0), FactorTable!$A$2:$A$301,0), Skills!M17+1)</f>
        <v/>
      </c>
      <c r="F2230">
        <f>IF(Skills!N17=TRUE,(Skills!L17/10)*(E2230/1000),Skills!L17/10)+Skills!O17</f>
        <v/>
      </c>
      <c r="G2230">
        <f>Skills!G17*IF(Skills!H17&gt;0,Skills!I17/Skills!H17,1)</f>
        <v/>
      </c>
      <c r="H2230">
        <f>1-(1-Skills!J17/100)^Skills!K17</f>
        <v/>
      </c>
      <c r="I2230" t="inlineStr">
        <is>
          <t>1</t>
        </is>
      </c>
      <c r="J2230" t="inlineStr"/>
      <c r="K2230" t="inlineStr"/>
      <c r="L2230" t="inlineStr"/>
      <c r="M2230" t="inlineStr"/>
      <c r="N2230" t="inlineStr"/>
      <c r="O2230">
        <f>(1-Summary!$B$11)*T2230+Summary!$B$11*V2230</f>
        <v/>
      </c>
      <c r="P2230">
        <f>IF(B2252=0,0,O2230/B2252)</f>
        <v/>
      </c>
      <c r="Q2230">
        <f>IFERROR(1/(IF(Inputs!$B$38="pvp",15,MAX(0.1,Skills!D17-IF(Skills!E17=TRUE,Inputs!$B$32,0)))*(1-IF(AND(ArtifactsInput!$M$27,Inputs!$B$4="Chapter Hunt"),CHOOSE(ArtifactsInput!$N$27+1,20,24,28,32,36,40),0)/100)),0)</f>
        <v/>
      </c>
      <c r="R2230">
        <f>IF(AND(Inputs!$B$38&lt;&gt;"pvp",Inputs!$B$43&gt;0),IF(Inputs!$B$43&lt;=0,0,(INT(Inputs!$B$43/(IF(Inputs!$B$38="pvp",15,MAX(0.1,Skills!D17-IF(Skills!E17=TRUE,Inputs!$B$32,0)))*(1-IF(AND(ArtifactsInput!$M$27,Inputs!$B$4="Chapter Hunt"),CHOOSE(ArtifactsInput!$N$27+1,20,24,28,32,36,40),0)/100)))+1)),0)</f>
        <v/>
      </c>
      <c r="S2230">
        <f>IFERROR(O2230/N2230,0)</f>
        <v/>
      </c>
      <c r="T2230" t="n">
        <v>0</v>
      </c>
      <c r="V2230" t="n">
        <v>0</v>
      </c>
    </row>
    <row r="2231">
      <c r="A2231">
        <f>Skills!A18</f>
        <v/>
      </c>
      <c r="B2231">
        <f>Skills!B18</f>
        <v/>
      </c>
      <c r="C2231">
        <f>Inputs!$B$3&gt;=115</f>
        <v/>
      </c>
      <c r="D2231">
        <f>IF(Skills!C18=1,60+Inputs!$B$25+Inputs!$B$29,IF(Skills!C18=2,90+Inputs!$B$26+Inputs!$B$29,IF(Skills!C18=3,120+Inputs!$B$27+Inputs!$B$29,MAX(0,(Inputs!$B$3-100)*3)+Inputs!$B$28+Inputs!$B$29)))</f>
        <v/>
      </c>
      <c r="E2231">
        <f>INDEX(FactorTable!$B$2:$Y$301, MATCH(ROUND(MIN(300,MAX(1,D2231)),0), FactorTable!$A$2:$A$301,0), Skills!M18+1)</f>
        <v/>
      </c>
      <c r="F2231">
        <f>IF(Skills!N18=TRUE,(Skills!L18/10)*(E2231/1000),Skills!L18/10)+Skills!O18</f>
        <v/>
      </c>
      <c r="G2231">
        <f>Skills!G18*IF(Skills!H18&gt;0,Skills!I18/Skills!H18,1)</f>
        <v/>
      </c>
      <c r="H2231">
        <f>1-(1-Skills!J18/100)^Skills!K18</f>
        <v/>
      </c>
      <c r="I2231" t="inlineStr">
        <is>
          <t>1</t>
        </is>
      </c>
      <c r="J2231" t="inlineStr"/>
      <c r="K2231" t="inlineStr"/>
      <c r="L2231" t="inlineStr"/>
      <c r="M2231" t="inlineStr"/>
      <c r="N2231" t="inlineStr"/>
      <c r="O2231">
        <f>(1-Summary!$B$11)*T2231+Summary!$B$11*V2231</f>
        <v/>
      </c>
      <c r="P2231">
        <f>IF(B2252=0,0,O2231/B2252)</f>
        <v/>
      </c>
      <c r="Q2231">
        <f>IFERROR(1/(IF(Inputs!$B$38="pvp",15,MAX(0.1,Skills!D18-IF(Skills!E18=TRUE,Inputs!$B$32,0)))*(1-IF(AND(ArtifactsInput!$M$27,Inputs!$B$4="Chapter Hunt"),CHOOSE(ArtifactsInput!$N$27+1,20,24,28,32,36,40),0)/100)),0)</f>
        <v/>
      </c>
      <c r="R2231">
        <f>IF(AND(Inputs!$B$38&lt;&gt;"pvp",Inputs!$B$43&gt;0),IF(Inputs!$B$43&lt;=0,0,(INT(Inputs!$B$43/(IF(Inputs!$B$38="pvp",15,MAX(0.1,Skills!D18-IF(Skills!E18=TRUE,Inputs!$B$32,0)))*(1-IF(AND(ArtifactsInput!$M$27,Inputs!$B$4="Chapter Hunt"),CHOOSE(ArtifactsInput!$N$27+1,20,24,28,32,36,40),0)/100)))+1)),0)</f>
        <v/>
      </c>
      <c r="S2231">
        <f>IFERROR(O2231/N2231,0)</f>
        <v/>
      </c>
      <c r="T2231" t="n">
        <v>0</v>
      </c>
      <c r="V2231" t="n">
        <v>0</v>
      </c>
    </row>
    <row r="2232">
      <c r="A2232">
        <f>Skills!A19</f>
        <v/>
      </c>
      <c r="B2232">
        <f>Skills!B19</f>
        <v/>
      </c>
      <c r="C2232">
        <f>TRUE</f>
        <v/>
      </c>
      <c r="D2232">
        <f>IF(Skills!C19=1,60+Inputs!$B$25+Inputs!$B$29,IF(Skills!C19=2,90+Inputs!$B$26+Inputs!$B$29,IF(Skills!C19=3,120+Inputs!$B$27+Inputs!$B$29,MAX(0,(Inputs!$B$3-100)*3)+Inputs!$B$28+Inputs!$B$29)))</f>
        <v/>
      </c>
      <c r="E2232">
        <f>INDEX(FactorTable!$B$2:$Y$301, MATCH(ROUND(MIN(300,MAX(1,D2232)),0), FactorTable!$A$2:$A$301,0), Skills!M19+1)</f>
        <v/>
      </c>
      <c r="F2232">
        <f>IF(Skills!N19=TRUE,(Skills!L19/10)*(E2232/1000),Skills!L19/10)+Skills!O19</f>
        <v/>
      </c>
      <c r="G2232">
        <f>Skills!G19*IF(Skills!H19&gt;0,Skills!I19/Skills!H19,1)</f>
        <v/>
      </c>
      <c r="H2232">
        <f>1-(1-Skills!J19/100)^Skills!K19</f>
        <v/>
      </c>
      <c r="I2232" t="inlineStr">
        <is>
          <t>1</t>
        </is>
      </c>
      <c r="J2232" t="inlineStr"/>
      <c r="K2232" t="inlineStr"/>
      <c r="L2232" t="inlineStr"/>
      <c r="M2232" t="inlineStr"/>
      <c r="N2232" t="inlineStr"/>
      <c r="O2232">
        <f>(1-Summary!$B$11)*T2232+Summary!$B$11*V2232</f>
        <v/>
      </c>
      <c r="P2232">
        <f>IF(B2252=0,0,O2232/B2252)</f>
        <v/>
      </c>
      <c r="Q2232">
        <f>IFERROR(1/(IF(Inputs!$B$38="pvp",15,MAX(0.1,Skills!D19-IF(Skills!E19=TRUE,Inputs!$B$32,0)))*(1-IF(AND(ArtifactsInput!$M$27,Inputs!$B$4="Chapter Hunt"),CHOOSE(ArtifactsInput!$N$27+1,20,24,28,32,36,40),0)/100)),0)</f>
        <v/>
      </c>
      <c r="R2232">
        <f>IF(AND(Inputs!$B$38&lt;&gt;"pvp",Inputs!$B$43&gt;0),IF(Inputs!$B$43&lt;=0,0,(INT(Inputs!$B$43/(IF(Inputs!$B$38="pvp",15,MAX(0.1,Skills!D19-IF(Skills!E19=TRUE,Inputs!$B$32,0)))*(1-IF(AND(ArtifactsInput!$M$27,Inputs!$B$4="Chapter Hunt"),CHOOSE(ArtifactsInput!$N$27+1,20,24,28,32,36,40),0)/100)))+1)),0)</f>
        <v/>
      </c>
      <c r="S2232">
        <f>IFERROR(O2232/N2232,0)</f>
        <v/>
      </c>
      <c r="T2232" t="n">
        <v>0</v>
      </c>
      <c r="V2232" t="n">
        <v>0</v>
      </c>
    </row>
    <row r="2233">
      <c r="A2233">
        <f>Skills!A20</f>
        <v/>
      </c>
      <c r="B2233">
        <f>Skills!B20</f>
        <v/>
      </c>
      <c r="C2233">
        <f>Inputs!$B$3&gt;=33</f>
        <v/>
      </c>
      <c r="D2233">
        <f>IF(Skills!C20=1,60+Inputs!$B$25+Inputs!$B$29,IF(Skills!C20=2,90+Inputs!$B$26+Inputs!$B$29,IF(Skills!C20=3,120+Inputs!$B$27+Inputs!$B$29,MAX(0,(Inputs!$B$3-100)*3)+Inputs!$B$28+Inputs!$B$29)))</f>
        <v/>
      </c>
      <c r="E2233">
        <f>INDEX(FactorTable!$B$2:$Y$301, MATCH(ROUND(MIN(300,MAX(1,D2233)),0), FactorTable!$A$2:$A$301,0), Skills!M20+1)</f>
        <v/>
      </c>
      <c r="F2233">
        <f>IF(Skills!N20=TRUE,(Skills!L20/10)*(E2233/1000),Skills!L20/10)+Skills!O20</f>
        <v/>
      </c>
      <c r="G2233">
        <f>Skills!G20*IF(Skills!H20&gt;0,Skills!I20/Skills!H20,1)</f>
        <v/>
      </c>
      <c r="H2233">
        <f>1-(1-Skills!J20/100)^Skills!K20</f>
        <v/>
      </c>
      <c r="I2233" t="inlineStr">
        <is>
          <t>1</t>
        </is>
      </c>
      <c r="J2233" t="inlineStr"/>
      <c r="K2233" t="inlineStr"/>
      <c r="L2233" t="inlineStr"/>
      <c r="M2233" t="inlineStr"/>
      <c r="N2233" t="inlineStr"/>
      <c r="O2233">
        <f>(1-Summary!$B$11)*T2233+Summary!$B$11*V2233</f>
        <v/>
      </c>
      <c r="P2233">
        <f>IF(B2252=0,0,O2233/B2252)</f>
        <v/>
      </c>
      <c r="Q2233" t="n">
        <v>0</v>
      </c>
      <c r="R2233" t="n">
        <v>0</v>
      </c>
      <c r="S2233">
        <f>IFERROR(O2233/N2233,0)</f>
        <v/>
      </c>
      <c r="T2233" t="n">
        <v>0</v>
      </c>
      <c r="V2233" t="n">
        <v>0</v>
      </c>
    </row>
    <row r="2234">
      <c r="A2234">
        <f>Skills!A21</f>
        <v/>
      </c>
      <c r="B2234">
        <f>Skills!B21</f>
        <v/>
      </c>
      <c r="C2234">
        <f>Inputs!$B$3&gt;=38</f>
        <v/>
      </c>
      <c r="D2234">
        <f>IF(Skills!C21=1,60+Inputs!$B$25+Inputs!$B$29,IF(Skills!C21=2,90+Inputs!$B$26+Inputs!$B$29,IF(Skills!C21=3,120+Inputs!$B$27+Inputs!$B$29,MAX(0,(Inputs!$B$3-100)*3)+Inputs!$B$28+Inputs!$B$29)))</f>
        <v/>
      </c>
      <c r="E2234">
        <f>INDEX(FactorTable!$B$2:$Y$301, MATCH(ROUND(MIN(300,MAX(1,D2234)),0), FactorTable!$A$2:$A$301,0), Skills!M21+1)</f>
        <v/>
      </c>
      <c r="F2234">
        <f>IF(Skills!N21=TRUE,(Skills!L21/10)*(E2234/1000),Skills!L21/10)+Skills!O21</f>
        <v/>
      </c>
      <c r="G2234">
        <f>Skills!G21*IF(Skills!H21&gt;0,Skills!I21/Skills!H21,1)</f>
        <v/>
      </c>
      <c r="H2234">
        <f>1-(1-Skills!J21/100)^Skills!K21</f>
        <v/>
      </c>
      <c r="I2234" t="inlineStr">
        <is>
          <t>1</t>
        </is>
      </c>
      <c r="J2234" t="inlineStr"/>
      <c r="K2234" t="inlineStr"/>
      <c r="L2234" t="inlineStr"/>
      <c r="M2234" t="inlineStr"/>
      <c r="N2234" t="inlineStr"/>
      <c r="O2234">
        <f>(1-Summary!$B$11)*T2234+Summary!$B$11*V2234</f>
        <v/>
      </c>
      <c r="P2234">
        <f>IF(B2252=0,0,O2234/B2252)</f>
        <v/>
      </c>
      <c r="Q2234" t="n">
        <v>0</v>
      </c>
      <c r="R2234" t="n">
        <v>0</v>
      </c>
      <c r="S2234">
        <f>IFERROR(O2234/N2234,0)</f>
        <v/>
      </c>
      <c r="T2234" t="n">
        <v>0</v>
      </c>
      <c r="V2234" t="n">
        <v>0</v>
      </c>
    </row>
    <row r="2235">
      <c r="A2235">
        <f>Skills!A22</f>
        <v/>
      </c>
      <c r="B2235">
        <f>Skills!B22</f>
        <v/>
      </c>
      <c r="C2235">
        <f>Inputs!$B$3&gt;=43</f>
        <v/>
      </c>
      <c r="D2235">
        <f>IF(Skills!C22=1,60+Inputs!$B$25+Inputs!$B$29,IF(Skills!C22=2,90+Inputs!$B$26+Inputs!$B$29,IF(Skills!C22=3,120+Inputs!$B$27+Inputs!$B$29,MAX(0,(Inputs!$B$3-100)*3)+Inputs!$B$28+Inputs!$B$29)))</f>
        <v/>
      </c>
      <c r="E2235">
        <f>INDEX(FactorTable!$B$2:$Y$301, MATCH(ROUND(MIN(300,MAX(1,D2235)),0), FactorTable!$A$2:$A$301,0), Skills!M22+1)</f>
        <v/>
      </c>
      <c r="F2235">
        <f>IF(Skills!N22=TRUE,(Skills!L22/10)*(E2235/1000),Skills!L22/10)+Skills!O22</f>
        <v/>
      </c>
      <c r="G2235">
        <f>Skills!G22*IF(Skills!H22&gt;0,Skills!I22/Skills!H22,1)</f>
        <v/>
      </c>
      <c r="H2235">
        <f>1-(1-Skills!J22/100)^Skills!K22</f>
        <v/>
      </c>
      <c r="I2235" t="inlineStr">
        <is>
          <t>1</t>
        </is>
      </c>
      <c r="J2235" t="inlineStr"/>
      <c r="K2235" t="inlineStr"/>
      <c r="L2235" t="inlineStr"/>
      <c r="M2235" t="inlineStr"/>
      <c r="N2235" t="inlineStr"/>
      <c r="O2235">
        <f>(1-Summary!$B$11)*T2235+Summary!$B$11*V2235</f>
        <v/>
      </c>
      <c r="P2235">
        <f>IF(B2252=0,0,O2235/B2252)</f>
        <v/>
      </c>
      <c r="Q2235" t="n">
        <v>0</v>
      </c>
      <c r="R2235" t="n">
        <v>0</v>
      </c>
      <c r="S2235">
        <f>IFERROR(O2235/N2235,0)</f>
        <v/>
      </c>
      <c r="T2235" t="n">
        <v>0</v>
      </c>
      <c r="V2235" t="n">
        <v>0</v>
      </c>
    </row>
    <row r="2236">
      <c r="A2236">
        <f>Skills!A23</f>
        <v/>
      </c>
      <c r="B2236">
        <f>Skills!B23</f>
        <v/>
      </c>
      <c r="C2236">
        <f>Inputs!$B$3&gt;=120</f>
        <v/>
      </c>
      <c r="D2236">
        <f>IF(Skills!C23=1,60+Inputs!$B$25+Inputs!$B$29,IF(Skills!C23=2,90+Inputs!$B$26+Inputs!$B$29,IF(Skills!C23=3,120+Inputs!$B$27+Inputs!$B$29,MAX(0,(Inputs!$B$3-100)*3)+Inputs!$B$28+Inputs!$B$29)))</f>
        <v/>
      </c>
      <c r="E2236">
        <f>INDEX(FactorTable!$B$2:$Y$301, MATCH(ROUND(MIN(300,MAX(1,D2236)),0), FactorTable!$A$2:$A$301,0), Skills!M23+1)</f>
        <v/>
      </c>
      <c r="F2236">
        <f>IF(Skills!N23=TRUE,(Skills!L23/10)*(E2236/1000),Skills!L23/10)+Skills!O23</f>
        <v/>
      </c>
      <c r="G2236">
        <f>Skills!G23*IF(Skills!H23&gt;0,Skills!I23/Skills!H23,1)</f>
        <v/>
      </c>
      <c r="H2236">
        <f>1-(1-Skills!J23/100)^Skills!K23</f>
        <v/>
      </c>
      <c r="I2236" t="inlineStr">
        <is>
          <t>1</t>
        </is>
      </c>
      <c r="J2236" t="inlineStr"/>
      <c r="K2236" t="inlineStr"/>
      <c r="L2236" t="inlineStr"/>
      <c r="M2236" t="inlineStr"/>
      <c r="N2236" t="inlineStr"/>
      <c r="O2236">
        <f>(1-Summary!$B$11)*T2236+Summary!$B$11*V2236</f>
        <v/>
      </c>
      <c r="P2236">
        <f>IF(B2252=0,0,O2236/B2252)</f>
        <v/>
      </c>
      <c r="Q2236" t="n">
        <v>0</v>
      </c>
      <c r="R2236" t="n">
        <v>0</v>
      </c>
      <c r="S2236">
        <f>IFERROR(O2236/N2236,0)</f>
        <v/>
      </c>
      <c r="T2236" t="n">
        <v>0</v>
      </c>
      <c r="V2236" t="n">
        <v>0</v>
      </c>
    </row>
    <row r="2237">
      <c r="A2237">
        <f>Skills!A24</f>
        <v/>
      </c>
      <c r="B2237">
        <f>Skills!B24</f>
        <v/>
      </c>
      <c r="C2237">
        <f>Inputs!$B$3&gt;=120</f>
        <v/>
      </c>
      <c r="D2237">
        <f>IF(Skills!C24=1,60+Inputs!$B$25+Inputs!$B$29,IF(Skills!C24=2,90+Inputs!$B$26+Inputs!$B$29,IF(Skills!C24=3,120+Inputs!$B$27+Inputs!$B$29,MAX(0,(Inputs!$B$3-100)*3)+Inputs!$B$28+Inputs!$B$29)))</f>
        <v/>
      </c>
      <c r="E2237">
        <f>INDEX(FactorTable!$B$2:$Y$301, MATCH(ROUND(MIN(300,MAX(1,D2237)),0), FactorTable!$A$2:$A$301,0), Skills!M24+1)</f>
        <v/>
      </c>
      <c r="F2237">
        <f>IF(Skills!N24=TRUE,(Skills!L24/10)*(E2237/1000),Skills!L24/10)+Skills!O24</f>
        <v/>
      </c>
      <c r="G2237">
        <f>Skills!G24*IF(Skills!H24&gt;0,Skills!I24/Skills!H24,1)</f>
        <v/>
      </c>
      <c r="H2237">
        <f>1-(1-Skills!J24/100)^Skills!K24</f>
        <v/>
      </c>
      <c r="I2237" t="inlineStr">
        <is>
          <t>1</t>
        </is>
      </c>
      <c r="J2237" t="inlineStr"/>
      <c r="K2237" t="inlineStr"/>
      <c r="L2237" t="inlineStr"/>
      <c r="M2237" t="inlineStr"/>
      <c r="N2237" t="inlineStr"/>
      <c r="O2237">
        <f>(1-Summary!$B$11)*T2237+Summary!$B$11*V2237</f>
        <v/>
      </c>
      <c r="P2237">
        <f>IF(B2252=0,0,O2237/B2252)</f>
        <v/>
      </c>
      <c r="Q2237" t="n">
        <v>0</v>
      </c>
      <c r="R2237" t="n">
        <v>0</v>
      </c>
      <c r="S2237">
        <f>IFERROR(O2237/N2237,0)</f>
        <v/>
      </c>
      <c r="T2237" t="n">
        <v>0</v>
      </c>
      <c r="V2237" t="n">
        <v>0</v>
      </c>
    </row>
    <row r="2238">
      <c r="A2238">
        <f>Skills!A25</f>
        <v/>
      </c>
      <c r="B2238">
        <f>Skills!B25</f>
        <v/>
      </c>
      <c r="C2238">
        <f>Inputs!$B$3&gt;=125</f>
        <v/>
      </c>
      <c r="D2238">
        <f>IF(Skills!C25=1,60+Inputs!$B$25+Inputs!$B$29,IF(Skills!C25=2,90+Inputs!$B$26+Inputs!$B$29,IF(Skills!C25=3,120+Inputs!$B$27+Inputs!$B$29,MAX(0,(Inputs!$B$3-100)*3)+Inputs!$B$28+Inputs!$B$29)))</f>
        <v/>
      </c>
      <c r="E2238">
        <f>INDEX(FactorTable!$B$2:$Y$301, MATCH(ROUND(MIN(300,MAX(1,D2238)),0), FactorTable!$A$2:$A$301,0), Skills!M25+1)</f>
        <v/>
      </c>
      <c r="F2238">
        <f>IF(Skills!N25=TRUE,(Skills!L25/10)*(E2238/1000),Skills!L25/10)+Skills!O25</f>
        <v/>
      </c>
      <c r="G2238">
        <f>Skills!G25*IF(Skills!H25&gt;0,Skills!I25/Skills!H25,1)</f>
        <v/>
      </c>
      <c r="H2238">
        <f>1-(1-Skills!J25/100)^Skills!K25</f>
        <v/>
      </c>
      <c r="I2238" t="inlineStr">
        <is>
          <t>1</t>
        </is>
      </c>
      <c r="J2238" t="inlineStr"/>
      <c r="K2238" t="inlineStr"/>
      <c r="L2238" t="inlineStr"/>
      <c r="M2238" t="inlineStr"/>
      <c r="N2238" t="inlineStr"/>
      <c r="O2238">
        <f>(1-Summary!$B$11)*T2238+Summary!$B$11*V2238</f>
        <v/>
      </c>
      <c r="P2238">
        <f>IF(B2252=0,0,O2238/B2252)</f>
        <v/>
      </c>
      <c r="Q2238" t="n">
        <v>0</v>
      </c>
      <c r="R2238" t="n">
        <v>0</v>
      </c>
      <c r="S2238">
        <f>IFERROR(O2238/N2238,0)</f>
        <v/>
      </c>
      <c r="T2238" t="n">
        <v>0</v>
      </c>
      <c r="V2238" t="n">
        <v>0</v>
      </c>
    </row>
    <row r="2239">
      <c r="A2239">
        <f>Skills!A26</f>
        <v/>
      </c>
      <c r="B2239">
        <f>Skills!B26</f>
        <v/>
      </c>
      <c r="C2239">
        <f>Inputs!$B$3&gt;=72</f>
        <v/>
      </c>
      <c r="D2239">
        <f>IF(Skills!C26=1,60+Inputs!$B$25+Inputs!$B$29,IF(Skills!C26=2,90+Inputs!$B$26+Inputs!$B$29,IF(Skills!C26=3,120+Inputs!$B$27+Inputs!$B$29,MAX(0,(Inputs!$B$3-100)*3)+Inputs!$B$28+Inputs!$B$29)))</f>
        <v/>
      </c>
      <c r="E2239">
        <f>INDEX(FactorTable!$B$2:$Y$301, MATCH(ROUND(MIN(300,MAX(1,D2239)),0), FactorTable!$A$2:$A$301,0), Skills!M26+1)</f>
        <v/>
      </c>
      <c r="F2239">
        <f>IF(Skills!N26=TRUE,(Skills!L26/10)*(E2239/1000),Skills!L26/10)+Skills!O26</f>
        <v/>
      </c>
      <c r="G2239">
        <f>Skills!G26*IF(Skills!H26&gt;0,Skills!I26/Skills!H26,1)</f>
        <v/>
      </c>
      <c r="H2239">
        <f>1-(1-Skills!J26/100)^Skills!K26</f>
        <v/>
      </c>
      <c r="I2239" t="inlineStr">
        <is>
          <t>1</t>
        </is>
      </c>
      <c r="J2239" t="inlineStr"/>
      <c r="K2239" t="inlineStr"/>
      <c r="L2239" t="inlineStr"/>
      <c r="M2239" t="inlineStr"/>
      <c r="N2239" t="inlineStr"/>
      <c r="O2239">
        <f>(1-Summary!$B$11)*T2239+Summary!$B$11*V2239</f>
        <v/>
      </c>
      <c r="P2239">
        <f>IF(B2252=0,0,O2239/B2252)</f>
        <v/>
      </c>
      <c r="Q2239" t="n">
        <v>0</v>
      </c>
      <c r="R2239" t="n">
        <v>0</v>
      </c>
      <c r="S2239">
        <f>IFERROR(O2239/N2239,0)</f>
        <v/>
      </c>
      <c r="T2239" t="n">
        <v>0</v>
      </c>
      <c r="V2239" t="n">
        <v>0</v>
      </c>
    </row>
    <row r="2241">
      <c r="A2241" t="inlineStr">
        <is>
          <t>Attack% Bucket Multiplier</t>
        </is>
      </c>
      <c r="B2241">
        <f>(1+(((C2226=TRUE)*F2226*IF(Inputs!$B$3&gt;=110,7,5))+((C2228=TRUE)*F2228*IF(AND(Inputs!$B$38&lt;&gt;"pvp",Inputs!$B$43&gt;0),(((R2228-1)*(Skills!T15*(1+(Inputs!$B$34+(ArtifactsInput!$M$7-ArtifactsInput!$M$7)*CHOOSE(ArtifactsInput!$N$7+1,6,7.2,8.4,9.6,10.8,12))/100))+MIN((Skills!T15*(1+(Inputs!$B$34+(ArtifactsInput!$M$7-ArtifactsInput!$M$7)*CHOOSE(ArtifactsInput!$N$7+1,6,7.2,8.4,9.6,10.8,12))/100)),MAX(0,Inputs!$B$43-((R2228-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42">
      <c r="A2242" t="inlineStr">
        <is>
          <t>Global Crit Rate Bonus %</t>
        </is>
      </c>
      <c r="B2242" t="n">
        <v>0</v>
      </c>
    </row>
    <row r="2243">
      <c r="A2243" t="inlineStr">
        <is>
          <t>Attack Speed Buff Bonus %</t>
        </is>
      </c>
      <c r="B2243">
        <f>((C2232=TRUE)*F2232*IF(AND(Inputs!$B$38&lt;&gt;"pvp",Inputs!$B$43&gt;0),(((R2232-1)*(Skills!T19*(1+(Inputs!$B$34+(ArtifactsInput!$M$7-ArtifactsInput!$M$7)*CHOOSE(ArtifactsInput!$N$7+1,6,7.2,8.4,9.6,10.8,12))/100))+MIN((Skills!T19*(1+(Inputs!$B$34+(ArtifactsInput!$M$7-ArtifactsInput!$M$7)*CHOOSE(ArtifactsInput!$N$7+1,6,7.2,8.4,9.6,10.8,12))/100)),MAX(0,Inputs!$B$43-((R2232-1)*Skills!D19))))/Inputs!$B$43),IF(Inputs!$B$38="pvp",MIN((Skills!T19*(1+(Inputs!$B$34+(ArtifactsInput!$M$7-ArtifactsInput!$M$7)*CHOOSE(ArtifactsInput!$N$7+1,6,7.2,8.4,9.6,10.8,12))/100)),15)/15,(Skills!T19*(1+(Inputs!$B$34+(ArtifactsInput!$M$7-ArtifactsInput!$M$7)*CHOOSE(ArtifactsInput!$N$7+1,6,7.2,8.4,9.6,10.8,12))/100))/Skills!D19)))</f>
        <v/>
      </c>
    </row>
    <row r="2244">
      <c r="A2244" t="inlineStr">
        <is>
          <t>Actions Per Second</t>
        </is>
      </c>
      <c r="B2244">
        <f>1+MIN(150,150*(1-(1-(Inputs!$B$11+((C2233=TRUE)*(F2233-Calc!F20)))/150)*(1-B2243/150)))/100</f>
        <v/>
      </c>
    </row>
    <row r="2245">
      <c r="A2245" t="inlineStr">
        <is>
          <t>Skill + Buff Cast Rate</t>
        </is>
      </c>
      <c r="B2245">
        <f>IF(AND(Inputs!$B$38&lt;&gt;"pvp",Inputs!$B$43&gt;0),SUMPRODUCT((Skills!E2:E26=TRUE)*(C2215:C2239=TRUE)*R2215:R2239*Skills!F2:F26)/Inputs!$B$43,SUMPRODUCT((Skills!E2:E26=TRUE)*(C2215:C2239=TRUE)*Q2215:Q2239*Skills!F2:F26))</f>
        <v/>
      </c>
    </row>
    <row r="2246">
      <c r="A2246" t="inlineStr">
        <is>
          <t>Raging Blow Casts Per Second</t>
        </is>
      </c>
      <c r="B2246">
        <f>MAX(0,B2244-B2245)</f>
        <v/>
      </c>
    </row>
    <row r="2247">
      <c r="A2247" t="inlineStr">
        <is>
          <t>Global Critical Damage Bonus % (Enrage)</t>
        </is>
      </c>
      <c r="B2247">
        <f>((C2231=TRUE)*F2231*IF(AND(Inputs!$B$38&lt;&gt;"pvp",Inputs!$B$43&gt;0),(((R2231-1)*(Skills!T18*(1+(Inputs!$B$34+(ArtifactsInput!$M$7-ArtifactsInput!$M$7)*CHOOSE(ArtifactsInput!$N$7+1,6,7.2,8.4,9.6,10.8,12))/100))+MIN((Skills!T18*(1+(Inputs!$B$34+(ArtifactsInput!$M$7-ArtifactsInput!$M$7)*CHOOSE(ArtifactsInput!$N$7+1,6,7.2,8.4,9.6,10.8,12))/100)),MAX(0,Inputs!$B$43-((R2231-1)*Skills!D18))))/Inputs!$B$43),IF(Inputs!$B$38="pvp",MIN((Skills!T18*(1+(Inputs!$B$34+(ArtifactsInput!$M$7-ArtifactsInput!$M$7)*CHOOSE(ArtifactsInput!$N$7+1,6,7.2,8.4,9.6,10.8,12))/100)),15)/15,(Skills!T18*(1+(Inputs!$B$34+(ArtifactsInput!$M$7-ArtifactsInput!$M$7)*CHOOSE(ArtifactsInput!$N$7+1,6,7.2,8.4,9.6,10.8,12))/100))/Skills!D18)))</f>
        <v/>
      </c>
    </row>
    <row r="2248">
      <c r="A2248" t="inlineStr">
        <is>
          <t>Global Final Damage Bonus % (Enrage + Combo Synergy)</t>
        </is>
      </c>
      <c r="B2248">
        <f>((C2230=TRUE)*F2230*IF(AND(Inputs!$B$38&lt;&gt;"pvp",Inputs!$B$43&gt;0),(((R2230-1)*(Skills!T17*(1+(Inputs!$B$34+(ArtifactsInput!$M$7-ArtifactsInput!$M$7)*CHOOSE(ArtifactsInput!$N$7+1,6,7.2,8.4,9.6,10.8,12))/100))+MIN((Skills!T17*(1+(Inputs!$B$34+(ArtifactsInput!$M$7-ArtifactsInput!$M$7)*CHOOSE(ArtifactsInput!$N$7+1,6,7.2,8.4,9.6,10.8,12))/100)),MAX(0,Inputs!$B$43-((R2230-1)*Skills!D17))))/Inputs!$B$43),IF(Inputs!$B$38="pvp",MIN((Skills!T17*(1+(Inputs!$B$34+(ArtifactsInput!$M$7-ArtifactsInput!$M$7)*CHOOSE(ArtifactsInput!$N$7+1,6,7.2,8.4,9.6,10.8,12))/100)),15)/15,(Skills!T17*(1+(Inputs!$B$34+(ArtifactsInput!$M$7-ArtifactsInput!$M$7)*CHOOSE(ArtifactsInput!$N$7+1,6,7.2,8.4,9.6,10.8,12))/100))/Skills!D17)))+((C2227=TRUE)*F2227*IF(Inputs!$B$3&gt;=110,7,5))</f>
        <v/>
      </c>
    </row>
    <row r="2249">
      <c r="A2249" t="inlineStr">
        <is>
          <t>Buff-Casting Startup Delay (s, fixed-duration only)</t>
        </is>
      </c>
      <c r="B2249">
        <f>IF(AND(Inputs!$B$38&lt;&gt;"pvp",Inputs!$B$43&gt;0),SUMPRODUCT((Skills!T2:T26&gt;0)*(Skills!E2:E26=TRUE)*(C2215:C2239=TRUE))/B2244,0)</f>
        <v/>
      </c>
    </row>
    <row r="2250">
      <c r="A2250" t="inlineStr">
        <is>
          <t>Boss-Only Total DPS (this block's swept value)</t>
        </is>
      </c>
      <c r="B2250">
        <f>SUM(T2215:T2239)</f>
        <v/>
      </c>
    </row>
    <row r="2251">
      <c r="A2251" t="inlineStr">
        <is>
          <t>Normal-Only Total DPS (this block's swept value)</t>
        </is>
      </c>
      <c r="B2251">
        <f>SUM(V2215:V2239)</f>
        <v/>
      </c>
    </row>
    <row r="2252">
      <c r="A2252" s="6" t="inlineStr">
        <is>
          <t>TOTAL DPS</t>
        </is>
      </c>
      <c r="B2252" s="6">
        <f>SUM(O2215:O2239)</f>
        <v/>
      </c>
    </row>
    <row r="2255">
      <c r="A2255" s="6" t="inlineStr">
        <is>
          <t>Stat: Sayram's Necklace (Equip)</t>
        </is>
      </c>
    </row>
    <row r="2256">
      <c r="A2256" s="5" t="inlineStr">
        <is>
          <t>Key</t>
        </is>
      </c>
      <c r="B2256" s="5" t="inlineStr">
        <is>
          <t>Name</t>
        </is>
      </c>
      <c r="C2256" s="5" t="inlineStr">
        <is>
          <t>Unlocked</t>
        </is>
      </c>
      <c r="D2256" s="5" t="inlineStr">
        <is>
          <t>InputLevel</t>
        </is>
      </c>
      <c r="E2256" s="5" t="inlineStr">
        <is>
          <t>Factor</t>
        </is>
      </c>
      <c r="F2256" s="5" t="inlineStr">
        <is>
          <t>CoefficientPercent</t>
        </is>
      </c>
      <c r="G2256" s="5" t="inlineStr">
        <is>
          <t>EffectiveHits</t>
        </is>
      </c>
      <c r="H2256" s="5" t="inlineStr">
        <is>
          <t>ProcProbability</t>
        </is>
      </c>
      <c r="I2256" s="5" t="inlineStr">
        <is>
          <t>MapleHeroMultiplier</t>
        </is>
      </c>
      <c r="J2256" s="5" t="inlineStr">
        <is>
          <t>BaseDamage</t>
        </is>
      </c>
      <c r="K2256" s="5" t="inlineStr">
        <is>
          <t>BaseHitDamage</t>
        </is>
      </c>
      <c r="L2256" s="5" t="inlineStr">
        <is>
          <t>NonCritAvg</t>
        </is>
      </c>
      <c r="M2256" s="5" t="inlineStr">
        <is>
          <t>CritAvg</t>
        </is>
      </c>
      <c r="N2256" s="5" t="inlineStr">
        <is>
          <t>ExpectedDamage(perHit)</t>
        </is>
      </c>
      <c r="O2256" s="5" t="inlineStr">
        <is>
          <t>DPS</t>
        </is>
      </c>
      <c r="P2256" s="5" t="inlineStr">
        <is>
          <t>% of Total</t>
        </is>
      </c>
      <c r="Q2256" s="5" t="inlineStr">
        <is>
          <t>InvCooldown</t>
        </is>
      </c>
      <c r="R2256" s="5" t="inlineStr">
        <is>
          <t>CastsInFight</t>
        </is>
      </c>
      <c r="S2256" s="5" t="inlineStr">
        <is>
          <t>HitRate(perSec)</t>
        </is>
      </c>
      <c r="U2256" t="inlineStr">
        <is>
          <t>helpers</t>
        </is>
      </c>
    </row>
    <row r="2257">
      <c r="A2257">
        <f>Skills!A2</f>
        <v/>
      </c>
      <c r="B2257">
        <f>Skills!B2</f>
        <v/>
      </c>
      <c r="C2257">
        <f>Inputs!$B$3&gt;=100</f>
        <v/>
      </c>
      <c r="D2257" t="inlineStr"/>
      <c r="E2257" t="inlineStr"/>
      <c r="F2257">
        <f>U2259+Skills!O2</f>
        <v/>
      </c>
      <c r="G2257">
        <f>Skills!G2*IF(Skills!H2&gt;0,Skills!I2/Skills!H2,1)</f>
        <v/>
      </c>
      <c r="H2257">
        <f>1-(1-Skills!J2/100)^Skills!K2</f>
        <v/>
      </c>
      <c r="I2257" t="inlineStr">
        <is>
          <t>1</t>
        </is>
      </c>
      <c r="J2257">
        <f>((Inputs!$B$6*(1+Inputs!$B$7/100))+(((Inputs!$B$12*(1+Inputs!$B$13/100))-(Inputs!$B$12*(1+Inputs!$B$13/100)))+0.25*(Inputs!$B$14-Inputs!$B$14))*(1+Inputs!$B$7/100))*(F2257/100)</f>
        <v/>
      </c>
      <c r="K2257">
        <f>J2257*(1+((Inputs!$B$12*(1+Inputs!$B$13/100))*0.01+Inputs!$B$14*0.0025)/100)*(1+Inputs!$B$15/100)*(1+Inputs!$B$16/100)*(5000/(6000+Inputs!$B$42*(1-(100*(1-(1-(Inputs!$B$19+0)/100)*(1-CHOOSE(ArtifactsInput!$N$40+1,5,6,7,8,9,10)/100)^(ArtifactsInput!$M$40-ArtifactsInput!$M$40)))/100)))*(1+(Inputs!$B$24+((C2280=TRUE)*(F2280-Calc!F25))+B2290)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2276=TRUE)*(F2276-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2278=TRUE)*(F2278-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2268=TRUE)*F2268*IF(Inputs!$B$3&gt;=110,7,5))+((C2270=TRUE)*F2270*IF(AND(Inputs!$B$38&lt;&gt;"pvp",Inputs!$B$43&gt;0),(((R2270-1)*(Skills!T15*(1+(Inputs!$B$34+(ArtifactsInput!$M$7-ArtifactsInput!$M$7)*CHOOSE(ArtifactsInput!$N$7+1,6,7.2,8.4,9.6,10.8,12))/100))+MIN((Skills!T15*(1+(Inputs!$B$34+(ArtifactsInput!$M$7-ArtifactsInput!$M$7)*CHOOSE(ArtifactsInput!$N$7+1,6,7.2,8.4,9.6,10.8,12))/100)),MAX(0,Inputs!$B$43-((R2270-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Hunt"),CHOOSE(ArtifactsInput!$N$35+1,15,18,21,24,27,30)*(1-EXP(-(0.2*B2286)*5)),0)+IF(AND(ArtifactsInput!$M$22,Inputs!$B$4&lt;&gt;"Chapter Hunt"),CHOOSE(ArtifactsInput!$N$22+1,10,12,14,16,18,20)*((0*(((0.15*B2286*5))^0/1)+1*(((0.15*B2286*5))^1/1)+2*(((0.15*B2286*5))^2/2)+3*(((0.15*B2286*5))^3/6)+4*(((0.15*B2286*5))^4/24)+5*(((0.15*B2286*5))^5/120))/((((0.15*B2286*5))^0/1)+(((0.15*B2286*5))^1/1)+(((0.15*B2286*5))^2/2)+(((0.15*B2286*5))^3/6)+(((0.15*B2286*5))^4/24)+(((0.15*B2286*5))^5/120))),0)))/100)*I2257)</f>
        <v/>
      </c>
      <c r="L2257">
        <f>K2257*(MIN(Inputs!$B$22+((C2277=TRUE)*(F2277-Calc!F22)),(Inputs!$B$23+((C2279=TRUE)*(F2279-Calc!F24))+(IF(ArtifactsInput!$M$15,CHOOSE(ArtifactsInput!$N$15+1,25,30,35,40,45,50)/100*(Inputs!$B$11-Inputs!$B$11),0))))/100+(Inputs!$B$23+((C2279=TRUE)*(F2279-Calc!F24))+(IF(ArtifactsInput!$M$15,CHOOSE(ArtifactsInput!$N$15+1,25,30,35,40,45,50)/100*(Inputs!$B$11-Inputs!$B$11),0)))/100)/2</f>
        <v/>
      </c>
      <c r="M2257">
        <f>L2257*(1+(Inputs!$B$10+0+B2289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57">
        <f>L2257*(1-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2257*(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57">
        <f>(1-Summary!$B$11)*T2257+Summary!$B$11*V2257</f>
        <v/>
      </c>
      <c r="P2257">
        <f>IF(B2294=0,0,O2257/B2294)</f>
        <v/>
      </c>
      <c r="Q2257" t="n">
        <v>0</v>
      </c>
      <c r="R2257" t="n">
        <v>0</v>
      </c>
      <c r="S2257">
        <f>IFERROR(O2257/N2257,0)</f>
        <v/>
      </c>
      <c r="T2257">
        <f>IF(C2257,(Skills!G2*N2257*B2288)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2257*(1-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2257*(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2257*(1-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2257*(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57">
        <f>MAX(0,(Inputs!$B$3-100)*3)+Inputs!$B$28+Inputs!$B$29</f>
        <v/>
      </c>
      <c r="V2257">
        <f>IF(C2257,(Skills!G2*N2257*B2288)*IF(Inputs!$B$38="pvp",1,(1+(Inputs!$B$21+Skills!Q2+Summary!$B$15+(IF(IF(ArtifactsInput!$M$33,FALSE,TRUE),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58">
      <c r="A2258">
        <f>Skills!A3</f>
        <v/>
      </c>
      <c r="B2258">
        <f>Skills!B3</f>
        <v/>
      </c>
      <c r="C2258">
        <f>Inputs!$B$3&gt;=50</f>
        <v/>
      </c>
      <c r="D2258">
        <f>IF(Skills!C3=1,60+Inputs!$B$25+Inputs!$B$29,IF(Skills!C3=2,90+Inputs!$B$26+Inputs!$B$29,IF(Skills!C3=3,120+Inputs!$B$27+Inputs!$B$29,MAX(0,(Inputs!$B$3-100)*3)+Inputs!$B$28+Inputs!$B$29)))</f>
        <v/>
      </c>
      <c r="E2258">
        <f>INDEX(FactorTable!$B$2:$Y$301, MATCH(ROUND(MIN(300,MAX(1,D2258)),0), FactorTable!$A$2:$A$301,0), Skills!M3+1)</f>
        <v/>
      </c>
      <c r="F2258">
        <f>IF(Skills!N3=TRUE,(Skills!L3/10)*(E2258/1000),Skills!L3/10)+Skills!O3</f>
        <v/>
      </c>
      <c r="G2258" t="inlineStr"/>
      <c r="H2258" t="inlineStr"/>
      <c r="I2258" t="inlineStr">
        <is>
          <t>1</t>
        </is>
      </c>
      <c r="J2258" t="inlineStr"/>
      <c r="K2258" t="inlineStr"/>
      <c r="L2258" t="inlineStr"/>
      <c r="M2258" t="inlineStr"/>
      <c r="N2258" t="inlineStr"/>
      <c r="O2258" t="inlineStr"/>
      <c r="P2258" t="inlineStr"/>
      <c r="Q2258" t="inlineStr"/>
      <c r="R2258" t="inlineStr"/>
      <c r="S2258" t="inlineStr"/>
      <c r="U2258">
        <f>INDEX(FactorTable!$B$2:$Y$301, MATCH(ROUND(MIN(300,MAX(1,U2257)),0), FactorTable!$A$2:$A$301,0), 22)</f>
        <v/>
      </c>
    </row>
    <row r="2259">
      <c r="A2259">
        <f>Skills!A4</f>
        <v/>
      </c>
      <c r="B2259">
        <f>Skills!B4</f>
        <v/>
      </c>
      <c r="C2259">
        <f>Inputs!$B$3&gt;=105</f>
        <v/>
      </c>
      <c r="D2259">
        <f>IF(Skills!C4=1,60+Inputs!$B$25+Inputs!$B$29,IF(Skills!C4=2,90+Inputs!$B$26+Inputs!$B$29,IF(Skills!C4=3,120+Inputs!$B$27+Inputs!$B$29,MAX(0,(Inputs!$B$3-100)*3)+Inputs!$B$28+Inputs!$B$29)))</f>
        <v/>
      </c>
      <c r="E2259">
        <f>INDEX(FactorTable!$B$2:$Y$301, MATCH(ROUND(MIN(300,MAX(1,D2259)),0), FactorTable!$A$2:$A$301,0), Skills!M4+1)</f>
        <v/>
      </c>
      <c r="F2259">
        <f>IF(Skills!N4=TRUE,(Skills!L4/10)*(E2259/1000),Skills!L4/10)+Skills!O4</f>
        <v/>
      </c>
      <c r="G2259" t="inlineStr"/>
      <c r="H2259" t="inlineStr"/>
      <c r="I2259" t="inlineStr">
        <is>
          <t>1</t>
        </is>
      </c>
      <c r="J2259" t="inlineStr"/>
      <c r="K2259" t="inlineStr"/>
      <c r="L2259" t="inlineStr"/>
      <c r="M2259" t="inlineStr"/>
      <c r="N2259" t="inlineStr"/>
      <c r="O2259" t="inlineStr"/>
      <c r="P2259" t="inlineStr"/>
      <c r="Q2259" t="inlineStr"/>
      <c r="R2259" t="inlineStr"/>
      <c r="S2259" t="inlineStr"/>
      <c r="U2259">
        <f>290*U2258/1000</f>
        <v/>
      </c>
    </row>
    <row r="2260">
      <c r="A2260">
        <f>Skills!A5</f>
        <v/>
      </c>
      <c r="B2260">
        <f>Skills!B5</f>
        <v/>
      </c>
      <c r="C2260">
        <f>Inputs!$B$3&gt;=103</f>
        <v/>
      </c>
      <c r="D2260">
        <f>IF(Skills!C5=1,60+Inputs!$B$25+Inputs!$B$29,IF(Skills!C5=2,90+Inputs!$B$26+Inputs!$B$29,IF(Skills!C5=3,120+Inputs!$B$27+Inputs!$B$29,MAX(0,(Inputs!$B$3-100)*3)+Inputs!$B$28+Inputs!$B$29)))</f>
        <v/>
      </c>
      <c r="E2260">
        <f>INDEX(FactorTable!$B$2:$Y$301, MATCH(ROUND(MIN(300,MAX(1,D2260)),0), FactorTable!$A$2:$A$301,0), Skills!M5+1)</f>
        <v/>
      </c>
      <c r="F2260">
        <f>IF(Skills!N5=TRUE,(Skills!L5/10)*(E2260/1000),Skills!L5/10)+Skills!O5</f>
        <v/>
      </c>
      <c r="G2260">
        <f>Skills!G5*IF(Skills!H5&gt;0,Skills!I5/Skills!H5,1)</f>
        <v/>
      </c>
      <c r="H2260">
        <f>1-(1-Skills!J5/100)^Skills!K5</f>
        <v/>
      </c>
      <c r="I2260" t="inlineStr">
        <is>
          <t>1</t>
        </is>
      </c>
      <c r="J2260">
        <f>((Inputs!$B$6*(1+Inputs!$B$7/100))+(((Inputs!$B$12*(1+Inputs!$B$13/100))-(Inputs!$B$12*(1+Inputs!$B$13/100)))+0.25*(Inputs!$B$14-Inputs!$B$14))*(1+Inputs!$B$7/100))*(F2260/100)</f>
        <v/>
      </c>
      <c r="K2260">
        <f>J2260*(1+((Inputs!$B$12*(1+Inputs!$B$13/100))*0.01+Inputs!$B$14*0.0025)/100)*(1+Inputs!$B$15/100)*(1+Inputs!$B$16/100)*(5000/(6000+Inputs!$B$42*(1-(100*(1-(1-(Inputs!$B$19+0)/100)*(1-CHOOSE(ArtifactsInput!$N$40+1,5,6,7,8,9,10)/100)^(ArtifactsInput!$M$40-ArtifactsInput!$M$40)))/100)))*(1+(Inputs!$B$24+((C2280=TRUE)*(F2280-Calc!F25))+B2290)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2276=TRUE)*(F2276-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2278=TRUE)*(F2278-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2268=TRUE)*F2268*IF(Inputs!$B$3&gt;=110,7,5))+((C2270=TRUE)*F2270*IF(AND(Inputs!$B$38&lt;&gt;"pvp",Inputs!$B$43&gt;0),(((R2270-1)*(Skills!T15*(1+(Inputs!$B$34+(ArtifactsInput!$M$7-ArtifactsInput!$M$7)*CHOOSE(ArtifactsInput!$N$7+1,6,7.2,8.4,9.6,10.8,12))/100))+MIN((Skills!T15*(1+(Inputs!$B$34+(ArtifactsInput!$M$7-ArtifactsInput!$M$7)*CHOOSE(ArtifactsInput!$N$7+1,6,7.2,8.4,9.6,10.8,12))/100)),MAX(0,Inputs!$B$43-((R2270-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Hunt"),CHOOSE(ArtifactsInput!$N$35+1,15,18,21,24,27,30)*(1-EXP(-(0.2*B2286)*5)),0)+IF(AND(ArtifactsInput!$M$22,Inputs!$B$4&lt;&gt;"Chapter Hunt"),CHOOSE(ArtifactsInput!$N$22+1,10,12,14,16,18,20)*((0*(((0.15*B2286*5))^0/1)+1*(((0.15*B2286*5))^1/1)+2*(((0.15*B2286*5))^2/2)+3*(((0.15*B2286*5))^3/6)+4*(((0.15*B2286*5))^4/24)+5*(((0.15*B2286*5))^5/120))/((((0.15*B2286*5))^0/1)+(((0.15*B2286*5))^1/1)+(((0.15*B2286*5))^2/2)+(((0.15*B2286*5))^3/6)+(((0.15*B2286*5))^4/24)+(((0.15*B2286*5))^5/120))),0)))/100)*I2260)</f>
        <v/>
      </c>
      <c r="L2260">
        <f>K2260*(MIN(Inputs!$B$22+((C2277=TRUE)*(F2277-Calc!F22)),(Inputs!$B$23+((C2279=TRUE)*(F2279-Calc!F24))+(IF(ArtifactsInput!$M$15,CHOOSE(ArtifactsInput!$N$15+1,25,30,35,40,45,50)/100*(Inputs!$B$11-Inputs!$B$11),0))))/100+(Inputs!$B$23+((C2279=TRUE)*(F2279-Calc!F24))+(IF(ArtifactsInput!$M$15,CHOOSE(ArtifactsInput!$N$15+1,25,30,35,40,45,50)/100*(Inputs!$B$11-Inputs!$B$11),0)))/100)/2</f>
        <v/>
      </c>
      <c r="M2260">
        <f>L2260*(1+(Inputs!$B$10+0+B2289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60">
        <f>L2260*(1-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2260*(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60">
        <f>(1-Summary!$B$11)*T2260+Summary!$B$11*V2260</f>
        <v/>
      </c>
      <c r="P2260">
        <f>IF(B2294=0,0,O2260/B2294)</f>
        <v/>
      </c>
      <c r="Q2260">
        <f>IFERROR(1/(IF(Inputs!$B$38="pvp",15,MAX(0.1,Skills!D5-IF(Skills!E5=TRUE,Inputs!$B$32,0)))*(1-IF(AND(ArtifactsInput!$M$27,Inputs!$B$4="Chapter Hunt"),CHOOSE(ArtifactsInput!$N$27+1,20,24,28,32,36,40),0)/100)),0)</f>
        <v/>
      </c>
      <c r="R2260">
        <f>IF(AND(Inputs!$B$38&lt;&gt;"pvp",Inputs!$B$43&gt;0),IF(MAX(0,Inputs!$B$43-B2291)&lt;=0,0,(INT(MAX(0,Inputs!$B$43-B2291)/(IF(Inputs!$B$38="pvp",15,MAX(0.1,Skills!D5-IF(Skills!E5=TRUE,Inputs!$B$32,0)))*(1-IF(AND(ArtifactsInput!$M$27,Inputs!$B$4="Chapter Hunt"),CHOOSE(ArtifactsInput!$N$27+1,20,24,28,32,36,40),0)/100)))+1)),0)</f>
        <v/>
      </c>
      <c r="S2260">
        <f>IFERROR(O2260/N2260,0)</f>
        <v/>
      </c>
      <c r="T2260">
        <f>IF(C2260,(H2260*N2260*IF(AND(Inputs!$B$38&lt;&gt;"pvp",Inputs!$B$43&gt;0),((Skills!G5*((R2260-1)*IF(Skills!H5&gt;0,Skills!I5/Skills!H5,1)+IF(Skills!H5&gt;0,MIN(Skills!I5,MAX(0,MAX(0,Inputs!$B$43-B2291)-((R2260-1)*(IF(Inputs!$B$38="pvp",15,MAX(0.1,Skills!D5-IF(Skills!E5=TRUE,Inputs!$B$32,0)))*(1-IF(AND(ArtifactsInput!$M$27,Inputs!$B$4="Chapter Hunt"),CHOOSE(ArtifactsInput!$N$27+1,20,24,28,32,36,40),0)/100)))))/Skills!H5,1)))/Inputs!$B$43),G2260*Q2260)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2260*(1-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2260*(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2260*(1-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2260*(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60">
        <f>IF(C2260,(H2260*N2260*IF(AND(Inputs!$B$38&lt;&gt;"pvp",Inputs!$B$43&gt;0),((Skills!G5*((R2260-1)*IF(Skills!H5&gt;0,Skills!I5/Skills!H5,1)+IF(Skills!H5&gt;0,MIN(Skills!I5,MAX(0,MAX(0,Inputs!$B$43-B2291)-((R2260-1)*(IF(Inputs!$B$38="pvp",15,MAX(0.1,Skills!D5-IF(Skills!E5=TRUE,Inputs!$B$32,0)))*(1-IF(AND(ArtifactsInput!$M$27,Inputs!$B$4="Chapter Hunt"),CHOOSE(ArtifactsInput!$N$27+1,20,24,28,32,36,40),0)/100)))))/Skills!H5,1)))/Inputs!$B$43),G2260*Q2260))*IF(Inputs!$B$38="pvp",1,(1+(Inputs!$B$21+Skills!Q5+Summary!$B$15+(IF(IF(ArtifactsInput!$M$33,FALSE,TRUE),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61">
      <c r="A2261">
        <f>Skills!A6</f>
        <v/>
      </c>
      <c r="B2261">
        <f>Skills!B6</f>
        <v/>
      </c>
      <c r="C2261">
        <f>Inputs!$B$3&gt;=103</f>
        <v/>
      </c>
      <c r="D2261">
        <f>IF(Skills!C6=1,60+Inputs!$B$25+Inputs!$B$29,IF(Skills!C6=2,90+Inputs!$B$26+Inputs!$B$29,IF(Skills!C6=3,120+Inputs!$B$27+Inputs!$B$29,MAX(0,(Inputs!$B$3-100)*3)+Inputs!$B$28+Inputs!$B$29)))</f>
        <v/>
      </c>
      <c r="E2261">
        <f>INDEX(FactorTable!$B$2:$Y$301, MATCH(ROUND(MIN(300,MAX(1,D2261)),0), FactorTable!$A$2:$A$301,0), Skills!M6+1)</f>
        <v/>
      </c>
      <c r="F2261">
        <f>IF(Skills!N6=TRUE,(Skills!L6/10)*(E2261/1000),Skills!L6/10)+Skills!O6</f>
        <v/>
      </c>
      <c r="G2261">
        <f>Skills!G6*IF(Skills!H6&gt;0,Skills!I6/Skills!H6,1)</f>
        <v/>
      </c>
      <c r="H2261">
        <f>1-(1-Skills!J6/100)^Skills!K6</f>
        <v/>
      </c>
      <c r="I2261" t="inlineStr">
        <is>
          <t>1</t>
        </is>
      </c>
      <c r="J2261">
        <f>((Inputs!$B$6*(1+Inputs!$B$7/100))+(((Inputs!$B$12*(1+Inputs!$B$13/100))-(Inputs!$B$12*(1+Inputs!$B$13/100)))+0.25*(Inputs!$B$14-Inputs!$B$14))*(1+Inputs!$B$7/100))*(F2261/100)</f>
        <v/>
      </c>
      <c r="K2261">
        <f>J2261*(1+((Inputs!$B$12*(1+Inputs!$B$13/100))*0.01+Inputs!$B$14*0.0025)/100)*(1+Inputs!$B$15/100)*(1+Inputs!$B$16/100)*(5000/(6000+Inputs!$B$42*(1-(100*(1-(1-(Inputs!$B$19+0)/100)*(1-CHOOSE(ArtifactsInput!$N$40+1,5,6,7,8,9,10)/100)^(ArtifactsInput!$M$40-ArtifactsInput!$M$40)))/100)))*(1+(Inputs!$B$24+((C2280=TRUE)*(F2280-Calc!F25))+B2290)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2276=TRUE)*(F2276-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2278=TRUE)*(F2278-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2268=TRUE)*F2268*IF(Inputs!$B$3&gt;=110,7,5))+((C2270=TRUE)*F2270*IF(AND(Inputs!$B$38&lt;&gt;"pvp",Inputs!$B$43&gt;0),(((R2270-1)*(Skills!T15*(1+(Inputs!$B$34+(ArtifactsInput!$M$7-ArtifactsInput!$M$7)*CHOOSE(ArtifactsInput!$N$7+1,6,7.2,8.4,9.6,10.8,12))/100))+MIN((Skills!T15*(1+(Inputs!$B$34+(ArtifactsInput!$M$7-ArtifactsInput!$M$7)*CHOOSE(ArtifactsInput!$N$7+1,6,7.2,8.4,9.6,10.8,12))/100)),MAX(0,Inputs!$B$43-((R2270-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Hunt"),CHOOSE(ArtifactsInput!$N$35+1,15,18,21,24,27,30)*(1-EXP(-(0.2*B2286)*5)),0)+IF(AND(ArtifactsInput!$M$22,Inputs!$B$4&lt;&gt;"Chapter Hunt"),CHOOSE(ArtifactsInput!$N$22+1,10,12,14,16,18,20)*((0*(((0.15*B2286*5))^0/1)+1*(((0.15*B2286*5))^1/1)+2*(((0.15*B2286*5))^2/2)+3*(((0.15*B2286*5))^3/6)+4*(((0.15*B2286*5))^4/24)+5*(((0.15*B2286*5))^5/120))/((((0.15*B2286*5))^0/1)+(((0.15*B2286*5))^1/1)+(((0.15*B2286*5))^2/2)+(((0.15*B2286*5))^3/6)+(((0.15*B2286*5))^4/24)+(((0.15*B2286*5))^5/120))),0)))/100)*I2261)</f>
        <v/>
      </c>
      <c r="L2261">
        <f>K2261*(MIN(Inputs!$B$22+((C2277=TRUE)*(F2277-Calc!F22)),(Inputs!$B$23+((C2279=TRUE)*(F2279-Calc!F24))+(IF(ArtifactsInput!$M$15,CHOOSE(ArtifactsInput!$N$15+1,25,30,35,40,45,50)/100*(Inputs!$B$11-Inputs!$B$11),0))))/100+(Inputs!$B$23+((C2279=TRUE)*(F2279-Calc!F24))+(IF(ArtifactsInput!$M$15,CHOOSE(ArtifactsInput!$N$15+1,25,30,35,40,45,50)/100*(Inputs!$B$11-Inputs!$B$11),0)))/100)/2</f>
        <v/>
      </c>
      <c r="M2261">
        <f>L2261*(1+(Inputs!$B$10+0+B2289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61">
        <f>L2261*(1-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2261*(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61">
        <f>(1-Summary!$B$11)*T2261+Summary!$B$11*V2261</f>
        <v/>
      </c>
      <c r="P2261">
        <f>IF(B2294=0,0,O2261/B2294)</f>
        <v/>
      </c>
      <c r="Q2261">
        <f>IFERROR(1/(IF(Inputs!$B$38="pvp",15,MAX(0.1,Skills!D6-IF(Skills!E6=TRUE,Inputs!$B$32,0)))*(1-IF(AND(ArtifactsInput!$M$27,Inputs!$B$4="Chapter Hunt"),CHOOSE(ArtifactsInput!$N$27+1,20,24,28,32,36,40),0)/100)),0)</f>
        <v/>
      </c>
      <c r="R2261">
        <f>IF(AND(Inputs!$B$38&lt;&gt;"pvp",Inputs!$B$43&gt;0),IF(MAX(0,Inputs!$B$43-B2291)&lt;=0,0,(INT(MAX(0,Inputs!$B$43-B2291)/(IF(Inputs!$B$38="pvp",15,MAX(0.1,Skills!D6-IF(Skills!E6=TRUE,Inputs!$B$32,0)))*(1-IF(AND(ArtifactsInput!$M$27,Inputs!$B$4="Chapter Hunt"),CHOOSE(ArtifactsInput!$N$27+1,20,24,28,32,36,40),0)/100)))+1)),0)</f>
        <v/>
      </c>
      <c r="S2261">
        <f>IFERROR(O2261/N2261,0)</f>
        <v/>
      </c>
      <c r="T2261">
        <f>IF(C2261,(H2261*N2261*IF(AND(Inputs!$B$38&lt;&gt;"pvp",Inputs!$B$43&gt;0),((Skills!G6*((R2261-1)*IF(Skills!H6&gt;0,Skills!I6/Skills!H6,1)+IF(Skills!H6&gt;0,MIN(Skills!I6,MAX(0,MAX(0,Inputs!$B$43-B2291)-((R2261-1)*(IF(Inputs!$B$38="pvp",15,MAX(0.1,Skills!D6-IF(Skills!E6=TRUE,Inputs!$B$32,0)))*(1-IF(AND(ArtifactsInput!$M$27,Inputs!$B$4="Chapter Hunt"),CHOOSE(ArtifactsInput!$N$27+1,20,24,28,32,36,40),0)/100)))))/Skills!H6,1)))/Inputs!$B$43),G2261*Q2261)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2261*(1-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2261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2261*(1-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2261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61">
        <f>IF(C2261,(H2261*N2261*IF(AND(Inputs!$B$38&lt;&gt;"pvp",Inputs!$B$43&gt;0),((Skills!G6*((R2261-1)*IF(Skills!H6&gt;0,Skills!I6/Skills!H6,1)+IF(Skills!H6&gt;0,MIN(Skills!I6,MAX(0,MAX(0,Inputs!$B$43-B2291)-((R2261-1)*(IF(Inputs!$B$38="pvp",15,MAX(0.1,Skills!D6-IF(Skills!E6=TRUE,Inputs!$B$32,0)))*(1-IF(AND(ArtifactsInput!$M$27,Inputs!$B$4="Chapter Hunt"),CHOOSE(ArtifactsInput!$N$27+1,20,24,28,32,36,40),0)/100)))))/Skills!H6,1)))/Inputs!$B$43),G2261*Q2261))*IF(Inputs!$B$38="pvp",1,(1+(Inputs!$B$21+Skills!Q6+Summary!$B$15+(IF(IF(ArtifactsInput!$M$33,FALSE,TRUE),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62">
      <c r="A2262">
        <f>Skills!A7</f>
        <v/>
      </c>
      <c r="B2262">
        <f>Skills!B7</f>
        <v/>
      </c>
      <c r="C2262">
        <f>Inputs!$B$3&gt;=107</f>
        <v/>
      </c>
      <c r="D2262">
        <f>IF(Skills!C7=1,60+Inputs!$B$25+Inputs!$B$29,IF(Skills!C7=2,90+Inputs!$B$26+Inputs!$B$29,IF(Skills!C7=3,120+Inputs!$B$27+Inputs!$B$29,MAX(0,(Inputs!$B$3-100)*3)+Inputs!$B$28+Inputs!$B$29)))</f>
        <v/>
      </c>
      <c r="E2262">
        <f>INDEX(FactorTable!$B$2:$Y$301, MATCH(ROUND(MIN(300,MAX(1,D2262)),0), FactorTable!$A$2:$A$301,0), Skills!M7+1)</f>
        <v/>
      </c>
      <c r="F2262">
        <f>IF(Skills!N7=TRUE,(Skills!L7/10)*(E2262/1000),Skills!L7/10)+Skills!O7</f>
        <v/>
      </c>
      <c r="G2262">
        <f>Skills!G7*IF(Skills!H7&gt;0,Skills!I7/Skills!H7,1)</f>
        <v/>
      </c>
      <c r="H2262">
        <f>1-(1-Skills!J7/100)^Skills!K7</f>
        <v/>
      </c>
      <c r="I2262" t="inlineStr">
        <is>
          <t>1</t>
        </is>
      </c>
      <c r="J2262">
        <f>((Inputs!$B$6*(1+Inputs!$B$7/100))+(((Inputs!$B$12*(1+Inputs!$B$13/100))-(Inputs!$B$12*(1+Inputs!$B$13/100)))+0.25*(Inputs!$B$14-Inputs!$B$14))*(1+Inputs!$B$7/100))*(F2262/100)</f>
        <v/>
      </c>
      <c r="K2262">
        <f>J2262*(1+((Inputs!$B$12*(1+Inputs!$B$13/100))*0.01+Inputs!$B$14*0.0025)/100)*(1+Inputs!$B$15/100)*(1+Inputs!$B$16/100)*(5000/(6000+Inputs!$B$42*(1-(100*(1-(1-(Inputs!$B$19+0)/100)*(1-CHOOSE(ArtifactsInput!$N$40+1,5,6,7,8,9,10)/100)^(ArtifactsInput!$M$40-ArtifactsInput!$M$40)))/100)))*(1+(Inputs!$B$24+((C2280=TRUE)*(F2280-Calc!F25))+B2290)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2276=TRUE)*(F2276-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2278=TRUE)*(F2278-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2268=TRUE)*F2268*IF(Inputs!$B$3&gt;=110,7,5))+((C2270=TRUE)*F2270*IF(AND(Inputs!$B$38&lt;&gt;"pvp",Inputs!$B$43&gt;0),(((R2270-1)*(Skills!T15*(1+(Inputs!$B$34+(ArtifactsInput!$M$7-ArtifactsInput!$M$7)*CHOOSE(ArtifactsInput!$N$7+1,6,7.2,8.4,9.6,10.8,12))/100))+MIN((Skills!T15*(1+(Inputs!$B$34+(ArtifactsInput!$M$7-ArtifactsInput!$M$7)*CHOOSE(ArtifactsInput!$N$7+1,6,7.2,8.4,9.6,10.8,12))/100)),MAX(0,Inputs!$B$43-((R2270-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Hunt"),CHOOSE(ArtifactsInput!$N$35+1,15,18,21,24,27,30)*(1-EXP(-(0.2*B2286)*5)),0)+IF(AND(ArtifactsInput!$M$22,Inputs!$B$4&lt;&gt;"Chapter Hunt"),CHOOSE(ArtifactsInput!$N$22+1,10,12,14,16,18,20)*((0*(((0.15*B2286*5))^0/1)+1*(((0.15*B2286*5))^1/1)+2*(((0.15*B2286*5))^2/2)+3*(((0.15*B2286*5))^3/6)+4*(((0.15*B2286*5))^4/24)+5*(((0.15*B2286*5))^5/120))/((((0.15*B2286*5))^0/1)+(((0.15*B2286*5))^1/1)+(((0.15*B2286*5))^2/2)+(((0.15*B2286*5))^3/6)+(((0.15*B2286*5))^4/24)+(((0.15*B2286*5))^5/120))),0)))/100)*I2262)</f>
        <v/>
      </c>
      <c r="L2262">
        <f>K2262*(MIN(Inputs!$B$22+((C2277=TRUE)*(F2277-Calc!F22)),(Inputs!$B$23+((C2279=TRUE)*(F2279-Calc!F24))+(IF(ArtifactsInput!$M$15,CHOOSE(ArtifactsInput!$N$15+1,25,30,35,40,45,50)/100*(Inputs!$B$11-Inputs!$B$11),0))))/100+(Inputs!$B$23+((C2279=TRUE)*(F2279-Calc!F24))+(IF(ArtifactsInput!$M$15,CHOOSE(ArtifactsInput!$N$15+1,25,30,35,40,45,50)/100*(Inputs!$B$11-Inputs!$B$11),0)))/100)/2</f>
        <v/>
      </c>
      <c r="M2262">
        <f>L2262*(1+(Inputs!$B$10+0+B2289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62">
        <f>L2262*(1-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2262*(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62">
        <f>(1-Summary!$B$11)*T2262+Summary!$B$11*V2262</f>
        <v/>
      </c>
      <c r="P2262">
        <f>IF(B2294=0,0,O2262/B2294)</f>
        <v/>
      </c>
      <c r="Q2262">
        <f>IFERROR(1/(IF(Inputs!$B$38="pvp",15,MAX(0.1,Skills!D7-IF(Skills!E7=TRUE,Inputs!$B$32,0)))*(1-IF(AND(ArtifactsInput!$M$27,Inputs!$B$4="Chapter Hunt"),CHOOSE(ArtifactsInput!$N$27+1,20,24,28,32,36,40),0)/100)),0)</f>
        <v/>
      </c>
      <c r="R2262">
        <f>IF(AND(Inputs!$B$38&lt;&gt;"pvp",Inputs!$B$43&gt;0),IF(MAX(0,Inputs!$B$43-B2291)&lt;=0,0,(INT(MAX(0,Inputs!$B$43-B2291)/(IF(Inputs!$B$38="pvp",15,MAX(0.1,Skills!D7-IF(Skills!E7=TRUE,Inputs!$B$32,0)))*(1-IF(AND(ArtifactsInput!$M$27,Inputs!$B$4="Chapter Hunt"),CHOOSE(ArtifactsInput!$N$27+1,20,24,28,32,36,40),0)/100)))+1)),0)</f>
        <v/>
      </c>
      <c r="S2262">
        <f>IFERROR(O2262/N2262,0)</f>
        <v/>
      </c>
      <c r="T2262">
        <f>IF(C2262,(H2262*N2262*IF(AND(Inputs!$B$38&lt;&gt;"pvp",Inputs!$B$43&gt;0),((Skills!G7*((R2262-1)*IF(Skills!H7&gt;0,Skills!I7/Skills!H7,1)+IF(Skills!H7&gt;0,MIN(Skills!I7,MAX(0,MAX(0,Inputs!$B$43-B2291)-((R2262-1)*(IF(Inputs!$B$38="pvp",15,MAX(0.1,Skills!D7-IF(Skills!E7=TRUE,Inputs!$B$32,0)))*(1-IF(AND(ArtifactsInput!$M$27,Inputs!$B$4="Chapter Hunt"),CHOOSE(ArtifactsInput!$N$27+1,20,24,28,32,36,40),0)/100)))))/Skills!H7,1)))/Inputs!$B$43),G2262*Q2262)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2262*(1-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2262*(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2262*(1-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2262*(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62">
        <f>IF(C2262,(H2262*N2262*IF(AND(Inputs!$B$38&lt;&gt;"pvp",Inputs!$B$43&gt;0),((Skills!G7*((R2262-1)*IF(Skills!H7&gt;0,Skills!I7/Skills!H7,1)+IF(Skills!H7&gt;0,MIN(Skills!I7,MAX(0,MAX(0,Inputs!$B$43-B2291)-((R2262-1)*(IF(Inputs!$B$38="pvp",15,MAX(0.1,Skills!D7-IF(Skills!E7=TRUE,Inputs!$B$32,0)))*(1-IF(AND(ArtifactsInput!$M$27,Inputs!$B$4="Chapter Hunt"),CHOOSE(ArtifactsInput!$N$27+1,20,24,28,32,36,40),0)/100)))))/Skills!H7,1)))/Inputs!$B$43),G2262*Q2262))*IF(Inputs!$B$38="pvp",1,(1+(Inputs!$B$21+Skills!Q7+Summary!$B$15+(IF(IF(ArtifactsInput!$M$33,FALSE,TRUE),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63">
      <c r="A2263">
        <f>Skills!A8</f>
        <v/>
      </c>
      <c r="B2263">
        <f>Skills!B8</f>
        <v/>
      </c>
      <c r="C2263">
        <f>Inputs!$B$3&gt;=117</f>
        <v/>
      </c>
      <c r="D2263">
        <f>IF(Skills!C8=1,60+Inputs!$B$25+Inputs!$B$29,IF(Skills!C8=2,90+Inputs!$B$26+Inputs!$B$29,IF(Skills!C8=3,120+Inputs!$B$27+Inputs!$B$29,MAX(0,(Inputs!$B$3-100)*3)+Inputs!$B$28+Inputs!$B$29)))</f>
        <v/>
      </c>
      <c r="E2263">
        <f>INDEX(FactorTable!$B$2:$Y$301, MATCH(ROUND(MIN(300,MAX(1,D2263)),0), FactorTable!$A$2:$A$301,0), Skills!M8+1)</f>
        <v/>
      </c>
      <c r="F2263">
        <f>IF(Skills!N8=TRUE,(Skills!L8/10)*(E2263/1000),Skills!L8/10)+Skills!O8</f>
        <v/>
      </c>
      <c r="G2263">
        <f>Skills!G8*IF(Skills!H8&gt;0,Skills!I8/Skills!H8,1)</f>
        <v/>
      </c>
      <c r="H2263">
        <f>1-(1-Skills!J8/100)^Skills!K8</f>
        <v/>
      </c>
      <c r="I2263" t="inlineStr">
        <is>
          <t>1</t>
        </is>
      </c>
      <c r="J2263">
        <f>((Inputs!$B$6*(1+Inputs!$B$7/100))+(((Inputs!$B$12*(1+Inputs!$B$13/100))-(Inputs!$B$12*(1+Inputs!$B$13/100)))+0.25*(Inputs!$B$14-Inputs!$B$14))*(1+Inputs!$B$7/100))*(F2263/100)</f>
        <v/>
      </c>
      <c r="K2263">
        <f>J2263*(1+((Inputs!$B$12*(1+Inputs!$B$13/100))*0.01+Inputs!$B$14*0.0025)/100)*(1+Inputs!$B$15/100)*(1+Inputs!$B$16/100)*(5000/(6000+Inputs!$B$42*(1-(100*(1-(1-(Inputs!$B$19+0)/100)*(1-CHOOSE(ArtifactsInput!$N$40+1,5,6,7,8,9,10)/100)^(ArtifactsInput!$M$40-ArtifactsInput!$M$40)))/100)))*(1+(Inputs!$B$24+((C2280=TRUE)*(F2280-Calc!F25))+B2290)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2276=TRUE)*(F2276-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2278=TRUE)*(F2278-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2268=TRUE)*F2268*IF(Inputs!$B$3&gt;=110,7,5))+((C2270=TRUE)*F2270*IF(AND(Inputs!$B$38&lt;&gt;"pvp",Inputs!$B$43&gt;0),(((R2270-1)*(Skills!T15*(1+(Inputs!$B$34+(ArtifactsInput!$M$7-ArtifactsInput!$M$7)*CHOOSE(ArtifactsInput!$N$7+1,6,7.2,8.4,9.6,10.8,12))/100))+MIN((Skills!T15*(1+(Inputs!$B$34+(ArtifactsInput!$M$7-ArtifactsInput!$M$7)*CHOOSE(ArtifactsInput!$N$7+1,6,7.2,8.4,9.6,10.8,12))/100)),MAX(0,Inputs!$B$43-((R2270-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Hunt"),CHOOSE(ArtifactsInput!$N$35+1,15,18,21,24,27,30)*(1-EXP(-(0.2*B2286)*5)),0)+IF(AND(ArtifactsInput!$M$22,Inputs!$B$4&lt;&gt;"Chapter Hunt"),CHOOSE(ArtifactsInput!$N$22+1,10,12,14,16,18,20)*((0*(((0.15*B2286*5))^0/1)+1*(((0.15*B2286*5))^1/1)+2*(((0.15*B2286*5))^2/2)+3*(((0.15*B2286*5))^3/6)+4*(((0.15*B2286*5))^4/24)+5*(((0.15*B2286*5))^5/120))/((((0.15*B2286*5))^0/1)+(((0.15*B2286*5))^1/1)+(((0.15*B2286*5))^2/2)+(((0.15*B2286*5))^3/6)+(((0.15*B2286*5))^4/24)+(((0.15*B2286*5))^5/120))),0)))/100)*I2263)</f>
        <v/>
      </c>
      <c r="L2263">
        <f>K2263*(MIN(Inputs!$B$22+((C2277=TRUE)*(F2277-Calc!F22)),(Inputs!$B$23+((C2279=TRUE)*(F2279-Calc!F24))+(IF(ArtifactsInput!$M$15,CHOOSE(ArtifactsInput!$N$15+1,25,30,35,40,45,50)/100*(Inputs!$B$11-Inputs!$B$11),0))))/100+(Inputs!$B$23+((C2279=TRUE)*(F2279-Calc!F24))+(IF(ArtifactsInput!$M$15,CHOOSE(ArtifactsInput!$N$15+1,25,30,35,40,45,50)/100*(Inputs!$B$11-Inputs!$B$11),0)))/100)/2</f>
        <v/>
      </c>
      <c r="M2263">
        <f>L2263*(1+(Inputs!$B$10+0+B2289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63">
        <f>L2263*(1-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2263*(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63">
        <f>(1-Summary!$B$11)*T2263+Summary!$B$11*V2263</f>
        <v/>
      </c>
      <c r="P2263">
        <f>IF(B2294=0,0,O2263/B2294)</f>
        <v/>
      </c>
      <c r="Q2263">
        <f>IFERROR(1/(IF(Inputs!$B$38="pvp",15,MAX(0.1,Skills!D8-IF(Skills!E8=TRUE,Inputs!$B$32,0)))*(1-IF(AND(ArtifactsInput!$M$27,Inputs!$B$4="Chapter Hunt"),CHOOSE(ArtifactsInput!$N$27+1,20,24,28,32,36,40),0)/100)),0)</f>
        <v/>
      </c>
      <c r="R2263">
        <f>IF(AND(Inputs!$B$38&lt;&gt;"pvp",Inputs!$B$43&gt;0),IF(MAX(0,Inputs!$B$43-B2291)&lt;=0,0,(INT(MAX(0,Inputs!$B$43-B2291)/(IF(Inputs!$B$38="pvp",15,MAX(0.1,Skills!D8-IF(Skills!E8=TRUE,Inputs!$B$32,0)))*(1-IF(AND(ArtifactsInput!$M$27,Inputs!$B$4="Chapter Hunt"),CHOOSE(ArtifactsInput!$N$27+1,20,24,28,32,36,40),0)/100)))+1)),0)</f>
        <v/>
      </c>
      <c r="S2263">
        <f>IFERROR(O2263/N2263,0)</f>
        <v/>
      </c>
      <c r="T2263">
        <f>IF(C2263,(H2263*N2263*IF(AND(Inputs!$B$38&lt;&gt;"pvp",Inputs!$B$43&gt;0),((Skills!G8*((R2263-1)*IF(Skills!H8&gt;0,Skills!I8/Skills!H8,1)+IF(Skills!H8&gt;0,MIN(Skills!I8,MAX(0,MAX(0,Inputs!$B$43-B2291)-((R2263-1)*(IF(Inputs!$B$38="pvp",15,MAX(0.1,Skills!D8-IF(Skills!E8=TRUE,Inputs!$B$32,0)))*(1-IF(AND(ArtifactsInput!$M$27,Inputs!$B$4="Chapter Hunt"),CHOOSE(ArtifactsInput!$N$27+1,20,24,28,32,36,40),0)/100)))))/Skills!H8,1)))/Inputs!$B$43),G2263*Q2263)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2263*(1-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2263*(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2263*(1-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2263*(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63">
        <f>IF(C2263,(H2263*N2263*IF(AND(Inputs!$B$38&lt;&gt;"pvp",Inputs!$B$43&gt;0),((Skills!G8*((R2263-1)*IF(Skills!H8&gt;0,Skills!I8/Skills!H8,1)+IF(Skills!H8&gt;0,MIN(Skills!I8,MAX(0,MAX(0,Inputs!$B$43-B2291)-((R2263-1)*(IF(Inputs!$B$38="pvp",15,MAX(0.1,Skills!D8-IF(Skills!E8=TRUE,Inputs!$B$32,0)))*(1-IF(AND(ArtifactsInput!$M$27,Inputs!$B$4="Chapter Hunt"),CHOOSE(ArtifactsInput!$N$27+1,20,24,28,32,36,40),0)/100)))))/Skills!H8,1)))/Inputs!$B$43),G2263*Q2263))*IF(Inputs!$B$38="pvp",1,(1+(Inputs!$B$21+Skills!Q8+Summary!$B$15+(IF(IF(ArtifactsInput!$M$33,FALSE,TRUE),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64">
      <c r="A2264">
        <f>Skills!A9</f>
        <v/>
      </c>
      <c r="B2264">
        <f>Skills!B9</f>
        <v/>
      </c>
      <c r="C2264">
        <f>Inputs!$B$3&gt;=69</f>
        <v/>
      </c>
      <c r="D2264">
        <f>IF(Skills!C9=1,60+Inputs!$B$25+Inputs!$B$29,IF(Skills!C9=2,90+Inputs!$B$26+Inputs!$B$29,IF(Skills!C9=3,120+Inputs!$B$27+Inputs!$B$29,MAX(0,(Inputs!$B$3-100)*3)+Inputs!$B$28+Inputs!$B$29)))</f>
        <v/>
      </c>
      <c r="E2264">
        <f>INDEX(FactorTable!$B$2:$Y$301, MATCH(ROUND(MIN(300,MAX(1,D2264)),0), FactorTable!$A$2:$A$301,0), Skills!M9+1)</f>
        <v/>
      </c>
      <c r="F2264">
        <f>IF(Skills!N9=TRUE,(Skills!L9/10)*(E2264/1000),Skills!L9/10)+Skills!O9</f>
        <v/>
      </c>
      <c r="G2264">
        <f>Skills!G9*IF(Skills!H9&gt;0,Skills!I9/Skills!H9,1)</f>
        <v/>
      </c>
      <c r="H2264">
        <f>1-(1-Skills!J9/100)^Skills!K9</f>
        <v/>
      </c>
      <c r="I2264" t="inlineStr">
        <is>
          <t>1</t>
        </is>
      </c>
      <c r="J2264">
        <f>((Inputs!$B$6*(1+Inputs!$B$7/100))+(((Inputs!$B$12*(1+Inputs!$B$13/100))-(Inputs!$B$12*(1+Inputs!$B$13/100)))+0.25*(Inputs!$B$14-Inputs!$B$14))*(1+Inputs!$B$7/100))*(F2264/100)</f>
        <v/>
      </c>
      <c r="K2264">
        <f>J2264*(1+((Inputs!$B$12*(1+Inputs!$B$13/100))*0.01+Inputs!$B$14*0.0025)/100)*(1+Inputs!$B$15/100)*(1+Inputs!$B$16/100)*(5000/(6000+Inputs!$B$42*(1-(100*(1-(1-(Inputs!$B$19+0)/100)*(1-CHOOSE(ArtifactsInput!$N$40+1,5,6,7,8,9,10)/100)^(ArtifactsInput!$M$40-ArtifactsInput!$M$40)))/100)))*(1+(Inputs!$B$24+((C2280=TRUE)*(F2280-Calc!F25))+B2290)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2267=TRUE,F2267,0)/100)*(1+IF(Skills!A9="ENHANCED_RAGING_BLOW",IF(Inputs!$B$3&gt;=134,MAX(0,IF(Inputs!$B$3&gt;=110,7,5)-5)*50,0),0)/100)*(1+(IF(Skills!A9="RAGING_BLOW",Inputs!$B$17+((C2276=TRUE)*(F2276-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2278=TRUE)*(F2278-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2268=TRUE)*F2268*IF(Inputs!$B$3&gt;=110,7,5))+((C2270=TRUE)*F2270*IF(AND(Inputs!$B$38&lt;&gt;"pvp",Inputs!$B$43&gt;0),(((R2270-1)*(Skills!T15*(1+(Inputs!$B$34+(ArtifactsInput!$M$7-ArtifactsInput!$M$7)*CHOOSE(ArtifactsInput!$N$7+1,6,7.2,8.4,9.6,10.8,12))/100))+MIN((Skills!T15*(1+(Inputs!$B$34+(ArtifactsInput!$M$7-ArtifactsInput!$M$7)*CHOOSE(ArtifactsInput!$N$7+1,6,7.2,8.4,9.6,10.8,12))/100)),MAX(0,Inputs!$B$43-((R2270-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Hunt"),CHOOSE(ArtifactsInput!$N$35+1,15,18,21,24,27,30)*(1-EXP(-(0.2*B2286)*5)),0)+IF(AND(ArtifactsInput!$M$22,Inputs!$B$4&lt;&gt;"Chapter Hunt"),CHOOSE(ArtifactsInput!$N$22+1,10,12,14,16,18,20)*((0*(((0.15*B2286*5))^0/1)+1*(((0.15*B2286*5))^1/1)+2*(((0.15*B2286*5))^2/2)+3*(((0.15*B2286*5))^3/6)+4*(((0.15*B2286*5))^4/24)+5*(((0.15*B2286*5))^5/120))/((((0.15*B2286*5))^0/1)+(((0.15*B2286*5))^1/1)+(((0.15*B2286*5))^2/2)+(((0.15*B2286*5))^3/6)+(((0.15*B2286*5))^4/24)+(((0.15*B2286*5))^5/120))),0)))/100)*I2264)</f>
        <v/>
      </c>
      <c r="L2264">
        <f>K2264*(MIN(Inputs!$B$22+((C2277=TRUE)*(F2277-Calc!F22)),(Inputs!$B$23+((C2279=TRUE)*(F2279-Calc!F24))+(IF(ArtifactsInput!$M$15,CHOOSE(ArtifactsInput!$N$15+1,25,30,35,40,45,50)/100*(Inputs!$B$11-Inputs!$B$11),0))))/100+(Inputs!$B$23+((C2279=TRUE)*(F2279-Calc!F24))+(IF(ArtifactsInput!$M$15,CHOOSE(ArtifactsInput!$N$15+1,25,30,35,40,45,50)/100*(Inputs!$B$11-Inputs!$B$11),0)))/100)/2</f>
        <v/>
      </c>
      <c r="M2264">
        <f>L2264*(1+(Inputs!$B$10+0+B2289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64">
        <f>L2264*(1-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2264*(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64">
        <f>(1-Summary!$B$11)*T2264+Summary!$B$11*V2264</f>
        <v/>
      </c>
      <c r="P2264">
        <f>IF(B2294=0,0,O2264/B2294)</f>
        <v/>
      </c>
      <c r="Q2264">
        <f>IFERROR(1/(IF(Inputs!$B$38="pvp",15,MAX(0.1,Skills!D9-IF(Skills!E9=TRUE,Inputs!$B$32,0)))*(1-IF(AND(ArtifactsInput!$M$27,Inputs!$B$4="Chapter Hunt"),CHOOSE(ArtifactsInput!$N$27+1,20,24,28,32,36,40),0)/100)),0)</f>
        <v/>
      </c>
      <c r="R2264">
        <f>IF(AND(Inputs!$B$38&lt;&gt;"pvp",Inputs!$B$43&gt;0),IF(MAX(0,Inputs!$B$43-B2291)&lt;=0,0,(INT(MAX(0,Inputs!$B$43-B2291)/(IF(Inputs!$B$38="pvp",15,MAX(0.1,Skills!D9-IF(Skills!E9=TRUE,Inputs!$B$32,0)))*(1-IF(AND(ArtifactsInput!$M$27,Inputs!$B$4="Chapter Hunt"),CHOOSE(ArtifactsInput!$N$27+1,20,24,28,32,36,40),0)/100)))+1)),0)</f>
        <v/>
      </c>
      <c r="S2264">
        <f>IFERROR(O2264/N2264,0)</f>
        <v/>
      </c>
      <c r="T2264">
        <f>IF(C2264,(H2264*N2264*IF(AND(Inputs!$B$38&lt;&gt;"pvp",Inputs!$B$43&gt;0),((Skills!G9*((R2264-1)*IF(Skills!H9&gt;0,Skills!I9/Skills!H9,1)+IF(Skills!H9&gt;0,MIN(Skills!I9,MAX(0,MAX(0,Inputs!$B$43-B2291)-((R2264-1)*(IF(Inputs!$B$38="pvp",15,MAX(0.1,Skills!D9-IF(Skills!E9=TRUE,Inputs!$B$32,0)))*(1-IF(AND(ArtifactsInput!$M$27,Inputs!$B$4="Chapter Hunt"),CHOOSE(ArtifactsInput!$N$27+1,20,24,28,32,36,40),0)/100)))))/Skills!H9,1)))/Inputs!$B$43),G2264*Q2264)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2264*(1-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2264*(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2264*(1-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2264*(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64">
        <f>IF(C2264,(H2264*N2264*IF(AND(Inputs!$B$38&lt;&gt;"pvp",Inputs!$B$43&gt;0),((Skills!G9*((R2264-1)*IF(Skills!H9&gt;0,Skills!I9/Skills!H9,1)+IF(Skills!H9&gt;0,MIN(Skills!I9,MAX(0,MAX(0,Inputs!$B$43-B2291)-((R2264-1)*(IF(Inputs!$B$38="pvp",15,MAX(0.1,Skills!D9-IF(Skills!E9=TRUE,Inputs!$B$32,0)))*(1-IF(AND(ArtifactsInput!$M$27,Inputs!$B$4="Chapter Hunt"),CHOOSE(ArtifactsInput!$N$27+1,20,24,28,32,36,40),0)/100)))))/Skills!H9,1)))/Inputs!$B$43),G2264*Q2264))*IF(Inputs!$B$38="pvp",1,(1+(Inputs!$B$21+Skills!Q9+Summary!$B$15+(IF(IF(ArtifactsInput!$M$33,FALSE,TRUE),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65">
      <c r="A2265">
        <f>Skills!A10</f>
        <v/>
      </c>
      <c r="B2265">
        <f>Skills!B10</f>
        <v/>
      </c>
      <c r="C2265">
        <f>Inputs!$B$3&gt;=63</f>
        <v/>
      </c>
      <c r="D2265">
        <f>IF(Skills!C10=1,60+Inputs!$B$25+Inputs!$B$29,IF(Skills!C10=2,90+Inputs!$B$26+Inputs!$B$29,IF(Skills!C10=3,120+Inputs!$B$27+Inputs!$B$29,MAX(0,(Inputs!$B$3-100)*3)+Inputs!$B$28+Inputs!$B$29)))</f>
        <v/>
      </c>
      <c r="E2265">
        <f>INDEX(FactorTable!$B$2:$Y$301, MATCH(ROUND(MIN(300,MAX(1,D2265)),0), FactorTable!$A$2:$A$301,0), Skills!M10+1)</f>
        <v/>
      </c>
      <c r="F2265">
        <f>IF(Skills!N10=TRUE,(Skills!L10/10)*(E2265/1000),Skills!L10/10)+Skills!O10</f>
        <v/>
      </c>
      <c r="G2265">
        <f>Skills!G10*IF(Skills!H10&gt;0,Skills!I10/Skills!H10,1)</f>
        <v/>
      </c>
      <c r="H2265">
        <f>1-(1-Skills!J10/100)^Skills!K10</f>
        <v/>
      </c>
      <c r="I2265" t="inlineStr">
        <is>
          <t>1</t>
        </is>
      </c>
      <c r="J2265">
        <f>((Inputs!$B$6*(1+Inputs!$B$7/100))+(((Inputs!$B$12*(1+Inputs!$B$13/100))-(Inputs!$B$12*(1+Inputs!$B$13/100)))+0.25*(Inputs!$B$14-Inputs!$B$14))*(1+Inputs!$B$7/100))*(F2265/100)</f>
        <v/>
      </c>
      <c r="K2265">
        <f>J2265*(1+((Inputs!$B$12*(1+Inputs!$B$13/100))*0.01+Inputs!$B$14*0.0025)/100)*(1+Inputs!$B$15/100)*(1+Inputs!$B$16/100)*(5000/(6000+Inputs!$B$42*(1-(100*(1-(1-(Inputs!$B$19+0)/100)*(1-CHOOSE(ArtifactsInput!$N$40+1,5,6,7,8,9,10)/100)^(ArtifactsInput!$M$40-ArtifactsInput!$M$40)))/100)))*(1+(Inputs!$B$24+((C2280=TRUE)*(F2280-Calc!F25))+B2290)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2267=TRUE,F2267,0)/100)*(1+IF(Skills!A10="ENHANCED_RAGING_BLOW",IF(Inputs!$B$3&gt;=134,MAX(0,IF(Inputs!$B$3&gt;=110,7,5)-5)*50,0),0)/100)*(1+(IF(Skills!A10="RAGING_BLOW",Inputs!$B$17+((C2276=TRUE)*(F2276-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2278=TRUE)*(F2278-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2268=TRUE)*F2268*IF(Inputs!$B$3&gt;=110,7,5))+((C2270=TRUE)*F2270*IF(AND(Inputs!$B$38&lt;&gt;"pvp",Inputs!$B$43&gt;0),(((R2270-1)*(Skills!T15*(1+(Inputs!$B$34+(ArtifactsInput!$M$7-ArtifactsInput!$M$7)*CHOOSE(ArtifactsInput!$N$7+1,6,7.2,8.4,9.6,10.8,12))/100))+MIN((Skills!T15*(1+(Inputs!$B$34+(ArtifactsInput!$M$7-ArtifactsInput!$M$7)*CHOOSE(ArtifactsInput!$N$7+1,6,7.2,8.4,9.6,10.8,12))/100)),MAX(0,Inputs!$B$43-((R2270-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Hunt"),CHOOSE(ArtifactsInput!$N$35+1,15,18,21,24,27,30)*(1-EXP(-(0.2*B2286)*5)),0)+IF(AND(ArtifactsInput!$M$22,Inputs!$B$4&lt;&gt;"Chapter Hunt"),CHOOSE(ArtifactsInput!$N$22+1,10,12,14,16,18,20)*((0*(((0.15*B2286*5))^0/1)+1*(((0.15*B2286*5))^1/1)+2*(((0.15*B2286*5))^2/2)+3*(((0.15*B2286*5))^3/6)+4*(((0.15*B2286*5))^4/24)+5*(((0.15*B2286*5))^5/120))/((((0.15*B2286*5))^0/1)+(((0.15*B2286*5))^1/1)+(((0.15*B2286*5))^2/2)+(((0.15*B2286*5))^3/6)+(((0.15*B2286*5))^4/24)+(((0.15*B2286*5))^5/120))),0)))/100)*I2265)</f>
        <v/>
      </c>
      <c r="L2265">
        <f>K2265*(MIN(Inputs!$B$22+((C2277=TRUE)*(F2277-Calc!F22)),(Inputs!$B$23+((C2279=TRUE)*(F2279-Calc!F24))+(IF(ArtifactsInput!$M$15,CHOOSE(ArtifactsInput!$N$15+1,25,30,35,40,45,50)/100*(Inputs!$B$11-Inputs!$B$11),0))))/100+(Inputs!$B$23+((C2279=TRUE)*(F2279-Calc!F24))+(IF(ArtifactsInput!$M$15,CHOOSE(ArtifactsInput!$N$15+1,25,30,35,40,45,50)/100*(Inputs!$B$11-Inputs!$B$11),0)))/100)/2</f>
        <v/>
      </c>
      <c r="M2265">
        <f>L2265*(1+(Inputs!$B$10+0+B2289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65">
        <f>L2265*(1-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2265*(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65">
        <f>(1-Summary!$B$11)*T2265+Summary!$B$11*V2265</f>
        <v/>
      </c>
      <c r="P2265">
        <f>IF(B2294=0,0,O2265/B2294)</f>
        <v/>
      </c>
      <c r="Q2265">
        <f>IFERROR(1/(IF(Inputs!$B$38="pvp",15,MAX(0.1,Skills!D10-IF(Skills!E10=TRUE,Inputs!$B$32,0)))*(1-IF(AND(ArtifactsInput!$M$27,Inputs!$B$4="Chapter Hunt"),CHOOSE(ArtifactsInput!$N$27+1,20,24,28,32,36,40),0)/100)),0)</f>
        <v/>
      </c>
      <c r="R2265">
        <f>IF(AND(Inputs!$B$38&lt;&gt;"pvp",Inputs!$B$43&gt;0),IF(MAX(0,Inputs!$B$43-B2291)&lt;=0,0,(INT(MAX(0,Inputs!$B$43-B2291)/(IF(Inputs!$B$38="pvp",15,MAX(0.1,Skills!D10-IF(Skills!E10=TRUE,Inputs!$B$32,0)))*(1-IF(AND(ArtifactsInput!$M$27,Inputs!$B$4="Chapter Hunt"),CHOOSE(ArtifactsInput!$N$27+1,20,24,28,32,36,40),0)/100)))+1)),0)</f>
        <v/>
      </c>
      <c r="S2265">
        <f>IFERROR(O2265/N2265,0)</f>
        <v/>
      </c>
      <c r="T2265">
        <f>IF(C2265,(H2265*N2265*IF(AND(Inputs!$B$38&lt;&gt;"pvp",Inputs!$B$43&gt;0),((Skills!G10*((R2265-1)*IF(Skills!H10&gt;0,Skills!I10/Skills!H10,1)+IF(Skills!H10&gt;0,MIN(Skills!I10,MAX(0,MAX(0,Inputs!$B$43-B2291)-((R2265-1)*(IF(Inputs!$B$38="pvp",15,MAX(0.1,Skills!D10-IF(Skills!E10=TRUE,Inputs!$B$32,0)))*(1-IF(AND(ArtifactsInput!$M$27,Inputs!$B$4="Chapter Hunt"),CHOOSE(ArtifactsInput!$N$27+1,20,24,28,32,36,40),0)/100)))))/Skills!H10,1)))/Inputs!$B$43),G2265*Q2265)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2265*(1-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2265*(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2265*(1-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2265*(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65">
        <f>IF(C2265,(H2265*N2265*IF(AND(Inputs!$B$38&lt;&gt;"pvp",Inputs!$B$43&gt;0),((Skills!G10*((R2265-1)*IF(Skills!H10&gt;0,Skills!I10/Skills!H10,1)+IF(Skills!H10&gt;0,MIN(Skills!I10,MAX(0,MAX(0,Inputs!$B$43-B2291)-((R2265-1)*(IF(Inputs!$B$38="pvp",15,MAX(0.1,Skills!D10-IF(Skills!E10=TRUE,Inputs!$B$32,0)))*(1-IF(AND(ArtifactsInput!$M$27,Inputs!$B$4="Chapter Hunt"),CHOOSE(ArtifactsInput!$N$27+1,20,24,28,32,36,40),0)/100)))))/Skills!H10,1)))/Inputs!$B$43),G2265*Q2265))*IF(Inputs!$B$38="pvp",1,(1+(Inputs!$B$21+Skills!Q10+Summary!$B$15+(IF(IF(ArtifactsInput!$M$33,FALSE,TRUE),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66">
      <c r="A2266">
        <f>Skills!A11</f>
        <v/>
      </c>
      <c r="B2266">
        <f>Skills!B11</f>
        <v/>
      </c>
      <c r="C2266">
        <f>Inputs!$B$3&gt;=35</f>
        <v/>
      </c>
      <c r="D2266">
        <f>IF(Skills!C11=1,60+Inputs!$B$25+Inputs!$B$29,IF(Skills!C11=2,90+Inputs!$B$26+Inputs!$B$29,IF(Skills!C11=3,120+Inputs!$B$27+Inputs!$B$29,MAX(0,(Inputs!$B$3-100)*3)+Inputs!$B$28+Inputs!$B$29)))</f>
        <v/>
      </c>
      <c r="E2266">
        <f>INDEX(FactorTable!$B$2:$Y$301, MATCH(ROUND(MIN(300,MAX(1,D2266)),0), FactorTable!$A$2:$A$301,0), Skills!M11+1)</f>
        <v/>
      </c>
      <c r="F2266">
        <f>IF(Skills!N11=TRUE,(Skills!L11/10)*(E2266/1000),Skills!L11/10)+Skills!O11</f>
        <v/>
      </c>
      <c r="G2266">
        <f>Skills!G11*IF(Skills!H11&gt;0,Skills!I11/Skills!H11,1)</f>
        <v/>
      </c>
      <c r="H2266">
        <f>1-(1-Skills!J11/100)^Skills!K11</f>
        <v/>
      </c>
      <c r="I2266" t="inlineStr">
        <is>
          <t>1</t>
        </is>
      </c>
      <c r="J2266">
        <f>((Inputs!$B$6*(1+Inputs!$B$7/100))+(((Inputs!$B$12*(1+Inputs!$B$13/100))-(Inputs!$B$12*(1+Inputs!$B$13/100)))+0.25*(Inputs!$B$14-Inputs!$B$14))*(1+Inputs!$B$7/100))*(F2266/100)</f>
        <v/>
      </c>
      <c r="K2266">
        <f>J2266*(1+((Inputs!$B$12*(1+Inputs!$B$13/100))*0.01+Inputs!$B$14*0.0025)/100)*(1+Inputs!$B$15/100)*(1+Inputs!$B$16/100)*(5000/(6000+Inputs!$B$42*(1-(100*(1-(1-(Inputs!$B$19+0)/100)*(1-CHOOSE(ArtifactsInput!$N$40+1,5,6,7,8,9,10)/100)^(ArtifactsInput!$M$40-ArtifactsInput!$M$40)))/100)))*(1+(Inputs!$B$24+((C2280=TRUE)*(F2280-Calc!F25))+B2290)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2267=TRUE,F2267,0)/100)*(1+IF(Skills!A11="ENHANCED_RAGING_BLOW",IF(Inputs!$B$3&gt;=134,MAX(0,IF(Inputs!$B$3&gt;=110,7,5)-5)*50,0),0)/100)*(1+(IF(Skills!A11="RAGING_BLOW",Inputs!$B$17+((C2276=TRUE)*(F2276-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2278=TRUE)*(F2278-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2268=TRUE)*F2268*IF(Inputs!$B$3&gt;=110,7,5))+((C2270=TRUE)*F2270*IF(AND(Inputs!$B$38&lt;&gt;"pvp",Inputs!$B$43&gt;0),(((R2270-1)*(Skills!T15*(1+(Inputs!$B$34+(ArtifactsInput!$M$7-ArtifactsInput!$M$7)*CHOOSE(ArtifactsInput!$N$7+1,6,7.2,8.4,9.6,10.8,12))/100))+MIN((Skills!T15*(1+(Inputs!$B$34+(ArtifactsInput!$M$7-ArtifactsInput!$M$7)*CHOOSE(ArtifactsInput!$N$7+1,6,7.2,8.4,9.6,10.8,12))/100)),MAX(0,Inputs!$B$43-((R2270-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Hunt"),CHOOSE(ArtifactsInput!$N$35+1,15,18,21,24,27,30)*(1-EXP(-(0.2*B2286)*5)),0)+IF(AND(ArtifactsInput!$M$22,Inputs!$B$4&lt;&gt;"Chapter Hunt"),CHOOSE(ArtifactsInput!$N$22+1,10,12,14,16,18,20)*((0*(((0.15*B2286*5))^0/1)+1*(((0.15*B2286*5))^1/1)+2*(((0.15*B2286*5))^2/2)+3*(((0.15*B2286*5))^3/6)+4*(((0.15*B2286*5))^4/24)+5*(((0.15*B2286*5))^5/120))/((((0.15*B2286*5))^0/1)+(((0.15*B2286*5))^1/1)+(((0.15*B2286*5))^2/2)+(((0.15*B2286*5))^3/6)+(((0.15*B2286*5))^4/24)+(((0.15*B2286*5))^5/120))),0)))/100)*I2266)</f>
        <v/>
      </c>
      <c r="L2266">
        <f>K2266*(MIN(Inputs!$B$22+((C2277=TRUE)*(F2277-Calc!F22)),(Inputs!$B$23+((C2279=TRUE)*(F2279-Calc!F24))+(IF(ArtifactsInput!$M$15,CHOOSE(ArtifactsInput!$N$15+1,25,30,35,40,45,50)/100*(Inputs!$B$11-Inputs!$B$11),0))))/100+(Inputs!$B$23+((C2279=TRUE)*(F2279-Calc!F24))+(IF(ArtifactsInput!$M$15,CHOOSE(ArtifactsInput!$N$15+1,25,30,35,40,45,50)/100*(Inputs!$B$11-Inputs!$B$11),0)))/100)/2</f>
        <v/>
      </c>
      <c r="M2266">
        <f>L2266*(1+(Inputs!$B$10+0+B2289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66">
        <f>L2266*(1-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2266*(MIN((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66">
        <f>(1-Summary!$B$11)*T2266+Summary!$B$11*V2266</f>
        <v/>
      </c>
      <c r="P2266">
        <f>IF(B2294=0,0,O2266/B2294)</f>
        <v/>
      </c>
      <c r="Q2266">
        <f>IFERROR(1/(IF(Inputs!$B$38="pvp",15,MAX(0.1,Skills!D11-IF(Skills!E11=TRUE,Inputs!$B$32,0)))*(1-IF(AND(ArtifactsInput!$M$27,Inputs!$B$4="Chapter Hunt"),CHOOSE(ArtifactsInput!$N$27+1,20,24,28,32,36,40),0)/100)),0)</f>
        <v/>
      </c>
      <c r="R2266">
        <f>IF(AND(Inputs!$B$38&lt;&gt;"pvp",Inputs!$B$43&gt;0),IF(MAX(0,Inputs!$B$43-B2291)&lt;=0,0,(INT(MAX(0,Inputs!$B$43-B2291)/(IF(Inputs!$B$38="pvp",15,MAX(0.1,Skills!D11-IF(Skills!E11=TRUE,Inputs!$B$32,0)))*(1-IF(AND(ArtifactsInput!$M$27,Inputs!$B$4="Chapter Hunt"),CHOOSE(ArtifactsInput!$N$27+1,20,24,28,32,36,40),0)/100)))+1)),0)</f>
        <v/>
      </c>
      <c r="S2266">
        <f>IFERROR(O2266/N2266,0)</f>
        <v/>
      </c>
      <c r="T2266">
        <f>IF(C2266,(H2266*N2266*IF(AND(Inputs!$B$38&lt;&gt;"pvp",Inputs!$B$43&gt;0),((Skills!G11*((R2266-1)*IF(Skills!H11&gt;0,Skills!I11/Skills!H11,1)+IF(Skills!H11&gt;0,MIN(Skills!I11,MAX(0,MAX(0,Inputs!$B$43-B2291)-((R2266-1)*(IF(Inputs!$B$38="pvp",15,MAX(0.1,Skills!D11-IF(Skills!E11=TRUE,Inputs!$B$32,0)))*(1-IF(AND(ArtifactsInput!$M$27,Inputs!$B$4="Chapter Hunt"),CHOOSE(ArtifactsInput!$N$27+1,20,24,28,32,36,40),0)/100)))))/Skills!H11,1)))/Inputs!$B$43),G2266*Q2266)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2266*(1-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2266*(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2266*(1-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2266*(MIN(100,(Inputs!$B$9+((C2281=TRUE)*(F2281-Calc!F26))+B2284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66">
        <f>IF(C2266,(H2266*N2266*IF(AND(Inputs!$B$38&lt;&gt;"pvp",Inputs!$B$43&gt;0),((Skills!G11*((R2266-1)*IF(Skills!H11&gt;0,Skills!I11/Skills!H11,1)+IF(Skills!H11&gt;0,MIN(Skills!I11,MAX(0,MAX(0,Inputs!$B$43-B2291)-((R2266-1)*(IF(Inputs!$B$38="pvp",15,MAX(0.1,Skills!D11-IF(Skills!E11=TRUE,Inputs!$B$32,0)))*(1-IF(AND(ArtifactsInput!$M$27,Inputs!$B$4="Chapter Hunt"),CHOOSE(ArtifactsInput!$N$27+1,20,24,28,32,36,40),0)/100)))))/Skills!H11,1)))/Inputs!$B$43),G2266*Q2266))*IF(Inputs!$B$38="pvp",1,(1+(Inputs!$B$21+Skills!Q11+Summary!$B$15+(IF(IF(ArtifactsInput!$M$33,FALSE,TRUE),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67">
      <c r="A2267">
        <f>Skills!A12</f>
        <v/>
      </c>
      <c r="B2267">
        <f>Skills!B12</f>
        <v/>
      </c>
      <c r="C2267">
        <f>Inputs!$B$3&gt;=100</f>
        <v/>
      </c>
      <c r="D2267">
        <f>IF(Skills!C12=1,60+Inputs!$B$25+Inputs!$B$29,IF(Skills!C12=2,90+Inputs!$B$26+Inputs!$B$29,IF(Skills!C12=3,120+Inputs!$B$27+Inputs!$B$29,MAX(0,(Inputs!$B$3-100)*3)+Inputs!$B$28+Inputs!$B$29)))</f>
        <v/>
      </c>
      <c r="E2267">
        <f>INDEX(FactorTable!$B$2:$Y$301, MATCH(ROUND(MIN(300,MAX(1,D2267)),0), FactorTable!$A$2:$A$301,0), Skills!M12+1)</f>
        <v/>
      </c>
      <c r="F2267">
        <f>IF(Skills!N12=TRUE,(Skills!L12/10)*(E2267/1000),Skills!L12/10)+Skills!O12</f>
        <v/>
      </c>
      <c r="G2267" t="inlineStr"/>
      <c r="H2267" t="inlineStr"/>
      <c r="I2267" t="inlineStr">
        <is>
          <t>1</t>
        </is>
      </c>
      <c r="J2267" t="inlineStr"/>
      <c r="K2267" t="inlineStr"/>
      <c r="L2267" t="inlineStr"/>
      <c r="M2267" t="inlineStr"/>
      <c r="N2267" t="inlineStr"/>
      <c r="O2267" t="inlineStr"/>
      <c r="P2267" t="inlineStr"/>
      <c r="Q2267" t="inlineStr"/>
      <c r="R2267" t="inlineStr"/>
      <c r="S2267" t="inlineStr"/>
    </row>
    <row r="2268">
      <c r="A2268">
        <f>Skills!A13</f>
        <v/>
      </c>
      <c r="B2268">
        <f>Skills!B13</f>
        <v/>
      </c>
      <c r="C2268">
        <f>Inputs!$B$3&gt;=45</f>
        <v/>
      </c>
      <c r="D2268">
        <f>IF(Skills!C13=1,60+Inputs!$B$25+Inputs!$B$29,IF(Skills!C13=2,90+Inputs!$B$26+Inputs!$B$29,IF(Skills!C13=3,120+Inputs!$B$27+Inputs!$B$29,MAX(0,(Inputs!$B$3-100)*3)+Inputs!$B$28+Inputs!$B$29)))</f>
        <v/>
      </c>
      <c r="E2268">
        <f>INDEX(FactorTable!$B$2:$Y$301, MATCH(ROUND(MIN(300,MAX(1,D2268)),0), FactorTable!$A$2:$A$301,0), Skills!M13+1)</f>
        <v/>
      </c>
      <c r="F2268">
        <f>IF(Skills!N13=TRUE,(Skills!L13/10)*(E2268/1000),Skills!L13/10)+Skills!O13</f>
        <v/>
      </c>
      <c r="G2268">
        <f>Skills!G13*IF(Skills!H13&gt;0,Skills!I13/Skills!H13,1)</f>
        <v/>
      </c>
      <c r="H2268">
        <f>1-(1-Skills!J13/100)^Skills!K13</f>
        <v/>
      </c>
      <c r="I2268" t="inlineStr">
        <is>
          <t>1</t>
        </is>
      </c>
      <c r="J2268" t="inlineStr"/>
      <c r="K2268" t="inlineStr"/>
      <c r="L2268" t="inlineStr"/>
      <c r="M2268" t="inlineStr"/>
      <c r="N2268" t="inlineStr"/>
      <c r="O2268">
        <f>(1-Summary!$B$11)*T2268+Summary!$B$11*V2268</f>
        <v/>
      </c>
      <c r="P2268">
        <f>IF(B2294=0,0,O2268/B2294)</f>
        <v/>
      </c>
      <c r="Q2268" t="n">
        <v>0</v>
      </c>
      <c r="R2268" t="n">
        <v>0</v>
      </c>
      <c r="S2268">
        <f>IFERROR(O2268/N2268,0)</f>
        <v/>
      </c>
      <c r="T2268" t="n">
        <v>0</v>
      </c>
      <c r="V2268" t="n">
        <v>0</v>
      </c>
    </row>
    <row r="2269">
      <c r="A2269">
        <f>Skills!A14</f>
        <v/>
      </c>
      <c r="B2269">
        <f>Skills!B14</f>
        <v/>
      </c>
      <c r="C2269">
        <f>Inputs!$B$3&gt;=75</f>
        <v/>
      </c>
      <c r="D2269">
        <f>IF(Skills!C14=1,60+Inputs!$B$25+Inputs!$B$29,IF(Skills!C14=2,90+Inputs!$B$26+Inputs!$B$29,IF(Skills!C14=3,120+Inputs!$B$27+Inputs!$B$29,MAX(0,(Inputs!$B$3-100)*3)+Inputs!$B$28+Inputs!$B$29)))</f>
        <v/>
      </c>
      <c r="E2269">
        <f>INDEX(FactorTable!$B$2:$Y$301, MATCH(ROUND(MIN(300,MAX(1,D2269)),0), FactorTable!$A$2:$A$301,0), Skills!M14+1)</f>
        <v/>
      </c>
      <c r="F2269">
        <f>IF(Skills!N14=TRUE,(Skills!L14/10)*(E2269/1000),Skills!L14/10)+Skills!O14</f>
        <v/>
      </c>
      <c r="G2269">
        <f>Skills!G14*IF(Skills!H14&gt;0,Skills!I14/Skills!H14,1)</f>
        <v/>
      </c>
      <c r="H2269">
        <f>1-(1-Skills!J14/100)^Skills!K14</f>
        <v/>
      </c>
      <c r="I2269" t="inlineStr">
        <is>
          <t>1</t>
        </is>
      </c>
      <c r="J2269" t="inlineStr"/>
      <c r="K2269" t="inlineStr"/>
      <c r="L2269" t="inlineStr"/>
      <c r="M2269" t="inlineStr"/>
      <c r="N2269" t="inlineStr"/>
      <c r="O2269">
        <f>(1-Summary!$B$11)*T2269+Summary!$B$11*V2269</f>
        <v/>
      </c>
      <c r="P2269">
        <f>IF(B2294=0,0,O2269/B2294)</f>
        <v/>
      </c>
      <c r="Q2269" t="n">
        <v>0</v>
      </c>
      <c r="R2269" t="n">
        <v>0</v>
      </c>
      <c r="S2269">
        <f>IFERROR(O2269/N2269,0)</f>
        <v/>
      </c>
      <c r="T2269" t="n">
        <v>0</v>
      </c>
      <c r="V2269" t="n">
        <v>0</v>
      </c>
    </row>
    <row r="2270">
      <c r="A2270">
        <f>Skills!A15</f>
        <v/>
      </c>
      <c r="B2270">
        <f>Skills!B15</f>
        <v/>
      </c>
      <c r="C2270">
        <f>Inputs!$B$3&gt;=40</f>
        <v/>
      </c>
      <c r="D2270">
        <f>IF(Skills!C15=1,60+Inputs!$B$25+Inputs!$B$29,IF(Skills!C15=2,90+Inputs!$B$26+Inputs!$B$29,IF(Skills!C15=3,120+Inputs!$B$27+Inputs!$B$29,MAX(0,(Inputs!$B$3-100)*3)+Inputs!$B$28+Inputs!$B$29)))</f>
        <v/>
      </c>
      <c r="E2270">
        <f>INDEX(FactorTable!$B$2:$Y$301, MATCH(ROUND(MIN(300,MAX(1,D2270)),0), FactorTable!$A$2:$A$301,0), Skills!M15+1)</f>
        <v/>
      </c>
      <c r="F2270">
        <f>IF(Skills!N15=TRUE,(Skills!L15/10)*(E2270/1000),Skills!L15/10)+Skills!O15</f>
        <v/>
      </c>
      <c r="G2270">
        <f>Skills!G15*IF(Skills!H15&gt;0,Skills!I15/Skills!H15,1)</f>
        <v/>
      </c>
      <c r="H2270">
        <f>1-(1-Skills!J15/100)^Skills!K15</f>
        <v/>
      </c>
      <c r="I2270" t="inlineStr">
        <is>
          <t>1</t>
        </is>
      </c>
      <c r="J2270" t="inlineStr"/>
      <c r="K2270" t="inlineStr"/>
      <c r="L2270" t="inlineStr"/>
      <c r="M2270" t="inlineStr"/>
      <c r="N2270" t="inlineStr"/>
      <c r="O2270">
        <f>(1-Summary!$B$11)*T2270+Summary!$B$11*V2270</f>
        <v/>
      </c>
      <c r="P2270">
        <f>IF(B2294=0,0,O2270/B2294)</f>
        <v/>
      </c>
      <c r="Q2270">
        <f>IFERROR(1/(IF(Inputs!$B$38="pvp",15,MAX(0.1,Skills!D15-IF(Skills!E15=TRUE,Inputs!$B$32,0)))*(1-IF(AND(ArtifactsInput!$M$27,Inputs!$B$4="Chapter Hunt"),CHOOSE(ArtifactsInput!$N$27+1,20,24,28,32,36,40),0)/100)),0)</f>
        <v/>
      </c>
      <c r="R2270">
        <f>IF(AND(Inputs!$B$38&lt;&gt;"pvp",Inputs!$B$43&gt;0),IF(Inputs!$B$43&lt;=0,0,(INT(Inputs!$B$43/(IF(Inputs!$B$38="pvp",15,MAX(0.1,Skills!D15-IF(Skills!E15=TRUE,Inputs!$B$32,0)))*(1-IF(AND(ArtifactsInput!$M$27,Inputs!$B$4="Chapter Hunt"),CHOOSE(ArtifactsInput!$N$27+1,20,24,28,32,36,40),0)/100)))+1)),0)</f>
        <v/>
      </c>
      <c r="S2270">
        <f>IFERROR(O2270/N2270,0)</f>
        <v/>
      </c>
      <c r="T2270" t="n">
        <v>0</v>
      </c>
      <c r="V2270" t="n">
        <v>0</v>
      </c>
    </row>
    <row r="2271">
      <c r="A2271">
        <f>Skills!A16</f>
        <v/>
      </c>
      <c r="B2271">
        <f>Skills!B16</f>
        <v/>
      </c>
      <c r="C2271">
        <f>Inputs!$B$3&gt;=66</f>
        <v/>
      </c>
      <c r="D2271">
        <f>IF(Skills!C16=1,60+Inputs!$B$25+Inputs!$B$29,IF(Skills!C16=2,90+Inputs!$B$26+Inputs!$B$29,IF(Skills!C16=3,120+Inputs!$B$27+Inputs!$B$29,MAX(0,(Inputs!$B$3-100)*3)+Inputs!$B$28+Inputs!$B$29)))</f>
        <v/>
      </c>
      <c r="E2271">
        <f>INDEX(FactorTable!$B$2:$Y$301, MATCH(ROUND(MIN(300,MAX(1,D2271)),0), FactorTable!$A$2:$A$301,0), Skills!M16+1)</f>
        <v/>
      </c>
      <c r="F2271">
        <f>IF(Skills!N16=TRUE,(Skills!L16/10)*(E2271/1000),Skills!L16/10)+Skills!O16</f>
        <v/>
      </c>
      <c r="G2271">
        <f>Skills!G16*IF(Skills!H16&gt;0,Skills!I16/Skills!H16,1)</f>
        <v/>
      </c>
      <c r="H2271">
        <f>1-(1-Skills!J16/100)^Skills!K16</f>
        <v/>
      </c>
      <c r="I2271" t="inlineStr">
        <is>
          <t>1</t>
        </is>
      </c>
      <c r="J2271" t="inlineStr"/>
      <c r="K2271" t="inlineStr"/>
      <c r="L2271" t="inlineStr"/>
      <c r="M2271" t="inlineStr"/>
      <c r="N2271" t="inlineStr"/>
      <c r="O2271">
        <f>(1-Summary!$B$11)*T2271+Summary!$B$11*V2271</f>
        <v/>
      </c>
      <c r="P2271">
        <f>IF(B2294=0,0,O2271/B2294)</f>
        <v/>
      </c>
      <c r="Q2271">
        <f>IFERROR(1/(IF(Inputs!$B$38="pvp",15,MAX(0.1,Skills!D16-IF(Skills!E16=TRUE,Inputs!$B$32,0)))*(1-IF(AND(ArtifactsInput!$M$27,Inputs!$B$4="Chapter Hunt"),CHOOSE(ArtifactsInput!$N$27+1,20,24,28,32,36,40),0)/100)),0)</f>
        <v/>
      </c>
      <c r="R2271">
        <f>IF(AND(Inputs!$B$38&lt;&gt;"pvp",Inputs!$B$43&gt;0),IF(Inputs!$B$43&lt;=0,0,(INT(Inputs!$B$43/(IF(Inputs!$B$38="pvp",15,MAX(0.1,Skills!D16-IF(Skills!E16=TRUE,Inputs!$B$32,0)))*(1-IF(AND(ArtifactsInput!$M$27,Inputs!$B$4="Chapter Hunt"),CHOOSE(ArtifactsInput!$N$27+1,20,24,28,32,36,40),0)/100)))+1)),0)</f>
        <v/>
      </c>
      <c r="S2271">
        <f>IFERROR(O2271/N2271,0)</f>
        <v/>
      </c>
      <c r="T2271" t="n">
        <v>0</v>
      </c>
      <c r="V2271" t="n">
        <v>0</v>
      </c>
    </row>
    <row r="2272">
      <c r="A2272">
        <f>Skills!A17</f>
        <v/>
      </c>
      <c r="B2272">
        <f>Skills!B17</f>
        <v/>
      </c>
      <c r="C2272">
        <f>Inputs!$B$3&gt;=115</f>
        <v/>
      </c>
      <c r="D2272">
        <f>IF(Skills!C17=1,60+Inputs!$B$25+Inputs!$B$29,IF(Skills!C17=2,90+Inputs!$B$26+Inputs!$B$29,IF(Skills!C17=3,120+Inputs!$B$27+Inputs!$B$29,MAX(0,(Inputs!$B$3-100)*3)+Inputs!$B$28+Inputs!$B$29)))</f>
        <v/>
      </c>
      <c r="E2272">
        <f>INDEX(FactorTable!$B$2:$Y$301, MATCH(ROUND(MIN(300,MAX(1,D2272)),0), FactorTable!$A$2:$A$301,0), Skills!M17+1)</f>
        <v/>
      </c>
      <c r="F2272">
        <f>IF(Skills!N17=TRUE,(Skills!L17/10)*(E2272/1000),Skills!L17/10)+Skills!O17</f>
        <v/>
      </c>
      <c r="G2272">
        <f>Skills!G17*IF(Skills!H17&gt;0,Skills!I17/Skills!H17,1)</f>
        <v/>
      </c>
      <c r="H2272">
        <f>1-(1-Skills!J17/100)^Skills!K17</f>
        <v/>
      </c>
      <c r="I2272" t="inlineStr">
        <is>
          <t>1</t>
        </is>
      </c>
      <c r="J2272" t="inlineStr"/>
      <c r="K2272" t="inlineStr"/>
      <c r="L2272" t="inlineStr"/>
      <c r="M2272" t="inlineStr"/>
      <c r="N2272" t="inlineStr"/>
      <c r="O2272">
        <f>(1-Summary!$B$11)*T2272+Summary!$B$11*V2272</f>
        <v/>
      </c>
      <c r="P2272">
        <f>IF(B2294=0,0,O2272/B2294)</f>
        <v/>
      </c>
      <c r="Q2272">
        <f>IFERROR(1/(IF(Inputs!$B$38="pvp",15,MAX(0.1,Skills!D17-IF(Skills!E17=TRUE,Inputs!$B$32,0)))*(1-IF(AND(ArtifactsInput!$M$27,Inputs!$B$4="Chapter Hunt"),CHOOSE(ArtifactsInput!$N$27+1,20,24,28,32,36,40),0)/100)),0)</f>
        <v/>
      </c>
      <c r="R2272">
        <f>IF(AND(Inputs!$B$38&lt;&gt;"pvp",Inputs!$B$43&gt;0),IF(Inputs!$B$43&lt;=0,0,(INT(Inputs!$B$43/(IF(Inputs!$B$38="pvp",15,MAX(0.1,Skills!D17-IF(Skills!E17=TRUE,Inputs!$B$32,0)))*(1-IF(AND(ArtifactsInput!$M$27,Inputs!$B$4="Chapter Hunt"),CHOOSE(ArtifactsInput!$N$27+1,20,24,28,32,36,40),0)/100)))+1)),0)</f>
        <v/>
      </c>
      <c r="S2272">
        <f>IFERROR(O2272/N2272,0)</f>
        <v/>
      </c>
      <c r="T2272" t="n">
        <v>0</v>
      </c>
      <c r="V2272" t="n">
        <v>0</v>
      </c>
    </row>
    <row r="2273">
      <c r="A2273">
        <f>Skills!A18</f>
        <v/>
      </c>
      <c r="B2273">
        <f>Skills!B18</f>
        <v/>
      </c>
      <c r="C2273">
        <f>Inputs!$B$3&gt;=115</f>
        <v/>
      </c>
      <c r="D2273">
        <f>IF(Skills!C18=1,60+Inputs!$B$25+Inputs!$B$29,IF(Skills!C18=2,90+Inputs!$B$26+Inputs!$B$29,IF(Skills!C18=3,120+Inputs!$B$27+Inputs!$B$29,MAX(0,(Inputs!$B$3-100)*3)+Inputs!$B$28+Inputs!$B$29)))</f>
        <v/>
      </c>
      <c r="E2273">
        <f>INDEX(FactorTable!$B$2:$Y$301, MATCH(ROUND(MIN(300,MAX(1,D2273)),0), FactorTable!$A$2:$A$301,0), Skills!M18+1)</f>
        <v/>
      </c>
      <c r="F2273">
        <f>IF(Skills!N18=TRUE,(Skills!L18/10)*(E2273/1000),Skills!L18/10)+Skills!O18</f>
        <v/>
      </c>
      <c r="G2273">
        <f>Skills!G18*IF(Skills!H18&gt;0,Skills!I18/Skills!H18,1)</f>
        <v/>
      </c>
      <c r="H2273">
        <f>1-(1-Skills!J18/100)^Skills!K18</f>
        <v/>
      </c>
      <c r="I2273" t="inlineStr">
        <is>
          <t>1</t>
        </is>
      </c>
      <c r="J2273" t="inlineStr"/>
      <c r="K2273" t="inlineStr"/>
      <c r="L2273" t="inlineStr"/>
      <c r="M2273" t="inlineStr"/>
      <c r="N2273" t="inlineStr"/>
      <c r="O2273">
        <f>(1-Summary!$B$11)*T2273+Summary!$B$11*V2273</f>
        <v/>
      </c>
      <c r="P2273">
        <f>IF(B2294=0,0,O2273/B2294)</f>
        <v/>
      </c>
      <c r="Q2273">
        <f>IFERROR(1/(IF(Inputs!$B$38="pvp",15,MAX(0.1,Skills!D18-IF(Skills!E18=TRUE,Inputs!$B$32,0)))*(1-IF(AND(ArtifactsInput!$M$27,Inputs!$B$4="Chapter Hunt"),CHOOSE(ArtifactsInput!$N$27+1,20,24,28,32,36,40),0)/100)),0)</f>
        <v/>
      </c>
      <c r="R2273">
        <f>IF(AND(Inputs!$B$38&lt;&gt;"pvp",Inputs!$B$43&gt;0),IF(Inputs!$B$43&lt;=0,0,(INT(Inputs!$B$43/(IF(Inputs!$B$38="pvp",15,MAX(0.1,Skills!D18-IF(Skills!E18=TRUE,Inputs!$B$32,0)))*(1-IF(AND(ArtifactsInput!$M$27,Inputs!$B$4="Chapter Hunt"),CHOOSE(ArtifactsInput!$N$27+1,20,24,28,32,36,40),0)/100)))+1)),0)</f>
        <v/>
      </c>
      <c r="S2273">
        <f>IFERROR(O2273/N2273,0)</f>
        <v/>
      </c>
      <c r="T2273" t="n">
        <v>0</v>
      </c>
      <c r="V2273" t="n">
        <v>0</v>
      </c>
    </row>
    <row r="2274">
      <c r="A2274">
        <f>Skills!A19</f>
        <v/>
      </c>
      <c r="B2274">
        <f>Skills!B19</f>
        <v/>
      </c>
      <c r="C2274">
        <f>TRUE</f>
        <v/>
      </c>
      <c r="D2274">
        <f>IF(Skills!C19=1,60+Inputs!$B$25+Inputs!$B$29,IF(Skills!C19=2,90+Inputs!$B$26+Inputs!$B$29,IF(Skills!C19=3,120+Inputs!$B$27+Inputs!$B$29,MAX(0,(Inputs!$B$3-100)*3)+Inputs!$B$28+Inputs!$B$29)))</f>
        <v/>
      </c>
      <c r="E2274">
        <f>INDEX(FactorTable!$B$2:$Y$301, MATCH(ROUND(MIN(300,MAX(1,D2274)),0), FactorTable!$A$2:$A$301,0), Skills!M19+1)</f>
        <v/>
      </c>
      <c r="F2274">
        <f>IF(Skills!N19=TRUE,(Skills!L19/10)*(E2274/1000),Skills!L19/10)+Skills!O19</f>
        <v/>
      </c>
      <c r="G2274">
        <f>Skills!G19*IF(Skills!H19&gt;0,Skills!I19/Skills!H19,1)</f>
        <v/>
      </c>
      <c r="H2274">
        <f>1-(1-Skills!J19/100)^Skills!K19</f>
        <v/>
      </c>
      <c r="I2274" t="inlineStr">
        <is>
          <t>1</t>
        </is>
      </c>
      <c r="J2274" t="inlineStr"/>
      <c r="K2274" t="inlineStr"/>
      <c r="L2274" t="inlineStr"/>
      <c r="M2274" t="inlineStr"/>
      <c r="N2274" t="inlineStr"/>
      <c r="O2274">
        <f>(1-Summary!$B$11)*T2274+Summary!$B$11*V2274</f>
        <v/>
      </c>
      <c r="P2274">
        <f>IF(B2294=0,0,O2274/B2294)</f>
        <v/>
      </c>
      <c r="Q2274">
        <f>IFERROR(1/(IF(Inputs!$B$38="pvp",15,MAX(0.1,Skills!D19-IF(Skills!E19=TRUE,Inputs!$B$32,0)))*(1-IF(AND(ArtifactsInput!$M$27,Inputs!$B$4="Chapter Hunt"),CHOOSE(ArtifactsInput!$N$27+1,20,24,28,32,36,40),0)/100)),0)</f>
        <v/>
      </c>
      <c r="R2274">
        <f>IF(AND(Inputs!$B$38&lt;&gt;"pvp",Inputs!$B$43&gt;0),IF(Inputs!$B$43&lt;=0,0,(INT(Inputs!$B$43/(IF(Inputs!$B$38="pvp",15,MAX(0.1,Skills!D19-IF(Skills!E19=TRUE,Inputs!$B$32,0)))*(1-IF(AND(ArtifactsInput!$M$27,Inputs!$B$4="Chapter Hunt"),CHOOSE(ArtifactsInput!$N$27+1,20,24,28,32,36,40),0)/100)))+1)),0)</f>
        <v/>
      </c>
      <c r="S2274">
        <f>IFERROR(O2274/N2274,0)</f>
        <v/>
      </c>
      <c r="T2274" t="n">
        <v>0</v>
      </c>
      <c r="V2274" t="n">
        <v>0</v>
      </c>
    </row>
    <row r="2275">
      <c r="A2275">
        <f>Skills!A20</f>
        <v/>
      </c>
      <c r="B2275">
        <f>Skills!B20</f>
        <v/>
      </c>
      <c r="C2275">
        <f>Inputs!$B$3&gt;=33</f>
        <v/>
      </c>
      <c r="D2275">
        <f>IF(Skills!C20=1,60+Inputs!$B$25+Inputs!$B$29,IF(Skills!C20=2,90+Inputs!$B$26+Inputs!$B$29,IF(Skills!C20=3,120+Inputs!$B$27+Inputs!$B$29,MAX(0,(Inputs!$B$3-100)*3)+Inputs!$B$28+Inputs!$B$29)))</f>
        <v/>
      </c>
      <c r="E2275">
        <f>INDEX(FactorTable!$B$2:$Y$301, MATCH(ROUND(MIN(300,MAX(1,D2275)),0), FactorTable!$A$2:$A$301,0), Skills!M20+1)</f>
        <v/>
      </c>
      <c r="F2275">
        <f>IF(Skills!N20=TRUE,(Skills!L20/10)*(E2275/1000),Skills!L20/10)+Skills!O20</f>
        <v/>
      </c>
      <c r="G2275">
        <f>Skills!G20*IF(Skills!H20&gt;0,Skills!I20/Skills!H20,1)</f>
        <v/>
      </c>
      <c r="H2275">
        <f>1-(1-Skills!J20/100)^Skills!K20</f>
        <v/>
      </c>
      <c r="I2275" t="inlineStr">
        <is>
          <t>1</t>
        </is>
      </c>
      <c r="J2275" t="inlineStr"/>
      <c r="K2275" t="inlineStr"/>
      <c r="L2275" t="inlineStr"/>
      <c r="M2275" t="inlineStr"/>
      <c r="N2275" t="inlineStr"/>
      <c r="O2275">
        <f>(1-Summary!$B$11)*T2275+Summary!$B$11*V2275</f>
        <v/>
      </c>
      <c r="P2275">
        <f>IF(B2294=0,0,O2275/B2294)</f>
        <v/>
      </c>
      <c r="Q2275" t="n">
        <v>0</v>
      </c>
      <c r="R2275" t="n">
        <v>0</v>
      </c>
      <c r="S2275">
        <f>IFERROR(O2275/N2275,0)</f>
        <v/>
      </c>
      <c r="T2275" t="n">
        <v>0</v>
      </c>
      <c r="V2275" t="n">
        <v>0</v>
      </c>
    </row>
    <row r="2276">
      <c r="A2276">
        <f>Skills!A21</f>
        <v/>
      </c>
      <c r="B2276">
        <f>Skills!B21</f>
        <v/>
      </c>
      <c r="C2276">
        <f>Inputs!$B$3&gt;=38</f>
        <v/>
      </c>
      <c r="D2276">
        <f>IF(Skills!C21=1,60+Inputs!$B$25+Inputs!$B$29,IF(Skills!C21=2,90+Inputs!$B$26+Inputs!$B$29,IF(Skills!C21=3,120+Inputs!$B$27+Inputs!$B$29,MAX(0,(Inputs!$B$3-100)*3)+Inputs!$B$28+Inputs!$B$29)))</f>
        <v/>
      </c>
      <c r="E2276">
        <f>INDEX(FactorTable!$B$2:$Y$301, MATCH(ROUND(MIN(300,MAX(1,D2276)),0), FactorTable!$A$2:$A$301,0), Skills!M21+1)</f>
        <v/>
      </c>
      <c r="F2276">
        <f>IF(Skills!N21=TRUE,(Skills!L21/10)*(E2276/1000),Skills!L21/10)+Skills!O21</f>
        <v/>
      </c>
      <c r="G2276">
        <f>Skills!G21*IF(Skills!H21&gt;0,Skills!I21/Skills!H21,1)</f>
        <v/>
      </c>
      <c r="H2276">
        <f>1-(1-Skills!J21/100)^Skills!K21</f>
        <v/>
      </c>
      <c r="I2276" t="inlineStr">
        <is>
          <t>1</t>
        </is>
      </c>
      <c r="J2276" t="inlineStr"/>
      <c r="K2276" t="inlineStr"/>
      <c r="L2276" t="inlineStr"/>
      <c r="M2276" t="inlineStr"/>
      <c r="N2276" t="inlineStr"/>
      <c r="O2276">
        <f>(1-Summary!$B$11)*T2276+Summary!$B$11*V2276</f>
        <v/>
      </c>
      <c r="P2276">
        <f>IF(B2294=0,0,O2276/B2294)</f>
        <v/>
      </c>
      <c r="Q2276" t="n">
        <v>0</v>
      </c>
      <c r="R2276" t="n">
        <v>0</v>
      </c>
      <c r="S2276">
        <f>IFERROR(O2276/N2276,0)</f>
        <v/>
      </c>
      <c r="T2276" t="n">
        <v>0</v>
      </c>
      <c r="V2276" t="n">
        <v>0</v>
      </c>
    </row>
    <row r="2277">
      <c r="A2277">
        <f>Skills!A22</f>
        <v/>
      </c>
      <c r="B2277">
        <f>Skills!B22</f>
        <v/>
      </c>
      <c r="C2277">
        <f>Inputs!$B$3&gt;=43</f>
        <v/>
      </c>
      <c r="D2277">
        <f>IF(Skills!C22=1,60+Inputs!$B$25+Inputs!$B$29,IF(Skills!C22=2,90+Inputs!$B$26+Inputs!$B$29,IF(Skills!C22=3,120+Inputs!$B$27+Inputs!$B$29,MAX(0,(Inputs!$B$3-100)*3)+Inputs!$B$28+Inputs!$B$29)))</f>
        <v/>
      </c>
      <c r="E2277">
        <f>INDEX(FactorTable!$B$2:$Y$301, MATCH(ROUND(MIN(300,MAX(1,D2277)),0), FactorTable!$A$2:$A$301,0), Skills!M22+1)</f>
        <v/>
      </c>
      <c r="F2277">
        <f>IF(Skills!N22=TRUE,(Skills!L22/10)*(E2277/1000),Skills!L22/10)+Skills!O22</f>
        <v/>
      </c>
      <c r="G2277">
        <f>Skills!G22*IF(Skills!H22&gt;0,Skills!I22/Skills!H22,1)</f>
        <v/>
      </c>
      <c r="H2277">
        <f>1-(1-Skills!J22/100)^Skills!K22</f>
        <v/>
      </c>
      <c r="I2277" t="inlineStr">
        <is>
          <t>1</t>
        </is>
      </c>
      <c r="J2277" t="inlineStr"/>
      <c r="K2277" t="inlineStr"/>
      <c r="L2277" t="inlineStr"/>
      <c r="M2277" t="inlineStr"/>
      <c r="N2277" t="inlineStr"/>
      <c r="O2277">
        <f>(1-Summary!$B$11)*T2277+Summary!$B$11*V2277</f>
        <v/>
      </c>
      <c r="P2277">
        <f>IF(B2294=0,0,O2277/B2294)</f>
        <v/>
      </c>
      <c r="Q2277" t="n">
        <v>0</v>
      </c>
      <c r="R2277" t="n">
        <v>0</v>
      </c>
      <c r="S2277">
        <f>IFERROR(O2277/N2277,0)</f>
        <v/>
      </c>
      <c r="T2277" t="n">
        <v>0</v>
      </c>
      <c r="V2277" t="n">
        <v>0</v>
      </c>
    </row>
    <row r="2278">
      <c r="A2278">
        <f>Skills!A23</f>
        <v/>
      </c>
      <c r="B2278">
        <f>Skills!B23</f>
        <v/>
      </c>
      <c r="C2278">
        <f>Inputs!$B$3&gt;=120</f>
        <v/>
      </c>
      <c r="D2278">
        <f>IF(Skills!C23=1,60+Inputs!$B$25+Inputs!$B$29,IF(Skills!C23=2,90+Inputs!$B$26+Inputs!$B$29,IF(Skills!C23=3,120+Inputs!$B$27+Inputs!$B$29,MAX(0,(Inputs!$B$3-100)*3)+Inputs!$B$28+Inputs!$B$29)))</f>
        <v/>
      </c>
      <c r="E2278">
        <f>INDEX(FactorTable!$B$2:$Y$301, MATCH(ROUND(MIN(300,MAX(1,D2278)),0), FactorTable!$A$2:$A$301,0), Skills!M23+1)</f>
        <v/>
      </c>
      <c r="F2278">
        <f>IF(Skills!N23=TRUE,(Skills!L23/10)*(E2278/1000),Skills!L23/10)+Skills!O23</f>
        <v/>
      </c>
      <c r="G2278">
        <f>Skills!G23*IF(Skills!H23&gt;0,Skills!I23/Skills!H23,1)</f>
        <v/>
      </c>
      <c r="H2278">
        <f>1-(1-Skills!J23/100)^Skills!K23</f>
        <v/>
      </c>
      <c r="I2278" t="inlineStr">
        <is>
          <t>1</t>
        </is>
      </c>
      <c r="J2278" t="inlineStr"/>
      <c r="K2278" t="inlineStr"/>
      <c r="L2278" t="inlineStr"/>
      <c r="M2278" t="inlineStr"/>
      <c r="N2278" t="inlineStr"/>
      <c r="O2278">
        <f>(1-Summary!$B$11)*T2278+Summary!$B$11*V2278</f>
        <v/>
      </c>
      <c r="P2278">
        <f>IF(B2294=0,0,O2278/B2294)</f>
        <v/>
      </c>
      <c r="Q2278" t="n">
        <v>0</v>
      </c>
      <c r="R2278" t="n">
        <v>0</v>
      </c>
      <c r="S2278">
        <f>IFERROR(O2278/N2278,0)</f>
        <v/>
      </c>
      <c r="T2278" t="n">
        <v>0</v>
      </c>
      <c r="V2278" t="n">
        <v>0</v>
      </c>
    </row>
    <row r="2279">
      <c r="A2279">
        <f>Skills!A24</f>
        <v/>
      </c>
      <c r="B2279">
        <f>Skills!B24</f>
        <v/>
      </c>
      <c r="C2279">
        <f>Inputs!$B$3&gt;=120</f>
        <v/>
      </c>
      <c r="D2279">
        <f>IF(Skills!C24=1,60+Inputs!$B$25+Inputs!$B$29,IF(Skills!C24=2,90+Inputs!$B$26+Inputs!$B$29,IF(Skills!C24=3,120+Inputs!$B$27+Inputs!$B$29,MAX(0,(Inputs!$B$3-100)*3)+Inputs!$B$28+Inputs!$B$29)))</f>
        <v/>
      </c>
      <c r="E2279">
        <f>INDEX(FactorTable!$B$2:$Y$301, MATCH(ROUND(MIN(300,MAX(1,D2279)),0), FactorTable!$A$2:$A$301,0), Skills!M24+1)</f>
        <v/>
      </c>
      <c r="F2279">
        <f>IF(Skills!N24=TRUE,(Skills!L24/10)*(E2279/1000),Skills!L24/10)+Skills!O24</f>
        <v/>
      </c>
      <c r="G2279">
        <f>Skills!G24*IF(Skills!H24&gt;0,Skills!I24/Skills!H24,1)</f>
        <v/>
      </c>
      <c r="H2279">
        <f>1-(1-Skills!J24/100)^Skills!K24</f>
        <v/>
      </c>
      <c r="I2279" t="inlineStr">
        <is>
          <t>1</t>
        </is>
      </c>
      <c r="J2279" t="inlineStr"/>
      <c r="K2279" t="inlineStr"/>
      <c r="L2279" t="inlineStr"/>
      <c r="M2279" t="inlineStr"/>
      <c r="N2279" t="inlineStr"/>
      <c r="O2279">
        <f>(1-Summary!$B$11)*T2279+Summary!$B$11*V2279</f>
        <v/>
      </c>
      <c r="P2279">
        <f>IF(B2294=0,0,O2279/B2294)</f>
        <v/>
      </c>
      <c r="Q2279" t="n">
        <v>0</v>
      </c>
      <c r="R2279" t="n">
        <v>0</v>
      </c>
      <c r="S2279">
        <f>IFERROR(O2279/N2279,0)</f>
        <v/>
      </c>
      <c r="T2279" t="n">
        <v>0</v>
      </c>
      <c r="V2279" t="n">
        <v>0</v>
      </c>
    </row>
    <row r="2280">
      <c r="A2280">
        <f>Skills!A25</f>
        <v/>
      </c>
      <c r="B2280">
        <f>Skills!B25</f>
        <v/>
      </c>
      <c r="C2280">
        <f>Inputs!$B$3&gt;=125</f>
        <v/>
      </c>
      <c r="D2280">
        <f>IF(Skills!C25=1,60+Inputs!$B$25+Inputs!$B$29,IF(Skills!C25=2,90+Inputs!$B$26+Inputs!$B$29,IF(Skills!C25=3,120+Inputs!$B$27+Inputs!$B$29,MAX(0,(Inputs!$B$3-100)*3)+Inputs!$B$28+Inputs!$B$29)))</f>
        <v/>
      </c>
      <c r="E2280">
        <f>INDEX(FactorTable!$B$2:$Y$301, MATCH(ROUND(MIN(300,MAX(1,D2280)),0), FactorTable!$A$2:$A$301,0), Skills!M25+1)</f>
        <v/>
      </c>
      <c r="F2280">
        <f>IF(Skills!N25=TRUE,(Skills!L25/10)*(E2280/1000),Skills!L25/10)+Skills!O25</f>
        <v/>
      </c>
      <c r="G2280">
        <f>Skills!G25*IF(Skills!H25&gt;0,Skills!I25/Skills!H25,1)</f>
        <v/>
      </c>
      <c r="H2280">
        <f>1-(1-Skills!J25/100)^Skills!K25</f>
        <v/>
      </c>
      <c r="I2280" t="inlineStr">
        <is>
          <t>1</t>
        </is>
      </c>
      <c r="J2280" t="inlineStr"/>
      <c r="K2280" t="inlineStr"/>
      <c r="L2280" t="inlineStr"/>
      <c r="M2280" t="inlineStr"/>
      <c r="N2280" t="inlineStr"/>
      <c r="O2280">
        <f>(1-Summary!$B$11)*T2280+Summary!$B$11*V2280</f>
        <v/>
      </c>
      <c r="P2280">
        <f>IF(B2294=0,0,O2280/B2294)</f>
        <v/>
      </c>
      <c r="Q2280" t="n">
        <v>0</v>
      </c>
      <c r="R2280" t="n">
        <v>0</v>
      </c>
      <c r="S2280">
        <f>IFERROR(O2280/N2280,0)</f>
        <v/>
      </c>
      <c r="T2280" t="n">
        <v>0</v>
      </c>
      <c r="V2280" t="n">
        <v>0</v>
      </c>
    </row>
    <row r="2281">
      <c r="A2281">
        <f>Skills!A26</f>
        <v/>
      </c>
      <c r="B2281">
        <f>Skills!B26</f>
        <v/>
      </c>
      <c r="C2281">
        <f>Inputs!$B$3&gt;=72</f>
        <v/>
      </c>
      <c r="D2281">
        <f>IF(Skills!C26=1,60+Inputs!$B$25+Inputs!$B$29,IF(Skills!C26=2,90+Inputs!$B$26+Inputs!$B$29,IF(Skills!C26=3,120+Inputs!$B$27+Inputs!$B$29,MAX(0,(Inputs!$B$3-100)*3)+Inputs!$B$28+Inputs!$B$29)))</f>
        <v/>
      </c>
      <c r="E2281">
        <f>INDEX(FactorTable!$B$2:$Y$301, MATCH(ROUND(MIN(300,MAX(1,D2281)),0), FactorTable!$A$2:$A$301,0), Skills!M26+1)</f>
        <v/>
      </c>
      <c r="F2281">
        <f>IF(Skills!N26=TRUE,(Skills!L26/10)*(E2281/1000),Skills!L26/10)+Skills!O26</f>
        <v/>
      </c>
      <c r="G2281">
        <f>Skills!G26*IF(Skills!H26&gt;0,Skills!I26/Skills!H26,1)</f>
        <v/>
      </c>
      <c r="H2281">
        <f>1-(1-Skills!J26/100)^Skills!K26</f>
        <v/>
      </c>
      <c r="I2281" t="inlineStr">
        <is>
          <t>1</t>
        </is>
      </c>
      <c r="J2281" t="inlineStr"/>
      <c r="K2281" t="inlineStr"/>
      <c r="L2281" t="inlineStr"/>
      <c r="M2281" t="inlineStr"/>
      <c r="N2281" t="inlineStr"/>
      <c r="O2281">
        <f>(1-Summary!$B$11)*T2281+Summary!$B$11*V2281</f>
        <v/>
      </c>
      <c r="P2281">
        <f>IF(B2294=0,0,O2281/B2294)</f>
        <v/>
      </c>
      <c r="Q2281" t="n">
        <v>0</v>
      </c>
      <c r="R2281" t="n">
        <v>0</v>
      </c>
      <c r="S2281">
        <f>IFERROR(O2281/N2281,0)</f>
        <v/>
      </c>
      <c r="T2281" t="n">
        <v>0</v>
      </c>
      <c r="V2281" t="n">
        <v>0</v>
      </c>
    </row>
    <row r="2283">
      <c r="A2283" t="inlineStr">
        <is>
          <t>Attack% Bucket Multiplier</t>
        </is>
      </c>
      <c r="B2283">
        <f>(1+(((C2268=TRUE)*F2268*IF(Inputs!$B$3&gt;=110,7,5))+((C2270=TRUE)*F2270*IF(AND(Inputs!$B$38&lt;&gt;"pvp",Inputs!$B$43&gt;0),(((R2270-1)*(Skills!T15*(1+(Inputs!$B$34+(ArtifactsInput!$M$7-ArtifactsInput!$M$7)*CHOOSE(ArtifactsInput!$N$7+1,6,7.2,8.4,9.6,10.8,12))/100))+MIN((Skills!T15*(1+(Inputs!$B$34+(ArtifactsInput!$M$7-ArtifactsInput!$M$7)*CHOOSE(ArtifactsInput!$N$7+1,6,7.2,8.4,9.6,10.8,12))/100)),MAX(0,Inputs!$B$43-((R2270-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84">
      <c r="A2284" t="inlineStr">
        <is>
          <t>Global Crit Rate Bonus %</t>
        </is>
      </c>
      <c r="B2284" t="n">
        <v>0</v>
      </c>
    </row>
    <row r="2285">
      <c r="A2285" t="inlineStr">
        <is>
          <t>Attack Speed Buff Bonus %</t>
        </is>
      </c>
      <c r="B2285">
        <f>((C2274=TRUE)*F2274*IF(AND(Inputs!$B$38&lt;&gt;"pvp",Inputs!$B$43&gt;0),(((R2274-1)*(Skills!T19*(1+(Inputs!$B$34+(ArtifactsInput!$M$7-ArtifactsInput!$M$7)*CHOOSE(ArtifactsInput!$N$7+1,6,7.2,8.4,9.6,10.8,12))/100))+MIN((Skills!T19*(1+(Inputs!$B$34+(ArtifactsInput!$M$7-ArtifactsInput!$M$7)*CHOOSE(ArtifactsInput!$N$7+1,6,7.2,8.4,9.6,10.8,12))/100)),MAX(0,Inputs!$B$43-((R2274-1)*Skills!D19))))/Inputs!$B$43),IF(Inputs!$B$38="pvp",MIN((Skills!T19*(1+(Inputs!$B$34+(ArtifactsInput!$M$7-ArtifactsInput!$M$7)*CHOOSE(ArtifactsInput!$N$7+1,6,7.2,8.4,9.6,10.8,12))/100)),15)/15,(Skills!T19*(1+(Inputs!$B$34+(ArtifactsInput!$M$7-ArtifactsInput!$M$7)*CHOOSE(ArtifactsInput!$N$7+1,6,7.2,8.4,9.6,10.8,12))/100))/Skills!D19)))</f>
        <v/>
      </c>
    </row>
    <row r="2286">
      <c r="A2286" t="inlineStr">
        <is>
          <t>Actions Per Second</t>
        </is>
      </c>
      <c r="B2286">
        <f>1+MIN(150,150*(1-(1-(Inputs!$B$11+((C2275=TRUE)*(F2275-Calc!F20)))/150)*(1-B2285/150)))/100</f>
        <v/>
      </c>
    </row>
    <row r="2287">
      <c r="A2287" t="inlineStr">
        <is>
          <t>Skill + Buff Cast Rate</t>
        </is>
      </c>
      <c r="B2287">
        <f>IF(AND(Inputs!$B$38&lt;&gt;"pvp",Inputs!$B$43&gt;0),SUMPRODUCT((Skills!E2:E26=TRUE)*(C2257:C2281=TRUE)*R2257:R2281*Skills!F2:F26)/Inputs!$B$43,SUMPRODUCT((Skills!E2:E26=TRUE)*(C2257:C2281=TRUE)*Q2257:Q2281*Skills!F2:F26))</f>
        <v/>
      </c>
    </row>
    <row r="2288">
      <c r="A2288" t="inlineStr">
        <is>
          <t>Raging Blow Casts Per Second</t>
        </is>
      </c>
      <c r="B2288">
        <f>MAX(0,B2286-B2287)</f>
        <v/>
      </c>
    </row>
    <row r="2289">
      <c r="A2289" t="inlineStr">
        <is>
          <t>Global Critical Damage Bonus % (Enrage)</t>
        </is>
      </c>
      <c r="B2289">
        <f>((C2273=TRUE)*F2273*IF(AND(Inputs!$B$38&lt;&gt;"pvp",Inputs!$B$43&gt;0),(((R2273-1)*(Skills!T18*(1+(Inputs!$B$34+(ArtifactsInput!$M$7-ArtifactsInput!$M$7)*CHOOSE(ArtifactsInput!$N$7+1,6,7.2,8.4,9.6,10.8,12))/100))+MIN((Skills!T18*(1+(Inputs!$B$34+(ArtifactsInput!$M$7-ArtifactsInput!$M$7)*CHOOSE(ArtifactsInput!$N$7+1,6,7.2,8.4,9.6,10.8,12))/100)),MAX(0,Inputs!$B$43-((R2273-1)*Skills!D18))))/Inputs!$B$43),IF(Inputs!$B$38="pvp",MIN((Skills!T18*(1+(Inputs!$B$34+(ArtifactsInput!$M$7-ArtifactsInput!$M$7)*CHOOSE(ArtifactsInput!$N$7+1,6,7.2,8.4,9.6,10.8,12))/100)),15)/15,(Skills!T18*(1+(Inputs!$B$34+(ArtifactsInput!$M$7-ArtifactsInput!$M$7)*CHOOSE(ArtifactsInput!$N$7+1,6,7.2,8.4,9.6,10.8,12))/100))/Skills!D18)))</f>
        <v/>
      </c>
    </row>
    <row r="2290">
      <c r="A2290" t="inlineStr">
        <is>
          <t>Global Final Damage Bonus % (Enrage + Combo Synergy)</t>
        </is>
      </c>
      <c r="B2290">
        <f>((C2272=TRUE)*F2272*IF(AND(Inputs!$B$38&lt;&gt;"pvp",Inputs!$B$43&gt;0),(((R2272-1)*(Skills!T17*(1+(Inputs!$B$34+(ArtifactsInput!$M$7-ArtifactsInput!$M$7)*CHOOSE(ArtifactsInput!$N$7+1,6,7.2,8.4,9.6,10.8,12))/100))+MIN((Skills!T17*(1+(Inputs!$B$34+(ArtifactsInput!$M$7-ArtifactsInput!$M$7)*CHOOSE(ArtifactsInput!$N$7+1,6,7.2,8.4,9.6,10.8,12))/100)),MAX(0,Inputs!$B$43-((R2272-1)*Skills!D17))))/Inputs!$B$43),IF(Inputs!$B$38="pvp",MIN((Skills!T17*(1+(Inputs!$B$34+(ArtifactsInput!$M$7-ArtifactsInput!$M$7)*CHOOSE(ArtifactsInput!$N$7+1,6,7.2,8.4,9.6,10.8,12))/100)),15)/15,(Skills!T17*(1+(Inputs!$B$34+(ArtifactsInput!$M$7-ArtifactsInput!$M$7)*CHOOSE(ArtifactsInput!$N$7+1,6,7.2,8.4,9.6,10.8,12))/100))/Skills!D17)))+((C2269=TRUE)*F2269*IF(Inputs!$B$3&gt;=110,7,5))</f>
        <v/>
      </c>
    </row>
    <row r="2291">
      <c r="A2291" t="inlineStr">
        <is>
          <t>Buff-Casting Startup Delay (s, fixed-duration only)</t>
        </is>
      </c>
      <c r="B2291">
        <f>IF(AND(Inputs!$B$38&lt;&gt;"pvp",Inputs!$B$43&gt;0),SUMPRODUCT((Skills!T2:T26&gt;0)*(Skills!E2:E26=TRUE)*(C2257:C2281=TRUE))/B2286,0)</f>
        <v/>
      </c>
    </row>
    <row r="2292">
      <c r="A2292" t="inlineStr">
        <is>
          <t>Boss-Only Total DPS (this block's swept value)</t>
        </is>
      </c>
      <c r="B2292">
        <f>SUM(T2257:T2281)</f>
        <v/>
      </c>
    </row>
    <row r="2293">
      <c r="A2293" t="inlineStr">
        <is>
          <t>Normal-Only Total DPS (this block's swept value)</t>
        </is>
      </c>
      <c r="B2293">
        <f>SUM(V2257:V2281)</f>
        <v/>
      </c>
    </row>
    <row r="2294">
      <c r="A2294" s="6" t="inlineStr">
        <is>
          <t>TOTAL DPS</t>
        </is>
      </c>
      <c r="B2294" s="6">
        <f>SUM(O2257:O2281)</f>
        <v/>
      </c>
    </row>
    <row r="2297">
      <c r="A2297" s="6" t="inlineStr">
        <is>
          <t>Stat: Bottle of Emotion (Equip)</t>
        </is>
      </c>
    </row>
    <row r="2298">
      <c r="A2298" s="5" t="inlineStr">
        <is>
          <t>Key</t>
        </is>
      </c>
      <c r="B2298" s="5" t="inlineStr">
        <is>
          <t>Name</t>
        </is>
      </c>
      <c r="C2298" s="5" t="inlineStr">
        <is>
          <t>Unlocked</t>
        </is>
      </c>
      <c r="D2298" s="5" t="inlineStr">
        <is>
          <t>InputLevel</t>
        </is>
      </c>
      <c r="E2298" s="5" t="inlineStr">
        <is>
          <t>Factor</t>
        </is>
      </c>
      <c r="F2298" s="5" t="inlineStr">
        <is>
          <t>CoefficientPercent</t>
        </is>
      </c>
      <c r="G2298" s="5" t="inlineStr">
        <is>
          <t>EffectiveHits</t>
        </is>
      </c>
      <c r="H2298" s="5" t="inlineStr">
        <is>
          <t>ProcProbability</t>
        </is>
      </c>
      <c r="I2298" s="5" t="inlineStr">
        <is>
          <t>MapleHeroMultiplier</t>
        </is>
      </c>
      <c r="J2298" s="5" t="inlineStr">
        <is>
          <t>BaseDamage</t>
        </is>
      </c>
      <c r="K2298" s="5" t="inlineStr">
        <is>
          <t>BaseHitDamage</t>
        </is>
      </c>
      <c r="L2298" s="5" t="inlineStr">
        <is>
          <t>NonCritAvg</t>
        </is>
      </c>
      <c r="M2298" s="5" t="inlineStr">
        <is>
          <t>CritAvg</t>
        </is>
      </c>
      <c r="N2298" s="5" t="inlineStr">
        <is>
          <t>ExpectedDamage(perHit)</t>
        </is>
      </c>
      <c r="O2298" s="5" t="inlineStr">
        <is>
          <t>DPS</t>
        </is>
      </c>
      <c r="P2298" s="5" t="inlineStr">
        <is>
          <t>% of Total</t>
        </is>
      </c>
      <c r="Q2298" s="5" t="inlineStr">
        <is>
          <t>InvCooldown</t>
        </is>
      </c>
      <c r="R2298" s="5" t="inlineStr">
        <is>
          <t>CastsInFight</t>
        </is>
      </c>
      <c r="S2298" s="5" t="inlineStr">
        <is>
          <t>HitRate(perSec)</t>
        </is>
      </c>
      <c r="U2298" t="inlineStr">
        <is>
          <t>helpers</t>
        </is>
      </c>
    </row>
    <row r="2299">
      <c r="A2299">
        <f>Skills!A2</f>
        <v/>
      </c>
      <c r="B2299">
        <f>Skills!B2</f>
        <v/>
      </c>
      <c r="C2299">
        <f>Inputs!$B$3&gt;=100</f>
        <v/>
      </c>
      <c r="D2299" t="inlineStr"/>
      <c r="E2299" t="inlineStr"/>
      <c r="F2299">
        <f>U2301+Skills!O2</f>
        <v/>
      </c>
      <c r="G2299">
        <f>Skills!G2*IF(Skills!H2&gt;0,Skills!I2/Skills!H2,1)</f>
        <v/>
      </c>
      <c r="H2299">
        <f>1-(1-Skills!J2/100)^Skills!K2</f>
        <v/>
      </c>
      <c r="I2299" t="inlineStr">
        <is>
          <t>1</t>
        </is>
      </c>
      <c r="J2299">
        <f>((Inputs!$B$6*(1+Inputs!$B$7/100))+(((Inputs!$B$12*(1+Inputs!$B$13/100))-(Inputs!$B$12*(1+Inputs!$B$13/100)))+0.25*(Inputs!$B$14-Inputs!$B$14))*(1+Inputs!$B$7/100))*(F2299/100)</f>
        <v/>
      </c>
      <c r="K2299">
        <f>J2299*(1+((Inputs!$B$12*(1+Inputs!$B$13/100))*0.01+Inputs!$B$14*0.0025)/100)*(1+Inputs!$B$15/100)*(1+Inputs!$B$16/100)*(5000/(6000+Inputs!$B$42*(1-(100*(1-(1-(Inputs!$B$19+0)/100)*(1-CHOOSE(ArtifactsInput!$N$40+1,5,6,7,8,9,10)/100)^(ArtifactsInput!$M$40-ArtifactsInput!$M$40)))/100)))*(1+(Inputs!$B$24+((C2322=TRUE)*(F2322-Calc!F25))+B2332)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2="ENHANCED_RAGING_BLOW",IF(Inputs!$B$3&gt;=134,MAX(0,IF(Inputs!$B$3&gt;=110,7,5)-5)*50,0),0)/100)*(1+(IF(Skills!A2="RAGING_BLOW",Inputs!$B$17+((C2318=TRUE)*(F2318-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2320=TRUE)*(F2320-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2310=TRUE)*F2310*IF(Inputs!$B$3&gt;=110,7,5))+((C2312=TRUE)*F2312*IF(AND(Inputs!$B$38&lt;&gt;"pvp",Inputs!$B$43&gt;0),(((R2312-1)*(Skills!T15*(1+(Inputs!$B$34+(ArtifactsInput!$M$7-ArtifactsInput!$M$7)*CHOOSE(ArtifactsInput!$N$7+1,6,7.2,8.4,9.6,10.8,12))/100))+MIN((Skills!T15*(1+(Inputs!$B$34+(ArtifactsInput!$M$7-ArtifactsInput!$M$7)*CHOOSE(ArtifactsInput!$N$7+1,6,7.2,8.4,9.6,10.8,12))/100)),MAX(0,Inputs!$B$43-((R2312-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Hunt"),CHOOSE(ArtifactsInput!$N$35+1,15,18,21,24,27,30)*(1-EXP(-(0.2*B2328)*5)),0)+IF(AND(ArtifactsInput!$M$22,Inputs!$B$4&lt;&gt;"Chapter Hunt"),CHOOSE(ArtifactsInput!$N$22+1,10,12,14,16,18,20)*((0*(((0.15*B2328*5))^0/1)+1*(((0.15*B2328*5))^1/1)+2*(((0.15*B2328*5))^2/2)+3*(((0.15*B2328*5))^3/6)+4*(((0.15*B2328*5))^4/24)+5*(((0.15*B2328*5))^5/120))/((((0.15*B2328*5))^0/1)+(((0.15*B2328*5))^1/1)+(((0.15*B2328*5))^2/2)+(((0.15*B2328*5))^3/6)+(((0.15*B2328*5))^4/24)+(((0.15*B2328*5))^5/120))),0)))/100)*I2299)</f>
        <v/>
      </c>
      <c r="L2299">
        <f>K2299*(MIN(Inputs!$B$22+((C2319=TRUE)*(F2319-Calc!F22)),(Inputs!$B$23+((C2321=TRUE)*(F2321-Calc!F24))+(IF(ArtifactsInput!$M$15,CHOOSE(ArtifactsInput!$N$15+1,25,30,35,40,45,50)/100*(Inputs!$B$11-Inputs!$B$11),0))))/100+(Inputs!$B$23+((C2321=TRUE)*(F2321-Calc!F24))+(IF(ArtifactsInput!$M$15,CHOOSE(ArtifactsInput!$N$15+1,25,30,35,40,45,50)/100*(Inputs!$B$11-Inputs!$B$11),0)))/100)/2</f>
        <v/>
      </c>
      <c r="M2299">
        <f>L2299*(1+(Inputs!$B$10+0+B2331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9">
        <f>L2299*(1-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2299*(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9">
        <f>(1-Summary!$B$11)*T2299+Summary!$B$11*V2299</f>
        <v/>
      </c>
      <c r="P2299">
        <f>IF(B2336=0,0,O2299/B2336)</f>
        <v/>
      </c>
      <c r="Q2299" t="n">
        <v>0</v>
      </c>
      <c r="R2299" t="n">
        <v>0</v>
      </c>
      <c r="S2299">
        <f>IFERROR(O2299/N2299,0)</f>
        <v/>
      </c>
      <c r="T2299">
        <f>IF(C2299,(Skills!G2*N2299*B2330)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2299*(1-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2299*(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2299*(1-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2299*(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99">
        <f>MAX(0,(Inputs!$B$3-100)*3)+Inputs!$B$28+Inputs!$B$29</f>
        <v/>
      </c>
      <c r="V2299">
        <f>IF(C2299,(Skills!G2*N2299*B2330)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00">
      <c r="A2300">
        <f>Skills!A3</f>
        <v/>
      </c>
      <c r="B2300">
        <f>Skills!B3</f>
        <v/>
      </c>
      <c r="C2300">
        <f>Inputs!$B$3&gt;=50</f>
        <v/>
      </c>
      <c r="D2300">
        <f>IF(Skills!C3=1,60+Inputs!$B$25+Inputs!$B$29,IF(Skills!C3=2,90+Inputs!$B$26+Inputs!$B$29,IF(Skills!C3=3,120+Inputs!$B$27+Inputs!$B$29,MAX(0,(Inputs!$B$3-100)*3)+Inputs!$B$28+Inputs!$B$29)))</f>
        <v/>
      </c>
      <c r="E2300">
        <f>INDEX(FactorTable!$B$2:$Y$301, MATCH(ROUND(MIN(300,MAX(1,D2300)),0), FactorTable!$A$2:$A$301,0), Skills!M3+1)</f>
        <v/>
      </c>
      <c r="F2300">
        <f>IF(Skills!N3=TRUE,(Skills!L3/10)*(E2300/1000),Skills!L3/10)+Skills!O3</f>
        <v/>
      </c>
      <c r="G2300" t="inlineStr"/>
      <c r="H2300" t="inlineStr"/>
      <c r="I2300" t="inlineStr">
        <is>
          <t>1</t>
        </is>
      </c>
      <c r="J2300" t="inlineStr"/>
      <c r="K2300" t="inlineStr"/>
      <c r="L2300" t="inlineStr"/>
      <c r="M2300" t="inlineStr"/>
      <c r="N2300" t="inlineStr"/>
      <c r="O2300" t="inlineStr"/>
      <c r="P2300" t="inlineStr"/>
      <c r="Q2300" t="inlineStr"/>
      <c r="R2300" t="inlineStr"/>
      <c r="S2300" t="inlineStr"/>
      <c r="U2300">
        <f>INDEX(FactorTable!$B$2:$Y$301, MATCH(ROUND(MIN(300,MAX(1,U2299)),0), FactorTable!$A$2:$A$301,0), 22)</f>
        <v/>
      </c>
    </row>
    <row r="2301">
      <c r="A2301">
        <f>Skills!A4</f>
        <v/>
      </c>
      <c r="B2301">
        <f>Skills!B4</f>
        <v/>
      </c>
      <c r="C2301">
        <f>Inputs!$B$3&gt;=105</f>
        <v/>
      </c>
      <c r="D2301">
        <f>IF(Skills!C4=1,60+Inputs!$B$25+Inputs!$B$29,IF(Skills!C4=2,90+Inputs!$B$26+Inputs!$B$29,IF(Skills!C4=3,120+Inputs!$B$27+Inputs!$B$29,MAX(0,(Inputs!$B$3-100)*3)+Inputs!$B$28+Inputs!$B$29)))</f>
        <v/>
      </c>
      <c r="E2301">
        <f>INDEX(FactorTable!$B$2:$Y$301, MATCH(ROUND(MIN(300,MAX(1,D2301)),0), FactorTable!$A$2:$A$301,0), Skills!M4+1)</f>
        <v/>
      </c>
      <c r="F2301">
        <f>IF(Skills!N4=TRUE,(Skills!L4/10)*(E2301/1000),Skills!L4/10)+Skills!O4</f>
        <v/>
      </c>
      <c r="G2301" t="inlineStr"/>
      <c r="H2301" t="inlineStr"/>
      <c r="I2301" t="inlineStr">
        <is>
          <t>1</t>
        </is>
      </c>
      <c r="J2301" t="inlineStr"/>
      <c r="K2301" t="inlineStr"/>
      <c r="L2301" t="inlineStr"/>
      <c r="M2301" t="inlineStr"/>
      <c r="N2301" t="inlineStr"/>
      <c r="O2301" t="inlineStr"/>
      <c r="P2301" t="inlineStr"/>
      <c r="Q2301" t="inlineStr"/>
      <c r="R2301" t="inlineStr"/>
      <c r="S2301" t="inlineStr"/>
      <c r="U2301">
        <f>290*U2300/1000</f>
        <v/>
      </c>
    </row>
    <row r="2302">
      <c r="A2302">
        <f>Skills!A5</f>
        <v/>
      </c>
      <c r="B2302">
        <f>Skills!B5</f>
        <v/>
      </c>
      <c r="C2302">
        <f>Inputs!$B$3&gt;=103</f>
        <v/>
      </c>
      <c r="D2302">
        <f>IF(Skills!C5=1,60+Inputs!$B$25+Inputs!$B$29,IF(Skills!C5=2,90+Inputs!$B$26+Inputs!$B$29,IF(Skills!C5=3,120+Inputs!$B$27+Inputs!$B$29,MAX(0,(Inputs!$B$3-100)*3)+Inputs!$B$28+Inputs!$B$29)))</f>
        <v/>
      </c>
      <c r="E2302">
        <f>INDEX(FactorTable!$B$2:$Y$301, MATCH(ROUND(MIN(300,MAX(1,D2302)),0), FactorTable!$A$2:$A$301,0), Skills!M5+1)</f>
        <v/>
      </c>
      <c r="F2302">
        <f>IF(Skills!N5=TRUE,(Skills!L5/10)*(E2302/1000),Skills!L5/10)+Skills!O5</f>
        <v/>
      </c>
      <c r="G2302">
        <f>Skills!G5*IF(Skills!H5&gt;0,Skills!I5/Skills!H5,1)</f>
        <v/>
      </c>
      <c r="H2302">
        <f>1-(1-Skills!J5/100)^Skills!K5</f>
        <v/>
      </c>
      <c r="I2302" t="inlineStr">
        <is>
          <t>1</t>
        </is>
      </c>
      <c r="J2302">
        <f>((Inputs!$B$6*(1+Inputs!$B$7/100))+(((Inputs!$B$12*(1+Inputs!$B$13/100))-(Inputs!$B$12*(1+Inputs!$B$13/100)))+0.25*(Inputs!$B$14-Inputs!$B$14))*(1+Inputs!$B$7/100))*(F2302/100)</f>
        <v/>
      </c>
      <c r="K2302">
        <f>J2302*(1+((Inputs!$B$12*(1+Inputs!$B$13/100))*0.01+Inputs!$B$14*0.0025)/100)*(1+Inputs!$B$15/100)*(1+Inputs!$B$16/100)*(5000/(6000+Inputs!$B$42*(1-(100*(1-(1-(Inputs!$B$19+0)/100)*(1-CHOOSE(ArtifactsInput!$N$40+1,5,6,7,8,9,10)/100)^(ArtifactsInput!$M$40-ArtifactsInput!$M$40)))/100)))*(1+(Inputs!$B$24+((C2322=TRUE)*(F2322-Calc!F25))+B2332)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5="ENHANCED_RAGING_BLOW",IF(Inputs!$B$3&gt;=134,MAX(0,IF(Inputs!$B$3&gt;=110,7,5)-5)*50,0),0)/100)*(1+(IF(Skills!A5="RAGING_BLOW",Inputs!$B$17+((C2318=TRUE)*(F2318-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2320=TRUE)*(F2320-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2310=TRUE)*F2310*IF(Inputs!$B$3&gt;=110,7,5))+((C2312=TRUE)*F2312*IF(AND(Inputs!$B$38&lt;&gt;"pvp",Inputs!$B$43&gt;0),(((R2312-1)*(Skills!T15*(1+(Inputs!$B$34+(ArtifactsInput!$M$7-ArtifactsInput!$M$7)*CHOOSE(ArtifactsInput!$N$7+1,6,7.2,8.4,9.6,10.8,12))/100))+MIN((Skills!T15*(1+(Inputs!$B$34+(ArtifactsInput!$M$7-ArtifactsInput!$M$7)*CHOOSE(ArtifactsInput!$N$7+1,6,7.2,8.4,9.6,10.8,12))/100)),MAX(0,Inputs!$B$43-((R2312-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Hunt"),CHOOSE(ArtifactsInput!$N$35+1,15,18,21,24,27,30)*(1-EXP(-(0.2*B2328)*5)),0)+IF(AND(ArtifactsInput!$M$22,Inputs!$B$4&lt;&gt;"Chapter Hunt"),CHOOSE(ArtifactsInput!$N$22+1,10,12,14,16,18,20)*((0*(((0.15*B2328*5))^0/1)+1*(((0.15*B2328*5))^1/1)+2*(((0.15*B2328*5))^2/2)+3*(((0.15*B2328*5))^3/6)+4*(((0.15*B2328*5))^4/24)+5*(((0.15*B2328*5))^5/120))/((((0.15*B2328*5))^0/1)+(((0.15*B2328*5))^1/1)+(((0.15*B2328*5))^2/2)+(((0.15*B2328*5))^3/6)+(((0.15*B2328*5))^4/24)+(((0.15*B2328*5))^5/120))),0)))/100)*I2302)</f>
        <v/>
      </c>
      <c r="L2302">
        <f>K2302*(MIN(Inputs!$B$22+((C2319=TRUE)*(F2319-Calc!F22)),(Inputs!$B$23+((C2321=TRUE)*(F2321-Calc!F24))+(IF(ArtifactsInput!$M$15,CHOOSE(ArtifactsInput!$N$15+1,25,30,35,40,45,50)/100*(Inputs!$B$11-Inputs!$B$11),0))))/100+(Inputs!$B$23+((C2321=TRUE)*(F2321-Calc!F24))+(IF(ArtifactsInput!$M$15,CHOOSE(ArtifactsInput!$N$15+1,25,30,35,40,45,50)/100*(Inputs!$B$11-Inputs!$B$11),0)))/100)/2</f>
        <v/>
      </c>
      <c r="M2302">
        <f>L2302*(1+(Inputs!$B$10+0+B2331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02">
        <f>L2302*(1-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2302*(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02">
        <f>(1-Summary!$B$11)*T2302+Summary!$B$11*V2302</f>
        <v/>
      </c>
      <c r="P2302">
        <f>IF(B2336=0,0,O2302/B2336)</f>
        <v/>
      </c>
      <c r="Q2302">
        <f>IFERROR(1/(IF(Inputs!$B$38="pvp",15,MAX(0.1,Skills!D5-IF(Skills!E5=TRUE,Inputs!$B$32,0)))*(1-IF(AND(ArtifactsInput!$M$27,Inputs!$B$4="Chapter Hunt"),CHOOSE(ArtifactsInput!$N$27+1,20,24,28,32,36,40),0)/100)),0)</f>
        <v/>
      </c>
      <c r="R2302">
        <f>IF(AND(Inputs!$B$38&lt;&gt;"pvp",Inputs!$B$43&gt;0),IF(MAX(0,Inputs!$B$43-B2333)&lt;=0,0,(INT(MAX(0,Inputs!$B$43-B2333)/(IF(Inputs!$B$38="pvp",15,MAX(0.1,Skills!D5-IF(Skills!E5=TRUE,Inputs!$B$32,0)))*(1-IF(AND(ArtifactsInput!$M$27,Inputs!$B$4="Chapter Hunt"),CHOOSE(ArtifactsInput!$N$27+1,20,24,28,32,36,40),0)/100)))+1)),0)</f>
        <v/>
      </c>
      <c r="S2302">
        <f>IFERROR(O2302/N2302,0)</f>
        <v/>
      </c>
      <c r="T2302">
        <f>IF(C2302,(H2302*N2302*IF(AND(Inputs!$B$38&lt;&gt;"pvp",Inputs!$B$43&gt;0),((Skills!G5*((R2302-1)*IF(Skills!H5&gt;0,Skills!I5/Skills!H5,1)+IF(Skills!H5&gt;0,MIN(Skills!I5,MAX(0,MAX(0,Inputs!$B$43-B2333)-((R2302-1)*(IF(Inputs!$B$38="pvp",15,MAX(0.1,Skills!D5-IF(Skills!E5=TRUE,Inputs!$B$32,0)))*(1-IF(AND(ArtifactsInput!$M$27,Inputs!$B$4="Chapter Hunt"),CHOOSE(ArtifactsInput!$N$27+1,20,24,28,32,36,40),0)/100)))))/Skills!H5,1)))/Inputs!$B$43),G2302*Q2302)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2302*(1-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2302*(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2302*(1-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2302*(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02">
        <f>IF(C2302,(H2302*N2302*IF(AND(Inputs!$B$38&lt;&gt;"pvp",Inputs!$B$43&gt;0),((Skills!G5*((R2302-1)*IF(Skills!H5&gt;0,Skills!I5/Skills!H5,1)+IF(Skills!H5&gt;0,MIN(Skills!I5,MAX(0,MAX(0,Inputs!$B$43-B2333)-((R2302-1)*(IF(Inputs!$B$38="pvp",15,MAX(0.1,Skills!D5-IF(Skills!E5=TRUE,Inputs!$B$32,0)))*(1-IF(AND(ArtifactsInput!$M$27,Inputs!$B$4="Chapter Hunt"),CHOOSE(ArtifactsInput!$N$27+1,20,24,28,32,36,40),0)/100)))))/Skills!H5,1)))/Inputs!$B$43),G2302*Q2302)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03">
      <c r="A2303">
        <f>Skills!A6</f>
        <v/>
      </c>
      <c r="B2303">
        <f>Skills!B6</f>
        <v/>
      </c>
      <c r="C2303">
        <f>Inputs!$B$3&gt;=103</f>
        <v/>
      </c>
      <c r="D2303">
        <f>IF(Skills!C6=1,60+Inputs!$B$25+Inputs!$B$29,IF(Skills!C6=2,90+Inputs!$B$26+Inputs!$B$29,IF(Skills!C6=3,120+Inputs!$B$27+Inputs!$B$29,MAX(0,(Inputs!$B$3-100)*3)+Inputs!$B$28+Inputs!$B$29)))</f>
        <v/>
      </c>
      <c r="E2303">
        <f>INDEX(FactorTable!$B$2:$Y$301, MATCH(ROUND(MIN(300,MAX(1,D2303)),0), FactorTable!$A$2:$A$301,0), Skills!M6+1)</f>
        <v/>
      </c>
      <c r="F2303">
        <f>IF(Skills!N6=TRUE,(Skills!L6/10)*(E2303/1000),Skills!L6/10)+Skills!O6</f>
        <v/>
      </c>
      <c r="G2303">
        <f>Skills!G6*IF(Skills!H6&gt;0,Skills!I6/Skills!H6,1)</f>
        <v/>
      </c>
      <c r="H2303">
        <f>1-(1-Skills!J6/100)^Skills!K6</f>
        <v/>
      </c>
      <c r="I2303" t="inlineStr">
        <is>
          <t>1</t>
        </is>
      </c>
      <c r="J2303">
        <f>((Inputs!$B$6*(1+Inputs!$B$7/100))+(((Inputs!$B$12*(1+Inputs!$B$13/100))-(Inputs!$B$12*(1+Inputs!$B$13/100)))+0.25*(Inputs!$B$14-Inputs!$B$14))*(1+Inputs!$B$7/100))*(F2303/100)</f>
        <v/>
      </c>
      <c r="K2303">
        <f>J2303*(1+((Inputs!$B$12*(1+Inputs!$B$13/100))*0.01+Inputs!$B$14*0.0025)/100)*(1+Inputs!$B$15/100)*(1+Inputs!$B$16/100)*(5000/(6000+Inputs!$B$42*(1-(100*(1-(1-(Inputs!$B$19+0)/100)*(1-CHOOSE(ArtifactsInput!$N$40+1,5,6,7,8,9,10)/100)^(ArtifactsInput!$M$40-ArtifactsInput!$M$40)))/100)))*(1+(Inputs!$B$24+((C2322=TRUE)*(F2322-Calc!F25))+B2332)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6="ENHANCED_RAGING_BLOW",IF(Inputs!$B$3&gt;=134,MAX(0,IF(Inputs!$B$3&gt;=110,7,5)-5)*50,0),0)/100)*(1+(IF(Skills!A6="RAGING_BLOW",Inputs!$B$17+((C2318=TRUE)*(F2318-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2320=TRUE)*(F2320-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2310=TRUE)*F2310*IF(Inputs!$B$3&gt;=110,7,5))+((C2312=TRUE)*F2312*IF(AND(Inputs!$B$38&lt;&gt;"pvp",Inputs!$B$43&gt;0),(((R2312-1)*(Skills!T15*(1+(Inputs!$B$34+(ArtifactsInput!$M$7-ArtifactsInput!$M$7)*CHOOSE(ArtifactsInput!$N$7+1,6,7.2,8.4,9.6,10.8,12))/100))+MIN((Skills!T15*(1+(Inputs!$B$34+(ArtifactsInput!$M$7-ArtifactsInput!$M$7)*CHOOSE(ArtifactsInput!$N$7+1,6,7.2,8.4,9.6,10.8,12))/100)),MAX(0,Inputs!$B$43-((R2312-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Hunt"),CHOOSE(ArtifactsInput!$N$35+1,15,18,21,24,27,30)*(1-EXP(-(0.2*B2328)*5)),0)+IF(AND(ArtifactsInput!$M$22,Inputs!$B$4&lt;&gt;"Chapter Hunt"),CHOOSE(ArtifactsInput!$N$22+1,10,12,14,16,18,20)*((0*(((0.15*B2328*5))^0/1)+1*(((0.15*B2328*5))^1/1)+2*(((0.15*B2328*5))^2/2)+3*(((0.15*B2328*5))^3/6)+4*(((0.15*B2328*5))^4/24)+5*(((0.15*B2328*5))^5/120))/((((0.15*B2328*5))^0/1)+(((0.15*B2328*5))^1/1)+(((0.15*B2328*5))^2/2)+(((0.15*B2328*5))^3/6)+(((0.15*B2328*5))^4/24)+(((0.15*B2328*5))^5/120))),0)))/100)*I2303)</f>
        <v/>
      </c>
      <c r="L2303">
        <f>K2303*(MIN(Inputs!$B$22+((C2319=TRUE)*(F2319-Calc!F22)),(Inputs!$B$23+((C2321=TRUE)*(F2321-Calc!F24))+(IF(ArtifactsInput!$M$15,CHOOSE(ArtifactsInput!$N$15+1,25,30,35,40,45,50)/100*(Inputs!$B$11-Inputs!$B$11),0))))/100+(Inputs!$B$23+((C2321=TRUE)*(F2321-Calc!F24))+(IF(ArtifactsInput!$M$15,CHOOSE(ArtifactsInput!$N$15+1,25,30,35,40,45,50)/100*(Inputs!$B$11-Inputs!$B$11),0)))/100)/2</f>
        <v/>
      </c>
      <c r="M2303">
        <f>L2303*(1+(Inputs!$B$10+0+B2331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03">
        <f>L2303*(1-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2303*(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03">
        <f>(1-Summary!$B$11)*T2303+Summary!$B$11*V2303</f>
        <v/>
      </c>
      <c r="P2303">
        <f>IF(B2336=0,0,O2303/B2336)</f>
        <v/>
      </c>
      <c r="Q2303">
        <f>IFERROR(1/(IF(Inputs!$B$38="pvp",15,MAX(0.1,Skills!D6-IF(Skills!E6=TRUE,Inputs!$B$32,0)))*(1-IF(AND(ArtifactsInput!$M$27,Inputs!$B$4="Chapter Hunt"),CHOOSE(ArtifactsInput!$N$27+1,20,24,28,32,36,40),0)/100)),0)</f>
        <v/>
      </c>
      <c r="R2303">
        <f>IF(AND(Inputs!$B$38&lt;&gt;"pvp",Inputs!$B$43&gt;0),IF(MAX(0,Inputs!$B$43-B2333)&lt;=0,0,(INT(MAX(0,Inputs!$B$43-B2333)/(IF(Inputs!$B$38="pvp",15,MAX(0.1,Skills!D6-IF(Skills!E6=TRUE,Inputs!$B$32,0)))*(1-IF(AND(ArtifactsInput!$M$27,Inputs!$B$4="Chapter Hunt"),CHOOSE(ArtifactsInput!$N$27+1,20,24,28,32,36,40),0)/100)))+1)),0)</f>
        <v/>
      </c>
      <c r="S2303">
        <f>IFERROR(O2303/N2303,0)</f>
        <v/>
      </c>
      <c r="T2303">
        <f>IF(C2303,(H2303*N2303*IF(AND(Inputs!$B$38&lt;&gt;"pvp",Inputs!$B$43&gt;0),((Skills!G6*((R2303-1)*IF(Skills!H6&gt;0,Skills!I6/Skills!H6,1)+IF(Skills!H6&gt;0,MIN(Skills!I6,MAX(0,MAX(0,Inputs!$B$43-B2333)-((R2303-1)*(IF(Inputs!$B$38="pvp",15,MAX(0.1,Skills!D6-IF(Skills!E6=TRUE,Inputs!$B$32,0)))*(1-IF(AND(ArtifactsInput!$M$27,Inputs!$B$4="Chapter Hunt"),CHOOSE(ArtifactsInput!$N$27+1,20,24,28,32,36,40),0)/100)))))/Skills!H6,1)))/Inputs!$B$43),G2303*Q2303)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2303*(1-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2303*(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2303*(1-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2303*(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03">
        <f>IF(C2303,(H2303*N2303*IF(AND(Inputs!$B$38&lt;&gt;"pvp",Inputs!$B$43&gt;0),((Skills!G6*((R2303-1)*IF(Skills!H6&gt;0,Skills!I6/Skills!H6,1)+IF(Skills!H6&gt;0,MIN(Skills!I6,MAX(0,MAX(0,Inputs!$B$43-B2333)-((R2303-1)*(IF(Inputs!$B$38="pvp",15,MAX(0.1,Skills!D6-IF(Skills!E6=TRUE,Inputs!$B$32,0)))*(1-IF(AND(ArtifactsInput!$M$27,Inputs!$B$4="Chapter Hunt"),CHOOSE(ArtifactsInput!$N$27+1,20,24,28,32,36,40),0)/100)))))/Skills!H6,1)))/Inputs!$B$43),G2303*Q2303)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04">
      <c r="A2304">
        <f>Skills!A7</f>
        <v/>
      </c>
      <c r="B2304">
        <f>Skills!B7</f>
        <v/>
      </c>
      <c r="C2304">
        <f>Inputs!$B$3&gt;=107</f>
        <v/>
      </c>
      <c r="D2304">
        <f>IF(Skills!C7=1,60+Inputs!$B$25+Inputs!$B$29,IF(Skills!C7=2,90+Inputs!$B$26+Inputs!$B$29,IF(Skills!C7=3,120+Inputs!$B$27+Inputs!$B$29,MAX(0,(Inputs!$B$3-100)*3)+Inputs!$B$28+Inputs!$B$29)))</f>
        <v/>
      </c>
      <c r="E2304">
        <f>INDEX(FactorTable!$B$2:$Y$301, MATCH(ROUND(MIN(300,MAX(1,D2304)),0), FactorTable!$A$2:$A$301,0), Skills!M7+1)</f>
        <v/>
      </c>
      <c r="F2304">
        <f>IF(Skills!N7=TRUE,(Skills!L7/10)*(E2304/1000),Skills!L7/10)+Skills!O7</f>
        <v/>
      </c>
      <c r="G2304">
        <f>Skills!G7*IF(Skills!H7&gt;0,Skills!I7/Skills!H7,1)</f>
        <v/>
      </c>
      <c r="H2304">
        <f>1-(1-Skills!J7/100)^Skills!K7</f>
        <v/>
      </c>
      <c r="I2304" t="inlineStr">
        <is>
          <t>1</t>
        </is>
      </c>
      <c r="J2304">
        <f>((Inputs!$B$6*(1+Inputs!$B$7/100))+(((Inputs!$B$12*(1+Inputs!$B$13/100))-(Inputs!$B$12*(1+Inputs!$B$13/100)))+0.25*(Inputs!$B$14-Inputs!$B$14))*(1+Inputs!$B$7/100))*(F2304/100)</f>
        <v/>
      </c>
      <c r="K2304">
        <f>J2304*(1+((Inputs!$B$12*(1+Inputs!$B$13/100))*0.01+Inputs!$B$14*0.0025)/100)*(1+Inputs!$B$15/100)*(1+Inputs!$B$16/100)*(5000/(6000+Inputs!$B$42*(1-(100*(1-(1-(Inputs!$B$19+0)/100)*(1-CHOOSE(ArtifactsInput!$N$40+1,5,6,7,8,9,10)/100)^(ArtifactsInput!$M$40-ArtifactsInput!$M$40)))/100)))*(1+(Inputs!$B$24+((C2322=TRUE)*(F2322-Calc!F25))+B2332)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7="ENHANCED_RAGING_BLOW",IF(Inputs!$B$3&gt;=134,MAX(0,IF(Inputs!$B$3&gt;=110,7,5)-5)*50,0),0)/100)*(1+(IF(Skills!A7="RAGING_BLOW",Inputs!$B$17+((C2318=TRUE)*(F2318-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2320=TRUE)*(F2320-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2310=TRUE)*F2310*IF(Inputs!$B$3&gt;=110,7,5))+((C2312=TRUE)*F2312*IF(AND(Inputs!$B$38&lt;&gt;"pvp",Inputs!$B$43&gt;0),(((R2312-1)*(Skills!T15*(1+(Inputs!$B$34+(ArtifactsInput!$M$7-ArtifactsInput!$M$7)*CHOOSE(ArtifactsInput!$N$7+1,6,7.2,8.4,9.6,10.8,12))/100))+MIN((Skills!T15*(1+(Inputs!$B$34+(ArtifactsInput!$M$7-ArtifactsInput!$M$7)*CHOOSE(ArtifactsInput!$N$7+1,6,7.2,8.4,9.6,10.8,12))/100)),MAX(0,Inputs!$B$43-((R2312-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Hunt"),CHOOSE(ArtifactsInput!$N$35+1,15,18,21,24,27,30)*(1-EXP(-(0.2*B2328)*5)),0)+IF(AND(ArtifactsInput!$M$22,Inputs!$B$4&lt;&gt;"Chapter Hunt"),CHOOSE(ArtifactsInput!$N$22+1,10,12,14,16,18,20)*((0*(((0.15*B2328*5))^0/1)+1*(((0.15*B2328*5))^1/1)+2*(((0.15*B2328*5))^2/2)+3*(((0.15*B2328*5))^3/6)+4*(((0.15*B2328*5))^4/24)+5*(((0.15*B2328*5))^5/120))/((((0.15*B2328*5))^0/1)+(((0.15*B2328*5))^1/1)+(((0.15*B2328*5))^2/2)+(((0.15*B2328*5))^3/6)+(((0.15*B2328*5))^4/24)+(((0.15*B2328*5))^5/120))),0)))/100)*I2304)</f>
        <v/>
      </c>
      <c r="L2304">
        <f>K2304*(MIN(Inputs!$B$22+((C2319=TRUE)*(F2319-Calc!F22)),(Inputs!$B$23+((C2321=TRUE)*(F2321-Calc!F24))+(IF(ArtifactsInput!$M$15,CHOOSE(ArtifactsInput!$N$15+1,25,30,35,40,45,50)/100*(Inputs!$B$11-Inputs!$B$11),0))))/100+(Inputs!$B$23+((C2321=TRUE)*(F2321-Calc!F24))+(IF(ArtifactsInput!$M$15,CHOOSE(ArtifactsInput!$N$15+1,25,30,35,40,45,50)/100*(Inputs!$B$11-Inputs!$B$11),0)))/100)/2</f>
        <v/>
      </c>
      <c r="M2304">
        <f>L2304*(1+(Inputs!$B$10+0+B2331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04">
        <f>L2304*(1-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2304*(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04">
        <f>(1-Summary!$B$11)*T2304+Summary!$B$11*V2304</f>
        <v/>
      </c>
      <c r="P2304">
        <f>IF(B2336=0,0,O2304/B2336)</f>
        <v/>
      </c>
      <c r="Q2304">
        <f>IFERROR(1/(IF(Inputs!$B$38="pvp",15,MAX(0.1,Skills!D7-IF(Skills!E7=TRUE,Inputs!$B$32,0)))*(1-IF(AND(ArtifactsInput!$M$27,Inputs!$B$4="Chapter Hunt"),CHOOSE(ArtifactsInput!$N$27+1,20,24,28,32,36,40),0)/100)),0)</f>
        <v/>
      </c>
      <c r="R2304">
        <f>IF(AND(Inputs!$B$38&lt;&gt;"pvp",Inputs!$B$43&gt;0),IF(MAX(0,Inputs!$B$43-B2333)&lt;=0,0,(INT(MAX(0,Inputs!$B$43-B2333)/(IF(Inputs!$B$38="pvp",15,MAX(0.1,Skills!D7-IF(Skills!E7=TRUE,Inputs!$B$32,0)))*(1-IF(AND(ArtifactsInput!$M$27,Inputs!$B$4="Chapter Hunt"),CHOOSE(ArtifactsInput!$N$27+1,20,24,28,32,36,40),0)/100)))+1)),0)</f>
        <v/>
      </c>
      <c r="S2304">
        <f>IFERROR(O2304/N2304,0)</f>
        <v/>
      </c>
      <c r="T2304">
        <f>IF(C2304,(H2304*N2304*IF(AND(Inputs!$B$38&lt;&gt;"pvp",Inputs!$B$43&gt;0),((Skills!G7*((R2304-1)*IF(Skills!H7&gt;0,Skills!I7/Skills!H7,1)+IF(Skills!H7&gt;0,MIN(Skills!I7,MAX(0,MAX(0,Inputs!$B$43-B2333)-((R2304-1)*(IF(Inputs!$B$38="pvp",15,MAX(0.1,Skills!D7-IF(Skills!E7=TRUE,Inputs!$B$32,0)))*(1-IF(AND(ArtifactsInput!$M$27,Inputs!$B$4="Chapter Hunt"),CHOOSE(ArtifactsInput!$N$27+1,20,24,28,32,36,40),0)/100)))))/Skills!H7,1)))/Inputs!$B$43),G2304*Q2304)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2304*(1-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2304*(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2304*(1-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2304*(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04">
        <f>IF(C2304,(H2304*N2304*IF(AND(Inputs!$B$38&lt;&gt;"pvp",Inputs!$B$43&gt;0),((Skills!G7*((R2304-1)*IF(Skills!H7&gt;0,Skills!I7/Skills!H7,1)+IF(Skills!H7&gt;0,MIN(Skills!I7,MAX(0,MAX(0,Inputs!$B$43-B2333)-((R2304-1)*(IF(Inputs!$B$38="pvp",15,MAX(0.1,Skills!D7-IF(Skills!E7=TRUE,Inputs!$B$32,0)))*(1-IF(AND(ArtifactsInput!$M$27,Inputs!$B$4="Chapter Hunt"),CHOOSE(ArtifactsInput!$N$27+1,20,24,28,32,36,40),0)/100)))))/Skills!H7,1)))/Inputs!$B$43),G2304*Q2304)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05">
      <c r="A2305">
        <f>Skills!A8</f>
        <v/>
      </c>
      <c r="B2305">
        <f>Skills!B8</f>
        <v/>
      </c>
      <c r="C2305">
        <f>Inputs!$B$3&gt;=117</f>
        <v/>
      </c>
      <c r="D2305">
        <f>IF(Skills!C8=1,60+Inputs!$B$25+Inputs!$B$29,IF(Skills!C8=2,90+Inputs!$B$26+Inputs!$B$29,IF(Skills!C8=3,120+Inputs!$B$27+Inputs!$B$29,MAX(0,(Inputs!$B$3-100)*3)+Inputs!$B$28+Inputs!$B$29)))</f>
        <v/>
      </c>
      <c r="E2305">
        <f>INDEX(FactorTable!$B$2:$Y$301, MATCH(ROUND(MIN(300,MAX(1,D2305)),0), FactorTable!$A$2:$A$301,0), Skills!M8+1)</f>
        <v/>
      </c>
      <c r="F2305">
        <f>IF(Skills!N8=TRUE,(Skills!L8/10)*(E2305/1000),Skills!L8/10)+Skills!O8</f>
        <v/>
      </c>
      <c r="G2305">
        <f>Skills!G8*IF(Skills!H8&gt;0,Skills!I8/Skills!H8,1)</f>
        <v/>
      </c>
      <c r="H2305">
        <f>1-(1-Skills!J8/100)^Skills!K8</f>
        <v/>
      </c>
      <c r="I2305" t="inlineStr">
        <is>
          <t>1</t>
        </is>
      </c>
      <c r="J2305">
        <f>((Inputs!$B$6*(1+Inputs!$B$7/100))+(((Inputs!$B$12*(1+Inputs!$B$13/100))-(Inputs!$B$12*(1+Inputs!$B$13/100)))+0.25*(Inputs!$B$14-Inputs!$B$14))*(1+Inputs!$B$7/100))*(F2305/100)</f>
        <v/>
      </c>
      <c r="K2305">
        <f>J2305*(1+((Inputs!$B$12*(1+Inputs!$B$13/100))*0.01+Inputs!$B$14*0.0025)/100)*(1+Inputs!$B$15/100)*(1+Inputs!$B$16/100)*(5000/(6000+Inputs!$B$42*(1-(100*(1-(1-(Inputs!$B$19+0)/100)*(1-CHOOSE(ArtifactsInput!$N$40+1,5,6,7,8,9,10)/100)^(ArtifactsInput!$M$40-ArtifactsInput!$M$40)))/100)))*(1+(Inputs!$B$24+((C2322=TRUE)*(F2322-Calc!F25))+B2332)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8="ENHANCED_RAGING_BLOW",IF(Inputs!$B$3&gt;=134,MAX(0,IF(Inputs!$B$3&gt;=110,7,5)-5)*50,0),0)/100)*(1+(IF(Skills!A8="RAGING_BLOW",Inputs!$B$17+((C2318=TRUE)*(F2318-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2320=TRUE)*(F2320-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2310=TRUE)*F2310*IF(Inputs!$B$3&gt;=110,7,5))+((C2312=TRUE)*F2312*IF(AND(Inputs!$B$38&lt;&gt;"pvp",Inputs!$B$43&gt;0),(((R2312-1)*(Skills!T15*(1+(Inputs!$B$34+(ArtifactsInput!$M$7-ArtifactsInput!$M$7)*CHOOSE(ArtifactsInput!$N$7+1,6,7.2,8.4,9.6,10.8,12))/100))+MIN((Skills!T15*(1+(Inputs!$B$34+(ArtifactsInput!$M$7-ArtifactsInput!$M$7)*CHOOSE(ArtifactsInput!$N$7+1,6,7.2,8.4,9.6,10.8,12))/100)),MAX(0,Inputs!$B$43-((R2312-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Hunt"),CHOOSE(ArtifactsInput!$N$35+1,15,18,21,24,27,30)*(1-EXP(-(0.2*B2328)*5)),0)+IF(AND(ArtifactsInput!$M$22,Inputs!$B$4&lt;&gt;"Chapter Hunt"),CHOOSE(ArtifactsInput!$N$22+1,10,12,14,16,18,20)*((0*(((0.15*B2328*5))^0/1)+1*(((0.15*B2328*5))^1/1)+2*(((0.15*B2328*5))^2/2)+3*(((0.15*B2328*5))^3/6)+4*(((0.15*B2328*5))^4/24)+5*(((0.15*B2328*5))^5/120))/((((0.15*B2328*5))^0/1)+(((0.15*B2328*5))^1/1)+(((0.15*B2328*5))^2/2)+(((0.15*B2328*5))^3/6)+(((0.15*B2328*5))^4/24)+(((0.15*B2328*5))^5/120))),0)))/100)*I2305)</f>
        <v/>
      </c>
      <c r="L2305">
        <f>K2305*(MIN(Inputs!$B$22+((C2319=TRUE)*(F2319-Calc!F22)),(Inputs!$B$23+((C2321=TRUE)*(F2321-Calc!F24))+(IF(ArtifactsInput!$M$15,CHOOSE(ArtifactsInput!$N$15+1,25,30,35,40,45,50)/100*(Inputs!$B$11-Inputs!$B$11),0))))/100+(Inputs!$B$23+((C2321=TRUE)*(F2321-Calc!F24))+(IF(ArtifactsInput!$M$15,CHOOSE(ArtifactsInput!$N$15+1,25,30,35,40,45,50)/100*(Inputs!$B$11-Inputs!$B$11),0)))/100)/2</f>
        <v/>
      </c>
      <c r="M2305">
        <f>L2305*(1+(Inputs!$B$10+0+B2331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05">
        <f>L2305*(1-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2305*(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05">
        <f>(1-Summary!$B$11)*T2305+Summary!$B$11*V2305</f>
        <v/>
      </c>
      <c r="P2305">
        <f>IF(B2336=0,0,O2305/B2336)</f>
        <v/>
      </c>
      <c r="Q2305">
        <f>IFERROR(1/(IF(Inputs!$B$38="pvp",15,MAX(0.1,Skills!D8-IF(Skills!E8=TRUE,Inputs!$B$32,0)))*(1-IF(AND(ArtifactsInput!$M$27,Inputs!$B$4="Chapter Hunt"),CHOOSE(ArtifactsInput!$N$27+1,20,24,28,32,36,40),0)/100)),0)</f>
        <v/>
      </c>
      <c r="R2305">
        <f>IF(AND(Inputs!$B$38&lt;&gt;"pvp",Inputs!$B$43&gt;0),IF(MAX(0,Inputs!$B$43-B2333)&lt;=0,0,(INT(MAX(0,Inputs!$B$43-B2333)/(IF(Inputs!$B$38="pvp",15,MAX(0.1,Skills!D8-IF(Skills!E8=TRUE,Inputs!$B$32,0)))*(1-IF(AND(ArtifactsInput!$M$27,Inputs!$B$4="Chapter Hunt"),CHOOSE(ArtifactsInput!$N$27+1,20,24,28,32,36,40),0)/100)))+1)),0)</f>
        <v/>
      </c>
      <c r="S2305">
        <f>IFERROR(O2305/N2305,0)</f>
        <v/>
      </c>
      <c r="T2305">
        <f>IF(C2305,(H2305*N2305*IF(AND(Inputs!$B$38&lt;&gt;"pvp",Inputs!$B$43&gt;0),((Skills!G8*((R2305-1)*IF(Skills!H8&gt;0,Skills!I8/Skills!H8,1)+IF(Skills!H8&gt;0,MIN(Skills!I8,MAX(0,MAX(0,Inputs!$B$43-B2333)-((R2305-1)*(IF(Inputs!$B$38="pvp",15,MAX(0.1,Skills!D8-IF(Skills!E8=TRUE,Inputs!$B$32,0)))*(1-IF(AND(ArtifactsInput!$M$27,Inputs!$B$4="Chapter Hunt"),CHOOSE(ArtifactsInput!$N$27+1,20,24,28,32,36,40),0)/100)))))/Skills!H8,1)))/Inputs!$B$43),G2305*Q2305)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2305*(1-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2305*(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2305*(1-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2305*(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05">
        <f>IF(C2305,(H2305*N2305*IF(AND(Inputs!$B$38&lt;&gt;"pvp",Inputs!$B$43&gt;0),((Skills!G8*((R2305-1)*IF(Skills!H8&gt;0,Skills!I8/Skills!H8,1)+IF(Skills!H8&gt;0,MIN(Skills!I8,MAX(0,MAX(0,Inputs!$B$43-B2333)-((R2305-1)*(IF(Inputs!$B$38="pvp",15,MAX(0.1,Skills!D8-IF(Skills!E8=TRUE,Inputs!$B$32,0)))*(1-IF(AND(ArtifactsInput!$M$27,Inputs!$B$4="Chapter Hunt"),CHOOSE(ArtifactsInput!$N$27+1,20,24,28,32,36,40),0)/100)))))/Skills!H8,1)))/Inputs!$B$43),G2305*Q2305)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06">
      <c r="A2306">
        <f>Skills!A9</f>
        <v/>
      </c>
      <c r="B2306">
        <f>Skills!B9</f>
        <v/>
      </c>
      <c r="C2306">
        <f>Inputs!$B$3&gt;=69</f>
        <v/>
      </c>
      <c r="D2306">
        <f>IF(Skills!C9=1,60+Inputs!$B$25+Inputs!$B$29,IF(Skills!C9=2,90+Inputs!$B$26+Inputs!$B$29,IF(Skills!C9=3,120+Inputs!$B$27+Inputs!$B$29,MAX(0,(Inputs!$B$3-100)*3)+Inputs!$B$28+Inputs!$B$29)))</f>
        <v/>
      </c>
      <c r="E2306">
        <f>INDEX(FactorTable!$B$2:$Y$301, MATCH(ROUND(MIN(300,MAX(1,D2306)),0), FactorTable!$A$2:$A$301,0), Skills!M9+1)</f>
        <v/>
      </c>
      <c r="F2306">
        <f>IF(Skills!N9=TRUE,(Skills!L9/10)*(E2306/1000),Skills!L9/10)+Skills!O9</f>
        <v/>
      </c>
      <c r="G2306">
        <f>Skills!G9*IF(Skills!H9&gt;0,Skills!I9/Skills!H9,1)</f>
        <v/>
      </c>
      <c r="H2306">
        <f>1-(1-Skills!J9/100)^Skills!K9</f>
        <v/>
      </c>
      <c r="I2306" t="inlineStr">
        <is>
          <t>1</t>
        </is>
      </c>
      <c r="J2306">
        <f>((Inputs!$B$6*(1+Inputs!$B$7/100))+(((Inputs!$B$12*(1+Inputs!$B$13/100))-(Inputs!$B$12*(1+Inputs!$B$13/100)))+0.25*(Inputs!$B$14-Inputs!$B$14))*(1+Inputs!$B$7/100))*(F2306/100)</f>
        <v/>
      </c>
      <c r="K2306">
        <f>J2306*(1+((Inputs!$B$12*(1+Inputs!$B$13/100))*0.01+Inputs!$B$14*0.0025)/100)*(1+Inputs!$B$15/100)*(1+Inputs!$B$16/100)*(5000/(6000+Inputs!$B$42*(1-(100*(1-(1-(Inputs!$B$19+0)/100)*(1-CHOOSE(ArtifactsInput!$N$40+1,5,6,7,8,9,10)/100)^(ArtifactsInput!$M$40-ArtifactsInput!$M$40)))/100)))*(1+(Inputs!$B$24+((C2322=TRUE)*(F2322-Calc!F25))+B2332)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+1.0*IF(C2309=TRUE,F2309,0)/100)*(1+IF(Skills!A9="ENHANCED_RAGING_BLOW",IF(Inputs!$B$3&gt;=134,MAX(0,IF(Inputs!$B$3&gt;=110,7,5)-5)*50,0),0)/100)*(1+(IF(Skills!A9="RAGING_BLOW",Inputs!$B$17+((C2318=TRUE)*(F2318-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2320=TRUE)*(F2320-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2310=TRUE)*F2310*IF(Inputs!$B$3&gt;=110,7,5))+((C2312=TRUE)*F2312*IF(AND(Inputs!$B$38&lt;&gt;"pvp",Inputs!$B$43&gt;0),(((R2312-1)*(Skills!T15*(1+(Inputs!$B$34+(ArtifactsInput!$M$7-ArtifactsInput!$M$7)*CHOOSE(ArtifactsInput!$N$7+1,6,7.2,8.4,9.6,10.8,12))/100))+MIN((Skills!T15*(1+(Inputs!$B$34+(ArtifactsInput!$M$7-ArtifactsInput!$M$7)*CHOOSE(ArtifactsInput!$N$7+1,6,7.2,8.4,9.6,10.8,12))/100)),MAX(0,Inputs!$B$43-((R2312-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Hunt"),CHOOSE(ArtifactsInput!$N$35+1,15,18,21,24,27,30)*(1-EXP(-(0.2*B2328)*5)),0)+IF(AND(ArtifactsInput!$M$22,Inputs!$B$4&lt;&gt;"Chapter Hunt"),CHOOSE(ArtifactsInput!$N$22+1,10,12,14,16,18,20)*((0*(((0.15*B2328*5))^0/1)+1*(((0.15*B2328*5))^1/1)+2*(((0.15*B2328*5))^2/2)+3*(((0.15*B2328*5))^3/6)+4*(((0.15*B2328*5))^4/24)+5*(((0.15*B2328*5))^5/120))/((((0.15*B2328*5))^0/1)+(((0.15*B2328*5))^1/1)+(((0.15*B2328*5))^2/2)+(((0.15*B2328*5))^3/6)+(((0.15*B2328*5))^4/24)+(((0.15*B2328*5))^5/120))),0)))/100)*I2306)</f>
        <v/>
      </c>
      <c r="L2306">
        <f>K2306*(MIN(Inputs!$B$22+((C2319=TRUE)*(F2319-Calc!F22)),(Inputs!$B$23+((C2321=TRUE)*(F2321-Calc!F24))+(IF(ArtifactsInput!$M$15,CHOOSE(ArtifactsInput!$N$15+1,25,30,35,40,45,50)/100*(Inputs!$B$11-Inputs!$B$11),0))))/100+(Inputs!$B$23+((C2321=TRUE)*(F2321-Calc!F24))+(IF(ArtifactsInput!$M$15,CHOOSE(ArtifactsInput!$N$15+1,25,30,35,40,45,50)/100*(Inputs!$B$11-Inputs!$B$11),0)))/100)/2</f>
        <v/>
      </c>
      <c r="M2306">
        <f>L2306*(1+(Inputs!$B$10+0+B2331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06">
        <f>L2306*(1-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2306*(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06">
        <f>(1-Summary!$B$11)*T2306+Summary!$B$11*V2306</f>
        <v/>
      </c>
      <c r="P2306">
        <f>IF(B2336=0,0,O2306/B2336)</f>
        <v/>
      </c>
      <c r="Q2306">
        <f>IFERROR(1/(IF(Inputs!$B$38="pvp",15,MAX(0.1,Skills!D9-IF(Skills!E9=TRUE,Inputs!$B$32,0)))*(1-IF(AND(ArtifactsInput!$M$27,Inputs!$B$4="Chapter Hunt"),CHOOSE(ArtifactsInput!$N$27+1,20,24,28,32,36,40),0)/100)),0)</f>
        <v/>
      </c>
      <c r="R2306">
        <f>IF(AND(Inputs!$B$38&lt;&gt;"pvp",Inputs!$B$43&gt;0),IF(MAX(0,Inputs!$B$43-B2333)&lt;=0,0,(INT(MAX(0,Inputs!$B$43-B2333)/(IF(Inputs!$B$38="pvp",15,MAX(0.1,Skills!D9-IF(Skills!E9=TRUE,Inputs!$B$32,0)))*(1-IF(AND(ArtifactsInput!$M$27,Inputs!$B$4="Chapter Hunt"),CHOOSE(ArtifactsInput!$N$27+1,20,24,28,32,36,40),0)/100)))+1)),0)</f>
        <v/>
      </c>
      <c r="S2306">
        <f>IFERROR(O2306/N2306,0)</f>
        <v/>
      </c>
      <c r="T2306">
        <f>IF(C2306,(H2306*N2306*IF(AND(Inputs!$B$38&lt;&gt;"pvp",Inputs!$B$43&gt;0),((Skills!G9*((R2306-1)*IF(Skills!H9&gt;0,Skills!I9/Skills!H9,1)+IF(Skills!H9&gt;0,MIN(Skills!I9,MAX(0,MAX(0,Inputs!$B$43-B2333)-((R2306-1)*(IF(Inputs!$B$38="pvp",15,MAX(0.1,Skills!D9-IF(Skills!E9=TRUE,Inputs!$B$32,0)))*(1-IF(AND(ArtifactsInput!$M$27,Inputs!$B$4="Chapter Hunt"),CHOOSE(ArtifactsInput!$N$27+1,20,24,28,32,36,40),0)/100)))))/Skills!H9,1)))/Inputs!$B$43),G2306*Q2306)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2306*(1-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2306*(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2306*(1-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2306*(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06">
        <f>IF(C2306,(H2306*N2306*IF(AND(Inputs!$B$38&lt;&gt;"pvp",Inputs!$B$43&gt;0),((Skills!G9*((R2306-1)*IF(Skills!H9&gt;0,Skills!I9/Skills!H9,1)+IF(Skills!H9&gt;0,MIN(Skills!I9,MAX(0,MAX(0,Inputs!$B$43-B2333)-((R2306-1)*(IF(Inputs!$B$38="pvp",15,MAX(0.1,Skills!D9-IF(Skills!E9=TRUE,Inputs!$B$32,0)))*(1-IF(AND(ArtifactsInput!$M$27,Inputs!$B$4="Chapter Hunt"),CHOOSE(ArtifactsInput!$N$27+1,20,24,28,32,36,40),0)/100)))))/Skills!H9,1)))/Inputs!$B$43),G2306*Q2306)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07">
      <c r="A2307">
        <f>Skills!A10</f>
        <v/>
      </c>
      <c r="B2307">
        <f>Skills!B10</f>
        <v/>
      </c>
      <c r="C2307">
        <f>Inputs!$B$3&gt;=63</f>
        <v/>
      </c>
      <c r="D2307">
        <f>IF(Skills!C10=1,60+Inputs!$B$25+Inputs!$B$29,IF(Skills!C10=2,90+Inputs!$B$26+Inputs!$B$29,IF(Skills!C10=3,120+Inputs!$B$27+Inputs!$B$29,MAX(0,(Inputs!$B$3-100)*3)+Inputs!$B$28+Inputs!$B$29)))</f>
        <v/>
      </c>
      <c r="E2307">
        <f>INDEX(FactorTable!$B$2:$Y$301, MATCH(ROUND(MIN(300,MAX(1,D2307)),0), FactorTable!$A$2:$A$301,0), Skills!M10+1)</f>
        <v/>
      </c>
      <c r="F2307">
        <f>IF(Skills!N10=TRUE,(Skills!L10/10)*(E2307/1000),Skills!L10/10)+Skills!O10</f>
        <v/>
      </c>
      <c r="G2307">
        <f>Skills!G10*IF(Skills!H10&gt;0,Skills!I10/Skills!H10,1)</f>
        <v/>
      </c>
      <c r="H2307">
        <f>1-(1-Skills!J10/100)^Skills!K10</f>
        <v/>
      </c>
      <c r="I2307" t="inlineStr">
        <is>
          <t>1</t>
        </is>
      </c>
      <c r="J2307">
        <f>((Inputs!$B$6*(1+Inputs!$B$7/100))+(((Inputs!$B$12*(1+Inputs!$B$13/100))-(Inputs!$B$12*(1+Inputs!$B$13/100)))+0.25*(Inputs!$B$14-Inputs!$B$14))*(1+Inputs!$B$7/100))*(F2307/100)</f>
        <v/>
      </c>
      <c r="K2307">
        <f>J2307*(1+((Inputs!$B$12*(1+Inputs!$B$13/100))*0.01+Inputs!$B$14*0.0025)/100)*(1+Inputs!$B$15/100)*(1+Inputs!$B$16/100)*(5000/(6000+Inputs!$B$42*(1-(100*(1-(1-(Inputs!$B$19+0)/100)*(1-CHOOSE(ArtifactsInput!$N$40+1,5,6,7,8,9,10)/100)^(ArtifactsInput!$M$40-ArtifactsInput!$M$40)))/100)))*(1+(Inputs!$B$24+((C2322=TRUE)*(F2322-Calc!F25))+B2332)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+1.5*IF(C2309=TRUE,F2309,0)/100)*(1+IF(Skills!A10="ENHANCED_RAGING_BLOW",IF(Inputs!$B$3&gt;=134,MAX(0,IF(Inputs!$B$3&gt;=110,7,5)-5)*50,0),0)/100)*(1+(IF(Skills!A10="RAGING_BLOW",Inputs!$B$17+((C2318=TRUE)*(F2318-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2320=TRUE)*(F2320-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2310=TRUE)*F2310*IF(Inputs!$B$3&gt;=110,7,5))+((C2312=TRUE)*F2312*IF(AND(Inputs!$B$38&lt;&gt;"pvp",Inputs!$B$43&gt;0),(((R2312-1)*(Skills!T15*(1+(Inputs!$B$34+(ArtifactsInput!$M$7-ArtifactsInput!$M$7)*CHOOSE(ArtifactsInput!$N$7+1,6,7.2,8.4,9.6,10.8,12))/100))+MIN((Skills!T15*(1+(Inputs!$B$34+(ArtifactsInput!$M$7-ArtifactsInput!$M$7)*CHOOSE(ArtifactsInput!$N$7+1,6,7.2,8.4,9.6,10.8,12))/100)),MAX(0,Inputs!$B$43-((R2312-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Hunt"),CHOOSE(ArtifactsInput!$N$35+1,15,18,21,24,27,30)*(1-EXP(-(0.2*B2328)*5)),0)+IF(AND(ArtifactsInput!$M$22,Inputs!$B$4&lt;&gt;"Chapter Hunt"),CHOOSE(ArtifactsInput!$N$22+1,10,12,14,16,18,20)*((0*(((0.15*B2328*5))^0/1)+1*(((0.15*B2328*5))^1/1)+2*(((0.15*B2328*5))^2/2)+3*(((0.15*B2328*5))^3/6)+4*(((0.15*B2328*5))^4/24)+5*(((0.15*B2328*5))^5/120))/((((0.15*B2328*5))^0/1)+(((0.15*B2328*5))^1/1)+(((0.15*B2328*5))^2/2)+(((0.15*B2328*5))^3/6)+(((0.15*B2328*5))^4/24)+(((0.15*B2328*5))^5/120))),0)))/100)*I2307)</f>
        <v/>
      </c>
      <c r="L2307">
        <f>K2307*(MIN(Inputs!$B$22+((C2319=TRUE)*(F2319-Calc!F22)),(Inputs!$B$23+((C2321=TRUE)*(F2321-Calc!F24))+(IF(ArtifactsInput!$M$15,CHOOSE(ArtifactsInput!$N$15+1,25,30,35,40,45,50)/100*(Inputs!$B$11-Inputs!$B$11),0))))/100+(Inputs!$B$23+((C2321=TRUE)*(F2321-Calc!F24))+(IF(ArtifactsInput!$M$15,CHOOSE(ArtifactsInput!$N$15+1,25,30,35,40,45,50)/100*(Inputs!$B$11-Inputs!$B$11),0)))/100)/2</f>
        <v/>
      </c>
      <c r="M2307">
        <f>L2307*(1+(Inputs!$B$10+0+B2331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07">
        <f>L2307*(1-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2307*(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07">
        <f>(1-Summary!$B$11)*T2307+Summary!$B$11*V2307</f>
        <v/>
      </c>
      <c r="P2307">
        <f>IF(B2336=0,0,O2307/B2336)</f>
        <v/>
      </c>
      <c r="Q2307">
        <f>IFERROR(1/(IF(Inputs!$B$38="pvp",15,MAX(0.1,Skills!D10-IF(Skills!E10=TRUE,Inputs!$B$32,0)))*(1-IF(AND(ArtifactsInput!$M$27,Inputs!$B$4="Chapter Hunt"),CHOOSE(ArtifactsInput!$N$27+1,20,24,28,32,36,40),0)/100)),0)</f>
        <v/>
      </c>
      <c r="R2307">
        <f>IF(AND(Inputs!$B$38&lt;&gt;"pvp",Inputs!$B$43&gt;0),IF(MAX(0,Inputs!$B$43-B2333)&lt;=0,0,(INT(MAX(0,Inputs!$B$43-B2333)/(IF(Inputs!$B$38="pvp",15,MAX(0.1,Skills!D10-IF(Skills!E10=TRUE,Inputs!$B$32,0)))*(1-IF(AND(ArtifactsInput!$M$27,Inputs!$B$4="Chapter Hunt"),CHOOSE(ArtifactsInput!$N$27+1,20,24,28,32,36,40),0)/100)))+1)),0)</f>
        <v/>
      </c>
      <c r="S2307">
        <f>IFERROR(O2307/N2307,0)</f>
        <v/>
      </c>
      <c r="T2307">
        <f>IF(C2307,(H2307*N2307*IF(AND(Inputs!$B$38&lt;&gt;"pvp",Inputs!$B$43&gt;0),((Skills!G10*((R2307-1)*IF(Skills!H10&gt;0,Skills!I10/Skills!H10,1)+IF(Skills!H10&gt;0,MIN(Skills!I10,MAX(0,MAX(0,Inputs!$B$43-B2333)-((R2307-1)*(IF(Inputs!$B$38="pvp",15,MAX(0.1,Skills!D10-IF(Skills!E10=TRUE,Inputs!$B$32,0)))*(1-IF(AND(ArtifactsInput!$M$27,Inputs!$B$4="Chapter Hunt"),CHOOSE(ArtifactsInput!$N$27+1,20,24,28,32,36,40),0)/100)))))/Skills!H10,1)))/Inputs!$B$43),G2307*Q2307)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2307*(1-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2307*(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2307*(1-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2307*(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07">
        <f>IF(C2307,(H2307*N2307*IF(AND(Inputs!$B$38&lt;&gt;"pvp",Inputs!$B$43&gt;0),((Skills!G10*((R2307-1)*IF(Skills!H10&gt;0,Skills!I10/Skills!H10,1)+IF(Skills!H10&gt;0,MIN(Skills!I10,MAX(0,MAX(0,Inputs!$B$43-B2333)-((R2307-1)*(IF(Inputs!$B$38="pvp",15,MAX(0.1,Skills!D10-IF(Skills!E10=TRUE,Inputs!$B$32,0)))*(1-IF(AND(ArtifactsInput!$M$27,Inputs!$B$4="Chapter Hunt"),CHOOSE(ArtifactsInput!$N$27+1,20,24,28,32,36,40),0)/100)))))/Skills!H10,1)))/Inputs!$B$43),G2307*Q2307)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08">
      <c r="A2308">
        <f>Skills!A11</f>
        <v/>
      </c>
      <c r="B2308">
        <f>Skills!B11</f>
        <v/>
      </c>
      <c r="C2308">
        <f>Inputs!$B$3&gt;=35</f>
        <v/>
      </c>
      <c r="D2308">
        <f>IF(Skills!C11=1,60+Inputs!$B$25+Inputs!$B$29,IF(Skills!C11=2,90+Inputs!$B$26+Inputs!$B$29,IF(Skills!C11=3,120+Inputs!$B$27+Inputs!$B$29,MAX(0,(Inputs!$B$3-100)*3)+Inputs!$B$28+Inputs!$B$29)))</f>
        <v/>
      </c>
      <c r="E2308">
        <f>INDEX(FactorTable!$B$2:$Y$301, MATCH(ROUND(MIN(300,MAX(1,D2308)),0), FactorTable!$A$2:$A$301,0), Skills!M11+1)</f>
        <v/>
      </c>
      <c r="F2308">
        <f>IF(Skills!N11=TRUE,(Skills!L11/10)*(E2308/1000),Skills!L11/10)+Skills!O11</f>
        <v/>
      </c>
      <c r="G2308">
        <f>Skills!G11*IF(Skills!H11&gt;0,Skills!I11/Skills!H11,1)</f>
        <v/>
      </c>
      <c r="H2308">
        <f>1-(1-Skills!J11/100)^Skills!K11</f>
        <v/>
      </c>
      <c r="I2308" t="inlineStr">
        <is>
          <t>1</t>
        </is>
      </c>
      <c r="J2308">
        <f>((Inputs!$B$6*(1+Inputs!$B$7/100))+(((Inputs!$B$12*(1+Inputs!$B$13/100))-(Inputs!$B$12*(1+Inputs!$B$13/100)))+0.25*(Inputs!$B$14-Inputs!$B$14))*(1+Inputs!$B$7/100))*(F2308/100)</f>
        <v/>
      </c>
      <c r="K2308">
        <f>J2308*(1+((Inputs!$B$12*(1+Inputs!$B$13/100))*0.01+Inputs!$B$14*0.0025)/100)*(1+Inputs!$B$15/100)*(1+Inputs!$B$16/100)*(5000/(6000+Inputs!$B$42*(1-(100*(1-(1-(Inputs!$B$19+0)/100)*(1-CHOOSE(ArtifactsInput!$N$40+1,5,6,7,8,9,10)/100)^(ArtifactsInput!$M$40-ArtifactsInput!$M$40)))/100)))*(1+(Inputs!$B$24+((C2322=TRUE)*(F2322-Calc!F25))+B2332)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+4.0*IF(C2309=TRUE,F2309,0)/100)*(1+IF(Skills!A11="ENHANCED_RAGING_BLOW",IF(Inputs!$B$3&gt;=134,MAX(0,IF(Inputs!$B$3&gt;=110,7,5)-5)*50,0),0)/100)*(1+(IF(Skills!A11="RAGING_BLOW",Inputs!$B$17+((C2318=TRUE)*(F2318-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2320=TRUE)*(F2320-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2310=TRUE)*F2310*IF(Inputs!$B$3&gt;=110,7,5))+((C2312=TRUE)*F2312*IF(AND(Inputs!$B$38&lt;&gt;"pvp",Inputs!$B$43&gt;0),(((R2312-1)*(Skills!T15*(1+(Inputs!$B$34+(ArtifactsInput!$M$7-ArtifactsInput!$M$7)*CHOOSE(ArtifactsInput!$N$7+1,6,7.2,8.4,9.6,10.8,12))/100))+MIN((Skills!T15*(1+(Inputs!$B$34+(ArtifactsInput!$M$7-ArtifactsInput!$M$7)*CHOOSE(ArtifactsInput!$N$7+1,6,7.2,8.4,9.6,10.8,12))/100)),MAX(0,Inputs!$B$43-((R2312-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Hunt"),CHOOSE(ArtifactsInput!$N$35+1,15,18,21,24,27,30)*(1-EXP(-(0.2*B2328)*5)),0)+IF(AND(ArtifactsInput!$M$22,Inputs!$B$4&lt;&gt;"Chapter Hunt"),CHOOSE(ArtifactsInput!$N$22+1,10,12,14,16,18,20)*((0*(((0.15*B2328*5))^0/1)+1*(((0.15*B2328*5))^1/1)+2*(((0.15*B2328*5))^2/2)+3*(((0.15*B2328*5))^3/6)+4*(((0.15*B2328*5))^4/24)+5*(((0.15*B2328*5))^5/120))/((((0.15*B2328*5))^0/1)+(((0.15*B2328*5))^1/1)+(((0.15*B2328*5))^2/2)+(((0.15*B2328*5))^3/6)+(((0.15*B2328*5))^4/24)+(((0.15*B2328*5))^5/120))),0)))/100)*I2308)</f>
        <v/>
      </c>
      <c r="L2308">
        <f>K2308*(MIN(Inputs!$B$22+((C2319=TRUE)*(F2319-Calc!F22)),(Inputs!$B$23+((C2321=TRUE)*(F2321-Calc!F24))+(IF(ArtifactsInput!$M$15,CHOOSE(ArtifactsInput!$N$15+1,25,30,35,40,45,50)/100*(Inputs!$B$11-Inputs!$B$11),0))))/100+(Inputs!$B$23+((C2321=TRUE)*(F2321-Calc!F24))+(IF(ArtifactsInput!$M$15,CHOOSE(ArtifactsInput!$N$15+1,25,30,35,40,45,50)/100*(Inputs!$B$11-Inputs!$B$11),0)))/100)/2</f>
        <v/>
      </c>
      <c r="M2308">
        <f>L2308*(1+(Inputs!$B$10+0+B2331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08">
        <f>L2308*(1-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2308*(MIN((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08">
        <f>(1-Summary!$B$11)*T2308+Summary!$B$11*V2308</f>
        <v/>
      </c>
      <c r="P2308">
        <f>IF(B2336=0,0,O2308/B2336)</f>
        <v/>
      </c>
      <c r="Q2308">
        <f>IFERROR(1/(IF(Inputs!$B$38="pvp",15,MAX(0.1,Skills!D11-IF(Skills!E11=TRUE,Inputs!$B$32,0)))*(1-IF(AND(ArtifactsInput!$M$27,Inputs!$B$4="Chapter Hunt"),CHOOSE(ArtifactsInput!$N$27+1,20,24,28,32,36,40),0)/100)),0)</f>
        <v/>
      </c>
      <c r="R2308">
        <f>IF(AND(Inputs!$B$38&lt;&gt;"pvp",Inputs!$B$43&gt;0),IF(MAX(0,Inputs!$B$43-B2333)&lt;=0,0,(INT(MAX(0,Inputs!$B$43-B2333)/(IF(Inputs!$B$38="pvp",15,MAX(0.1,Skills!D11-IF(Skills!E11=TRUE,Inputs!$B$32,0)))*(1-IF(AND(ArtifactsInput!$M$27,Inputs!$B$4="Chapter Hunt"),CHOOSE(ArtifactsInput!$N$27+1,20,24,28,32,36,40),0)/100)))+1)),0)</f>
        <v/>
      </c>
      <c r="S2308">
        <f>IFERROR(O2308/N2308,0)</f>
        <v/>
      </c>
      <c r="T2308">
        <f>IF(C2308,(H2308*N2308*IF(AND(Inputs!$B$38&lt;&gt;"pvp",Inputs!$B$43&gt;0),((Skills!G11*((R2308-1)*IF(Skills!H11&gt;0,Skills!I11/Skills!H11,1)+IF(Skills!H11&gt;0,MIN(Skills!I11,MAX(0,MAX(0,Inputs!$B$43-B2333)-((R2308-1)*(IF(Inputs!$B$38="pvp",15,MAX(0.1,Skills!D11-IF(Skills!E11=TRUE,Inputs!$B$32,0)))*(1-IF(AND(ArtifactsInput!$M$27,Inputs!$B$4="Chapter Hunt"),CHOOSE(ArtifactsInput!$N$27+1,20,24,28,32,36,40),0)/100)))))/Skills!H11,1)))/Inputs!$B$43),G2308*Q2308)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2308*(1-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2308*(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2308*(1-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2308*(MIN(100,(Inputs!$B$9+((C2323=TRUE)*(F2323-Calc!F26))+B2326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08">
        <f>IF(C2308,(H2308*N2308*IF(AND(Inputs!$B$38&lt;&gt;"pvp",Inputs!$B$43&gt;0),((Skills!G11*((R2308-1)*IF(Skills!H11&gt;0,Skills!I11/Skills!H11,1)+IF(Skills!H11&gt;0,MIN(Skills!I11,MAX(0,MAX(0,Inputs!$B$43-B2333)-((R2308-1)*(IF(Inputs!$B$38="pvp",15,MAX(0.1,Skills!D11-IF(Skills!E11=TRUE,Inputs!$B$32,0)))*(1-IF(AND(ArtifactsInput!$M$27,Inputs!$B$4="Chapter Hunt"),CHOOSE(ArtifactsInput!$N$27+1,20,24,28,32,36,40),0)/100)))))/Skills!H11,1)))/Inputs!$B$43),G2308*Q2308)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09">
      <c r="A2309">
        <f>Skills!A12</f>
        <v/>
      </c>
      <c r="B2309">
        <f>Skills!B12</f>
        <v/>
      </c>
      <c r="C2309">
        <f>Inputs!$B$3&gt;=100</f>
        <v/>
      </c>
      <c r="D2309">
        <f>IF(Skills!C12=1,60+Inputs!$B$25+Inputs!$B$29,IF(Skills!C12=2,90+Inputs!$B$26+Inputs!$B$29,IF(Skills!C12=3,120+Inputs!$B$27+Inputs!$B$29,MAX(0,(Inputs!$B$3-100)*3)+Inputs!$B$28+Inputs!$B$29)))</f>
        <v/>
      </c>
      <c r="E2309">
        <f>INDEX(FactorTable!$B$2:$Y$301, MATCH(ROUND(MIN(300,MAX(1,D2309)),0), FactorTable!$A$2:$A$301,0), Skills!M12+1)</f>
        <v/>
      </c>
      <c r="F2309">
        <f>IF(Skills!N12=TRUE,(Skills!L12/10)*(E2309/1000),Skills!L12/10)+Skills!O12</f>
        <v/>
      </c>
      <c r="G2309" t="inlineStr"/>
      <c r="H2309" t="inlineStr"/>
      <c r="I2309" t="inlineStr">
        <is>
          <t>1</t>
        </is>
      </c>
      <c r="J2309" t="inlineStr"/>
      <c r="K2309" t="inlineStr"/>
      <c r="L2309" t="inlineStr"/>
      <c r="M2309" t="inlineStr"/>
      <c r="N2309" t="inlineStr"/>
      <c r="O2309" t="inlineStr"/>
      <c r="P2309" t="inlineStr"/>
      <c r="Q2309" t="inlineStr"/>
      <c r="R2309" t="inlineStr"/>
      <c r="S2309" t="inlineStr"/>
    </row>
    <row r="2310">
      <c r="A2310">
        <f>Skills!A13</f>
        <v/>
      </c>
      <c r="B2310">
        <f>Skills!B13</f>
        <v/>
      </c>
      <c r="C2310">
        <f>Inputs!$B$3&gt;=45</f>
        <v/>
      </c>
      <c r="D2310">
        <f>IF(Skills!C13=1,60+Inputs!$B$25+Inputs!$B$29,IF(Skills!C13=2,90+Inputs!$B$26+Inputs!$B$29,IF(Skills!C13=3,120+Inputs!$B$27+Inputs!$B$29,MAX(0,(Inputs!$B$3-100)*3)+Inputs!$B$28+Inputs!$B$29)))</f>
        <v/>
      </c>
      <c r="E2310">
        <f>INDEX(FactorTable!$B$2:$Y$301, MATCH(ROUND(MIN(300,MAX(1,D2310)),0), FactorTable!$A$2:$A$301,0), Skills!M13+1)</f>
        <v/>
      </c>
      <c r="F2310">
        <f>IF(Skills!N13=TRUE,(Skills!L13/10)*(E2310/1000),Skills!L13/10)+Skills!O13</f>
        <v/>
      </c>
      <c r="G2310">
        <f>Skills!G13*IF(Skills!H13&gt;0,Skills!I13/Skills!H13,1)</f>
        <v/>
      </c>
      <c r="H2310">
        <f>1-(1-Skills!J13/100)^Skills!K13</f>
        <v/>
      </c>
      <c r="I2310" t="inlineStr">
        <is>
          <t>1</t>
        </is>
      </c>
      <c r="J2310" t="inlineStr"/>
      <c r="K2310" t="inlineStr"/>
      <c r="L2310" t="inlineStr"/>
      <c r="M2310" t="inlineStr"/>
      <c r="N2310" t="inlineStr"/>
      <c r="O2310">
        <f>(1-Summary!$B$11)*T2310+Summary!$B$11*V2310</f>
        <v/>
      </c>
      <c r="P2310">
        <f>IF(B2336=0,0,O2310/B2336)</f>
        <v/>
      </c>
      <c r="Q2310" t="n">
        <v>0</v>
      </c>
      <c r="R2310" t="n">
        <v>0</v>
      </c>
      <c r="S2310">
        <f>IFERROR(O2310/N2310,0)</f>
        <v/>
      </c>
      <c r="T2310" t="n">
        <v>0</v>
      </c>
      <c r="V2310" t="n">
        <v>0</v>
      </c>
    </row>
    <row r="2311">
      <c r="A2311">
        <f>Skills!A14</f>
        <v/>
      </c>
      <c r="B2311">
        <f>Skills!B14</f>
        <v/>
      </c>
      <c r="C2311">
        <f>Inputs!$B$3&gt;=75</f>
        <v/>
      </c>
      <c r="D2311">
        <f>IF(Skills!C14=1,60+Inputs!$B$25+Inputs!$B$29,IF(Skills!C14=2,90+Inputs!$B$26+Inputs!$B$29,IF(Skills!C14=3,120+Inputs!$B$27+Inputs!$B$29,MAX(0,(Inputs!$B$3-100)*3)+Inputs!$B$28+Inputs!$B$29)))</f>
        <v/>
      </c>
      <c r="E2311">
        <f>INDEX(FactorTable!$B$2:$Y$301, MATCH(ROUND(MIN(300,MAX(1,D2311)),0), FactorTable!$A$2:$A$301,0), Skills!M14+1)</f>
        <v/>
      </c>
      <c r="F2311">
        <f>IF(Skills!N14=TRUE,(Skills!L14/10)*(E2311/1000),Skills!L14/10)+Skills!O14</f>
        <v/>
      </c>
      <c r="G2311">
        <f>Skills!G14*IF(Skills!H14&gt;0,Skills!I14/Skills!H14,1)</f>
        <v/>
      </c>
      <c r="H2311">
        <f>1-(1-Skills!J14/100)^Skills!K14</f>
        <v/>
      </c>
      <c r="I2311" t="inlineStr">
        <is>
          <t>1</t>
        </is>
      </c>
      <c r="J2311" t="inlineStr"/>
      <c r="K2311" t="inlineStr"/>
      <c r="L2311" t="inlineStr"/>
      <c r="M2311" t="inlineStr"/>
      <c r="N2311" t="inlineStr"/>
      <c r="O2311">
        <f>(1-Summary!$B$11)*T2311+Summary!$B$11*V2311</f>
        <v/>
      </c>
      <c r="P2311">
        <f>IF(B2336=0,0,O2311/B2336)</f>
        <v/>
      </c>
      <c r="Q2311" t="n">
        <v>0</v>
      </c>
      <c r="R2311" t="n">
        <v>0</v>
      </c>
      <c r="S2311">
        <f>IFERROR(O2311/N2311,0)</f>
        <v/>
      </c>
      <c r="T2311" t="n">
        <v>0</v>
      </c>
      <c r="V2311" t="n">
        <v>0</v>
      </c>
    </row>
    <row r="2312">
      <c r="A2312">
        <f>Skills!A15</f>
        <v/>
      </c>
      <c r="B2312">
        <f>Skills!B15</f>
        <v/>
      </c>
      <c r="C2312">
        <f>Inputs!$B$3&gt;=40</f>
        <v/>
      </c>
      <c r="D2312">
        <f>IF(Skills!C15=1,60+Inputs!$B$25+Inputs!$B$29,IF(Skills!C15=2,90+Inputs!$B$26+Inputs!$B$29,IF(Skills!C15=3,120+Inputs!$B$27+Inputs!$B$29,MAX(0,(Inputs!$B$3-100)*3)+Inputs!$B$28+Inputs!$B$29)))</f>
        <v/>
      </c>
      <c r="E2312">
        <f>INDEX(FactorTable!$B$2:$Y$301, MATCH(ROUND(MIN(300,MAX(1,D2312)),0), FactorTable!$A$2:$A$301,0), Skills!M15+1)</f>
        <v/>
      </c>
      <c r="F2312">
        <f>IF(Skills!N15=TRUE,(Skills!L15/10)*(E2312/1000),Skills!L15/10)+Skills!O15</f>
        <v/>
      </c>
      <c r="G2312">
        <f>Skills!G15*IF(Skills!H15&gt;0,Skills!I15/Skills!H15,1)</f>
        <v/>
      </c>
      <c r="H2312">
        <f>1-(1-Skills!J15/100)^Skills!K15</f>
        <v/>
      </c>
      <c r="I2312" t="inlineStr">
        <is>
          <t>1</t>
        </is>
      </c>
      <c r="J2312" t="inlineStr"/>
      <c r="K2312" t="inlineStr"/>
      <c r="L2312" t="inlineStr"/>
      <c r="M2312" t="inlineStr"/>
      <c r="N2312" t="inlineStr"/>
      <c r="O2312">
        <f>(1-Summary!$B$11)*T2312+Summary!$B$11*V2312</f>
        <v/>
      </c>
      <c r="P2312">
        <f>IF(B2336=0,0,O2312/B2336)</f>
        <v/>
      </c>
      <c r="Q2312">
        <f>IFERROR(1/(IF(Inputs!$B$38="pvp",15,MAX(0.1,Skills!D15-IF(Skills!E15=TRUE,Inputs!$B$32,0)))*(1-IF(AND(ArtifactsInput!$M$27,Inputs!$B$4="Chapter Hunt"),CHOOSE(ArtifactsInput!$N$27+1,20,24,28,32,36,40),0)/100)),0)</f>
        <v/>
      </c>
      <c r="R2312">
        <f>IF(AND(Inputs!$B$38&lt;&gt;"pvp",Inputs!$B$43&gt;0),IF(Inputs!$B$43&lt;=0,0,(INT(Inputs!$B$43/(IF(Inputs!$B$38="pvp",15,MAX(0.1,Skills!D15-IF(Skills!E15=TRUE,Inputs!$B$32,0)))*(1-IF(AND(ArtifactsInput!$M$27,Inputs!$B$4="Chapter Hunt"),CHOOSE(ArtifactsInput!$N$27+1,20,24,28,32,36,40),0)/100)))+1)),0)</f>
        <v/>
      </c>
      <c r="S2312">
        <f>IFERROR(O2312/N2312,0)</f>
        <v/>
      </c>
      <c r="T2312" t="n">
        <v>0</v>
      </c>
      <c r="V2312" t="n">
        <v>0</v>
      </c>
    </row>
    <row r="2313">
      <c r="A2313">
        <f>Skills!A16</f>
        <v/>
      </c>
      <c r="B2313">
        <f>Skills!B16</f>
        <v/>
      </c>
      <c r="C2313">
        <f>Inputs!$B$3&gt;=66</f>
        <v/>
      </c>
      <c r="D2313">
        <f>IF(Skills!C16=1,60+Inputs!$B$25+Inputs!$B$29,IF(Skills!C16=2,90+Inputs!$B$26+Inputs!$B$29,IF(Skills!C16=3,120+Inputs!$B$27+Inputs!$B$29,MAX(0,(Inputs!$B$3-100)*3)+Inputs!$B$28+Inputs!$B$29)))</f>
        <v/>
      </c>
      <c r="E2313">
        <f>INDEX(FactorTable!$B$2:$Y$301, MATCH(ROUND(MIN(300,MAX(1,D2313)),0), FactorTable!$A$2:$A$301,0), Skills!M16+1)</f>
        <v/>
      </c>
      <c r="F2313">
        <f>IF(Skills!N16=TRUE,(Skills!L16/10)*(E2313/1000),Skills!L16/10)+Skills!O16</f>
        <v/>
      </c>
      <c r="G2313">
        <f>Skills!G16*IF(Skills!H16&gt;0,Skills!I16/Skills!H16,1)</f>
        <v/>
      </c>
      <c r="H2313">
        <f>1-(1-Skills!J16/100)^Skills!K16</f>
        <v/>
      </c>
      <c r="I2313" t="inlineStr">
        <is>
          <t>1</t>
        </is>
      </c>
      <c r="J2313" t="inlineStr"/>
      <c r="K2313" t="inlineStr"/>
      <c r="L2313" t="inlineStr"/>
      <c r="M2313" t="inlineStr"/>
      <c r="N2313" t="inlineStr"/>
      <c r="O2313">
        <f>(1-Summary!$B$11)*T2313+Summary!$B$11*V2313</f>
        <v/>
      </c>
      <c r="P2313">
        <f>IF(B2336=0,0,O2313/B2336)</f>
        <v/>
      </c>
      <c r="Q2313">
        <f>IFERROR(1/(IF(Inputs!$B$38="pvp",15,MAX(0.1,Skills!D16-IF(Skills!E16=TRUE,Inputs!$B$32,0)))*(1-IF(AND(ArtifactsInput!$M$27,Inputs!$B$4="Chapter Hunt"),CHOOSE(ArtifactsInput!$N$27+1,20,24,28,32,36,40),0)/100)),0)</f>
        <v/>
      </c>
      <c r="R2313">
        <f>IF(AND(Inputs!$B$38&lt;&gt;"pvp",Inputs!$B$43&gt;0),IF(Inputs!$B$43&lt;=0,0,(INT(Inputs!$B$43/(IF(Inputs!$B$38="pvp",15,MAX(0.1,Skills!D16-IF(Skills!E16=TRUE,Inputs!$B$32,0)))*(1-IF(AND(ArtifactsInput!$M$27,Inputs!$B$4="Chapter Hunt"),CHOOSE(ArtifactsInput!$N$27+1,20,24,28,32,36,40),0)/100)))+1)),0)</f>
        <v/>
      </c>
      <c r="S2313">
        <f>IFERROR(O2313/N2313,0)</f>
        <v/>
      </c>
      <c r="T2313" t="n">
        <v>0</v>
      </c>
      <c r="V2313" t="n">
        <v>0</v>
      </c>
    </row>
    <row r="2314">
      <c r="A2314">
        <f>Skills!A17</f>
        <v/>
      </c>
      <c r="B2314">
        <f>Skills!B17</f>
        <v/>
      </c>
      <c r="C2314">
        <f>Inputs!$B$3&gt;=115</f>
        <v/>
      </c>
      <c r="D2314">
        <f>IF(Skills!C17=1,60+Inputs!$B$25+Inputs!$B$29,IF(Skills!C17=2,90+Inputs!$B$26+Inputs!$B$29,IF(Skills!C17=3,120+Inputs!$B$27+Inputs!$B$29,MAX(0,(Inputs!$B$3-100)*3)+Inputs!$B$28+Inputs!$B$29)))</f>
        <v/>
      </c>
      <c r="E2314">
        <f>INDEX(FactorTable!$B$2:$Y$301, MATCH(ROUND(MIN(300,MAX(1,D2314)),0), FactorTable!$A$2:$A$301,0), Skills!M17+1)</f>
        <v/>
      </c>
      <c r="F2314">
        <f>IF(Skills!N17=TRUE,(Skills!L17/10)*(E2314/1000),Skills!L17/10)+Skills!O17</f>
        <v/>
      </c>
      <c r="G2314">
        <f>Skills!G17*IF(Skills!H17&gt;0,Skills!I17/Skills!H17,1)</f>
        <v/>
      </c>
      <c r="H2314">
        <f>1-(1-Skills!J17/100)^Skills!K17</f>
        <v/>
      </c>
      <c r="I2314" t="inlineStr">
        <is>
          <t>1</t>
        </is>
      </c>
      <c r="J2314" t="inlineStr"/>
      <c r="K2314" t="inlineStr"/>
      <c r="L2314" t="inlineStr"/>
      <c r="M2314" t="inlineStr"/>
      <c r="N2314" t="inlineStr"/>
      <c r="O2314">
        <f>(1-Summary!$B$11)*T2314+Summary!$B$11*V2314</f>
        <v/>
      </c>
      <c r="P2314">
        <f>IF(B2336=0,0,O2314/B2336)</f>
        <v/>
      </c>
      <c r="Q2314">
        <f>IFERROR(1/(IF(Inputs!$B$38="pvp",15,MAX(0.1,Skills!D17-IF(Skills!E17=TRUE,Inputs!$B$32,0)))*(1-IF(AND(ArtifactsInput!$M$27,Inputs!$B$4="Chapter Hunt"),CHOOSE(ArtifactsInput!$N$27+1,20,24,28,32,36,40),0)/100)),0)</f>
        <v/>
      </c>
      <c r="R2314">
        <f>IF(AND(Inputs!$B$38&lt;&gt;"pvp",Inputs!$B$43&gt;0),IF(Inputs!$B$43&lt;=0,0,(INT(Inputs!$B$43/(IF(Inputs!$B$38="pvp",15,MAX(0.1,Skills!D17-IF(Skills!E17=TRUE,Inputs!$B$32,0)))*(1-IF(AND(ArtifactsInput!$M$27,Inputs!$B$4="Chapter Hunt"),CHOOSE(ArtifactsInput!$N$27+1,20,24,28,32,36,40),0)/100)))+1)),0)</f>
        <v/>
      </c>
      <c r="S2314">
        <f>IFERROR(O2314/N2314,0)</f>
        <v/>
      </c>
      <c r="T2314" t="n">
        <v>0</v>
      </c>
      <c r="V2314" t="n">
        <v>0</v>
      </c>
    </row>
    <row r="2315">
      <c r="A2315">
        <f>Skills!A18</f>
        <v/>
      </c>
      <c r="B2315">
        <f>Skills!B18</f>
        <v/>
      </c>
      <c r="C2315">
        <f>Inputs!$B$3&gt;=115</f>
        <v/>
      </c>
      <c r="D2315">
        <f>IF(Skills!C18=1,60+Inputs!$B$25+Inputs!$B$29,IF(Skills!C18=2,90+Inputs!$B$26+Inputs!$B$29,IF(Skills!C18=3,120+Inputs!$B$27+Inputs!$B$29,MAX(0,(Inputs!$B$3-100)*3)+Inputs!$B$28+Inputs!$B$29)))</f>
        <v/>
      </c>
      <c r="E2315">
        <f>INDEX(FactorTable!$B$2:$Y$301, MATCH(ROUND(MIN(300,MAX(1,D2315)),0), FactorTable!$A$2:$A$301,0), Skills!M18+1)</f>
        <v/>
      </c>
      <c r="F2315">
        <f>IF(Skills!N18=TRUE,(Skills!L18/10)*(E2315/1000),Skills!L18/10)+Skills!O18</f>
        <v/>
      </c>
      <c r="G2315">
        <f>Skills!G18*IF(Skills!H18&gt;0,Skills!I18/Skills!H18,1)</f>
        <v/>
      </c>
      <c r="H2315">
        <f>1-(1-Skills!J18/100)^Skills!K18</f>
        <v/>
      </c>
      <c r="I2315" t="inlineStr">
        <is>
          <t>1</t>
        </is>
      </c>
      <c r="J2315" t="inlineStr"/>
      <c r="K2315" t="inlineStr"/>
      <c r="L2315" t="inlineStr"/>
      <c r="M2315" t="inlineStr"/>
      <c r="N2315" t="inlineStr"/>
      <c r="O2315">
        <f>(1-Summary!$B$11)*T2315+Summary!$B$11*V2315</f>
        <v/>
      </c>
      <c r="P2315">
        <f>IF(B2336=0,0,O2315/B2336)</f>
        <v/>
      </c>
      <c r="Q2315">
        <f>IFERROR(1/(IF(Inputs!$B$38="pvp",15,MAX(0.1,Skills!D18-IF(Skills!E18=TRUE,Inputs!$B$32,0)))*(1-IF(AND(ArtifactsInput!$M$27,Inputs!$B$4="Chapter Hunt"),CHOOSE(ArtifactsInput!$N$27+1,20,24,28,32,36,40),0)/100)),0)</f>
        <v/>
      </c>
      <c r="R2315">
        <f>IF(AND(Inputs!$B$38&lt;&gt;"pvp",Inputs!$B$43&gt;0),IF(Inputs!$B$43&lt;=0,0,(INT(Inputs!$B$43/(IF(Inputs!$B$38="pvp",15,MAX(0.1,Skills!D18-IF(Skills!E18=TRUE,Inputs!$B$32,0)))*(1-IF(AND(ArtifactsInput!$M$27,Inputs!$B$4="Chapter Hunt"),CHOOSE(ArtifactsInput!$N$27+1,20,24,28,32,36,40),0)/100)))+1)),0)</f>
        <v/>
      </c>
      <c r="S2315">
        <f>IFERROR(O2315/N2315,0)</f>
        <v/>
      </c>
      <c r="T2315" t="n">
        <v>0</v>
      </c>
      <c r="V2315" t="n">
        <v>0</v>
      </c>
    </row>
    <row r="2316">
      <c r="A2316">
        <f>Skills!A19</f>
        <v/>
      </c>
      <c r="B2316">
        <f>Skills!B19</f>
        <v/>
      </c>
      <c r="C2316">
        <f>TRUE</f>
        <v/>
      </c>
      <c r="D2316">
        <f>IF(Skills!C19=1,60+Inputs!$B$25+Inputs!$B$29,IF(Skills!C19=2,90+Inputs!$B$26+Inputs!$B$29,IF(Skills!C19=3,120+Inputs!$B$27+Inputs!$B$29,MAX(0,(Inputs!$B$3-100)*3)+Inputs!$B$28+Inputs!$B$29)))</f>
        <v/>
      </c>
      <c r="E2316">
        <f>INDEX(FactorTable!$B$2:$Y$301, MATCH(ROUND(MIN(300,MAX(1,D2316)),0), FactorTable!$A$2:$A$301,0), Skills!M19+1)</f>
        <v/>
      </c>
      <c r="F2316">
        <f>IF(Skills!N19=TRUE,(Skills!L19/10)*(E2316/1000),Skills!L19/10)+Skills!O19</f>
        <v/>
      </c>
      <c r="G2316">
        <f>Skills!G19*IF(Skills!H19&gt;0,Skills!I19/Skills!H19,1)</f>
        <v/>
      </c>
      <c r="H2316">
        <f>1-(1-Skills!J19/100)^Skills!K19</f>
        <v/>
      </c>
      <c r="I2316" t="inlineStr">
        <is>
          <t>1</t>
        </is>
      </c>
      <c r="J2316" t="inlineStr"/>
      <c r="K2316" t="inlineStr"/>
      <c r="L2316" t="inlineStr"/>
      <c r="M2316" t="inlineStr"/>
      <c r="N2316" t="inlineStr"/>
      <c r="O2316">
        <f>(1-Summary!$B$11)*T2316+Summary!$B$11*V2316</f>
        <v/>
      </c>
      <c r="P2316">
        <f>IF(B2336=0,0,O2316/B2336)</f>
        <v/>
      </c>
      <c r="Q2316">
        <f>IFERROR(1/(IF(Inputs!$B$38="pvp",15,MAX(0.1,Skills!D19-IF(Skills!E19=TRUE,Inputs!$B$32,0)))*(1-IF(AND(ArtifactsInput!$M$27,Inputs!$B$4="Chapter Hunt"),CHOOSE(ArtifactsInput!$N$27+1,20,24,28,32,36,40),0)/100)),0)</f>
        <v/>
      </c>
      <c r="R2316">
        <f>IF(AND(Inputs!$B$38&lt;&gt;"pvp",Inputs!$B$43&gt;0),IF(Inputs!$B$43&lt;=0,0,(INT(Inputs!$B$43/(IF(Inputs!$B$38="pvp",15,MAX(0.1,Skills!D19-IF(Skills!E19=TRUE,Inputs!$B$32,0)))*(1-IF(AND(ArtifactsInput!$M$27,Inputs!$B$4="Chapter Hunt"),CHOOSE(ArtifactsInput!$N$27+1,20,24,28,32,36,40),0)/100)))+1)),0)</f>
        <v/>
      </c>
      <c r="S2316">
        <f>IFERROR(O2316/N2316,0)</f>
        <v/>
      </c>
      <c r="T2316" t="n">
        <v>0</v>
      </c>
      <c r="V2316" t="n">
        <v>0</v>
      </c>
    </row>
    <row r="2317">
      <c r="A2317">
        <f>Skills!A20</f>
        <v/>
      </c>
      <c r="B2317">
        <f>Skills!B20</f>
        <v/>
      </c>
      <c r="C2317">
        <f>Inputs!$B$3&gt;=33</f>
        <v/>
      </c>
      <c r="D2317">
        <f>IF(Skills!C20=1,60+Inputs!$B$25+Inputs!$B$29,IF(Skills!C20=2,90+Inputs!$B$26+Inputs!$B$29,IF(Skills!C20=3,120+Inputs!$B$27+Inputs!$B$29,MAX(0,(Inputs!$B$3-100)*3)+Inputs!$B$28+Inputs!$B$29)))</f>
        <v/>
      </c>
      <c r="E2317">
        <f>INDEX(FactorTable!$B$2:$Y$301, MATCH(ROUND(MIN(300,MAX(1,D2317)),0), FactorTable!$A$2:$A$301,0), Skills!M20+1)</f>
        <v/>
      </c>
      <c r="F2317">
        <f>IF(Skills!N20=TRUE,(Skills!L20/10)*(E2317/1000),Skills!L20/10)+Skills!O20</f>
        <v/>
      </c>
      <c r="G2317">
        <f>Skills!G20*IF(Skills!H20&gt;0,Skills!I20/Skills!H20,1)</f>
        <v/>
      </c>
      <c r="H2317">
        <f>1-(1-Skills!J20/100)^Skills!K20</f>
        <v/>
      </c>
      <c r="I2317" t="inlineStr">
        <is>
          <t>1</t>
        </is>
      </c>
      <c r="J2317" t="inlineStr"/>
      <c r="K2317" t="inlineStr"/>
      <c r="L2317" t="inlineStr"/>
      <c r="M2317" t="inlineStr"/>
      <c r="N2317" t="inlineStr"/>
      <c r="O2317">
        <f>(1-Summary!$B$11)*T2317+Summary!$B$11*V2317</f>
        <v/>
      </c>
      <c r="P2317">
        <f>IF(B2336=0,0,O2317/B2336)</f>
        <v/>
      </c>
      <c r="Q2317" t="n">
        <v>0</v>
      </c>
      <c r="R2317" t="n">
        <v>0</v>
      </c>
      <c r="S2317">
        <f>IFERROR(O2317/N2317,0)</f>
        <v/>
      </c>
      <c r="T2317" t="n">
        <v>0</v>
      </c>
      <c r="V2317" t="n">
        <v>0</v>
      </c>
    </row>
    <row r="2318">
      <c r="A2318">
        <f>Skills!A21</f>
        <v/>
      </c>
      <c r="B2318">
        <f>Skills!B21</f>
        <v/>
      </c>
      <c r="C2318">
        <f>Inputs!$B$3&gt;=38</f>
        <v/>
      </c>
      <c r="D2318">
        <f>IF(Skills!C21=1,60+Inputs!$B$25+Inputs!$B$29,IF(Skills!C21=2,90+Inputs!$B$26+Inputs!$B$29,IF(Skills!C21=3,120+Inputs!$B$27+Inputs!$B$29,MAX(0,(Inputs!$B$3-100)*3)+Inputs!$B$28+Inputs!$B$29)))</f>
        <v/>
      </c>
      <c r="E2318">
        <f>INDEX(FactorTable!$B$2:$Y$301, MATCH(ROUND(MIN(300,MAX(1,D2318)),0), FactorTable!$A$2:$A$301,0), Skills!M21+1)</f>
        <v/>
      </c>
      <c r="F2318">
        <f>IF(Skills!N21=TRUE,(Skills!L21/10)*(E2318/1000),Skills!L21/10)+Skills!O21</f>
        <v/>
      </c>
      <c r="G2318">
        <f>Skills!G21*IF(Skills!H21&gt;0,Skills!I21/Skills!H21,1)</f>
        <v/>
      </c>
      <c r="H2318">
        <f>1-(1-Skills!J21/100)^Skills!K21</f>
        <v/>
      </c>
      <c r="I2318" t="inlineStr">
        <is>
          <t>1</t>
        </is>
      </c>
      <c r="J2318" t="inlineStr"/>
      <c r="K2318" t="inlineStr"/>
      <c r="L2318" t="inlineStr"/>
      <c r="M2318" t="inlineStr"/>
      <c r="N2318" t="inlineStr"/>
      <c r="O2318">
        <f>(1-Summary!$B$11)*T2318+Summary!$B$11*V2318</f>
        <v/>
      </c>
      <c r="P2318">
        <f>IF(B2336=0,0,O2318/B2336)</f>
        <v/>
      </c>
      <c r="Q2318" t="n">
        <v>0</v>
      </c>
      <c r="R2318" t="n">
        <v>0</v>
      </c>
      <c r="S2318">
        <f>IFERROR(O2318/N2318,0)</f>
        <v/>
      </c>
      <c r="T2318" t="n">
        <v>0</v>
      </c>
      <c r="V2318" t="n">
        <v>0</v>
      </c>
    </row>
    <row r="2319">
      <c r="A2319">
        <f>Skills!A22</f>
        <v/>
      </c>
      <c r="B2319">
        <f>Skills!B22</f>
        <v/>
      </c>
      <c r="C2319">
        <f>Inputs!$B$3&gt;=43</f>
        <v/>
      </c>
      <c r="D2319">
        <f>IF(Skills!C22=1,60+Inputs!$B$25+Inputs!$B$29,IF(Skills!C22=2,90+Inputs!$B$26+Inputs!$B$29,IF(Skills!C22=3,120+Inputs!$B$27+Inputs!$B$29,MAX(0,(Inputs!$B$3-100)*3)+Inputs!$B$28+Inputs!$B$29)))</f>
        <v/>
      </c>
      <c r="E2319">
        <f>INDEX(FactorTable!$B$2:$Y$301, MATCH(ROUND(MIN(300,MAX(1,D2319)),0), FactorTable!$A$2:$A$301,0), Skills!M22+1)</f>
        <v/>
      </c>
      <c r="F2319">
        <f>IF(Skills!N22=TRUE,(Skills!L22/10)*(E2319/1000),Skills!L22/10)+Skills!O22</f>
        <v/>
      </c>
      <c r="G2319">
        <f>Skills!G22*IF(Skills!H22&gt;0,Skills!I22/Skills!H22,1)</f>
        <v/>
      </c>
      <c r="H2319">
        <f>1-(1-Skills!J22/100)^Skills!K22</f>
        <v/>
      </c>
      <c r="I2319" t="inlineStr">
        <is>
          <t>1</t>
        </is>
      </c>
      <c r="J2319" t="inlineStr"/>
      <c r="K2319" t="inlineStr"/>
      <c r="L2319" t="inlineStr"/>
      <c r="M2319" t="inlineStr"/>
      <c r="N2319" t="inlineStr"/>
      <c r="O2319">
        <f>(1-Summary!$B$11)*T2319+Summary!$B$11*V2319</f>
        <v/>
      </c>
      <c r="P2319">
        <f>IF(B2336=0,0,O2319/B2336)</f>
        <v/>
      </c>
      <c r="Q2319" t="n">
        <v>0</v>
      </c>
      <c r="R2319" t="n">
        <v>0</v>
      </c>
      <c r="S2319">
        <f>IFERROR(O2319/N2319,0)</f>
        <v/>
      </c>
      <c r="T2319" t="n">
        <v>0</v>
      </c>
      <c r="V2319" t="n">
        <v>0</v>
      </c>
    </row>
    <row r="2320">
      <c r="A2320">
        <f>Skills!A23</f>
        <v/>
      </c>
      <c r="B2320">
        <f>Skills!B23</f>
        <v/>
      </c>
      <c r="C2320">
        <f>Inputs!$B$3&gt;=120</f>
        <v/>
      </c>
      <c r="D2320">
        <f>IF(Skills!C23=1,60+Inputs!$B$25+Inputs!$B$29,IF(Skills!C23=2,90+Inputs!$B$26+Inputs!$B$29,IF(Skills!C23=3,120+Inputs!$B$27+Inputs!$B$29,MAX(0,(Inputs!$B$3-100)*3)+Inputs!$B$28+Inputs!$B$29)))</f>
        <v/>
      </c>
      <c r="E2320">
        <f>INDEX(FactorTable!$B$2:$Y$301, MATCH(ROUND(MIN(300,MAX(1,D2320)),0), FactorTable!$A$2:$A$301,0), Skills!M23+1)</f>
        <v/>
      </c>
      <c r="F2320">
        <f>IF(Skills!N23=TRUE,(Skills!L23/10)*(E2320/1000),Skills!L23/10)+Skills!O23</f>
        <v/>
      </c>
      <c r="G2320">
        <f>Skills!G23*IF(Skills!H23&gt;0,Skills!I23/Skills!H23,1)</f>
        <v/>
      </c>
      <c r="H2320">
        <f>1-(1-Skills!J23/100)^Skills!K23</f>
        <v/>
      </c>
      <c r="I2320" t="inlineStr">
        <is>
          <t>1</t>
        </is>
      </c>
      <c r="J2320" t="inlineStr"/>
      <c r="K2320" t="inlineStr"/>
      <c r="L2320" t="inlineStr"/>
      <c r="M2320" t="inlineStr"/>
      <c r="N2320" t="inlineStr"/>
      <c r="O2320">
        <f>(1-Summary!$B$11)*T2320+Summary!$B$11*V2320</f>
        <v/>
      </c>
      <c r="P2320">
        <f>IF(B2336=0,0,O2320/B2336)</f>
        <v/>
      </c>
      <c r="Q2320" t="n">
        <v>0</v>
      </c>
      <c r="R2320" t="n">
        <v>0</v>
      </c>
      <c r="S2320">
        <f>IFERROR(O2320/N2320,0)</f>
        <v/>
      </c>
      <c r="T2320" t="n">
        <v>0</v>
      </c>
      <c r="V2320" t="n">
        <v>0</v>
      </c>
    </row>
    <row r="2321">
      <c r="A2321">
        <f>Skills!A24</f>
        <v/>
      </c>
      <c r="B2321">
        <f>Skills!B24</f>
        <v/>
      </c>
      <c r="C2321">
        <f>Inputs!$B$3&gt;=120</f>
        <v/>
      </c>
      <c r="D2321">
        <f>IF(Skills!C24=1,60+Inputs!$B$25+Inputs!$B$29,IF(Skills!C24=2,90+Inputs!$B$26+Inputs!$B$29,IF(Skills!C24=3,120+Inputs!$B$27+Inputs!$B$29,MAX(0,(Inputs!$B$3-100)*3)+Inputs!$B$28+Inputs!$B$29)))</f>
        <v/>
      </c>
      <c r="E2321">
        <f>INDEX(FactorTable!$B$2:$Y$301, MATCH(ROUND(MIN(300,MAX(1,D2321)),0), FactorTable!$A$2:$A$301,0), Skills!M24+1)</f>
        <v/>
      </c>
      <c r="F2321">
        <f>IF(Skills!N24=TRUE,(Skills!L24/10)*(E2321/1000),Skills!L24/10)+Skills!O24</f>
        <v/>
      </c>
      <c r="G2321">
        <f>Skills!G24*IF(Skills!H24&gt;0,Skills!I24/Skills!H24,1)</f>
        <v/>
      </c>
      <c r="H2321">
        <f>1-(1-Skills!J24/100)^Skills!K24</f>
        <v/>
      </c>
      <c r="I2321" t="inlineStr">
        <is>
          <t>1</t>
        </is>
      </c>
      <c r="J2321" t="inlineStr"/>
      <c r="K2321" t="inlineStr"/>
      <c r="L2321" t="inlineStr"/>
      <c r="M2321" t="inlineStr"/>
      <c r="N2321" t="inlineStr"/>
      <c r="O2321">
        <f>(1-Summary!$B$11)*T2321+Summary!$B$11*V2321</f>
        <v/>
      </c>
      <c r="P2321">
        <f>IF(B2336=0,0,O2321/B2336)</f>
        <v/>
      </c>
      <c r="Q2321" t="n">
        <v>0</v>
      </c>
      <c r="R2321" t="n">
        <v>0</v>
      </c>
      <c r="S2321">
        <f>IFERROR(O2321/N2321,0)</f>
        <v/>
      </c>
      <c r="T2321" t="n">
        <v>0</v>
      </c>
      <c r="V2321" t="n">
        <v>0</v>
      </c>
    </row>
    <row r="2322">
      <c r="A2322">
        <f>Skills!A25</f>
        <v/>
      </c>
      <c r="B2322">
        <f>Skills!B25</f>
        <v/>
      </c>
      <c r="C2322">
        <f>Inputs!$B$3&gt;=125</f>
        <v/>
      </c>
      <c r="D2322">
        <f>IF(Skills!C25=1,60+Inputs!$B$25+Inputs!$B$29,IF(Skills!C25=2,90+Inputs!$B$26+Inputs!$B$29,IF(Skills!C25=3,120+Inputs!$B$27+Inputs!$B$29,MAX(0,(Inputs!$B$3-100)*3)+Inputs!$B$28+Inputs!$B$29)))</f>
        <v/>
      </c>
      <c r="E2322">
        <f>INDEX(FactorTable!$B$2:$Y$301, MATCH(ROUND(MIN(300,MAX(1,D2322)),0), FactorTable!$A$2:$A$301,0), Skills!M25+1)</f>
        <v/>
      </c>
      <c r="F2322">
        <f>IF(Skills!N25=TRUE,(Skills!L25/10)*(E2322/1000),Skills!L25/10)+Skills!O25</f>
        <v/>
      </c>
      <c r="G2322">
        <f>Skills!G25*IF(Skills!H25&gt;0,Skills!I25/Skills!H25,1)</f>
        <v/>
      </c>
      <c r="H2322">
        <f>1-(1-Skills!J25/100)^Skills!K25</f>
        <v/>
      </c>
      <c r="I2322" t="inlineStr">
        <is>
          <t>1</t>
        </is>
      </c>
      <c r="J2322" t="inlineStr"/>
      <c r="K2322" t="inlineStr"/>
      <c r="L2322" t="inlineStr"/>
      <c r="M2322" t="inlineStr"/>
      <c r="N2322" t="inlineStr"/>
      <c r="O2322">
        <f>(1-Summary!$B$11)*T2322+Summary!$B$11*V2322</f>
        <v/>
      </c>
      <c r="P2322">
        <f>IF(B2336=0,0,O2322/B2336)</f>
        <v/>
      </c>
      <c r="Q2322" t="n">
        <v>0</v>
      </c>
      <c r="R2322" t="n">
        <v>0</v>
      </c>
      <c r="S2322">
        <f>IFERROR(O2322/N2322,0)</f>
        <v/>
      </c>
      <c r="T2322" t="n">
        <v>0</v>
      </c>
      <c r="V2322" t="n">
        <v>0</v>
      </c>
    </row>
    <row r="2323">
      <c r="A2323">
        <f>Skills!A26</f>
        <v/>
      </c>
      <c r="B2323">
        <f>Skills!B26</f>
        <v/>
      </c>
      <c r="C2323">
        <f>Inputs!$B$3&gt;=72</f>
        <v/>
      </c>
      <c r="D2323">
        <f>IF(Skills!C26=1,60+Inputs!$B$25+Inputs!$B$29,IF(Skills!C26=2,90+Inputs!$B$26+Inputs!$B$29,IF(Skills!C26=3,120+Inputs!$B$27+Inputs!$B$29,MAX(0,(Inputs!$B$3-100)*3)+Inputs!$B$28+Inputs!$B$29)))</f>
        <v/>
      </c>
      <c r="E2323">
        <f>INDEX(FactorTable!$B$2:$Y$301, MATCH(ROUND(MIN(300,MAX(1,D2323)),0), FactorTable!$A$2:$A$301,0), Skills!M26+1)</f>
        <v/>
      </c>
      <c r="F2323">
        <f>IF(Skills!N26=TRUE,(Skills!L26/10)*(E2323/1000),Skills!L26/10)+Skills!O26</f>
        <v/>
      </c>
      <c r="G2323">
        <f>Skills!G26*IF(Skills!H26&gt;0,Skills!I26/Skills!H26,1)</f>
        <v/>
      </c>
      <c r="H2323">
        <f>1-(1-Skills!J26/100)^Skills!K26</f>
        <v/>
      </c>
      <c r="I2323" t="inlineStr">
        <is>
          <t>1</t>
        </is>
      </c>
      <c r="J2323" t="inlineStr"/>
      <c r="K2323" t="inlineStr"/>
      <c r="L2323" t="inlineStr"/>
      <c r="M2323" t="inlineStr"/>
      <c r="N2323" t="inlineStr"/>
      <c r="O2323">
        <f>(1-Summary!$B$11)*T2323+Summary!$B$11*V2323</f>
        <v/>
      </c>
      <c r="P2323">
        <f>IF(B2336=0,0,O2323/B2336)</f>
        <v/>
      </c>
      <c r="Q2323" t="n">
        <v>0</v>
      </c>
      <c r="R2323" t="n">
        <v>0</v>
      </c>
      <c r="S2323">
        <f>IFERROR(O2323/N2323,0)</f>
        <v/>
      </c>
      <c r="T2323" t="n">
        <v>0</v>
      </c>
      <c r="V2323" t="n">
        <v>0</v>
      </c>
    </row>
    <row r="2325">
      <c r="A2325" t="inlineStr">
        <is>
          <t>Attack% Bucket Multiplier</t>
        </is>
      </c>
      <c r="B2325">
        <f>(1+(((C2310=TRUE)*F2310*IF(Inputs!$B$3&gt;=110,7,5))+((C2312=TRUE)*F2312*IF(AND(Inputs!$B$38&lt;&gt;"pvp",Inputs!$B$43&gt;0),(((R2312-1)*(Skills!T15*(1+(Inputs!$B$34+(ArtifactsInput!$M$7-ArtifactsInput!$M$7)*CHOOSE(ArtifactsInput!$N$7+1,6,7.2,8.4,9.6,10.8,12))/100))+MIN((Skills!T15*(1+(Inputs!$B$34+(ArtifactsInput!$M$7-ArtifactsInput!$M$7)*CHOOSE(ArtifactsInput!$N$7+1,6,7.2,8.4,9.6,10.8,12))/100)),MAX(0,Inputs!$B$43-((R2312-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f>
        <v/>
      </c>
    </row>
    <row r="2326">
      <c r="A2326" t="inlineStr">
        <is>
          <t>Global Crit Rate Bonus %</t>
        </is>
      </c>
      <c r="B2326" t="n">
        <v>0</v>
      </c>
    </row>
    <row r="2327">
      <c r="A2327" t="inlineStr">
        <is>
          <t>Attack Speed Buff Bonus %</t>
        </is>
      </c>
      <c r="B2327">
        <f>((C2316=TRUE)*F2316*IF(AND(Inputs!$B$38&lt;&gt;"pvp",Inputs!$B$43&gt;0),(((R2316-1)*(Skills!T19*(1+(Inputs!$B$34+(ArtifactsInput!$M$7-ArtifactsInput!$M$7)*CHOOSE(ArtifactsInput!$N$7+1,6,7.2,8.4,9.6,10.8,12))/100))+MIN((Skills!T19*(1+(Inputs!$B$34+(ArtifactsInput!$M$7-ArtifactsInput!$M$7)*CHOOSE(ArtifactsInput!$N$7+1,6,7.2,8.4,9.6,10.8,12))/100)),MAX(0,Inputs!$B$43-((R2316-1)*Skills!D19))))/Inputs!$B$43),IF(Inputs!$B$38="pvp",MIN((Skills!T19*(1+(Inputs!$B$34+(ArtifactsInput!$M$7-ArtifactsInput!$M$7)*CHOOSE(ArtifactsInput!$N$7+1,6,7.2,8.4,9.6,10.8,12))/100)),15)/15,(Skills!T19*(1+(Inputs!$B$34+(ArtifactsInput!$M$7-ArtifactsInput!$M$7)*CHOOSE(ArtifactsInput!$N$7+1,6,7.2,8.4,9.6,10.8,12))/100))/Skills!D19)))</f>
        <v/>
      </c>
    </row>
    <row r="2328">
      <c r="A2328" t="inlineStr">
        <is>
          <t>Actions Per Second</t>
        </is>
      </c>
      <c r="B2328">
        <f>1+MIN(150,150*(1-(1-(Inputs!$B$11+((C2317=TRUE)*(F2317-Calc!F20)))/150)*(1-B2327/150)))/100</f>
        <v/>
      </c>
    </row>
    <row r="2329">
      <c r="A2329" t="inlineStr">
        <is>
          <t>Skill + Buff Cast Rate</t>
        </is>
      </c>
      <c r="B2329">
        <f>IF(AND(Inputs!$B$38&lt;&gt;"pvp",Inputs!$B$43&gt;0),SUMPRODUCT((Skills!E2:E26=TRUE)*(C2299:C2323=TRUE)*R2299:R2323*Skills!F2:F26)/Inputs!$B$43,SUMPRODUCT((Skills!E2:E26=TRUE)*(C2299:C2323=TRUE)*Q2299:Q2323*Skills!F2:F26))</f>
        <v/>
      </c>
    </row>
    <row r="2330">
      <c r="A2330" t="inlineStr">
        <is>
          <t>Raging Blow Casts Per Second</t>
        </is>
      </c>
      <c r="B2330">
        <f>MAX(0,B2328-B2329)</f>
        <v/>
      </c>
    </row>
    <row r="2331">
      <c r="A2331" t="inlineStr">
        <is>
          <t>Global Critical Damage Bonus % (Enrage)</t>
        </is>
      </c>
      <c r="B2331">
        <f>((C2315=TRUE)*F2315*IF(AND(Inputs!$B$38&lt;&gt;"pvp",Inputs!$B$43&gt;0),(((R2315-1)*(Skills!T18*(1+(Inputs!$B$34+(ArtifactsInput!$M$7-ArtifactsInput!$M$7)*CHOOSE(ArtifactsInput!$N$7+1,6,7.2,8.4,9.6,10.8,12))/100))+MIN((Skills!T18*(1+(Inputs!$B$34+(ArtifactsInput!$M$7-ArtifactsInput!$M$7)*CHOOSE(ArtifactsInput!$N$7+1,6,7.2,8.4,9.6,10.8,12))/100)),MAX(0,Inputs!$B$43-((R2315-1)*Skills!D18))))/Inputs!$B$43),IF(Inputs!$B$38="pvp",MIN((Skills!T18*(1+(Inputs!$B$34+(ArtifactsInput!$M$7-ArtifactsInput!$M$7)*CHOOSE(ArtifactsInput!$N$7+1,6,7.2,8.4,9.6,10.8,12))/100)),15)/15,(Skills!T18*(1+(Inputs!$B$34+(ArtifactsInput!$M$7-ArtifactsInput!$M$7)*CHOOSE(ArtifactsInput!$N$7+1,6,7.2,8.4,9.6,10.8,12))/100))/Skills!D18)))</f>
        <v/>
      </c>
    </row>
    <row r="2332">
      <c r="A2332" t="inlineStr">
        <is>
          <t>Global Final Damage Bonus % (Enrage + Combo Synergy)</t>
        </is>
      </c>
      <c r="B2332">
        <f>((C2314=TRUE)*F2314*IF(AND(Inputs!$B$38&lt;&gt;"pvp",Inputs!$B$43&gt;0),(((R2314-1)*(Skills!T17*(1+(Inputs!$B$34+(ArtifactsInput!$M$7-ArtifactsInput!$M$7)*CHOOSE(ArtifactsInput!$N$7+1,6,7.2,8.4,9.6,10.8,12))/100))+MIN((Skills!T17*(1+(Inputs!$B$34+(ArtifactsInput!$M$7-ArtifactsInput!$M$7)*CHOOSE(ArtifactsInput!$N$7+1,6,7.2,8.4,9.6,10.8,12))/100)),MAX(0,Inputs!$B$43-((R2314-1)*Skills!D17))))/Inputs!$B$43),IF(Inputs!$B$38="pvp",MIN((Skills!T17*(1+(Inputs!$B$34+(ArtifactsInput!$M$7-ArtifactsInput!$M$7)*CHOOSE(ArtifactsInput!$N$7+1,6,7.2,8.4,9.6,10.8,12))/100)),15)/15,(Skills!T17*(1+(Inputs!$B$34+(ArtifactsInput!$M$7-ArtifactsInput!$M$7)*CHOOSE(ArtifactsInput!$N$7+1,6,7.2,8.4,9.6,10.8,12))/100))/Skills!D17)))+((C2311=TRUE)*F2311*IF(Inputs!$B$3&gt;=110,7,5))</f>
        <v/>
      </c>
    </row>
    <row r="2333">
      <c r="A2333" t="inlineStr">
        <is>
          <t>Buff-Casting Startup Delay (s, fixed-duration only)</t>
        </is>
      </c>
      <c r="B2333">
        <f>IF(AND(Inputs!$B$38&lt;&gt;"pvp",Inputs!$B$43&gt;0),SUMPRODUCT((Skills!T2:T26&gt;0)*(Skills!E2:E26=TRUE)*(C2299:C2323=TRUE))/B2328,0)</f>
        <v/>
      </c>
    </row>
    <row r="2334">
      <c r="A2334" t="inlineStr">
        <is>
          <t>Boss-Only Total DPS (this block's swept value)</t>
        </is>
      </c>
      <c r="B2334">
        <f>SUM(T2299:T2323)</f>
        <v/>
      </c>
    </row>
    <row r="2335">
      <c r="A2335" t="inlineStr">
        <is>
          <t>Normal-Only Total DPS (this block's swept value)</t>
        </is>
      </c>
      <c r="B2335">
        <f>SUM(V2299:V2323)</f>
        <v/>
      </c>
    </row>
    <row r="2336">
      <c r="A2336" s="6" t="inlineStr">
        <is>
          <t>TOTAL DPS</t>
        </is>
      </c>
      <c r="B2336" s="6">
        <f>SUM(O2299:O2323)</f>
        <v/>
      </c>
    </row>
    <row r="2339">
      <c r="A2339" s="6" t="inlineStr">
        <is>
          <t>Stat: Peach Tree Herb Pouch (Equip)</t>
        </is>
      </c>
    </row>
    <row r="2340">
      <c r="A2340" s="5" t="inlineStr">
        <is>
          <t>Key</t>
        </is>
      </c>
      <c r="B2340" s="5" t="inlineStr">
        <is>
          <t>Name</t>
        </is>
      </c>
      <c r="C2340" s="5" t="inlineStr">
        <is>
          <t>Unlocked</t>
        </is>
      </c>
      <c r="D2340" s="5" t="inlineStr">
        <is>
          <t>InputLevel</t>
        </is>
      </c>
      <c r="E2340" s="5" t="inlineStr">
        <is>
          <t>Factor</t>
        </is>
      </c>
      <c r="F2340" s="5" t="inlineStr">
        <is>
          <t>CoefficientPercent</t>
        </is>
      </c>
      <c r="G2340" s="5" t="inlineStr">
        <is>
          <t>EffectiveHits</t>
        </is>
      </c>
      <c r="H2340" s="5" t="inlineStr">
        <is>
          <t>ProcProbability</t>
        </is>
      </c>
      <c r="I2340" s="5" t="inlineStr">
        <is>
          <t>MapleHeroMultiplier</t>
        </is>
      </c>
      <c r="J2340" s="5" t="inlineStr">
        <is>
          <t>BaseDamage</t>
        </is>
      </c>
      <c r="K2340" s="5" t="inlineStr">
        <is>
          <t>BaseHitDamage</t>
        </is>
      </c>
      <c r="L2340" s="5" t="inlineStr">
        <is>
          <t>NonCritAvg</t>
        </is>
      </c>
      <c r="M2340" s="5" t="inlineStr">
        <is>
          <t>CritAvg</t>
        </is>
      </c>
      <c r="N2340" s="5" t="inlineStr">
        <is>
          <t>ExpectedDamage(perHit)</t>
        </is>
      </c>
      <c r="O2340" s="5" t="inlineStr">
        <is>
          <t>DPS</t>
        </is>
      </c>
      <c r="P2340" s="5" t="inlineStr">
        <is>
          <t>% of Total</t>
        </is>
      </c>
      <c r="Q2340" s="5" t="inlineStr">
        <is>
          <t>InvCooldown</t>
        </is>
      </c>
      <c r="R2340" s="5" t="inlineStr">
        <is>
          <t>CastsInFight</t>
        </is>
      </c>
      <c r="S2340" s="5" t="inlineStr">
        <is>
          <t>HitRate(perSec)</t>
        </is>
      </c>
      <c r="U2340" t="inlineStr">
        <is>
          <t>helpers</t>
        </is>
      </c>
    </row>
    <row r="2341">
      <c r="A2341">
        <f>Skills!A2</f>
        <v/>
      </c>
      <c r="B2341">
        <f>Skills!B2</f>
        <v/>
      </c>
      <c r="C2341">
        <f>Inputs!$B$3&gt;=100</f>
        <v/>
      </c>
      <c r="D2341" t="inlineStr"/>
      <c r="E2341" t="inlineStr"/>
      <c r="F2341">
        <f>U2343+Skills!O2</f>
        <v/>
      </c>
      <c r="G2341">
        <f>Skills!G2*IF(Skills!H2&gt;0,Skills!I2/Skills!H2,1)</f>
        <v/>
      </c>
      <c r="H2341">
        <f>1-(1-Skills!J2/100)^Skills!K2</f>
        <v/>
      </c>
      <c r="I2341" t="inlineStr">
        <is>
          <t>1</t>
        </is>
      </c>
      <c r="J2341">
        <f>((Inputs!$B$6*(1+Inputs!$B$7/100))+(((Inputs!$B$12*(1+Inputs!$B$13/100))-(Inputs!$B$12*(1+Inputs!$B$13/100)))+0.25*(Inputs!$B$14-Inputs!$B$14))*(1+Inputs!$B$7/100))*(F2341/100)</f>
        <v/>
      </c>
      <c r="K2341">
        <f>J2341*(1+((Inputs!$B$12*(1+Inputs!$B$13/100))*0.01+Inputs!$B$14*0.0025)/100)*(1+Inputs!$B$15/100)*(1+Inputs!$B$16/100)*(5000/(6000+Inputs!$B$42*(1-(100*(1-(1-(Inputs!$B$19+0)/100)*(1-CHOOSE(ArtifactsInput!$N$40+1,5,6,7,8,9,10)/100)^(ArtifactsInput!$M$40-ArtifactsInput!$M$40)))/100)))*(1+(Inputs!$B$24+((C2364=TRUE)*(F2364-Calc!F25))+B2374)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2360=TRUE)*(F2360-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2362=TRUE)*(F2362-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2352=TRUE)*F2352*IF(Inputs!$B$3&gt;=110,7,5))+((C2354=TRUE)*F2354*IF(AND(Inputs!$B$38&lt;&gt;"pvp",Inputs!$B$43&gt;0),(((R2354-1)*(Skills!T15*(1+(Inputs!$B$34+(ArtifactsInput!$M$7-ArtifactsInput!$M$7)*CHOOSE(ArtifactsInput!$N$7+1,6,7.2,8.4,9.6,10.8,12))/100))+MIN((Skills!T15*(1+(Inputs!$B$34+(ArtifactsInput!$M$7-ArtifactsInput!$M$7)*CHOOSE(ArtifactsInput!$N$7+1,6,7.2,8.4,9.6,10.8,12))/100)),MAX(0,Inputs!$B$43-((R2354-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IF(ArtifactsInput!$M$35,FALSE,TRUE),Inputs!$B$4&lt;&gt;"Chapter Hunt"),CHOOSE(ArtifactsInput!$N$35+1,15,18,21,24,27,30)*(1-EXP(-(0.2*B2370)*5)),0)+IF(AND(ArtifactsInput!$M$22,Inputs!$B$4&lt;&gt;"Chapter Hunt"),CHOOSE(ArtifactsInput!$N$22+1,10,12,14,16,18,20)*((0*(((0.15*B2370*5))^0/1)+1*(((0.15*B2370*5))^1/1)+2*(((0.15*B2370*5))^2/2)+3*(((0.15*B2370*5))^3/6)+4*(((0.15*B2370*5))^4/24)+5*(((0.15*B2370*5))^5/120))/((((0.15*B2370*5))^0/1)+(((0.15*B2370*5))^1/1)+(((0.15*B2370*5))^2/2)+(((0.15*B2370*5))^3/6)+(((0.15*B2370*5))^4/24)+(((0.15*B2370*5))^5/120))),0)))/100)*I2341)</f>
        <v/>
      </c>
      <c r="L2341">
        <f>K2341*(MIN(Inputs!$B$22+((C2361=TRUE)*(F2361-Calc!F22)),(Inputs!$B$23+((C2363=TRUE)*(F2363-Calc!F24))+(IF(ArtifactsInput!$M$15,CHOOSE(ArtifactsInput!$N$15+1,25,30,35,40,45,50)/100*(Inputs!$B$11-Inputs!$B$11),0))))/100+(Inputs!$B$23+((C2363=TRUE)*(F2363-Calc!F24))+(IF(ArtifactsInput!$M$15,CHOOSE(ArtifactsInput!$N$15+1,25,30,35,40,45,50)/100*(Inputs!$B$11-Inputs!$B$11),0)))/100)/2</f>
        <v/>
      </c>
      <c r="M2341">
        <f>L2341*(1+(Inputs!$B$10+0+B2373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41">
        <f>L2341*(1-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2341*(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41">
        <f>(1-Summary!$B$11)*T2341+Summary!$B$11*V2341</f>
        <v/>
      </c>
      <c r="P2341">
        <f>IF(B2378=0,0,O2341/B2378)</f>
        <v/>
      </c>
      <c r="Q2341" t="n">
        <v>0</v>
      </c>
      <c r="R2341" t="n">
        <v>0</v>
      </c>
      <c r="S2341">
        <f>IFERROR(O2341/N2341,0)</f>
        <v/>
      </c>
      <c r="T2341">
        <f>IF(C2341,(Skills!G2*N2341*B2372)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2341*(1-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2341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2341*(1-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2341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41">
        <f>MAX(0,(Inputs!$B$3-100)*3)+Inputs!$B$28+Inputs!$B$29</f>
        <v/>
      </c>
      <c r="V2341">
        <f>IF(C2341,(Skills!G2*N2341*B2372)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42">
      <c r="A2342">
        <f>Skills!A3</f>
        <v/>
      </c>
      <c r="B2342">
        <f>Skills!B3</f>
        <v/>
      </c>
      <c r="C2342">
        <f>Inputs!$B$3&gt;=50</f>
        <v/>
      </c>
      <c r="D2342">
        <f>IF(Skills!C3=1,60+Inputs!$B$25+Inputs!$B$29,IF(Skills!C3=2,90+Inputs!$B$26+Inputs!$B$29,IF(Skills!C3=3,120+Inputs!$B$27+Inputs!$B$29,MAX(0,(Inputs!$B$3-100)*3)+Inputs!$B$28+Inputs!$B$29)))</f>
        <v/>
      </c>
      <c r="E2342">
        <f>INDEX(FactorTable!$B$2:$Y$301, MATCH(ROUND(MIN(300,MAX(1,D2342)),0), FactorTable!$A$2:$A$301,0), Skills!M3+1)</f>
        <v/>
      </c>
      <c r="F2342">
        <f>IF(Skills!N3=TRUE,(Skills!L3/10)*(E2342/1000),Skills!L3/10)+Skills!O3</f>
        <v/>
      </c>
      <c r="G2342" t="inlineStr"/>
      <c r="H2342" t="inlineStr"/>
      <c r="I2342" t="inlineStr">
        <is>
          <t>1</t>
        </is>
      </c>
      <c r="J2342" t="inlineStr"/>
      <c r="K2342" t="inlineStr"/>
      <c r="L2342" t="inlineStr"/>
      <c r="M2342" t="inlineStr"/>
      <c r="N2342" t="inlineStr"/>
      <c r="O2342" t="inlineStr"/>
      <c r="P2342" t="inlineStr"/>
      <c r="Q2342" t="inlineStr"/>
      <c r="R2342" t="inlineStr"/>
      <c r="S2342" t="inlineStr"/>
      <c r="U2342">
        <f>INDEX(FactorTable!$B$2:$Y$301, MATCH(ROUND(MIN(300,MAX(1,U2341)),0), FactorTable!$A$2:$A$301,0), 22)</f>
        <v/>
      </c>
    </row>
    <row r="2343">
      <c r="A2343">
        <f>Skills!A4</f>
        <v/>
      </c>
      <c r="B2343">
        <f>Skills!B4</f>
        <v/>
      </c>
      <c r="C2343">
        <f>Inputs!$B$3&gt;=105</f>
        <v/>
      </c>
      <c r="D2343">
        <f>IF(Skills!C4=1,60+Inputs!$B$25+Inputs!$B$29,IF(Skills!C4=2,90+Inputs!$B$26+Inputs!$B$29,IF(Skills!C4=3,120+Inputs!$B$27+Inputs!$B$29,MAX(0,(Inputs!$B$3-100)*3)+Inputs!$B$28+Inputs!$B$29)))</f>
        <v/>
      </c>
      <c r="E2343">
        <f>INDEX(FactorTable!$B$2:$Y$301, MATCH(ROUND(MIN(300,MAX(1,D2343)),0), FactorTable!$A$2:$A$301,0), Skills!M4+1)</f>
        <v/>
      </c>
      <c r="F2343">
        <f>IF(Skills!N4=TRUE,(Skills!L4/10)*(E2343/1000),Skills!L4/10)+Skills!O4</f>
        <v/>
      </c>
      <c r="G2343" t="inlineStr"/>
      <c r="H2343" t="inlineStr"/>
      <c r="I2343" t="inlineStr">
        <is>
          <t>1</t>
        </is>
      </c>
      <c r="J2343" t="inlineStr"/>
      <c r="K2343" t="inlineStr"/>
      <c r="L2343" t="inlineStr"/>
      <c r="M2343" t="inlineStr"/>
      <c r="N2343" t="inlineStr"/>
      <c r="O2343" t="inlineStr"/>
      <c r="P2343" t="inlineStr"/>
      <c r="Q2343" t="inlineStr"/>
      <c r="R2343" t="inlineStr"/>
      <c r="S2343" t="inlineStr"/>
      <c r="U2343">
        <f>290*U2342/1000</f>
        <v/>
      </c>
    </row>
    <row r="2344">
      <c r="A2344">
        <f>Skills!A5</f>
        <v/>
      </c>
      <c r="B2344">
        <f>Skills!B5</f>
        <v/>
      </c>
      <c r="C2344">
        <f>Inputs!$B$3&gt;=103</f>
        <v/>
      </c>
      <c r="D2344">
        <f>IF(Skills!C5=1,60+Inputs!$B$25+Inputs!$B$29,IF(Skills!C5=2,90+Inputs!$B$26+Inputs!$B$29,IF(Skills!C5=3,120+Inputs!$B$27+Inputs!$B$29,MAX(0,(Inputs!$B$3-100)*3)+Inputs!$B$28+Inputs!$B$29)))</f>
        <v/>
      </c>
      <c r="E2344">
        <f>INDEX(FactorTable!$B$2:$Y$301, MATCH(ROUND(MIN(300,MAX(1,D2344)),0), FactorTable!$A$2:$A$301,0), Skills!M5+1)</f>
        <v/>
      </c>
      <c r="F2344">
        <f>IF(Skills!N5=TRUE,(Skills!L5/10)*(E2344/1000),Skills!L5/10)+Skills!O5</f>
        <v/>
      </c>
      <c r="G2344">
        <f>Skills!G5*IF(Skills!H5&gt;0,Skills!I5/Skills!H5,1)</f>
        <v/>
      </c>
      <c r="H2344">
        <f>1-(1-Skills!J5/100)^Skills!K5</f>
        <v/>
      </c>
      <c r="I2344" t="inlineStr">
        <is>
          <t>1</t>
        </is>
      </c>
      <c r="J2344">
        <f>((Inputs!$B$6*(1+Inputs!$B$7/100))+(((Inputs!$B$12*(1+Inputs!$B$13/100))-(Inputs!$B$12*(1+Inputs!$B$13/100)))+0.25*(Inputs!$B$14-Inputs!$B$14))*(1+Inputs!$B$7/100))*(F2344/100)</f>
        <v/>
      </c>
      <c r="K2344">
        <f>J2344*(1+((Inputs!$B$12*(1+Inputs!$B$13/100))*0.01+Inputs!$B$14*0.0025)/100)*(1+Inputs!$B$15/100)*(1+Inputs!$B$16/100)*(5000/(6000+Inputs!$B$42*(1-(100*(1-(1-(Inputs!$B$19+0)/100)*(1-CHOOSE(ArtifactsInput!$N$40+1,5,6,7,8,9,10)/100)^(ArtifactsInput!$M$40-ArtifactsInput!$M$40)))/100)))*(1+(Inputs!$B$24+((C2364=TRUE)*(F2364-Calc!F25))+B2374)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2360=TRUE)*(F2360-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2362=TRUE)*(F2362-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2352=TRUE)*F2352*IF(Inputs!$B$3&gt;=110,7,5))+((C2354=TRUE)*F2354*IF(AND(Inputs!$B$38&lt;&gt;"pvp",Inputs!$B$43&gt;0),(((R2354-1)*(Skills!T15*(1+(Inputs!$B$34+(ArtifactsInput!$M$7-ArtifactsInput!$M$7)*CHOOSE(ArtifactsInput!$N$7+1,6,7.2,8.4,9.6,10.8,12))/100))+MIN((Skills!T15*(1+(Inputs!$B$34+(ArtifactsInput!$M$7-ArtifactsInput!$M$7)*CHOOSE(ArtifactsInput!$N$7+1,6,7.2,8.4,9.6,10.8,12))/100)),MAX(0,Inputs!$B$43-((R2354-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IF(ArtifactsInput!$M$35,FALSE,TRUE),Inputs!$B$4&lt;&gt;"Chapter Hunt"),CHOOSE(ArtifactsInput!$N$35+1,15,18,21,24,27,30)*(1-EXP(-(0.2*B2370)*5)),0)+IF(AND(ArtifactsInput!$M$22,Inputs!$B$4&lt;&gt;"Chapter Hunt"),CHOOSE(ArtifactsInput!$N$22+1,10,12,14,16,18,20)*((0*(((0.15*B2370*5))^0/1)+1*(((0.15*B2370*5))^1/1)+2*(((0.15*B2370*5))^2/2)+3*(((0.15*B2370*5))^3/6)+4*(((0.15*B2370*5))^4/24)+5*(((0.15*B2370*5))^5/120))/((((0.15*B2370*5))^0/1)+(((0.15*B2370*5))^1/1)+(((0.15*B2370*5))^2/2)+(((0.15*B2370*5))^3/6)+(((0.15*B2370*5))^4/24)+(((0.15*B2370*5))^5/120))),0)))/100)*I2344)</f>
        <v/>
      </c>
      <c r="L2344">
        <f>K2344*(MIN(Inputs!$B$22+((C2361=TRUE)*(F2361-Calc!F22)),(Inputs!$B$23+((C2363=TRUE)*(F2363-Calc!F24))+(IF(ArtifactsInput!$M$15,CHOOSE(ArtifactsInput!$N$15+1,25,30,35,40,45,50)/100*(Inputs!$B$11-Inputs!$B$11),0))))/100+(Inputs!$B$23+((C2363=TRUE)*(F2363-Calc!F24))+(IF(ArtifactsInput!$M$15,CHOOSE(ArtifactsInput!$N$15+1,25,30,35,40,45,50)/100*(Inputs!$B$11-Inputs!$B$11),0)))/100)/2</f>
        <v/>
      </c>
      <c r="M2344">
        <f>L2344*(1+(Inputs!$B$10+0+B2373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44">
        <f>L2344*(1-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2344*(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44">
        <f>(1-Summary!$B$11)*T2344+Summary!$B$11*V2344</f>
        <v/>
      </c>
      <c r="P2344">
        <f>IF(B2378=0,0,O2344/B2378)</f>
        <v/>
      </c>
      <c r="Q2344">
        <f>IFERROR(1/(IF(Inputs!$B$38="pvp",15,MAX(0.1,Skills!D5-IF(Skills!E5=TRUE,Inputs!$B$32,0)))*(1-IF(AND(ArtifactsInput!$M$27,Inputs!$B$4="Chapter Hunt"),CHOOSE(ArtifactsInput!$N$27+1,20,24,28,32,36,40),0)/100)),0)</f>
        <v/>
      </c>
      <c r="R2344">
        <f>IF(AND(Inputs!$B$38&lt;&gt;"pvp",Inputs!$B$43&gt;0),IF(MAX(0,Inputs!$B$43-B2375)&lt;=0,0,(INT(MAX(0,Inputs!$B$43-B2375)/(IF(Inputs!$B$38="pvp",15,MAX(0.1,Skills!D5-IF(Skills!E5=TRUE,Inputs!$B$32,0)))*(1-IF(AND(ArtifactsInput!$M$27,Inputs!$B$4="Chapter Hunt"),CHOOSE(ArtifactsInput!$N$27+1,20,24,28,32,36,40),0)/100)))+1)),0)</f>
        <v/>
      </c>
      <c r="S2344">
        <f>IFERROR(O2344/N2344,0)</f>
        <v/>
      </c>
      <c r="T2344">
        <f>IF(C2344,(H2344*N2344*IF(AND(Inputs!$B$38&lt;&gt;"pvp",Inputs!$B$43&gt;0),((Skills!G5*((R2344-1)*IF(Skills!H5&gt;0,Skills!I5/Skills!H5,1)+IF(Skills!H5&gt;0,MIN(Skills!I5,MAX(0,MAX(0,Inputs!$B$43-B2375)-((R2344-1)*(IF(Inputs!$B$38="pvp",15,MAX(0.1,Skills!D5-IF(Skills!E5=TRUE,Inputs!$B$32,0)))*(1-IF(AND(ArtifactsInput!$M$27,Inputs!$B$4="Chapter Hunt"),CHOOSE(ArtifactsInput!$N$27+1,20,24,28,32,36,40),0)/100)))))/Skills!H5,1)))/Inputs!$B$43),G2344*Q2344)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2344*(1-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2344*(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2344*(1-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2344*(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44">
        <f>IF(C2344,(H2344*N2344*IF(AND(Inputs!$B$38&lt;&gt;"pvp",Inputs!$B$43&gt;0),((Skills!G5*((R2344-1)*IF(Skills!H5&gt;0,Skills!I5/Skills!H5,1)+IF(Skills!H5&gt;0,MIN(Skills!I5,MAX(0,MAX(0,Inputs!$B$43-B2375)-((R2344-1)*(IF(Inputs!$B$38="pvp",15,MAX(0.1,Skills!D5-IF(Skills!E5=TRUE,Inputs!$B$32,0)))*(1-IF(AND(ArtifactsInput!$M$27,Inputs!$B$4="Chapter Hunt"),CHOOSE(ArtifactsInput!$N$27+1,20,24,28,32,36,40),0)/100)))))/Skills!H5,1)))/Inputs!$B$43),G2344*Q2344)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45">
      <c r="A2345">
        <f>Skills!A6</f>
        <v/>
      </c>
      <c r="B2345">
        <f>Skills!B6</f>
        <v/>
      </c>
      <c r="C2345">
        <f>Inputs!$B$3&gt;=103</f>
        <v/>
      </c>
      <c r="D2345">
        <f>IF(Skills!C6=1,60+Inputs!$B$25+Inputs!$B$29,IF(Skills!C6=2,90+Inputs!$B$26+Inputs!$B$29,IF(Skills!C6=3,120+Inputs!$B$27+Inputs!$B$29,MAX(0,(Inputs!$B$3-100)*3)+Inputs!$B$28+Inputs!$B$29)))</f>
        <v/>
      </c>
      <c r="E2345">
        <f>INDEX(FactorTable!$B$2:$Y$301, MATCH(ROUND(MIN(300,MAX(1,D2345)),0), FactorTable!$A$2:$A$301,0), Skills!M6+1)</f>
        <v/>
      </c>
      <c r="F2345">
        <f>IF(Skills!N6=TRUE,(Skills!L6/10)*(E2345/1000),Skills!L6/10)+Skills!O6</f>
        <v/>
      </c>
      <c r="G2345">
        <f>Skills!G6*IF(Skills!H6&gt;0,Skills!I6/Skills!H6,1)</f>
        <v/>
      </c>
      <c r="H2345">
        <f>1-(1-Skills!J6/100)^Skills!K6</f>
        <v/>
      </c>
      <c r="I2345" t="inlineStr">
        <is>
          <t>1</t>
        </is>
      </c>
      <c r="J2345">
        <f>((Inputs!$B$6*(1+Inputs!$B$7/100))+(((Inputs!$B$12*(1+Inputs!$B$13/100))-(Inputs!$B$12*(1+Inputs!$B$13/100)))+0.25*(Inputs!$B$14-Inputs!$B$14))*(1+Inputs!$B$7/100))*(F2345/100)</f>
        <v/>
      </c>
      <c r="K2345">
        <f>J2345*(1+((Inputs!$B$12*(1+Inputs!$B$13/100))*0.01+Inputs!$B$14*0.0025)/100)*(1+Inputs!$B$15/100)*(1+Inputs!$B$16/100)*(5000/(6000+Inputs!$B$42*(1-(100*(1-(1-(Inputs!$B$19+0)/100)*(1-CHOOSE(ArtifactsInput!$N$40+1,5,6,7,8,9,10)/100)^(ArtifactsInput!$M$40-ArtifactsInput!$M$40)))/100)))*(1+(Inputs!$B$24+((C2364=TRUE)*(F2364-Calc!F25))+B2374)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2360=TRUE)*(F2360-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2362=TRUE)*(F2362-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2352=TRUE)*F2352*IF(Inputs!$B$3&gt;=110,7,5))+((C2354=TRUE)*F2354*IF(AND(Inputs!$B$38&lt;&gt;"pvp",Inputs!$B$43&gt;0),(((R2354-1)*(Skills!T15*(1+(Inputs!$B$34+(ArtifactsInput!$M$7-ArtifactsInput!$M$7)*CHOOSE(ArtifactsInput!$N$7+1,6,7.2,8.4,9.6,10.8,12))/100))+MIN((Skills!T15*(1+(Inputs!$B$34+(ArtifactsInput!$M$7-ArtifactsInput!$M$7)*CHOOSE(ArtifactsInput!$N$7+1,6,7.2,8.4,9.6,10.8,12))/100)),MAX(0,Inputs!$B$43-((R2354-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IF(ArtifactsInput!$M$35,FALSE,TRUE),Inputs!$B$4&lt;&gt;"Chapter Hunt"),CHOOSE(ArtifactsInput!$N$35+1,15,18,21,24,27,30)*(1-EXP(-(0.2*B2370)*5)),0)+IF(AND(ArtifactsInput!$M$22,Inputs!$B$4&lt;&gt;"Chapter Hunt"),CHOOSE(ArtifactsInput!$N$22+1,10,12,14,16,18,20)*((0*(((0.15*B2370*5))^0/1)+1*(((0.15*B2370*5))^1/1)+2*(((0.15*B2370*5))^2/2)+3*(((0.15*B2370*5))^3/6)+4*(((0.15*B2370*5))^4/24)+5*(((0.15*B2370*5))^5/120))/((((0.15*B2370*5))^0/1)+(((0.15*B2370*5))^1/1)+(((0.15*B2370*5))^2/2)+(((0.15*B2370*5))^3/6)+(((0.15*B2370*5))^4/24)+(((0.15*B2370*5))^5/120))),0)))/100)*I2345)</f>
        <v/>
      </c>
      <c r="L2345">
        <f>K2345*(MIN(Inputs!$B$22+((C2361=TRUE)*(F2361-Calc!F22)),(Inputs!$B$23+((C2363=TRUE)*(F2363-Calc!F24))+(IF(ArtifactsInput!$M$15,CHOOSE(ArtifactsInput!$N$15+1,25,30,35,40,45,50)/100*(Inputs!$B$11-Inputs!$B$11),0))))/100+(Inputs!$B$23+((C2363=TRUE)*(F2363-Calc!F24))+(IF(ArtifactsInput!$M$15,CHOOSE(ArtifactsInput!$N$15+1,25,30,35,40,45,50)/100*(Inputs!$B$11-Inputs!$B$11),0)))/100)/2</f>
        <v/>
      </c>
      <c r="M2345">
        <f>L2345*(1+(Inputs!$B$10+0+B2373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45">
        <f>L2345*(1-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2345*(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45">
        <f>(1-Summary!$B$11)*T2345+Summary!$B$11*V2345</f>
        <v/>
      </c>
      <c r="P2345">
        <f>IF(B2378=0,0,O2345/B2378)</f>
        <v/>
      </c>
      <c r="Q2345">
        <f>IFERROR(1/(IF(Inputs!$B$38="pvp",15,MAX(0.1,Skills!D6-IF(Skills!E6=TRUE,Inputs!$B$32,0)))*(1-IF(AND(ArtifactsInput!$M$27,Inputs!$B$4="Chapter Hunt"),CHOOSE(ArtifactsInput!$N$27+1,20,24,28,32,36,40),0)/100)),0)</f>
        <v/>
      </c>
      <c r="R2345">
        <f>IF(AND(Inputs!$B$38&lt;&gt;"pvp",Inputs!$B$43&gt;0),IF(MAX(0,Inputs!$B$43-B2375)&lt;=0,0,(INT(MAX(0,Inputs!$B$43-B2375)/(IF(Inputs!$B$38="pvp",15,MAX(0.1,Skills!D6-IF(Skills!E6=TRUE,Inputs!$B$32,0)))*(1-IF(AND(ArtifactsInput!$M$27,Inputs!$B$4="Chapter Hunt"),CHOOSE(ArtifactsInput!$N$27+1,20,24,28,32,36,40),0)/100)))+1)),0)</f>
        <v/>
      </c>
      <c r="S2345">
        <f>IFERROR(O2345/N2345,0)</f>
        <v/>
      </c>
      <c r="T2345">
        <f>IF(C2345,(H2345*N2345*IF(AND(Inputs!$B$38&lt;&gt;"pvp",Inputs!$B$43&gt;0),((Skills!G6*((R2345-1)*IF(Skills!H6&gt;0,Skills!I6/Skills!H6,1)+IF(Skills!H6&gt;0,MIN(Skills!I6,MAX(0,MAX(0,Inputs!$B$43-B2375)-((R2345-1)*(IF(Inputs!$B$38="pvp",15,MAX(0.1,Skills!D6-IF(Skills!E6=TRUE,Inputs!$B$32,0)))*(1-IF(AND(ArtifactsInput!$M$27,Inputs!$B$4="Chapter Hunt"),CHOOSE(ArtifactsInput!$N$27+1,20,24,28,32,36,40),0)/100)))))/Skills!H6,1)))/Inputs!$B$43),G2345*Q2345)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2345*(1-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2345*(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2345*(1-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2345*(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45">
        <f>IF(C2345,(H2345*N2345*IF(AND(Inputs!$B$38&lt;&gt;"pvp",Inputs!$B$43&gt;0),((Skills!G6*((R2345-1)*IF(Skills!H6&gt;0,Skills!I6/Skills!H6,1)+IF(Skills!H6&gt;0,MIN(Skills!I6,MAX(0,MAX(0,Inputs!$B$43-B2375)-((R2345-1)*(IF(Inputs!$B$38="pvp",15,MAX(0.1,Skills!D6-IF(Skills!E6=TRUE,Inputs!$B$32,0)))*(1-IF(AND(ArtifactsInput!$M$27,Inputs!$B$4="Chapter Hunt"),CHOOSE(ArtifactsInput!$N$27+1,20,24,28,32,36,40),0)/100)))))/Skills!H6,1)))/Inputs!$B$43),G2345*Q2345)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46">
      <c r="A2346">
        <f>Skills!A7</f>
        <v/>
      </c>
      <c r="B2346">
        <f>Skills!B7</f>
        <v/>
      </c>
      <c r="C2346">
        <f>Inputs!$B$3&gt;=107</f>
        <v/>
      </c>
      <c r="D2346">
        <f>IF(Skills!C7=1,60+Inputs!$B$25+Inputs!$B$29,IF(Skills!C7=2,90+Inputs!$B$26+Inputs!$B$29,IF(Skills!C7=3,120+Inputs!$B$27+Inputs!$B$29,MAX(0,(Inputs!$B$3-100)*3)+Inputs!$B$28+Inputs!$B$29)))</f>
        <v/>
      </c>
      <c r="E2346">
        <f>INDEX(FactorTable!$B$2:$Y$301, MATCH(ROUND(MIN(300,MAX(1,D2346)),0), FactorTable!$A$2:$A$301,0), Skills!M7+1)</f>
        <v/>
      </c>
      <c r="F2346">
        <f>IF(Skills!N7=TRUE,(Skills!L7/10)*(E2346/1000),Skills!L7/10)+Skills!O7</f>
        <v/>
      </c>
      <c r="G2346">
        <f>Skills!G7*IF(Skills!H7&gt;0,Skills!I7/Skills!H7,1)</f>
        <v/>
      </c>
      <c r="H2346">
        <f>1-(1-Skills!J7/100)^Skills!K7</f>
        <v/>
      </c>
      <c r="I2346" t="inlineStr">
        <is>
          <t>1</t>
        </is>
      </c>
      <c r="J2346">
        <f>((Inputs!$B$6*(1+Inputs!$B$7/100))+(((Inputs!$B$12*(1+Inputs!$B$13/100))-(Inputs!$B$12*(1+Inputs!$B$13/100)))+0.25*(Inputs!$B$14-Inputs!$B$14))*(1+Inputs!$B$7/100))*(F2346/100)</f>
        <v/>
      </c>
      <c r="K2346">
        <f>J2346*(1+((Inputs!$B$12*(1+Inputs!$B$13/100))*0.01+Inputs!$B$14*0.0025)/100)*(1+Inputs!$B$15/100)*(1+Inputs!$B$16/100)*(5000/(6000+Inputs!$B$42*(1-(100*(1-(1-(Inputs!$B$19+0)/100)*(1-CHOOSE(ArtifactsInput!$N$40+1,5,6,7,8,9,10)/100)^(ArtifactsInput!$M$40-ArtifactsInput!$M$40)))/100)))*(1+(Inputs!$B$24+((C2364=TRUE)*(F2364-Calc!F25))+B2374)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2360=TRUE)*(F2360-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2362=TRUE)*(F2362-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2352=TRUE)*F2352*IF(Inputs!$B$3&gt;=110,7,5))+((C2354=TRUE)*F2354*IF(AND(Inputs!$B$38&lt;&gt;"pvp",Inputs!$B$43&gt;0),(((R2354-1)*(Skills!T15*(1+(Inputs!$B$34+(ArtifactsInput!$M$7-ArtifactsInput!$M$7)*CHOOSE(ArtifactsInput!$N$7+1,6,7.2,8.4,9.6,10.8,12))/100))+MIN((Skills!T15*(1+(Inputs!$B$34+(ArtifactsInput!$M$7-ArtifactsInput!$M$7)*CHOOSE(ArtifactsInput!$N$7+1,6,7.2,8.4,9.6,10.8,12))/100)),MAX(0,Inputs!$B$43-((R2354-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IF(ArtifactsInput!$M$35,FALSE,TRUE),Inputs!$B$4&lt;&gt;"Chapter Hunt"),CHOOSE(ArtifactsInput!$N$35+1,15,18,21,24,27,30)*(1-EXP(-(0.2*B2370)*5)),0)+IF(AND(ArtifactsInput!$M$22,Inputs!$B$4&lt;&gt;"Chapter Hunt"),CHOOSE(ArtifactsInput!$N$22+1,10,12,14,16,18,20)*((0*(((0.15*B2370*5))^0/1)+1*(((0.15*B2370*5))^1/1)+2*(((0.15*B2370*5))^2/2)+3*(((0.15*B2370*5))^3/6)+4*(((0.15*B2370*5))^4/24)+5*(((0.15*B2370*5))^5/120))/((((0.15*B2370*5))^0/1)+(((0.15*B2370*5))^1/1)+(((0.15*B2370*5))^2/2)+(((0.15*B2370*5))^3/6)+(((0.15*B2370*5))^4/24)+(((0.15*B2370*5))^5/120))),0)))/100)*I2346)</f>
        <v/>
      </c>
      <c r="L2346">
        <f>K2346*(MIN(Inputs!$B$22+((C2361=TRUE)*(F2361-Calc!F22)),(Inputs!$B$23+((C2363=TRUE)*(F2363-Calc!F24))+(IF(ArtifactsInput!$M$15,CHOOSE(ArtifactsInput!$N$15+1,25,30,35,40,45,50)/100*(Inputs!$B$11-Inputs!$B$11),0))))/100+(Inputs!$B$23+((C2363=TRUE)*(F2363-Calc!F24))+(IF(ArtifactsInput!$M$15,CHOOSE(ArtifactsInput!$N$15+1,25,30,35,40,45,50)/100*(Inputs!$B$11-Inputs!$B$11),0)))/100)/2</f>
        <v/>
      </c>
      <c r="M2346">
        <f>L2346*(1+(Inputs!$B$10+0+B2373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46">
        <f>L2346*(1-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2346*(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46">
        <f>(1-Summary!$B$11)*T2346+Summary!$B$11*V2346</f>
        <v/>
      </c>
      <c r="P2346">
        <f>IF(B2378=0,0,O2346/B2378)</f>
        <v/>
      </c>
      <c r="Q2346">
        <f>IFERROR(1/(IF(Inputs!$B$38="pvp",15,MAX(0.1,Skills!D7-IF(Skills!E7=TRUE,Inputs!$B$32,0)))*(1-IF(AND(ArtifactsInput!$M$27,Inputs!$B$4="Chapter Hunt"),CHOOSE(ArtifactsInput!$N$27+1,20,24,28,32,36,40),0)/100)),0)</f>
        <v/>
      </c>
      <c r="R2346">
        <f>IF(AND(Inputs!$B$38&lt;&gt;"pvp",Inputs!$B$43&gt;0),IF(MAX(0,Inputs!$B$43-B2375)&lt;=0,0,(INT(MAX(0,Inputs!$B$43-B2375)/(IF(Inputs!$B$38="pvp",15,MAX(0.1,Skills!D7-IF(Skills!E7=TRUE,Inputs!$B$32,0)))*(1-IF(AND(ArtifactsInput!$M$27,Inputs!$B$4="Chapter Hunt"),CHOOSE(ArtifactsInput!$N$27+1,20,24,28,32,36,40),0)/100)))+1)),0)</f>
        <v/>
      </c>
      <c r="S2346">
        <f>IFERROR(O2346/N2346,0)</f>
        <v/>
      </c>
      <c r="T2346">
        <f>IF(C2346,(H2346*N2346*IF(AND(Inputs!$B$38&lt;&gt;"pvp",Inputs!$B$43&gt;0),((Skills!G7*((R2346-1)*IF(Skills!H7&gt;0,Skills!I7/Skills!H7,1)+IF(Skills!H7&gt;0,MIN(Skills!I7,MAX(0,MAX(0,Inputs!$B$43-B2375)-((R2346-1)*(IF(Inputs!$B$38="pvp",15,MAX(0.1,Skills!D7-IF(Skills!E7=TRUE,Inputs!$B$32,0)))*(1-IF(AND(ArtifactsInput!$M$27,Inputs!$B$4="Chapter Hunt"),CHOOSE(ArtifactsInput!$N$27+1,20,24,28,32,36,40),0)/100)))))/Skills!H7,1)))/Inputs!$B$43),G2346*Q2346)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2346*(1-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2346*(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2346*(1-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2346*(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46">
        <f>IF(C2346,(H2346*N2346*IF(AND(Inputs!$B$38&lt;&gt;"pvp",Inputs!$B$43&gt;0),((Skills!G7*((R2346-1)*IF(Skills!H7&gt;0,Skills!I7/Skills!H7,1)+IF(Skills!H7&gt;0,MIN(Skills!I7,MAX(0,MAX(0,Inputs!$B$43-B2375)-((R2346-1)*(IF(Inputs!$B$38="pvp",15,MAX(0.1,Skills!D7-IF(Skills!E7=TRUE,Inputs!$B$32,0)))*(1-IF(AND(ArtifactsInput!$M$27,Inputs!$B$4="Chapter Hunt"),CHOOSE(ArtifactsInput!$N$27+1,20,24,28,32,36,40),0)/100)))))/Skills!H7,1)))/Inputs!$B$43),G2346*Q2346)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47">
      <c r="A2347">
        <f>Skills!A8</f>
        <v/>
      </c>
      <c r="B2347">
        <f>Skills!B8</f>
        <v/>
      </c>
      <c r="C2347">
        <f>Inputs!$B$3&gt;=117</f>
        <v/>
      </c>
      <c r="D2347">
        <f>IF(Skills!C8=1,60+Inputs!$B$25+Inputs!$B$29,IF(Skills!C8=2,90+Inputs!$B$26+Inputs!$B$29,IF(Skills!C8=3,120+Inputs!$B$27+Inputs!$B$29,MAX(0,(Inputs!$B$3-100)*3)+Inputs!$B$28+Inputs!$B$29)))</f>
        <v/>
      </c>
      <c r="E2347">
        <f>INDEX(FactorTable!$B$2:$Y$301, MATCH(ROUND(MIN(300,MAX(1,D2347)),0), FactorTable!$A$2:$A$301,0), Skills!M8+1)</f>
        <v/>
      </c>
      <c r="F2347">
        <f>IF(Skills!N8=TRUE,(Skills!L8/10)*(E2347/1000),Skills!L8/10)+Skills!O8</f>
        <v/>
      </c>
      <c r="G2347">
        <f>Skills!G8*IF(Skills!H8&gt;0,Skills!I8/Skills!H8,1)</f>
        <v/>
      </c>
      <c r="H2347">
        <f>1-(1-Skills!J8/100)^Skills!K8</f>
        <v/>
      </c>
      <c r="I2347" t="inlineStr">
        <is>
          <t>1</t>
        </is>
      </c>
      <c r="J2347">
        <f>((Inputs!$B$6*(1+Inputs!$B$7/100))+(((Inputs!$B$12*(1+Inputs!$B$13/100))-(Inputs!$B$12*(1+Inputs!$B$13/100)))+0.25*(Inputs!$B$14-Inputs!$B$14))*(1+Inputs!$B$7/100))*(F2347/100)</f>
        <v/>
      </c>
      <c r="K2347">
        <f>J2347*(1+((Inputs!$B$12*(1+Inputs!$B$13/100))*0.01+Inputs!$B$14*0.0025)/100)*(1+Inputs!$B$15/100)*(1+Inputs!$B$16/100)*(5000/(6000+Inputs!$B$42*(1-(100*(1-(1-(Inputs!$B$19+0)/100)*(1-CHOOSE(ArtifactsInput!$N$40+1,5,6,7,8,9,10)/100)^(ArtifactsInput!$M$40-ArtifactsInput!$M$40)))/100)))*(1+(Inputs!$B$24+((C2364=TRUE)*(F2364-Calc!F25))+B2374)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2360=TRUE)*(F2360-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2362=TRUE)*(F2362-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2352=TRUE)*F2352*IF(Inputs!$B$3&gt;=110,7,5))+((C2354=TRUE)*F2354*IF(AND(Inputs!$B$38&lt;&gt;"pvp",Inputs!$B$43&gt;0),(((R2354-1)*(Skills!T15*(1+(Inputs!$B$34+(ArtifactsInput!$M$7-ArtifactsInput!$M$7)*CHOOSE(ArtifactsInput!$N$7+1,6,7.2,8.4,9.6,10.8,12))/100))+MIN((Skills!T15*(1+(Inputs!$B$34+(ArtifactsInput!$M$7-ArtifactsInput!$M$7)*CHOOSE(ArtifactsInput!$N$7+1,6,7.2,8.4,9.6,10.8,12))/100)),MAX(0,Inputs!$B$43-((R2354-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IF(ArtifactsInput!$M$35,FALSE,TRUE),Inputs!$B$4&lt;&gt;"Chapter Hunt"),CHOOSE(ArtifactsInput!$N$35+1,15,18,21,24,27,30)*(1-EXP(-(0.2*B2370)*5)),0)+IF(AND(ArtifactsInput!$M$22,Inputs!$B$4&lt;&gt;"Chapter Hunt"),CHOOSE(ArtifactsInput!$N$22+1,10,12,14,16,18,20)*((0*(((0.15*B2370*5))^0/1)+1*(((0.15*B2370*5))^1/1)+2*(((0.15*B2370*5))^2/2)+3*(((0.15*B2370*5))^3/6)+4*(((0.15*B2370*5))^4/24)+5*(((0.15*B2370*5))^5/120))/((((0.15*B2370*5))^0/1)+(((0.15*B2370*5))^1/1)+(((0.15*B2370*5))^2/2)+(((0.15*B2370*5))^3/6)+(((0.15*B2370*5))^4/24)+(((0.15*B2370*5))^5/120))),0)))/100)*I2347)</f>
        <v/>
      </c>
      <c r="L2347">
        <f>K2347*(MIN(Inputs!$B$22+((C2361=TRUE)*(F2361-Calc!F22)),(Inputs!$B$23+((C2363=TRUE)*(F2363-Calc!F24))+(IF(ArtifactsInput!$M$15,CHOOSE(ArtifactsInput!$N$15+1,25,30,35,40,45,50)/100*(Inputs!$B$11-Inputs!$B$11),0))))/100+(Inputs!$B$23+((C2363=TRUE)*(F2363-Calc!F24))+(IF(ArtifactsInput!$M$15,CHOOSE(ArtifactsInput!$N$15+1,25,30,35,40,45,50)/100*(Inputs!$B$11-Inputs!$B$11),0)))/100)/2</f>
        <v/>
      </c>
      <c r="M2347">
        <f>L2347*(1+(Inputs!$B$10+0+B2373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47">
        <f>L2347*(1-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2347*(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47">
        <f>(1-Summary!$B$11)*T2347+Summary!$B$11*V2347</f>
        <v/>
      </c>
      <c r="P2347">
        <f>IF(B2378=0,0,O2347/B2378)</f>
        <v/>
      </c>
      <c r="Q2347">
        <f>IFERROR(1/(IF(Inputs!$B$38="pvp",15,MAX(0.1,Skills!D8-IF(Skills!E8=TRUE,Inputs!$B$32,0)))*(1-IF(AND(ArtifactsInput!$M$27,Inputs!$B$4="Chapter Hunt"),CHOOSE(ArtifactsInput!$N$27+1,20,24,28,32,36,40),0)/100)),0)</f>
        <v/>
      </c>
      <c r="R2347">
        <f>IF(AND(Inputs!$B$38&lt;&gt;"pvp",Inputs!$B$43&gt;0),IF(MAX(0,Inputs!$B$43-B2375)&lt;=0,0,(INT(MAX(0,Inputs!$B$43-B2375)/(IF(Inputs!$B$38="pvp",15,MAX(0.1,Skills!D8-IF(Skills!E8=TRUE,Inputs!$B$32,0)))*(1-IF(AND(ArtifactsInput!$M$27,Inputs!$B$4="Chapter Hunt"),CHOOSE(ArtifactsInput!$N$27+1,20,24,28,32,36,40),0)/100)))+1)),0)</f>
        <v/>
      </c>
      <c r="S2347">
        <f>IFERROR(O2347/N2347,0)</f>
        <v/>
      </c>
      <c r="T2347">
        <f>IF(C2347,(H2347*N2347*IF(AND(Inputs!$B$38&lt;&gt;"pvp",Inputs!$B$43&gt;0),((Skills!G8*((R2347-1)*IF(Skills!H8&gt;0,Skills!I8/Skills!H8,1)+IF(Skills!H8&gt;0,MIN(Skills!I8,MAX(0,MAX(0,Inputs!$B$43-B2375)-((R2347-1)*(IF(Inputs!$B$38="pvp",15,MAX(0.1,Skills!D8-IF(Skills!E8=TRUE,Inputs!$B$32,0)))*(1-IF(AND(ArtifactsInput!$M$27,Inputs!$B$4="Chapter Hunt"),CHOOSE(ArtifactsInput!$N$27+1,20,24,28,32,36,40),0)/100)))))/Skills!H8,1)))/Inputs!$B$43),G2347*Q2347)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2347*(1-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2347*(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2347*(1-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2347*(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47">
        <f>IF(C2347,(H2347*N2347*IF(AND(Inputs!$B$38&lt;&gt;"pvp",Inputs!$B$43&gt;0),((Skills!G8*((R2347-1)*IF(Skills!H8&gt;0,Skills!I8/Skills!H8,1)+IF(Skills!H8&gt;0,MIN(Skills!I8,MAX(0,MAX(0,Inputs!$B$43-B2375)-((R2347-1)*(IF(Inputs!$B$38="pvp",15,MAX(0.1,Skills!D8-IF(Skills!E8=TRUE,Inputs!$B$32,0)))*(1-IF(AND(ArtifactsInput!$M$27,Inputs!$B$4="Chapter Hunt"),CHOOSE(ArtifactsInput!$N$27+1,20,24,28,32,36,40),0)/100)))))/Skills!H8,1)))/Inputs!$B$43),G2347*Q2347)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48">
      <c r="A2348">
        <f>Skills!A9</f>
        <v/>
      </c>
      <c r="B2348">
        <f>Skills!B9</f>
        <v/>
      </c>
      <c r="C2348">
        <f>Inputs!$B$3&gt;=69</f>
        <v/>
      </c>
      <c r="D2348">
        <f>IF(Skills!C9=1,60+Inputs!$B$25+Inputs!$B$29,IF(Skills!C9=2,90+Inputs!$B$26+Inputs!$B$29,IF(Skills!C9=3,120+Inputs!$B$27+Inputs!$B$29,MAX(0,(Inputs!$B$3-100)*3)+Inputs!$B$28+Inputs!$B$29)))</f>
        <v/>
      </c>
      <c r="E2348">
        <f>INDEX(FactorTable!$B$2:$Y$301, MATCH(ROUND(MIN(300,MAX(1,D2348)),0), FactorTable!$A$2:$A$301,0), Skills!M9+1)</f>
        <v/>
      </c>
      <c r="F2348">
        <f>IF(Skills!N9=TRUE,(Skills!L9/10)*(E2348/1000),Skills!L9/10)+Skills!O9</f>
        <v/>
      </c>
      <c r="G2348">
        <f>Skills!G9*IF(Skills!H9&gt;0,Skills!I9/Skills!H9,1)</f>
        <v/>
      </c>
      <c r="H2348">
        <f>1-(1-Skills!J9/100)^Skills!K9</f>
        <v/>
      </c>
      <c r="I2348" t="inlineStr">
        <is>
          <t>1</t>
        </is>
      </c>
      <c r="J2348">
        <f>((Inputs!$B$6*(1+Inputs!$B$7/100))+(((Inputs!$B$12*(1+Inputs!$B$13/100))-(Inputs!$B$12*(1+Inputs!$B$13/100)))+0.25*(Inputs!$B$14-Inputs!$B$14))*(1+Inputs!$B$7/100))*(F2348/100)</f>
        <v/>
      </c>
      <c r="K2348">
        <f>J2348*(1+((Inputs!$B$12*(1+Inputs!$B$13/100))*0.01+Inputs!$B$14*0.0025)/100)*(1+Inputs!$B$15/100)*(1+Inputs!$B$16/100)*(5000/(6000+Inputs!$B$42*(1-(100*(1-(1-(Inputs!$B$19+0)/100)*(1-CHOOSE(ArtifactsInput!$N$40+1,5,6,7,8,9,10)/100)^(ArtifactsInput!$M$40-ArtifactsInput!$M$40)))/100)))*(1+(Inputs!$B$24+((C2364=TRUE)*(F2364-Calc!F25))+B2374)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2351=TRUE,F2351,0)/100)*(1+IF(Skills!A9="ENHANCED_RAGING_BLOW",IF(Inputs!$B$3&gt;=134,MAX(0,IF(Inputs!$B$3&gt;=110,7,5)-5)*50,0),0)/100)*(1+(IF(Skills!A9="RAGING_BLOW",Inputs!$B$17+((C2360=TRUE)*(F2360-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2362=TRUE)*(F2362-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2352=TRUE)*F2352*IF(Inputs!$B$3&gt;=110,7,5))+((C2354=TRUE)*F2354*IF(AND(Inputs!$B$38&lt;&gt;"pvp",Inputs!$B$43&gt;0),(((R2354-1)*(Skills!T15*(1+(Inputs!$B$34+(ArtifactsInput!$M$7-ArtifactsInput!$M$7)*CHOOSE(ArtifactsInput!$N$7+1,6,7.2,8.4,9.6,10.8,12))/100))+MIN((Skills!T15*(1+(Inputs!$B$34+(ArtifactsInput!$M$7-ArtifactsInput!$M$7)*CHOOSE(ArtifactsInput!$N$7+1,6,7.2,8.4,9.6,10.8,12))/100)),MAX(0,Inputs!$B$43-((R2354-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IF(ArtifactsInput!$M$35,FALSE,TRUE),Inputs!$B$4&lt;&gt;"Chapter Hunt"),CHOOSE(ArtifactsInput!$N$35+1,15,18,21,24,27,30)*(1-EXP(-(0.2*B2370)*5)),0)+IF(AND(ArtifactsInput!$M$22,Inputs!$B$4&lt;&gt;"Chapter Hunt"),CHOOSE(ArtifactsInput!$N$22+1,10,12,14,16,18,20)*((0*(((0.15*B2370*5))^0/1)+1*(((0.15*B2370*5))^1/1)+2*(((0.15*B2370*5))^2/2)+3*(((0.15*B2370*5))^3/6)+4*(((0.15*B2370*5))^4/24)+5*(((0.15*B2370*5))^5/120))/((((0.15*B2370*5))^0/1)+(((0.15*B2370*5))^1/1)+(((0.15*B2370*5))^2/2)+(((0.15*B2370*5))^3/6)+(((0.15*B2370*5))^4/24)+(((0.15*B2370*5))^5/120))),0)))/100)*I2348)</f>
        <v/>
      </c>
      <c r="L2348">
        <f>K2348*(MIN(Inputs!$B$22+((C2361=TRUE)*(F2361-Calc!F22)),(Inputs!$B$23+((C2363=TRUE)*(F2363-Calc!F24))+(IF(ArtifactsInput!$M$15,CHOOSE(ArtifactsInput!$N$15+1,25,30,35,40,45,50)/100*(Inputs!$B$11-Inputs!$B$11),0))))/100+(Inputs!$B$23+((C2363=TRUE)*(F2363-Calc!F24))+(IF(ArtifactsInput!$M$15,CHOOSE(ArtifactsInput!$N$15+1,25,30,35,40,45,50)/100*(Inputs!$B$11-Inputs!$B$11),0)))/100)/2</f>
        <v/>
      </c>
      <c r="M2348">
        <f>L2348*(1+(Inputs!$B$10+0+B2373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48">
        <f>L2348*(1-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2348*(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48">
        <f>(1-Summary!$B$11)*T2348+Summary!$B$11*V2348</f>
        <v/>
      </c>
      <c r="P2348">
        <f>IF(B2378=0,0,O2348/B2378)</f>
        <v/>
      </c>
      <c r="Q2348">
        <f>IFERROR(1/(IF(Inputs!$B$38="pvp",15,MAX(0.1,Skills!D9-IF(Skills!E9=TRUE,Inputs!$B$32,0)))*(1-IF(AND(ArtifactsInput!$M$27,Inputs!$B$4="Chapter Hunt"),CHOOSE(ArtifactsInput!$N$27+1,20,24,28,32,36,40),0)/100)),0)</f>
        <v/>
      </c>
      <c r="R2348">
        <f>IF(AND(Inputs!$B$38&lt;&gt;"pvp",Inputs!$B$43&gt;0),IF(MAX(0,Inputs!$B$43-B2375)&lt;=0,0,(INT(MAX(0,Inputs!$B$43-B2375)/(IF(Inputs!$B$38="pvp",15,MAX(0.1,Skills!D9-IF(Skills!E9=TRUE,Inputs!$B$32,0)))*(1-IF(AND(ArtifactsInput!$M$27,Inputs!$B$4="Chapter Hunt"),CHOOSE(ArtifactsInput!$N$27+1,20,24,28,32,36,40),0)/100)))+1)),0)</f>
        <v/>
      </c>
      <c r="S2348">
        <f>IFERROR(O2348/N2348,0)</f>
        <v/>
      </c>
      <c r="T2348">
        <f>IF(C2348,(H2348*N2348*IF(AND(Inputs!$B$38&lt;&gt;"pvp",Inputs!$B$43&gt;0),((Skills!G9*((R2348-1)*IF(Skills!H9&gt;0,Skills!I9/Skills!H9,1)+IF(Skills!H9&gt;0,MIN(Skills!I9,MAX(0,MAX(0,Inputs!$B$43-B2375)-((R2348-1)*(IF(Inputs!$B$38="pvp",15,MAX(0.1,Skills!D9-IF(Skills!E9=TRUE,Inputs!$B$32,0)))*(1-IF(AND(ArtifactsInput!$M$27,Inputs!$B$4="Chapter Hunt"),CHOOSE(ArtifactsInput!$N$27+1,20,24,28,32,36,40),0)/100)))))/Skills!H9,1)))/Inputs!$B$43),G2348*Q2348)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2348*(1-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2348*(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2348*(1-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2348*(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48">
        <f>IF(C2348,(H2348*N2348*IF(AND(Inputs!$B$38&lt;&gt;"pvp",Inputs!$B$43&gt;0),((Skills!G9*((R2348-1)*IF(Skills!H9&gt;0,Skills!I9/Skills!H9,1)+IF(Skills!H9&gt;0,MIN(Skills!I9,MAX(0,MAX(0,Inputs!$B$43-B2375)-((R2348-1)*(IF(Inputs!$B$38="pvp",15,MAX(0.1,Skills!D9-IF(Skills!E9=TRUE,Inputs!$B$32,0)))*(1-IF(AND(ArtifactsInput!$M$27,Inputs!$B$4="Chapter Hunt"),CHOOSE(ArtifactsInput!$N$27+1,20,24,28,32,36,40),0)/100)))))/Skills!H9,1)))/Inputs!$B$43),G2348*Q2348)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49">
      <c r="A2349">
        <f>Skills!A10</f>
        <v/>
      </c>
      <c r="B2349">
        <f>Skills!B10</f>
        <v/>
      </c>
      <c r="C2349">
        <f>Inputs!$B$3&gt;=63</f>
        <v/>
      </c>
      <c r="D2349">
        <f>IF(Skills!C10=1,60+Inputs!$B$25+Inputs!$B$29,IF(Skills!C10=2,90+Inputs!$B$26+Inputs!$B$29,IF(Skills!C10=3,120+Inputs!$B$27+Inputs!$B$29,MAX(0,(Inputs!$B$3-100)*3)+Inputs!$B$28+Inputs!$B$29)))</f>
        <v/>
      </c>
      <c r="E2349">
        <f>INDEX(FactorTable!$B$2:$Y$301, MATCH(ROUND(MIN(300,MAX(1,D2349)),0), FactorTable!$A$2:$A$301,0), Skills!M10+1)</f>
        <v/>
      </c>
      <c r="F2349">
        <f>IF(Skills!N10=TRUE,(Skills!L10/10)*(E2349/1000),Skills!L10/10)+Skills!O10</f>
        <v/>
      </c>
      <c r="G2349">
        <f>Skills!G10*IF(Skills!H10&gt;0,Skills!I10/Skills!H10,1)</f>
        <v/>
      </c>
      <c r="H2349">
        <f>1-(1-Skills!J10/100)^Skills!K10</f>
        <v/>
      </c>
      <c r="I2349" t="inlineStr">
        <is>
          <t>1</t>
        </is>
      </c>
      <c r="J2349">
        <f>((Inputs!$B$6*(1+Inputs!$B$7/100))+(((Inputs!$B$12*(1+Inputs!$B$13/100))-(Inputs!$B$12*(1+Inputs!$B$13/100)))+0.25*(Inputs!$B$14-Inputs!$B$14))*(1+Inputs!$B$7/100))*(F2349/100)</f>
        <v/>
      </c>
      <c r="K2349">
        <f>J2349*(1+((Inputs!$B$12*(1+Inputs!$B$13/100))*0.01+Inputs!$B$14*0.0025)/100)*(1+Inputs!$B$15/100)*(1+Inputs!$B$16/100)*(5000/(6000+Inputs!$B$42*(1-(100*(1-(1-(Inputs!$B$19+0)/100)*(1-CHOOSE(ArtifactsInput!$N$40+1,5,6,7,8,9,10)/100)^(ArtifactsInput!$M$40-ArtifactsInput!$M$40)))/100)))*(1+(Inputs!$B$24+((C2364=TRUE)*(F2364-Calc!F25))+B2374)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2351=TRUE,F2351,0)/100)*(1+IF(Skills!A10="ENHANCED_RAGING_BLOW",IF(Inputs!$B$3&gt;=134,MAX(0,IF(Inputs!$B$3&gt;=110,7,5)-5)*50,0),0)/100)*(1+(IF(Skills!A10="RAGING_BLOW",Inputs!$B$17+((C2360=TRUE)*(F2360-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2362=TRUE)*(F2362-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2352=TRUE)*F2352*IF(Inputs!$B$3&gt;=110,7,5))+((C2354=TRUE)*F2354*IF(AND(Inputs!$B$38&lt;&gt;"pvp",Inputs!$B$43&gt;0),(((R2354-1)*(Skills!T15*(1+(Inputs!$B$34+(ArtifactsInput!$M$7-ArtifactsInput!$M$7)*CHOOSE(ArtifactsInput!$N$7+1,6,7.2,8.4,9.6,10.8,12))/100))+MIN((Skills!T15*(1+(Inputs!$B$34+(ArtifactsInput!$M$7-ArtifactsInput!$M$7)*CHOOSE(ArtifactsInput!$N$7+1,6,7.2,8.4,9.6,10.8,12))/100)),MAX(0,Inputs!$B$43-((R2354-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IF(ArtifactsInput!$M$35,FALSE,TRUE),Inputs!$B$4&lt;&gt;"Chapter Hunt"),CHOOSE(ArtifactsInput!$N$35+1,15,18,21,24,27,30)*(1-EXP(-(0.2*B2370)*5)),0)+IF(AND(ArtifactsInput!$M$22,Inputs!$B$4&lt;&gt;"Chapter Hunt"),CHOOSE(ArtifactsInput!$N$22+1,10,12,14,16,18,20)*((0*(((0.15*B2370*5))^0/1)+1*(((0.15*B2370*5))^1/1)+2*(((0.15*B2370*5))^2/2)+3*(((0.15*B2370*5))^3/6)+4*(((0.15*B2370*5))^4/24)+5*(((0.15*B2370*5))^5/120))/((((0.15*B2370*5))^0/1)+(((0.15*B2370*5))^1/1)+(((0.15*B2370*5))^2/2)+(((0.15*B2370*5))^3/6)+(((0.15*B2370*5))^4/24)+(((0.15*B2370*5))^5/120))),0)))/100)*I2349)</f>
        <v/>
      </c>
      <c r="L2349">
        <f>K2349*(MIN(Inputs!$B$22+((C2361=TRUE)*(F2361-Calc!F22)),(Inputs!$B$23+((C2363=TRUE)*(F2363-Calc!F24))+(IF(ArtifactsInput!$M$15,CHOOSE(ArtifactsInput!$N$15+1,25,30,35,40,45,50)/100*(Inputs!$B$11-Inputs!$B$11),0))))/100+(Inputs!$B$23+((C2363=TRUE)*(F2363-Calc!F24))+(IF(ArtifactsInput!$M$15,CHOOSE(ArtifactsInput!$N$15+1,25,30,35,40,45,50)/100*(Inputs!$B$11-Inputs!$B$11),0)))/100)/2</f>
        <v/>
      </c>
      <c r="M2349">
        <f>L2349*(1+(Inputs!$B$10+0+B2373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49">
        <f>L2349*(1-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2349*(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49">
        <f>(1-Summary!$B$11)*T2349+Summary!$B$11*V2349</f>
        <v/>
      </c>
      <c r="P2349">
        <f>IF(B2378=0,0,O2349/B2378)</f>
        <v/>
      </c>
      <c r="Q2349">
        <f>IFERROR(1/(IF(Inputs!$B$38="pvp",15,MAX(0.1,Skills!D10-IF(Skills!E10=TRUE,Inputs!$B$32,0)))*(1-IF(AND(ArtifactsInput!$M$27,Inputs!$B$4="Chapter Hunt"),CHOOSE(ArtifactsInput!$N$27+1,20,24,28,32,36,40),0)/100)),0)</f>
        <v/>
      </c>
      <c r="R2349">
        <f>IF(AND(Inputs!$B$38&lt;&gt;"pvp",Inputs!$B$43&gt;0),IF(MAX(0,Inputs!$B$43-B2375)&lt;=0,0,(INT(MAX(0,Inputs!$B$43-B2375)/(IF(Inputs!$B$38="pvp",15,MAX(0.1,Skills!D10-IF(Skills!E10=TRUE,Inputs!$B$32,0)))*(1-IF(AND(ArtifactsInput!$M$27,Inputs!$B$4="Chapter Hunt"),CHOOSE(ArtifactsInput!$N$27+1,20,24,28,32,36,40),0)/100)))+1)),0)</f>
        <v/>
      </c>
      <c r="S2349">
        <f>IFERROR(O2349/N2349,0)</f>
        <v/>
      </c>
      <c r="T2349">
        <f>IF(C2349,(H2349*N2349*IF(AND(Inputs!$B$38&lt;&gt;"pvp",Inputs!$B$43&gt;0),((Skills!G10*((R2349-1)*IF(Skills!H10&gt;0,Skills!I10/Skills!H10,1)+IF(Skills!H10&gt;0,MIN(Skills!I10,MAX(0,MAX(0,Inputs!$B$43-B2375)-((R2349-1)*(IF(Inputs!$B$38="pvp",15,MAX(0.1,Skills!D10-IF(Skills!E10=TRUE,Inputs!$B$32,0)))*(1-IF(AND(ArtifactsInput!$M$27,Inputs!$B$4="Chapter Hunt"),CHOOSE(ArtifactsInput!$N$27+1,20,24,28,32,36,40),0)/100)))))/Skills!H10,1)))/Inputs!$B$43),G2349*Q2349)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2349*(1-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2349*(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2349*(1-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2349*(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49">
        <f>IF(C2349,(H2349*N2349*IF(AND(Inputs!$B$38&lt;&gt;"pvp",Inputs!$B$43&gt;0),((Skills!G10*((R2349-1)*IF(Skills!H10&gt;0,Skills!I10/Skills!H10,1)+IF(Skills!H10&gt;0,MIN(Skills!I10,MAX(0,MAX(0,Inputs!$B$43-B2375)-((R2349-1)*(IF(Inputs!$B$38="pvp",15,MAX(0.1,Skills!D10-IF(Skills!E10=TRUE,Inputs!$B$32,0)))*(1-IF(AND(ArtifactsInput!$M$27,Inputs!$B$4="Chapter Hunt"),CHOOSE(ArtifactsInput!$N$27+1,20,24,28,32,36,40),0)/100)))))/Skills!H10,1)))/Inputs!$B$43),G2349*Q2349)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50">
      <c r="A2350">
        <f>Skills!A11</f>
        <v/>
      </c>
      <c r="B2350">
        <f>Skills!B11</f>
        <v/>
      </c>
      <c r="C2350">
        <f>Inputs!$B$3&gt;=35</f>
        <v/>
      </c>
      <c r="D2350">
        <f>IF(Skills!C11=1,60+Inputs!$B$25+Inputs!$B$29,IF(Skills!C11=2,90+Inputs!$B$26+Inputs!$B$29,IF(Skills!C11=3,120+Inputs!$B$27+Inputs!$B$29,MAX(0,(Inputs!$B$3-100)*3)+Inputs!$B$28+Inputs!$B$29)))</f>
        <v/>
      </c>
      <c r="E2350">
        <f>INDEX(FactorTable!$B$2:$Y$301, MATCH(ROUND(MIN(300,MAX(1,D2350)),0), FactorTable!$A$2:$A$301,0), Skills!M11+1)</f>
        <v/>
      </c>
      <c r="F2350">
        <f>IF(Skills!N11=TRUE,(Skills!L11/10)*(E2350/1000),Skills!L11/10)+Skills!O11</f>
        <v/>
      </c>
      <c r="G2350">
        <f>Skills!G11*IF(Skills!H11&gt;0,Skills!I11/Skills!H11,1)</f>
        <v/>
      </c>
      <c r="H2350">
        <f>1-(1-Skills!J11/100)^Skills!K11</f>
        <v/>
      </c>
      <c r="I2350" t="inlineStr">
        <is>
          <t>1</t>
        </is>
      </c>
      <c r="J2350">
        <f>((Inputs!$B$6*(1+Inputs!$B$7/100))+(((Inputs!$B$12*(1+Inputs!$B$13/100))-(Inputs!$B$12*(1+Inputs!$B$13/100)))+0.25*(Inputs!$B$14-Inputs!$B$14))*(1+Inputs!$B$7/100))*(F2350/100)</f>
        <v/>
      </c>
      <c r="K2350">
        <f>J2350*(1+((Inputs!$B$12*(1+Inputs!$B$13/100))*0.01+Inputs!$B$14*0.0025)/100)*(1+Inputs!$B$15/100)*(1+Inputs!$B$16/100)*(5000/(6000+Inputs!$B$42*(1-(100*(1-(1-(Inputs!$B$19+0)/100)*(1-CHOOSE(ArtifactsInput!$N$40+1,5,6,7,8,9,10)/100)^(ArtifactsInput!$M$40-ArtifactsInput!$M$40)))/100)))*(1+(Inputs!$B$24+((C2364=TRUE)*(F2364-Calc!F25))+B2374)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2351=TRUE,F2351,0)/100)*(1+IF(Skills!A11="ENHANCED_RAGING_BLOW",IF(Inputs!$B$3&gt;=134,MAX(0,IF(Inputs!$B$3&gt;=110,7,5)-5)*50,0),0)/100)*(1+(IF(Skills!A11="RAGING_BLOW",Inputs!$B$17+((C2360=TRUE)*(F2360-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2362=TRUE)*(F2362-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2352=TRUE)*F2352*IF(Inputs!$B$3&gt;=110,7,5))+((C2354=TRUE)*F2354*IF(AND(Inputs!$B$38&lt;&gt;"pvp",Inputs!$B$43&gt;0),(((R2354-1)*(Skills!T15*(1+(Inputs!$B$34+(ArtifactsInput!$M$7-ArtifactsInput!$M$7)*CHOOSE(ArtifactsInput!$N$7+1,6,7.2,8.4,9.6,10.8,12))/100))+MIN((Skills!T15*(1+(Inputs!$B$34+(ArtifactsInput!$M$7-ArtifactsInput!$M$7)*CHOOSE(ArtifactsInput!$N$7+1,6,7.2,8.4,9.6,10.8,12))/100)),MAX(0,Inputs!$B$43-((R2354-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IF(ArtifactsInput!$M$35,FALSE,TRUE),Inputs!$B$4&lt;&gt;"Chapter Hunt"),CHOOSE(ArtifactsInput!$N$35+1,15,18,21,24,27,30)*(1-EXP(-(0.2*B2370)*5)),0)+IF(AND(ArtifactsInput!$M$22,Inputs!$B$4&lt;&gt;"Chapter Hunt"),CHOOSE(ArtifactsInput!$N$22+1,10,12,14,16,18,20)*((0*(((0.15*B2370*5))^0/1)+1*(((0.15*B2370*5))^1/1)+2*(((0.15*B2370*5))^2/2)+3*(((0.15*B2370*5))^3/6)+4*(((0.15*B2370*5))^4/24)+5*(((0.15*B2370*5))^5/120))/((((0.15*B2370*5))^0/1)+(((0.15*B2370*5))^1/1)+(((0.15*B2370*5))^2/2)+(((0.15*B2370*5))^3/6)+(((0.15*B2370*5))^4/24)+(((0.15*B2370*5))^5/120))),0)))/100)*I2350)</f>
        <v/>
      </c>
      <c r="L2350">
        <f>K2350*(MIN(Inputs!$B$22+((C2361=TRUE)*(F2361-Calc!F22)),(Inputs!$B$23+((C2363=TRUE)*(F2363-Calc!F24))+(IF(ArtifactsInput!$M$15,CHOOSE(ArtifactsInput!$N$15+1,25,30,35,40,45,50)/100*(Inputs!$B$11-Inputs!$B$11),0))))/100+(Inputs!$B$23+((C2363=TRUE)*(F2363-Calc!F24))+(IF(ArtifactsInput!$M$15,CHOOSE(ArtifactsInput!$N$15+1,25,30,35,40,45,50)/100*(Inputs!$B$11-Inputs!$B$11),0)))/100)/2</f>
        <v/>
      </c>
      <c r="M2350">
        <f>L2350*(1+(Inputs!$B$10+0+B2373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50">
        <f>L2350*(1-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2350*(MIN((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50">
        <f>(1-Summary!$B$11)*T2350+Summary!$B$11*V2350</f>
        <v/>
      </c>
      <c r="P2350">
        <f>IF(B2378=0,0,O2350/B2378)</f>
        <v/>
      </c>
      <c r="Q2350">
        <f>IFERROR(1/(IF(Inputs!$B$38="pvp",15,MAX(0.1,Skills!D11-IF(Skills!E11=TRUE,Inputs!$B$32,0)))*(1-IF(AND(ArtifactsInput!$M$27,Inputs!$B$4="Chapter Hunt"),CHOOSE(ArtifactsInput!$N$27+1,20,24,28,32,36,40),0)/100)),0)</f>
        <v/>
      </c>
      <c r="R2350">
        <f>IF(AND(Inputs!$B$38&lt;&gt;"pvp",Inputs!$B$43&gt;0),IF(MAX(0,Inputs!$B$43-B2375)&lt;=0,0,(INT(MAX(0,Inputs!$B$43-B2375)/(IF(Inputs!$B$38="pvp",15,MAX(0.1,Skills!D11-IF(Skills!E11=TRUE,Inputs!$B$32,0)))*(1-IF(AND(ArtifactsInput!$M$27,Inputs!$B$4="Chapter Hunt"),CHOOSE(ArtifactsInput!$N$27+1,20,24,28,32,36,40),0)/100)))+1)),0)</f>
        <v/>
      </c>
      <c r="S2350">
        <f>IFERROR(O2350/N2350,0)</f>
        <v/>
      </c>
      <c r="T2350">
        <f>IF(C2350,(H2350*N2350*IF(AND(Inputs!$B$38&lt;&gt;"pvp",Inputs!$B$43&gt;0),((Skills!G11*((R2350-1)*IF(Skills!H11&gt;0,Skills!I11/Skills!H11,1)+IF(Skills!H11&gt;0,MIN(Skills!I11,MAX(0,MAX(0,Inputs!$B$43-B2375)-((R2350-1)*(IF(Inputs!$B$38="pvp",15,MAX(0.1,Skills!D11-IF(Skills!E11=TRUE,Inputs!$B$32,0)))*(1-IF(AND(ArtifactsInput!$M$27,Inputs!$B$4="Chapter Hunt"),CHOOSE(ArtifactsInput!$N$27+1,20,24,28,32,36,40),0)/100)))))/Skills!H11,1)))/Inputs!$B$43),G2350*Q2350)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2350*(1-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2350*(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2350*(1-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2350*(MIN(100,(Inputs!$B$9+((C2365=TRUE)*(F2365-Calc!F26))+B2368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50">
        <f>IF(C2350,(H2350*N2350*IF(AND(Inputs!$B$38&lt;&gt;"pvp",Inputs!$B$43&gt;0),((Skills!G11*((R2350-1)*IF(Skills!H11&gt;0,Skills!I11/Skills!H11,1)+IF(Skills!H11&gt;0,MIN(Skills!I11,MAX(0,MAX(0,Inputs!$B$43-B2375)-((R2350-1)*(IF(Inputs!$B$38="pvp",15,MAX(0.1,Skills!D11-IF(Skills!E11=TRUE,Inputs!$B$32,0)))*(1-IF(AND(ArtifactsInput!$M$27,Inputs!$B$4="Chapter Hunt"),CHOOSE(ArtifactsInput!$N$27+1,20,24,28,32,36,40),0)/100)))))/Skills!H11,1)))/Inputs!$B$43),G2350*Q2350)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51">
      <c r="A2351">
        <f>Skills!A12</f>
        <v/>
      </c>
      <c r="B2351">
        <f>Skills!B12</f>
        <v/>
      </c>
      <c r="C2351">
        <f>Inputs!$B$3&gt;=100</f>
        <v/>
      </c>
      <c r="D2351">
        <f>IF(Skills!C12=1,60+Inputs!$B$25+Inputs!$B$29,IF(Skills!C12=2,90+Inputs!$B$26+Inputs!$B$29,IF(Skills!C12=3,120+Inputs!$B$27+Inputs!$B$29,MAX(0,(Inputs!$B$3-100)*3)+Inputs!$B$28+Inputs!$B$29)))</f>
        <v/>
      </c>
      <c r="E2351">
        <f>INDEX(FactorTable!$B$2:$Y$301, MATCH(ROUND(MIN(300,MAX(1,D2351)),0), FactorTable!$A$2:$A$301,0), Skills!M12+1)</f>
        <v/>
      </c>
      <c r="F2351">
        <f>IF(Skills!N12=TRUE,(Skills!L12/10)*(E2351/1000),Skills!L12/10)+Skills!O12</f>
        <v/>
      </c>
      <c r="G2351" t="inlineStr"/>
      <c r="H2351" t="inlineStr"/>
      <c r="I2351" t="inlineStr">
        <is>
          <t>1</t>
        </is>
      </c>
      <c r="J2351" t="inlineStr"/>
      <c r="K2351" t="inlineStr"/>
      <c r="L2351" t="inlineStr"/>
      <c r="M2351" t="inlineStr"/>
      <c r="N2351" t="inlineStr"/>
      <c r="O2351" t="inlineStr"/>
      <c r="P2351" t="inlineStr"/>
      <c r="Q2351" t="inlineStr"/>
      <c r="R2351" t="inlineStr"/>
      <c r="S2351" t="inlineStr"/>
    </row>
    <row r="2352">
      <c r="A2352">
        <f>Skills!A13</f>
        <v/>
      </c>
      <c r="B2352">
        <f>Skills!B13</f>
        <v/>
      </c>
      <c r="C2352">
        <f>Inputs!$B$3&gt;=45</f>
        <v/>
      </c>
      <c r="D2352">
        <f>IF(Skills!C13=1,60+Inputs!$B$25+Inputs!$B$29,IF(Skills!C13=2,90+Inputs!$B$26+Inputs!$B$29,IF(Skills!C13=3,120+Inputs!$B$27+Inputs!$B$29,MAX(0,(Inputs!$B$3-100)*3)+Inputs!$B$28+Inputs!$B$29)))</f>
        <v/>
      </c>
      <c r="E2352">
        <f>INDEX(FactorTable!$B$2:$Y$301, MATCH(ROUND(MIN(300,MAX(1,D2352)),0), FactorTable!$A$2:$A$301,0), Skills!M13+1)</f>
        <v/>
      </c>
      <c r="F2352">
        <f>IF(Skills!N13=TRUE,(Skills!L13/10)*(E2352/1000),Skills!L13/10)+Skills!O13</f>
        <v/>
      </c>
      <c r="G2352">
        <f>Skills!G13*IF(Skills!H13&gt;0,Skills!I13/Skills!H13,1)</f>
        <v/>
      </c>
      <c r="H2352">
        <f>1-(1-Skills!J13/100)^Skills!K13</f>
        <v/>
      </c>
      <c r="I2352" t="inlineStr">
        <is>
          <t>1</t>
        </is>
      </c>
      <c r="J2352" t="inlineStr"/>
      <c r="K2352" t="inlineStr"/>
      <c r="L2352" t="inlineStr"/>
      <c r="M2352" t="inlineStr"/>
      <c r="N2352" t="inlineStr"/>
      <c r="O2352">
        <f>(1-Summary!$B$11)*T2352+Summary!$B$11*V2352</f>
        <v/>
      </c>
      <c r="P2352">
        <f>IF(B2378=0,0,O2352/B2378)</f>
        <v/>
      </c>
      <c r="Q2352" t="n">
        <v>0</v>
      </c>
      <c r="R2352" t="n">
        <v>0</v>
      </c>
      <c r="S2352">
        <f>IFERROR(O2352/N2352,0)</f>
        <v/>
      </c>
      <c r="T2352" t="n">
        <v>0</v>
      </c>
      <c r="V2352" t="n">
        <v>0</v>
      </c>
    </row>
    <row r="2353">
      <c r="A2353">
        <f>Skills!A14</f>
        <v/>
      </c>
      <c r="B2353">
        <f>Skills!B14</f>
        <v/>
      </c>
      <c r="C2353">
        <f>Inputs!$B$3&gt;=75</f>
        <v/>
      </c>
      <c r="D2353">
        <f>IF(Skills!C14=1,60+Inputs!$B$25+Inputs!$B$29,IF(Skills!C14=2,90+Inputs!$B$26+Inputs!$B$29,IF(Skills!C14=3,120+Inputs!$B$27+Inputs!$B$29,MAX(0,(Inputs!$B$3-100)*3)+Inputs!$B$28+Inputs!$B$29)))</f>
        <v/>
      </c>
      <c r="E2353">
        <f>INDEX(FactorTable!$B$2:$Y$301, MATCH(ROUND(MIN(300,MAX(1,D2353)),0), FactorTable!$A$2:$A$301,0), Skills!M14+1)</f>
        <v/>
      </c>
      <c r="F2353">
        <f>IF(Skills!N14=TRUE,(Skills!L14/10)*(E2353/1000),Skills!L14/10)+Skills!O14</f>
        <v/>
      </c>
      <c r="G2353">
        <f>Skills!G14*IF(Skills!H14&gt;0,Skills!I14/Skills!H14,1)</f>
        <v/>
      </c>
      <c r="H2353">
        <f>1-(1-Skills!J14/100)^Skills!K14</f>
        <v/>
      </c>
      <c r="I2353" t="inlineStr">
        <is>
          <t>1</t>
        </is>
      </c>
      <c r="J2353" t="inlineStr"/>
      <c r="K2353" t="inlineStr"/>
      <c r="L2353" t="inlineStr"/>
      <c r="M2353" t="inlineStr"/>
      <c r="N2353" t="inlineStr"/>
      <c r="O2353">
        <f>(1-Summary!$B$11)*T2353+Summary!$B$11*V2353</f>
        <v/>
      </c>
      <c r="P2353">
        <f>IF(B2378=0,0,O2353/B2378)</f>
        <v/>
      </c>
      <c r="Q2353" t="n">
        <v>0</v>
      </c>
      <c r="R2353" t="n">
        <v>0</v>
      </c>
      <c r="S2353">
        <f>IFERROR(O2353/N2353,0)</f>
        <v/>
      </c>
      <c r="T2353" t="n">
        <v>0</v>
      </c>
      <c r="V2353" t="n">
        <v>0</v>
      </c>
    </row>
    <row r="2354">
      <c r="A2354">
        <f>Skills!A15</f>
        <v/>
      </c>
      <c r="B2354">
        <f>Skills!B15</f>
        <v/>
      </c>
      <c r="C2354">
        <f>Inputs!$B$3&gt;=40</f>
        <v/>
      </c>
      <c r="D2354">
        <f>IF(Skills!C15=1,60+Inputs!$B$25+Inputs!$B$29,IF(Skills!C15=2,90+Inputs!$B$26+Inputs!$B$29,IF(Skills!C15=3,120+Inputs!$B$27+Inputs!$B$29,MAX(0,(Inputs!$B$3-100)*3)+Inputs!$B$28+Inputs!$B$29)))</f>
        <v/>
      </c>
      <c r="E2354">
        <f>INDEX(FactorTable!$B$2:$Y$301, MATCH(ROUND(MIN(300,MAX(1,D2354)),0), FactorTable!$A$2:$A$301,0), Skills!M15+1)</f>
        <v/>
      </c>
      <c r="F2354">
        <f>IF(Skills!N15=TRUE,(Skills!L15/10)*(E2354/1000),Skills!L15/10)+Skills!O15</f>
        <v/>
      </c>
      <c r="G2354">
        <f>Skills!G15*IF(Skills!H15&gt;0,Skills!I15/Skills!H15,1)</f>
        <v/>
      </c>
      <c r="H2354">
        <f>1-(1-Skills!J15/100)^Skills!K15</f>
        <v/>
      </c>
      <c r="I2354" t="inlineStr">
        <is>
          <t>1</t>
        </is>
      </c>
      <c r="J2354" t="inlineStr"/>
      <c r="K2354" t="inlineStr"/>
      <c r="L2354" t="inlineStr"/>
      <c r="M2354" t="inlineStr"/>
      <c r="N2354" t="inlineStr"/>
      <c r="O2354">
        <f>(1-Summary!$B$11)*T2354+Summary!$B$11*V2354</f>
        <v/>
      </c>
      <c r="P2354">
        <f>IF(B2378=0,0,O2354/B2378)</f>
        <v/>
      </c>
      <c r="Q2354">
        <f>IFERROR(1/(IF(Inputs!$B$38="pvp",15,MAX(0.1,Skills!D15-IF(Skills!E15=TRUE,Inputs!$B$32,0)))*(1-IF(AND(ArtifactsInput!$M$27,Inputs!$B$4="Chapter Hunt"),CHOOSE(ArtifactsInput!$N$27+1,20,24,28,32,36,40),0)/100)),0)</f>
        <v/>
      </c>
      <c r="R2354">
        <f>IF(AND(Inputs!$B$38&lt;&gt;"pvp",Inputs!$B$43&gt;0),IF(Inputs!$B$43&lt;=0,0,(INT(Inputs!$B$43/(IF(Inputs!$B$38="pvp",15,MAX(0.1,Skills!D15-IF(Skills!E15=TRUE,Inputs!$B$32,0)))*(1-IF(AND(ArtifactsInput!$M$27,Inputs!$B$4="Chapter Hunt"),CHOOSE(ArtifactsInput!$N$27+1,20,24,28,32,36,40),0)/100)))+1)),0)</f>
        <v/>
      </c>
      <c r="S2354">
        <f>IFERROR(O2354/N2354,0)</f>
        <v/>
      </c>
      <c r="T2354" t="n">
        <v>0</v>
      </c>
      <c r="V2354" t="n">
        <v>0</v>
      </c>
    </row>
    <row r="2355">
      <c r="A2355">
        <f>Skills!A16</f>
        <v/>
      </c>
      <c r="B2355">
        <f>Skills!B16</f>
        <v/>
      </c>
      <c r="C2355">
        <f>Inputs!$B$3&gt;=66</f>
        <v/>
      </c>
      <c r="D2355">
        <f>IF(Skills!C16=1,60+Inputs!$B$25+Inputs!$B$29,IF(Skills!C16=2,90+Inputs!$B$26+Inputs!$B$29,IF(Skills!C16=3,120+Inputs!$B$27+Inputs!$B$29,MAX(0,(Inputs!$B$3-100)*3)+Inputs!$B$28+Inputs!$B$29)))</f>
        <v/>
      </c>
      <c r="E2355">
        <f>INDEX(FactorTable!$B$2:$Y$301, MATCH(ROUND(MIN(300,MAX(1,D2355)),0), FactorTable!$A$2:$A$301,0), Skills!M16+1)</f>
        <v/>
      </c>
      <c r="F2355">
        <f>IF(Skills!N16=TRUE,(Skills!L16/10)*(E2355/1000),Skills!L16/10)+Skills!O16</f>
        <v/>
      </c>
      <c r="G2355">
        <f>Skills!G16*IF(Skills!H16&gt;0,Skills!I16/Skills!H16,1)</f>
        <v/>
      </c>
      <c r="H2355">
        <f>1-(1-Skills!J16/100)^Skills!K16</f>
        <v/>
      </c>
      <c r="I2355" t="inlineStr">
        <is>
          <t>1</t>
        </is>
      </c>
      <c r="J2355" t="inlineStr"/>
      <c r="K2355" t="inlineStr"/>
      <c r="L2355" t="inlineStr"/>
      <c r="M2355" t="inlineStr"/>
      <c r="N2355" t="inlineStr"/>
      <c r="O2355">
        <f>(1-Summary!$B$11)*T2355+Summary!$B$11*V2355</f>
        <v/>
      </c>
      <c r="P2355">
        <f>IF(B2378=0,0,O2355/B2378)</f>
        <v/>
      </c>
      <c r="Q2355">
        <f>IFERROR(1/(IF(Inputs!$B$38="pvp",15,MAX(0.1,Skills!D16-IF(Skills!E16=TRUE,Inputs!$B$32,0)))*(1-IF(AND(ArtifactsInput!$M$27,Inputs!$B$4="Chapter Hunt"),CHOOSE(ArtifactsInput!$N$27+1,20,24,28,32,36,40),0)/100)),0)</f>
        <v/>
      </c>
      <c r="R2355">
        <f>IF(AND(Inputs!$B$38&lt;&gt;"pvp",Inputs!$B$43&gt;0),IF(Inputs!$B$43&lt;=0,0,(INT(Inputs!$B$43/(IF(Inputs!$B$38="pvp",15,MAX(0.1,Skills!D16-IF(Skills!E16=TRUE,Inputs!$B$32,0)))*(1-IF(AND(ArtifactsInput!$M$27,Inputs!$B$4="Chapter Hunt"),CHOOSE(ArtifactsInput!$N$27+1,20,24,28,32,36,40),0)/100)))+1)),0)</f>
        <v/>
      </c>
      <c r="S2355">
        <f>IFERROR(O2355/N2355,0)</f>
        <v/>
      </c>
      <c r="T2355" t="n">
        <v>0</v>
      </c>
      <c r="V2355" t="n">
        <v>0</v>
      </c>
    </row>
    <row r="2356">
      <c r="A2356">
        <f>Skills!A17</f>
        <v/>
      </c>
      <c r="B2356">
        <f>Skills!B17</f>
        <v/>
      </c>
      <c r="C2356">
        <f>Inputs!$B$3&gt;=115</f>
        <v/>
      </c>
      <c r="D2356">
        <f>IF(Skills!C17=1,60+Inputs!$B$25+Inputs!$B$29,IF(Skills!C17=2,90+Inputs!$B$26+Inputs!$B$29,IF(Skills!C17=3,120+Inputs!$B$27+Inputs!$B$29,MAX(0,(Inputs!$B$3-100)*3)+Inputs!$B$28+Inputs!$B$29)))</f>
        <v/>
      </c>
      <c r="E2356">
        <f>INDEX(FactorTable!$B$2:$Y$301, MATCH(ROUND(MIN(300,MAX(1,D2356)),0), FactorTable!$A$2:$A$301,0), Skills!M17+1)</f>
        <v/>
      </c>
      <c r="F2356">
        <f>IF(Skills!N17=TRUE,(Skills!L17/10)*(E2356/1000),Skills!L17/10)+Skills!O17</f>
        <v/>
      </c>
      <c r="G2356">
        <f>Skills!G17*IF(Skills!H17&gt;0,Skills!I17/Skills!H17,1)</f>
        <v/>
      </c>
      <c r="H2356">
        <f>1-(1-Skills!J17/100)^Skills!K17</f>
        <v/>
      </c>
      <c r="I2356" t="inlineStr">
        <is>
          <t>1</t>
        </is>
      </c>
      <c r="J2356" t="inlineStr"/>
      <c r="K2356" t="inlineStr"/>
      <c r="L2356" t="inlineStr"/>
      <c r="M2356" t="inlineStr"/>
      <c r="N2356" t="inlineStr"/>
      <c r="O2356">
        <f>(1-Summary!$B$11)*T2356+Summary!$B$11*V2356</f>
        <v/>
      </c>
      <c r="P2356">
        <f>IF(B2378=0,0,O2356/B2378)</f>
        <v/>
      </c>
      <c r="Q2356">
        <f>IFERROR(1/(IF(Inputs!$B$38="pvp",15,MAX(0.1,Skills!D17-IF(Skills!E17=TRUE,Inputs!$B$32,0)))*(1-IF(AND(ArtifactsInput!$M$27,Inputs!$B$4="Chapter Hunt"),CHOOSE(ArtifactsInput!$N$27+1,20,24,28,32,36,40),0)/100)),0)</f>
        <v/>
      </c>
      <c r="R2356">
        <f>IF(AND(Inputs!$B$38&lt;&gt;"pvp",Inputs!$B$43&gt;0),IF(Inputs!$B$43&lt;=0,0,(INT(Inputs!$B$43/(IF(Inputs!$B$38="pvp",15,MAX(0.1,Skills!D17-IF(Skills!E17=TRUE,Inputs!$B$32,0)))*(1-IF(AND(ArtifactsInput!$M$27,Inputs!$B$4="Chapter Hunt"),CHOOSE(ArtifactsInput!$N$27+1,20,24,28,32,36,40),0)/100)))+1)),0)</f>
        <v/>
      </c>
      <c r="S2356">
        <f>IFERROR(O2356/N2356,0)</f>
        <v/>
      </c>
      <c r="T2356" t="n">
        <v>0</v>
      </c>
      <c r="V2356" t="n">
        <v>0</v>
      </c>
    </row>
    <row r="2357">
      <c r="A2357">
        <f>Skills!A18</f>
        <v/>
      </c>
      <c r="B2357">
        <f>Skills!B18</f>
        <v/>
      </c>
      <c r="C2357">
        <f>Inputs!$B$3&gt;=115</f>
        <v/>
      </c>
      <c r="D2357">
        <f>IF(Skills!C18=1,60+Inputs!$B$25+Inputs!$B$29,IF(Skills!C18=2,90+Inputs!$B$26+Inputs!$B$29,IF(Skills!C18=3,120+Inputs!$B$27+Inputs!$B$29,MAX(0,(Inputs!$B$3-100)*3)+Inputs!$B$28+Inputs!$B$29)))</f>
        <v/>
      </c>
      <c r="E2357">
        <f>INDEX(FactorTable!$B$2:$Y$301, MATCH(ROUND(MIN(300,MAX(1,D2357)),0), FactorTable!$A$2:$A$301,0), Skills!M18+1)</f>
        <v/>
      </c>
      <c r="F2357">
        <f>IF(Skills!N18=TRUE,(Skills!L18/10)*(E2357/1000),Skills!L18/10)+Skills!O18</f>
        <v/>
      </c>
      <c r="G2357">
        <f>Skills!G18*IF(Skills!H18&gt;0,Skills!I18/Skills!H18,1)</f>
        <v/>
      </c>
      <c r="H2357">
        <f>1-(1-Skills!J18/100)^Skills!K18</f>
        <v/>
      </c>
      <c r="I2357" t="inlineStr">
        <is>
          <t>1</t>
        </is>
      </c>
      <c r="J2357" t="inlineStr"/>
      <c r="K2357" t="inlineStr"/>
      <c r="L2357" t="inlineStr"/>
      <c r="M2357" t="inlineStr"/>
      <c r="N2357" t="inlineStr"/>
      <c r="O2357">
        <f>(1-Summary!$B$11)*T2357+Summary!$B$11*V2357</f>
        <v/>
      </c>
      <c r="P2357">
        <f>IF(B2378=0,0,O2357/B2378)</f>
        <v/>
      </c>
      <c r="Q2357">
        <f>IFERROR(1/(IF(Inputs!$B$38="pvp",15,MAX(0.1,Skills!D18-IF(Skills!E18=TRUE,Inputs!$B$32,0)))*(1-IF(AND(ArtifactsInput!$M$27,Inputs!$B$4="Chapter Hunt"),CHOOSE(ArtifactsInput!$N$27+1,20,24,28,32,36,40),0)/100)),0)</f>
        <v/>
      </c>
      <c r="R2357">
        <f>IF(AND(Inputs!$B$38&lt;&gt;"pvp",Inputs!$B$43&gt;0),IF(Inputs!$B$43&lt;=0,0,(INT(Inputs!$B$43/(IF(Inputs!$B$38="pvp",15,MAX(0.1,Skills!D18-IF(Skills!E18=TRUE,Inputs!$B$32,0)))*(1-IF(AND(ArtifactsInput!$M$27,Inputs!$B$4="Chapter Hunt"),CHOOSE(ArtifactsInput!$N$27+1,20,24,28,32,36,40),0)/100)))+1)),0)</f>
        <v/>
      </c>
      <c r="S2357">
        <f>IFERROR(O2357/N2357,0)</f>
        <v/>
      </c>
      <c r="T2357" t="n">
        <v>0</v>
      </c>
      <c r="V2357" t="n">
        <v>0</v>
      </c>
    </row>
    <row r="2358">
      <c r="A2358">
        <f>Skills!A19</f>
        <v/>
      </c>
      <c r="B2358">
        <f>Skills!B19</f>
        <v/>
      </c>
      <c r="C2358">
        <f>TRUE</f>
        <v/>
      </c>
      <c r="D2358">
        <f>IF(Skills!C19=1,60+Inputs!$B$25+Inputs!$B$29,IF(Skills!C19=2,90+Inputs!$B$26+Inputs!$B$29,IF(Skills!C19=3,120+Inputs!$B$27+Inputs!$B$29,MAX(0,(Inputs!$B$3-100)*3)+Inputs!$B$28+Inputs!$B$29)))</f>
        <v/>
      </c>
      <c r="E2358">
        <f>INDEX(FactorTable!$B$2:$Y$301, MATCH(ROUND(MIN(300,MAX(1,D2358)),0), FactorTable!$A$2:$A$301,0), Skills!M19+1)</f>
        <v/>
      </c>
      <c r="F2358">
        <f>IF(Skills!N19=TRUE,(Skills!L19/10)*(E2358/1000),Skills!L19/10)+Skills!O19</f>
        <v/>
      </c>
      <c r="G2358">
        <f>Skills!G19*IF(Skills!H19&gt;0,Skills!I19/Skills!H19,1)</f>
        <v/>
      </c>
      <c r="H2358">
        <f>1-(1-Skills!J19/100)^Skills!K19</f>
        <v/>
      </c>
      <c r="I2358" t="inlineStr">
        <is>
          <t>1</t>
        </is>
      </c>
      <c r="J2358" t="inlineStr"/>
      <c r="K2358" t="inlineStr"/>
      <c r="L2358" t="inlineStr"/>
      <c r="M2358" t="inlineStr"/>
      <c r="N2358" t="inlineStr"/>
      <c r="O2358">
        <f>(1-Summary!$B$11)*T2358+Summary!$B$11*V2358</f>
        <v/>
      </c>
      <c r="P2358">
        <f>IF(B2378=0,0,O2358/B2378)</f>
        <v/>
      </c>
      <c r="Q2358">
        <f>IFERROR(1/(IF(Inputs!$B$38="pvp",15,MAX(0.1,Skills!D19-IF(Skills!E19=TRUE,Inputs!$B$32,0)))*(1-IF(AND(ArtifactsInput!$M$27,Inputs!$B$4="Chapter Hunt"),CHOOSE(ArtifactsInput!$N$27+1,20,24,28,32,36,40),0)/100)),0)</f>
        <v/>
      </c>
      <c r="R2358">
        <f>IF(AND(Inputs!$B$38&lt;&gt;"pvp",Inputs!$B$43&gt;0),IF(Inputs!$B$43&lt;=0,0,(INT(Inputs!$B$43/(IF(Inputs!$B$38="pvp",15,MAX(0.1,Skills!D19-IF(Skills!E19=TRUE,Inputs!$B$32,0)))*(1-IF(AND(ArtifactsInput!$M$27,Inputs!$B$4="Chapter Hunt"),CHOOSE(ArtifactsInput!$N$27+1,20,24,28,32,36,40),0)/100)))+1)),0)</f>
        <v/>
      </c>
      <c r="S2358">
        <f>IFERROR(O2358/N2358,0)</f>
        <v/>
      </c>
      <c r="T2358" t="n">
        <v>0</v>
      </c>
      <c r="V2358" t="n">
        <v>0</v>
      </c>
    </row>
    <row r="2359">
      <c r="A2359">
        <f>Skills!A20</f>
        <v/>
      </c>
      <c r="B2359">
        <f>Skills!B20</f>
        <v/>
      </c>
      <c r="C2359">
        <f>Inputs!$B$3&gt;=33</f>
        <v/>
      </c>
      <c r="D2359">
        <f>IF(Skills!C20=1,60+Inputs!$B$25+Inputs!$B$29,IF(Skills!C20=2,90+Inputs!$B$26+Inputs!$B$29,IF(Skills!C20=3,120+Inputs!$B$27+Inputs!$B$29,MAX(0,(Inputs!$B$3-100)*3)+Inputs!$B$28+Inputs!$B$29)))</f>
        <v/>
      </c>
      <c r="E2359">
        <f>INDEX(FactorTable!$B$2:$Y$301, MATCH(ROUND(MIN(300,MAX(1,D2359)),0), FactorTable!$A$2:$A$301,0), Skills!M20+1)</f>
        <v/>
      </c>
      <c r="F2359">
        <f>IF(Skills!N20=TRUE,(Skills!L20/10)*(E2359/1000),Skills!L20/10)+Skills!O20</f>
        <v/>
      </c>
      <c r="G2359">
        <f>Skills!G20*IF(Skills!H20&gt;0,Skills!I20/Skills!H20,1)</f>
        <v/>
      </c>
      <c r="H2359">
        <f>1-(1-Skills!J20/100)^Skills!K20</f>
        <v/>
      </c>
      <c r="I2359" t="inlineStr">
        <is>
          <t>1</t>
        </is>
      </c>
      <c r="J2359" t="inlineStr"/>
      <c r="K2359" t="inlineStr"/>
      <c r="L2359" t="inlineStr"/>
      <c r="M2359" t="inlineStr"/>
      <c r="N2359" t="inlineStr"/>
      <c r="O2359">
        <f>(1-Summary!$B$11)*T2359+Summary!$B$11*V2359</f>
        <v/>
      </c>
      <c r="P2359">
        <f>IF(B2378=0,0,O2359/B2378)</f>
        <v/>
      </c>
      <c r="Q2359" t="n">
        <v>0</v>
      </c>
      <c r="R2359" t="n">
        <v>0</v>
      </c>
      <c r="S2359">
        <f>IFERROR(O2359/N2359,0)</f>
        <v/>
      </c>
      <c r="T2359" t="n">
        <v>0</v>
      </c>
      <c r="V2359" t="n">
        <v>0</v>
      </c>
    </row>
    <row r="2360">
      <c r="A2360">
        <f>Skills!A21</f>
        <v/>
      </c>
      <c r="B2360">
        <f>Skills!B21</f>
        <v/>
      </c>
      <c r="C2360">
        <f>Inputs!$B$3&gt;=38</f>
        <v/>
      </c>
      <c r="D2360">
        <f>IF(Skills!C21=1,60+Inputs!$B$25+Inputs!$B$29,IF(Skills!C21=2,90+Inputs!$B$26+Inputs!$B$29,IF(Skills!C21=3,120+Inputs!$B$27+Inputs!$B$29,MAX(0,(Inputs!$B$3-100)*3)+Inputs!$B$28+Inputs!$B$29)))</f>
        <v/>
      </c>
      <c r="E2360">
        <f>INDEX(FactorTable!$B$2:$Y$301, MATCH(ROUND(MIN(300,MAX(1,D2360)),0), FactorTable!$A$2:$A$301,0), Skills!M21+1)</f>
        <v/>
      </c>
      <c r="F2360">
        <f>IF(Skills!N21=TRUE,(Skills!L21/10)*(E2360/1000),Skills!L21/10)+Skills!O21</f>
        <v/>
      </c>
      <c r="G2360">
        <f>Skills!G21*IF(Skills!H21&gt;0,Skills!I21/Skills!H21,1)</f>
        <v/>
      </c>
      <c r="H2360">
        <f>1-(1-Skills!J21/100)^Skills!K21</f>
        <v/>
      </c>
      <c r="I2360" t="inlineStr">
        <is>
          <t>1</t>
        </is>
      </c>
      <c r="J2360" t="inlineStr"/>
      <c r="K2360" t="inlineStr"/>
      <c r="L2360" t="inlineStr"/>
      <c r="M2360" t="inlineStr"/>
      <c r="N2360" t="inlineStr"/>
      <c r="O2360">
        <f>(1-Summary!$B$11)*T2360+Summary!$B$11*V2360</f>
        <v/>
      </c>
      <c r="P2360">
        <f>IF(B2378=0,0,O2360/B2378)</f>
        <v/>
      </c>
      <c r="Q2360" t="n">
        <v>0</v>
      </c>
      <c r="R2360" t="n">
        <v>0</v>
      </c>
      <c r="S2360">
        <f>IFERROR(O2360/N2360,0)</f>
        <v/>
      </c>
      <c r="T2360" t="n">
        <v>0</v>
      </c>
      <c r="V2360" t="n">
        <v>0</v>
      </c>
    </row>
    <row r="2361">
      <c r="A2361">
        <f>Skills!A22</f>
        <v/>
      </c>
      <c r="B2361">
        <f>Skills!B22</f>
        <v/>
      </c>
      <c r="C2361">
        <f>Inputs!$B$3&gt;=43</f>
        <v/>
      </c>
      <c r="D2361">
        <f>IF(Skills!C22=1,60+Inputs!$B$25+Inputs!$B$29,IF(Skills!C22=2,90+Inputs!$B$26+Inputs!$B$29,IF(Skills!C22=3,120+Inputs!$B$27+Inputs!$B$29,MAX(0,(Inputs!$B$3-100)*3)+Inputs!$B$28+Inputs!$B$29)))</f>
        <v/>
      </c>
      <c r="E2361">
        <f>INDEX(FactorTable!$B$2:$Y$301, MATCH(ROUND(MIN(300,MAX(1,D2361)),0), FactorTable!$A$2:$A$301,0), Skills!M22+1)</f>
        <v/>
      </c>
      <c r="F2361">
        <f>IF(Skills!N22=TRUE,(Skills!L22/10)*(E2361/1000),Skills!L22/10)+Skills!O22</f>
        <v/>
      </c>
      <c r="G2361">
        <f>Skills!G22*IF(Skills!H22&gt;0,Skills!I22/Skills!H22,1)</f>
        <v/>
      </c>
      <c r="H2361">
        <f>1-(1-Skills!J22/100)^Skills!K22</f>
        <v/>
      </c>
      <c r="I2361" t="inlineStr">
        <is>
          <t>1</t>
        </is>
      </c>
      <c r="J2361" t="inlineStr"/>
      <c r="K2361" t="inlineStr"/>
      <c r="L2361" t="inlineStr"/>
      <c r="M2361" t="inlineStr"/>
      <c r="N2361" t="inlineStr"/>
      <c r="O2361">
        <f>(1-Summary!$B$11)*T2361+Summary!$B$11*V2361</f>
        <v/>
      </c>
      <c r="P2361">
        <f>IF(B2378=0,0,O2361/B2378)</f>
        <v/>
      </c>
      <c r="Q2361" t="n">
        <v>0</v>
      </c>
      <c r="R2361" t="n">
        <v>0</v>
      </c>
      <c r="S2361">
        <f>IFERROR(O2361/N2361,0)</f>
        <v/>
      </c>
      <c r="T2361" t="n">
        <v>0</v>
      </c>
      <c r="V2361" t="n">
        <v>0</v>
      </c>
    </row>
    <row r="2362">
      <c r="A2362">
        <f>Skills!A23</f>
        <v/>
      </c>
      <c r="B2362">
        <f>Skills!B23</f>
        <v/>
      </c>
      <c r="C2362">
        <f>Inputs!$B$3&gt;=120</f>
        <v/>
      </c>
      <c r="D2362">
        <f>IF(Skills!C23=1,60+Inputs!$B$25+Inputs!$B$29,IF(Skills!C23=2,90+Inputs!$B$26+Inputs!$B$29,IF(Skills!C23=3,120+Inputs!$B$27+Inputs!$B$29,MAX(0,(Inputs!$B$3-100)*3)+Inputs!$B$28+Inputs!$B$29)))</f>
        <v/>
      </c>
      <c r="E2362">
        <f>INDEX(FactorTable!$B$2:$Y$301, MATCH(ROUND(MIN(300,MAX(1,D2362)),0), FactorTable!$A$2:$A$301,0), Skills!M23+1)</f>
        <v/>
      </c>
      <c r="F2362">
        <f>IF(Skills!N23=TRUE,(Skills!L23/10)*(E2362/1000),Skills!L23/10)+Skills!O23</f>
        <v/>
      </c>
      <c r="G2362">
        <f>Skills!G23*IF(Skills!H23&gt;0,Skills!I23/Skills!H23,1)</f>
        <v/>
      </c>
      <c r="H2362">
        <f>1-(1-Skills!J23/100)^Skills!K23</f>
        <v/>
      </c>
      <c r="I2362" t="inlineStr">
        <is>
          <t>1</t>
        </is>
      </c>
      <c r="J2362" t="inlineStr"/>
      <c r="K2362" t="inlineStr"/>
      <c r="L2362" t="inlineStr"/>
      <c r="M2362" t="inlineStr"/>
      <c r="N2362" t="inlineStr"/>
      <c r="O2362">
        <f>(1-Summary!$B$11)*T2362+Summary!$B$11*V2362</f>
        <v/>
      </c>
      <c r="P2362">
        <f>IF(B2378=0,0,O2362/B2378)</f>
        <v/>
      </c>
      <c r="Q2362" t="n">
        <v>0</v>
      </c>
      <c r="R2362" t="n">
        <v>0</v>
      </c>
      <c r="S2362">
        <f>IFERROR(O2362/N2362,0)</f>
        <v/>
      </c>
      <c r="T2362" t="n">
        <v>0</v>
      </c>
      <c r="V2362" t="n">
        <v>0</v>
      </c>
    </row>
    <row r="2363">
      <c r="A2363">
        <f>Skills!A24</f>
        <v/>
      </c>
      <c r="B2363">
        <f>Skills!B24</f>
        <v/>
      </c>
      <c r="C2363">
        <f>Inputs!$B$3&gt;=120</f>
        <v/>
      </c>
      <c r="D2363">
        <f>IF(Skills!C24=1,60+Inputs!$B$25+Inputs!$B$29,IF(Skills!C24=2,90+Inputs!$B$26+Inputs!$B$29,IF(Skills!C24=3,120+Inputs!$B$27+Inputs!$B$29,MAX(0,(Inputs!$B$3-100)*3)+Inputs!$B$28+Inputs!$B$29)))</f>
        <v/>
      </c>
      <c r="E2363">
        <f>INDEX(FactorTable!$B$2:$Y$301, MATCH(ROUND(MIN(300,MAX(1,D2363)),0), FactorTable!$A$2:$A$301,0), Skills!M24+1)</f>
        <v/>
      </c>
      <c r="F2363">
        <f>IF(Skills!N24=TRUE,(Skills!L24/10)*(E2363/1000),Skills!L24/10)+Skills!O24</f>
        <v/>
      </c>
      <c r="G2363">
        <f>Skills!G24*IF(Skills!H24&gt;0,Skills!I24/Skills!H24,1)</f>
        <v/>
      </c>
      <c r="H2363">
        <f>1-(1-Skills!J24/100)^Skills!K24</f>
        <v/>
      </c>
      <c r="I2363" t="inlineStr">
        <is>
          <t>1</t>
        </is>
      </c>
      <c r="J2363" t="inlineStr"/>
      <c r="K2363" t="inlineStr"/>
      <c r="L2363" t="inlineStr"/>
      <c r="M2363" t="inlineStr"/>
      <c r="N2363" t="inlineStr"/>
      <c r="O2363">
        <f>(1-Summary!$B$11)*T2363+Summary!$B$11*V2363</f>
        <v/>
      </c>
      <c r="P2363">
        <f>IF(B2378=0,0,O2363/B2378)</f>
        <v/>
      </c>
      <c r="Q2363" t="n">
        <v>0</v>
      </c>
      <c r="R2363" t="n">
        <v>0</v>
      </c>
      <c r="S2363">
        <f>IFERROR(O2363/N2363,0)</f>
        <v/>
      </c>
      <c r="T2363" t="n">
        <v>0</v>
      </c>
      <c r="V2363" t="n">
        <v>0</v>
      </c>
    </row>
    <row r="2364">
      <c r="A2364">
        <f>Skills!A25</f>
        <v/>
      </c>
      <c r="B2364">
        <f>Skills!B25</f>
        <v/>
      </c>
      <c r="C2364">
        <f>Inputs!$B$3&gt;=125</f>
        <v/>
      </c>
      <c r="D2364">
        <f>IF(Skills!C25=1,60+Inputs!$B$25+Inputs!$B$29,IF(Skills!C25=2,90+Inputs!$B$26+Inputs!$B$29,IF(Skills!C25=3,120+Inputs!$B$27+Inputs!$B$29,MAX(0,(Inputs!$B$3-100)*3)+Inputs!$B$28+Inputs!$B$29)))</f>
        <v/>
      </c>
      <c r="E2364">
        <f>INDEX(FactorTable!$B$2:$Y$301, MATCH(ROUND(MIN(300,MAX(1,D2364)),0), FactorTable!$A$2:$A$301,0), Skills!M25+1)</f>
        <v/>
      </c>
      <c r="F2364">
        <f>IF(Skills!N25=TRUE,(Skills!L25/10)*(E2364/1000),Skills!L25/10)+Skills!O25</f>
        <v/>
      </c>
      <c r="G2364">
        <f>Skills!G25*IF(Skills!H25&gt;0,Skills!I25/Skills!H25,1)</f>
        <v/>
      </c>
      <c r="H2364">
        <f>1-(1-Skills!J25/100)^Skills!K25</f>
        <v/>
      </c>
      <c r="I2364" t="inlineStr">
        <is>
          <t>1</t>
        </is>
      </c>
      <c r="J2364" t="inlineStr"/>
      <c r="K2364" t="inlineStr"/>
      <c r="L2364" t="inlineStr"/>
      <c r="M2364" t="inlineStr"/>
      <c r="N2364" t="inlineStr"/>
      <c r="O2364">
        <f>(1-Summary!$B$11)*T2364+Summary!$B$11*V2364</f>
        <v/>
      </c>
      <c r="P2364">
        <f>IF(B2378=0,0,O2364/B2378)</f>
        <v/>
      </c>
      <c r="Q2364" t="n">
        <v>0</v>
      </c>
      <c r="R2364" t="n">
        <v>0</v>
      </c>
      <c r="S2364">
        <f>IFERROR(O2364/N2364,0)</f>
        <v/>
      </c>
      <c r="T2364" t="n">
        <v>0</v>
      </c>
      <c r="V2364" t="n">
        <v>0</v>
      </c>
    </row>
    <row r="2365">
      <c r="A2365">
        <f>Skills!A26</f>
        <v/>
      </c>
      <c r="B2365">
        <f>Skills!B26</f>
        <v/>
      </c>
      <c r="C2365">
        <f>Inputs!$B$3&gt;=72</f>
        <v/>
      </c>
      <c r="D2365">
        <f>IF(Skills!C26=1,60+Inputs!$B$25+Inputs!$B$29,IF(Skills!C26=2,90+Inputs!$B$26+Inputs!$B$29,IF(Skills!C26=3,120+Inputs!$B$27+Inputs!$B$29,MAX(0,(Inputs!$B$3-100)*3)+Inputs!$B$28+Inputs!$B$29)))</f>
        <v/>
      </c>
      <c r="E2365">
        <f>INDEX(FactorTable!$B$2:$Y$301, MATCH(ROUND(MIN(300,MAX(1,D2365)),0), FactorTable!$A$2:$A$301,0), Skills!M26+1)</f>
        <v/>
      </c>
      <c r="F2365">
        <f>IF(Skills!N26=TRUE,(Skills!L26/10)*(E2365/1000),Skills!L26/10)+Skills!O26</f>
        <v/>
      </c>
      <c r="G2365">
        <f>Skills!G26*IF(Skills!H26&gt;0,Skills!I26/Skills!H26,1)</f>
        <v/>
      </c>
      <c r="H2365">
        <f>1-(1-Skills!J26/100)^Skills!K26</f>
        <v/>
      </c>
      <c r="I2365" t="inlineStr">
        <is>
          <t>1</t>
        </is>
      </c>
      <c r="J2365" t="inlineStr"/>
      <c r="K2365" t="inlineStr"/>
      <c r="L2365" t="inlineStr"/>
      <c r="M2365" t="inlineStr"/>
      <c r="N2365" t="inlineStr"/>
      <c r="O2365">
        <f>(1-Summary!$B$11)*T2365+Summary!$B$11*V2365</f>
        <v/>
      </c>
      <c r="P2365">
        <f>IF(B2378=0,0,O2365/B2378)</f>
        <v/>
      </c>
      <c r="Q2365" t="n">
        <v>0</v>
      </c>
      <c r="R2365" t="n">
        <v>0</v>
      </c>
      <c r="S2365">
        <f>IFERROR(O2365/N2365,0)</f>
        <v/>
      </c>
      <c r="T2365" t="n">
        <v>0</v>
      </c>
      <c r="V2365" t="n">
        <v>0</v>
      </c>
    </row>
    <row r="2367">
      <c r="A2367" t="inlineStr">
        <is>
          <t>Attack% Bucket Multiplier</t>
        </is>
      </c>
      <c r="B2367">
        <f>(1+(((C2352=TRUE)*F2352*IF(Inputs!$B$3&gt;=110,7,5))+((C2354=TRUE)*F2354*IF(AND(Inputs!$B$38&lt;&gt;"pvp",Inputs!$B$43&gt;0),(((R2354-1)*(Skills!T15*(1+(Inputs!$B$34+(ArtifactsInput!$M$7-ArtifactsInput!$M$7)*CHOOSE(ArtifactsInput!$N$7+1,6,7.2,8.4,9.6,10.8,12))/100))+MIN((Skills!T15*(1+(Inputs!$B$34+(ArtifactsInput!$M$7-ArtifactsInput!$M$7)*CHOOSE(ArtifactsInput!$N$7+1,6,7.2,8.4,9.6,10.8,12))/100)),MAX(0,Inputs!$B$43-((R2354-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68">
      <c r="A2368" t="inlineStr">
        <is>
          <t>Global Crit Rate Bonus %</t>
        </is>
      </c>
      <c r="B2368" t="n">
        <v>0</v>
      </c>
    </row>
    <row r="2369">
      <c r="A2369" t="inlineStr">
        <is>
          <t>Attack Speed Buff Bonus %</t>
        </is>
      </c>
      <c r="B2369">
        <f>((C2358=TRUE)*F2358*IF(AND(Inputs!$B$38&lt;&gt;"pvp",Inputs!$B$43&gt;0),(((R2358-1)*(Skills!T19*(1+(Inputs!$B$34+(ArtifactsInput!$M$7-ArtifactsInput!$M$7)*CHOOSE(ArtifactsInput!$N$7+1,6,7.2,8.4,9.6,10.8,12))/100))+MIN((Skills!T19*(1+(Inputs!$B$34+(ArtifactsInput!$M$7-ArtifactsInput!$M$7)*CHOOSE(ArtifactsInput!$N$7+1,6,7.2,8.4,9.6,10.8,12))/100)),MAX(0,Inputs!$B$43-((R2358-1)*Skills!D19))))/Inputs!$B$43),IF(Inputs!$B$38="pvp",MIN((Skills!T19*(1+(Inputs!$B$34+(ArtifactsInput!$M$7-ArtifactsInput!$M$7)*CHOOSE(ArtifactsInput!$N$7+1,6,7.2,8.4,9.6,10.8,12))/100)),15)/15,(Skills!T19*(1+(Inputs!$B$34+(ArtifactsInput!$M$7-ArtifactsInput!$M$7)*CHOOSE(ArtifactsInput!$N$7+1,6,7.2,8.4,9.6,10.8,12))/100))/Skills!D19)))</f>
        <v/>
      </c>
    </row>
    <row r="2370">
      <c r="A2370" t="inlineStr">
        <is>
          <t>Actions Per Second</t>
        </is>
      </c>
      <c r="B2370">
        <f>1+MIN(150,150*(1-(1-(Inputs!$B$11+((C2359=TRUE)*(F2359-Calc!F20)))/150)*(1-B2369/150)))/100</f>
        <v/>
      </c>
    </row>
    <row r="2371">
      <c r="A2371" t="inlineStr">
        <is>
          <t>Skill + Buff Cast Rate</t>
        </is>
      </c>
      <c r="B2371">
        <f>IF(AND(Inputs!$B$38&lt;&gt;"pvp",Inputs!$B$43&gt;0),SUMPRODUCT((Skills!E2:E26=TRUE)*(C2341:C2365=TRUE)*R2341:R2365*Skills!F2:F26)/Inputs!$B$43,SUMPRODUCT((Skills!E2:E26=TRUE)*(C2341:C2365=TRUE)*Q2341:Q2365*Skills!F2:F26))</f>
        <v/>
      </c>
    </row>
    <row r="2372">
      <c r="A2372" t="inlineStr">
        <is>
          <t>Raging Blow Casts Per Second</t>
        </is>
      </c>
      <c r="B2372">
        <f>MAX(0,B2370-B2371)</f>
        <v/>
      </c>
    </row>
    <row r="2373">
      <c r="A2373" t="inlineStr">
        <is>
          <t>Global Critical Damage Bonus % (Enrage)</t>
        </is>
      </c>
      <c r="B2373">
        <f>((C2357=TRUE)*F2357*IF(AND(Inputs!$B$38&lt;&gt;"pvp",Inputs!$B$43&gt;0),(((R2357-1)*(Skills!T18*(1+(Inputs!$B$34+(ArtifactsInput!$M$7-ArtifactsInput!$M$7)*CHOOSE(ArtifactsInput!$N$7+1,6,7.2,8.4,9.6,10.8,12))/100))+MIN((Skills!T18*(1+(Inputs!$B$34+(ArtifactsInput!$M$7-ArtifactsInput!$M$7)*CHOOSE(ArtifactsInput!$N$7+1,6,7.2,8.4,9.6,10.8,12))/100)),MAX(0,Inputs!$B$43-((R2357-1)*Skills!D18))))/Inputs!$B$43),IF(Inputs!$B$38="pvp",MIN((Skills!T18*(1+(Inputs!$B$34+(ArtifactsInput!$M$7-ArtifactsInput!$M$7)*CHOOSE(ArtifactsInput!$N$7+1,6,7.2,8.4,9.6,10.8,12))/100)),15)/15,(Skills!T18*(1+(Inputs!$B$34+(ArtifactsInput!$M$7-ArtifactsInput!$M$7)*CHOOSE(ArtifactsInput!$N$7+1,6,7.2,8.4,9.6,10.8,12))/100))/Skills!D18)))</f>
        <v/>
      </c>
    </row>
    <row r="2374">
      <c r="A2374" t="inlineStr">
        <is>
          <t>Global Final Damage Bonus % (Enrage + Combo Synergy)</t>
        </is>
      </c>
      <c r="B2374">
        <f>((C2356=TRUE)*F2356*IF(AND(Inputs!$B$38&lt;&gt;"pvp",Inputs!$B$43&gt;0),(((R2356-1)*(Skills!T17*(1+(Inputs!$B$34+(ArtifactsInput!$M$7-ArtifactsInput!$M$7)*CHOOSE(ArtifactsInput!$N$7+1,6,7.2,8.4,9.6,10.8,12))/100))+MIN((Skills!T17*(1+(Inputs!$B$34+(ArtifactsInput!$M$7-ArtifactsInput!$M$7)*CHOOSE(ArtifactsInput!$N$7+1,6,7.2,8.4,9.6,10.8,12))/100)),MAX(0,Inputs!$B$43-((R2356-1)*Skills!D17))))/Inputs!$B$43),IF(Inputs!$B$38="pvp",MIN((Skills!T17*(1+(Inputs!$B$34+(ArtifactsInput!$M$7-ArtifactsInput!$M$7)*CHOOSE(ArtifactsInput!$N$7+1,6,7.2,8.4,9.6,10.8,12))/100)),15)/15,(Skills!T17*(1+(Inputs!$B$34+(ArtifactsInput!$M$7-ArtifactsInput!$M$7)*CHOOSE(ArtifactsInput!$N$7+1,6,7.2,8.4,9.6,10.8,12))/100))/Skills!D17)))+((C2353=TRUE)*F2353*IF(Inputs!$B$3&gt;=110,7,5))</f>
        <v/>
      </c>
    </row>
    <row r="2375">
      <c r="A2375" t="inlineStr">
        <is>
          <t>Buff-Casting Startup Delay (s, fixed-duration only)</t>
        </is>
      </c>
      <c r="B2375">
        <f>IF(AND(Inputs!$B$38&lt;&gt;"pvp",Inputs!$B$43&gt;0),SUMPRODUCT((Skills!T2:T26&gt;0)*(Skills!E2:E26=TRUE)*(C2341:C2365=TRUE))/B2370,0)</f>
        <v/>
      </c>
    </row>
    <row r="2376">
      <c r="A2376" t="inlineStr">
        <is>
          <t>Boss-Only Total DPS (this block's swept value)</t>
        </is>
      </c>
      <c r="B2376">
        <f>SUM(T2341:T2365)</f>
        <v/>
      </c>
    </row>
    <row r="2377">
      <c r="A2377" t="inlineStr">
        <is>
          <t>Normal-Only Total DPS (this block's swept value)</t>
        </is>
      </c>
      <c r="B2377">
        <f>SUM(V2341:V2365)</f>
        <v/>
      </c>
    </row>
    <row r="2378">
      <c r="A2378" s="6" t="inlineStr">
        <is>
          <t>TOTAL DPS</t>
        </is>
      </c>
      <c r="B2378" s="6">
        <f>SUM(O2341:O2365)</f>
        <v/>
      </c>
    </row>
    <row r="2381">
      <c r="A2381" s="6" t="inlineStr">
        <is>
          <t>Stat: Candle (Equip)</t>
        </is>
      </c>
    </row>
    <row r="2382">
      <c r="A2382" s="5" t="inlineStr">
        <is>
          <t>Key</t>
        </is>
      </c>
      <c r="B2382" s="5" t="inlineStr">
        <is>
          <t>Name</t>
        </is>
      </c>
      <c r="C2382" s="5" t="inlineStr">
        <is>
          <t>Unlocked</t>
        </is>
      </c>
      <c r="D2382" s="5" t="inlineStr">
        <is>
          <t>InputLevel</t>
        </is>
      </c>
      <c r="E2382" s="5" t="inlineStr">
        <is>
          <t>Factor</t>
        </is>
      </c>
      <c r="F2382" s="5" t="inlineStr">
        <is>
          <t>CoefficientPercent</t>
        </is>
      </c>
      <c r="G2382" s="5" t="inlineStr">
        <is>
          <t>EffectiveHits</t>
        </is>
      </c>
      <c r="H2382" s="5" t="inlineStr">
        <is>
          <t>ProcProbability</t>
        </is>
      </c>
      <c r="I2382" s="5" t="inlineStr">
        <is>
          <t>MapleHeroMultiplier</t>
        </is>
      </c>
      <c r="J2382" s="5" t="inlineStr">
        <is>
          <t>BaseDamage</t>
        </is>
      </c>
      <c r="K2382" s="5" t="inlineStr">
        <is>
          <t>BaseHitDamage</t>
        </is>
      </c>
      <c r="L2382" s="5" t="inlineStr">
        <is>
          <t>NonCritAvg</t>
        </is>
      </c>
      <c r="M2382" s="5" t="inlineStr">
        <is>
          <t>CritAvg</t>
        </is>
      </c>
      <c r="N2382" s="5" t="inlineStr">
        <is>
          <t>ExpectedDamage(perHit)</t>
        </is>
      </c>
      <c r="O2382" s="5" t="inlineStr">
        <is>
          <t>DPS</t>
        </is>
      </c>
      <c r="P2382" s="5" t="inlineStr">
        <is>
          <t>% of Total</t>
        </is>
      </c>
      <c r="Q2382" s="5" t="inlineStr">
        <is>
          <t>InvCooldown</t>
        </is>
      </c>
      <c r="R2382" s="5" t="inlineStr">
        <is>
          <t>CastsInFight</t>
        </is>
      </c>
      <c r="S2382" s="5" t="inlineStr">
        <is>
          <t>HitRate(perSec)</t>
        </is>
      </c>
      <c r="U2382" t="inlineStr">
        <is>
          <t>helpers</t>
        </is>
      </c>
    </row>
    <row r="2383">
      <c r="A2383">
        <f>Skills!A2</f>
        <v/>
      </c>
      <c r="B2383">
        <f>Skills!B2</f>
        <v/>
      </c>
      <c r="C2383">
        <f>Inputs!$B$3&gt;=100</f>
        <v/>
      </c>
      <c r="D2383" t="inlineStr"/>
      <c r="E2383" t="inlineStr"/>
      <c r="F2383">
        <f>U2385+Skills!O2</f>
        <v/>
      </c>
      <c r="G2383">
        <f>Skills!G2*IF(Skills!H2&gt;0,Skills!I2/Skills!H2,1)</f>
        <v/>
      </c>
      <c r="H2383">
        <f>1-(1-Skills!J2/100)^Skills!K2</f>
        <v/>
      </c>
      <c r="I2383" t="inlineStr">
        <is>
          <t>1</t>
        </is>
      </c>
      <c r="J2383">
        <f>((Inputs!$B$6*(1+Inputs!$B$7/100))+(((Inputs!$B$12*(1+Inputs!$B$13/100))-(Inputs!$B$12*(1+Inputs!$B$13/100)))+0.25*(Inputs!$B$14-Inputs!$B$14))*(1+Inputs!$B$7/100))*(F2383/100)</f>
        <v/>
      </c>
      <c r="K2383">
        <f>J2383*(1+((Inputs!$B$12*(1+Inputs!$B$13/100))*0.01+Inputs!$B$14*0.0025)/100)*(1+Inputs!$B$15/100)*(1+Inputs!$B$16/100)*(5000/(6000+Inputs!$B$42*(1-(100*(1-(1-(Inputs!$B$19+0)/100)*(1-CHOOSE(ArtifactsInput!$N$40+1,5,6,7,8,9,10)/100)^(ArtifactsInput!$M$40-ArtifactsInput!$M$40)))/100)))*(1+(Inputs!$B$24+((C2406=TRUE)*(F2406-Calc!F25))+B2416)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2402=TRUE)*(F2402-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2404=TRUE)*(F2404-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2394=TRUE)*F2394*IF(Inputs!$B$3&gt;=110,7,5))+((C2396=TRUE)*F2396*IF(AND(Inputs!$B$38&lt;&gt;"pvp",Inputs!$B$43&gt;0),(((R2396-1)*(Skills!T15*(1+(Inputs!$B$34+(ArtifactsInput!$M$7-ArtifactsInput!$M$7)*CHOOSE(ArtifactsInput!$N$7+1,6,7.2,8.4,9.6,10.8,12))/100))+MIN((Skills!T15*(1+(Inputs!$B$34+(ArtifactsInput!$M$7-ArtifactsInput!$M$7)*CHOOSE(ArtifactsInput!$N$7+1,6,7.2,8.4,9.6,10.8,12))/100)),MAX(0,Inputs!$B$43-((R2396-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Hunt"),CHOOSE(ArtifactsInput!$N$35+1,15,18,21,24,27,30)*(1-EXP(-(0.2*B2412)*5)),0)+IF(AND(ArtifactsInput!$M$22,Inputs!$B$4&lt;&gt;"Chapter Hunt"),CHOOSE(ArtifactsInput!$N$22+1,10,12,14,16,18,20)*((0*(((0.15*B2412*5))^0/1)+1*(((0.15*B2412*5))^1/1)+2*(((0.15*B2412*5))^2/2)+3*(((0.15*B2412*5))^3/6)+4*(((0.15*B2412*5))^4/24)+5*(((0.15*B2412*5))^5/120))/((((0.15*B2412*5))^0/1)+(((0.15*B2412*5))^1/1)+(((0.15*B2412*5))^2/2)+(((0.15*B2412*5))^3/6)+(((0.15*B2412*5))^4/24)+(((0.15*B2412*5))^5/120))),0)))/100)*I2383)</f>
        <v/>
      </c>
      <c r="L2383">
        <f>K2383*(MIN(Inputs!$B$22+((C2403=TRUE)*(F2403-Calc!F22)),(Inputs!$B$23+((C2405=TRUE)*(F2405-Calc!F24))+(IF(ArtifactsInput!$M$15,CHOOSE(ArtifactsInput!$N$15+1,25,30,35,40,45,50)/100*(Inputs!$B$11-Inputs!$B$11),0))))/100+(Inputs!$B$23+((C2405=TRUE)*(F2405-Calc!F24))+(IF(ArtifactsInput!$M$15,CHOOSE(ArtifactsInput!$N$15+1,25,30,35,40,45,50)/100*(Inputs!$B$11-Inputs!$B$11),0)))/100)/2</f>
        <v/>
      </c>
      <c r="M2383">
        <f>L2383*(1+(Inputs!$B$10+0+B2415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3">
        <f>L2383*(1-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2383*(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3">
        <f>(1-Summary!$B$11)*T2383+Summary!$B$11*V2383</f>
        <v/>
      </c>
      <c r="P2383">
        <f>IF(B2420=0,0,O2383/B2420)</f>
        <v/>
      </c>
      <c r="Q2383" t="n">
        <v>0</v>
      </c>
      <c r="R2383" t="n">
        <v>0</v>
      </c>
      <c r="S2383">
        <f>IFERROR(O2383/N2383,0)</f>
        <v/>
      </c>
      <c r="T2383">
        <f>IF(C2383,(Skills!G2*N2383*B2414)*IF(Inputs!$B$38="pvp",1,1+(Inputs!$B$20+0+Skills!P2+Summary!$B$15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2383*(1-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2383*(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2383*(1-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2383*(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83">
        <f>MAX(0,(Inputs!$B$3-100)*3)+Inputs!$B$28+Inputs!$B$29</f>
        <v/>
      </c>
      <c r="V2383">
        <f>IF(C2383,(Skills!G2*N2383*B2414)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4">
      <c r="A2384">
        <f>Skills!A3</f>
        <v/>
      </c>
      <c r="B2384">
        <f>Skills!B3</f>
        <v/>
      </c>
      <c r="C2384">
        <f>Inputs!$B$3&gt;=50</f>
        <v/>
      </c>
      <c r="D2384">
        <f>IF(Skills!C3=1,60+Inputs!$B$25+Inputs!$B$29,IF(Skills!C3=2,90+Inputs!$B$26+Inputs!$B$29,IF(Skills!C3=3,120+Inputs!$B$27+Inputs!$B$29,MAX(0,(Inputs!$B$3-100)*3)+Inputs!$B$28+Inputs!$B$29)))</f>
        <v/>
      </c>
      <c r="E2384">
        <f>INDEX(FactorTable!$B$2:$Y$301, MATCH(ROUND(MIN(300,MAX(1,D2384)),0), FactorTable!$A$2:$A$301,0), Skills!M3+1)</f>
        <v/>
      </c>
      <c r="F2384">
        <f>IF(Skills!N3=TRUE,(Skills!L3/10)*(E2384/1000),Skills!L3/10)+Skills!O3</f>
        <v/>
      </c>
      <c r="G2384" t="inlineStr"/>
      <c r="H2384" t="inlineStr"/>
      <c r="I2384" t="inlineStr">
        <is>
          <t>1</t>
        </is>
      </c>
      <c r="J2384" t="inlineStr"/>
      <c r="K2384" t="inlineStr"/>
      <c r="L2384" t="inlineStr"/>
      <c r="M2384" t="inlineStr"/>
      <c r="N2384" t="inlineStr"/>
      <c r="O2384" t="inlineStr"/>
      <c r="P2384" t="inlineStr"/>
      <c r="Q2384" t="inlineStr"/>
      <c r="R2384" t="inlineStr"/>
      <c r="S2384" t="inlineStr"/>
      <c r="U2384">
        <f>INDEX(FactorTable!$B$2:$Y$301, MATCH(ROUND(MIN(300,MAX(1,U2383)),0), FactorTable!$A$2:$A$301,0), 22)</f>
        <v/>
      </c>
    </row>
    <row r="2385">
      <c r="A2385">
        <f>Skills!A4</f>
        <v/>
      </c>
      <c r="B2385">
        <f>Skills!B4</f>
        <v/>
      </c>
      <c r="C2385">
        <f>Inputs!$B$3&gt;=105</f>
        <v/>
      </c>
      <c r="D2385">
        <f>IF(Skills!C4=1,60+Inputs!$B$25+Inputs!$B$29,IF(Skills!C4=2,90+Inputs!$B$26+Inputs!$B$29,IF(Skills!C4=3,120+Inputs!$B$27+Inputs!$B$29,MAX(0,(Inputs!$B$3-100)*3)+Inputs!$B$28+Inputs!$B$29)))</f>
        <v/>
      </c>
      <c r="E2385">
        <f>INDEX(FactorTable!$B$2:$Y$301, MATCH(ROUND(MIN(300,MAX(1,D2385)),0), FactorTable!$A$2:$A$301,0), Skills!M4+1)</f>
        <v/>
      </c>
      <c r="F2385">
        <f>IF(Skills!N4=TRUE,(Skills!L4/10)*(E2385/1000),Skills!L4/10)+Skills!O4</f>
        <v/>
      </c>
      <c r="G2385" t="inlineStr"/>
      <c r="H2385" t="inlineStr"/>
      <c r="I2385" t="inlineStr">
        <is>
          <t>1</t>
        </is>
      </c>
      <c r="J2385" t="inlineStr"/>
      <c r="K2385" t="inlineStr"/>
      <c r="L2385" t="inlineStr"/>
      <c r="M2385" t="inlineStr"/>
      <c r="N2385" t="inlineStr"/>
      <c r="O2385" t="inlineStr"/>
      <c r="P2385" t="inlineStr"/>
      <c r="Q2385" t="inlineStr"/>
      <c r="R2385" t="inlineStr"/>
      <c r="S2385" t="inlineStr"/>
      <c r="U2385">
        <f>290*U2384/1000</f>
        <v/>
      </c>
    </row>
    <row r="2386">
      <c r="A2386">
        <f>Skills!A5</f>
        <v/>
      </c>
      <c r="B2386">
        <f>Skills!B5</f>
        <v/>
      </c>
      <c r="C2386">
        <f>Inputs!$B$3&gt;=103</f>
        <v/>
      </c>
      <c r="D2386">
        <f>IF(Skills!C5=1,60+Inputs!$B$25+Inputs!$B$29,IF(Skills!C5=2,90+Inputs!$B$26+Inputs!$B$29,IF(Skills!C5=3,120+Inputs!$B$27+Inputs!$B$29,MAX(0,(Inputs!$B$3-100)*3)+Inputs!$B$28+Inputs!$B$29)))</f>
        <v/>
      </c>
      <c r="E2386">
        <f>INDEX(FactorTable!$B$2:$Y$301, MATCH(ROUND(MIN(300,MAX(1,D2386)),0), FactorTable!$A$2:$A$301,0), Skills!M5+1)</f>
        <v/>
      </c>
      <c r="F2386">
        <f>IF(Skills!N5=TRUE,(Skills!L5/10)*(E2386/1000),Skills!L5/10)+Skills!O5</f>
        <v/>
      </c>
      <c r="G2386">
        <f>Skills!G5*IF(Skills!H5&gt;0,Skills!I5/Skills!H5,1)</f>
        <v/>
      </c>
      <c r="H2386">
        <f>1-(1-Skills!J5/100)^Skills!K5</f>
        <v/>
      </c>
      <c r="I2386" t="inlineStr">
        <is>
          <t>1</t>
        </is>
      </c>
      <c r="J2386">
        <f>((Inputs!$B$6*(1+Inputs!$B$7/100))+(((Inputs!$B$12*(1+Inputs!$B$13/100))-(Inputs!$B$12*(1+Inputs!$B$13/100)))+0.25*(Inputs!$B$14-Inputs!$B$14))*(1+Inputs!$B$7/100))*(F2386/100)</f>
        <v/>
      </c>
      <c r="K2386">
        <f>J2386*(1+((Inputs!$B$12*(1+Inputs!$B$13/100))*0.01+Inputs!$B$14*0.0025)/100)*(1+Inputs!$B$15/100)*(1+Inputs!$B$16/100)*(5000/(6000+Inputs!$B$42*(1-(100*(1-(1-(Inputs!$B$19+0)/100)*(1-CHOOSE(ArtifactsInput!$N$40+1,5,6,7,8,9,10)/100)^(ArtifactsInput!$M$40-ArtifactsInput!$M$40)))/100)))*(1+(Inputs!$B$24+((C2406=TRUE)*(F2406-Calc!F25))+B2416)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2402=TRUE)*(F2402-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2404=TRUE)*(F2404-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2394=TRUE)*F2394*IF(Inputs!$B$3&gt;=110,7,5))+((C2396=TRUE)*F2396*IF(AND(Inputs!$B$38&lt;&gt;"pvp",Inputs!$B$43&gt;0),(((R2396-1)*(Skills!T15*(1+(Inputs!$B$34+(ArtifactsInput!$M$7-ArtifactsInput!$M$7)*CHOOSE(ArtifactsInput!$N$7+1,6,7.2,8.4,9.6,10.8,12))/100))+MIN((Skills!T15*(1+(Inputs!$B$34+(ArtifactsInput!$M$7-ArtifactsInput!$M$7)*CHOOSE(ArtifactsInput!$N$7+1,6,7.2,8.4,9.6,10.8,12))/100)),MAX(0,Inputs!$B$43-((R2396-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Hunt"),CHOOSE(ArtifactsInput!$N$35+1,15,18,21,24,27,30)*(1-EXP(-(0.2*B2412)*5)),0)+IF(AND(ArtifactsInput!$M$22,Inputs!$B$4&lt;&gt;"Chapter Hunt"),CHOOSE(ArtifactsInput!$N$22+1,10,12,14,16,18,20)*((0*(((0.15*B2412*5))^0/1)+1*(((0.15*B2412*5))^1/1)+2*(((0.15*B2412*5))^2/2)+3*(((0.15*B2412*5))^3/6)+4*(((0.15*B2412*5))^4/24)+5*(((0.15*B2412*5))^5/120))/((((0.15*B2412*5))^0/1)+(((0.15*B2412*5))^1/1)+(((0.15*B2412*5))^2/2)+(((0.15*B2412*5))^3/6)+(((0.15*B2412*5))^4/24)+(((0.15*B2412*5))^5/120))),0)))/100)*I2386)</f>
        <v/>
      </c>
      <c r="L2386">
        <f>K2386*(MIN(Inputs!$B$22+((C2403=TRUE)*(F2403-Calc!F22)),(Inputs!$B$23+((C2405=TRUE)*(F2405-Calc!F24))+(IF(ArtifactsInput!$M$15,CHOOSE(ArtifactsInput!$N$15+1,25,30,35,40,45,50)/100*(Inputs!$B$11-Inputs!$B$11),0))))/100+(Inputs!$B$23+((C2405=TRUE)*(F2405-Calc!F24))+(IF(ArtifactsInput!$M$15,CHOOSE(ArtifactsInput!$N$15+1,25,30,35,40,45,50)/100*(Inputs!$B$11-Inputs!$B$11),0)))/100)/2</f>
        <v/>
      </c>
      <c r="M2386">
        <f>L2386*(1+(Inputs!$B$10+0+B2415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6">
        <f>L2386*(1-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2386*(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6">
        <f>(1-Summary!$B$11)*T2386+Summary!$B$11*V2386</f>
        <v/>
      </c>
      <c r="P2386">
        <f>IF(B2420=0,0,O2386/B2420)</f>
        <v/>
      </c>
      <c r="Q2386">
        <f>IFERROR(1/(IF(Inputs!$B$38="pvp",15,MAX(0.1,Skills!D5-IF(Skills!E5=TRUE,Inputs!$B$32,0)))*(1-IF(AND(ArtifactsInput!$M$27,Inputs!$B$4="Chapter Hunt"),CHOOSE(ArtifactsInput!$N$27+1,20,24,28,32,36,40),0)/100)),0)</f>
        <v/>
      </c>
      <c r="R2386">
        <f>IF(AND(Inputs!$B$38&lt;&gt;"pvp",Inputs!$B$43&gt;0),IF(MAX(0,Inputs!$B$43-B2417)&lt;=0,0,(INT(MAX(0,Inputs!$B$43-B2417)/(IF(Inputs!$B$38="pvp",15,MAX(0.1,Skills!D5-IF(Skills!E5=TRUE,Inputs!$B$32,0)))*(1-IF(AND(ArtifactsInput!$M$27,Inputs!$B$4="Chapter Hunt"),CHOOSE(ArtifactsInput!$N$27+1,20,24,28,32,36,40),0)/100)))+1)),0)</f>
        <v/>
      </c>
      <c r="S2386">
        <f>IFERROR(O2386/N2386,0)</f>
        <v/>
      </c>
      <c r="T2386">
        <f>IF(C2386,(H2386*N2386*IF(AND(Inputs!$B$38&lt;&gt;"pvp",Inputs!$B$43&gt;0),((Skills!G5*((R2386-1)*IF(Skills!H5&gt;0,Skills!I5/Skills!H5,1)+IF(Skills!H5&gt;0,MIN(Skills!I5,MAX(0,MAX(0,Inputs!$B$43-B2417)-((R2386-1)*(IF(Inputs!$B$38="pvp",15,MAX(0.1,Skills!D5-IF(Skills!E5=TRUE,Inputs!$B$32,0)))*(1-IF(AND(ArtifactsInput!$M$27,Inputs!$B$4="Chapter Hunt"),CHOOSE(ArtifactsInput!$N$27+1,20,24,28,32,36,40),0)/100)))))/Skills!H5,1)))/Inputs!$B$43),G2386*Q2386))*IF(Inputs!$B$38="pvp",1,1+(Inputs!$B$20+0+Skills!P5+Summary!$B$15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2386*(1-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2386*(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2386*(1-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2386*(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6">
        <f>IF(C2386,(H2386*N2386*IF(AND(Inputs!$B$38&lt;&gt;"pvp",Inputs!$B$43&gt;0),((Skills!G5*((R2386-1)*IF(Skills!H5&gt;0,Skills!I5/Skills!H5,1)+IF(Skills!H5&gt;0,MIN(Skills!I5,MAX(0,MAX(0,Inputs!$B$43-B2417)-((R2386-1)*(IF(Inputs!$B$38="pvp",15,MAX(0.1,Skills!D5-IF(Skills!E5=TRUE,Inputs!$B$32,0)))*(1-IF(AND(ArtifactsInput!$M$27,Inputs!$B$4="Chapter Hunt"),CHOOSE(ArtifactsInput!$N$27+1,20,24,28,32,36,40),0)/100)))))/Skills!H5,1)))/Inputs!$B$43),G2386*Q2386)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7">
      <c r="A2387">
        <f>Skills!A6</f>
        <v/>
      </c>
      <c r="B2387">
        <f>Skills!B6</f>
        <v/>
      </c>
      <c r="C2387">
        <f>Inputs!$B$3&gt;=103</f>
        <v/>
      </c>
      <c r="D2387">
        <f>IF(Skills!C6=1,60+Inputs!$B$25+Inputs!$B$29,IF(Skills!C6=2,90+Inputs!$B$26+Inputs!$B$29,IF(Skills!C6=3,120+Inputs!$B$27+Inputs!$B$29,MAX(0,(Inputs!$B$3-100)*3)+Inputs!$B$28+Inputs!$B$29)))</f>
        <v/>
      </c>
      <c r="E2387">
        <f>INDEX(FactorTable!$B$2:$Y$301, MATCH(ROUND(MIN(300,MAX(1,D2387)),0), FactorTable!$A$2:$A$301,0), Skills!M6+1)</f>
        <v/>
      </c>
      <c r="F2387">
        <f>IF(Skills!N6=TRUE,(Skills!L6/10)*(E2387/1000),Skills!L6/10)+Skills!O6</f>
        <v/>
      </c>
      <c r="G2387">
        <f>Skills!G6*IF(Skills!H6&gt;0,Skills!I6/Skills!H6,1)</f>
        <v/>
      </c>
      <c r="H2387">
        <f>1-(1-Skills!J6/100)^Skills!K6</f>
        <v/>
      </c>
      <c r="I2387" t="inlineStr">
        <is>
          <t>1</t>
        </is>
      </c>
      <c r="J2387">
        <f>((Inputs!$B$6*(1+Inputs!$B$7/100))+(((Inputs!$B$12*(1+Inputs!$B$13/100))-(Inputs!$B$12*(1+Inputs!$B$13/100)))+0.25*(Inputs!$B$14-Inputs!$B$14))*(1+Inputs!$B$7/100))*(F2387/100)</f>
        <v/>
      </c>
      <c r="K2387">
        <f>J2387*(1+((Inputs!$B$12*(1+Inputs!$B$13/100))*0.01+Inputs!$B$14*0.0025)/100)*(1+Inputs!$B$15/100)*(1+Inputs!$B$16/100)*(5000/(6000+Inputs!$B$42*(1-(100*(1-(1-(Inputs!$B$19+0)/100)*(1-CHOOSE(ArtifactsInput!$N$40+1,5,6,7,8,9,10)/100)^(ArtifactsInput!$M$40-ArtifactsInput!$M$40)))/100)))*(1+(Inputs!$B$24+((C2406=TRUE)*(F2406-Calc!F25))+B2416)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2402=TRUE)*(F2402-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2404=TRUE)*(F2404-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2394=TRUE)*F2394*IF(Inputs!$B$3&gt;=110,7,5))+((C2396=TRUE)*F2396*IF(AND(Inputs!$B$38&lt;&gt;"pvp",Inputs!$B$43&gt;0),(((R2396-1)*(Skills!T15*(1+(Inputs!$B$34+(ArtifactsInput!$M$7-ArtifactsInput!$M$7)*CHOOSE(ArtifactsInput!$N$7+1,6,7.2,8.4,9.6,10.8,12))/100))+MIN((Skills!T15*(1+(Inputs!$B$34+(ArtifactsInput!$M$7-ArtifactsInput!$M$7)*CHOOSE(ArtifactsInput!$N$7+1,6,7.2,8.4,9.6,10.8,12))/100)),MAX(0,Inputs!$B$43-((R2396-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Hunt"),CHOOSE(ArtifactsInput!$N$35+1,15,18,21,24,27,30)*(1-EXP(-(0.2*B2412)*5)),0)+IF(AND(ArtifactsInput!$M$22,Inputs!$B$4&lt;&gt;"Chapter Hunt"),CHOOSE(ArtifactsInput!$N$22+1,10,12,14,16,18,20)*((0*(((0.15*B2412*5))^0/1)+1*(((0.15*B2412*5))^1/1)+2*(((0.15*B2412*5))^2/2)+3*(((0.15*B2412*5))^3/6)+4*(((0.15*B2412*5))^4/24)+5*(((0.15*B2412*5))^5/120))/((((0.15*B2412*5))^0/1)+(((0.15*B2412*5))^1/1)+(((0.15*B2412*5))^2/2)+(((0.15*B2412*5))^3/6)+(((0.15*B2412*5))^4/24)+(((0.15*B2412*5))^5/120))),0)))/100)*I2387)</f>
        <v/>
      </c>
      <c r="L2387">
        <f>K2387*(MIN(Inputs!$B$22+((C2403=TRUE)*(F2403-Calc!F22)),(Inputs!$B$23+((C2405=TRUE)*(F2405-Calc!F24))+(IF(ArtifactsInput!$M$15,CHOOSE(ArtifactsInput!$N$15+1,25,30,35,40,45,50)/100*(Inputs!$B$11-Inputs!$B$11),0))))/100+(Inputs!$B$23+((C2405=TRUE)*(F2405-Calc!F24))+(IF(ArtifactsInput!$M$15,CHOOSE(ArtifactsInput!$N$15+1,25,30,35,40,45,50)/100*(Inputs!$B$11-Inputs!$B$11),0)))/100)/2</f>
        <v/>
      </c>
      <c r="M2387">
        <f>L2387*(1+(Inputs!$B$10+0+B2415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7">
        <f>L2387*(1-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2387*(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7">
        <f>(1-Summary!$B$11)*T2387+Summary!$B$11*V2387</f>
        <v/>
      </c>
      <c r="P2387">
        <f>IF(B2420=0,0,O2387/B2420)</f>
        <v/>
      </c>
      <c r="Q2387">
        <f>IFERROR(1/(IF(Inputs!$B$38="pvp",15,MAX(0.1,Skills!D6-IF(Skills!E6=TRUE,Inputs!$B$32,0)))*(1-IF(AND(ArtifactsInput!$M$27,Inputs!$B$4="Chapter Hunt"),CHOOSE(ArtifactsInput!$N$27+1,20,24,28,32,36,40),0)/100)),0)</f>
        <v/>
      </c>
      <c r="R2387">
        <f>IF(AND(Inputs!$B$38&lt;&gt;"pvp",Inputs!$B$43&gt;0),IF(MAX(0,Inputs!$B$43-B2417)&lt;=0,0,(INT(MAX(0,Inputs!$B$43-B2417)/(IF(Inputs!$B$38="pvp",15,MAX(0.1,Skills!D6-IF(Skills!E6=TRUE,Inputs!$B$32,0)))*(1-IF(AND(ArtifactsInput!$M$27,Inputs!$B$4="Chapter Hunt"),CHOOSE(ArtifactsInput!$N$27+1,20,24,28,32,36,40),0)/100)))+1)),0)</f>
        <v/>
      </c>
      <c r="S2387">
        <f>IFERROR(O2387/N2387,0)</f>
        <v/>
      </c>
      <c r="T2387">
        <f>IF(C2387,(H2387*N2387*IF(AND(Inputs!$B$38&lt;&gt;"pvp",Inputs!$B$43&gt;0),((Skills!G6*((R2387-1)*IF(Skills!H6&gt;0,Skills!I6/Skills!H6,1)+IF(Skills!H6&gt;0,MIN(Skills!I6,MAX(0,MAX(0,Inputs!$B$43-B2417)-((R2387-1)*(IF(Inputs!$B$38="pvp",15,MAX(0.1,Skills!D6-IF(Skills!E6=TRUE,Inputs!$B$32,0)))*(1-IF(AND(ArtifactsInput!$M$27,Inputs!$B$4="Chapter Hunt"),CHOOSE(ArtifactsInput!$N$27+1,20,24,28,32,36,40),0)/100)))))/Skills!H6,1)))/Inputs!$B$43),G2387*Q2387))*IF(Inputs!$B$38="pvp",1,1+(Inputs!$B$20+0+Skills!P6+Summary!$B$15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2387*(1-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2387*(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2387*(1-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2387*(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7">
        <f>IF(C2387,(H2387*N2387*IF(AND(Inputs!$B$38&lt;&gt;"pvp",Inputs!$B$43&gt;0),((Skills!G6*((R2387-1)*IF(Skills!H6&gt;0,Skills!I6/Skills!H6,1)+IF(Skills!H6&gt;0,MIN(Skills!I6,MAX(0,MAX(0,Inputs!$B$43-B2417)-((R2387-1)*(IF(Inputs!$B$38="pvp",15,MAX(0.1,Skills!D6-IF(Skills!E6=TRUE,Inputs!$B$32,0)))*(1-IF(AND(ArtifactsInput!$M$27,Inputs!$B$4="Chapter Hunt"),CHOOSE(ArtifactsInput!$N$27+1,20,24,28,32,36,40),0)/100)))))/Skills!H6,1)))/Inputs!$B$43),G2387*Q2387)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8">
      <c r="A2388">
        <f>Skills!A7</f>
        <v/>
      </c>
      <c r="B2388">
        <f>Skills!B7</f>
        <v/>
      </c>
      <c r="C2388">
        <f>Inputs!$B$3&gt;=107</f>
        <v/>
      </c>
      <c r="D2388">
        <f>IF(Skills!C7=1,60+Inputs!$B$25+Inputs!$B$29,IF(Skills!C7=2,90+Inputs!$B$26+Inputs!$B$29,IF(Skills!C7=3,120+Inputs!$B$27+Inputs!$B$29,MAX(0,(Inputs!$B$3-100)*3)+Inputs!$B$28+Inputs!$B$29)))</f>
        <v/>
      </c>
      <c r="E2388">
        <f>INDEX(FactorTable!$B$2:$Y$301, MATCH(ROUND(MIN(300,MAX(1,D2388)),0), FactorTable!$A$2:$A$301,0), Skills!M7+1)</f>
        <v/>
      </c>
      <c r="F2388">
        <f>IF(Skills!N7=TRUE,(Skills!L7/10)*(E2388/1000),Skills!L7/10)+Skills!O7</f>
        <v/>
      </c>
      <c r="G2388">
        <f>Skills!G7*IF(Skills!H7&gt;0,Skills!I7/Skills!H7,1)</f>
        <v/>
      </c>
      <c r="H2388">
        <f>1-(1-Skills!J7/100)^Skills!K7</f>
        <v/>
      </c>
      <c r="I2388" t="inlineStr">
        <is>
          <t>1</t>
        </is>
      </c>
      <c r="J2388">
        <f>((Inputs!$B$6*(1+Inputs!$B$7/100))+(((Inputs!$B$12*(1+Inputs!$B$13/100))-(Inputs!$B$12*(1+Inputs!$B$13/100)))+0.25*(Inputs!$B$14-Inputs!$B$14))*(1+Inputs!$B$7/100))*(F2388/100)</f>
        <v/>
      </c>
      <c r="K2388">
        <f>J2388*(1+((Inputs!$B$12*(1+Inputs!$B$13/100))*0.01+Inputs!$B$14*0.0025)/100)*(1+Inputs!$B$15/100)*(1+Inputs!$B$16/100)*(5000/(6000+Inputs!$B$42*(1-(100*(1-(1-(Inputs!$B$19+0)/100)*(1-CHOOSE(ArtifactsInput!$N$40+1,5,6,7,8,9,10)/100)^(ArtifactsInput!$M$40-ArtifactsInput!$M$40)))/100)))*(1+(Inputs!$B$24+((C2406=TRUE)*(F2406-Calc!F25))+B2416)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2402=TRUE)*(F2402-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2404=TRUE)*(F2404-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2394=TRUE)*F2394*IF(Inputs!$B$3&gt;=110,7,5))+((C2396=TRUE)*F2396*IF(AND(Inputs!$B$38&lt;&gt;"pvp",Inputs!$B$43&gt;0),(((R2396-1)*(Skills!T15*(1+(Inputs!$B$34+(ArtifactsInput!$M$7-ArtifactsInput!$M$7)*CHOOSE(ArtifactsInput!$N$7+1,6,7.2,8.4,9.6,10.8,12))/100))+MIN((Skills!T15*(1+(Inputs!$B$34+(ArtifactsInput!$M$7-ArtifactsInput!$M$7)*CHOOSE(ArtifactsInput!$N$7+1,6,7.2,8.4,9.6,10.8,12))/100)),MAX(0,Inputs!$B$43-((R2396-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Hunt"),CHOOSE(ArtifactsInput!$N$35+1,15,18,21,24,27,30)*(1-EXP(-(0.2*B2412)*5)),0)+IF(AND(ArtifactsInput!$M$22,Inputs!$B$4&lt;&gt;"Chapter Hunt"),CHOOSE(ArtifactsInput!$N$22+1,10,12,14,16,18,20)*((0*(((0.15*B2412*5))^0/1)+1*(((0.15*B2412*5))^1/1)+2*(((0.15*B2412*5))^2/2)+3*(((0.15*B2412*5))^3/6)+4*(((0.15*B2412*5))^4/24)+5*(((0.15*B2412*5))^5/120))/((((0.15*B2412*5))^0/1)+(((0.15*B2412*5))^1/1)+(((0.15*B2412*5))^2/2)+(((0.15*B2412*5))^3/6)+(((0.15*B2412*5))^4/24)+(((0.15*B2412*5))^5/120))),0)))/100)*I2388)</f>
        <v/>
      </c>
      <c r="L2388">
        <f>K2388*(MIN(Inputs!$B$22+((C2403=TRUE)*(F2403-Calc!F22)),(Inputs!$B$23+((C2405=TRUE)*(F2405-Calc!F24))+(IF(ArtifactsInput!$M$15,CHOOSE(ArtifactsInput!$N$15+1,25,30,35,40,45,50)/100*(Inputs!$B$11-Inputs!$B$11),0))))/100+(Inputs!$B$23+((C2405=TRUE)*(F2405-Calc!F24))+(IF(ArtifactsInput!$M$15,CHOOSE(ArtifactsInput!$N$15+1,25,30,35,40,45,50)/100*(Inputs!$B$11-Inputs!$B$11),0)))/100)/2</f>
        <v/>
      </c>
      <c r="M2388">
        <f>L2388*(1+(Inputs!$B$10+0+B2415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8">
        <f>L2388*(1-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2388*(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8">
        <f>(1-Summary!$B$11)*T2388+Summary!$B$11*V2388</f>
        <v/>
      </c>
      <c r="P2388">
        <f>IF(B2420=0,0,O2388/B2420)</f>
        <v/>
      </c>
      <c r="Q2388">
        <f>IFERROR(1/(IF(Inputs!$B$38="pvp",15,MAX(0.1,Skills!D7-IF(Skills!E7=TRUE,Inputs!$B$32,0)))*(1-IF(AND(ArtifactsInput!$M$27,Inputs!$B$4="Chapter Hunt"),CHOOSE(ArtifactsInput!$N$27+1,20,24,28,32,36,40),0)/100)),0)</f>
        <v/>
      </c>
      <c r="R2388">
        <f>IF(AND(Inputs!$B$38&lt;&gt;"pvp",Inputs!$B$43&gt;0),IF(MAX(0,Inputs!$B$43-B2417)&lt;=0,0,(INT(MAX(0,Inputs!$B$43-B2417)/(IF(Inputs!$B$38="pvp",15,MAX(0.1,Skills!D7-IF(Skills!E7=TRUE,Inputs!$B$32,0)))*(1-IF(AND(ArtifactsInput!$M$27,Inputs!$B$4="Chapter Hunt"),CHOOSE(ArtifactsInput!$N$27+1,20,24,28,32,36,40),0)/100)))+1)),0)</f>
        <v/>
      </c>
      <c r="S2388">
        <f>IFERROR(O2388/N2388,0)</f>
        <v/>
      </c>
      <c r="T2388">
        <f>IF(C2388,(H2388*N2388*IF(AND(Inputs!$B$38&lt;&gt;"pvp",Inputs!$B$43&gt;0),((Skills!G7*((R2388-1)*IF(Skills!H7&gt;0,Skills!I7/Skills!H7,1)+IF(Skills!H7&gt;0,MIN(Skills!I7,MAX(0,MAX(0,Inputs!$B$43-B2417)-((R2388-1)*(IF(Inputs!$B$38="pvp",15,MAX(0.1,Skills!D7-IF(Skills!E7=TRUE,Inputs!$B$32,0)))*(1-IF(AND(ArtifactsInput!$M$27,Inputs!$B$4="Chapter Hunt"),CHOOSE(ArtifactsInput!$N$27+1,20,24,28,32,36,40),0)/100)))))/Skills!H7,1)))/Inputs!$B$43),G2388*Q2388))*IF(Inputs!$B$38="pvp",1,1+(Inputs!$B$20+0+Skills!P7+Summary!$B$15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2388*(1-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2388*(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2388*(1-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2388*(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8">
        <f>IF(C2388,(H2388*N2388*IF(AND(Inputs!$B$38&lt;&gt;"pvp",Inputs!$B$43&gt;0),((Skills!G7*((R2388-1)*IF(Skills!H7&gt;0,Skills!I7/Skills!H7,1)+IF(Skills!H7&gt;0,MIN(Skills!I7,MAX(0,MAX(0,Inputs!$B$43-B2417)-((R2388-1)*(IF(Inputs!$B$38="pvp",15,MAX(0.1,Skills!D7-IF(Skills!E7=TRUE,Inputs!$B$32,0)))*(1-IF(AND(ArtifactsInput!$M$27,Inputs!$B$4="Chapter Hunt"),CHOOSE(ArtifactsInput!$N$27+1,20,24,28,32,36,40),0)/100)))))/Skills!H7,1)))/Inputs!$B$43),G2388*Q2388)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9">
      <c r="A2389">
        <f>Skills!A8</f>
        <v/>
      </c>
      <c r="B2389">
        <f>Skills!B8</f>
        <v/>
      </c>
      <c r="C2389">
        <f>Inputs!$B$3&gt;=117</f>
        <v/>
      </c>
      <c r="D2389">
        <f>IF(Skills!C8=1,60+Inputs!$B$25+Inputs!$B$29,IF(Skills!C8=2,90+Inputs!$B$26+Inputs!$B$29,IF(Skills!C8=3,120+Inputs!$B$27+Inputs!$B$29,MAX(0,(Inputs!$B$3-100)*3)+Inputs!$B$28+Inputs!$B$29)))</f>
        <v/>
      </c>
      <c r="E2389">
        <f>INDEX(FactorTable!$B$2:$Y$301, MATCH(ROUND(MIN(300,MAX(1,D2389)),0), FactorTable!$A$2:$A$301,0), Skills!M8+1)</f>
        <v/>
      </c>
      <c r="F2389">
        <f>IF(Skills!N8=TRUE,(Skills!L8/10)*(E2389/1000),Skills!L8/10)+Skills!O8</f>
        <v/>
      </c>
      <c r="G2389">
        <f>Skills!G8*IF(Skills!H8&gt;0,Skills!I8/Skills!H8,1)</f>
        <v/>
      </c>
      <c r="H2389">
        <f>1-(1-Skills!J8/100)^Skills!K8</f>
        <v/>
      </c>
      <c r="I2389" t="inlineStr">
        <is>
          <t>1</t>
        </is>
      </c>
      <c r="J2389">
        <f>((Inputs!$B$6*(1+Inputs!$B$7/100))+(((Inputs!$B$12*(1+Inputs!$B$13/100))-(Inputs!$B$12*(1+Inputs!$B$13/100)))+0.25*(Inputs!$B$14-Inputs!$B$14))*(1+Inputs!$B$7/100))*(F2389/100)</f>
        <v/>
      </c>
      <c r="K2389">
        <f>J2389*(1+((Inputs!$B$12*(1+Inputs!$B$13/100))*0.01+Inputs!$B$14*0.0025)/100)*(1+Inputs!$B$15/100)*(1+Inputs!$B$16/100)*(5000/(6000+Inputs!$B$42*(1-(100*(1-(1-(Inputs!$B$19+0)/100)*(1-CHOOSE(ArtifactsInput!$N$40+1,5,6,7,8,9,10)/100)^(ArtifactsInput!$M$40-ArtifactsInput!$M$40)))/100)))*(1+(Inputs!$B$24+((C2406=TRUE)*(F2406-Calc!F25))+B2416)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2402=TRUE)*(F2402-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2404=TRUE)*(F2404-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2394=TRUE)*F2394*IF(Inputs!$B$3&gt;=110,7,5))+((C2396=TRUE)*F2396*IF(AND(Inputs!$B$38&lt;&gt;"pvp",Inputs!$B$43&gt;0),(((R2396-1)*(Skills!T15*(1+(Inputs!$B$34+(ArtifactsInput!$M$7-ArtifactsInput!$M$7)*CHOOSE(ArtifactsInput!$N$7+1,6,7.2,8.4,9.6,10.8,12))/100))+MIN((Skills!T15*(1+(Inputs!$B$34+(ArtifactsInput!$M$7-ArtifactsInput!$M$7)*CHOOSE(ArtifactsInput!$N$7+1,6,7.2,8.4,9.6,10.8,12))/100)),MAX(0,Inputs!$B$43-((R2396-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Hunt"),CHOOSE(ArtifactsInput!$N$35+1,15,18,21,24,27,30)*(1-EXP(-(0.2*B2412)*5)),0)+IF(AND(ArtifactsInput!$M$22,Inputs!$B$4&lt;&gt;"Chapter Hunt"),CHOOSE(ArtifactsInput!$N$22+1,10,12,14,16,18,20)*((0*(((0.15*B2412*5))^0/1)+1*(((0.15*B2412*5))^1/1)+2*(((0.15*B2412*5))^2/2)+3*(((0.15*B2412*5))^3/6)+4*(((0.15*B2412*5))^4/24)+5*(((0.15*B2412*5))^5/120))/((((0.15*B2412*5))^0/1)+(((0.15*B2412*5))^1/1)+(((0.15*B2412*5))^2/2)+(((0.15*B2412*5))^3/6)+(((0.15*B2412*5))^4/24)+(((0.15*B2412*5))^5/120))),0)))/100)*I2389)</f>
        <v/>
      </c>
      <c r="L2389">
        <f>K2389*(MIN(Inputs!$B$22+((C2403=TRUE)*(F2403-Calc!F22)),(Inputs!$B$23+((C2405=TRUE)*(F2405-Calc!F24))+(IF(ArtifactsInput!$M$15,CHOOSE(ArtifactsInput!$N$15+1,25,30,35,40,45,50)/100*(Inputs!$B$11-Inputs!$B$11),0))))/100+(Inputs!$B$23+((C2405=TRUE)*(F2405-Calc!F24))+(IF(ArtifactsInput!$M$15,CHOOSE(ArtifactsInput!$N$15+1,25,30,35,40,45,50)/100*(Inputs!$B$11-Inputs!$B$11),0)))/100)/2</f>
        <v/>
      </c>
      <c r="M2389">
        <f>L2389*(1+(Inputs!$B$10+0+B2415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9">
        <f>L2389*(1-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2389*(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9">
        <f>(1-Summary!$B$11)*T2389+Summary!$B$11*V2389</f>
        <v/>
      </c>
      <c r="P2389">
        <f>IF(B2420=0,0,O2389/B2420)</f>
        <v/>
      </c>
      <c r="Q2389">
        <f>IFERROR(1/(IF(Inputs!$B$38="pvp",15,MAX(0.1,Skills!D8-IF(Skills!E8=TRUE,Inputs!$B$32,0)))*(1-IF(AND(ArtifactsInput!$M$27,Inputs!$B$4="Chapter Hunt"),CHOOSE(ArtifactsInput!$N$27+1,20,24,28,32,36,40),0)/100)),0)</f>
        <v/>
      </c>
      <c r="R2389">
        <f>IF(AND(Inputs!$B$38&lt;&gt;"pvp",Inputs!$B$43&gt;0),IF(MAX(0,Inputs!$B$43-B2417)&lt;=0,0,(INT(MAX(0,Inputs!$B$43-B2417)/(IF(Inputs!$B$38="pvp",15,MAX(0.1,Skills!D8-IF(Skills!E8=TRUE,Inputs!$B$32,0)))*(1-IF(AND(ArtifactsInput!$M$27,Inputs!$B$4="Chapter Hunt"),CHOOSE(ArtifactsInput!$N$27+1,20,24,28,32,36,40),0)/100)))+1)),0)</f>
        <v/>
      </c>
      <c r="S2389">
        <f>IFERROR(O2389/N2389,0)</f>
        <v/>
      </c>
      <c r="T2389">
        <f>IF(C2389,(H2389*N2389*IF(AND(Inputs!$B$38&lt;&gt;"pvp",Inputs!$B$43&gt;0),((Skills!G8*((R2389-1)*IF(Skills!H8&gt;0,Skills!I8/Skills!H8,1)+IF(Skills!H8&gt;0,MIN(Skills!I8,MAX(0,MAX(0,Inputs!$B$43-B2417)-((R2389-1)*(IF(Inputs!$B$38="pvp",15,MAX(0.1,Skills!D8-IF(Skills!E8=TRUE,Inputs!$B$32,0)))*(1-IF(AND(ArtifactsInput!$M$27,Inputs!$B$4="Chapter Hunt"),CHOOSE(ArtifactsInput!$N$27+1,20,24,28,32,36,40),0)/100)))))/Skills!H8,1)))/Inputs!$B$43),G2389*Q2389))*IF(Inputs!$B$38="pvp",1,1+(Inputs!$B$20+0+Skills!P8+Summary!$B$15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2389*(1-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2389*(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2389*(1-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2389*(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9">
        <f>IF(C2389,(H2389*N2389*IF(AND(Inputs!$B$38&lt;&gt;"pvp",Inputs!$B$43&gt;0),((Skills!G8*((R2389-1)*IF(Skills!H8&gt;0,Skills!I8/Skills!H8,1)+IF(Skills!H8&gt;0,MIN(Skills!I8,MAX(0,MAX(0,Inputs!$B$43-B2417)-((R2389-1)*(IF(Inputs!$B$38="pvp",15,MAX(0.1,Skills!D8-IF(Skills!E8=TRUE,Inputs!$B$32,0)))*(1-IF(AND(ArtifactsInput!$M$27,Inputs!$B$4="Chapter Hunt"),CHOOSE(ArtifactsInput!$N$27+1,20,24,28,32,36,40),0)/100)))))/Skills!H8,1)))/Inputs!$B$43),G2389*Q2389)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90">
      <c r="A2390">
        <f>Skills!A9</f>
        <v/>
      </c>
      <c r="B2390">
        <f>Skills!B9</f>
        <v/>
      </c>
      <c r="C2390">
        <f>Inputs!$B$3&gt;=69</f>
        <v/>
      </c>
      <c r="D2390">
        <f>IF(Skills!C9=1,60+Inputs!$B$25+Inputs!$B$29,IF(Skills!C9=2,90+Inputs!$B$26+Inputs!$B$29,IF(Skills!C9=3,120+Inputs!$B$27+Inputs!$B$29,MAX(0,(Inputs!$B$3-100)*3)+Inputs!$B$28+Inputs!$B$29)))</f>
        <v/>
      </c>
      <c r="E2390">
        <f>INDEX(FactorTable!$B$2:$Y$301, MATCH(ROUND(MIN(300,MAX(1,D2390)),0), FactorTable!$A$2:$A$301,0), Skills!M9+1)</f>
        <v/>
      </c>
      <c r="F2390">
        <f>IF(Skills!N9=TRUE,(Skills!L9/10)*(E2390/1000),Skills!L9/10)+Skills!O9</f>
        <v/>
      </c>
      <c r="G2390">
        <f>Skills!G9*IF(Skills!H9&gt;0,Skills!I9/Skills!H9,1)</f>
        <v/>
      </c>
      <c r="H2390">
        <f>1-(1-Skills!J9/100)^Skills!K9</f>
        <v/>
      </c>
      <c r="I2390" t="inlineStr">
        <is>
          <t>1</t>
        </is>
      </c>
      <c r="J2390">
        <f>((Inputs!$B$6*(1+Inputs!$B$7/100))+(((Inputs!$B$12*(1+Inputs!$B$13/100))-(Inputs!$B$12*(1+Inputs!$B$13/100)))+0.25*(Inputs!$B$14-Inputs!$B$14))*(1+Inputs!$B$7/100))*(F2390/100)</f>
        <v/>
      </c>
      <c r="K2390">
        <f>J2390*(1+((Inputs!$B$12*(1+Inputs!$B$13/100))*0.01+Inputs!$B$14*0.0025)/100)*(1+Inputs!$B$15/100)*(1+Inputs!$B$16/100)*(5000/(6000+Inputs!$B$42*(1-(100*(1-(1-(Inputs!$B$19+0)/100)*(1-CHOOSE(ArtifactsInput!$N$40+1,5,6,7,8,9,10)/100)^(ArtifactsInput!$M$40-ArtifactsInput!$M$40)))/100)))*(1+(Inputs!$B$24+((C2406=TRUE)*(F2406-Calc!F25))+B2416)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2393=TRUE,F2393,0)/100)*(1+IF(Skills!A9="ENHANCED_RAGING_BLOW",IF(Inputs!$B$3&gt;=134,MAX(0,IF(Inputs!$B$3&gt;=110,7,5)-5)*50,0),0)/100)*(1+(IF(Skills!A9="RAGING_BLOW",Inputs!$B$17+((C2402=TRUE)*(F2402-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2404=TRUE)*(F2404-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2394=TRUE)*F2394*IF(Inputs!$B$3&gt;=110,7,5))+((C2396=TRUE)*F2396*IF(AND(Inputs!$B$38&lt;&gt;"pvp",Inputs!$B$43&gt;0),(((R2396-1)*(Skills!T15*(1+(Inputs!$B$34+(ArtifactsInput!$M$7-ArtifactsInput!$M$7)*CHOOSE(ArtifactsInput!$N$7+1,6,7.2,8.4,9.6,10.8,12))/100))+MIN((Skills!T15*(1+(Inputs!$B$34+(ArtifactsInput!$M$7-ArtifactsInput!$M$7)*CHOOSE(ArtifactsInput!$N$7+1,6,7.2,8.4,9.6,10.8,12))/100)),MAX(0,Inputs!$B$43-((R2396-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Hunt"),CHOOSE(ArtifactsInput!$N$35+1,15,18,21,24,27,30)*(1-EXP(-(0.2*B2412)*5)),0)+IF(AND(ArtifactsInput!$M$22,Inputs!$B$4&lt;&gt;"Chapter Hunt"),CHOOSE(ArtifactsInput!$N$22+1,10,12,14,16,18,20)*((0*(((0.15*B2412*5))^0/1)+1*(((0.15*B2412*5))^1/1)+2*(((0.15*B2412*5))^2/2)+3*(((0.15*B2412*5))^3/6)+4*(((0.15*B2412*5))^4/24)+5*(((0.15*B2412*5))^5/120))/((((0.15*B2412*5))^0/1)+(((0.15*B2412*5))^1/1)+(((0.15*B2412*5))^2/2)+(((0.15*B2412*5))^3/6)+(((0.15*B2412*5))^4/24)+(((0.15*B2412*5))^5/120))),0)))/100)*I2390)</f>
        <v/>
      </c>
      <c r="L2390">
        <f>K2390*(MIN(Inputs!$B$22+((C2403=TRUE)*(F2403-Calc!F22)),(Inputs!$B$23+((C2405=TRUE)*(F2405-Calc!F24))+(IF(ArtifactsInput!$M$15,CHOOSE(ArtifactsInput!$N$15+1,25,30,35,40,45,50)/100*(Inputs!$B$11-Inputs!$B$11),0))))/100+(Inputs!$B$23+((C2405=TRUE)*(F2405-Calc!F24))+(IF(ArtifactsInput!$M$15,CHOOSE(ArtifactsInput!$N$15+1,25,30,35,40,45,50)/100*(Inputs!$B$11-Inputs!$B$11),0)))/100)/2</f>
        <v/>
      </c>
      <c r="M2390">
        <f>L2390*(1+(Inputs!$B$10+0+B2415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90">
        <f>L2390*(1-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2390*(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90">
        <f>(1-Summary!$B$11)*T2390+Summary!$B$11*V2390</f>
        <v/>
      </c>
      <c r="P2390">
        <f>IF(B2420=0,0,O2390/B2420)</f>
        <v/>
      </c>
      <c r="Q2390">
        <f>IFERROR(1/(IF(Inputs!$B$38="pvp",15,MAX(0.1,Skills!D9-IF(Skills!E9=TRUE,Inputs!$B$32,0)))*(1-IF(AND(ArtifactsInput!$M$27,Inputs!$B$4="Chapter Hunt"),CHOOSE(ArtifactsInput!$N$27+1,20,24,28,32,36,40),0)/100)),0)</f>
        <v/>
      </c>
      <c r="R2390">
        <f>IF(AND(Inputs!$B$38&lt;&gt;"pvp",Inputs!$B$43&gt;0),IF(MAX(0,Inputs!$B$43-B2417)&lt;=0,0,(INT(MAX(0,Inputs!$B$43-B2417)/(IF(Inputs!$B$38="pvp",15,MAX(0.1,Skills!D9-IF(Skills!E9=TRUE,Inputs!$B$32,0)))*(1-IF(AND(ArtifactsInput!$M$27,Inputs!$B$4="Chapter Hunt"),CHOOSE(ArtifactsInput!$N$27+1,20,24,28,32,36,40),0)/100)))+1)),0)</f>
        <v/>
      </c>
      <c r="S2390">
        <f>IFERROR(O2390/N2390,0)</f>
        <v/>
      </c>
      <c r="T2390">
        <f>IF(C2390,(H2390*N2390*IF(AND(Inputs!$B$38&lt;&gt;"pvp",Inputs!$B$43&gt;0),((Skills!G9*((R2390-1)*IF(Skills!H9&gt;0,Skills!I9/Skills!H9,1)+IF(Skills!H9&gt;0,MIN(Skills!I9,MAX(0,MAX(0,Inputs!$B$43-B2417)-((R2390-1)*(IF(Inputs!$B$38="pvp",15,MAX(0.1,Skills!D9-IF(Skills!E9=TRUE,Inputs!$B$32,0)))*(1-IF(AND(ArtifactsInput!$M$27,Inputs!$B$4="Chapter Hunt"),CHOOSE(ArtifactsInput!$N$27+1,20,24,28,32,36,40),0)/100)))))/Skills!H9,1)))/Inputs!$B$43),G2390*Q2390))*IF(Inputs!$B$38="pvp",1,1+(Inputs!$B$20+0+Skills!P9+Summary!$B$15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2390*(1-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2390*(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2390*(1-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2390*(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90">
        <f>IF(C2390,(H2390*N2390*IF(AND(Inputs!$B$38&lt;&gt;"pvp",Inputs!$B$43&gt;0),((Skills!G9*((R2390-1)*IF(Skills!H9&gt;0,Skills!I9/Skills!H9,1)+IF(Skills!H9&gt;0,MIN(Skills!I9,MAX(0,MAX(0,Inputs!$B$43-B2417)-((R2390-1)*(IF(Inputs!$B$38="pvp",15,MAX(0.1,Skills!D9-IF(Skills!E9=TRUE,Inputs!$B$32,0)))*(1-IF(AND(ArtifactsInput!$M$27,Inputs!$B$4="Chapter Hunt"),CHOOSE(ArtifactsInput!$N$27+1,20,24,28,32,36,40),0)/100)))))/Skills!H9,1)))/Inputs!$B$43),G2390*Q2390)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91">
      <c r="A2391">
        <f>Skills!A10</f>
        <v/>
      </c>
      <c r="B2391">
        <f>Skills!B10</f>
        <v/>
      </c>
      <c r="C2391">
        <f>Inputs!$B$3&gt;=63</f>
        <v/>
      </c>
      <c r="D2391">
        <f>IF(Skills!C10=1,60+Inputs!$B$25+Inputs!$B$29,IF(Skills!C10=2,90+Inputs!$B$26+Inputs!$B$29,IF(Skills!C10=3,120+Inputs!$B$27+Inputs!$B$29,MAX(0,(Inputs!$B$3-100)*3)+Inputs!$B$28+Inputs!$B$29)))</f>
        <v/>
      </c>
      <c r="E2391">
        <f>INDEX(FactorTable!$B$2:$Y$301, MATCH(ROUND(MIN(300,MAX(1,D2391)),0), FactorTable!$A$2:$A$301,0), Skills!M10+1)</f>
        <v/>
      </c>
      <c r="F2391">
        <f>IF(Skills!N10=TRUE,(Skills!L10/10)*(E2391/1000),Skills!L10/10)+Skills!O10</f>
        <v/>
      </c>
      <c r="G2391">
        <f>Skills!G10*IF(Skills!H10&gt;0,Skills!I10/Skills!H10,1)</f>
        <v/>
      </c>
      <c r="H2391">
        <f>1-(1-Skills!J10/100)^Skills!K10</f>
        <v/>
      </c>
      <c r="I2391" t="inlineStr">
        <is>
          <t>1</t>
        </is>
      </c>
      <c r="J2391">
        <f>((Inputs!$B$6*(1+Inputs!$B$7/100))+(((Inputs!$B$12*(1+Inputs!$B$13/100))-(Inputs!$B$12*(1+Inputs!$B$13/100)))+0.25*(Inputs!$B$14-Inputs!$B$14))*(1+Inputs!$B$7/100))*(F2391/100)</f>
        <v/>
      </c>
      <c r="K2391">
        <f>J2391*(1+((Inputs!$B$12*(1+Inputs!$B$13/100))*0.01+Inputs!$B$14*0.0025)/100)*(1+Inputs!$B$15/100)*(1+Inputs!$B$16/100)*(5000/(6000+Inputs!$B$42*(1-(100*(1-(1-(Inputs!$B$19+0)/100)*(1-CHOOSE(ArtifactsInput!$N$40+1,5,6,7,8,9,10)/100)^(ArtifactsInput!$M$40-ArtifactsInput!$M$40)))/100)))*(1+(Inputs!$B$24+((C2406=TRUE)*(F2406-Calc!F25))+B2416)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2393=TRUE,F2393,0)/100)*(1+IF(Skills!A10="ENHANCED_RAGING_BLOW",IF(Inputs!$B$3&gt;=134,MAX(0,IF(Inputs!$B$3&gt;=110,7,5)-5)*50,0),0)/100)*(1+(IF(Skills!A10="RAGING_BLOW",Inputs!$B$17+((C2402=TRUE)*(F2402-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2404=TRUE)*(F2404-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2394=TRUE)*F2394*IF(Inputs!$B$3&gt;=110,7,5))+((C2396=TRUE)*F2396*IF(AND(Inputs!$B$38&lt;&gt;"pvp",Inputs!$B$43&gt;0),(((R2396-1)*(Skills!T15*(1+(Inputs!$B$34+(ArtifactsInput!$M$7-ArtifactsInput!$M$7)*CHOOSE(ArtifactsInput!$N$7+1,6,7.2,8.4,9.6,10.8,12))/100))+MIN((Skills!T15*(1+(Inputs!$B$34+(ArtifactsInput!$M$7-ArtifactsInput!$M$7)*CHOOSE(ArtifactsInput!$N$7+1,6,7.2,8.4,9.6,10.8,12))/100)),MAX(0,Inputs!$B$43-((R2396-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Hunt"),CHOOSE(ArtifactsInput!$N$35+1,15,18,21,24,27,30)*(1-EXP(-(0.2*B2412)*5)),0)+IF(AND(ArtifactsInput!$M$22,Inputs!$B$4&lt;&gt;"Chapter Hunt"),CHOOSE(ArtifactsInput!$N$22+1,10,12,14,16,18,20)*((0*(((0.15*B2412*5))^0/1)+1*(((0.15*B2412*5))^1/1)+2*(((0.15*B2412*5))^2/2)+3*(((0.15*B2412*5))^3/6)+4*(((0.15*B2412*5))^4/24)+5*(((0.15*B2412*5))^5/120))/((((0.15*B2412*5))^0/1)+(((0.15*B2412*5))^1/1)+(((0.15*B2412*5))^2/2)+(((0.15*B2412*5))^3/6)+(((0.15*B2412*5))^4/24)+(((0.15*B2412*5))^5/120))),0)))/100)*I2391)</f>
        <v/>
      </c>
      <c r="L2391">
        <f>K2391*(MIN(Inputs!$B$22+((C2403=TRUE)*(F2403-Calc!F22)),(Inputs!$B$23+((C2405=TRUE)*(F2405-Calc!F24))+(IF(ArtifactsInput!$M$15,CHOOSE(ArtifactsInput!$N$15+1,25,30,35,40,45,50)/100*(Inputs!$B$11-Inputs!$B$11),0))))/100+(Inputs!$B$23+((C2405=TRUE)*(F2405-Calc!F24))+(IF(ArtifactsInput!$M$15,CHOOSE(ArtifactsInput!$N$15+1,25,30,35,40,45,50)/100*(Inputs!$B$11-Inputs!$B$11),0)))/100)/2</f>
        <v/>
      </c>
      <c r="M2391">
        <f>L2391*(1+(Inputs!$B$10+0+B2415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91">
        <f>L2391*(1-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2391*(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91">
        <f>(1-Summary!$B$11)*T2391+Summary!$B$11*V2391</f>
        <v/>
      </c>
      <c r="P2391">
        <f>IF(B2420=0,0,O2391/B2420)</f>
        <v/>
      </c>
      <c r="Q2391">
        <f>IFERROR(1/(IF(Inputs!$B$38="pvp",15,MAX(0.1,Skills!D10-IF(Skills!E10=TRUE,Inputs!$B$32,0)))*(1-IF(AND(ArtifactsInput!$M$27,Inputs!$B$4="Chapter Hunt"),CHOOSE(ArtifactsInput!$N$27+1,20,24,28,32,36,40),0)/100)),0)</f>
        <v/>
      </c>
      <c r="R2391">
        <f>IF(AND(Inputs!$B$38&lt;&gt;"pvp",Inputs!$B$43&gt;0),IF(MAX(0,Inputs!$B$43-B2417)&lt;=0,0,(INT(MAX(0,Inputs!$B$43-B2417)/(IF(Inputs!$B$38="pvp",15,MAX(0.1,Skills!D10-IF(Skills!E10=TRUE,Inputs!$B$32,0)))*(1-IF(AND(ArtifactsInput!$M$27,Inputs!$B$4="Chapter Hunt"),CHOOSE(ArtifactsInput!$N$27+1,20,24,28,32,36,40),0)/100)))+1)),0)</f>
        <v/>
      </c>
      <c r="S2391">
        <f>IFERROR(O2391/N2391,0)</f>
        <v/>
      </c>
      <c r="T2391">
        <f>IF(C2391,(H2391*N2391*IF(AND(Inputs!$B$38&lt;&gt;"pvp",Inputs!$B$43&gt;0),((Skills!G10*((R2391-1)*IF(Skills!H10&gt;0,Skills!I10/Skills!H10,1)+IF(Skills!H10&gt;0,MIN(Skills!I10,MAX(0,MAX(0,Inputs!$B$43-B2417)-((R2391-1)*(IF(Inputs!$B$38="pvp",15,MAX(0.1,Skills!D10-IF(Skills!E10=TRUE,Inputs!$B$32,0)))*(1-IF(AND(ArtifactsInput!$M$27,Inputs!$B$4="Chapter Hunt"),CHOOSE(ArtifactsInput!$N$27+1,20,24,28,32,36,40),0)/100)))))/Skills!H10,1)))/Inputs!$B$43),G2391*Q2391))*IF(Inputs!$B$38="pvp",1,1+(Inputs!$B$20+0+Skills!P10+Summary!$B$15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2391*(1-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2391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2391*(1-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2391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91">
        <f>IF(C2391,(H2391*N2391*IF(AND(Inputs!$B$38&lt;&gt;"pvp",Inputs!$B$43&gt;0),((Skills!G10*((R2391-1)*IF(Skills!H10&gt;0,Skills!I10/Skills!H10,1)+IF(Skills!H10&gt;0,MIN(Skills!I10,MAX(0,MAX(0,Inputs!$B$43-B2417)-((R2391-1)*(IF(Inputs!$B$38="pvp",15,MAX(0.1,Skills!D10-IF(Skills!E10=TRUE,Inputs!$B$32,0)))*(1-IF(AND(ArtifactsInput!$M$27,Inputs!$B$4="Chapter Hunt"),CHOOSE(ArtifactsInput!$N$27+1,20,24,28,32,36,40),0)/100)))))/Skills!H10,1)))/Inputs!$B$43),G2391*Q2391)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92">
      <c r="A2392">
        <f>Skills!A11</f>
        <v/>
      </c>
      <c r="B2392">
        <f>Skills!B11</f>
        <v/>
      </c>
      <c r="C2392">
        <f>Inputs!$B$3&gt;=35</f>
        <v/>
      </c>
      <c r="D2392">
        <f>IF(Skills!C11=1,60+Inputs!$B$25+Inputs!$B$29,IF(Skills!C11=2,90+Inputs!$B$26+Inputs!$B$29,IF(Skills!C11=3,120+Inputs!$B$27+Inputs!$B$29,MAX(0,(Inputs!$B$3-100)*3)+Inputs!$B$28+Inputs!$B$29)))</f>
        <v/>
      </c>
      <c r="E2392">
        <f>INDEX(FactorTable!$B$2:$Y$301, MATCH(ROUND(MIN(300,MAX(1,D2392)),0), FactorTable!$A$2:$A$301,0), Skills!M11+1)</f>
        <v/>
      </c>
      <c r="F2392">
        <f>IF(Skills!N11=TRUE,(Skills!L11/10)*(E2392/1000),Skills!L11/10)+Skills!O11</f>
        <v/>
      </c>
      <c r="G2392">
        <f>Skills!G11*IF(Skills!H11&gt;0,Skills!I11/Skills!H11,1)</f>
        <v/>
      </c>
      <c r="H2392">
        <f>1-(1-Skills!J11/100)^Skills!K11</f>
        <v/>
      </c>
      <c r="I2392" t="inlineStr">
        <is>
          <t>1</t>
        </is>
      </c>
      <c r="J2392">
        <f>((Inputs!$B$6*(1+Inputs!$B$7/100))+(((Inputs!$B$12*(1+Inputs!$B$13/100))-(Inputs!$B$12*(1+Inputs!$B$13/100)))+0.25*(Inputs!$B$14-Inputs!$B$14))*(1+Inputs!$B$7/100))*(F2392/100)</f>
        <v/>
      </c>
      <c r="K2392">
        <f>J2392*(1+((Inputs!$B$12*(1+Inputs!$B$13/100))*0.01+Inputs!$B$14*0.0025)/100)*(1+Inputs!$B$15/100)*(1+Inputs!$B$16/100)*(5000/(6000+Inputs!$B$42*(1-(100*(1-(1-(Inputs!$B$19+0)/100)*(1-CHOOSE(ArtifactsInput!$N$40+1,5,6,7,8,9,10)/100)^(ArtifactsInput!$M$40-ArtifactsInput!$M$40)))/100)))*(1+(Inputs!$B$24+((C2406=TRUE)*(F2406-Calc!F25))+B2416)/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2393=TRUE,F2393,0)/100)*(1+IF(Skills!A11="ENHANCED_RAGING_BLOW",IF(Inputs!$B$3&gt;=134,MAX(0,IF(Inputs!$B$3&gt;=110,7,5)-5)*50,0),0)/100)*(1+(IF(Skills!A11="RAGING_BLOW",Inputs!$B$17+((C2402=TRUE)*(F2402-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2404=TRUE)*(F2404-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2394=TRUE)*F2394*IF(Inputs!$B$3&gt;=110,7,5))+((C2396=TRUE)*F2396*IF(AND(Inputs!$B$38&lt;&gt;"pvp",Inputs!$B$43&gt;0),(((R2396-1)*(Skills!T15*(1+(Inputs!$B$34+(ArtifactsInput!$M$7-ArtifactsInput!$M$7)*CHOOSE(ArtifactsInput!$N$7+1,6,7.2,8.4,9.6,10.8,12))/100))+MIN((Skills!T15*(1+(Inputs!$B$34+(ArtifactsInput!$M$7-ArtifactsInput!$M$7)*CHOOSE(ArtifactsInput!$N$7+1,6,7.2,8.4,9.6,10.8,12))/100)),MAX(0,Inputs!$B$43-((R2396-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Hunt"),CHOOSE(ArtifactsInput!$N$35+1,15,18,21,24,27,30)*(1-EXP(-(0.2*B2412)*5)),0)+IF(AND(ArtifactsInput!$M$22,Inputs!$B$4&lt;&gt;"Chapter Hunt"),CHOOSE(ArtifactsInput!$N$22+1,10,12,14,16,18,20)*((0*(((0.15*B2412*5))^0/1)+1*(((0.15*B2412*5))^1/1)+2*(((0.15*B2412*5))^2/2)+3*(((0.15*B2412*5))^3/6)+4*(((0.15*B2412*5))^4/24)+5*(((0.15*B2412*5))^5/120))/((((0.15*B2412*5))^0/1)+(((0.15*B2412*5))^1/1)+(((0.15*B2412*5))^2/2)+(((0.15*B2412*5))^3/6)+(((0.15*B2412*5))^4/24)+(((0.15*B2412*5))^5/120))),0)))/100)*I2392)</f>
        <v/>
      </c>
      <c r="L2392">
        <f>K2392*(MIN(Inputs!$B$22+((C2403=TRUE)*(F2403-Calc!F22)),(Inputs!$B$23+((C2405=TRUE)*(F2405-Calc!F24))+(IF(ArtifactsInput!$M$15,CHOOSE(ArtifactsInput!$N$15+1,25,30,35,40,45,50)/100*(Inputs!$B$11-Inputs!$B$11),0))))/100+(Inputs!$B$23+((C2405=TRUE)*(F2405-Calc!F24))+(IF(ArtifactsInput!$M$15,CHOOSE(ArtifactsInput!$N$15+1,25,30,35,40,45,50)/100*(Inputs!$B$11-Inputs!$B$11),0)))/100)/2</f>
        <v/>
      </c>
      <c r="M2392">
        <f>L2392*(1+(Inputs!$B$10+0+B2415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92">
        <f>L2392*(1-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2392*(MIN((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92">
        <f>(1-Summary!$B$11)*T2392+Summary!$B$11*V2392</f>
        <v/>
      </c>
      <c r="P2392">
        <f>IF(B2420=0,0,O2392/B2420)</f>
        <v/>
      </c>
      <c r="Q2392">
        <f>IFERROR(1/(IF(Inputs!$B$38="pvp",15,MAX(0.1,Skills!D11-IF(Skills!E11=TRUE,Inputs!$B$32,0)))*(1-IF(AND(ArtifactsInput!$M$27,Inputs!$B$4="Chapter Hunt"),CHOOSE(ArtifactsInput!$N$27+1,20,24,28,32,36,40),0)/100)),0)</f>
        <v/>
      </c>
      <c r="R2392">
        <f>IF(AND(Inputs!$B$38&lt;&gt;"pvp",Inputs!$B$43&gt;0),IF(MAX(0,Inputs!$B$43-B2417)&lt;=0,0,(INT(MAX(0,Inputs!$B$43-B2417)/(IF(Inputs!$B$38="pvp",15,MAX(0.1,Skills!D11-IF(Skills!E11=TRUE,Inputs!$B$32,0)))*(1-IF(AND(ArtifactsInput!$M$27,Inputs!$B$4="Chapter Hunt"),CHOOSE(ArtifactsInput!$N$27+1,20,24,28,32,36,40),0)/100)))+1)),0)</f>
        <v/>
      </c>
      <c r="S2392">
        <f>IFERROR(O2392/N2392,0)</f>
        <v/>
      </c>
      <c r="T2392">
        <f>IF(C2392,(H2392*N2392*IF(AND(Inputs!$B$38&lt;&gt;"pvp",Inputs!$B$43&gt;0),((Skills!G11*((R2392-1)*IF(Skills!H11&gt;0,Skills!I11/Skills!H11,1)+IF(Skills!H11&gt;0,MIN(Skills!I11,MAX(0,MAX(0,Inputs!$B$43-B2417)-((R2392-1)*(IF(Inputs!$B$38="pvp",15,MAX(0.1,Skills!D11-IF(Skills!E11=TRUE,Inputs!$B$32,0)))*(1-IF(AND(ArtifactsInput!$M$27,Inputs!$B$4="Chapter Hunt"),CHOOSE(ArtifactsInput!$N$27+1,20,24,28,32,36,40),0)/100)))))/Skills!H11,1)))/Inputs!$B$43),G2392*Q2392))*IF(Inputs!$B$38="pvp",1,1+(Inputs!$B$20+0+Skills!P11+Summary!$B$15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2392*(1-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2392*(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2392*(1-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2392*(MIN(100,(Inputs!$B$9+((C2407=TRUE)*(F2407-Calc!F26))+B2410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92">
        <f>IF(C2392,(H2392*N2392*IF(AND(Inputs!$B$38&lt;&gt;"pvp",Inputs!$B$43&gt;0),((Skills!G11*((R2392-1)*IF(Skills!H11&gt;0,Skills!I11/Skills!H11,1)+IF(Skills!H11&gt;0,MIN(Skills!I11,MAX(0,MAX(0,Inputs!$B$43-B2417)-((R2392-1)*(IF(Inputs!$B$38="pvp",15,MAX(0.1,Skills!D11-IF(Skills!E11=TRUE,Inputs!$B$32,0)))*(1-IF(AND(ArtifactsInput!$M$27,Inputs!$B$4="Chapter Hunt"),CHOOSE(ArtifactsInput!$N$27+1,20,24,28,32,36,40),0)/100)))))/Skills!H11,1)))/Inputs!$B$43),G2392*Q2392)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93">
      <c r="A2393">
        <f>Skills!A12</f>
        <v/>
      </c>
      <c r="B2393">
        <f>Skills!B12</f>
        <v/>
      </c>
      <c r="C2393">
        <f>Inputs!$B$3&gt;=100</f>
        <v/>
      </c>
      <c r="D2393">
        <f>IF(Skills!C12=1,60+Inputs!$B$25+Inputs!$B$29,IF(Skills!C12=2,90+Inputs!$B$26+Inputs!$B$29,IF(Skills!C12=3,120+Inputs!$B$27+Inputs!$B$29,MAX(0,(Inputs!$B$3-100)*3)+Inputs!$B$28+Inputs!$B$29)))</f>
        <v/>
      </c>
      <c r="E2393">
        <f>INDEX(FactorTable!$B$2:$Y$301, MATCH(ROUND(MIN(300,MAX(1,D2393)),0), FactorTable!$A$2:$A$301,0), Skills!M12+1)</f>
        <v/>
      </c>
      <c r="F2393">
        <f>IF(Skills!N12=TRUE,(Skills!L12/10)*(E2393/1000),Skills!L12/10)+Skills!O12</f>
        <v/>
      </c>
      <c r="G2393" t="inlineStr"/>
      <c r="H2393" t="inlineStr"/>
      <c r="I2393" t="inlineStr">
        <is>
          <t>1</t>
        </is>
      </c>
      <c r="J2393" t="inlineStr"/>
      <c r="K2393" t="inlineStr"/>
      <c r="L2393" t="inlineStr"/>
      <c r="M2393" t="inlineStr"/>
      <c r="N2393" t="inlineStr"/>
      <c r="O2393" t="inlineStr"/>
      <c r="P2393" t="inlineStr"/>
      <c r="Q2393" t="inlineStr"/>
      <c r="R2393" t="inlineStr"/>
      <c r="S2393" t="inlineStr"/>
    </row>
    <row r="2394">
      <c r="A2394">
        <f>Skills!A13</f>
        <v/>
      </c>
      <c r="B2394">
        <f>Skills!B13</f>
        <v/>
      </c>
      <c r="C2394">
        <f>Inputs!$B$3&gt;=45</f>
        <v/>
      </c>
      <c r="D2394">
        <f>IF(Skills!C13=1,60+Inputs!$B$25+Inputs!$B$29,IF(Skills!C13=2,90+Inputs!$B$26+Inputs!$B$29,IF(Skills!C13=3,120+Inputs!$B$27+Inputs!$B$29,MAX(0,(Inputs!$B$3-100)*3)+Inputs!$B$28+Inputs!$B$29)))</f>
        <v/>
      </c>
      <c r="E2394">
        <f>INDEX(FactorTable!$B$2:$Y$301, MATCH(ROUND(MIN(300,MAX(1,D2394)),0), FactorTable!$A$2:$A$301,0), Skills!M13+1)</f>
        <v/>
      </c>
      <c r="F2394">
        <f>IF(Skills!N13=TRUE,(Skills!L13/10)*(E2394/1000),Skills!L13/10)+Skills!O13</f>
        <v/>
      </c>
      <c r="G2394">
        <f>Skills!G13*IF(Skills!H13&gt;0,Skills!I13/Skills!H13,1)</f>
        <v/>
      </c>
      <c r="H2394">
        <f>1-(1-Skills!J13/100)^Skills!K13</f>
        <v/>
      </c>
      <c r="I2394" t="inlineStr">
        <is>
          <t>1</t>
        </is>
      </c>
      <c r="J2394" t="inlineStr"/>
      <c r="K2394" t="inlineStr"/>
      <c r="L2394" t="inlineStr"/>
      <c r="M2394" t="inlineStr"/>
      <c r="N2394" t="inlineStr"/>
      <c r="O2394">
        <f>(1-Summary!$B$11)*T2394+Summary!$B$11*V2394</f>
        <v/>
      </c>
      <c r="P2394">
        <f>IF(B2420=0,0,O2394/B2420)</f>
        <v/>
      </c>
      <c r="Q2394" t="n">
        <v>0</v>
      </c>
      <c r="R2394" t="n">
        <v>0</v>
      </c>
      <c r="S2394">
        <f>IFERROR(O2394/N2394,0)</f>
        <v/>
      </c>
      <c r="T2394" t="n">
        <v>0</v>
      </c>
      <c r="V2394" t="n">
        <v>0</v>
      </c>
    </row>
    <row r="2395">
      <c r="A2395">
        <f>Skills!A14</f>
        <v/>
      </c>
      <c r="B2395">
        <f>Skills!B14</f>
        <v/>
      </c>
      <c r="C2395">
        <f>Inputs!$B$3&gt;=75</f>
        <v/>
      </c>
      <c r="D2395">
        <f>IF(Skills!C14=1,60+Inputs!$B$25+Inputs!$B$29,IF(Skills!C14=2,90+Inputs!$B$26+Inputs!$B$29,IF(Skills!C14=3,120+Inputs!$B$27+Inputs!$B$29,MAX(0,(Inputs!$B$3-100)*3)+Inputs!$B$28+Inputs!$B$29)))</f>
        <v/>
      </c>
      <c r="E2395">
        <f>INDEX(FactorTable!$B$2:$Y$301, MATCH(ROUND(MIN(300,MAX(1,D2395)),0), FactorTable!$A$2:$A$301,0), Skills!M14+1)</f>
        <v/>
      </c>
      <c r="F2395">
        <f>IF(Skills!N14=TRUE,(Skills!L14/10)*(E2395/1000),Skills!L14/10)+Skills!O14</f>
        <v/>
      </c>
      <c r="G2395">
        <f>Skills!G14*IF(Skills!H14&gt;0,Skills!I14/Skills!H14,1)</f>
        <v/>
      </c>
      <c r="H2395">
        <f>1-(1-Skills!J14/100)^Skills!K14</f>
        <v/>
      </c>
      <c r="I2395" t="inlineStr">
        <is>
          <t>1</t>
        </is>
      </c>
      <c r="J2395" t="inlineStr"/>
      <c r="K2395" t="inlineStr"/>
      <c r="L2395" t="inlineStr"/>
      <c r="M2395" t="inlineStr"/>
      <c r="N2395" t="inlineStr"/>
      <c r="O2395">
        <f>(1-Summary!$B$11)*T2395+Summary!$B$11*V2395</f>
        <v/>
      </c>
      <c r="P2395">
        <f>IF(B2420=0,0,O2395/B2420)</f>
        <v/>
      </c>
      <c r="Q2395" t="n">
        <v>0</v>
      </c>
      <c r="R2395" t="n">
        <v>0</v>
      </c>
      <c r="S2395">
        <f>IFERROR(O2395/N2395,0)</f>
        <v/>
      </c>
      <c r="T2395" t="n">
        <v>0</v>
      </c>
      <c r="V2395" t="n">
        <v>0</v>
      </c>
    </row>
    <row r="2396">
      <c r="A2396">
        <f>Skills!A15</f>
        <v/>
      </c>
      <c r="B2396">
        <f>Skills!B15</f>
        <v/>
      </c>
      <c r="C2396">
        <f>Inputs!$B$3&gt;=40</f>
        <v/>
      </c>
      <c r="D2396">
        <f>IF(Skills!C15=1,60+Inputs!$B$25+Inputs!$B$29,IF(Skills!C15=2,90+Inputs!$B$26+Inputs!$B$29,IF(Skills!C15=3,120+Inputs!$B$27+Inputs!$B$29,MAX(0,(Inputs!$B$3-100)*3)+Inputs!$B$28+Inputs!$B$29)))</f>
        <v/>
      </c>
      <c r="E2396">
        <f>INDEX(FactorTable!$B$2:$Y$301, MATCH(ROUND(MIN(300,MAX(1,D2396)),0), FactorTable!$A$2:$A$301,0), Skills!M15+1)</f>
        <v/>
      </c>
      <c r="F2396">
        <f>IF(Skills!N15=TRUE,(Skills!L15/10)*(E2396/1000),Skills!L15/10)+Skills!O15</f>
        <v/>
      </c>
      <c r="G2396">
        <f>Skills!G15*IF(Skills!H15&gt;0,Skills!I15/Skills!H15,1)</f>
        <v/>
      </c>
      <c r="H2396">
        <f>1-(1-Skills!J15/100)^Skills!K15</f>
        <v/>
      </c>
      <c r="I2396" t="inlineStr">
        <is>
          <t>1</t>
        </is>
      </c>
      <c r="J2396" t="inlineStr"/>
      <c r="K2396" t="inlineStr"/>
      <c r="L2396" t="inlineStr"/>
      <c r="M2396" t="inlineStr"/>
      <c r="N2396" t="inlineStr"/>
      <c r="O2396">
        <f>(1-Summary!$B$11)*T2396+Summary!$B$11*V2396</f>
        <v/>
      </c>
      <c r="P2396">
        <f>IF(B2420=0,0,O2396/B2420)</f>
        <v/>
      </c>
      <c r="Q2396">
        <f>IFERROR(1/(IF(Inputs!$B$38="pvp",15,MAX(0.1,Skills!D15-IF(Skills!E15=TRUE,Inputs!$B$32,0)))*(1-IF(AND(ArtifactsInput!$M$27,Inputs!$B$4="Chapter Hunt"),CHOOSE(ArtifactsInput!$N$27+1,20,24,28,32,36,40),0)/100)),0)</f>
        <v/>
      </c>
      <c r="R2396">
        <f>IF(AND(Inputs!$B$38&lt;&gt;"pvp",Inputs!$B$43&gt;0),IF(Inputs!$B$43&lt;=0,0,(INT(Inputs!$B$43/(IF(Inputs!$B$38="pvp",15,MAX(0.1,Skills!D15-IF(Skills!E15=TRUE,Inputs!$B$32,0)))*(1-IF(AND(ArtifactsInput!$M$27,Inputs!$B$4="Chapter Hunt"),CHOOSE(ArtifactsInput!$N$27+1,20,24,28,32,36,40),0)/100)))+1)),0)</f>
        <v/>
      </c>
      <c r="S2396">
        <f>IFERROR(O2396/N2396,0)</f>
        <v/>
      </c>
      <c r="T2396" t="n">
        <v>0</v>
      </c>
      <c r="V2396" t="n">
        <v>0</v>
      </c>
    </row>
    <row r="2397">
      <c r="A2397">
        <f>Skills!A16</f>
        <v/>
      </c>
      <c r="B2397">
        <f>Skills!B16</f>
        <v/>
      </c>
      <c r="C2397">
        <f>Inputs!$B$3&gt;=66</f>
        <v/>
      </c>
      <c r="D2397">
        <f>IF(Skills!C16=1,60+Inputs!$B$25+Inputs!$B$29,IF(Skills!C16=2,90+Inputs!$B$26+Inputs!$B$29,IF(Skills!C16=3,120+Inputs!$B$27+Inputs!$B$29,MAX(0,(Inputs!$B$3-100)*3)+Inputs!$B$28+Inputs!$B$29)))</f>
        <v/>
      </c>
      <c r="E2397">
        <f>INDEX(FactorTable!$B$2:$Y$301, MATCH(ROUND(MIN(300,MAX(1,D2397)),0), FactorTable!$A$2:$A$301,0), Skills!M16+1)</f>
        <v/>
      </c>
      <c r="F2397">
        <f>IF(Skills!N16=TRUE,(Skills!L16/10)*(E2397/1000),Skills!L16/10)+Skills!O16</f>
        <v/>
      </c>
      <c r="G2397">
        <f>Skills!G16*IF(Skills!H16&gt;0,Skills!I16/Skills!H16,1)</f>
        <v/>
      </c>
      <c r="H2397">
        <f>1-(1-Skills!J16/100)^Skills!K16</f>
        <v/>
      </c>
      <c r="I2397" t="inlineStr">
        <is>
          <t>1</t>
        </is>
      </c>
      <c r="J2397" t="inlineStr"/>
      <c r="K2397" t="inlineStr"/>
      <c r="L2397" t="inlineStr"/>
      <c r="M2397" t="inlineStr"/>
      <c r="N2397" t="inlineStr"/>
      <c r="O2397">
        <f>(1-Summary!$B$11)*T2397+Summary!$B$11*V2397</f>
        <v/>
      </c>
      <c r="P2397">
        <f>IF(B2420=0,0,O2397/B2420)</f>
        <v/>
      </c>
      <c r="Q2397">
        <f>IFERROR(1/(IF(Inputs!$B$38="pvp",15,MAX(0.1,Skills!D16-IF(Skills!E16=TRUE,Inputs!$B$32,0)))*(1-IF(AND(ArtifactsInput!$M$27,Inputs!$B$4="Chapter Hunt"),CHOOSE(ArtifactsInput!$N$27+1,20,24,28,32,36,40),0)/100)),0)</f>
        <v/>
      </c>
      <c r="R2397">
        <f>IF(AND(Inputs!$B$38&lt;&gt;"pvp",Inputs!$B$43&gt;0),IF(Inputs!$B$43&lt;=0,0,(INT(Inputs!$B$43/(IF(Inputs!$B$38="pvp",15,MAX(0.1,Skills!D16-IF(Skills!E16=TRUE,Inputs!$B$32,0)))*(1-IF(AND(ArtifactsInput!$M$27,Inputs!$B$4="Chapter Hunt"),CHOOSE(ArtifactsInput!$N$27+1,20,24,28,32,36,40),0)/100)))+1)),0)</f>
        <v/>
      </c>
      <c r="S2397">
        <f>IFERROR(O2397/N2397,0)</f>
        <v/>
      </c>
      <c r="T2397" t="n">
        <v>0</v>
      </c>
      <c r="V2397" t="n">
        <v>0</v>
      </c>
    </row>
    <row r="2398">
      <c r="A2398">
        <f>Skills!A17</f>
        <v/>
      </c>
      <c r="B2398">
        <f>Skills!B17</f>
        <v/>
      </c>
      <c r="C2398">
        <f>Inputs!$B$3&gt;=115</f>
        <v/>
      </c>
      <c r="D2398">
        <f>IF(Skills!C17=1,60+Inputs!$B$25+Inputs!$B$29,IF(Skills!C17=2,90+Inputs!$B$26+Inputs!$B$29,IF(Skills!C17=3,120+Inputs!$B$27+Inputs!$B$29,MAX(0,(Inputs!$B$3-100)*3)+Inputs!$B$28+Inputs!$B$29)))</f>
        <v/>
      </c>
      <c r="E2398">
        <f>INDEX(FactorTable!$B$2:$Y$301, MATCH(ROUND(MIN(300,MAX(1,D2398)),0), FactorTable!$A$2:$A$301,0), Skills!M17+1)</f>
        <v/>
      </c>
      <c r="F2398">
        <f>IF(Skills!N17=TRUE,(Skills!L17/10)*(E2398/1000),Skills!L17/10)+Skills!O17</f>
        <v/>
      </c>
      <c r="G2398">
        <f>Skills!G17*IF(Skills!H17&gt;0,Skills!I17/Skills!H17,1)</f>
        <v/>
      </c>
      <c r="H2398">
        <f>1-(1-Skills!J17/100)^Skills!K17</f>
        <v/>
      </c>
      <c r="I2398" t="inlineStr">
        <is>
          <t>1</t>
        </is>
      </c>
      <c r="J2398" t="inlineStr"/>
      <c r="K2398" t="inlineStr"/>
      <c r="L2398" t="inlineStr"/>
      <c r="M2398" t="inlineStr"/>
      <c r="N2398" t="inlineStr"/>
      <c r="O2398">
        <f>(1-Summary!$B$11)*T2398+Summary!$B$11*V2398</f>
        <v/>
      </c>
      <c r="P2398">
        <f>IF(B2420=0,0,O2398/B2420)</f>
        <v/>
      </c>
      <c r="Q2398">
        <f>IFERROR(1/(IF(Inputs!$B$38="pvp",15,MAX(0.1,Skills!D17-IF(Skills!E17=TRUE,Inputs!$B$32,0)))*(1-IF(AND(ArtifactsInput!$M$27,Inputs!$B$4="Chapter Hunt"),CHOOSE(ArtifactsInput!$N$27+1,20,24,28,32,36,40),0)/100)),0)</f>
        <v/>
      </c>
      <c r="R2398">
        <f>IF(AND(Inputs!$B$38&lt;&gt;"pvp",Inputs!$B$43&gt;0),IF(Inputs!$B$43&lt;=0,0,(INT(Inputs!$B$43/(IF(Inputs!$B$38="pvp",15,MAX(0.1,Skills!D17-IF(Skills!E17=TRUE,Inputs!$B$32,0)))*(1-IF(AND(ArtifactsInput!$M$27,Inputs!$B$4="Chapter Hunt"),CHOOSE(ArtifactsInput!$N$27+1,20,24,28,32,36,40),0)/100)))+1)),0)</f>
        <v/>
      </c>
      <c r="S2398">
        <f>IFERROR(O2398/N2398,0)</f>
        <v/>
      </c>
      <c r="T2398" t="n">
        <v>0</v>
      </c>
      <c r="V2398" t="n">
        <v>0</v>
      </c>
    </row>
    <row r="2399">
      <c r="A2399">
        <f>Skills!A18</f>
        <v/>
      </c>
      <c r="B2399">
        <f>Skills!B18</f>
        <v/>
      </c>
      <c r="C2399">
        <f>Inputs!$B$3&gt;=115</f>
        <v/>
      </c>
      <c r="D2399">
        <f>IF(Skills!C18=1,60+Inputs!$B$25+Inputs!$B$29,IF(Skills!C18=2,90+Inputs!$B$26+Inputs!$B$29,IF(Skills!C18=3,120+Inputs!$B$27+Inputs!$B$29,MAX(0,(Inputs!$B$3-100)*3)+Inputs!$B$28+Inputs!$B$29)))</f>
        <v/>
      </c>
      <c r="E2399">
        <f>INDEX(FactorTable!$B$2:$Y$301, MATCH(ROUND(MIN(300,MAX(1,D2399)),0), FactorTable!$A$2:$A$301,0), Skills!M18+1)</f>
        <v/>
      </c>
      <c r="F2399">
        <f>IF(Skills!N18=TRUE,(Skills!L18/10)*(E2399/1000),Skills!L18/10)+Skills!O18</f>
        <v/>
      </c>
      <c r="G2399">
        <f>Skills!G18*IF(Skills!H18&gt;0,Skills!I18/Skills!H18,1)</f>
        <v/>
      </c>
      <c r="H2399">
        <f>1-(1-Skills!J18/100)^Skills!K18</f>
        <v/>
      </c>
      <c r="I2399" t="inlineStr">
        <is>
          <t>1</t>
        </is>
      </c>
      <c r="J2399" t="inlineStr"/>
      <c r="K2399" t="inlineStr"/>
      <c r="L2399" t="inlineStr"/>
      <c r="M2399" t="inlineStr"/>
      <c r="N2399" t="inlineStr"/>
      <c r="O2399">
        <f>(1-Summary!$B$11)*T2399+Summary!$B$11*V2399</f>
        <v/>
      </c>
      <c r="P2399">
        <f>IF(B2420=0,0,O2399/B2420)</f>
        <v/>
      </c>
      <c r="Q2399">
        <f>IFERROR(1/(IF(Inputs!$B$38="pvp",15,MAX(0.1,Skills!D18-IF(Skills!E18=TRUE,Inputs!$B$32,0)))*(1-IF(AND(ArtifactsInput!$M$27,Inputs!$B$4="Chapter Hunt"),CHOOSE(ArtifactsInput!$N$27+1,20,24,28,32,36,40),0)/100)),0)</f>
        <v/>
      </c>
      <c r="R2399">
        <f>IF(AND(Inputs!$B$38&lt;&gt;"pvp",Inputs!$B$43&gt;0),IF(Inputs!$B$43&lt;=0,0,(INT(Inputs!$B$43/(IF(Inputs!$B$38="pvp",15,MAX(0.1,Skills!D18-IF(Skills!E18=TRUE,Inputs!$B$32,0)))*(1-IF(AND(ArtifactsInput!$M$27,Inputs!$B$4="Chapter Hunt"),CHOOSE(ArtifactsInput!$N$27+1,20,24,28,32,36,40),0)/100)))+1)),0)</f>
        <v/>
      </c>
      <c r="S2399">
        <f>IFERROR(O2399/N2399,0)</f>
        <v/>
      </c>
      <c r="T2399" t="n">
        <v>0</v>
      </c>
      <c r="V2399" t="n">
        <v>0</v>
      </c>
    </row>
    <row r="2400">
      <c r="A2400">
        <f>Skills!A19</f>
        <v/>
      </c>
      <c r="B2400">
        <f>Skills!B19</f>
        <v/>
      </c>
      <c r="C2400">
        <f>TRUE</f>
        <v/>
      </c>
      <c r="D2400">
        <f>IF(Skills!C19=1,60+Inputs!$B$25+Inputs!$B$29,IF(Skills!C19=2,90+Inputs!$B$26+Inputs!$B$29,IF(Skills!C19=3,120+Inputs!$B$27+Inputs!$B$29,MAX(0,(Inputs!$B$3-100)*3)+Inputs!$B$28+Inputs!$B$29)))</f>
        <v/>
      </c>
      <c r="E2400">
        <f>INDEX(FactorTable!$B$2:$Y$301, MATCH(ROUND(MIN(300,MAX(1,D2400)),0), FactorTable!$A$2:$A$301,0), Skills!M19+1)</f>
        <v/>
      </c>
      <c r="F2400">
        <f>IF(Skills!N19=TRUE,(Skills!L19/10)*(E2400/1000),Skills!L19/10)+Skills!O19</f>
        <v/>
      </c>
      <c r="G2400">
        <f>Skills!G19*IF(Skills!H19&gt;0,Skills!I19/Skills!H19,1)</f>
        <v/>
      </c>
      <c r="H2400">
        <f>1-(1-Skills!J19/100)^Skills!K19</f>
        <v/>
      </c>
      <c r="I2400" t="inlineStr">
        <is>
          <t>1</t>
        </is>
      </c>
      <c r="J2400" t="inlineStr"/>
      <c r="K2400" t="inlineStr"/>
      <c r="L2400" t="inlineStr"/>
      <c r="M2400" t="inlineStr"/>
      <c r="N2400" t="inlineStr"/>
      <c r="O2400">
        <f>(1-Summary!$B$11)*T2400+Summary!$B$11*V2400</f>
        <v/>
      </c>
      <c r="P2400">
        <f>IF(B2420=0,0,O2400/B2420)</f>
        <v/>
      </c>
      <c r="Q2400">
        <f>IFERROR(1/(IF(Inputs!$B$38="pvp",15,MAX(0.1,Skills!D19-IF(Skills!E19=TRUE,Inputs!$B$32,0)))*(1-IF(AND(ArtifactsInput!$M$27,Inputs!$B$4="Chapter Hunt"),CHOOSE(ArtifactsInput!$N$27+1,20,24,28,32,36,40),0)/100)),0)</f>
        <v/>
      </c>
      <c r="R2400">
        <f>IF(AND(Inputs!$B$38&lt;&gt;"pvp",Inputs!$B$43&gt;0),IF(Inputs!$B$43&lt;=0,0,(INT(Inputs!$B$43/(IF(Inputs!$B$38="pvp",15,MAX(0.1,Skills!D19-IF(Skills!E19=TRUE,Inputs!$B$32,0)))*(1-IF(AND(ArtifactsInput!$M$27,Inputs!$B$4="Chapter Hunt"),CHOOSE(ArtifactsInput!$N$27+1,20,24,28,32,36,40),0)/100)))+1)),0)</f>
        <v/>
      </c>
      <c r="S2400">
        <f>IFERROR(O2400/N2400,0)</f>
        <v/>
      </c>
      <c r="T2400" t="n">
        <v>0</v>
      </c>
      <c r="V2400" t="n">
        <v>0</v>
      </c>
    </row>
    <row r="2401">
      <c r="A2401">
        <f>Skills!A20</f>
        <v/>
      </c>
      <c r="B2401">
        <f>Skills!B20</f>
        <v/>
      </c>
      <c r="C2401">
        <f>Inputs!$B$3&gt;=33</f>
        <v/>
      </c>
      <c r="D2401">
        <f>IF(Skills!C20=1,60+Inputs!$B$25+Inputs!$B$29,IF(Skills!C20=2,90+Inputs!$B$26+Inputs!$B$29,IF(Skills!C20=3,120+Inputs!$B$27+Inputs!$B$29,MAX(0,(Inputs!$B$3-100)*3)+Inputs!$B$28+Inputs!$B$29)))</f>
        <v/>
      </c>
      <c r="E2401">
        <f>INDEX(FactorTable!$B$2:$Y$301, MATCH(ROUND(MIN(300,MAX(1,D2401)),0), FactorTable!$A$2:$A$301,0), Skills!M20+1)</f>
        <v/>
      </c>
      <c r="F2401">
        <f>IF(Skills!N20=TRUE,(Skills!L20/10)*(E2401/1000),Skills!L20/10)+Skills!O20</f>
        <v/>
      </c>
      <c r="G2401">
        <f>Skills!G20*IF(Skills!H20&gt;0,Skills!I20/Skills!H20,1)</f>
        <v/>
      </c>
      <c r="H2401">
        <f>1-(1-Skills!J20/100)^Skills!K20</f>
        <v/>
      </c>
      <c r="I2401" t="inlineStr">
        <is>
          <t>1</t>
        </is>
      </c>
      <c r="J2401" t="inlineStr"/>
      <c r="K2401" t="inlineStr"/>
      <c r="L2401" t="inlineStr"/>
      <c r="M2401" t="inlineStr"/>
      <c r="N2401" t="inlineStr"/>
      <c r="O2401">
        <f>(1-Summary!$B$11)*T2401+Summary!$B$11*V2401</f>
        <v/>
      </c>
      <c r="P2401">
        <f>IF(B2420=0,0,O2401/B2420)</f>
        <v/>
      </c>
      <c r="Q2401" t="n">
        <v>0</v>
      </c>
      <c r="R2401" t="n">
        <v>0</v>
      </c>
      <c r="S2401">
        <f>IFERROR(O2401/N2401,0)</f>
        <v/>
      </c>
      <c r="T2401" t="n">
        <v>0</v>
      </c>
      <c r="V2401" t="n">
        <v>0</v>
      </c>
    </row>
    <row r="2402">
      <c r="A2402">
        <f>Skills!A21</f>
        <v/>
      </c>
      <c r="B2402">
        <f>Skills!B21</f>
        <v/>
      </c>
      <c r="C2402">
        <f>Inputs!$B$3&gt;=38</f>
        <v/>
      </c>
      <c r="D2402">
        <f>IF(Skills!C21=1,60+Inputs!$B$25+Inputs!$B$29,IF(Skills!C21=2,90+Inputs!$B$26+Inputs!$B$29,IF(Skills!C21=3,120+Inputs!$B$27+Inputs!$B$29,MAX(0,(Inputs!$B$3-100)*3)+Inputs!$B$28+Inputs!$B$29)))</f>
        <v/>
      </c>
      <c r="E2402">
        <f>INDEX(FactorTable!$B$2:$Y$301, MATCH(ROUND(MIN(300,MAX(1,D2402)),0), FactorTable!$A$2:$A$301,0), Skills!M21+1)</f>
        <v/>
      </c>
      <c r="F2402">
        <f>IF(Skills!N21=TRUE,(Skills!L21/10)*(E2402/1000),Skills!L21/10)+Skills!O21</f>
        <v/>
      </c>
      <c r="G2402">
        <f>Skills!G21*IF(Skills!H21&gt;0,Skills!I21/Skills!H21,1)</f>
        <v/>
      </c>
      <c r="H2402">
        <f>1-(1-Skills!J21/100)^Skills!K21</f>
        <v/>
      </c>
      <c r="I2402" t="inlineStr">
        <is>
          <t>1</t>
        </is>
      </c>
      <c r="J2402" t="inlineStr"/>
      <c r="K2402" t="inlineStr"/>
      <c r="L2402" t="inlineStr"/>
      <c r="M2402" t="inlineStr"/>
      <c r="N2402" t="inlineStr"/>
      <c r="O2402">
        <f>(1-Summary!$B$11)*T2402+Summary!$B$11*V2402</f>
        <v/>
      </c>
      <c r="P2402">
        <f>IF(B2420=0,0,O2402/B2420)</f>
        <v/>
      </c>
      <c r="Q2402" t="n">
        <v>0</v>
      </c>
      <c r="R2402" t="n">
        <v>0</v>
      </c>
      <c r="S2402">
        <f>IFERROR(O2402/N2402,0)</f>
        <v/>
      </c>
      <c r="T2402" t="n">
        <v>0</v>
      </c>
      <c r="V2402" t="n">
        <v>0</v>
      </c>
    </row>
    <row r="2403">
      <c r="A2403">
        <f>Skills!A22</f>
        <v/>
      </c>
      <c r="B2403">
        <f>Skills!B22</f>
        <v/>
      </c>
      <c r="C2403">
        <f>Inputs!$B$3&gt;=43</f>
        <v/>
      </c>
      <c r="D2403">
        <f>IF(Skills!C22=1,60+Inputs!$B$25+Inputs!$B$29,IF(Skills!C22=2,90+Inputs!$B$26+Inputs!$B$29,IF(Skills!C22=3,120+Inputs!$B$27+Inputs!$B$29,MAX(0,(Inputs!$B$3-100)*3)+Inputs!$B$28+Inputs!$B$29)))</f>
        <v/>
      </c>
      <c r="E2403">
        <f>INDEX(FactorTable!$B$2:$Y$301, MATCH(ROUND(MIN(300,MAX(1,D2403)),0), FactorTable!$A$2:$A$301,0), Skills!M22+1)</f>
        <v/>
      </c>
      <c r="F2403">
        <f>IF(Skills!N22=TRUE,(Skills!L22/10)*(E2403/1000),Skills!L22/10)+Skills!O22</f>
        <v/>
      </c>
      <c r="G2403">
        <f>Skills!G22*IF(Skills!H22&gt;0,Skills!I22/Skills!H22,1)</f>
        <v/>
      </c>
      <c r="H2403">
        <f>1-(1-Skills!J22/100)^Skills!K22</f>
        <v/>
      </c>
      <c r="I2403" t="inlineStr">
        <is>
          <t>1</t>
        </is>
      </c>
      <c r="J2403" t="inlineStr"/>
      <c r="K2403" t="inlineStr"/>
      <c r="L2403" t="inlineStr"/>
      <c r="M2403" t="inlineStr"/>
      <c r="N2403" t="inlineStr"/>
      <c r="O2403">
        <f>(1-Summary!$B$11)*T2403+Summary!$B$11*V2403</f>
        <v/>
      </c>
      <c r="P2403">
        <f>IF(B2420=0,0,O2403/B2420)</f>
        <v/>
      </c>
      <c r="Q2403" t="n">
        <v>0</v>
      </c>
      <c r="R2403" t="n">
        <v>0</v>
      </c>
      <c r="S2403">
        <f>IFERROR(O2403/N2403,0)</f>
        <v/>
      </c>
      <c r="T2403" t="n">
        <v>0</v>
      </c>
      <c r="V2403" t="n">
        <v>0</v>
      </c>
    </row>
    <row r="2404">
      <c r="A2404">
        <f>Skills!A23</f>
        <v/>
      </c>
      <c r="B2404">
        <f>Skills!B23</f>
        <v/>
      </c>
      <c r="C2404">
        <f>Inputs!$B$3&gt;=120</f>
        <v/>
      </c>
      <c r="D2404">
        <f>IF(Skills!C23=1,60+Inputs!$B$25+Inputs!$B$29,IF(Skills!C23=2,90+Inputs!$B$26+Inputs!$B$29,IF(Skills!C23=3,120+Inputs!$B$27+Inputs!$B$29,MAX(0,(Inputs!$B$3-100)*3)+Inputs!$B$28+Inputs!$B$29)))</f>
        <v/>
      </c>
      <c r="E2404">
        <f>INDEX(FactorTable!$B$2:$Y$301, MATCH(ROUND(MIN(300,MAX(1,D2404)),0), FactorTable!$A$2:$A$301,0), Skills!M23+1)</f>
        <v/>
      </c>
      <c r="F2404">
        <f>IF(Skills!N23=TRUE,(Skills!L23/10)*(E2404/1000),Skills!L23/10)+Skills!O23</f>
        <v/>
      </c>
      <c r="G2404">
        <f>Skills!G23*IF(Skills!H23&gt;0,Skills!I23/Skills!H23,1)</f>
        <v/>
      </c>
      <c r="H2404">
        <f>1-(1-Skills!J23/100)^Skills!K23</f>
        <v/>
      </c>
      <c r="I2404" t="inlineStr">
        <is>
          <t>1</t>
        </is>
      </c>
      <c r="J2404" t="inlineStr"/>
      <c r="K2404" t="inlineStr"/>
      <c r="L2404" t="inlineStr"/>
      <c r="M2404" t="inlineStr"/>
      <c r="N2404" t="inlineStr"/>
      <c r="O2404">
        <f>(1-Summary!$B$11)*T2404+Summary!$B$11*V2404</f>
        <v/>
      </c>
      <c r="P2404">
        <f>IF(B2420=0,0,O2404/B2420)</f>
        <v/>
      </c>
      <c r="Q2404" t="n">
        <v>0</v>
      </c>
      <c r="R2404" t="n">
        <v>0</v>
      </c>
      <c r="S2404">
        <f>IFERROR(O2404/N2404,0)</f>
        <v/>
      </c>
      <c r="T2404" t="n">
        <v>0</v>
      </c>
      <c r="V2404" t="n">
        <v>0</v>
      </c>
    </row>
    <row r="2405">
      <c r="A2405">
        <f>Skills!A24</f>
        <v/>
      </c>
      <c r="B2405">
        <f>Skills!B24</f>
        <v/>
      </c>
      <c r="C2405">
        <f>Inputs!$B$3&gt;=120</f>
        <v/>
      </c>
      <c r="D2405">
        <f>IF(Skills!C24=1,60+Inputs!$B$25+Inputs!$B$29,IF(Skills!C24=2,90+Inputs!$B$26+Inputs!$B$29,IF(Skills!C24=3,120+Inputs!$B$27+Inputs!$B$29,MAX(0,(Inputs!$B$3-100)*3)+Inputs!$B$28+Inputs!$B$29)))</f>
        <v/>
      </c>
      <c r="E2405">
        <f>INDEX(FactorTable!$B$2:$Y$301, MATCH(ROUND(MIN(300,MAX(1,D2405)),0), FactorTable!$A$2:$A$301,0), Skills!M24+1)</f>
        <v/>
      </c>
      <c r="F2405">
        <f>IF(Skills!N24=TRUE,(Skills!L24/10)*(E2405/1000),Skills!L24/10)+Skills!O24</f>
        <v/>
      </c>
      <c r="G2405">
        <f>Skills!G24*IF(Skills!H24&gt;0,Skills!I24/Skills!H24,1)</f>
        <v/>
      </c>
      <c r="H2405">
        <f>1-(1-Skills!J24/100)^Skills!K24</f>
        <v/>
      </c>
      <c r="I2405" t="inlineStr">
        <is>
          <t>1</t>
        </is>
      </c>
      <c r="J2405" t="inlineStr"/>
      <c r="K2405" t="inlineStr"/>
      <c r="L2405" t="inlineStr"/>
      <c r="M2405" t="inlineStr"/>
      <c r="N2405" t="inlineStr"/>
      <c r="O2405">
        <f>(1-Summary!$B$11)*T2405+Summary!$B$11*V2405</f>
        <v/>
      </c>
      <c r="P2405">
        <f>IF(B2420=0,0,O2405/B2420)</f>
        <v/>
      </c>
      <c r="Q2405" t="n">
        <v>0</v>
      </c>
      <c r="R2405" t="n">
        <v>0</v>
      </c>
      <c r="S2405">
        <f>IFERROR(O2405/N2405,0)</f>
        <v/>
      </c>
      <c r="T2405" t="n">
        <v>0</v>
      </c>
      <c r="V2405" t="n">
        <v>0</v>
      </c>
    </row>
    <row r="2406">
      <c r="A2406">
        <f>Skills!A25</f>
        <v/>
      </c>
      <c r="B2406">
        <f>Skills!B25</f>
        <v/>
      </c>
      <c r="C2406">
        <f>Inputs!$B$3&gt;=125</f>
        <v/>
      </c>
      <c r="D2406">
        <f>IF(Skills!C25=1,60+Inputs!$B$25+Inputs!$B$29,IF(Skills!C25=2,90+Inputs!$B$26+Inputs!$B$29,IF(Skills!C25=3,120+Inputs!$B$27+Inputs!$B$29,MAX(0,(Inputs!$B$3-100)*3)+Inputs!$B$28+Inputs!$B$29)))</f>
        <v/>
      </c>
      <c r="E2406">
        <f>INDEX(FactorTable!$B$2:$Y$301, MATCH(ROUND(MIN(300,MAX(1,D2406)),0), FactorTable!$A$2:$A$301,0), Skills!M25+1)</f>
        <v/>
      </c>
      <c r="F2406">
        <f>IF(Skills!N25=TRUE,(Skills!L25/10)*(E2406/1000),Skills!L25/10)+Skills!O25</f>
        <v/>
      </c>
      <c r="G2406">
        <f>Skills!G25*IF(Skills!H25&gt;0,Skills!I25/Skills!H25,1)</f>
        <v/>
      </c>
      <c r="H2406">
        <f>1-(1-Skills!J25/100)^Skills!K25</f>
        <v/>
      </c>
      <c r="I2406" t="inlineStr">
        <is>
          <t>1</t>
        </is>
      </c>
      <c r="J2406" t="inlineStr"/>
      <c r="K2406" t="inlineStr"/>
      <c r="L2406" t="inlineStr"/>
      <c r="M2406" t="inlineStr"/>
      <c r="N2406" t="inlineStr"/>
      <c r="O2406">
        <f>(1-Summary!$B$11)*T2406+Summary!$B$11*V2406</f>
        <v/>
      </c>
      <c r="P2406">
        <f>IF(B2420=0,0,O2406/B2420)</f>
        <v/>
      </c>
      <c r="Q2406" t="n">
        <v>0</v>
      </c>
      <c r="R2406" t="n">
        <v>0</v>
      </c>
      <c r="S2406">
        <f>IFERROR(O2406/N2406,0)</f>
        <v/>
      </c>
      <c r="T2406" t="n">
        <v>0</v>
      </c>
      <c r="V2406" t="n">
        <v>0</v>
      </c>
    </row>
    <row r="2407">
      <c r="A2407">
        <f>Skills!A26</f>
        <v/>
      </c>
      <c r="B2407">
        <f>Skills!B26</f>
        <v/>
      </c>
      <c r="C2407">
        <f>Inputs!$B$3&gt;=72</f>
        <v/>
      </c>
      <c r="D2407">
        <f>IF(Skills!C26=1,60+Inputs!$B$25+Inputs!$B$29,IF(Skills!C26=2,90+Inputs!$B$26+Inputs!$B$29,IF(Skills!C26=3,120+Inputs!$B$27+Inputs!$B$29,MAX(0,(Inputs!$B$3-100)*3)+Inputs!$B$28+Inputs!$B$29)))</f>
        <v/>
      </c>
      <c r="E2407">
        <f>INDEX(FactorTable!$B$2:$Y$301, MATCH(ROUND(MIN(300,MAX(1,D2407)),0), FactorTable!$A$2:$A$301,0), Skills!M26+1)</f>
        <v/>
      </c>
      <c r="F2407">
        <f>IF(Skills!N26=TRUE,(Skills!L26/10)*(E2407/1000),Skills!L26/10)+Skills!O26</f>
        <v/>
      </c>
      <c r="G2407">
        <f>Skills!G26*IF(Skills!H26&gt;0,Skills!I26/Skills!H26,1)</f>
        <v/>
      </c>
      <c r="H2407">
        <f>1-(1-Skills!J26/100)^Skills!K26</f>
        <v/>
      </c>
      <c r="I2407" t="inlineStr">
        <is>
          <t>1</t>
        </is>
      </c>
      <c r="J2407" t="inlineStr"/>
      <c r="K2407" t="inlineStr"/>
      <c r="L2407" t="inlineStr"/>
      <c r="M2407" t="inlineStr"/>
      <c r="N2407" t="inlineStr"/>
      <c r="O2407">
        <f>(1-Summary!$B$11)*T2407+Summary!$B$11*V2407</f>
        <v/>
      </c>
      <c r="P2407">
        <f>IF(B2420=0,0,O2407/B2420)</f>
        <v/>
      </c>
      <c r="Q2407" t="n">
        <v>0</v>
      </c>
      <c r="R2407" t="n">
        <v>0</v>
      </c>
      <c r="S2407">
        <f>IFERROR(O2407/N2407,0)</f>
        <v/>
      </c>
      <c r="T2407" t="n">
        <v>0</v>
      </c>
      <c r="V2407" t="n">
        <v>0</v>
      </c>
    </row>
    <row r="2409">
      <c r="A2409" t="inlineStr">
        <is>
          <t>Attack% Bucket Multiplier</t>
        </is>
      </c>
      <c r="B2409">
        <f>(1+(((C2394=TRUE)*F2394*IF(Inputs!$B$3&gt;=110,7,5))+((C2396=TRUE)*F2396*IF(AND(Inputs!$B$38&lt;&gt;"pvp",Inputs!$B$43&gt;0),(((R2396-1)*(Skills!T15*(1+(Inputs!$B$34+(ArtifactsInput!$M$7-ArtifactsInput!$M$7)*CHOOSE(ArtifactsInput!$N$7+1,6,7.2,8.4,9.6,10.8,12))/100))+MIN((Skills!T15*(1+(Inputs!$B$34+(ArtifactsInput!$M$7-ArtifactsInput!$M$7)*CHOOSE(ArtifactsInput!$N$7+1,6,7.2,8.4,9.6,10.8,12))/100)),MAX(0,Inputs!$B$43-((R2396-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10">
      <c r="A2410" t="inlineStr">
        <is>
          <t>Global Crit Rate Bonus %</t>
        </is>
      </c>
      <c r="B2410" t="n">
        <v>0</v>
      </c>
    </row>
    <row r="2411">
      <c r="A2411" t="inlineStr">
        <is>
          <t>Attack Speed Buff Bonus %</t>
        </is>
      </c>
      <c r="B2411">
        <f>((C2400=TRUE)*F2400*IF(AND(Inputs!$B$38&lt;&gt;"pvp",Inputs!$B$43&gt;0),(((R2400-1)*(Skills!T19*(1+(Inputs!$B$34+(ArtifactsInput!$M$7-ArtifactsInput!$M$7)*CHOOSE(ArtifactsInput!$N$7+1,6,7.2,8.4,9.6,10.8,12))/100))+MIN((Skills!T19*(1+(Inputs!$B$34+(ArtifactsInput!$M$7-ArtifactsInput!$M$7)*CHOOSE(ArtifactsInput!$N$7+1,6,7.2,8.4,9.6,10.8,12))/100)),MAX(0,Inputs!$B$43-((R2400-1)*Skills!D19))))/Inputs!$B$43),IF(Inputs!$B$38="pvp",MIN((Skills!T19*(1+(Inputs!$B$34+(ArtifactsInput!$M$7-ArtifactsInput!$M$7)*CHOOSE(ArtifactsInput!$N$7+1,6,7.2,8.4,9.6,10.8,12))/100)),15)/15,(Skills!T19*(1+(Inputs!$B$34+(ArtifactsInput!$M$7-ArtifactsInput!$M$7)*CHOOSE(ArtifactsInput!$N$7+1,6,7.2,8.4,9.6,10.8,12))/100))/Skills!D19)))</f>
        <v/>
      </c>
    </row>
    <row r="2412">
      <c r="A2412" t="inlineStr">
        <is>
          <t>Actions Per Second</t>
        </is>
      </c>
      <c r="B2412">
        <f>1+MIN(150,150*(1-(1-(Inputs!$B$11+((C2401=TRUE)*(F2401-Calc!F20)))/150)*(1-B2411/150)))/100</f>
        <v/>
      </c>
    </row>
    <row r="2413">
      <c r="A2413" t="inlineStr">
        <is>
          <t>Skill + Buff Cast Rate</t>
        </is>
      </c>
      <c r="B2413">
        <f>IF(AND(Inputs!$B$38&lt;&gt;"pvp",Inputs!$B$43&gt;0),SUMPRODUCT((Skills!E2:E26=TRUE)*(C2383:C2407=TRUE)*R2383:R2407*Skills!F2:F26)/Inputs!$B$43,SUMPRODUCT((Skills!E2:E26=TRUE)*(C2383:C2407=TRUE)*Q2383:Q2407*Skills!F2:F26))</f>
        <v/>
      </c>
    </row>
    <row r="2414">
      <c r="A2414" t="inlineStr">
        <is>
          <t>Raging Blow Casts Per Second</t>
        </is>
      </c>
      <c r="B2414">
        <f>MAX(0,B2412-B2413)</f>
        <v/>
      </c>
    </row>
    <row r="2415">
      <c r="A2415" t="inlineStr">
        <is>
          <t>Global Critical Damage Bonus % (Enrage)</t>
        </is>
      </c>
      <c r="B2415">
        <f>((C2399=TRUE)*F2399*IF(AND(Inputs!$B$38&lt;&gt;"pvp",Inputs!$B$43&gt;0),(((R2399-1)*(Skills!T18*(1+(Inputs!$B$34+(ArtifactsInput!$M$7-ArtifactsInput!$M$7)*CHOOSE(ArtifactsInput!$N$7+1,6,7.2,8.4,9.6,10.8,12))/100))+MIN((Skills!T18*(1+(Inputs!$B$34+(ArtifactsInput!$M$7-ArtifactsInput!$M$7)*CHOOSE(ArtifactsInput!$N$7+1,6,7.2,8.4,9.6,10.8,12))/100)),MAX(0,Inputs!$B$43-((R2399-1)*Skills!D18))))/Inputs!$B$43),IF(Inputs!$B$38="pvp",MIN((Skills!T18*(1+(Inputs!$B$34+(ArtifactsInput!$M$7-ArtifactsInput!$M$7)*CHOOSE(ArtifactsInput!$N$7+1,6,7.2,8.4,9.6,10.8,12))/100)),15)/15,(Skills!T18*(1+(Inputs!$B$34+(ArtifactsInput!$M$7-ArtifactsInput!$M$7)*CHOOSE(ArtifactsInput!$N$7+1,6,7.2,8.4,9.6,10.8,12))/100))/Skills!D18)))</f>
        <v/>
      </c>
    </row>
    <row r="2416">
      <c r="A2416" t="inlineStr">
        <is>
          <t>Global Final Damage Bonus % (Enrage + Combo Synergy)</t>
        </is>
      </c>
      <c r="B2416">
        <f>((C2398=TRUE)*F2398*IF(AND(Inputs!$B$38&lt;&gt;"pvp",Inputs!$B$43&gt;0),(((R2398-1)*(Skills!T17*(1+(Inputs!$B$34+(ArtifactsInput!$M$7-ArtifactsInput!$M$7)*CHOOSE(ArtifactsInput!$N$7+1,6,7.2,8.4,9.6,10.8,12))/100))+MIN((Skills!T17*(1+(Inputs!$B$34+(ArtifactsInput!$M$7-ArtifactsInput!$M$7)*CHOOSE(ArtifactsInput!$N$7+1,6,7.2,8.4,9.6,10.8,12))/100)),MAX(0,Inputs!$B$43-((R2398-1)*Skills!D17))))/Inputs!$B$43),IF(Inputs!$B$38="pvp",MIN((Skills!T17*(1+(Inputs!$B$34+(ArtifactsInput!$M$7-ArtifactsInput!$M$7)*CHOOSE(ArtifactsInput!$N$7+1,6,7.2,8.4,9.6,10.8,12))/100)),15)/15,(Skills!T17*(1+(Inputs!$B$34+(ArtifactsInput!$M$7-ArtifactsInput!$M$7)*CHOOSE(ArtifactsInput!$N$7+1,6,7.2,8.4,9.6,10.8,12))/100))/Skills!D17)))+((C2395=TRUE)*F2395*IF(Inputs!$B$3&gt;=110,7,5))</f>
        <v/>
      </c>
    </row>
    <row r="2417">
      <c r="A2417" t="inlineStr">
        <is>
          <t>Buff-Casting Startup Delay (s, fixed-duration only)</t>
        </is>
      </c>
      <c r="B2417">
        <f>IF(AND(Inputs!$B$38&lt;&gt;"pvp",Inputs!$B$43&gt;0),SUMPRODUCT((Skills!T2:T26&gt;0)*(Skills!E2:E26=TRUE)*(C2383:C2407=TRUE))/B2412,0)</f>
        <v/>
      </c>
    </row>
    <row r="2418">
      <c r="A2418" t="inlineStr">
        <is>
          <t>Boss-Only Total DPS (this block's swept value)</t>
        </is>
      </c>
      <c r="B2418">
        <f>SUM(T2383:T2407)</f>
        <v/>
      </c>
    </row>
    <row r="2419">
      <c r="A2419" t="inlineStr">
        <is>
          <t>Normal-Only Total DPS (this block's swept value)</t>
        </is>
      </c>
      <c r="B2419">
        <f>SUM(V2383:V2407)</f>
        <v/>
      </c>
    </row>
    <row r="2420">
      <c r="A2420" s="6" t="inlineStr">
        <is>
          <t>TOTAL DPS</t>
        </is>
      </c>
      <c r="B2420" s="6">
        <f>SUM(O2383:O2407)</f>
        <v/>
      </c>
    </row>
    <row r="2423">
      <c r="A2423" s="6" t="inlineStr">
        <is>
          <t>Stat: Alliance Badge (Equip)</t>
        </is>
      </c>
    </row>
    <row r="2424">
      <c r="A2424" s="5" t="inlineStr">
        <is>
          <t>Key</t>
        </is>
      </c>
      <c r="B2424" s="5" t="inlineStr">
        <is>
          <t>Name</t>
        </is>
      </c>
      <c r="C2424" s="5" t="inlineStr">
        <is>
          <t>Unlocked</t>
        </is>
      </c>
      <c r="D2424" s="5" t="inlineStr">
        <is>
          <t>InputLevel</t>
        </is>
      </c>
      <c r="E2424" s="5" t="inlineStr">
        <is>
          <t>Factor</t>
        </is>
      </c>
      <c r="F2424" s="5" t="inlineStr">
        <is>
          <t>CoefficientPercent</t>
        </is>
      </c>
      <c r="G2424" s="5" t="inlineStr">
        <is>
          <t>EffectiveHits</t>
        </is>
      </c>
      <c r="H2424" s="5" t="inlineStr">
        <is>
          <t>ProcProbability</t>
        </is>
      </c>
      <c r="I2424" s="5" t="inlineStr">
        <is>
          <t>MapleHeroMultiplier</t>
        </is>
      </c>
      <c r="J2424" s="5" t="inlineStr">
        <is>
          <t>BaseDamage</t>
        </is>
      </c>
      <c r="K2424" s="5" t="inlineStr">
        <is>
          <t>BaseHitDamage</t>
        </is>
      </c>
      <c r="L2424" s="5" t="inlineStr">
        <is>
          <t>NonCritAvg</t>
        </is>
      </c>
      <c r="M2424" s="5" t="inlineStr">
        <is>
          <t>CritAvg</t>
        </is>
      </c>
      <c r="N2424" s="5" t="inlineStr">
        <is>
          <t>ExpectedDamage(perHit)</t>
        </is>
      </c>
      <c r="O2424" s="5" t="inlineStr">
        <is>
          <t>DPS</t>
        </is>
      </c>
      <c r="P2424" s="5" t="inlineStr">
        <is>
          <t>% of Total</t>
        </is>
      </c>
      <c r="Q2424" s="5" t="inlineStr">
        <is>
          <t>InvCooldown</t>
        </is>
      </c>
      <c r="R2424" s="5" t="inlineStr">
        <is>
          <t>CastsInFight</t>
        </is>
      </c>
      <c r="S2424" s="5" t="inlineStr">
        <is>
          <t>HitRate(perSec)</t>
        </is>
      </c>
      <c r="U2424" t="inlineStr">
        <is>
          <t>helpers</t>
        </is>
      </c>
    </row>
    <row r="2425">
      <c r="A2425">
        <f>Skills!A2</f>
        <v/>
      </c>
      <c r="B2425">
        <f>Skills!B2</f>
        <v/>
      </c>
      <c r="C2425">
        <f>Inputs!$B$3&gt;=100</f>
        <v/>
      </c>
      <c r="D2425" t="inlineStr"/>
      <c r="E2425" t="inlineStr"/>
      <c r="F2425">
        <f>U2427+Skills!O2</f>
        <v/>
      </c>
      <c r="G2425">
        <f>Skills!G2*IF(Skills!H2&gt;0,Skills!I2/Skills!H2,1)</f>
        <v/>
      </c>
      <c r="H2425">
        <f>1-(1-Skills!J2/100)^Skills!K2</f>
        <v/>
      </c>
      <c r="I2425" t="inlineStr">
        <is>
          <t>1</t>
        </is>
      </c>
      <c r="J2425">
        <f>((Inputs!$B$6*(1+Inputs!$B$7/100))+(((Inputs!$B$12*(1+Inputs!$B$13/100))-(Inputs!$B$12*(1+Inputs!$B$13/100)))+0.25*(Inputs!$B$14-Inputs!$B$14))*(1+Inputs!$B$7/100))*(F2425/100)</f>
        <v/>
      </c>
      <c r="K2425">
        <f>J2425*(1+((Inputs!$B$12*(1+Inputs!$B$13/100))*0.01+Inputs!$B$14*0.0025)/100)*(1+Inputs!$B$15/100)*(1+Inputs!$B$16/100)*(5000/(6000+Inputs!$B$42*(1-(100*(1-(1-(Inputs!$B$19+0)/100)*(1-CHOOSE(ArtifactsInput!$N$40+1,5,6,7,8,9,10)/100)^(ArtifactsInput!$M$40-ArtifactsInput!$M$40)))/100)))*(1+(Inputs!$B$24+((C2448=TRUE)*(F2448-Calc!F25))+B2458)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2444=TRUE)*(F2444-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2446=TRUE)*(F2446-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2436=TRUE)*F2436*IF(Inputs!$B$3&gt;=110,7,5))+((C2438=TRUE)*F2438*IF(AND(Inputs!$B$38&lt;&gt;"pvp",Inputs!$B$43&gt;0),(((R2438-1)*(Skills!T15*(1+(Inputs!$B$34+(ArtifactsInput!$M$7-ArtifactsInput!$M$7)*CHOOSE(ArtifactsInput!$N$7+1,6,7.2,8.4,9.6,10.8,12))/100))+MIN((Skills!T15*(1+(Inputs!$B$34+(ArtifactsInput!$M$7-ArtifactsInput!$M$7)*CHOOSE(ArtifactsInput!$N$7+1,6,7.2,8.4,9.6,10.8,12))/100)),MAX(0,Inputs!$B$43-((R2438-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I2425)</f>
        <v/>
      </c>
      <c r="L2425">
        <f>K2425*(MIN(Inputs!$B$22+((C2445=TRUE)*(F2445-Calc!F22)),(Inputs!$B$23+((C2447=TRUE)*(F2447-Calc!F24))+(IF(ArtifactsInput!$M$15,CHOOSE(ArtifactsInput!$N$15+1,25,30,35,40,45,50)/100*(Inputs!$B$11-Inputs!$B$11),0))))/100+(Inputs!$B$23+((C2447=TRUE)*(F2447-Calc!F24))+(IF(ArtifactsInput!$M$15,CHOOSE(ArtifactsInput!$N$15+1,25,30,35,40,45,50)/100*(Inputs!$B$11-Inputs!$B$11),0)))/100)/2</f>
        <v/>
      </c>
      <c r="M2425">
        <f>L2425*(1+(Inputs!$B$10+0+B2457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5">
        <f>L2425*(1-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2425*(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5">
        <f>(1-Summary!$B$11)*T2425+Summary!$B$11*V2425</f>
        <v/>
      </c>
      <c r="P2425">
        <f>IF(B2462=0,0,O2425/B2462)</f>
        <v/>
      </c>
      <c r="Q2425" t="n">
        <v>0</v>
      </c>
      <c r="R2425" t="n">
        <v>0</v>
      </c>
      <c r="S2425">
        <f>IFERROR(O2425/N2425,0)</f>
        <v/>
      </c>
      <c r="T2425">
        <f>IF(C2425,(Skills!G2*N2425*B2456)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2425*(1-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2425*(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2425*(1-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2425*(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25">
        <f>MAX(0,(Inputs!$B$3-100)*3)+Inputs!$B$28+Inputs!$B$29</f>
        <v/>
      </c>
      <c r="V2425">
        <f>IF(C2425,(Skills!G2*N2425*B2456)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6">
      <c r="A2426">
        <f>Skills!A3</f>
        <v/>
      </c>
      <c r="B2426">
        <f>Skills!B3</f>
        <v/>
      </c>
      <c r="C2426">
        <f>Inputs!$B$3&gt;=50</f>
        <v/>
      </c>
      <c r="D2426">
        <f>IF(Skills!C3=1,60+Inputs!$B$25+Inputs!$B$29,IF(Skills!C3=2,90+Inputs!$B$26+Inputs!$B$29,IF(Skills!C3=3,120+Inputs!$B$27+Inputs!$B$29,MAX(0,(Inputs!$B$3-100)*3)+Inputs!$B$28+Inputs!$B$29)))</f>
        <v/>
      </c>
      <c r="E2426">
        <f>INDEX(FactorTable!$B$2:$Y$301, MATCH(ROUND(MIN(300,MAX(1,D2426)),0), FactorTable!$A$2:$A$301,0), Skills!M3+1)</f>
        <v/>
      </c>
      <c r="F2426">
        <f>IF(Skills!N3=TRUE,(Skills!L3/10)*(E2426/1000),Skills!L3/10)+Skills!O3</f>
        <v/>
      </c>
      <c r="G2426" t="inlineStr"/>
      <c r="H2426" t="inlineStr"/>
      <c r="I2426" t="inlineStr">
        <is>
          <t>1</t>
        </is>
      </c>
      <c r="J2426" t="inlineStr"/>
      <c r="K2426" t="inlineStr"/>
      <c r="L2426" t="inlineStr"/>
      <c r="M2426" t="inlineStr"/>
      <c r="N2426" t="inlineStr"/>
      <c r="O2426" t="inlineStr"/>
      <c r="P2426" t="inlineStr"/>
      <c r="Q2426" t="inlineStr"/>
      <c r="R2426" t="inlineStr"/>
      <c r="S2426" t="inlineStr"/>
      <c r="U2426">
        <f>INDEX(FactorTable!$B$2:$Y$301, MATCH(ROUND(MIN(300,MAX(1,U2425)),0), FactorTable!$A$2:$A$301,0), 22)</f>
        <v/>
      </c>
    </row>
    <row r="2427">
      <c r="A2427">
        <f>Skills!A4</f>
        <v/>
      </c>
      <c r="B2427">
        <f>Skills!B4</f>
        <v/>
      </c>
      <c r="C2427">
        <f>Inputs!$B$3&gt;=105</f>
        <v/>
      </c>
      <c r="D2427">
        <f>IF(Skills!C4=1,60+Inputs!$B$25+Inputs!$B$29,IF(Skills!C4=2,90+Inputs!$B$26+Inputs!$B$29,IF(Skills!C4=3,120+Inputs!$B$27+Inputs!$B$29,MAX(0,(Inputs!$B$3-100)*3)+Inputs!$B$28+Inputs!$B$29)))</f>
        <v/>
      </c>
      <c r="E2427">
        <f>INDEX(FactorTable!$B$2:$Y$301, MATCH(ROUND(MIN(300,MAX(1,D2427)),0), FactorTable!$A$2:$A$301,0), Skills!M4+1)</f>
        <v/>
      </c>
      <c r="F2427">
        <f>IF(Skills!N4=TRUE,(Skills!L4/10)*(E2427/1000),Skills!L4/10)+Skills!O4</f>
        <v/>
      </c>
      <c r="G2427" t="inlineStr"/>
      <c r="H2427" t="inlineStr"/>
      <c r="I2427" t="inlineStr">
        <is>
          <t>1</t>
        </is>
      </c>
      <c r="J2427" t="inlineStr"/>
      <c r="K2427" t="inlineStr"/>
      <c r="L2427" t="inlineStr"/>
      <c r="M2427" t="inlineStr"/>
      <c r="N2427" t="inlineStr"/>
      <c r="O2427" t="inlineStr"/>
      <c r="P2427" t="inlineStr"/>
      <c r="Q2427" t="inlineStr"/>
      <c r="R2427" t="inlineStr"/>
      <c r="S2427" t="inlineStr"/>
      <c r="U2427">
        <f>290*U2426/1000</f>
        <v/>
      </c>
    </row>
    <row r="2428">
      <c r="A2428">
        <f>Skills!A5</f>
        <v/>
      </c>
      <c r="B2428">
        <f>Skills!B5</f>
        <v/>
      </c>
      <c r="C2428">
        <f>Inputs!$B$3&gt;=103</f>
        <v/>
      </c>
      <c r="D2428">
        <f>IF(Skills!C5=1,60+Inputs!$B$25+Inputs!$B$29,IF(Skills!C5=2,90+Inputs!$B$26+Inputs!$B$29,IF(Skills!C5=3,120+Inputs!$B$27+Inputs!$B$29,MAX(0,(Inputs!$B$3-100)*3)+Inputs!$B$28+Inputs!$B$29)))</f>
        <v/>
      </c>
      <c r="E2428">
        <f>INDEX(FactorTable!$B$2:$Y$301, MATCH(ROUND(MIN(300,MAX(1,D2428)),0), FactorTable!$A$2:$A$301,0), Skills!M5+1)</f>
        <v/>
      </c>
      <c r="F2428">
        <f>IF(Skills!N5=TRUE,(Skills!L5/10)*(E2428/1000),Skills!L5/10)+Skills!O5</f>
        <v/>
      </c>
      <c r="G2428">
        <f>Skills!G5*IF(Skills!H5&gt;0,Skills!I5/Skills!H5,1)</f>
        <v/>
      </c>
      <c r="H2428">
        <f>1-(1-Skills!J5/100)^Skills!K5</f>
        <v/>
      </c>
      <c r="I2428" t="inlineStr">
        <is>
          <t>1</t>
        </is>
      </c>
      <c r="J2428">
        <f>((Inputs!$B$6*(1+Inputs!$B$7/100))+(((Inputs!$B$12*(1+Inputs!$B$13/100))-(Inputs!$B$12*(1+Inputs!$B$13/100)))+0.25*(Inputs!$B$14-Inputs!$B$14))*(1+Inputs!$B$7/100))*(F2428/100)</f>
        <v/>
      </c>
      <c r="K2428">
        <f>J2428*(1+((Inputs!$B$12*(1+Inputs!$B$13/100))*0.01+Inputs!$B$14*0.0025)/100)*(1+Inputs!$B$15/100)*(1+Inputs!$B$16/100)*(5000/(6000+Inputs!$B$42*(1-(100*(1-(1-(Inputs!$B$19+0)/100)*(1-CHOOSE(ArtifactsInput!$N$40+1,5,6,7,8,9,10)/100)^(ArtifactsInput!$M$40-ArtifactsInput!$M$40)))/100)))*(1+(Inputs!$B$24+((C2448=TRUE)*(F2448-Calc!F25))+B2458)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2444=TRUE)*(F2444-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2446=TRUE)*(F2446-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2436=TRUE)*F2436*IF(Inputs!$B$3&gt;=110,7,5))+((C2438=TRUE)*F2438*IF(AND(Inputs!$B$38&lt;&gt;"pvp",Inputs!$B$43&gt;0),(((R2438-1)*(Skills!T15*(1+(Inputs!$B$34+(ArtifactsInput!$M$7-ArtifactsInput!$M$7)*CHOOSE(ArtifactsInput!$N$7+1,6,7.2,8.4,9.6,10.8,12))/100))+MIN((Skills!T15*(1+(Inputs!$B$34+(ArtifactsInput!$M$7-ArtifactsInput!$M$7)*CHOOSE(ArtifactsInput!$N$7+1,6,7.2,8.4,9.6,10.8,12))/100)),MAX(0,Inputs!$B$43-((R2438-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I2428)</f>
        <v/>
      </c>
      <c r="L2428">
        <f>K2428*(MIN(Inputs!$B$22+((C2445=TRUE)*(F2445-Calc!F22)),(Inputs!$B$23+((C2447=TRUE)*(F2447-Calc!F24))+(IF(ArtifactsInput!$M$15,CHOOSE(ArtifactsInput!$N$15+1,25,30,35,40,45,50)/100*(Inputs!$B$11-Inputs!$B$11),0))))/100+(Inputs!$B$23+((C2447=TRUE)*(F2447-Calc!F24))+(IF(ArtifactsInput!$M$15,CHOOSE(ArtifactsInput!$N$15+1,25,30,35,40,45,50)/100*(Inputs!$B$11-Inputs!$B$11),0)))/100)/2</f>
        <v/>
      </c>
      <c r="M2428">
        <f>L2428*(1+(Inputs!$B$10+0+B2457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8">
        <f>L2428*(1-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2428*(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8">
        <f>(1-Summary!$B$11)*T2428+Summary!$B$11*V2428</f>
        <v/>
      </c>
      <c r="P2428">
        <f>IF(B2462=0,0,O2428/B2462)</f>
        <v/>
      </c>
      <c r="Q2428">
        <f>IFERROR(1/(IF(Inputs!$B$38="pvp",15,MAX(0.1,Skills!D5-IF(Skills!E5=TRUE,Inputs!$B$32,0)))*(1-IF(AND(ArtifactsInput!$M$27,Inputs!$B$4="Chapter Hunt"),CHOOSE(ArtifactsInput!$N$27+1,20,24,28,32,36,40),0)/100)),0)</f>
        <v/>
      </c>
      <c r="R2428">
        <f>IF(AND(Inputs!$B$38&lt;&gt;"pvp",Inputs!$B$43&gt;0),IF(MAX(0,Inputs!$B$43-B2459)&lt;=0,0,(INT(MAX(0,Inputs!$B$43-B2459)/(IF(Inputs!$B$38="pvp",15,MAX(0.1,Skills!D5-IF(Skills!E5=TRUE,Inputs!$B$32,0)))*(1-IF(AND(ArtifactsInput!$M$27,Inputs!$B$4="Chapter Hunt"),CHOOSE(ArtifactsInput!$N$27+1,20,24,28,32,36,40),0)/100)))+1)),0)</f>
        <v/>
      </c>
      <c r="S2428">
        <f>IFERROR(O2428/N2428,0)</f>
        <v/>
      </c>
      <c r="T2428">
        <f>IF(C2428,(H2428*N2428*IF(AND(Inputs!$B$38&lt;&gt;"pvp",Inputs!$B$43&gt;0),((Skills!G5*((R2428-1)*IF(Skills!H5&gt;0,Skills!I5/Skills!H5,1)+IF(Skills!H5&gt;0,MIN(Skills!I5,MAX(0,MAX(0,Inputs!$B$43-B2459)-((R2428-1)*(IF(Inputs!$B$38="pvp",15,MAX(0.1,Skills!D5-IF(Skills!E5=TRUE,Inputs!$B$32,0)))*(1-IF(AND(ArtifactsInput!$M$27,Inputs!$B$4="Chapter Hunt"),CHOOSE(ArtifactsInput!$N$27+1,20,24,28,32,36,40),0)/100)))))/Skills!H5,1)))/Inputs!$B$43),G2428*Q2428)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2428*(1-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2428*(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2428*(1-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2428*(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8">
        <f>IF(C2428,(H2428*N2428*IF(AND(Inputs!$B$38&lt;&gt;"pvp",Inputs!$B$43&gt;0),((Skills!G5*((R2428-1)*IF(Skills!H5&gt;0,Skills!I5/Skills!H5,1)+IF(Skills!H5&gt;0,MIN(Skills!I5,MAX(0,MAX(0,Inputs!$B$43-B2459)-((R2428-1)*(IF(Inputs!$B$38="pvp",15,MAX(0.1,Skills!D5-IF(Skills!E5=TRUE,Inputs!$B$32,0)))*(1-IF(AND(ArtifactsInput!$M$27,Inputs!$B$4="Chapter Hunt"),CHOOSE(ArtifactsInput!$N$27+1,20,24,28,32,36,40),0)/100)))))/Skills!H5,1)))/Inputs!$B$43),G2428*Q2428)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9">
      <c r="A2429">
        <f>Skills!A6</f>
        <v/>
      </c>
      <c r="B2429">
        <f>Skills!B6</f>
        <v/>
      </c>
      <c r="C2429">
        <f>Inputs!$B$3&gt;=103</f>
        <v/>
      </c>
      <c r="D2429">
        <f>IF(Skills!C6=1,60+Inputs!$B$25+Inputs!$B$29,IF(Skills!C6=2,90+Inputs!$B$26+Inputs!$B$29,IF(Skills!C6=3,120+Inputs!$B$27+Inputs!$B$29,MAX(0,(Inputs!$B$3-100)*3)+Inputs!$B$28+Inputs!$B$29)))</f>
        <v/>
      </c>
      <c r="E2429">
        <f>INDEX(FactorTable!$B$2:$Y$301, MATCH(ROUND(MIN(300,MAX(1,D2429)),0), FactorTable!$A$2:$A$301,0), Skills!M6+1)</f>
        <v/>
      </c>
      <c r="F2429">
        <f>IF(Skills!N6=TRUE,(Skills!L6/10)*(E2429/1000),Skills!L6/10)+Skills!O6</f>
        <v/>
      </c>
      <c r="G2429">
        <f>Skills!G6*IF(Skills!H6&gt;0,Skills!I6/Skills!H6,1)</f>
        <v/>
      </c>
      <c r="H2429">
        <f>1-(1-Skills!J6/100)^Skills!K6</f>
        <v/>
      </c>
      <c r="I2429" t="inlineStr">
        <is>
          <t>1</t>
        </is>
      </c>
      <c r="J2429">
        <f>((Inputs!$B$6*(1+Inputs!$B$7/100))+(((Inputs!$B$12*(1+Inputs!$B$13/100))-(Inputs!$B$12*(1+Inputs!$B$13/100)))+0.25*(Inputs!$B$14-Inputs!$B$14))*(1+Inputs!$B$7/100))*(F2429/100)</f>
        <v/>
      </c>
      <c r="K2429">
        <f>J2429*(1+((Inputs!$B$12*(1+Inputs!$B$13/100))*0.01+Inputs!$B$14*0.0025)/100)*(1+Inputs!$B$15/100)*(1+Inputs!$B$16/100)*(5000/(6000+Inputs!$B$42*(1-(100*(1-(1-(Inputs!$B$19+0)/100)*(1-CHOOSE(ArtifactsInput!$N$40+1,5,6,7,8,9,10)/100)^(ArtifactsInput!$M$40-ArtifactsInput!$M$40)))/100)))*(1+(Inputs!$B$24+((C2448=TRUE)*(F2448-Calc!F25))+B2458)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2444=TRUE)*(F2444-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2446=TRUE)*(F2446-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2436=TRUE)*F2436*IF(Inputs!$B$3&gt;=110,7,5))+((C2438=TRUE)*F2438*IF(AND(Inputs!$B$38&lt;&gt;"pvp",Inputs!$B$43&gt;0),(((R2438-1)*(Skills!T15*(1+(Inputs!$B$34+(ArtifactsInput!$M$7-ArtifactsInput!$M$7)*CHOOSE(ArtifactsInput!$N$7+1,6,7.2,8.4,9.6,10.8,12))/100))+MIN((Skills!T15*(1+(Inputs!$B$34+(ArtifactsInput!$M$7-ArtifactsInput!$M$7)*CHOOSE(ArtifactsInput!$N$7+1,6,7.2,8.4,9.6,10.8,12))/100)),MAX(0,Inputs!$B$43-((R2438-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I2429)</f>
        <v/>
      </c>
      <c r="L2429">
        <f>K2429*(MIN(Inputs!$B$22+((C2445=TRUE)*(F2445-Calc!F22)),(Inputs!$B$23+((C2447=TRUE)*(F2447-Calc!F24))+(IF(ArtifactsInput!$M$15,CHOOSE(ArtifactsInput!$N$15+1,25,30,35,40,45,50)/100*(Inputs!$B$11-Inputs!$B$11),0))))/100+(Inputs!$B$23+((C2447=TRUE)*(F2447-Calc!F24))+(IF(ArtifactsInput!$M$15,CHOOSE(ArtifactsInput!$N$15+1,25,30,35,40,45,50)/100*(Inputs!$B$11-Inputs!$B$11),0)))/100)/2</f>
        <v/>
      </c>
      <c r="M2429">
        <f>L2429*(1+(Inputs!$B$10+0+B2457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9">
        <f>L2429*(1-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2429*(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9">
        <f>(1-Summary!$B$11)*T2429+Summary!$B$11*V2429</f>
        <v/>
      </c>
      <c r="P2429">
        <f>IF(B2462=0,0,O2429/B2462)</f>
        <v/>
      </c>
      <c r="Q2429">
        <f>IFERROR(1/(IF(Inputs!$B$38="pvp",15,MAX(0.1,Skills!D6-IF(Skills!E6=TRUE,Inputs!$B$32,0)))*(1-IF(AND(ArtifactsInput!$M$27,Inputs!$B$4="Chapter Hunt"),CHOOSE(ArtifactsInput!$N$27+1,20,24,28,32,36,40),0)/100)),0)</f>
        <v/>
      </c>
      <c r="R2429">
        <f>IF(AND(Inputs!$B$38&lt;&gt;"pvp",Inputs!$B$43&gt;0),IF(MAX(0,Inputs!$B$43-B2459)&lt;=0,0,(INT(MAX(0,Inputs!$B$43-B2459)/(IF(Inputs!$B$38="pvp",15,MAX(0.1,Skills!D6-IF(Skills!E6=TRUE,Inputs!$B$32,0)))*(1-IF(AND(ArtifactsInput!$M$27,Inputs!$B$4="Chapter Hunt"),CHOOSE(ArtifactsInput!$N$27+1,20,24,28,32,36,40),0)/100)))+1)),0)</f>
        <v/>
      </c>
      <c r="S2429">
        <f>IFERROR(O2429/N2429,0)</f>
        <v/>
      </c>
      <c r="T2429">
        <f>IF(C2429,(H2429*N2429*IF(AND(Inputs!$B$38&lt;&gt;"pvp",Inputs!$B$43&gt;0),((Skills!G6*((R2429-1)*IF(Skills!H6&gt;0,Skills!I6/Skills!H6,1)+IF(Skills!H6&gt;0,MIN(Skills!I6,MAX(0,MAX(0,Inputs!$B$43-B2459)-((R2429-1)*(IF(Inputs!$B$38="pvp",15,MAX(0.1,Skills!D6-IF(Skills!E6=TRUE,Inputs!$B$32,0)))*(1-IF(AND(ArtifactsInput!$M$27,Inputs!$B$4="Chapter Hunt"),CHOOSE(ArtifactsInput!$N$27+1,20,24,28,32,36,40),0)/100)))))/Skills!H6,1)))/Inputs!$B$43),G2429*Q2429)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2429*(1-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2429*(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2429*(1-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2429*(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9">
        <f>IF(C2429,(H2429*N2429*IF(AND(Inputs!$B$38&lt;&gt;"pvp",Inputs!$B$43&gt;0),((Skills!G6*((R2429-1)*IF(Skills!H6&gt;0,Skills!I6/Skills!H6,1)+IF(Skills!H6&gt;0,MIN(Skills!I6,MAX(0,MAX(0,Inputs!$B$43-B2459)-((R2429-1)*(IF(Inputs!$B$38="pvp",15,MAX(0.1,Skills!D6-IF(Skills!E6=TRUE,Inputs!$B$32,0)))*(1-IF(AND(ArtifactsInput!$M$27,Inputs!$B$4="Chapter Hunt"),CHOOSE(ArtifactsInput!$N$27+1,20,24,28,32,36,40),0)/100)))))/Skills!H6,1)))/Inputs!$B$43),G2429*Q2429)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0">
      <c r="A2430">
        <f>Skills!A7</f>
        <v/>
      </c>
      <c r="B2430">
        <f>Skills!B7</f>
        <v/>
      </c>
      <c r="C2430">
        <f>Inputs!$B$3&gt;=107</f>
        <v/>
      </c>
      <c r="D2430">
        <f>IF(Skills!C7=1,60+Inputs!$B$25+Inputs!$B$29,IF(Skills!C7=2,90+Inputs!$B$26+Inputs!$B$29,IF(Skills!C7=3,120+Inputs!$B$27+Inputs!$B$29,MAX(0,(Inputs!$B$3-100)*3)+Inputs!$B$28+Inputs!$B$29)))</f>
        <v/>
      </c>
      <c r="E2430">
        <f>INDEX(FactorTable!$B$2:$Y$301, MATCH(ROUND(MIN(300,MAX(1,D2430)),0), FactorTable!$A$2:$A$301,0), Skills!M7+1)</f>
        <v/>
      </c>
      <c r="F2430">
        <f>IF(Skills!N7=TRUE,(Skills!L7/10)*(E2430/1000),Skills!L7/10)+Skills!O7</f>
        <v/>
      </c>
      <c r="G2430">
        <f>Skills!G7*IF(Skills!H7&gt;0,Skills!I7/Skills!H7,1)</f>
        <v/>
      </c>
      <c r="H2430">
        <f>1-(1-Skills!J7/100)^Skills!K7</f>
        <v/>
      </c>
      <c r="I2430" t="inlineStr">
        <is>
          <t>1</t>
        </is>
      </c>
      <c r="J2430">
        <f>((Inputs!$B$6*(1+Inputs!$B$7/100))+(((Inputs!$B$12*(1+Inputs!$B$13/100))-(Inputs!$B$12*(1+Inputs!$B$13/100)))+0.25*(Inputs!$B$14-Inputs!$B$14))*(1+Inputs!$B$7/100))*(F2430/100)</f>
        <v/>
      </c>
      <c r="K2430">
        <f>J2430*(1+((Inputs!$B$12*(1+Inputs!$B$13/100))*0.01+Inputs!$B$14*0.0025)/100)*(1+Inputs!$B$15/100)*(1+Inputs!$B$16/100)*(5000/(6000+Inputs!$B$42*(1-(100*(1-(1-(Inputs!$B$19+0)/100)*(1-CHOOSE(ArtifactsInput!$N$40+1,5,6,7,8,9,10)/100)^(ArtifactsInput!$M$40-ArtifactsInput!$M$40)))/100)))*(1+(Inputs!$B$24+((C2448=TRUE)*(F2448-Calc!F25))+B2458)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2444=TRUE)*(F2444-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2446=TRUE)*(F2446-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2436=TRUE)*F2436*IF(Inputs!$B$3&gt;=110,7,5))+((C2438=TRUE)*F2438*IF(AND(Inputs!$B$38&lt;&gt;"pvp",Inputs!$B$43&gt;0),(((R2438-1)*(Skills!T15*(1+(Inputs!$B$34+(ArtifactsInput!$M$7-ArtifactsInput!$M$7)*CHOOSE(ArtifactsInput!$N$7+1,6,7.2,8.4,9.6,10.8,12))/100))+MIN((Skills!T15*(1+(Inputs!$B$34+(ArtifactsInput!$M$7-ArtifactsInput!$M$7)*CHOOSE(ArtifactsInput!$N$7+1,6,7.2,8.4,9.6,10.8,12))/100)),MAX(0,Inputs!$B$43-((R2438-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I2430)</f>
        <v/>
      </c>
      <c r="L2430">
        <f>K2430*(MIN(Inputs!$B$22+((C2445=TRUE)*(F2445-Calc!F22)),(Inputs!$B$23+((C2447=TRUE)*(F2447-Calc!F24))+(IF(ArtifactsInput!$M$15,CHOOSE(ArtifactsInput!$N$15+1,25,30,35,40,45,50)/100*(Inputs!$B$11-Inputs!$B$11),0))))/100+(Inputs!$B$23+((C2447=TRUE)*(F2447-Calc!F24))+(IF(ArtifactsInput!$M$15,CHOOSE(ArtifactsInput!$N$15+1,25,30,35,40,45,50)/100*(Inputs!$B$11-Inputs!$B$11),0)))/100)/2</f>
        <v/>
      </c>
      <c r="M2430">
        <f>L2430*(1+(Inputs!$B$10+0+B2457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0">
        <f>L2430*(1-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2430*(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0">
        <f>(1-Summary!$B$11)*T2430+Summary!$B$11*V2430</f>
        <v/>
      </c>
      <c r="P2430">
        <f>IF(B2462=0,0,O2430/B2462)</f>
        <v/>
      </c>
      <c r="Q2430">
        <f>IFERROR(1/(IF(Inputs!$B$38="pvp",15,MAX(0.1,Skills!D7-IF(Skills!E7=TRUE,Inputs!$B$32,0)))*(1-IF(AND(ArtifactsInput!$M$27,Inputs!$B$4="Chapter Hunt"),CHOOSE(ArtifactsInput!$N$27+1,20,24,28,32,36,40),0)/100)),0)</f>
        <v/>
      </c>
      <c r="R2430">
        <f>IF(AND(Inputs!$B$38&lt;&gt;"pvp",Inputs!$B$43&gt;0),IF(MAX(0,Inputs!$B$43-B2459)&lt;=0,0,(INT(MAX(0,Inputs!$B$43-B2459)/(IF(Inputs!$B$38="pvp",15,MAX(0.1,Skills!D7-IF(Skills!E7=TRUE,Inputs!$B$32,0)))*(1-IF(AND(ArtifactsInput!$M$27,Inputs!$B$4="Chapter Hunt"),CHOOSE(ArtifactsInput!$N$27+1,20,24,28,32,36,40),0)/100)))+1)),0)</f>
        <v/>
      </c>
      <c r="S2430">
        <f>IFERROR(O2430/N2430,0)</f>
        <v/>
      </c>
      <c r="T2430">
        <f>IF(C2430,(H2430*N2430*IF(AND(Inputs!$B$38&lt;&gt;"pvp",Inputs!$B$43&gt;0),((Skills!G7*((R2430-1)*IF(Skills!H7&gt;0,Skills!I7/Skills!H7,1)+IF(Skills!H7&gt;0,MIN(Skills!I7,MAX(0,MAX(0,Inputs!$B$43-B2459)-((R2430-1)*(IF(Inputs!$B$38="pvp",15,MAX(0.1,Skills!D7-IF(Skills!E7=TRUE,Inputs!$B$32,0)))*(1-IF(AND(ArtifactsInput!$M$27,Inputs!$B$4="Chapter Hunt"),CHOOSE(ArtifactsInput!$N$27+1,20,24,28,32,36,40),0)/100)))))/Skills!H7,1)))/Inputs!$B$43),G2430*Q2430)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2430*(1-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2430*(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2430*(1-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2430*(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0">
        <f>IF(C2430,(H2430*N2430*IF(AND(Inputs!$B$38&lt;&gt;"pvp",Inputs!$B$43&gt;0),((Skills!G7*((R2430-1)*IF(Skills!H7&gt;0,Skills!I7/Skills!H7,1)+IF(Skills!H7&gt;0,MIN(Skills!I7,MAX(0,MAX(0,Inputs!$B$43-B2459)-((R2430-1)*(IF(Inputs!$B$38="pvp",15,MAX(0.1,Skills!D7-IF(Skills!E7=TRUE,Inputs!$B$32,0)))*(1-IF(AND(ArtifactsInput!$M$27,Inputs!$B$4="Chapter Hunt"),CHOOSE(ArtifactsInput!$N$27+1,20,24,28,32,36,40),0)/100)))))/Skills!H7,1)))/Inputs!$B$43),G2430*Q2430)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1">
      <c r="A2431">
        <f>Skills!A8</f>
        <v/>
      </c>
      <c r="B2431">
        <f>Skills!B8</f>
        <v/>
      </c>
      <c r="C2431">
        <f>Inputs!$B$3&gt;=117</f>
        <v/>
      </c>
      <c r="D2431">
        <f>IF(Skills!C8=1,60+Inputs!$B$25+Inputs!$B$29,IF(Skills!C8=2,90+Inputs!$B$26+Inputs!$B$29,IF(Skills!C8=3,120+Inputs!$B$27+Inputs!$B$29,MAX(0,(Inputs!$B$3-100)*3)+Inputs!$B$28+Inputs!$B$29)))</f>
        <v/>
      </c>
      <c r="E2431">
        <f>INDEX(FactorTable!$B$2:$Y$301, MATCH(ROUND(MIN(300,MAX(1,D2431)),0), FactorTable!$A$2:$A$301,0), Skills!M8+1)</f>
        <v/>
      </c>
      <c r="F2431">
        <f>IF(Skills!N8=TRUE,(Skills!L8/10)*(E2431/1000),Skills!L8/10)+Skills!O8</f>
        <v/>
      </c>
      <c r="G2431">
        <f>Skills!G8*IF(Skills!H8&gt;0,Skills!I8/Skills!H8,1)</f>
        <v/>
      </c>
      <c r="H2431">
        <f>1-(1-Skills!J8/100)^Skills!K8</f>
        <v/>
      </c>
      <c r="I2431" t="inlineStr">
        <is>
          <t>1</t>
        </is>
      </c>
      <c r="J2431">
        <f>((Inputs!$B$6*(1+Inputs!$B$7/100))+(((Inputs!$B$12*(1+Inputs!$B$13/100))-(Inputs!$B$12*(1+Inputs!$B$13/100)))+0.25*(Inputs!$B$14-Inputs!$B$14))*(1+Inputs!$B$7/100))*(F2431/100)</f>
        <v/>
      </c>
      <c r="K2431">
        <f>J2431*(1+((Inputs!$B$12*(1+Inputs!$B$13/100))*0.01+Inputs!$B$14*0.0025)/100)*(1+Inputs!$B$15/100)*(1+Inputs!$B$16/100)*(5000/(6000+Inputs!$B$42*(1-(100*(1-(1-(Inputs!$B$19+0)/100)*(1-CHOOSE(ArtifactsInput!$N$40+1,5,6,7,8,9,10)/100)^(ArtifactsInput!$M$40-ArtifactsInput!$M$40)))/100)))*(1+(Inputs!$B$24+((C2448=TRUE)*(F2448-Calc!F25))+B2458)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2444=TRUE)*(F2444-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2446=TRUE)*(F2446-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2436=TRUE)*F2436*IF(Inputs!$B$3&gt;=110,7,5))+((C2438=TRUE)*F2438*IF(AND(Inputs!$B$38&lt;&gt;"pvp",Inputs!$B$43&gt;0),(((R2438-1)*(Skills!T15*(1+(Inputs!$B$34+(ArtifactsInput!$M$7-ArtifactsInput!$M$7)*CHOOSE(ArtifactsInput!$N$7+1,6,7.2,8.4,9.6,10.8,12))/100))+MIN((Skills!T15*(1+(Inputs!$B$34+(ArtifactsInput!$M$7-ArtifactsInput!$M$7)*CHOOSE(ArtifactsInput!$N$7+1,6,7.2,8.4,9.6,10.8,12))/100)),MAX(0,Inputs!$B$43-((R2438-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I2431)</f>
        <v/>
      </c>
      <c r="L2431">
        <f>K2431*(MIN(Inputs!$B$22+((C2445=TRUE)*(F2445-Calc!F22)),(Inputs!$B$23+((C2447=TRUE)*(F2447-Calc!F24))+(IF(ArtifactsInput!$M$15,CHOOSE(ArtifactsInput!$N$15+1,25,30,35,40,45,50)/100*(Inputs!$B$11-Inputs!$B$11),0))))/100+(Inputs!$B$23+((C2447=TRUE)*(F2447-Calc!F24))+(IF(ArtifactsInput!$M$15,CHOOSE(ArtifactsInput!$N$15+1,25,30,35,40,45,50)/100*(Inputs!$B$11-Inputs!$B$11),0)))/100)/2</f>
        <v/>
      </c>
      <c r="M2431">
        <f>L2431*(1+(Inputs!$B$10+0+B2457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1">
        <f>L2431*(1-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2431*(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1">
        <f>(1-Summary!$B$11)*T2431+Summary!$B$11*V2431</f>
        <v/>
      </c>
      <c r="P2431">
        <f>IF(B2462=0,0,O2431/B2462)</f>
        <v/>
      </c>
      <c r="Q2431">
        <f>IFERROR(1/(IF(Inputs!$B$38="pvp",15,MAX(0.1,Skills!D8-IF(Skills!E8=TRUE,Inputs!$B$32,0)))*(1-IF(AND(ArtifactsInput!$M$27,Inputs!$B$4="Chapter Hunt"),CHOOSE(ArtifactsInput!$N$27+1,20,24,28,32,36,40),0)/100)),0)</f>
        <v/>
      </c>
      <c r="R2431">
        <f>IF(AND(Inputs!$B$38&lt;&gt;"pvp",Inputs!$B$43&gt;0),IF(MAX(0,Inputs!$B$43-B2459)&lt;=0,0,(INT(MAX(0,Inputs!$B$43-B2459)/(IF(Inputs!$B$38="pvp",15,MAX(0.1,Skills!D8-IF(Skills!E8=TRUE,Inputs!$B$32,0)))*(1-IF(AND(ArtifactsInput!$M$27,Inputs!$B$4="Chapter Hunt"),CHOOSE(ArtifactsInput!$N$27+1,20,24,28,32,36,40),0)/100)))+1)),0)</f>
        <v/>
      </c>
      <c r="S2431">
        <f>IFERROR(O2431/N2431,0)</f>
        <v/>
      </c>
      <c r="T2431">
        <f>IF(C2431,(H2431*N2431*IF(AND(Inputs!$B$38&lt;&gt;"pvp",Inputs!$B$43&gt;0),((Skills!G8*((R2431-1)*IF(Skills!H8&gt;0,Skills!I8/Skills!H8,1)+IF(Skills!H8&gt;0,MIN(Skills!I8,MAX(0,MAX(0,Inputs!$B$43-B2459)-((R2431-1)*(IF(Inputs!$B$38="pvp",15,MAX(0.1,Skills!D8-IF(Skills!E8=TRUE,Inputs!$B$32,0)))*(1-IF(AND(ArtifactsInput!$M$27,Inputs!$B$4="Chapter Hunt"),CHOOSE(ArtifactsInput!$N$27+1,20,24,28,32,36,40),0)/100)))))/Skills!H8,1)))/Inputs!$B$43),G2431*Q2431)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2431*(1-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2431*(1-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1">
        <f>IF(C2431,(H2431*N2431*IF(AND(Inputs!$B$38&lt;&gt;"pvp",Inputs!$B$43&gt;0),((Skills!G8*((R2431-1)*IF(Skills!H8&gt;0,Skills!I8/Skills!H8,1)+IF(Skills!H8&gt;0,MIN(Skills!I8,MAX(0,MAX(0,Inputs!$B$43-B2459)-((R2431-1)*(IF(Inputs!$B$38="pvp",15,MAX(0.1,Skills!D8-IF(Skills!E8=TRUE,Inputs!$B$32,0)))*(1-IF(AND(ArtifactsInput!$M$27,Inputs!$B$4="Chapter Hunt"),CHOOSE(ArtifactsInput!$N$27+1,20,24,28,32,36,40),0)/100)))))/Skills!H8,1)))/Inputs!$B$43),G2431*Q2431)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2">
      <c r="A2432">
        <f>Skills!A9</f>
        <v/>
      </c>
      <c r="B2432">
        <f>Skills!B9</f>
        <v/>
      </c>
      <c r="C2432">
        <f>Inputs!$B$3&gt;=69</f>
        <v/>
      </c>
      <c r="D2432">
        <f>IF(Skills!C9=1,60+Inputs!$B$25+Inputs!$B$29,IF(Skills!C9=2,90+Inputs!$B$26+Inputs!$B$29,IF(Skills!C9=3,120+Inputs!$B$27+Inputs!$B$29,MAX(0,(Inputs!$B$3-100)*3)+Inputs!$B$28+Inputs!$B$29)))</f>
        <v/>
      </c>
      <c r="E2432">
        <f>INDEX(FactorTable!$B$2:$Y$301, MATCH(ROUND(MIN(300,MAX(1,D2432)),0), FactorTable!$A$2:$A$301,0), Skills!M9+1)</f>
        <v/>
      </c>
      <c r="F2432">
        <f>IF(Skills!N9=TRUE,(Skills!L9/10)*(E2432/1000),Skills!L9/10)+Skills!O9</f>
        <v/>
      </c>
      <c r="G2432">
        <f>Skills!G9*IF(Skills!H9&gt;0,Skills!I9/Skills!H9,1)</f>
        <v/>
      </c>
      <c r="H2432">
        <f>1-(1-Skills!J9/100)^Skills!K9</f>
        <v/>
      </c>
      <c r="I2432" t="inlineStr">
        <is>
          <t>1</t>
        </is>
      </c>
      <c r="J2432">
        <f>((Inputs!$B$6*(1+Inputs!$B$7/100))+(((Inputs!$B$12*(1+Inputs!$B$13/100))-(Inputs!$B$12*(1+Inputs!$B$13/100)))+0.25*(Inputs!$B$14-Inputs!$B$14))*(1+Inputs!$B$7/100))*(F2432/100)</f>
        <v/>
      </c>
      <c r="K2432">
        <f>J2432*(1+((Inputs!$B$12*(1+Inputs!$B$13/100))*0.01+Inputs!$B$14*0.0025)/100)*(1+Inputs!$B$15/100)*(1+Inputs!$B$16/100)*(5000/(6000+Inputs!$B$42*(1-(100*(1-(1-(Inputs!$B$19+0)/100)*(1-CHOOSE(ArtifactsInput!$N$40+1,5,6,7,8,9,10)/100)^(ArtifactsInput!$M$40-ArtifactsInput!$M$40)))/100)))*(1+(Inputs!$B$24+((C2448=TRUE)*(F2448-Calc!F25))+B2458)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2435=TRUE,F2435,0)/100)*(1+IF(Skills!A9="ENHANCED_RAGING_BLOW",IF(Inputs!$B$3&gt;=134,MAX(0,IF(Inputs!$B$3&gt;=110,7,5)-5)*50,0),0)/100)*(1+(IF(Skills!A9="RAGING_BLOW",Inputs!$B$17+((C2444=TRUE)*(F2444-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2446=TRUE)*(F2446-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2436=TRUE)*F2436*IF(Inputs!$B$3&gt;=110,7,5))+((C2438=TRUE)*F2438*IF(AND(Inputs!$B$38&lt;&gt;"pvp",Inputs!$B$43&gt;0),(((R2438-1)*(Skills!T15*(1+(Inputs!$B$34+(ArtifactsInput!$M$7-ArtifactsInput!$M$7)*CHOOSE(ArtifactsInput!$N$7+1,6,7.2,8.4,9.6,10.8,12))/100))+MIN((Skills!T15*(1+(Inputs!$B$34+(ArtifactsInput!$M$7-ArtifactsInput!$M$7)*CHOOSE(ArtifactsInput!$N$7+1,6,7.2,8.4,9.6,10.8,12))/100)),MAX(0,Inputs!$B$43-((R2438-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I2432)</f>
        <v/>
      </c>
      <c r="L2432">
        <f>K2432*(MIN(Inputs!$B$22+((C2445=TRUE)*(F2445-Calc!F22)),(Inputs!$B$23+((C2447=TRUE)*(F2447-Calc!F24))+(IF(ArtifactsInput!$M$15,CHOOSE(ArtifactsInput!$N$15+1,25,30,35,40,45,50)/100*(Inputs!$B$11-Inputs!$B$11),0))))/100+(Inputs!$B$23+((C2447=TRUE)*(F2447-Calc!F24))+(IF(ArtifactsInput!$M$15,CHOOSE(ArtifactsInput!$N$15+1,25,30,35,40,45,50)/100*(Inputs!$B$11-Inputs!$B$11),0)))/100)/2</f>
        <v/>
      </c>
      <c r="M2432">
        <f>L2432*(1+(Inputs!$B$10+0+B2457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2">
        <f>L2432*(1-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2432*(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2">
        <f>(1-Summary!$B$11)*T2432+Summary!$B$11*V2432</f>
        <v/>
      </c>
      <c r="P2432">
        <f>IF(B2462=0,0,O2432/B2462)</f>
        <v/>
      </c>
      <c r="Q2432">
        <f>IFERROR(1/(IF(Inputs!$B$38="pvp",15,MAX(0.1,Skills!D9-IF(Skills!E9=TRUE,Inputs!$B$32,0)))*(1-IF(AND(ArtifactsInput!$M$27,Inputs!$B$4="Chapter Hunt"),CHOOSE(ArtifactsInput!$N$27+1,20,24,28,32,36,40),0)/100)),0)</f>
        <v/>
      </c>
      <c r="R2432">
        <f>IF(AND(Inputs!$B$38&lt;&gt;"pvp",Inputs!$B$43&gt;0),IF(MAX(0,Inputs!$B$43-B2459)&lt;=0,0,(INT(MAX(0,Inputs!$B$43-B2459)/(IF(Inputs!$B$38="pvp",15,MAX(0.1,Skills!D9-IF(Skills!E9=TRUE,Inputs!$B$32,0)))*(1-IF(AND(ArtifactsInput!$M$27,Inputs!$B$4="Chapter Hunt"),CHOOSE(ArtifactsInput!$N$27+1,20,24,28,32,36,40),0)/100)))+1)),0)</f>
        <v/>
      </c>
      <c r="S2432">
        <f>IFERROR(O2432/N2432,0)</f>
        <v/>
      </c>
      <c r="T2432">
        <f>IF(C2432,(H2432*N2432*IF(AND(Inputs!$B$38&lt;&gt;"pvp",Inputs!$B$43&gt;0),((Skills!G9*((R2432-1)*IF(Skills!H9&gt;0,Skills!I9/Skills!H9,1)+IF(Skills!H9&gt;0,MIN(Skills!I9,MAX(0,MAX(0,Inputs!$B$43-B2459)-((R2432-1)*(IF(Inputs!$B$38="pvp",15,MAX(0.1,Skills!D9-IF(Skills!E9=TRUE,Inputs!$B$32,0)))*(1-IF(AND(ArtifactsInput!$M$27,Inputs!$B$4="Chapter Hunt"),CHOOSE(ArtifactsInput!$N$27+1,20,24,28,32,36,40),0)/100)))))/Skills!H9,1)))/Inputs!$B$43),G2432*Q2432)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2432*(1-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2432*(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2432*(1-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2432*(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2">
        <f>IF(C2432,(H2432*N2432*IF(AND(Inputs!$B$38&lt;&gt;"pvp",Inputs!$B$43&gt;0),((Skills!G9*((R2432-1)*IF(Skills!H9&gt;0,Skills!I9/Skills!H9,1)+IF(Skills!H9&gt;0,MIN(Skills!I9,MAX(0,MAX(0,Inputs!$B$43-B2459)-((R2432-1)*(IF(Inputs!$B$38="pvp",15,MAX(0.1,Skills!D9-IF(Skills!E9=TRUE,Inputs!$B$32,0)))*(1-IF(AND(ArtifactsInput!$M$27,Inputs!$B$4="Chapter Hunt"),CHOOSE(ArtifactsInput!$N$27+1,20,24,28,32,36,40),0)/100)))))/Skills!H9,1)))/Inputs!$B$43),G2432*Q2432)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3">
      <c r="A2433">
        <f>Skills!A10</f>
        <v/>
      </c>
      <c r="B2433">
        <f>Skills!B10</f>
        <v/>
      </c>
      <c r="C2433">
        <f>Inputs!$B$3&gt;=63</f>
        <v/>
      </c>
      <c r="D2433">
        <f>IF(Skills!C10=1,60+Inputs!$B$25+Inputs!$B$29,IF(Skills!C10=2,90+Inputs!$B$26+Inputs!$B$29,IF(Skills!C10=3,120+Inputs!$B$27+Inputs!$B$29,MAX(0,(Inputs!$B$3-100)*3)+Inputs!$B$28+Inputs!$B$29)))</f>
        <v/>
      </c>
      <c r="E2433">
        <f>INDEX(FactorTable!$B$2:$Y$301, MATCH(ROUND(MIN(300,MAX(1,D2433)),0), FactorTable!$A$2:$A$301,0), Skills!M10+1)</f>
        <v/>
      </c>
      <c r="F2433">
        <f>IF(Skills!N10=TRUE,(Skills!L10/10)*(E2433/1000),Skills!L10/10)+Skills!O10</f>
        <v/>
      </c>
      <c r="G2433">
        <f>Skills!G10*IF(Skills!H10&gt;0,Skills!I10/Skills!H10,1)</f>
        <v/>
      </c>
      <c r="H2433">
        <f>1-(1-Skills!J10/100)^Skills!K10</f>
        <v/>
      </c>
      <c r="I2433" t="inlineStr">
        <is>
          <t>1</t>
        </is>
      </c>
      <c r="J2433">
        <f>((Inputs!$B$6*(1+Inputs!$B$7/100))+(((Inputs!$B$12*(1+Inputs!$B$13/100))-(Inputs!$B$12*(1+Inputs!$B$13/100)))+0.25*(Inputs!$B$14-Inputs!$B$14))*(1+Inputs!$B$7/100))*(F2433/100)</f>
        <v/>
      </c>
      <c r="K2433">
        <f>J2433*(1+((Inputs!$B$12*(1+Inputs!$B$13/100))*0.01+Inputs!$B$14*0.0025)/100)*(1+Inputs!$B$15/100)*(1+Inputs!$B$16/100)*(5000/(6000+Inputs!$B$42*(1-(100*(1-(1-(Inputs!$B$19+0)/100)*(1-CHOOSE(ArtifactsInput!$N$40+1,5,6,7,8,9,10)/100)^(ArtifactsInput!$M$40-ArtifactsInput!$M$40)))/100)))*(1+(Inputs!$B$24+((C2448=TRUE)*(F2448-Calc!F25))+B2458)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2435=TRUE,F2435,0)/100)*(1+IF(Skills!A10="ENHANCED_RAGING_BLOW",IF(Inputs!$B$3&gt;=134,MAX(0,IF(Inputs!$B$3&gt;=110,7,5)-5)*50,0),0)/100)*(1+(IF(Skills!A10="RAGING_BLOW",Inputs!$B$17+((C2444=TRUE)*(F2444-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2446=TRUE)*(F2446-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2436=TRUE)*F2436*IF(Inputs!$B$3&gt;=110,7,5))+((C2438=TRUE)*F2438*IF(AND(Inputs!$B$38&lt;&gt;"pvp",Inputs!$B$43&gt;0),(((R2438-1)*(Skills!T15*(1+(Inputs!$B$34+(ArtifactsInput!$M$7-ArtifactsInput!$M$7)*CHOOSE(ArtifactsInput!$N$7+1,6,7.2,8.4,9.6,10.8,12))/100))+MIN((Skills!T15*(1+(Inputs!$B$34+(ArtifactsInput!$M$7-ArtifactsInput!$M$7)*CHOOSE(ArtifactsInput!$N$7+1,6,7.2,8.4,9.6,10.8,12))/100)),MAX(0,Inputs!$B$43-((R2438-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I2433)</f>
        <v/>
      </c>
      <c r="L2433">
        <f>K2433*(MIN(Inputs!$B$22+((C2445=TRUE)*(F2445-Calc!F22)),(Inputs!$B$23+((C2447=TRUE)*(F2447-Calc!F24))+(IF(ArtifactsInput!$M$15,CHOOSE(ArtifactsInput!$N$15+1,25,30,35,40,45,50)/100*(Inputs!$B$11-Inputs!$B$11),0))))/100+(Inputs!$B$23+((C2447=TRUE)*(F2447-Calc!F24))+(IF(ArtifactsInput!$M$15,CHOOSE(ArtifactsInput!$N$15+1,25,30,35,40,45,50)/100*(Inputs!$B$11-Inputs!$B$11),0)))/100)/2</f>
        <v/>
      </c>
      <c r="M2433">
        <f>L2433*(1+(Inputs!$B$10+0+B2457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3">
        <f>L2433*(1-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2433*(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3">
        <f>(1-Summary!$B$11)*T2433+Summary!$B$11*V2433</f>
        <v/>
      </c>
      <c r="P2433">
        <f>IF(B2462=0,0,O2433/B2462)</f>
        <v/>
      </c>
      <c r="Q2433">
        <f>IFERROR(1/(IF(Inputs!$B$38="pvp",15,MAX(0.1,Skills!D10-IF(Skills!E10=TRUE,Inputs!$B$32,0)))*(1-IF(AND(ArtifactsInput!$M$27,Inputs!$B$4="Chapter Hunt"),CHOOSE(ArtifactsInput!$N$27+1,20,24,28,32,36,40),0)/100)),0)</f>
        <v/>
      </c>
      <c r="R2433">
        <f>IF(AND(Inputs!$B$38&lt;&gt;"pvp",Inputs!$B$43&gt;0),IF(MAX(0,Inputs!$B$43-B2459)&lt;=0,0,(INT(MAX(0,Inputs!$B$43-B2459)/(IF(Inputs!$B$38="pvp",15,MAX(0.1,Skills!D10-IF(Skills!E10=TRUE,Inputs!$B$32,0)))*(1-IF(AND(ArtifactsInput!$M$27,Inputs!$B$4="Chapter Hunt"),CHOOSE(ArtifactsInput!$N$27+1,20,24,28,32,36,40),0)/100)))+1)),0)</f>
        <v/>
      </c>
      <c r="S2433">
        <f>IFERROR(O2433/N2433,0)</f>
        <v/>
      </c>
      <c r="T2433">
        <f>IF(C2433,(H2433*N2433*IF(AND(Inputs!$B$38&lt;&gt;"pvp",Inputs!$B$43&gt;0),((Skills!G10*((R2433-1)*IF(Skills!H10&gt;0,Skills!I10/Skills!H10,1)+IF(Skills!H10&gt;0,MIN(Skills!I10,MAX(0,MAX(0,Inputs!$B$43-B2459)-((R2433-1)*(IF(Inputs!$B$38="pvp",15,MAX(0.1,Skills!D10-IF(Skills!E10=TRUE,Inputs!$B$32,0)))*(1-IF(AND(ArtifactsInput!$M$27,Inputs!$B$4="Chapter Hunt"),CHOOSE(ArtifactsInput!$N$27+1,20,24,28,32,36,40),0)/100)))))/Skills!H10,1)))/Inputs!$B$43),G2433*Q2433)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2433*(1-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2433*(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2433*(1-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2433*(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3">
        <f>IF(C2433,(H2433*N2433*IF(AND(Inputs!$B$38&lt;&gt;"pvp",Inputs!$B$43&gt;0),((Skills!G10*((R2433-1)*IF(Skills!H10&gt;0,Skills!I10/Skills!H10,1)+IF(Skills!H10&gt;0,MIN(Skills!I10,MAX(0,MAX(0,Inputs!$B$43-B2459)-((R2433-1)*(IF(Inputs!$B$38="pvp",15,MAX(0.1,Skills!D10-IF(Skills!E10=TRUE,Inputs!$B$32,0)))*(1-IF(AND(ArtifactsInput!$M$27,Inputs!$B$4="Chapter Hunt"),CHOOSE(ArtifactsInput!$N$27+1,20,24,28,32,36,40),0)/100)))))/Skills!H10,1)))/Inputs!$B$43),G2433*Q2433)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4">
      <c r="A2434">
        <f>Skills!A11</f>
        <v/>
      </c>
      <c r="B2434">
        <f>Skills!B11</f>
        <v/>
      </c>
      <c r="C2434">
        <f>Inputs!$B$3&gt;=35</f>
        <v/>
      </c>
      <c r="D2434">
        <f>IF(Skills!C11=1,60+Inputs!$B$25+Inputs!$B$29,IF(Skills!C11=2,90+Inputs!$B$26+Inputs!$B$29,IF(Skills!C11=3,120+Inputs!$B$27+Inputs!$B$29,MAX(0,(Inputs!$B$3-100)*3)+Inputs!$B$28+Inputs!$B$29)))</f>
        <v/>
      </c>
      <c r="E2434">
        <f>INDEX(FactorTable!$B$2:$Y$301, MATCH(ROUND(MIN(300,MAX(1,D2434)),0), FactorTable!$A$2:$A$301,0), Skills!M11+1)</f>
        <v/>
      </c>
      <c r="F2434">
        <f>IF(Skills!N11=TRUE,(Skills!L11/10)*(E2434/1000),Skills!L11/10)+Skills!O11</f>
        <v/>
      </c>
      <c r="G2434">
        <f>Skills!G11*IF(Skills!H11&gt;0,Skills!I11/Skills!H11,1)</f>
        <v/>
      </c>
      <c r="H2434">
        <f>1-(1-Skills!J11/100)^Skills!K11</f>
        <v/>
      </c>
      <c r="I2434" t="inlineStr">
        <is>
          <t>1</t>
        </is>
      </c>
      <c r="J2434">
        <f>((Inputs!$B$6*(1+Inputs!$B$7/100))+(((Inputs!$B$12*(1+Inputs!$B$13/100))-(Inputs!$B$12*(1+Inputs!$B$13/100)))+0.25*(Inputs!$B$14-Inputs!$B$14))*(1+Inputs!$B$7/100))*(F2434/100)</f>
        <v/>
      </c>
      <c r="K2434">
        <f>J2434*(1+((Inputs!$B$12*(1+Inputs!$B$13/100))*0.01+Inputs!$B$14*0.0025)/100)*(1+Inputs!$B$15/100)*(1+Inputs!$B$16/100)*(5000/(6000+Inputs!$B$42*(1-(100*(1-(1-(Inputs!$B$19+0)/100)*(1-CHOOSE(ArtifactsInput!$N$40+1,5,6,7,8,9,10)/100)^(ArtifactsInput!$M$40-ArtifactsInput!$M$40)))/100)))*(1+(Inputs!$B$24+((C2448=TRUE)*(F2448-Calc!F25))+B2458)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2435=TRUE,F2435,0)/100)*(1+IF(Skills!A11="ENHANCED_RAGING_BLOW",IF(Inputs!$B$3&gt;=134,MAX(0,IF(Inputs!$B$3&gt;=110,7,5)-5)*50,0),0)/100)*(1+(IF(Skills!A11="RAGING_BLOW",Inputs!$B$17+((C2444=TRUE)*(F2444-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2446=TRUE)*(F2446-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2436=TRUE)*F2436*IF(Inputs!$B$3&gt;=110,7,5))+((C2438=TRUE)*F2438*IF(AND(Inputs!$B$38&lt;&gt;"pvp",Inputs!$B$43&gt;0),(((R2438-1)*(Skills!T15*(1+(Inputs!$B$34+(ArtifactsInput!$M$7-ArtifactsInput!$M$7)*CHOOSE(ArtifactsInput!$N$7+1,6,7.2,8.4,9.6,10.8,12))/100))+MIN((Skills!T15*(1+(Inputs!$B$34+(ArtifactsInput!$M$7-ArtifactsInput!$M$7)*CHOOSE(ArtifactsInput!$N$7+1,6,7.2,8.4,9.6,10.8,12))/100)),MAX(0,Inputs!$B$43-((R2438-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I2434)</f>
        <v/>
      </c>
      <c r="L2434">
        <f>K2434*(MIN(Inputs!$B$22+((C2445=TRUE)*(F2445-Calc!F22)),(Inputs!$B$23+((C2447=TRUE)*(F2447-Calc!F24))+(IF(ArtifactsInput!$M$15,CHOOSE(ArtifactsInput!$N$15+1,25,30,35,40,45,50)/100*(Inputs!$B$11-Inputs!$B$11),0))))/100+(Inputs!$B$23+((C2447=TRUE)*(F2447-Calc!F24))+(IF(ArtifactsInput!$M$15,CHOOSE(ArtifactsInput!$N$15+1,25,30,35,40,45,50)/100*(Inputs!$B$11-Inputs!$B$11),0)))/100)/2</f>
        <v/>
      </c>
      <c r="M2434">
        <f>L2434*(1+(Inputs!$B$10+0+B2457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4">
        <f>L2434*(1-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2434*(MIN((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4">
        <f>(1-Summary!$B$11)*T2434+Summary!$B$11*V2434</f>
        <v/>
      </c>
      <c r="P2434">
        <f>IF(B2462=0,0,O2434/B2462)</f>
        <v/>
      </c>
      <c r="Q2434">
        <f>IFERROR(1/(IF(Inputs!$B$38="pvp",15,MAX(0.1,Skills!D11-IF(Skills!E11=TRUE,Inputs!$B$32,0)))*(1-IF(AND(ArtifactsInput!$M$27,Inputs!$B$4="Chapter Hunt"),CHOOSE(ArtifactsInput!$N$27+1,20,24,28,32,36,40),0)/100)),0)</f>
        <v/>
      </c>
      <c r="R2434">
        <f>IF(AND(Inputs!$B$38&lt;&gt;"pvp",Inputs!$B$43&gt;0),IF(MAX(0,Inputs!$B$43-B2459)&lt;=0,0,(INT(MAX(0,Inputs!$B$43-B2459)/(IF(Inputs!$B$38="pvp",15,MAX(0.1,Skills!D11-IF(Skills!E11=TRUE,Inputs!$B$32,0)))*(1-IF(AND(ArtifactsInput!$M$27,Inputs!$B$4="Chapter Hunt"),CHOOSE(ArtifactsInput!$N$27+1,20,24,28,32,36,40),0)/100)))+1)),0)</f>
        <v/>
      </c>
      <c r="S2434">
        <f>IFERROR(O2434/N2434,0)</f>
        <v/>
      </c>
      <c r="T2434">
        <f>IF(C2434,(H2434*N2434*IF(AND(Inputs!$B$38&lt;&gt;"pvp",Inputs!$B$43&gt;0),((Skills!G11*((R2434-1)*IF(Skills!H11&gt;0,Skills!I11/Skills!H11,1)+IF(Skills!H11&gt;0,MIN(Skills!I11,MAX(0,MAX(0,Inputs!$B$43-B2459)-((R2434-1)*(IF(Inputs!$B$38="pvp",15,MAX(0.1,Skills!D11-IF(Skills!E11=TRUE,Inputs!$B$32,0)))*(1-IF(AND(ArtifactsInput!$M$27,Inputs!$B$4="Chapter Hunt"),CHOOSE(ArtifactsInput!$N$27+1,20,24,28,32,36,40),0)/100)))))/Skills!H11,1)))/Inputs!$B$43),G2434*Q2434)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2434*(1-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2434*(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2434*(1-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2434*(MIN(100,(Inputs!$B$9+((C2449=TRUE)*(F2449-Calc!F26))+B2452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4">
        <f>IF(C2434,(H2434*N2434*IF(AND(Inputs!$B$38&lt;&gt;"pvp",Inputs!$B$43&gt;0),((Skills!G11*((R2434-1)*IF(Skills!H11&gt;0,Skills!I11/Skills!H11,1)+IF(Skills!H11&gt;0,MIN(Skills!I11,MAX(0,MAX(0,Inputs!$B$43-B2459)-((R2434-1)*(IF(Inputs!$B$38="pvp",15,MAX(0.1,Skills!D11-IF(Skills!E11=TRUE,Inputs!$B$32,0)))*(1-IF(AND(ArtifactsInput!$M$27,Inputs!$B$4="Chapter Hunt"),CHOOSE(ArtifactsInput!$N$27+1,20,24,28,32,36,40),0)/100)))))/Skills!H11,1)))/Inputs!$B$43),G2434*Q2434)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5">
      <c r="A2435">
        <f>Skills!A12</f>
        <v/>
      </c>
      <c r="B2435">
        <f>Skills!B12</f>
        <v/>
      </c>
      <c r="C2435">
        <f>Inputs!$B$3&gt;=100</f>
        <v/>
      </c>
      <c r="D2435">
        <f>IF(Skills!C12=1,60+Inputs!$B$25+Inputs!$B$29,IF(Skills!C12=2,90+Inputs!$B$26+Inputs!$B$29,IF(Skills!C12=3,120+Inputs!$B$27+Inputs!$B$29,MAX(0,(Inputs!$B$3-100)*3)+Inputs!$B$28+Inputs!$B$29)))</f>
        <v/>
      </c>
      <c r="E2435">
        <f>INDEX(FactorTable!$B$2:$Y$301, MATCH(ROUND(MIN(300,MAX(1,D2435)),0), FactorTable!$A$2:$A$301,0), Skills!M12+1)</f>
        <v/>
      </c>
      <c r="F2435">
        <f>IF(Skills!N12=TRUE,(Skills!L12/10)*(E2435/1000),Skills!L12/10)+Skills!O12</f>
        <v/>
      </c>
      <c r="G2435" t="inlineStr"/>
      <c r="H2435" t="inlineStr"/>
      <c r="I2435" t="inlineStr">
        <is>
          <t>1</t>
        </is>
      </c>
      <c r="J2435" t="inlineStr"/>
      <c r="K2435" t="inlineStr"/>
      <c r="L2435" t="inlineStr"/>
      <c r="M2435" t="inlineStr"/>
      <c r="N2435" t="inlineStr"/>
      <c r="O2435" t="inlineStr"/>
      <c r="P2435" t="inlineStr"/>
      <c r="Q2435" t="inlineStr"/>
      <c r="R2435" t="inlineStr"/>
      <c r="S2435" t="inlineStr"/>
    </row>
    <row r="2436">
      <c r="A2436">
        <f>Skills!A13</f>
        <v/>
      </c>
      <c r="B2436">
        <f>Skills!B13</f>
        <v/>
      </c>
      <c r="C2436">
        <f>Inputs!$B$3&gt;=45</f>
        <v/>
      </c>
      <c r="D2436">
        <f>IF(Skills!C13=1,60+Inputs!$B$25+Inputs!$B$29,IF(Skills!C13=2,90+Inputs!$B$26+Inputs!$B$29,IF(Skills!C13=3,120+Inputs!$B$27+Inputs!$B$29,MAX(0,(Inputs!$B$3-100)*3)+Inputs!$B$28+Inputs!$B$29)))</f>
        <v/>
      </c>
      <c r="E2436">
        <f>INDEX(FactorTable!$B$2:$Y$301, MATCH(ROUND(MIN(300,MAX(1,D2436)),0), FactorTable!$A$2:$A$301,0), Skills!M13+1)</f>
        <v/>
      </c>
      <c r="F2436">
        <f>IF(Skills!N13=TRUE,(Skills!L13/10)*(E2436/1000),Skills!L13/10)+Skills!O13</f>
        <v/>
      </c>
      <c r="G2436">
        <f>Skills!G13*IF(Skills!H13&gt;0,Skills!I13/Skills!H13,1)</f>
        <v/>
      </c>
      <c r="H2436">
        <f>1-(1-Skills!J13/100)^Skills!K13</f>
        <v/>
      </c>
      <c r="I2436" t="inlineStr">
        <is>
          <t>1</t>
        </is>
      </c>
      <c r="J2436" t="inlineStr"/>
      <c r="K2436" t="inlineStr"/>
      <c r="L2436" t="inlineStr"/>
      <c r="M2436" t="inlineStr"/>
      <c r="N2436" t="inlineStr"/>
      <c r="O2436">
        <f>(1-Summary!$B$11)*T2436+Summary!$B$11*V2436</f>
        <v/>
      </c>
      <c r="P2436">
        <f>IF(B2462=0,0,O2436/B2462)</f>
        <v/>
      </c>
      <c r="Q2436" t="n">
        <v>0</v>
      </c>
      <c r="R2436" t="n">
        <v>0</v>
      </c>
      <c r="S2436">
        <f>IFERROR(O2436/N2436,0)</f>
        <v/>
      </c>
      <c r="T2436" t="n">
        <v>0</v>
      </c>
      <c r="V2436" t="n">
        <v>0</v>
      </c>
    </row>
    <row r="2437">
      <c r="A2437">
        <f>Skills!A14</f>
        <v/>
      </c>
      <c r="B2437">
        <f>Skills!B14</f>
        <v/>
      </c>
      <c r="C2437">
        <f>Inputs!$B$3&gt;=75</f>
        <v/>
      </c>
      <c r="D2437">
        <f>IF(Skills!C14=1,60+Inputs!$B$25+Inputs!$B$29,IF(Skills!C14=2,90+Inputs!$B$26+Inputs!$B$29,IF(Skills!C14=3,120+Inputs!$B$27+Inputs!$B$29,MAX(0,(Inputs!$B$3-100)*3)+Inputs!$B$28+Inputs!$B$29)))</f>
        <v/>
      </c>
      <c r="E2437">
        <f>INDEX(FactorTable!$B$2:$Y$301, MATCH(ROUND(MIN(300,MAX(1,D2437)),0), FactorTable!$A$2:$A$301,0), Skills!M14+1)</f>
        <v/>
      </c>
      <c r="F2437">
        <f>IF(Skills!N14=TRUE,(Skills!L14/10)*(E2437/1000),Skills!L14/10)+Skills!O14</f>
        <v/>
      </c>
      <c r="G2437">
        <f>Skills!G14*IF(Skills!H14&gt;0,Skills!I14/Skills!H14,1)</f>
        <v/>
      </c>
      <c r="H2437">
        <f>1-(1-Skills!J14/100)^Skills!K14</f>
        <v/>
      </c>
      <c r="I2437" t="inlineStr">
        <is>
          <t>1</t>
        </is>
      </c>
      <c r="J2437" t="inlineStr"/>
      <c r="K2437" t="inlineStr"/>
      <c r="L2437" t="inlineStr"/>
      <c r="M2437" t="inlineStr"/>
      <c r="N2437" t="inlineStr"/>
      <c r="O2437">
        <f>(1-Summary!$B$11)*T2437+Summary!$B$11*V2437</f>
        <v/>
      </c>
      <c r="P2437">
        <f>IF(B2462=0,0,O2437/B2462)</f>
        <v/>
      </c>
      <c r="Q2437" t="n">
        <v>0</v>
      </c>
      <c r="R2437" t="n">
        <v>0</v>
      </c>
      <c r="S2437">
        <f>IFERROR(O2437/N2437,0)</f>
        <v/>
      </c>
      <c r="T2437" t="n">
        <v>0</v>
      </c>
      <c r="V2437" t="n">
        <v>0</v>
      </c>
    </row>
    <row r="2438">
      <c r="A2438">
        <f>Skills!A15</f>
        <v/>
      </c>
      <c r="B2438">
        <f>Skills!B15</f>
        <v/>
      </c>
      <c r="C2438">
        <f>Inputs!$B$3&gt;=40</f>
        <v/>
      </c>
      <c r="D2438">
        <f>IF(Skills!C15=1,60+Inputs!$B$25+Inputs!$B$29,IF(Skills!C15=2,90+Inputs!$B$26+Inputs!$B$29,IF(Skills!C15=3,120+Inputs!$B$27+Inputs!$B$29,MAX(0,(Inputs!$B$3-100)*3)+Inputs!$B$28+Inputs!$B$29)))</f>
        <v/>
      </c>
      <c r="E2438">
        <f>INDEX(FactorTable!$B$2:$Y$301, MATCH(ROUND(MIN(300,MAX(1,D2438)),0), FactorTable!$A$2:$A$301,0), Skills!M15+1)</f>
        <v/>
      </c>
      <c r="F2438">
        <f>IF(Skills!N15=TRUE,(Skills!L15/10)*(E2438/1000),Skills!L15/10)+Skills!O15</f>
        <v/>
      </c>
      <c r="G2438">
        <f>Skills!G15*IF(Skills!H15&gt;0,Skills!I15/Skills!H15,1)</f>
        <v/>
      </c>
      <c r="H2438">
        <f>1-(1-Skills!J15/100)^Skills!K15</f>
        <v/>
      </c>
      <c r="I2438" t="inlineStr">
        <is>
          <t>1</t>
        </is>
      </c>
      <c r="J2438" t="inlineStr"/>
      <c r="K2438" t="inlineStr"/>
      <c r="L2438" t="inlineStr"/>
      <c r="M2438" t="inlineStr"/>
      <c r="N2438" t="inlineStr"/>
      <c r="O2438">
        <f>(1-Summary!$B$11)*T2438+Summary!$B$11*V2438</f>
        <v/>
      </c>
      <c r="P2438">
        <f>IF(B2462=0,0,O2438/B2462)</f>
        <v/>
      </c>
      <c r="Q2438">
        <f>IFERROR(1/(IF(Inputs!$B$38="pvp",15,MAX(0.1,Skills!D15-IF(Skills!E15=TRUE,Inputs!$B$32,0)))*(1-IF(AND(ArtifactsInput!$M$27,Inputs!$B$4="Chapter Hunt"),CHOOSE(ArtifactsInput!$N$27+1,20,24,28,32,36,40),0)/100)),0)</f>
        <v/>
      </c>
      <c r="R2438">
        <f>IF(AND(Inputs!$B$38&lt;&gt;"pvp",Inputs!$B$43&gt;0),IF(Inputs!$B$43&lt;=0,0,(INT(Inputs!$B$43/(IF(Inputs!$B$38="pvp",15,MAX(0.1,Skills!D15-IF(Skills!E15=TRUE,Inputs!$B$32,0)))*(1-IF(AND(ArtifactsInput!$M$27,Inputs!$B$4="Chapter Hunt"),CHOOSE(ArtifactsInput!$N$27+1,20,24,28,32,36,40),0)/100)))+1)),0)</f>
        <v/>
      </c>
      <c r="S2438">
        <f>IFERROR(O2438/N2438,0)</f>
        <v/>
      </c>
      <c r="T2438" t="n">
        <v>0</v>
      </c>
      <c r="V2438" t="n">
        <v>0</v>
      </c>
    </row>
    <row r="2439">
      <c r="A2439">
        <f>Skills!A16</f>
        <v/>
      </c>
      <c r="B2439">
        <f>Skills!B16</f>
        <v/>
      </c>
      <c r="C2439">
        <f>Inputs!$B$3&gt;=66</f>
        <v/>
      </c>
      <c r="D2439">
        <f>IF(Skills!C16=1,60+Inputs!$B$25+Inputs!$B$29,IF(Skills!C16=2,90+Inputs!$B$26+Inputs!$B$29,IF(Skills!C16=3,120+Inputs!$B$27+Inputs!$B$29,MAX(0,(Inputs!$B$3-100)*3)+Inputs!$B$28+Inputs!$B$29)))</f>
        <v/>
      </c>
      <c r="E2439">
        <f>INDEX(FactorTable!$B$2:$Y$301, MATCH(ROUND(MIN(300,MAX(1,D2439)),0), FactorTable!$A$2:$A$301,0), Skills!M16+1)</f>
        <v/>
      </c>
      <c r="F2439">
        <f>IF(Skills!N16=TRUE,(Skills!L16/10)*(E2439/1000),Skills!L16/10)+Skills!O16</f>
        <v/>
      </c>
      <c r="G2439">
        <f>Skills!G16*IF(Skills!H16&gt;0,Skills!I16/Skills!H16,1)</f>
        <v/>
      </c>
      <c r="H2439">
        <f>1-(1-Skills!J16/100)^Skills!K16</f>
        <v/>
      </c>
      <c r="I2439" t="inlineStr">
        <is>
          <t>1</t>
        </is>
      </c>
      <c r="J2439" t="inlineStr"/>
      <c r="K2439" t="inlineStr"/>
      <c r="L2439" t="inlineStr"/>
      <c r="M2439" t="inlineStr"/>
      <c r="N2439" t="inlineStr"/>
      <c r="O2439">
        <f>(1-Summary!$B$11)*T2439+Summary!$B$11*V2439</f>
        <v/>
      </c>
      <c r="P2439">
        <f>IF(B2462=0,0,O2439/B2462)</f>
        <v/>
      </c>
      <c r="Q2439">
        <f>IFERROR(1/(IF(Inputs!$B$38="pvp",15,MAX(0.1,Skills!D16-IF(Skills!E16=TRUE,Inputs!$B$32,0)))*(1-IF(AND(ArtifactsInput!$M$27,Inputs!$B$4="Chapter Hunt"),CHOOSE(ArtifactsInput!$N$27+1,20,24,28,32,36,40),0)/100)),0)</f>
        <v/>
      </c>
      <c r="R2439">
        <f>IF(AND(Inputs!$B$38&lt;&gt;"pvp",Inputs!$B$43&gt;0),IF(Inputs!$B$43&lt;=0,0,(INT(Inputs!$B$43/(IF(Inputs!$B$38="pvp",15,MAX(0.1,Skills!D16-IF(Skills!E16=TRUE,Inputs!$B$32,0)))*(1-IF(AND(ArtifactsInput!$M$27,Inputs!$B$4="Chapter Hunt"),CHOOSE(ArtifactsInput!$N$27+1,20,24,28,32,36,40),0)/100)))+1)),0)</f>
        <v/>
      </c>
      <c r="S2439">
        <f>IFERROR(O2439/N2439,0)</f>
        <v/>
      </c>
      <c r="T2439" t="n">
        <v>0</v>
      </c>
      <c r="V2439" t="n">
        <v>0</v>
      </c>
    </row>
    <row r="2440">
      <c r="A2440">
        <f>Skills!A17</f>
        <v/>
      </c>
      <c r="B2440">
        <f>Skills!B17</f>
        <v/>
      </c>
      <c r="C2440">
        <f>Inputs!$B$3&gt;=115</f>
        <v/>
      </c>
      <c r="D2440">
        <f>IF(Skills!C17=1,60+Inputs!$B$25+Inputs!$B$29,IF(Skills!C17=2,90+Inputs!$B$26+Inputs!$B$29,IF(Skills!C17=3,120+Inputs!$B$27+Inputs!$B$29,MAX(0,(Inputs!$B$3-100)*3)+Inputs!$B$28+Inputs!$B$29)))</f>
        <v/>
      </c>
      <c r="E2440">
        <f>INDEX(FactorTable!$B$2:$Y$301, MATCH(ROUND(MIN(300,MAX(1,D2440)),0), FactorTable!$A$2:$A$301,0), Skills!M17+1)</f>
        <v/>
      </c>
      <c r="F2440">
        <f>IF(Skills!N17=TRUE,(Skills!L17/10)*(E2440/1000),Skills!L17/10)+Skills!O17</f>
        <v/>
      </c>
      <c r="G2440">
        <f>Skills!G17*IF(Skills!H17&gt;0,Skills!I17/Skills!H17,1)</f>
        <v/>
      </c>
      <c r="H2440">
        <f>1-(1-Skills!J17/100)^Skills!K17</f>
        <v/>
      </c>
      <c r="I2440" t="inlineStr">
        <is>
          <t>1</t>
        </is>
      </c>
      <c r="J2440" t="inlineStr"/>
      <c r="K2440" t="inlineStr"/>
      <c r="L2440" t="inlineStr"/>
      <c r="M2440" t="inlineStr"/>
      <c r="N2440" t="inlineStr"/>
      <c r="O2440">
        <f>(1-Summary!$B$11)*T2440+Summary!$B$11*V2440</f>
        <v/>
      </c>
      <c r="P2440">
        <f>IF(B2462=0,0,O2440/B2462)</f>
        <v/>
      </c>
      <c r="Q2440">
        <f>IFERROR(1/(IF(Inputs!$B$38="pvp",15,MAX(0.1,Skills!D17-IF(Skills!E17=TRUE,Inputs!$B$32,0)))*(1-IF(AND(ArtifactsInput!$M$27,Inputs!$B$4="Chapter Hunt"),CHOOSE(ArtifactsInput!$N$27+1,20,24,28,32,36,40),0)/100)),0)</f>
        <v/>
      </c>
      <c r="R2440">
        <f>IF(AND(Inputs!$B$38&lt;&gt;"pvp",Inputs!$B$43&gt;0),IF(Inputs!$B$43&lt;=0,0,(INT(Inputs!$B$43/(IF(Inputs!$B$38="pvp",15,MAX(0.1,Skills!D17-IF(Skills!E17=TRUE,Inputs!$B$32,0)))*(1-IF(AND(ArtifactsInput!$M$27,Inputs!$B$4="Chapter Hunt"),CHOOSE(ArtifactsInput!$N$27+1,20,24,28,32,36,40),0)/100)))+1)),0)</f>
        <v/>
      </c>
      <c r="S2440">
        <f>IFERROR(O2440/N2440,0)</f>
        <v/>
      </c>
      <c r="T2440" t="n">
        <v>0</v>
      </c>
      <c r="V2440" t="n">
        <v>0</v>
      </c>
    </row>
    <row r="2441">
      <c r="A2441">
        <f>Skills!A18</f>
        <v/>
      </c>
      <c r="B2441">
        <f>Skills!B18</f>
        <v/>
      </c>
      <c r="C2441">
        <f>Inputs!$B$3&gt;=115</f>
        <v/>
      </c>
      <c r="D2441">
        <f>IF(Skills!C18=1,60+Inputs!$B$25+Inputs!$B$29,IF(Skills!C18=2,90+Inputs!$B$26+Inputs!$B$29,IF(Skills!C18=3,120+Inputs!$B$27+Inputs!$B$29,MAX(0,(Inputs!$B$3-100)*3)+Inputs!$B$28+Inputs!$B$29)))</f>
        <v/>
      </c>
      <c r="E2441">
        <f>INDEX(FactorTable!$B$2:$Y$301, MATCH(ROUND(MIN(300,MAX(1,D2441)),0), FactorTable!$A$2:$A$301,0), Skills!M18+1)</f>
        <v/>
      </c>
      <c r="F2441">
        <f>IF(Skills!N18=TRUE,(Skills!L18/10)*(E2441/1000),Skills!L18/10)+Skills!O18</f>
        <v/>
      </c>
      <c r="G2441">
        <f>Skills!G18*IF(Skills!H18&gt;0,Skills!I18/Skills!H18,1)</f>
        <v/>
      </c>
      <c r="H2441">
        <f>1-(1-Skills!J18/100)^Skills!K18</f>
        <v/>
      </c>
      <c r="I2441" t="inlineStr">
        <is>
          <t>1</t>
        </is>
      </c>
      <c r="J2441" t="inlineStr"/>
      <c r="K2441" t="inlineStr"/>
      <c r="L2441" t="inlineStr"/>
      <c r="M2441" t="inlineStr"/>
      <c r="N2441" t="inlineStr"/>
      <c r="O2441">
        <f>(1-Summary!$B$11)*T2441+Summary!$B$11*V2441</f>
        <v/>
      </c>
      <c r="P2441">
        <f>IF(B2462=0,0,O2441/B2462)</f>
        <v/>
      </c>
      <c r="Q2441">
        <f>IFERROR(1/(IF(Inputs!$B$38="pvp",15,MAX(0.1,Skills!D18-IF(Skills!E18=TRUE,Inputs!$B$32,0)))*(1-IF(AND(ArtifactsInput!$M$27,Inputs!$B$4="Chapter Hunt"),CHOOSE(ArtifactsInput!$N$27+1,20,24,28,32,36,40),0)/100)),0)</f>
        <v/>
      </c>
      <c r="R2441">
        <f>IF(AND(Inputs!$B$38&lt;&gt;"pvp",Inputs!$B$43&gt;0),IF(Inputs!$B$43&lt;=0,0,(INT(Inputs!$B$43/(IF(Inputs!$B$38="pvp",15,MAX(0.1,Skills!D18-IF(Skills!E18=TRUE,Inputs!$B$32,0)))*(1-IF(AND(ArtifactsInput!$M$27,Inputs!$B$4="Chapter Hunt"),CHOOSE(ArtifactsInput!$N$27+1,20,24,28,32,36,40),0)/100)))+1)),0)</f>
        <v/>
      </c>
      <c r="S2441">
        <f>IFERROR(O2441/N2441,0)</f>
        <v/>
      </c>
      <c r="T2441" t="n">
        <v>0</v>
      </c>
      <c r="V2441" t="n">
        <v>0</v>
      </c>
    </row>
    <row r="2442">
      <c r="A2442">
        <f>Skills!A19</f>
        <v/>
      </c>
      <c r="B2442">
        <f>Skills!B19</f>
        <v/>
      </c>
      <c r="C2442">
        <f>TRUE</f>
        <v/>
      </c>
      <c r="D2442">
        <f>IF(Skills!C19=1,60+Inputs!$B$25+Inputs!$B$29,IF(Skills!C19=2,90+Inputs!$B$26+Inputs!$B$29,IF(Skills!C19=3,120+Inputs!$B$27+Inputs!$B$29,MAX(0,(Inputs!$B$3-100)*3)+Inputs!$B$28+Inputs!$B$29)))</f>
        <v/>
      </c>
      <c r="E2442">
        <f>INDEX(FactorTable!$B$2:$Y$301, MATCH(ROUND(MIN(300,MAX(1,D2442)),0), FactorTable!$A$2:$A$301,0), Skills!M19+1)</f>
        <v/>
      </c>
      <c r="F2442">
        <f>IF(Skills!N19=TRUE,(Skills!L19/10)*(E2442/1000),Skills!L19/10)+Skills!O19</f>
        <v/>
      </c>
      <c r="G2442">
        <f>Skills!G19*IF(Skills!H19&gt;0,Skills!I19/Skills!H19,1)</f>
        <v/>
      </c>
      <c r="H2442">
        <f>1-(1-Skills!J19/100)^Skills!K19</f>
        <v/>
      </c>
      <c r="I2442" t="inlineStr">
        <is>
          <t>1</t>
        </is>
      </c>
      <c r="J2442" t="inlineStr"/>
      <c r="K2442" t="inlineStr"/>
      <c r="L2442" t="inlineStr"/>
      <c r="M2442" t="inlineStr"/>
      <c r="N2442" t="inlineStr"/>
      <c r="O2442">
        <f>(1-Summary!$B$11)*T2442+Summary!$B$11*V2442</f>
        <v/>
      </c>
      <c r="P2442">
        <f>IF(B2462=0,0,O2442/B2462)</f>
        <v/>
      </c>
      <c r="Q2442">
        <f>IFERROR(1/(IF(Inputs!$B$38="pvp",15,MAX(0.1,Skills!D19-IF(Skills!E19=TRUE,Inputs!$B$32,0)))*(1-IF(AND(ArtifactsInput!$M$27,Inputs!$B$4="Chapter Hunt"),CHOOSE(ArtifactsInput!$N$27+1,20,24,28,32,36,40),0)/100)),0)</f>
        <v/>
      </c>
      <c r="R2442">
        <f>IF(AND(Inputs!$B$38&lt;&gt;"pvp",Inputs!$B$43&gt;0),IF(Inputs!$B$43&lt;=0,0,(INT(Inputs!$B$43/(IF(Inputs!$B$38="pvp",15,MAX(0.1,Skills!D19-IF(Skills!E19=TRUE,Inputs!$B$32,0)))*(1-IF(AND(ArtifactsInput!$M$27,Inputs!$B$4="Chapter Hunt"),CHOOSE(ArtifactsInput!$N$27+1,20,24,28,32,36,40),0)/100)))+1)),0)</f>
        <v/>
      </c>
      <c r="S2442">
        <f>IFERROR(O2442/N2442,0)</f>
        <v/>
      </c>
      <c r="T2442" t="n">
        <v>0</v>
      </c>
      <c r="V2442" t="n">
        <v>0</v>
      </c>
    </row>
    <row r="2443">
      <c r="A2443">
        <f>Skills!A20</f>
        <v/>
      </c>
      <c r="B2443">
        <f>Skills!B20</f>
        <v/>
      </c>
      <c r="C2443">
        <f>Inputs!$B$3&gt;=33</f>
        <v/>
      </c>
      <c r="D2443">
        <f>IF(Skills!C20=1,60+Inputs!$B$25+Inputs!$B$29,IF(Skills!C20=2,90+Inputs!$B$26+Inputs!$B$29,IF(Skills!C20=3,120+Inputs!$B$27+Inputs!$B$29,MAX(0,(Inputs!$B$3-100)*3)+Inputs!$B$28+Inputs!$B$29)))</f>
        <v/>
      </c>
      <c r="E2443">
        <f>INDEX(FactorTable!$B$2:$Y$301, MATCH(ROUND(MIN(300,MAX(1,D2443)),0), FactorTable!$A$2:$A$301,0), Skills!M20+1)</f>
        <v/>
      </c>
      <c r="F2443">
        <f>IF(Skills!N20=TRUE,(Skills!L20/10)*(E2443/1000),Skills!L20/10)+Skills!O20</f>
        <v/>
      </c>
      <c r="G2443">
        <f>Skills!G20*IF(Skills!H20&gt;0,Skills!I20/Skills!H20,1)</f>
        <v/>
      </c>
      <c r="H2443">
        <f>1-(1-Skills!J20/100)^Skills!K20</f>
        <v/>
      </c>
      <c r="I2443" t="inlineStr">
        <is>
          <t>1</t>
        </is>
      </c>
      <c r="J2443" t="inlineStr"/>
      <c r="K2443" t="inlineStr"/>
      <c r="L2443" t="inlineStr"/>
      <c r="M2443" t="inlineStr"/>
      <c r="N2443" t="inlineStr"/>
      <c r="O2443">
        <f>(1-Summary!$B$11)*T2443+Summary!$B$11*V2443</f>
        <v/>
      </c>
      <c r="P2443">
        <f>IF(B2462=0,0,O2443/B2462)</f>
        <v/>
      </c>
      <c r="Q2443" t="n">
        <v>0</v>
      </c>
      <c r="R2443" t="n">
        <v>0</v>
      </c>
      <c r="S2443">
        <f>IFERROR(O2443/N2443,0)</f>
        <v/>
      </c>
      <c r="T2443" t="n">
        <v>0</v>
      </c>
      <c r="V2443" t="n">
        <v>0</v>
      </c>
    </row>
    <row r="2444">
      <c r="A2444">
        <f>Skills!A21</f>
        <v/>
      </c>
      <c r="B2444">
        <f>Skills!B21</f>
        <v/>
      </c>
      <c r="C2444">
        <f>Inputs!$B$3&gt;=38</f>
        <v/>
      </c>
      <c r="D2444">
        <f>IF(Skills!C21=1,60+Inputs!$B$25+Inputs!$B$29,IF(Skills!C21=2,90+Inputs!$B$26+Inputs!$B$29,IF(Skills!C21=3,120+Inputs!$B$27+Inputs!$B$29,MAX(0,(Inputs!$B$3-100)*3)+Inputs!$B$28+Inputs!$B$29)))</f>
        <v/>
      </c>
      <c r="E2444">
        <f>INDEX(FactorTable!$B$2:$Y$301, MATCH(ROUND(MIN(300,MAX(1,D2444)),0), FactorTable!$A$2:$A$301,0), Skills!M21+1)</f>
        <v/>
      </c>
      <c r="F2444">
        <f>IF(Skills!N21=TRUE,(Skills!L21/10)*(E2444/1000),Skills!L21/10)+Skills!O21</f>
        <v/>
      </c>
      <c r="G2444">
        <f>Skills!G21*IF(Skills!H21&gt;0,Skills!I21/Skills!H21,1)</f>
        <v/>
      </c>
      <c r="H2444">
        <f>1-(1-Skills!J21/100)^Skills!K21</f>
        <v/>
      </c>
      <c r="I2444" t="inlineStr">
        <is>
          <t>1</t>
        </is>
      </c>
      <c r="J2444" t="inlineStr"/>
      <c r="K2444" t="inlineStr"/>
      <c r="L2444" t="inlineStr"/>
      <c r="M2444" t="inlineStr"/>
      <c r="N2444" t="inlineStr"/>
      <c r="O2444">
        <f>(1-Summary!$B$11)*T2444+Summary!$B$11*V2444</f>
        <v/>
      </c>
      <c r="P2444">
        <f>IF(B2462=0,0,O2444/B2462)</f>
        <v/>
      </c>
      <c r="Q2444" t="n">
        <v>0</v>
      </c>
      <c r="R2444" t="n">
        <v>0</v>
      </c>
      <c r="S2444">
        <f>IFERROR(O2444/N2444,0)</f>
        <v/>
      </c>
      <c r="T2444" t="n">
        <v>0</v>
      </c>
      <c r="V2444" t="n">
        <v>0</v>
      </c>
    </row>
    <row r="2445">
      <c r="A2445">
        <f>Skills!A22</f>
        <v/>
      </c>
      <c r="B2445">
        <f>Skills!B22</f>
        <v/>
      </c>
      <c r="C2445">
        <f>Inputs!$B$3&gt;=43</f>
        <v/>
      </c>
      <c r="D2445">
        <f>IF(Skills!C22=1,60+Inputs!$B$25+Inputs!$B$29,IF(Skills!C22=2,90+Inputs!$B$26+Inputs!$B$29,IF(Skills!C22=3,120+Inputs!$B$27+Inputs!$B$29,MAX(0,(Inputs!$B$3-100)*3)+Inputs!$B$28+Inputs!$B$29)))</f>
        <v/>
      </c>
      <c r="E2445">
        <f>INDEX(FactorTable!$B$2:$Y$301, MATCH(ROUND(MIN(300,MAX(1,D2445)),0), FactorTable!$A$2:$A$301,0), Skills!M22+1)</f>
        <v/>
      </c>
      <c r="F2445">
        <f>IF(Skills!N22=TRUE,(Skills!L22/10)*(E2445/1000),Skills!L22/10)+Skills!O22</f>
        <v/>
      </c>
      <c r="G2445">
        <f>Skills!G22*IF(Skills!H22&gt;0,Skills!I22/Skills!H22,1)</f>
        <v/>
      </c>
      <c r="H2445">
        <f>1-(1-Skills!J22/100)^Skills!K22</f>
        <v/>
      </c>
      <c r="I2445" t="inlineStr">
        <is>
          <t>1</t>
        </is>
      </c>
      <c r="J2445" t="inlineStr"/>
      <c r="K2445" t="inlineStr"/>
      <c r="L2445" t="inlineStr"/>
      <c r="M2445" t="inlineStr"/>
      <c r="N2445" t="inlineStr"/>
      <c r="O2445">
        <f>(1-Summary!$B$11)*T2445+Summary!$B$11*V2445</f>
        <v/>
      </c>
      <c r="P2445">
        <f>IF(B2462=0,0,O2445/B2462)</f>
        <v/>
      </c>
      <c r="Q2445" t="n">
        <v>0</v>
      </c>
      <c r="R2445" t="n">
        <v>0</v>
      </c>
      <c r="S2445">
        <f>IFERROR(O2445/N2445,0)</f>
        <v/>
      </c>
      <c r="T2445" t="n">
        <v>0</v>
      </c>
      <c r="V2445" t="n">
        <v>0</v>
      </c>
    </row>
    <row r="2446">
      <c r="A2446">
        <f>Skills!A23</f>
        <v/>
      </c>
      <c r="B2446">
        <f>Skills!B23</f>
        <v/>
      </c>
      <c r="C2446">
        <f>Inputs!$B$3&gt;=120</f>
        <v/>
      </c>
      <c r="D2446">
        <f>IF(Skills!C23=1,60+Inputs!$B$25+Inputs!$B$29,IF(Skills!C23=2,90+Inputs!$B$26+Inputs!$B$29,IF(Skills!C23=3,120+Inputs!$B$27+Inputs!$B$29,MAX(0,(Inputs!$B$3-100)*3)+Inputs!$B$28+Inputs!$B$29)))</f>
        <v/>
      </c>
      <c r="E2446">
        <f>INDEX(FactorTable!$B$2:$Y$301, MATCH(ROUND(MIN(300,MAX(1,D2446)),0), FactorTable!$A$2:$A$301,0), Skills!M23+1)</f>
        <v/>
      </c>
      <c r="F2446">
        <f>IF(Skills!N23=TRUE,(Skills!L23/10)*(E2446/1000),Skills!L23/10)+Skills!O23</f>
        <v/>
      </c>
      <c r="G2446">
        <f>Skills!G23*IF(Skills!H23&gt;0,Skills!I23/Skills!H23,1)</f>
        <v/>
      </c>
      <c r="H2446">
        <f>1-(1-Skills!J23/100)^Skills!K23</f>
        <v/>
      </c>
      <c r="I2446" t="inlineStr">
        <is>
          <t>1</t>
        </is>
      </c>
      <c r="J2446" t="inlineStr"/>
      <c r="K2446" t="inlineStr"/>
      <c r="L2446" t="inlineStr"/>
      <c r="M2446" t="inlineStr"/>
      <c r="N2446" t="inlineStr"/>
      <c r="O2446">
        <f>(1-Summary!$B$11)*T2446+Summary!$B$11*V2446</f>
        <v/>
      </c>
      <c r="P2446">
        <f>IF(B2462=0,0,O2446/B2462)</f>
        <v/>
      </c>
      <c r="Q2446" t="n">
        <v>0</v>
      </c>
      <c r="R2446" t="n">
        <v>0</v>
      </c>
      <c r="S2446">
        <f>IFERROR(O2446/N2446,0)</f>
        <v/>
      </c>
      <c r="T2446" t="n">
        <v>0</v>
      </c>
      <c r="V2446" t="n">
        <v>0</v>
      </c>
    </row>
    <row r="2447">
      <c r="A2447">
        <f>Skills!A24</f>
        <v/>
      </c>
      <c r="B2447">
        <f>Skills!B24</f>
        <v/>
      </c>
      <c r="C2447">
        <f>Inputs!$B$3&gt;=120</f>
        <v/>
      </c>
      <c r="D2447">
        <f>IF(Skills!C24=1,60+Inputs!$B$25+Inputs!$B$29,IF(Skills!C24=2,90+Inputs!$B$26+Inputs!$B$29,IF(Skills!C24=3,120+Inputs!$B$27+Inputs!$B$29,MAX(0,(Inputs!$B$3-100)*3)+Inputs!$B$28+Inputs!$B$29)))</f>
        <v/>
      </c>
      <c r="E2447">
        <f>INDEX(FactorTable!$B$2:$Y$301, MATCH(ROUND(MIN(300,MAX(1,D2447)),0), FactorTable!$A$2:$A$301,0), Skills!M24+1)</f>
        <v/>
      </c>
      <c r="F2447">
        <f>IF(Skills!N24=TRUE,(Skills!L24/10)*(E2447/1000),Skills!L24/10)+Skills!O24</f>
        <v/>
      </c>
      <c r="G2447">
        <f>Skills!G24*IF(Skills!H24&gt;0,Skills!I24/Skills!H24,1)</f>
        <v/>
      </c>
      <c r="H2447">
        <f>1-(1-Skills!J24/100)^Skills!K24</f>
        <v/>
      </c>
      <c r="I2447" t="inlineStr">
        <is>
          <t>1</t>
        </is>
      </c>
      <c r="J2447" t="inlineStr"/>
      <c r="K2447" t="inlineStr"/>
      <c r="L2447" t="inlineStr"/>
      <c r="M2447" t="inlineStr"/>
      <c r="N2447" t="inlineStr"/>
      <c r="O2447">
        <f>(1-Summary!$B$11)*T2447+Summary!$B$11*V2447</f>
        <v/>
      </c>
      <c r="P2447">
        <f>IF(B2462=0,0,O2447/B2462)</f>
        <v/>
      </c>
      <c r="Q2447" t="n">
        <v>0</v>
      </c>
      <c r="R2447" t="n">
        <v>0</v>
      </c>
      <c r="S2447">
        <f>IFERROR(O2447/N2447,0)</f>
        <v/>
      </c>
      <c r="T2447" t="n">
        <v>0</v>
      </c>
      <c r="V2447" t="n">
        <v>0</v>
      </c>
    </row>
    <row r="2448">
      <c r="A2448">
        <f>Skills!A25</f>
        <v/>
      </c>
      <c r="B2448">
        <f>Skills!B25</f>
        <v/>
      </c>
      <c r="C2448">
        <f>Inputs!$B$3&gt;=125</f>
        <v/>
      </c>
      <c r="D2448">
        <f>IF(Skills!C25=1,60+Inputs!$B$25+Inputs!$B$29,IF(Skills!C25=2,90+Inputs!$B$26+Inputs!$B$29,IF(Skills!C25=3,120+Inputs!$B$27+Inputs!$B$29,MAX(0,(Inputs!$B$3-100)*3)+Inputs!$B$28+Inputs!$B$29)))</f>
        <v/>
      </c>
      <c r="E2448">
        <f>INDEX(FactorTable!$B$2:$Y$301, MATCH(ROUND(MIN(300,MAX(1,D2448)),0), FactorTable!$A$2:$A$301,0), Skills!M25+1)</f>
        <v/>
      </c>
      <c r="F2448">
        <f>IF(Skills!N25=TRUE,(Skills!L25/10)*(E2448/1000),Skills!L25/10)+Skills!O25</f>
        <v/>
      </c>
      <c r="G2448">
        <f>Skills!G25*IF(Skills!H25&gt;0,Skills!I25/Skills!H25,1)</f>
        <v/>
      </c>
      <c r="H2448">
        <f>1-(1-Skills!J25/100)^Skills!K25</f>
        <v/>
      </c>
      <c r="I2448" t="inlineStr">
        <is>
          <t>1</t>
        </is>
      </c>
      <c r="J2448" t="inlineStr"/>
      <c r="K2448" t="inlineStr"/>
      <c r="L2448" t="inlineStr"/>
      <c r="M2448" t="inlineStr"/>
      <c r="N2448" t="inlineStr"/>
      <c r="O2448">
        <f>(1-Summary!$B$11)*T2448+Summary!$B$11*V2448</f>
        <v/>
      </c>
      <c r="P2448">
        <f>IF(B2462=0,0,O2448/B2462)</f>
        <v/>
      </c>
      <c r="Q2448" t="n">
        <v>0</v>
      </c>
      <c r="R2448" t="n">
        <v>0</v>
      </c>
      <c r="S2448">
        <f>IFERROR(O2448/N2448,0)</f>
        <v/>
      </c>
      <c r="T2448" t="n">
        <v>0</v>
      </c>
      <c r="V2448" t="n">
        <v>0</v>
      </c>
    </row>
    <row r="2449">
      <c r="A2449">
        <f>Skills!A26</f>
        <v/>
      </c>
      <c r="B2449">
        <f>Skills!B26</f>
        <v/>
      </c>
      <c r="C2449">
        <f>Inputs!$B$3&gt;=72</f>
        <v/>
      </c>
      <c r="D2449">
        <f>IF(Skills!C26=1,60+Inputs!$B$25+Inputs!$B$29,IF(Skills!C26=2,90+Inputs!$B$26+Inputs!$B$29,IF(Skills!C26=3,120+Inputs!$B$27+Inputs!$B$29,MAX(0,(Inputs!$B$3-100)*3)+Inputs!$B$28+Inputs!$B$29)))</f>
        <v/>
      </c>
      <c r="E2449">
        <f>INDEX(FactorTable!$B$2:$Y$301, MATCH(ROUND(MIN(300,MAX(1,D2449)),0), FactorTable!$A$2:$A$301,0), Skills!M26+1)</f>
        <v/>
      </c>
      <c r="F2449">
        <f>IF(Skills!N26=TRUE,(Skills!L26/10)*(E2449/1000),Skills!L26/10)+Skills!O26</f>
        <v/>
      </c>
      <c r="G2449">
        <f>Skills!G26*IF(Skills!H26&gt;0,Skills!I26/Skills!H26,1)</f>
        <v/>
      </c>
      <c r="H2449">
        <f>1-(1-Skills!J26/100)^Skills!K26</f>
        <v/>
      </c>
      <c r="I2449" t="inlineStr">
        <is>
          <t>1</t>
        </is>
      </c>
      <c r="J2449" t="inlineStr"/>
      <c r="K2449" t="inlineStr"/>
      <c r="L2449" t="inlineStr"/>
      <c r="M2449" t="inlineStr"/>
      <c r="N2449" t="inlineStr"/>
      <c r="O2449">
        <f>(1-Summary!$B$11)*T2449+Summary!$B$11*V2449</f>
        <v/>
      </c>
      <c r="P2449">
        <f>IF(B2462=0,0,O2449/B2462)</f>
        <v/>
      </c>
      <c r="Q2449" t="n">
        <v>0</v>
      </c>
      <c r="R2449" t="n">
        <v>0</v>
      </c>
      <c r="S2449">
        <f>IFERROR(O2449/N2449,0)</f>
        <v/>
      </c>
      <c r="T2449" t="n">
        <v>0</v>
      </c>
      <c r="V2449" t="n">
        <v>0</v>
      </c>
    </row>
    <row r="2451">
      <c r="A2451" t="inlineStr">
        <is>
          <t>Attack% Bucket Multiplier</t>
        </is>
      </c>
      <c r="B2451">
        <f>(1+(((C2436=TRUE)*F2436*IF(Inputs!$B$3&gt;=110,7,5))+((C2438=TRUE)*F2438*IF(AND(Inputs!$B$38&lt;&gt;"pvp",Inputs!$B$43&gt;0),(((R2438-1)*(Skills!T15*(1+(Inputs!$B$34+(ArtifactsInput!$M$7-ArtifactsInput!$M$7)*CHOOSE(ArtifactsInput!$N$7+1,6,7.2,8.4,9.6,10.8,12))/100))+MIN((Skills!T15*(1+(Inputs!$B$34+(ArtifactsInput!$M$7-ArtifactsInput!$M$7)*CHOOSE(ArtifactsInput!$N$7+1,6,7.2,8.4,9.6,10.8,12))/100)),MAX(0,Inputs!$B$43-((R2438-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52">
      <c r="A2452" t="inlineStr">
        <is>
          <t>Global Crit Rate Bonus %</t>
        </is>
      </c>
      <c r="B2452" t="n">
        <v>0</v>
      </c>
    </row>
    <row r="2453">
      <c r="A2453" t="inlineStr">
        <is>
          <t>Attack Speed Buff Bonus %</t>
        </is>
      </c>
      <c r="B2453">
        <f>((C2442=TRUE)*F2442*IF(AND(Inputs!$B$38&lt;&gt;"pvp",Inputs!$B$43&gt;0),(((R2442-1)*(Skills!T19*(1+(Inputs!$B$34+(ArtifactsInput!$M$7-ArtifactsInput!$M$7)*CHOOSE(ArtifactsInput!$N$7+1,6,7.2,8.4,9.6,10.8,12))/100))+MIN((Skills!T19*(1+(Inputs!$B$34+(ArtifactsInput!$M$7-ArtifactsInput!$M$7)*CHOOSE(ArtifactsInput!$N$7+1,6,7.2,8.4,9.6,10.8,12))/100)),MAX(0,Inputs!$B$43-((R2442-1)*Skills!D19))))/Inputs!$B$43),IF(Inputs!$B$38="pvp",MIN((Skills!T19*(1+(Inputs!$B$34+(ArtifactsInput!$M$7-ArtifactsInput!$M$7)*CHOOSE(ArtifactsInput!$N$7+1,6,7.2,8.4,9.6,10.8,12))/100)),15)/15,(Skills!T19*(1+(Inputs!$B$34+(ArtifactsInput!$M$7-ArtifactsInput!$M$7)*CHOOSE(ArtifactsInput!$N$7+1,6,7.2,8.4,9.6,10.8,12))/100))/Skills!D19)))</f>
        <v/>
      </c>
    </row>
    <row r="2454">
      <c r="A2454" t="inlineStr">
        <is>
          <t>Actions Per Second</t>
        </is>
      </c>
      <c r="B2454">
        <f>1+MIN(150,150*(1-(1-(Inputs!$B$11+((C2443=TRUE)*(F2443-Calc!F20)))/150)*(1-B2453/150)))/100</f>
        <v/>
      </c>
    </row>
    <row r="2455">
      <c r="A2455" t="inlineStr">
        <is>
          <t>Skill + Buff Cast Rate</t>
        </is>
      </c>
      <c r="B2455">
        <f>IF(AND(Inputs!$B$38&lt;&gt;"pvp",Inputs!$B$43&gt;0),SUMPRODUCT((Skills!E2:E26=TRUE)*(C2425:C2449=TRUE)*R2425:R2449*Skills!F2:F26)/Inputs!$B$43,SUMPRODUCT((Skills!E2:E26=TRUE)*(C2425:C2449=TRUE)*Q2425:Q2449*Skills!F2:F26))</f>
        <v/>
      </c>
    </row>
    <row r="2456">
      <c r="A2456" t="inlineStr">
        <is>
          <t>Raging Blow Casts Per Second</t>
        </is>
      </c>
      <c r="B2456">
        <f>MAX(0,B2454-B2455)</f>
        <v/>
      </c>
    </row>
    <row r="2457">
      <c r="A2457" t="inlineStr">
        <is>
          <t>Global Critical Damage Bonus % (Enrage)</t>
        </is>
      </c>
      <c r="B2457">
        <f>((C2441=TRUE)*F2441*IF(AND(Inputs!$B$38&lt;&gt;"pvp",Inputs!$B$43&gt;0),(((R2441-1)*(Skills!T18*(1+(Inputs!$B$34+(ArtifactsInput!$M$7-ArtifactsInput!$M$7)*CHOOSE(ArtifactsInput!$N$7+1,6,7.2,8.4,9.6,10.8,12))/100))+MIN((Skills!T18*(1+(Inputs!$B$34+(ArtifactsInput!$M$7-ArtifactsInput!$M$7)*CHOOSE(ArtifactsInput!$N$7+1,6,7.2,8.4,9.6,10.8,12))/100)),MAX(0,Inputs!$B$43-((R2441-1)*Skills!D18))))/Inputs!$B$43),IF(Inputs!$B$38="pvp",MIN((Skills!T18*(1+(Inputs!$B$34+(ArtifactsInput!$M$7-ArtifactsInput!$M$7)*CHOOSE(ArtifactsInput!$N$7+1,6,7.2,8.4,9.6,10.8,12))/100)),15)/15,(Skills!T18*(1+(Inputs!$B$34+(ArtifactsInput!$M$7-ArtifactsInput!$M$7)*CHOOSE(ArtifactsInput!$N$7+1,6,7.2,8.4,9.6,10.8,12))/100))/Skills!D18)))</f>
        <v/>
      </c>
    </row>
    <row r="2458">
      <c r="A2458" t="inlineStr">
        <is>
          <t>Global Final Damage Bonus % (Enrage + Combo Synergy)</t>
        </is>
      </c>
      <c r="B2458">
        <f>((C2440=TRUE)*F2440*IF(AND(Inputs!$B$38&lt;&gt;"pvp",Inputs!$B$43&gt;0),(((R2440-1)*(Skills!T17*(1+(Inputs!$B$34+(ArtifactsInput!$M$7-ArtifactsInput!$M$7)*CHOOSE(ArtifactsInput!$N$7+1,6,7.2,8.4,9.6,10.8,12))/100))+MIN((Skills!T17*(1+(Inputs!$B$34+(ArtifactsInput!$M$7-ArtifactsInput!$M$7)*CHOOSE(ArtifactsInput!$N$7+1,6,7.2,8.4,9.6,10.8,12))/100)),MAX(0,Inputs!$B$43-((R2440-1)*Skills!D17))))/Inputs!$B$43),IF(Inputs!$B$38="pvp",MIN((Skills!T17*(1+(Inputs!$B$34+(ArtifactsInput!$M$7-ArtifactsInput!$M$7)*CHOOSE(ArtifactsInput!$N$7+1,6,7.2,8.4,9.6,10.8,12))/100)),15)/15,(Skills!T17*(1+(Inputs!$B$34+(ArtifactsInput!$M$7-ArtifactsInput!$M$7)*CHOOSE(ArtifactsInput!$N$7+1,6,7.2,8.4,9.6,10.8,12))/100))/Skills!D17)))+((C2437=TRUE)*F2437*IF(Inputs!$B$3&gt;=110,7,5))</f>
        <v/>
      </c>
    </row>
    <row r="2459">
      <c r="A2459" t="inlineStr">
        <is>
          <t>Buff-Casting Startup Delay (s, fixed-duration only)</t>
        </is>
      </c>
      <c r="B2459">
        <f>IF(AND(Inputs!$B$38&lt;&gt;"pvp",Inputs!$B$43&gt;0),SUMPRODUCT((Skills!T2:T26&gt;0)*(Skills!E2:E26=TRUE)*(C2425:C2449=TRUE))/B2454,0)</f>
        <v/>
      </c>
    </row>
    <row r="2460">
      <c r="A2460" t="inlineStr">
        <is>
          <t>Boss-Only Total DPS (this block's swept value)</t>
        </is>
      </c>
      <c r="B2460">
        <f>SUM(T2425:T2449)</f>
        <v/>
      </c>
    </row>
    <row r="2461">
      <c r="A2461" t="inlineStr">
        <is>
          <t>Normal-Only Total DPS (this block's swept value)</t>
        </is>
      </c>
      <c r="B2461">
        <f>SUM(V2425:V2449)</f>
        <v/>
      </c>
    </row>
    <row r="2462">
      <c r="A2462" s="6" t="inlineStr">
        <is>
          <t>TOTAL DPS</t>
        </is>
      </c>
      <c r="B2462" s="6">
        <f>SUM(O2425:O2449)</f>
        <v/>
      </c>
    </row>
    <row r="2465">
      <c r="A2465" s="6" t="inlineStr">
        <is>
          <t>Stat: Horn Flute (Equip)</t>
        </is>
      </c>
    </row>
    <row r="2466">
      <c r="A2466" s="5" t="inlineStr">
        <is>
          <t>Key</t>
        </is>
      </c>
      <c r="B2466" s="5" t="inlineStr">
        <is>
          <t>Name</t>
        </is>
      </c>
      <c r="C2466" s="5" t="inlineStr">
        <is>
          <t>Unlocked</t>
        </is>
      </c>
      <c r="D2466" s="5" t="inlineStr">
        <is>
          <t>InputLevel</t>
        </is>
      </c>
      <c r="E2466" s="5" t="inlineStr">
        <is>
          <t>Factor</t>
        </is>
      </c>
      <c r="F2466" s="5" t="inlineStr">
        <is>
          <t>CoefficientPercent</t>
        </is>
      </c>
      <c r="G2466" s="5" t="inlineStr">
        <is>
          <t>EffectiveHits</t>
        </is>
      </c>
      <c r="H2466" s="5" t="inlineStr">
        <is>
          <t>ProcProbability</t>
        </is>
      </c>
      <c r="I2466" s="5" t="inlineStr">
        <is>
          <t>MapleHeroMultiplier</t>
        </is>
      </c>
      <c r="J2466" s="5" t="inlineStr">
        <is>
          <t>BaseDamage</t>
        </is>
      </c>
      <c r="K2466" s="5" t="inlineStr">
        <is>
          <t>BaseHitDamage</t>
        </is>
      </c>
      <c r="L2466" s="5" t="inlineStr">
        <is>
          <t>NonCritAvg</t>
        </is>
      </c>
      <c r="M2466" s="5" t="inlineStr">
        <is>
          <t>CritAvg</t>
        </is>
      </c>
      <c r="N2466" s="5" t="inlineStr">
        <is>
          <t>ExpectedDamage(perHit)</t>
        </is>
      </c>
      <c r="O2466" s="5" t="inlineStr">
        <is>
          <t>DPS</t>
        </is>
      </c>
      <c r="P2466" s="5" t="inlineStr">
        <is>
          <t>% of Total</t>
        </is>
      </c>
      <c r="Q2466" s="5" t="inlineStr">
        <is>
          <t>InvCooldown</t>
        </is>
      </c>
      <c r="R2466" s="5" t="inlineStr">
        <is>
          <t>CastsInFight</t>
        </is>
      </c>
      <c r="S2466" s="5" t="inlineStr">
        <is>
          <t>HitRate(perSec)</t>
        </is>
      </c>
      <c r="U2466" t="inlineStr">
        <is>
          <t>helpers</t>
        </is>
      </c>
    </row>
    <row r="2467">
      <c r="A2467">
        <f>Skills!A2</f>
        <v/>
      </c>
      <c r="B2467">
        <f>Skills!B2</f>
        <v/>
      </c>
      <c r="C2467">
        <f>Inputs!$B$3&gt;=100</f>
        <v/>
      </c>
      <c r="D2467" t="inlineStr"/>
      <c r="E2467" t="inlineStr"/>
      <c r="F2467">
        <f>U2469+Skills!O2</f>
        <v/>
      </c>
      <c r="G2467">
        <f>Skills!G2*IF(Skills!H2&gt;0,Skills!I2/Skills!H2,1)</f>
        <v/>
      </c>
      <c r="H2467">
        <f>1-(1-Skills!J2/100)^Skills!K2</f>
        <v/>
      </c>
      <c r="I2467" t="inlineStr">
        <is>
          <t>1</t>
        </is>
      </c>
      <c r="J2467">
        <f>((Inputs!$B$6*(1+Inputs!$B$7/100))+(((Inputs!$B$12*(1+Inputs!$B$13/100))-(Inputs!$B$12*(1+Inputs!$B$13/100)))+0.25*(Inputs!$B$14-Inputs!$B$14))*(1+Inputs!$B$7/100))*(F2467/100)</f>
        <v/>
      </c>
      <c r="K2467">
        <f>J2467*(1+((Inputs!$B$12*(1+Inputs!$B$13/100))*0.01+Inputs!$B$14*0.0025)/100)*(1+Inputs!$B$15/100)*(1+Inputs!$B$16/100)*(5000/(6000+Inputs!$B$42*(1-(100*(1-(1-(Inputs!$B$19+0)/100)*(1-CHOOSE(ArtifactsInput!$N$40+1,5,6,7,8,9,10)/100)^(ArtifactsInput!$M$40-ArtifactsInput!$M$40)))/100)))*(1+(Inputs!$B$24+((C2490=TRUE)*(F2490-Calc!F25))+B2500)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2486=TRUE)*(F2486-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2488=TRUE)*(F2488-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2478=TRUE)*F2478*IF(Inputs!$B$3&gt;=110,7,5))+((C2480=TRUE)*F2480*IF(AND(Inputs!$B$38&lt;&gt;"pvp",Inputs!$B$43&gt;0),(((R2480-1)*(Skills!T15*(1+(Inputs!$B$34+(ArtifactsInput!$M$7-ArtifactsInput!$M$7)*CHOOSE(ArtifactsInput!$N$7+1,6,7.2,8.4,9.6,10.8,12))/100))+MIN((Skills!T15*(1+(Inputs!$B$34+(ArtifactsInput!$M$7-ArtifactsInput!$M$7)*CHOOSE(ArtifactsInput!$N$7+1,6,7.2,8.4,9.6,10.8,12))/100)),MAX(0,Inputs!$B$43-((R2480-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100)*I2467)</f>
        <v/>
      </c>
      <c r="L2467">
        <f>K2467*(MIN(Inputs!$B$22+((C2487=TRUE)*(F2487-Calc!F22)),(Inputs!$B$23+((C2489=TRUE)*(F2489-Calc!F24))+(IF(ArtifactsInput!$M$15,CHOOSE(ArtifactsInput!$N$15+1,25,30,35,40,45,50)/100*(Inputs!$B$11-Inputs!$B$11),0))))/100+(Inputs!$B$23+((C2489=TRUE)*(F2489-Calc!F24))+(IF(ArtifactsInput!$M$15,CHOOSE(ArtifactsInput!$N$15+1,25,30,35,40,45,50)/100*(Inputs!$B$11-Inputs!$B$11),0)))/100)/2</f>
        <v/>
      </c>
      <c r="M2467">
        <f>L2467*(1+(Inputs!$B$10+0+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7">
        <f>L2467*(1-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2467*(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7">
        <f>(1-Summary!$B$11)*T2467+Summary!$B$11*V2467</f>
        <v/>
      </c>
      <c r="P2467">
        <f>IF(B2504=0,0,O2467/B2504)</f>
        <v/>
      </c>
      <c r="Q2467" t="n">
        <v>0</v>
      </c>
      <c r="R2467" t="n">
        <v>0</v>
      </c>
      <c r="S2467">
        <f>IFERROR(O2467/N2467,0)</f>
        <v/>
      </c>
      <c r="T2467">
        <f>IF(C2467,(Skills!G2*N2467*B2498)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2467*(1-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2467*(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2467*(1-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2467*(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67">
        <f>MAX(0,(Inputs!$B$3-100)*3)+Inputs!$B$28+Inputs!$B$29</f>
        <v/>
      </c>
      <c r="V2467">
        <f>IF(C2467,(Skills!G2*N2467*B2498)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8">
      <c r="A2468">
        <f>Skills!A3</f>
        <v/>
      </c>
      <c r="B2468">
        <f>Skills!B3</f>
        <v/>
      </c>
      <c r="C2468">
        <f>Inputs!$B$3&gt;=50</f>
        <v/>
      </c>
      <c r="D2468">
        <f>IF(Skills!C3=1,60+Inputs!$B$25+Inputs!$B$29,IF(Skills!C3=2,90+Inputs!$B$26+Inputs!$B$29,IF(Skills!C3=3,120+Inputs!$B$27+Inputs!$B$29,MAX(0,(Inputs!$B$3-100)*3)+Inputs!$B$28+Inputs!$B$29)))</f>
        <v/>
      </c>
      <c r="E2468">
        <f>INDEX(FactorTable!$B$2:$Y$301, MATCH(ROUND(MIN(300,MAX(1,D2468)),0), FactorTable!$A$2:$A$301,0), Skills!M3+1)</f>
        <v/>
      </c>
      <c r="F2468">
        <f>IF(Skills!N3=TRUE,(Skills!L3/10)*(E2468/1000),Skills!L3/10)+Skills!O3</f>
        <v/>
      </c>
      <c r="G2468" t="inlineStr"/>
      <c r="H2468" t="inlineStr"/>
      <c r="I2468" t="inlineStr">
        <is>
          <t>1</t>
        </is>
      </c>
      <c r="J2468" t="inlineStr"/>
      <c r="K2468" t="inlineStr"/>
      <c r="L2468" t="inlineStr"/>
      <c r="M2468" t="inlineStr"/>
      <c r="N2468" t="inlineStr"/>
      <c r="O2468" t="inlineStr"/>
      <c r="P2468" t="inlineStr"/>
      <c r="Q2468" t="inlineStr"/>
      <c r="R2468" t="inlineStr"/>
      <c r="S2468" t="inlineStr"/>
      <c r="U2468">
        <f>INDEX(FactorTable!$B$2:$Y$301, MATCH(ROUND(MIN(300,MAX(1,U2467)),0), FactorTable!$A$2:$A$301,0), 22)</f>
        <v/>
      </c>
    </row>
    <row r="2469">
      <c r="A2469">
        <f>Skills!A4</f>
        <v/>
      </c>
      <c r="B2469">
        <f>Skills!B4</f>
        <v/>
      </c>
      <c r="C2469">
        <f>Inputs!$B$3&gt;=105</f>
        <v/>
      </c>
      <c r="D2469">
        <f>IF(Skills!C4=1,60+Inputs!$B$25+Inputs!$B$29,IF(Skills!C4=2,90+Inputs!$B$26+Inputs!$B$29,IF(Skills!C4=3,120+Inputs!$B$27+Inputs!$B$29,MAX(0,(Inputs!$B$3-100)*3)+Inputs!$B$28+Inputs!$B$29)))</f>
        <v/>
      </c>
      <c r="E2469">
        <f>INDEX(FactorTable!$B$2:$Y$301, MATCH(ROUND(MIN(300,MAX(1,D2469)),0), FactorTable!$A$2:$A$301,0), Skills!M4+1)</f>
        <v/>
      </c>
      <c r="F2469">
        <f>IF(Skills!N4=TRUE,(Skills!L4/10)*(E2469/1000),Skills!L4/10)+Skills!O4</f>
        <v/>
      </c>
      <c r="G2469" t="inlineStr"/>
      <c r="H2469" t="inlineStr"/>
      <c r="I2469" t="inlineStr">
        <is>
          <t>1</t>
        </is>
      </c>
      <c r="J2469" t="inlineStr"/>
      <c r="K2469" t="inlineStr"/>
      <c r="L2469" t="inlineStr"/>
      <c r="M2469" t="inlineStr"/>
      <c r="N2469" t="inlineStr"/>
      <c r="O2469" t="inlineStr"/>
      <c r="P2469" t="inlineStr"/>
      <c r="Q2469" t="inlineStr"/>
      <c r="R2469" t="inlineStr"/>
      <c r="S2469" t="inlineStr"/>
      <c r="U2469">
        <f>290*U2468/1000</f>
        <v/>
      </c>
    </row>
    <row r="2470">
      <c r="A2470">
        <f>Skills!A5</f>
        <v/>
      </c>
      <c r="B2470">
        <f>Skills!B5</f>
        <v/>
      </c>
      <c r="C2470">
        <f>Inputs!$B$3&gt;=103</f>
        <v/>
      </c>
      <c r="D2470">
        <f>IF(Skills!C5=1,60+Inputs!$B$25+Inputs!$B$29,IF(Skills!C5=2,90+Inputs!$B$26+Inputs!$B$29,IF(Skills!C5=3,120+Inputs!$B$27+Inputs!$B$29,MAX(0,(Inputs!$B$3-100)*3)+Inputs!$B$28+Inputs!$B$29)))</f>
        <v/>
      </c>
      <c r="E2470">
        <f>INDEX(FactorTable!$B$2:$Y$301, MATCH(ROUND(MIN(300,MAX(1,D2470)),0), FactorTable!$A$2:$A$301,0), Skills!M5+1)</f>
        <v/>
      </c>
      <c r="F2470">
        <f>IF(Skills!N5=TRUE,(Skills!L5/10)*(E2470/1000),Skills!L5/10)+Skills!O5</f>
        <v/>
      </c>
      <c r="G2470">
        <f>Skills!G5*IF(Skills!H5&gt;0,Skills!I5/Skills!H5,1)</f>
        <v/>
      </c>
      <c r="H2470">
        <f>1-(1-Skills!J5/100)^Skills!K5</f>
        <v/>
      </c>
      <c r="I2470" t="inlineStr">
        <is>
          <t>1</t>
        </is>
      </c>
      <c r="J2470">
        <f>((Inputs!$B$6*(1+Inputs!$B$7/100))+(((Inputs!$B$12*(1+Inputs!$B$13/100))-(Inputs!$B$12*(1+Inputs!$B$13/100)))+0.25*(Inputs!$B$14-Inputs!$B$14))*(1+Inputs!$B$7/100))*(F2470/100)</f>
        <v/>
      </c>
      <c r="K2470">
        <f>J2470*(1+((Inputs!$B$12*(1+Inputs!$B$13/100))*0.01+Inputs!$B$14*0.0025)/100)*(1+Inputs!$B$15/100)*(1+Inputs!$B$16/100)*(5000/(6000+Inputs!$B$42*(1-(100*(1-(1-(Inputs!$B$19+0)/100)*(1-CHOOSE(ArtifactsInput!$N$40+1,5,6,7,8,9,10)/100)^(ArtifactsInput!$M$40-ArtifactsInput!$M$40)))/100)))*(1+(Inputs!$B$24+((C2490=TRUE)*(F2490-Calc!F25))+B2500)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2486=TRUE)*(F2486-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2488=TRUE)*(F2488-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2478=TRUE)*F2478*IF(Inputs!$B$3&gt;=110,7,5))+((C2480=TRUE)*F2480*IF(AND(Inputs!$B$38&lt;&gt;"pvp",Inputs!$B$43&gt;0),(((R2480-1)*(Skills!T15*(1+(Inputs!$B$34+(ArtifactsInput!$M$7-ArtifactsInput!$M$7)*CHOOSE(ArtifactsInput!$N$7+1,6,7.2,8.4,9.6,10.8,12))/100))+MIN((Skills!T15*(1+(Inputs!$B$34+(ArtifactsInput!$M$7-ArtifactsInput!$M$7)*CHOOSE(ArtifactsInput!$N$7+1,6,7.2,8.4,9.6,10.8,12))/100)),MAX(0,Inputs!$B$43-((R2480-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100)*I2470)</f>
        <v/>
      </c>
      <c r="L2470">
        <f>K2470*(MIN(Inputs!$B$22+((C2487=TRUE)*(F2487-Calc!F22)),(Inputs!$B$23+((C2489=TRUE)*(F2489-Calc!F24))+(IF(ArtifactsInput!$M$15,CHOOSE(ArtifactsInput!$N$15+1,25,30,35,40,45,50)/100*(Inputs!$B$11-Inputs!$B$11),0))))/100+(Inputs!$B$23+((C2489=TRUE)*(F2489-Calc!F24))+(IF(ArtifactsInput!$M$15,CHOOSE(ArtifactsInput!$N$15+1,25,30,35,40,45,50)/100*(Inputs!$B$11-Inputs!$B$11),0)))/100)/2</f>
        <v/>
      </c>
      <c r="M2470">
        <f>L2470*(1+(Inputs!$B$10+0+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0">
        <f>L2470*(1-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2470*(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0">
        <f>(1-Summary!$B$11)*T2470+Summary!$B$11*V2470</f>
        <v/>
      </c>
      <c r="P2470">
        <f>IF(B2504=0,0,O2470/B2504)</f>
        <v/>
      </c>
      <c r="Q2470">
        <f>IFERROR(1/(IF(Inputs!$B$38="pvp",15,MAX(0.1,Skills!D5-IF(Skills!E5=TRUE,Inputs!$B$32,0)))*(1-IF(AND(ArtifactsInput!$M$27,Inputs!$B$4="Chapter Hunt"),CHOOSE(ArtifactsInput!$N$27+1,20,24,28,32,36,40),0)/100)),0)</f>
        <v/>
      </c>
      <c r="R2470">
        <f>IF(AND(Inputs!$B$38&lt;&gt;"pvp",Inputs!$B$43&gt;0),IF(MAX(0,Inputs!$B$43-B2501)&lt;=0,0,(INT(MAX(0,Inputs!$B$43-B2501)/(IF(Inputs!$B$38="pvp",15,MAX(0.1,Skills!D5-IF(Skills!E5=TRUE,Inputs!$B$32,0)))*(1-IF(AND(ArtifactsInput!$M$27,Inputs!$B$4="Chapter Hunt"),CHOOSE(ArtifactsInput!$N$27+1,20,24,28,32,36,40),0)/100)))+1)),0)</f>
        <v/>
      </c>
      <c r="S2470">
        <f>IFERROR(O2470/N2470,0)</f>
        <v/>
      </c>
      <c r="T2470">
        <f>IF(C2470,(H2470*N2470*IF(AND(Inputs!$B$38&lt;&gt;"pvp",Inputs!$B$43&gt;0),((Skills!G5*((R2470-1)*IF(Skills!H5&gt;0,Skills!I5/Skills!H5,1)+IF(Skills!H5&gt;0,MIN(Skills!I5,MAX(0,MAX(0,Inputs!$B$43-B2501)-((R2470-1)*(IF(Inputs!$B$38="pvp",15,MAX(0.1,Skills!D5-IF(Skills!E5=TRUE,Inputs!$B$32,0)))*(1-IF(AND(ArtifactsInput!$M$27,Inputs!$B$4="Chapter Hunt"),CHOOSE(ArtifactsInput!$N$27+1,20,24,28,32,36,40),0)/100)))))/Skills!H5,1)))/Inputs!$B$43),G2470*Q2470)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2470*(1-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2470*(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2470*(1-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2470*(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0">
        <f>IF(C2470,(H2470*N2470*IF(AND(Inputs!$B$38&lt;&gt;"pvp",Inputs!$B$43&gt;0),((Skills!G5*((R2470-1)*IF(Skills!H5&gt;0,Skills!I5/Skills!H5,1)+IF(Skills!H5&gt;0,MIN(Skills!I5,MAX(0,MAX(0,Inputs!$B$43-B2501)-((R2470-1)*(IF(Inputs!$B$38="pvp",15,MAX(0.1,Skills!D5-IF(Skills!E5=TRUE,Inputs!$B$32,0)))*(1-IF(AND(ArtifactsInput!$M$27,Inputs!$B$4="Chapter Hunt"),CHOOSE(ArtifactsInput!$N$27+1,20,24,28,32,36,40),0)/100)))))/Skills!H5,1)))/Inputs!$B$43),G2470*Q2470)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1">
      <c r="A2471">
        <f>Skills!A6</f>
        <v/>
      </c>
      <c r="B2471">
        <f>Skills!B6</f>
        <v/>
      </c>
      <c r="C2471">
        <f>Inputs!$B$3&gt;=103</f>
        <v/>
      </c>
      <c r="D2471">
        <f>IF(Skills!C6=1,60+Inputs!$B$25+Inputs!$B$29,IF(Skills!C6=2,90+Inputs!$B$26+Inputs!$B$29,IF(Skills!C6=3,120+Inputs!$B$27+Inputs!$B$29,MAX(0,(Inputs!$B$3-100)*3)+Inputs!$B$28+Inputs!$B$29)))</f>
        <v/>
      </c>
      <c r="E2471">
        <f>INDEX(FactorTable!$B$2:$Y$301, MATCH(ROUND(MIN(300,MAX(1,D2471)),0), FactorTable!$A$2:$A$301,0), Skills!M6+1)</f>
        <v/>
      </c>
      <c r="F2471">
        <f>IF(Skills!N6=TRUE,(Skills!L6/10)*(E2471/1000),Skills!L6/10)+Skills!O6</f>
        <v/>
      </c>
      <c r="G2471">
        <f>Skills!G6*IF(Skills!H6&gt;0,Skills!I6/Skills!H6,1)</f>
        <v/>
      </c>
      <c r="H2471">
        <f>1-(1-Skills!J6/100)^Skills!K6</f>
        <v/>
      </c>
      <c r="I2471" t="inlineStr">
        <is>
          <t>1</t>
        </is>
      </c>
      <c r="J2471">
        <f>((Inputs!$B$6*(1+Inputs!$B$7/100))+(((Inputs!$B$12*(1+Inputs!$B$13/100))-(Inputs!$B$12*(1+Inputs!$B$13/100)))+0.25*(Inputs!$B$14-Inputs!$B$14))*(1+Inputs!$B$7/100))*(F2471/100)</f>
        <v/>
      </c>
      <c r="K2471">
        <f>J2471*(1+((Inputs!$B$12*(1+Inputs!$B$13/100))*0.01+Inputs!$B$14*0.0025)/100)*(1+Inputs!$B$15/100)*(1+Inputs!$B$16/100)*(5000/(6000+Inputs!$B$42*(1-(100*(1-(1-(Inputs!$B$19+0)/100)*(1-CHOOSE(ArtifactsInput!$N$40+1,5,6,7,8,9,10)/100)^(ArtifactsInput!$M$40-ArtifactsInput!$M$40)))/100)))*(1+(Inputs!$B$24+((C2490=TRUE)*(F2490-Calc!F25))+B2500)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2486=TRUE)*(F2486-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2488=TRUE)*(F2488-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2478=TRUE)*F2478*IF(Inputs!$B$3&gt;=110,7,5))+((C2480=TRUE)*F2480*IF(AND(Inputs!$B$38&lt;&gt;"pvp",Inputs!$B$43&gt;0),(((R2480-1)*(Skills!T15*(1+(Inputs!$B$34+(ArtifactsInput!$M$7-ArtifactsInput!$M$7)*CHOOSE(ArtifactsInput!$N$7+1,6,7.2,8.4,9.6,10.8,12))/100))+MIN((Skills!T15*(1+(Inputs!$B$34+(ArtifactsInput!$M$7-ArtifactsInput!$M$7)*CHOOSE(ArtifactsInput!$N$7+1,6,7.2,8.4,9.6,10.8,12))/100)),MAX(0,Inputs!$B$43-((R2480-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100)*I2471)</f>
        <v/>
      </c>
      <c r="L2471">
        <f>K2471*(MIN(Inputs!$B$22+((C2487=TRUE)*(F2487-Calc!F22)),(Inputs!$B$23+((C2489=TRUE)*(F2489-Calc!F24))+(IF(ArtifactsInput!$M$15,CHOOSE(ArtifactsInput!$N$15+1,25,30,35,40,45,50)/100*(Inputs!$B$11-Inputs!$B$11),0))))/100+(Inputs!$B$23+((C2489=TRUE)*(F2489-Calc!F24))+(IF(ArtifactsInput!$M$15,CHOOSE(ArtifactsInput!$N$15+1,25,30,35,40,45,50)/100*(Inputs!$B$11-Inputs!$B$11),0)))/100)/2</f>
        <v/>
      </c>
      <c r="M2471">
        <f>L2471*(1+(Inputs!$B$10+0+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1">
        <f>L2471*(1-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2471*(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1">
        <f>(1-Summary!$B$11)*T2471+Summary!$B$11*V2471</f>
        <v/>
      </c>
      <c r="P2471">
        <f>IF(B2504=0,0,O2471/B2504)</f>
        <v/>
      </c>
      <c r="Q2471">
        <f>IFERROR(1/(IF(Inputs!$B$38="pvp",15,MAX(0.1,Skills!D6-IF(Skills!E6=TRUE,Inputs!$B$32,0)))*(1-IF(AND(ArtifactsInput!$M$27,Inputs!$B$4="Chapter Hunt"),CHOOSE(ArtifactsInput!$N$27+1,20,24,28,32,36,40),0)/100)),0)</f>
        <v/>
      </c>
      <c r="R2471">
        <f>IF(AND(Inputs!$B$38&lt;&gt;"pvp",Inputs!$B$43&gt;0),IF(MAX(0,Inputs!$B$43-B2501)&lt;=0,0,(INT(MAX(0,Inputs!$B$43-B2501)/(IF(Inputs!$B$38="pvp",15,MAX(0.1,Skills!D6-IF(Skills!E6=TRUE,Inputs!$B$32,0)))*(1-IF(AND(ArtifactsInput!$M$27,Inputs!$B$4="Chapter Hunt"),CHOOSE(ArtifactsInput!$N$27+1,20,24,28,32,36,40),0)/100)))+1)),0)</f>
        <v/>
      </c>
      <c r="S2471">
        <f>IFERROR(O2471/N2471,0)</f>
        <v/>
      </c>
      <c r="T2471">
        <f>IF(C2471,(H2471*N2471*IF(AND(Inputs!$B$38&lt;&gt;"pvp",Inputs!$B$43&gt;0),((Skills!G6*((R2471-1)*IF(Skills!H6&gt;0,Skills!I6/Skills!H6,1)+IF(Skills!H6&gt;0,MIN(Skills!I6,MAX(0,MAX(0,Inputs!$B$43-B2501)-((R2471-1)*(IF(Inputs!$B$38="pvp",15,MAX(0.1,Skills!D6-IF(Skills!E6=TRUE,Inputs!$B$32,0)))*(1-IF(AND(ArtifactsInput!$M$27,Inputs!$B$4="Chapter Hunt"),CHOOSE(ArtifactsInput!$N$27+1,20,24,28,32,36,40),0)/100)))))/Skills!H6,1)))/Inputs!$B$43),G2471*Q2471)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2471*(1-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2471*(1-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1">
        <f>IF(C2471,(H2471*N2471*IF(AND(Inputs!$B$38&lt;&gt;"pvp",Inputs!$B$43&gt;0),((Skills!G6*((R2471-1)*IF(Skills!H6&gt;0,Skills!I6/Skills!H6,1)+IF(Skills!H6&gt;0,MIN(Skills!I6,MAX(0,MAX(0,Inputs!$B$43-B2501)-((R2471-1)*(IF(Inputs!$B$38="pvp",15,MAX(0.1,Skills!D6-IF(Skills!E6=TRUE,Inputs!$B$32,0)))*(1-IF(AND(ArtifactsInput!$M$27,Inputs!$B$4="Chapter Hunt"),CHOOSE(ArtifactsInput!$N$27+1,20,24,28,32,36,40),0)/100)))))/Skills!H6,1)))/Inputs!$B$43),G2471*Q2471)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2">
      <c r="A2472">
        <f>Skills!A7</f>
        <v/>
      </c>
      <c r="B2472">
        <f>Skills!B7</f>
        <v/>
      </c>
      <c r="C2472">
        <f>Inputs!$B$3&gt;=107</f>
        <v/>
      </c>
      <c r="D2472">
        <f>IF(Skills!C7=1,60+Inputs!$B$25+Inputs!$B$29,IF(Skills!C7=2,90+Inputs!$B$26+Inputs!$B$29,IF(Skills!C7=3,120+Inputs!$B$27+Inputs!$B$29,MAX(0,(Inputs!$B$3-100)*3)+Inputs!$B$28+Inputs!$B$29)))</f>
        <v/>
      </c>
      <c r="E2472">
        <f>INDEX(FactorTable!$B$2:$Y$301, MATCH(ROUND(MIN(300,MAX(1,D2472)),0), FactorTable!$A$2:$A$301,0), Skills!M7+1)</f>
        <v/>
      </c>
      <c r="F2472">
        <f>IF(Skills!N7=TRUE,(Skills!L7/10)*(E2472/1000),Skills!L7/10)+Skills!O7</f>
        <v/>
      </c>
      <c r="G2472">
        <f>Skills!G7*IF(Skills!H7&gt;0,Skills!I7/Skills!H7,1)</f>
        <v/>
      </c>
      <c r="H2472">
        <f>1-(1-Skills!J7/100)^Skills!K7</f>
        <v/>
      </c>
      <c r="I2472" t="inlineStr">
        <is>
          <t>1</t>
        </is>
      </c>
      <c r="J2472">
        <f>((Inputs!$B$6*(1+Inputs!$B$7/100))+(((Inputs!$B$12*(1+Inputs!$B$13/100))-(Inputs!$B$12*(1+Inputs!$B$13/100)))+0.25*(Inputs!$B$14-Inputs!$B$14))*(1+Inputs!$B$7/100))*(F2472/100)</f>
        <v/>
      </c>
      <c r="K2472">
        <f>J2472*(1+((Inputs!$B$12*(1+Inputs!$B$13/100))*0.01+Inputs!$B$14*0.0025)/100)*(1+Inputs!$B$15/100)*(1+Inputs!$B$16/100)*(5000/(6000+Inputs!$B$42*(1-(100*(1-(1-(Inputs!$B$19+0)/100)*(1-CHOOSE(ArtifactsInput!$N$40+1,5,6,7,8,9,10)/100)^(ArtifactsInput!$M$40-ArtifactsInput!$M$40)))/100)))*(1+(Inputs!$B$24+((C2490=TRUE)*(F2490-Calc!F25))+B2500)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2486=TRUE)*(F2486-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2488=TRUE)*(F2488-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2478=TRUE)*F2478*IF(Inputs!$B$3&gt;=110,7,5))+((C2480=TRUE)*F2480*IF(AND(Inputs!$B$38&lt;&gt;"pvp",Inputs!$B$43&gt;0),(((R2480-1)*(Skills!T15*(1+(Inputs!$B$34+(ArtifactsInput!$M$7-ArtifactsInput!$M$7)*CHOOSE(ArtifactsInput!$N$7+1,6,7.2,8.4,9.6,10.8,12))/100))+MIN((Skills!T15*(1+(Inputs!$B$34+(ArtifactsInput!$M$7-ArtifactsInput!$M$7)*CHOOSE(ArtifactsInput!$N$7+1,6,7.2,8.4,9.6,10.8,12))/100)),MAX(0,Inputs!$B$43-((R2480-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100)*I2472)</f>
        <v/>
      </c>
      <c r="L2472">
        <f>K2472*(MIN(Inputs!$B$22+((C2487=TRUE)*(F2487-Calc!F22)),(Inputs!$B$23+((C2489=TRUE)*(F2489-Calc!F24))+(IF(ArtifactsInput!$M$15,CHOOSE(ArtifactsInput!$N$15+1,25,30,35,40,45,50)/100*(Inputs!$B$11-Inputs!$B$11),0))))/100+(Inputs!$B$23+((C2489=TRUE)*(F2489-Calc!F24))+(IF(ArtifactsInput!$M$15,CHOOSE(ArtifactsInput!$N$15+1,25,30,35,40,45,50)/100*(Inputs!$B$11-Inputs!$B$11),0)))/100)/2</f>
        <v/>
      </c>
      <c r="M2472">
        <f>L2472*(1+(Inputs!$B$10+0+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2">
        <f>L2472*(1-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2472*(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2">
        <f>(1-Summary!$B$11)*T2472+Summary!$B$11*V2472</f>
        <v/>
      </c>
      <c r="P2472">
        <f>IF(B2504=0,0,O2472/B2504)</f>
        <v/>
      </c>
      <c r="Q2472">
        <f>IFERROR(1/(IF(Inputs!$B$38="pvp",15,MAX(0.1,Skills!D7-IF(Skills!E7=TRUE,Inputs!$B$32,0)))*(1-IF(AND(ArtifactsInput!$M$27,Inputs!$B$4="Chapter Hunt"),CHOOSE(ArtifactsInput!$N$27+1,20,24,28,32,36,40),0)/100)),0)</f>
        <v/>
      </c>
      <c r="R2472">
        <f>IF(AND(Inputs!$B$38&lt;&gt;"pvp",Inputs!$B$43&gt;0),IF(MAX(0,Inputs!$B$43-B2501)&lt;=0,0,(INT(MAX(0,Inputs!$B$43-B2501)/(IF(Inputs!$B$38="pvp",15,MAX(0.1,Skills!D7-IF(Skills!E7=TRUE,Inputs!$B$32,0)))*(1-IF(AND(ArtifactsInput!$M$27,Inputs!$B$4="Chapter Hunt"),CHOOSE(ArtifactsInput!$N$27+1,20,24,28,32,36,40),0)/100)))+1)),0)</f>
        <v/>
      </c>
      <c r="S2472">
        <f>IFERROR(O2472/N2472,0)</f>
        <v/>
      </c>
      <c r="T2472">
        <f>IF(C2472,(H2472*N2472*IF(AND(Inputs!$B$38&lt;&gt;"pvp",Inputs!$B$43&gt;0),((Skills!G7*((R2472-1)*IF(Skills!H7&gt;0,Skills!I7/Skills!H7,1)+IF(Skills!H7&gt;0,MIN(Skills!I7,MAX(0,MAX(0,Inputs!$B$43-B2501)-((R2472-1)*(IF(Inputs!$B$38="pvp",15,MAX(0.1,Skills!D7-IF(Skills!E7=TRUE,Inputs!$B$32,0)))*(1-IF(AND(ArtifactsInput!$M$27,Inputs!$B$4="Chapter Hunt"),CHOOSE(ArtifactsInput!$N$27+1,20,24,28,32,36,40),0)/100)))))/Skills!H7,1)))/Inputs!$B$43),G2472*Q2472)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2472*(1-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2472*(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2472*(1-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2472*(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2">
        <f>IF(C2472,(H2472*N2472*IF(AND(Inputs!$B$38&lt;&gt;"pvp",Inputs!$B$43&gt;0),((Skills!G7*((R2472-1)*IF(Skills!H7&gt;0,Skills!I7/Skills!H7,1)+IF(Skills!H7&gt;0,MIN(Skills!I7,MAX(0,MAX(0,Inputs!$B$43-B2501)-((R2472-1)*(IF(Inputs!$B$38="pvp",15,MAX(0.1,Skills!D7-IF(Skills!E7=TRUE,Inputs!$B$32,0)))*(1-IF(AND(ArtifactsInput!$M$27,Inputs!$B$4="Chapter Hunt"),CHOOSE(ArtifactsInput!$N$27+1,20,24,28,32,36,40),0)/100)))))/Skills!H7,1)))/Inputs!$B$43),G2472*Q2472)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3">
      <c r="A2473">
        <f>Skills!A8</f>
        <v/>
      </c>
      <c r="B2473">
        <f>Skills!B8</f>
        <v/>
      </c>
      <c r="C2473">
        <f>Inputs!$B$3&gt;=117</f>
        <v/>
      </c>
      <c r="D2473">
        <f>IF(Skills!C8=1,60+Inputs!$B$25+Inputs!$B$29,IF(Skills!C8=2,90+Inputs!$B$26+Inputs!$B$29,IF(Skills!C8=3,120+Inputs!$B$27+Inputs!$B$29,MAX(0,(Inputs!$B$3-100)*3)+Inputs!$B$28+Inputs!$B$29)))</f>
        <v/>
      </c>
      <c r="E2473">
        <f>INDEX(FactorTable!$B$2:$Y$301, MATCH(ROUND(MIN(300,MAX(1,D2473)),0), FactorTable!$A$2:$A$301,0), Skills!M8+1)</f>
        <v/>
      </c>
      <c r="F2473">
        <f>IF(Skills!N8=TRUE,(Skills!L8/10)*(E2473/1000),Skills!L8/10)+Skills!O8</f>
        <v/>
      </c>
      <c r="G2473">
        <f>Skills!G8*IF(Skills!H8&gt;0,Skills!I8/Skills!H8,1)</f>
        <v/>
      </c>
      <c r="H2473">
        <f>1-(1-Skills!J8/100)^Skills!K8</f>
        <v/>
      </c>
      <c r="I2473" t="inlineStr">
        <is>
          <t>1</t>
        </is>
      </c>
      <c r="J2473">
        <f>((Inputs!$B$6*(1+Inputs!$B$7/100))+(((Inputs!$B$12*(1+Inputs!$B$13/100))-(Inputs!$B$12*(1+Inputs!$B$13/100)))+0.25*(Inputs!$B$14-Inputs!$B$14))*(1+Inputs!$B$7/100))*(F2473/100)</f>
        <v/>
      </c>
      <c r="K2473">
        <f>J2473*(1+((Inputs!$B$12*(1+Inputs!$B$13/100))*0.01+Inputs!$B$14*0.0025)/100)*(1+Inputs!$B$15/100)*(1+Inputs!$B$16/100)*(5000/(6000+Inputs!$B$42*(1-(100*(1-(1-(Inputs!$B$19+0)/100)*(1-CHOOSE(ArtifactsInput!$N$40+1,5,6,7,8,9,10)/100)^(ArtifactsInput!$M$40-ArtifactsInput!$M$40)))/100)))*(1+(Inputs!$B$24+((C2490=TRUE)*(F2490-Calc!F25))+B2500)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2486=TRUE)*(F2486-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2488=TRUE)*(F2488-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2478=TRUE)*F2478*IF(Inputs!$B$3&gt;=110,7,5))+((C2480=TRUE)*F2480*IF(AND(Inputs!$B$38&lt;&gt;"pvp",Inputs!$B$43&gt;0),(((R2480-1)*(Skills!T15*(1+(Inputs!$B$34+(ArtifactsInput!$M$7-ArtifactsInput!$M$7)*CHOOSE(ArtifactsInput!$N$7+1,6,7.2,8.4,9.6,10.8,12))/100))+MIN((Skills!T15*(1+(Inputs!$B$34+(ArtifactsInput!$M$7-ArtifactsInput!$M$7)*CHOOSE(ArtifactsInput!$N$7+1,6,7.2,8.4,9.6,10.8,12))/100)),MAX(0,Inputs!$B$43-((R2480-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100)*I2473)</f>
        <v/>
      </c>
      <c r="L2473">
        <f>K2473*(MIN(Inputs!$B$22+((C2487=TRUE)*(F2487-Calc!F22)),(Inputs!$B$23+((C2489=TRUE)*(F2489-Calc!F24))+(IF(ArtifactsInput!$M$15,CHOOSE(ArtifactsInput!$N$15+1,25,30,35,40,45,50)/100*(Inputs!$B$11-Inputs!$B$11),0))))/100+(Inputs!$B$23+((C2489=TRUE)*(F2489-Calc!F24))+(IF(ArtifactsInput!$M$15,CHOOSE(ArtifactsInput!$N$15+1,25,30,35,40,45,50)/100*(Inputs!$B$11-Inputs!$B$11),0)))/100)/2</f>
        <v/>
      </c>
      <c r="M2473">
        <f>L2473*(1+(Inputs!$B$10+0+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3">
        <f>L2473*(1-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2473*(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3">
        <f>(1-Summary!$B$11)*T2473+Summary!$B$11*V2473</f>
        <v/>
      </c>
      <c r="P2473">
        <f>IF(B2504=0,0,O2473/B2504)</f>
        <v/>
      </c>
      <c r="Q2473">
        <f>IFERROR(1/(IF(Inputs!$B$38="pvp",15,MAX(0.1,Skills!D8-IF(Skills!E8=TRUE,Inputs!$B$32,0)))*(1-IF(AND(ArtifactsInput!$M$27,Inputs!$B$4="Chapter Hunt"),CHOOSE(ArtifactsInput!$N$27+1,20,24,28,32,36,40),0)/100)),0)</f>
        <v/>
      </c>
      <c r="R2473">
        <f>IF(AND(Inputs!$B$38&lt;&gt;"pvp",Inputs!$B$43&gt;0),IF(MAX(0,Inputs!$B$43-B2501)&lt;=0,0,(INT(MAX(0,Inputs!$B$43-B2501)/(IF(Inputs!$B$38="pvp",15,MAX(0.1,Skills!D8-IF(Skills!E8=TRUE,Inputs!$B$32,0)))*(1-IF(AND(ArtifactsInput!$M$27,Inputs!$B$4="Chapter Hunt"),CHOOSE(ArtifactsInput!$N$27+1,20,24,28,32,36,40),0)/100)))+1)),0)</f>
        <v/>
      </c>
      <c r="S2473">
        <f>IFERROR(O2473/N2473,0)</f>
        <v/>
      </c>
      <c r="T2473">
        <f>IF(C2473,(H2473*N2473*IF(AND(Inputs!$B$38&lt;&gt;"pvp",Inputs!$B$43&gt;0),((Skills!G8*((R2473-1)*IF(Skills!H8&gt;0,Skills!I8/Skills!H8,1)+IF(Skills!H8&gt;0,MIN(Skills!I8,MAX(0,MAX(0,Inputs!$B$43-B2501)-((R2473-1)*(IF(Inputs!$B$38="pvp",15,MAX(0.1,Skills!D8-IF(Skills!E8=TRUE,Inputs!$B$32,0)))*(1-IF(AND(ArtifactsInput!$M$27,Inputs!$B$4="Chapter Hunt"),CHOOSE(ArtifactsInput!$N$27+1,20,24,28,32,36,40),0)/100)))))/Skills!H8,1)))/Inputs!$B$43),G2473*Q2473)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2473*(1-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2473*(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2473*(1-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2473*(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3">
        <f>IF(C2473,(H2473*N2473*IF(AND(Inputs!$B$38&lt;&gt;"pvp",Inputs!$B$43&gt;0),((Skills!G8*((R2473-1)*IF(Skills!H8&gt;0,Skills!I8/Skills!H8,1)+IF(Skills!H8&gt;0,MIN(Skills!I8,MAX(0,MAX(0,Inputs!$B$43-B2501)-((R2473-1)*(IF(Inputs!$B$38="pvp",15,MAX(0.1,Skills!D8-IF(Skills!E8=TRUE,Inputs!$B$32,0)))*(1-IF(AND(ArtifactsInput!$M$27,Inputs!$B$4="Chapter Hunt"),CHOOSE(ArtifactsInput!$N$27+1,20,24,28,32,36,40),0)/100)))))/Skills!H8,1)))/Inputs!$B$43),G2473*Q2473)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4">
      <c r="A2474">
        <f>Skills!A9</f>
        <v/>
      </c>
      <c r="B2474">
        <f>Skills!B9</f>
        <v/>
      </c>
      <c r="C2474">
        <f>Inputs!$B$3&gt;=69</f>
        <v/>
      </c>
      <c r="D2474">
        <f>IF(Skills!C9=1,60+Inputs!$B$25+Inputs!$B$29,IF(Skills!C9=2,90+Inputs!$B$26+Inputs!$B$29,IF(Skills!C9=3,120+Inputs!$B$27+Inputs!$B$29,MAX(0,(Inputs!$B$3-100)*3)+Inputs!$B$28+Inputs!$B$29)))</f>
        <v/>
      </c>
      <c r="E2474">
        <f>INDEX(FactorTable!$B$2:$Y$301, MATCH(ROUND(MIN(300,MAX(1,D2474)),0), FactorTable!$A$2:$A$301,0), Skills!M9+1)</f>
        <v/>
      </c>
      <c r="F2474">
        <f>IF(Skills!N9=TRUE,(Skills!L9/10)*(E2474/1000),Skills!L9/10)+Skills!O9</f>
        <v/>
      </c>
      <c r="G2474">
        <f>Skills!G9*IF(Skills!H9&gt;0,Skills!I9/Skills!H9,1)</f>
        <v/>
      </c>
      <c r="H2474">
        <f>1-(1-Skills!J9/100)^Skills!K9</f>
        <v/>
      </c>
      <c r="I2474" t="inlineStr">
        <is>
          <t>1</t>
        </is>
      </c>
      <c r="J2474">
        <f>((Inputs!$B$6*(1+Inputs!$B$7/100))+(((Inputs!$B$12*(1+Inputs!$B$13/100))-(Inputs!$B$12*(1+Inputs!$B$13/100)))+0.25*(Inputs!$B$14-Inputs!$B$14))*(1+Inputs!$B$7/100))*(F2474/100)</f>
        <v/>
      </c>
      <c r="K2474">
        <f>J2474*(1+((Inputs!$B$12*(1+Inputs!$B$13/100))*0.01+Inputs!$B$14*0.0025)/100)*(1+Inputs!$B$15/100)*(1+Inputs!$B$16/100)*(5000/(6000+Inputs!$B$42*(1-(100*(1-(1-(Inputs!$B$19+0)/100)*(1-CHOOSE(ArtifactsInput!$N$40+1,5,6,7,8,9,10)/100)^(ArtifactsInput!$M$40-ArtifactsInput!$M$40)))/100)))*(1+(Inputs!$B$24+((C2490=TRUE)*(F2490-Calc!F25))+B2500)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2477=TRUE,F2477,0)/100)*(1+IF(Skills!A9="ENHANCED_RAGING_BLOW",IF(Inputs!$B$3&gt;=134,MAX(0,IF(Inputs!$B$3&gt;=110,7,5)-5)*50,0),0)/100)*(1+(IF(Skills!A9="RAGING_BLOW",Inputs!$B$17+((C2486=TRUE)*(F2486-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2488=TRUE)*(F2488-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2478=TRUE)*F2478*IF(Inputs!$B$3&gt;=110,7,5))+((C2480=TRUE)*F2480*IF(AND(Inputs!$B$38&lt;&gt;"pvp",Inputs!$B$43&gt;0),(((R2480-1)*(Skills!T15*(1+(Inputs!$B$34+(ArtifactsInput!$M$7-ArtifactsInput!$M$7)*CHOOSE(ArtifactsInput!$N$7+1,6,7.2,8.4,9.6,10.8,12))/100))+MIN((Skills!T15*(1+(Inputs!$B$34+(ArtifactsInput!$M$7-ArtifactsInput!$M$7)*CHOOSE(ArtifactsInput!$N$7+1,6,7.2,8.4,9.6,10.8,12))/100)),MAX(0,Inputs!$B$43-((R2480-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100)*I2474)</f>
        <v/>
      </c>
      <c r="L2474">
        <f>K2474*(MIN(Inputs!$B$22+((C2487=TRUE)*(F2487-Calc!F22)),(Inputs!$B$23+((C2489=TRUE)*(F2489-Calc!F24))+(IF(ArtifactsInput!$M$15,CHOOSE(ArtifactsInput!$N$15+1,25,30,35,40,45,50)/100*(Inputs!$B$11-Inputs!$B$11),0))))/100+(Inputs!$B$23+((C2489=TRUE)*(F2489-Calc!F24))+(IF(ArtifactsInput!$M$15,CHOOSE(ArtifactsInput!$N$15+1,25,30,35,40,45,50)/100*(Inputs!$B$11-Inputs!$B$11),0)))/100)/2</f>
        <v/>
      </c>
      <c r="M2474">
        <f>L2474*(1+(Inputs!$B$10+0+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4">
        <f>L2474*(1-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2474*(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4">
        <f>(1-Summary!$B$11)*T2474+Summary!$B$11*V2474</f>
        <v/>
      </c>
      <c r="P2474">
        <f>IF(B2504=0,0,O2474/B2504)</f>
        <v/>
      </c>
      <c r="Q2474">
        <f>IFERROR(1/(IF(Inputs!$B$38="pvp",15,MAX(0.1,Skills!D9-IF(Skills!E9=TRUE,Inputs!$B$32,0)))*(1-IF(AND(ArtifactsInput!$M$27,Inputs!$B$4="Chapter Hunt"),CHOOSE(ArtifactsInput!$N$27+1,20,24,28,32,36,40),0)/100)),0)</f>
        <v/>
      </c>
      <c r="R2474">
        <f>IF(AND(Inputs!$B$38&lt;&gt;"pvp",Inputs!$B$43&gt;0),IF(MAX(0,Inputs!$B$43-B2501)&lt;=0,0,(INT(MAX(0,Inputs!$B$43-B2501)/(IF(Inputs!$B$38="pvp",15,MAX(0.1,Skills!D9-IF(Skills!E9=TRUE,Inputs!$B$32,0)))*(1-IF(AND(ArtifactsInput!$M$27,Inputs!$B$4="Chapter Hunt"),CHOOSE(ArtifactsInput!$N$27+1,20,24,28,32,36,40),0)/100)))+1)),0)</f>
        <v/>
      </c>
      <c r="S2474">
        <f>IFERROR(O2474/N2474,0)</f>
        <v/>
      </c>
      <c r="T2474">
        <f>IF(C2474,(H2474*N2474*IF(AND(Inputs!$B$38&lt;&gt;"pvp",Inputs!$B$43&gt;0),((Skills!G9*((R2474-1)*IF(Skills!H9&gt;0,Skills!I9/Skills!H9,1)+IF(Skills!H9&gt;0,MIN(Skills!I9,MAX(0,MAX(0,Inputs!$B$43-B2501)-((R2474-1)*(IF(Inputs!$B$38="pvp",15,MAX(0.1,Skills!D9-IF(Skills!E9=TRUE,Inputs!$B$32,0)))*(1-IF(AND(ArtifactsInput!$M$27,Inputs!$B$4="Chapter Hunt"),CHOOSE(ArtifactsInput!$N$27+1,20,24,28,32,36,40),0)/100)))))/Skills!H9,1)))/Inputs!$B$43),G2474*Q2474)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2474*(1-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2474*(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2474*(1-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2474*(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4">
        <f>IF(C2474,(H2474*N2474*IF(AND(Inputs!$B$38&lt;&gt;"pvp",Inputs!$B$43&gt;0),((Skills!G9*((R2474-1)*IF(Skills!H9&gt;0,Skills!I9/Skills!H9,1)+IF(Skills!H9&gt;0,MIN(Skills!I9,MAX(0,MAX(0,Inputs!$B$43-B2501)-((R2474-1)*(IF(Inputs!$B$38="pvp",15,MAX(0.1,Skills!D9-IF(Skills!E9=TRUE,Inputs!$B$32,0)))*(1-IF(AND(ArtifactsInput!$M$27,Inputs!$B$4="Chapter Hunt"),CHOOSE(ArtifactsInput!$N$27+1,20,24,28,32,36,40),0)/100)))))/Skills!H9,1)))/Inputs!$B$43),G2474*Q2474)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5">
      <c r="A2475">
        <f>Skills!A10</f>
        <v/>
      </c>
      <c r="B2475">
        <f>Skills!B10</f>
        <v/>
      </c>
      <c r="C2475">
        <f>Inputs!$B$3&gt;=63</f>
        <v/>
      </c>
      <c r="D2475">
        <f>IF(Skills!C10=1,60+Inputs!$B$25+Inputs!$B$29,IF(Skills!C10=2,90+Inputs!$B$26+Inputs!$B$29,IF(Skills!C10=3,120+Inputs!$B$27+Inputs!$B$29,MAX(0,(Inputs!$B$3-100)*3)+Inputs!$B$28+Inputs!$B$29)))</f>
        <v/>
      </c>
      <c r="E2475">
        <f>INDEX(FactorTable!$B$2:$Y$301, MATCH(ROUND(MIN(300,MAX(1,D2475)),0), FactorTable!$A$2:$A$301,0), Skills!M10+1)</f>
        <v/>
      </c>
      <c r="F2475">
        <f>IF(Skills!N10=TRUE,(Skills!L10/10)*(E2475/1000),Skills!L10/10)+Skills!O10</f>
        <v/>
      </c>
      <c r="G2475">
        <f>Skills!G10*IF(Skills!H10&gt;0,Skills!I10/Skills!H10,1)</f>
        <v/>
      </c>
      <c r="H2475">
        <f>1-(1-Skills!J10/100)^Skills!K10</f>
        <v/>
      </c>
      <c r="I2475" t="inlineStr">
        <is>
          <t>1</t>
        </is>
      </c>
      <c r="J2475">
        <f>((Inputs!$B$6*(1+Inputs!$B$7/100))+(((Inputs!$B$12*(1+Inputs!$B$13/100))-(Inputs!$B$12*(1+Inputs!$B$13/100)))+0.25*(Inputs!$B$14-Inputs!$B$14))*(1+Inputs!$B$7/100))*(F2475/100)</f>
        <v/>
      </c>
      <c r="K2475">
        <f>J2475*(1+((Inputs!$B$12*(1+Inputs!$B$13/100))*0.01+Inputs!$B$14*0.0025)/100)*(1+Inputs!$B$15/100)*(1+Inputs!$B$16/100)*(5000/(6000+Inputs!$B$42*(1-(100*(1-(1-(Inputs!$B$19+0)/100)*(1-CHOOSE(ArtifactsInput!$N$40+1,5,6,7,8,9,10)/100)^(ArtifactsInput!$M$40-ArtifactsInput!$M$40)))/100)))*(1+(Inputs!$B$24+((C2490=TRUE)*(F2490-Calc!F25))+B2500)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2477=TRUE,F2477,0)/100)*(1+IF(Skills!A10="ENHANCED_RAGING_BLOW",IF(Inputs!$B$3&gt;=134,MAX(0,IF(Inputs!$B$3&gt;=110,7,5)-5)*50,0),0)/100)*(1+(IF(Skills!A10="RAGING_BLOW",Inputs!$B$17+((C2486=TRUE)*(F2486-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2488=TRUE)*(F2488-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2478=TRUE)*F2478*IF(Inputs!$B$3&gt;=110,7,5))+((C2480=TRUE)*F2480*IF(AND(Inputs!$B$38&lt;&gt;"pvp",Inputs!$B$43&gt;0),(((R2480-1)*(Skills!T15*(1+(Inputs!$B$34+(ArtifactsInput!$M$7-ArtifactsInput!$M$7)*CHOOSE(ArtifactsInput!$N$7+1,6,7.2,8.4,9.6,10.8,12))/100))+MIN((Skills!T15*(1+(Inputs!$B$34+(ArtifactsInput!$M$7-ArtifactsInput!$M$7)*CHOOSE(ArtifactsInput!$N$7+1,6,7.2,8.4,9.6,10.8,12))/100)),MAX(0,Inputs!$B$43-((R2480-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100)*I2475)</f>
        <v/>
      </c>
      <c r="L2475">
        <f>K2475*(MIN(Inputs!$B$22+((C2487=TRUE)*(F2487-Calc!F22)),(Inputs!$B$23+((C2489=TRUE)*(F2489-Calc!F24))+(IF(ArtifactsInput!$M$15,CHOOSE(ArtifactsInput!$N$15+1,25,30,35,40,45,50)/100*(Inputs!$B$11-Inputs!$B$11),0))))/100+(Inputs!$B$23+((C2489=TRUE)*(F2489-Calc!F24))+(IF(ArtifactsInput!$M$15,CHOOSE(ArtifactsInput!$N$15+1,25,30,35,40,45,50)/100*(Inputs!$B$11-Inputs!$B$11),0)))/100)/2</f>
        <v/>
      </c>
      <c r="M2475">
        <f>L2475*(1+(Inputs!$B$10+0+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5">
        <f>L2475*(1-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2475*(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5">
        <f>(1-Summary!$B$11)*T2475+Summary!$B$11*V2475</f>
        <v/>
      </c>
      <c r="P2475">
        <f>IF(B2504=0,0,O2475/B2504)</f>
        <v/>
      </c>
      <c r="Q2475">
        <f>IFERROR(1/(IF(Inputs!$B$38="pvp",15,MAX(0.1,Skills!D10-IF(Skills!E10=TRUE,Inputs!$B$32,0)))*(1-IF(AND(ArtifactsInput!$M$27,Inputs!$B$4="Chapter Hunt"),CHOOSE(ArtifactsInput!$N$27+1,20,24,28,32,36,40),0)/100)),0)</f>
        <v/>
      </c>
      <c r="R2475">
        <f>IF(AND(Inputs!$B$38&lt;&gt;"pvp",Inputs!$B$43&gt;0),IF(MAX(0,Inputs!$B$43-B2501)&lt;=0,0,(INT(MAX(0,Inputs!$B$43-B2501)/(IF(Inputs!$B$38="pvp",15,MAX(0.1,Skills!D10-IF(Skills!E10=TRUE,Inputs!$B$32,0)))*(1-IF(AND(ArtifactsInput!$M$27,Inputs!$B$4="Chapter Hunt"),CHOOSE(ArtifactsInput!$N$27+1,20,24,28,32,36,40),0)/100)))+1)),0)</f>
        <v/>
      </c>
      <c r="S2475">
        <f>IFERROR(O2475/N2475,0)</f>
        <v/>
      </c>
      <c r="T2475">
        <f>IF(C2475,(H2475*N2475*IF(AND(Inputs!$B$38&lt;&gt;"pvp",Inputs!$B$43&gt;0),((Skills!G10*((R2475-1)*IF(Skills!H10&gt;0,Skills!I10/Skills!H10,1)+IF(Skills!H10&gt;0,MIN(Skills!I10,MAX(0,MAX(0,Inputs!$B$43-B2501)-((R2475-1)*(IF(Inputs!$B$38="pvp",15,MAX(0.1,Skills!D10-IF(Skills!E10=TRUE,Inputs!$B$32,0)))*(1-IF(AND(ArtifactsInput!$M$27,Inputs!$B$4="Chapter Hunt"),CHOOSE(ArtifactsInput!$N$27+1,20,24,28,32,36,40),0)/100)))))/Skills!H10,1)))/Inputs!$B$43),G2475*Q2475)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2475*(1-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2475*(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2475*(1-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2475*(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5">
        <f>IF(C2475,(H2475*N2475*IF(AND(Inputs!$B$38&lt;&gt;"pvp",Inputs!$B$43&gt;0),((Skills!G10*((R2475-1)*IF(Skills!H10&gt;0,Skills!I10/Skills!H10,1)+IF(Skills!H10&gt;0,MIN(Skills!I10,MAX(0,MAX(0,Inputs!$B$43-B2501)-((R2475-1)*(IF(Inputs!$B$38="pvp",15,MAX(0.1,Skills!D10-IF(Skills!E10=TRUE,Inputs!$B$32,0)))*(1-IF(AND(ArtifactsInput!$M$27,Inputs!$B$4="Chapter Hunt"),CHOOSE(ArtifactsInput!$N$27+1,20,24,28,32,36,40),0)/100)))))/Skills!H10,1)))/Inputs!$B$43),G2475*Q2475)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6">
      <c r="A2476">
        <f>Skills!A11</f>
        <v/>
      </c>
      <c r="B2476">
        <f>Skills!B11</f>
        <v/>
      </c>
      <c r="C2476">
        <f>Inputs!$B$3&gt;=35</f>
        <v/>
      </c>
      <c r="D2476">
        <f>IF(Skills!C11=1,60+Inputs!$B$25+Inputs!$B$29,IF(Skills!C11=2,90+Inputs!$B$26+Inputs!$B$29,IF(Skills!C11=3,120+Inputs!$B$27+Inputs!$B$29,MAX(0,(Inputs!$B$3-100)*3)+Inputs!$B$28+Inputs!$B$29)))</f>
        <v/>
      </c>
      <c r="E2476">
        <f>INDEX(FactorTable!$B$2:$Y$301, MATCH(ROUND(MIN(300,MAX(1,D2476)),0), FactorTable!$A$2:$A$301,0), Skills!M11+1)</f>
        <v/>
      </c>
      <c r="F2476">
        <f>IF(Skills!N11=TRUE,(Skills!L11/10)*(E2476/1000),Skills!L11/10)+Skills!O11</f>
        <v/>
      </c>
      <c r="G2476">
        <f>Skills!G11*IF(Skills!H11&gt;0,Skills!I11/Skills!H11,1)</f>
        <v/>
      </c>
      <c r="H2476">
        <f>1-(1-Skills!J11/100)^Skills!K11</f>
        <v/>
      </c>
      <c r="I2476" t="inlineStr">
        <is>
          <t>1</t>
        </is>
      </c>
      <c r="J2476">
        <f>((Inputs!$B$6*(1+Inputs!$B$7/100))+(((Inputs!$B$12*(1+Inputs!$B$13/100))-(Inputs!$B$12*(1+Inputs!$B$13/100)))+0.25*(Inputs!$B$14-Inputs!$B$14))*(1+Inputs!$B$7/100))*(F2476/100)</f>
        <v/>
      </c>
      <c r="K2476">
        <f>J2476*(1+((Inputs!$B$12*(1+Inputs!$B$13/100))*0.01+Inputs!$B$14*0.0025)/100)*(1+Inputs!$B$15/100)*(1+Inputs!$B$16/100)*(5000/(6000+Inputs!$B$42*(1-(100*(1-(1-(Inputs!$B$19+0)/100)*(1-CHOOSE(ArtifactsInput!$N$40+1,5,6,7,8,9,10)/100)^(ArtifactsInput!$M$40-ArtifactsInput!$M$40)))/100)))*(1+(Inputs!$B$24+((C2490=TRUE)*(F2490-Calc!F25))+B2500)/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2477=TRUE,F2477,0)/100)*(1+IF(Skills!A11="ENHANCED_RAGING_BLOW",IF(Inputs!$B$3&gt;=134,MAX(0,IF(Inputs!$B$3&gt;=110,7,5)-5)*50,0),0)/100)*(1+(IF(Skills!A11="RAGING_BLOW",Inputs!$B$17+((C2486=TRUE)*(F2486-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2488=TRUE)*(F2488-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2478=TRUE)*F2478*IF(Inputs!$B$3&gt;=110,7,5))+((C2480=TRUE)*F2480*IF(AND(Inputs!$B$38&lt;&gt;"pvp",Inputs!$B$43&gt;0),(((R2480-1)*(Skills!T15*(1+(Inputs!$B$34+(ArtifactsInput!$M$7-ArtifactsInput!$M$7)*CHOOSE(ArtifactsInput!$N$7+1,6,7.2,8.4,9.6,10.8,12))/100))+MIN((Skills!T15*(1+(Inputs!$B$34+(ArtifactsInput!$M$7-ArtifactsInput!$M$7)*CHOOSE(ArtifactsInput!$N$7+1,6,7.2,8.4,9.6,10.8,12))/100)),MAX(0,Inputs!$B$43-((R2480-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Hunt"),CHOOSE(ArtifactsInput!$N$35+1,15,18,21,24,27,30)*(1-EXP(-(0.2*B2496)*5)),0)+IF(AND(ArtifactsInput!$M$22,Inputs!$B$4&lt;&gt;"Chapter Hunt"),CHOOSE(ArtifactsInput!$N$22+1,10,12,14,16,18,20)*((0*(((0.15*B2496*5))^0/1)+1*(((0.15*B2496*5))^1/1)+2*(((0.15*B2496*5))^2/2)+3*(((0.15*B2496*5))^3/6)+4*(((0.15*B2496*5))^4/24)+5*(((0.15*B2496*5))^5/120))/((((0.15*B2496*5))^0/1)+(((0.15*B2496*5))^1/1)+(((0.15*B2496*5))^2/2)+(((0.15*B2496*5))^3/6)+(((0.15*B2496*5))^4/24)+(((0.15*B2496*5))^5/120))),0)))/100)*I2476)</f>
        <v/>
      </c>
      <c r="L2476">
        <f>K2476*(MIN(Inputs!$B$22+((C2487=TRUE)*(F2487-Calc!F22)),(Inputs!$B$23+((C2489=TRUE)*(F2489-Calc!F24))+(IF(ArtifactsInput!$M$15,CHOOSE(ArtifactsInput!$N$15+1,25,30,35,40,45,50)/100*(Inputs!$B$11-Inputs!$B$11),0))))/100+(Inputs!$B$23+((C2489=TRUE)*(F2489-Calc!F24))+(IF(ArtifactsInput!$M$15,CHOOSE(ArtifactsInput!$N$15+1,25,30,35,40,45,50)/100*(Inputs!$B$11-Inputs!$B$11),0)))/100)/2</f>
        <v/>
      </c>
      <c r="M2476">
        <f>L2476*(1+(Inputs!$B$10+0+B2499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6">
        <f>L2476*(1-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2476*(MIN((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6">
        <f>(1-Summary!$B$11)*T2476+Summary!$B$11*V2476</f>
        <v/>
      </c>
      <c r="P2476">
        <f>IF(B2504=0,0,O2476/B2504)</f>
        <v/>
      </c>
      <c r="Q2476">
        <f>IFERROR(1/(IF(Inputs!$B$38="pvp",15,MAX(0.1,Skills!D11-IF(Skills!E11=TRUE,Inputs!$B$32,0)))*(1-IF(AND(ArtifactsInput!$M$27,Inputs!$B$4="Chapter Hunt"),CHOOSE(ArtifactsInput!$N$27+1,20,24,28,32,36,40),0)/100)),0)</f>
        <v/>
      </c>
      <c r="R2476">
        <f>IF(AND(Inputs!$B$38&lt;&gt;"pvp",Inputs!$B$43&gt;0),IF(MAX(0,Inputs!$B$43-B2501)&lt;=0,0,(INT(MAX(0,Inputs!$B$43-B2501)/(IF(Inputs!$B$38="pvp",15,MAX(0.1,Skills!D11-IF(Skills!E11=TRUE,Inputs!$B$32,0)))*(1-IF(AND(ArtifactsInput!$M$27,Inputs!$B$4="Chapter Hunt"),CHOOSE(ArtifactsInput!$N$27+1,20,24,28,32,36,40),0)/100)))+1)),0)</f>
        <v/>
      </c>
      <c r="S2476">
        <f>IFERROR(O2476/N2476,0)</f>
        <v/>
      </c>
      <c r="T2476">
        <f>IF(C2476,(H2476*N2476*IF(AND(Inputs!$B$38&lt;&gt;"pvp",Inputs!$B$43&gt;0),((Skills!G11*((R2476-1)*IF(Skills!H11&gt;0,Skills!I11/Skills!H11,1)+IF(Skills!H11&gt;0,MIN(Skills!I11,MAX(0,MAX(0,Inputs!$B$43-B2501)-((R2476-1)*(IF(Inputs!$B$38="pvp",15,MAX(0.1,Skills!D11-IF(Skills!E11=TRUE,Inputs!$B$32,0)))*(1-IF(AND(ArtifactsInput!$M$27,Inputs!$B$4="Chapter Hunt"),CHOOSE(ArtifactsInput!$N$27+1,20,24,28,32,36,40),0)/100)))))/Skills!H11,1)))/Inputs!$B$43),G2476*Q2476)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2476*(1-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2476*(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2476*(1-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2476*(MIN(100,(Inputs!$B$9+((C2491=TRUE)*(F2491-Calc!F26))+B2494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6">
        <f>IF(C2476,(H2476*N2476*IF(AND(Inputs!$B$38&lt;&gt;"pvp",Inputs!$B$43&gt;0),((Skills!G11*((R2476-1)*IF(Skills!H11&gt;0,Skills!I11/Skills!H11,1)+IF(Skills!H11&gt;0,MIN(Skills!I11,MAX(0,MAX(0,Inputs!$B$43-B2501)-((R2476-1)*(IF(Inputs!$B$38="pvp",15,MAX(0.1,Skills!D11-IF(Skills!E11=TRUE,Inputs!$B$32,0)))*(1-IF(AND(ArtifactsInput!$M$27,Inputs!$B$4="Chapter Hunt"),CHOOSE(ArtifactsInput!$N$27+1,20,24,28,32,36,40),0)/100)))))/Skills!H11,1)))/Inputs!$B$43),G2476*Q2476)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7">
      <c r="A2477">
        <f>Skills!A12</f>
        <v/>
      </c>
      <c r="B2477">
        <f>Skills!B12</f>
        <v/>
      </c>
      <c r="C2477">
        <f>Inputs!$B$3&gt;=100</f>
        <v/>
      </c>
      <c r="D2477">
        <f>IF(Skills!C12=1,60+Inputs!$B$25+Inputs!$B$29,IF(Skills!C12=2,90+Inputs!$B$26+Inputs!$B$29,IF(Skills!C12=3,120+Inputs!$B$27+Inputs!$B$29,MAX(0,(Inputs!$B$3-100)*3)+Inputs!$B$28+Inputs!$B$29)))</f>
        <v/>
      </c>
      <c r="E2477">
        <f>INDEX(FactorTable!$B$2:$Y$301, MATCH(ROUND(MIN(300,MAX(1,D2477)),0), FactorTable!$A$2:$A$301,0), Skills!M12+1)</f>
        <v/>
      </c>
      <c r="F2477">
        <f>IF(Skills!N12=TRUE,(Skills!L12/10)*(E2477/1000),Skills!L12/10)+Skills!O12</f>
        <v/>
      </c>
      <c r="G2477" t="inlineStr"/>
      <c r="H2477" t="inlineStr"/>
      <c r="I2477" t="inlineStr">
        <is>
          <t>1</t>
        </is>
      </c>
      <c r="J2477" t="inlineStr"/>
      <c r="K2477" t="inlineStr"/>
      <c r="L2477" t="inlineStr"/>
      <c r="M2477" t="inlineStr"/>
      <c r="N2477" t="inlineStr"/>
      <c r="O2477" t="inlineStr"/>
      <c r="P2477" t="inlineStr"/>
      <c r="Q2477" t="inlineStr"/>
      <c r="R2477" t="inlineStr"/>
      <c r="S2477" t="inlineStr"/>
    </row>
    <row r="2478">
      <c r="A2478">
        <f>Skills!A13</f>
        <v/>
      </c>
      <c r="B2478">
        <f>Skills!B13</f>
        <v/>
      </c>
      <c r="C2478">
        <f>Inputs!$B$3&gt;=45</f>
        <v/>
      </c>
      <c r="D2478">
        <f>IF(Skills!C13=1,60+Inputs!$B$25+Inputs!$B$29,IF(Skills!C13=2,90+Inputs!$B$26+Inputs!$B$29,IF(Skills!C13=3,120+Inputs!$B$27+Inputs!$B$29,MAX(0,(Inputs!$B$3-100)*3)+Inputs!$B$28+Inputs!$B$29)))</f>
        <v/>
      </c>
      <c r="E2478">
        <f>INDEX(FactorTable!$B$2:$Y$301, MATCH(ROUND(MIN(300,MAX(1,D2478)),0), FactorTable!$A$2:$A$301,0), Skills!M13+1)</f>
        <v/>
      </c>
      <c r="F2478">
        <f>IF(Skills!N13=TRUE,(Skills!L13/10)*(E2478/1000),Skills!L13/10)+Skills!O13</f>
        <v/>
      </c>
      <c r="G2478">
        <f>Skills!G13*IF(Skills!H13&gt;0,Skills!I13/Skills!H13,1)</f>
        <v/>
      </c>
      <c r="H2478">
        <f>1-(1-Skills!J13/100)^Skills!K13</f>
        <v/>
      </c>
      <c r="I2478" t="inlineStr">
        <is>
          <t>1</t>
        </is>
      </c>
      <c r="J2478" t="inlineStr"/>
      <c r="K2478" t="inlineStr"/>
      <c r="L2478" t="inlineStr"/>
      <c r="M2478" t="inlineStr"/>
      <c r="N2478" t="inlineStr"/>
      <c r="O2478">
        <f>(1-Summary!$B$11)*T2478+Summary!$B$11*V2478</f>
        <v/>
      </c>
      <c r="P2478">
        <f>IF(B2504=0,0,O2478/B2504)</f>
        <v/>
      </c>
      <c r="Q2478" t="n">
        <v>0</v>
      </c>
      <c r="R2478" t="n">
        <v>0</v>
      </c>
      <c r="S2478">
        <f>IFERROR(O2478/N2478,0)</f>
        <v/>
      </c>
      <c r="T2478" t="n">
        <v>0</v>
      </c>
      <c r="V2478" t="n">
        <v>0</v>
      </c>
    </row>
    <row r="2479">
      <c r="A2479">
        <f>Skills!A14</f>
        <v/>
      </c>
      <c r="B2479">
        <f>Skills!B14</f>
        <v/>
      </c>
      <c r="C2479">
        <f>Inputs!$B$3&gt;=75</f>
        <v/>
      </c>
      <c r="D2479">
        <f>IF(Skills!C14=1,60+Inputs!$B$25+Inputs!$B$29,IF(Skills!C14=2,90+Inputs!$B$26+Inputs!$B$29,IF(Skills!C14=3,120+Inputs!$B$27+Inputs!$B$29,MAX(0,(Inputs!$B$3-100)*3)+Inputs!$B$28+Inputs!$B$29)))</f>
        <v/>
      </c>
      <c r="E2479">
        <f>INDEX(FactorTable!$B$2:$Y$301, MATCH(ROUND(MIN(300,MAX(1,D2479)),0), FactorTable!$A$2:$A$301,0), Skills!M14+1)</f>
        <v/>
      </c>
      <c r="F2479">
        <f>IF(Skills!N14=TRUE,(Skills!L14/10)*(E2479/1000),Skills!L14/10)+Skills!O14</f>
        <v/>
      </c>
      <c r="G2479">
        <f>Skills!G14*IF(Skills!H14&gt;0,Skills!I14/Skills!H14,1)</f>
        <v/>
      </c>
      <c r="H2479">
        <f>1-(1-Skills!J14/100)^Skills!K14</f>
        <v/>
      </c>
      <c r="I2479" t="inlineStr">
        <is>
          <t>1</t>
        </is>
      </c>
      <c r="J2479" t="inlineStr"/>
      <c r="K2479" t="inlineStr"/>
      <c r="L2479" t="inlineStr"/>
      <c r="M2479" t="inlineStr"/>
      <c r="N2479" t="inlineStr"/>
      <c r="O2479">
        <f>(1-Summary!$B$11)*T2479+Summary!$B$11*V2479</f>
        <v/>
      </c>
      <c r="P2479">
        <f>IF(B2504=0,0,O2479/B2504)</f>
        <v/>
      </c>
      <c r="Q2479" t="n">
        <v>0</v>
      </c>
      <c r="R2479" t="n">
        <v>0</v>
      </c>
      <c r="S2479">
        <f>IFERROR(O2479/N2479,0)</f>
        <v/>
      </c>
      <c r="T2479" t="n">
        <v>0</v>
      </c>
      <c r="V2479" t="n">
        <v>0</v>
      </c>
    </row>
    <row r="2480">
      <c r="A2480">
        <f>Skills!A15</f>
        <v/>
      </c>
      <c r="B2480">
        <f>Skills!B15</f>
        <v/>
      </c>
      <c r="C2480">
        <f>Inputs!$B$3&gt;=40</f>
        <v/>
      </c>
      <c r="D2480">
        <f>IF(Skills!C15=1,60+Inputs!$B$25+Inputs!$B$29,IF(Skills!C15=2,90+Inputs!$B$26+Inputs!$B$29,IF(Skills!C15=3,120+Inputs!$B$27+Inputs!$B$29,MAX(0,(Inputs!$B$3-100)*3)+Inputs!$B$28+Inputs!$B$29)))</f>
        <v/>
      </c>
      <c r="E2480">
        <f>INDEX(FactorTable!$B$2:$Y$301, MATCH(ROUND(MIN(300,MAX(1,D2480)),0), FactorTable!$A$2:$A$301,0), Skills!M15+1)</f>
        <v/>
      </c>
      <c r="F2480">
        <f>IF(Skills!N15=TRUE,(Skills!L15/10)*(E2480/1000),Skills!L15/10)+Skills!O15</f>
        <v/>
      </c>
      <c r="G2480">
        <f>Skills!G15*IF(Skills!H15&gt;0,Skills!I15/Skills!H15,1)</f>
        <v/>
      </c>
      <c r="H2480">
        <f>1-(1-Skills!J15/100)^Skills!K15</f>
        <v/>
      </c>
      <c r="I2480" t="inlineStr">
        <is>
          <t>1</t>
        </is>
      </c>
      <c r="J2480" t="inlineStr"/>
      <c r="K2480" t="inlineStr"/>
      <c r="L2480" t="inlineStr"/>
      <c r="M2480" t="inlineStr"/>
      <c r="N2480" t="inlineStr"/>
      <c r="O2480">
        <f>(1-Summary!$B$11)*T2480+Summary!$B$11*V2480</f>
        <v/>
      </c>
      <c r="P2480">
        <f>IF(B2504=0,0,O2480/B2504)</f>
        <v/>
      </c>
      <c r="Q2480">
        <f>IFERROR(1/(IF(Inputs!$B$38="pvp",15,MAX(0.1,Skills!D15-IF(Skills!E15=TRUE,Inputs!$B$32,0)))*(1-IF(AND(ArtifactsInput!$M$27,Inputs!$B$4="Chapter Hunt"),CHOOSE(ArtifactsInput!$N$27+1,20,24,28,32,36,40),0)/100)),0)</f>
        <v/>
      </c>
      <c r="R2480">
        <f>IF(AND(Inputs!$B$38&lt;&gt;"pvp",Inputs!$B$43&gt;0),IF(Inputs!$B$43&lt;=0,0,(INT(Inputs!$B$43/(IF(Inputs!$B$38="pvp",15,MAX(0.1,Skills!D15-IF(Skills!E15=TRUE,Inputs!$B$32,0)))*(1-IF(AND(ArtifactsInput!$M$27,Inputs!$B$4="Chapter Hunt"),CHOOSE(ArtifactsInput!$N$27+1,20,24,28,32,36,40),0)/100)))+1)),0)</f>
        <v/>
      </c>
      <c r="S2480">
        <f>IFERROR(O2480/N2480,0)</f>
        <v/>
      </c>
      <c r="T2480" t="n">
        <v>0</v>
      </c>
      <c r="V2480" t="n">
        <v>0</v>
      </c>
    </row>
    <row r="2481">
      <c r="A2481">
        <f>Skills!A16</f>
        <v/>
      </c>
      <c r="B2481">
        <f>Skills!B16</f>
        <v/>
      </c>
      <c r="C2481">
        <f>Inputs!$B$3&gt;=66</f>
        <v/>
      </c>
      <c r="D2481">
        <f>IF(Skills!C16=1,60+Inputs!$B$25+Inputs!$B$29,IF(Skills!C16=2,90+Inputs!$B$26+Inputs!$B$29,IF(Skills!C16=3,120+Inputs!$B$27+Inputs!$B$29,MAX(0,(Inputs!$B$3-100)*3)+Inputs!$B$28+Inputs!$B$29)))</f>
        <v/>
      </c>
      <c r="E2481">
        <f>INDEX(FactorTable!$B$2:$Y$301, MATCH(ROUND(MIN(300,MAX(1,D2481)),0), FactorTable!$A$2:$A$301,0), Skills!M16+1)</f>
        <v/>
      </c>
      <c r="F2481">
        <f>IF(Skills!N16=TRUE,(Skills!L16/10)*(E2481/1000),Skills!L16/10)+Skills!O16</f>
        <v/>
      </c>
      <c r="G2481">
        <f>Skills!G16*IF(Skills!H16&gt;0,Skills!I16/Skills!H16,1)</f>
        <v/>
      </c>
      <c r="H2481">
        <f>1-(1-Skills!J16/100)^Skills!K16</f>
        <v/>
      </c>
      <c r="I2481" t="inlineStr">
        <is>
          <t>1</t>
        </is>
      </c>
      <c r="J2481" t="inlineStr"/>
      <c r="K2481" t="inlineStr"/>
      <c r="L2481" t="inlineStr"/>
      <c r="M2481" t="inlineStr"/>
      <c r="N2481" t="inlineStr"/>
      <c r="O2481">
        <f>(1-Summary!$B$11)*T2481+Summary!$B$11*V2481</f>
        <v/>
      </c>
      <c r="P2481">
        <f>IF(B2504=0,0,O2481/B2504)</f>
        <v/>
      </c>
      <c r="Q2481">
        <f>IFERROR(1/(IF(Inputs!$B$38="pvp",15,MAX(0.1,Skills!D16-IF(Skills!E16=TRUE,Inputs!$B$32,0)))*(1-IF(AND(ArtifactsInput!$M$27,Inputs!$B$4="Chapter Hunt"),CHOOSE(ArtifactsInput!$N$27+1,20,24,28,32,36,40),0)/100)),0)</f>
        <v/>
      </c>
      <c r="R2481">
        <f>IF(AND(Inputs!$B$38&lt;&gt;"pvp",Inputs!$B$43&gt;0),IF(Inputs!$B$43&lt;=0,0,(INT(Inputs!$B$43/(IF(Inputs!$B$38="pvp",15,MAX(0.1,Skills!D16-IF(Skills!E16=TRUE,Inputs!$B$32,0)))*(1-IF(AND(ArtifactsInput!$M$27,Inputs!$B$4="Chapter Hunt"),CHOOSE(ArtifactsInput!$N$27+1,20,24,28,32,36,40),0)/100)))+1)),0)</f>
        <v/>
      </c>
      <c r="S2481">
        <f>IFERROR(O2481/N2481,0)</f>
        <v/>
      </c>
      <c r="T2481" t="n">
        <v>0</v>
      </c>
      <c r="V2481" t="n">
        <v>0</v>
      </c>
    </row>
    <row r="2482">
      <c r="A2482">
        <f>Skills!A17</f>
        <v/>
      </c>
      <c r="B2482">
        <f>Skills!B17</f>
        <v/>
      </c>
      <c r="C2482">
        <f>Inputs!$B$3&gt;=115</f>
        <v/>
      </c>
      <c r="D2482">
        <f>IF(Skills!C17=1,60+Inputs!$B$25+Inputs!$B$29,IF(Skills!C17=2,90+Inputs!$B$26+Inputs!$B$29,IF(Skills!C17=3,120+Inputs!$B$27+Inputs!$B$29,MAX(0,(Inputs!$B$3-100)*3)+Inputs!$B$28+Inputs!$B$29)))</f>
        <v/>
      </c>
      <c r="E2482">
        <f>INDEX(FactorTable!$B$2:$Y$301, MATCH(ROUND(MIN(300,MAX(1,D2482)),0), FactorTable!$A$2:$A$301,0), Skills!M17+1)</f>
        <v/>
      </c>
      <c r="F2482">
        <f>IF(Skills!N17=TRUE,(Skills!L17/10)*(E2482/1000),Skills!L17/10)+Skills!O17</f>
        <v/>
      </c>
      <c r="G2482">
        <f>Skills!G17*IF(Skills!H17&gt;0,Skills!I17/Skills!H17,1)</f>
        <v/>
      </c>
      <c r="H2482">
        <f>1-(1-Skills!J17/100)^Skills!K17</f>
        <v/>
      </c>
      <c r="I2482" t="inlineStr">
        <is>
          <t>1</t>
        </is>
      </c>
      <c r="J2482" t="inlineStr"/>
      <c r="K2482" t="inlineStr"/>
      <c r="L2482" t="inlineStr"/>
      <c r="M2482" t="inlineStr"/>
      <c r="N2482" t="inlineStr"/>
      <c r="O2482">
        <f>(1-Summary!$B$11)*T2482+Summary!$B$11*V2482</f>
        <v/>
      </c>
      <c r="P2482">
        <f>IF(B2504=0,0,O2482/B2504)</f>
        <v/>
      </c>
      <c r="Q2482">
        <f>IFERROR(1/(IF(Inputs!$B$38="pvp",15,MAX(0.1,Skills!D17-IF(Skills!E17=TRUE,Inputs!$B$32,0)))*(1-IF(AND(ArtifactsInput!$M$27,Inputs!$B$4="Chapter Hunt"),CHOOSE(ArtifactsInput!$N$27+1,20,24,28,32,36,40),0)/100)),0)</f>
        <v/>
      </c>
      <c r="R2482">
        <f>IF(AND(Inputs!$B$38&lt;&gt;"pvp",Inputs!$B$43&gt;0),IF(Inputs!$B$43&lt;=0,0,(INT(Inputs!$B$43/(IF(Inputs!$B$38="pvp",15,MAX(0.1,Skills!D17-IF(Skills!E17=TRUE,Inputs!$B$32,0)))*(1-IF(AND(ArtifactsInput!$M$27,Inputs!$B$4="Chapter Hunt"),CHOOSE(ArtifactsInput!$N$27+1,20,24,28,32,36,40),0)/100)))+1)),0)</f>
        <v/>
      </c>
      <c r="S2482">
        <f>IFERROR(O2482/N2482,0)</f>
        <v/>
      </c>
      <c r="T2482" t="n">
        <v>0</v>
      </c>
      <c r="V2482" t="n">
        <v>0</v>
      </c>
    </row>
    <row r="2483">
      <c r="A2483">
        <f>Skills!A18</f>
        <v/>
      </c>
      <c r="B2483">
        <f>Skills!B18</f>
        <v/>
      </c>
      <c r="C2483">
        <f>Inputs!$B$3&gt;=115</f>
        <v/>
      </c>
      <c r="D2483">
        <f>IF(Skills!C18=1,60+Inputs!$B$25+Inputs!$B$29,IF(Skills!C18=2,90+Inputs!$B$26+Inputs!$B$29,IF(Skills!C18=3,120+Inputs!$B$27+Inputs!$B$29,MAX(0,(Inputs!$B$3-100)*3)+Inputs!$B$28+Inputs!$B$29)))</f>
        <v/>
      </c>
      <c r="E2483">
        <f>INDEX(FactorTable!$B$2:$Y$301, MATCH(ROUND(MIN(300,MAX(1,D2483)),0), FactorTable!$A$2:$A$301,0), Skills!M18+1)</f>
        <v/>
      </c>
      <c r="F2483">
        <f>IF(Skills!N18=TRUE,(Skills!L18/10)*(E2483/1000),Skills!L18/10)+Skills!O18</f>
        <v/>
      </c>
      <c r="G2483">
        <f>Skills!G18*IF(Skills!H18&gt;0,Skills!I18/Skills!H18,1)</f>
        <v/>
      </c>
      <c r="H2483">
        <f>1-(1-Skills!J18/100)^Skills!K18</f>
        <v/>
      </c>
      <c r="I2483" t="inlineStr">
        <is>
          <t>1</t>
        </is>
      </c>
      <c r="J2483" t="inlineStr"/>
      <c r="K2483" t="inlineStr"/>
      <c r="L2483" t="inlineStr"/>
      <c r="M2483" t="inlineStr"/>
      <c r="N2483" t="inlineStr"/>
      <c r="O2483">
        <f>(1-Summary!$B$11)*T2483+Summary!$B$11*V2483</f>
        <v/>
      </c>
      <c r="P2483">
        <f>IF(B2504=0,0,O2483/B2504)</f>
        <v/>
      </c>
      <c r="Q2483">
        <f>IFERROR(1/(IF(Inputs!$B$38="pvp",15,MAX(0.1,Skills!D18-IF(Skills!E18=TRUE,Inputs!$B$32,0)))*(1-IF(AND(ArtifactsInput!$M$27,Inputs!$B$4="Chapter Hunt"),CHOOSE(ArtifactsInput!$N$27+1,20,24,28,32,36,40),0)/100)),0)</f>
        <v/>
      </c>
      <c r="R2483">
        <f>IF(AND(Inputs!$B$38&lt;&gt;"pvp",Inputs!$B$43&gt;0),IF(Inputs!$B$43&lt;=0,0,(INT(Inputs!$B$43/(IF(Inputs!$B$38="pvp",15,MAX(0.1,Skills!D18-IF(Skills!E18=TRUE,Inputs!$B$32,0)))*(1-IF(AND(ArtifactsInput!$M$27,Inputs!$B$4="Chapter Hunt"),CHOOSE(ArtifactsInput!$N$27+1,20,24,28,32,36,40),0)/100)))+1)),0)</f>
        <v/>
      </c>
      <c r="S2483">
        <f>IFERROR(O2483/N2483,0)</f>
        <v/>
      </c>
      <c r="T2483" t="n">
        <v>0</v>
      </c>
      <c r="V2483" t="n">
        <v>0</v>
      </c>
    </row>
    <row r="2484">
      <c r="A2484">
        <f>Skills!A19</f>
        <v/>
      </c>
      <c r="B2484">
        <f>Skills!B19</f>
        <v/>
      </c>
      <c r="C2484">
        <f>TRUE</f>
        <v/>
      </c>
      <c r="D2484">
        <f>IF(Skills!C19=1,60+Inputs!$B$25+Inputs!$B$29,IF(Skills!C19=2,90+Inputs!$B$26+Inputs!$B$29,IF(Skills!C19=3,120+Inputs!$B$27+Inputs!$B$29,MAX(0,(Inputs!$B$3-100)*3)+Inputs!$B$28+Inputs!$B$29)))</f>
        <v/>
      </c>
      <c r="E2484">
        <f>INDEX(FactorTable!$B$2:$Y$301, MATCH(ROUND(MIN(300,MAX(1,D2484)),0), FactorTable!$A$2:$A$301,0), Skills!M19+1)</f>
        <v/>
      </c>
      <c r="F2484">
        <f>IF(Skills!N19=TRUE,(Skills!L19/10)*(E2484/1000),Skills!L19/10)+Skills!O19</f>
        <v/>
      </c>
      <c r="G2484">
        <f>Skills!G19*IF(Skills!H19&gt;0,Skills!I19/Skills!H19,1)</f>
        <v/>
      </c>
      <c r="H2484">
        <f>1-(1-Skills!J19/100)^Skills!K19</f>
        <v/>
      </c>
      <c r="I2484" t="inlineStr">
        <is>
          <t>1</t>
        </is>
      </c>
      <c r="J2484" t="inlineStr"/>
      <c r="K2484" t="inlineStr"/>
      <c r="L2484" t="inlineStr"/>
      <c r="M2484" t="inlineStr"/>
      <c r="N2484" t="inlineStr"/>
      <c r="O2484">
        <f>(1-Summary!$B$11)*T2484+Summary!$B$11*V2484</f>
        <v/>
      </c>
      <c r="P2484">
        <f>IF(B2504=0,0,O2484/B2504)</f>
        <v/>
      </c>
      <c r="Q2484">
        <f>IFERROR(1/(IF(Inputs!$B$38="pvp",15,MAX(0.1,Skills!D19-IF(Skills!E19=TRUE,Inputs!$B$32,0)))*(1-IF(AND(ArtifactsInput!$M$27,Inputs!$B$4="Chapter Hunt"),CHOOSE(ArtifactsInput!$N$27+1,20,24,28,32,36,40),0)/100)),0)</f>
        <v/>
      </c>
      <c r="R2484">
        <f>IF(AND(Inputs!$B$38&lt;&gt;"pvp",Inputs!$B$43&gt;0),IF(Inputs!$B$43&lt;=0,0,(INT(Inputs!$B$43/(IF(Inputs!$B$38="pvp",15,MAX(0.1,Skills!D19-IF(Skills!E19=TRUE,Inputs!$B$32,0)))*(1-IF(AND(ArtifactsInput!$M$27,Inputs!$B$4="Chapter Hunt"),CHOOSE(ArtifactsInput!$N$27+1,20,24,28,32,36,40),0)/100)))+1)),0)</f>
        <v/>
      </c>
      <c r="S2484">
        <f>IFERROR(O2484/N2484,0)</f>
        <v/>
      </c>
      <c r="T2484" t="n">
        <v>0</v>
      </c>
      <c r="V2484" t="n">
        <v>0</v>
      </c>
    </row>
    <row r="2485">
      <c r="A2485">
        <f>Skills!A20</f>
        <v/>
      </c>
      <c r="B2485">
        <f>Skills!B20</f>
        <v/>
      </c>
      <c r="C2485">
        <f>Inputs!$B$3&gt;=33</f>
        <v/>
      </c>
      <c r="D2485">
        <f>IF(Skills!C20=1,60+Inputs!$B$25+Inputs!$B$29,IF(Skills!C20=2,90+Inputs!$B$26+Inputs!$B$29,IF(Skills!C20=3,120+Inputs!$B$27+Inputs!$B$29,MAX(0,(Inputs!$B$3-100)*3)+Inputs!$B$28+Inputs!$B$29)))</f>
        <v/>
      </c>
      <c r="E2485">
        <f>INDEX(FactorTable!$B$2:$Y$301, MATCH(ROUND(MIN(300,MAX(1,D2485)),0), FactorTable!$A$2:$A$301,0), Skills!M20+1)</f>
        <v/>
      </c>
      <c r="F2485">
        <f>IF(Skills!N20=TRUE,(Skills!L20/10)*(E2485/1000),Skills!L20/10)+Skills!O20</f>
        <v/>
      </c>
      <c r="G2485">
        <f>Skills!G20*IF(Skills!H20&gt;0,Skills!I20/Skills!H20,1)</f>
        <v/>
      </c>
      <c r="H2485">
        <f>1-(1-Skills!J20/100)^Skills!K20</f>
        <v/>
      </c>
      <c r="I2485" t="inlineStr">
        <is>
          <t>1</t>
        </is>
      </c>
      <c r="J2485" t="inlineStr"/>
      <c r="K2485" t="inlineStr"/>
      <c r="L2485" t="inlineStr"/>
      <c r="M2485" t="inlineStr"/>
      <c r="N2485" t="inlineStr"/>
      <c r="O2485">
        <f>(1-Summary!$B$11)*T2485+Summary!$B$11*V2485</f>
        <v/>
      </c>
      <c r="P2485">
        <f>IF(B2504=0,0,O2485/B2504)</f>
        <v/>
      </c>
      <c r="Q2485" t="n">
        <v>0</v>
      </c>
      <c r="R2485" t="n">
        <v>0</v>
      </c>
      <c r="S2485">
        <f>IFERROR(O2485/N2485,0)</f>
        <v/>
      </c>
      <c r="T2485" t="n">
        <v>0</v>
      </c>
      <c r="V2485" t="n">
        <v>0</v>
      </c>
    </row>
    <row r="2486">
      <c r="A2486">
        <f>Skills!A21</f>
        <v/>
      </c>
      <c r="B2486">
        <f>Skills!B21</f>
        <v/>
      </c>
      <c r="C2486">
        <f>Inputs!$B$3&gt;=38</f>
        <v/>
      </c>
      <c r="D2486">
        <f>IF(Skills!C21=1,60+Inputs!$B$25+Inputs!$B$29,IF(Skills!C21=2,90+Inputs!$B$26+Inputs!$B$29,IF(Skills!C21=3,120+Inputs!$B$27+Inputs!$B$29,MAX(0,(Inputs!$B$3-100)*3)+Inputs!$B$28+Inputs!$B$29)))</f>
        <v/>
      </c>
      <c r="E2486">
        <f>INDEX(FactorTable!$B$2:$Y$301, MATCH(ROUND(MIN(300,MAX(1,D2486)),0), FactorTable!$A$2:$A$301,0), Skills!M21+1)</f>
        <v/>
      </c>
      <c r="F2486">
        <f>IF(Skills!N21=TRUE,(Skills!L21/10)*(E2486/1000),Skills!L21/10)+Skills!O21</f>
        <v/>
      </c>
      <c r="G2486">
        <f>Skills!G21*IF(Skills!H21&gt;0,Skills!I21/Skills!H21,1)</f>
        <v/>
      </c>
      <c r="H2486">
        <f>1-(1-Skills!J21/100)^Skills!K21</f>
        <v/>
      </c>
      <c r="I2486" t="inlineStr">
        <is>
          <t>1</t>
        </is>
      </c>
      <c r="J2486" t="inlineStr"/>
      <c r="K2486" t="inlineStr"/>
      <c r="L2486" t="inlineStr"/>
      <c r="M2486" t="inlineStr"/>
      <c r="N2486" t="inlineStr"/>
      <c r="O2486">
        <f>(1-Summary!$B$11)*T2486+Summary!$B$11*V2486</f>
        <v/>
      </c>
      <c r="P2486">
        <f>IF(B2504=0,0,O2486/B2504)</f>
        <v/>
      </c>
      <c r="Q2486" t="n">
        <v>0</v>
      </c>
      <c r="R2486" t="n">
        <v>0</v>
      </c>
      <c r="S2486">
        <f>IFERROR(O2486/N2486,0)</f>
        <v/>
      </c>
      <c r="T2486" t="n">
        <v>0</v>
      </c>
      <c r="V2486" t="n">
        <v>0</v>
      </c>
    </row>
    <row r="2487">
      <c r="A2487">
        <f>Skills!A22</f>
        <v/>
      </c>
      <c r="B2487">
        <f>Skills!B22</f>
        <v/>
      </c>
      <c r="C2487">
        <f>Inputs!$B$3&gt;=43</f>
        <v/>
      </c>
      <c r="D2487">
        <f>IF(Skills!C22=1,60+Inputs!$B$25+Inputs!$B$29,IF(Skills!C22=2,90+Inputs!$B$26+Inputs!$B$29,IF(Skills!C22=3,120+Inputs!$B$27+Inputs!$B$29,MAX(0,(Inputs!$B$3-100)*3)+Inputs!$B$28+Inputs!$B$29)))</f>
        <v/>
      </c>
      <c r="E2487">
        <f>INDEX(FactorTable!$B$2:$Y$301, MATCH(ROUND(MIN(300,MAX(1,D2487)),0), FactorTable!$A$2:$A$301,0), Skills!M22+1)</f>
        <v/>
      </c>
      <c r="F2487">
        <f>IF(Skills!N22=TRUE,(Skills!L22/10)*(E2487/1000),Skills!L22/10)+Skills!O22</f>
        <v/>
      </c>
      <c r="G2487">
        <f>Skills!G22*IF(Skills!H22&gt;0,Skills!I22/Skills!H22,1)</f>
        <v/>
      </c>
      <c r="H2487">
        <f>1-(1-Skills!J22/100)^Skills!K22</f>
        <v/>
      </c>
      <c r="I2487" t="inlineStr">
        <is>
          <t>1</t>
        </is>
      </c>
      <c r="J2487" t="inlineStr"/>
      <c r="K2487" t="inlineStr"/>
      <c r="L2487" t="inlineStr"/>
      <c r="M2487" t="inlineStr"/>
      <c r="N2487" t="inlineStr"/>
      <c r="O2487">
        <f>(1-Summary!$B$11)*T2487+Summary!$B$11*V2487</f>
        <v/>
      </c>
      <c r="P2487">
        <f>IF(B2504=0,0,O2487/B2504)</f>
        <v/>
      </c>
      <c r="Q2487" t="n">
        <v>0</v>
      </c>
      <c r="R2487" t="n">
        <v>0</v>
      </c>
      <c r="S2487">
        <f>IFERROR(O2487/N2487,0)</f>
        <v/>
      </c>
      <c r="T2487" t="n">
        <v>0</v>
      </c>
      <c r="V2487" t="n">
        <v>0</v>
      </c>
    </row>
    <row r="2488">
      <c r="A2488">
        <f>Skills!A23</f>
        <v/>
      </c>
      <c r="B2488">
        <f>Skills!B23</f>
        <v/>
      </c>
      <c r="C2488">
        <f>Inputs!$B$3&gt;=120</f>
        <v/>
      </c>
      <c r="D2488">
        <f>IF(Skills!C23=1,60+Inputs!$B$25+Inputs!$B$29,IF(Skills!C23=2,90+Inputs!$B$26+Inputs!$B$29,IF(Skills!C23=3,120+Inputs!$B$27+Inputs!$B$29,MAX(0,(Inputs!$B$3-100)*3)+Inputs!$B$28+Inputs!$B$29)))</f>
        <v/>
      </c>
      <c r="E2488">
        <f>INDEX(FactorTable!$B$2:$Y$301, MATCH(ROUND(MIN(300,MAX(1,D2488)),0), FactorTable!$A$2:$A$301,0), Skills!M23+1)</f>
        <v/>
      </c>
      <c r="F2488">
        <f>IF(Skills!N23=TRUE,(Skills!L23/10)*(E2488/1000),Skills!L23/10)+Skills!O23</f>
        <v/>
      </c>
      <c r="G2488">
        <f>Skills!G23*IF(Skills!H23&gt;0,Skills!I23/Skills!H23,1)</f>
        <v/>
      </c>
      <c r="H2488">
        <f>1-(1-Skills!J23/100)^Skills!K23</f>
        <v/>
      </c>
      <c r="I2488" t="inlineStr">
        <is>
          <t>1</t>
        </is>
      </c>
      <c r="J2488" t="inlineStr"/>
      <c r="K2488" t="inlineStr"/>
      <c r="L2488" t="inlineStr"/>
      <c r="M2488" t="inlineStr"/>
      <c r="N2488" t="inlineStr"/>
      <c r="O2488">
        <f>(1-Summary!$B$11)*T2488+Summary!$B$11*V2488</f>
        <v/>
      </c>
      <c r="P2488">
        <f>IF(B2504=0,0,O2488/B2504)</f>
        <v/>
      </c>
      <c r="Q2488" t="n">
        <v>0</v>
      </c>
      <c r="R2488" t="n">
        <v>0</v>
      </c>
      <c r="S2488">
        <f>IFERROR(O2488/N2488,0)</f>
        <v/>
      </c>
      <c r="T2488" t="n">
        <v>0</v>
      </c>
      <c r="V2488" t="n">
        <v>0</v>
      </c>
    </row>
    <row r="2489">
      <c r="A2489">
        <f>Skills!A24</f>
        <v/>
      </c>
      <c r="B2489">
        <f>Skills!B24</f>
        <v/>
      </c>
      <c r="C2489">
        <f>Inputs!$B$3&gt;=120</f>
        <v/>
      </c>
      <c r="D2489">
        <f>IF(Skills!C24=1,60+Inputs!$B$25+Inputs!$B$29,IF(Skills!C24=2,90+Inputs!$B$26+Inputs!$B$29,IF(Skills!C24=3,120+Inputs!$B$27+Inputs!$B$29,MAX(0,(Inputs!$B$3-100)*3)+Inputs!$B$28+Inputs!$B$29)))</f>
        <v/>
      </c>
      <c r="E2489">
        <f>INDEX(FactorTable!$B$2:$Y$301, MATCH(ROUND(MIN(300,MAX(1,D2489)),0), FactorTable!$A$2:$A$301,0), Skills!M24+1)</f>
        <v/>
      </c>
      <c r="F2489">
        <f>IF(Skills!N24=TRUE,(Skills!L24/10)*(E2489/1000),Skills!L24/10)+Skills!O24</f>
        <v/>
      </c>
      <c r="G2489">
        <f>Skills!G24*IF(Skills!H24&gt;0,Skills!I24/Skills!H24,1)</f>
        <v/>
      </c>
      <c r="H2489">
        <f>1-(1-Skills!J24/100)^Skills!K24</f>
        <v/>
      </c>
      <c r="I2489" t="inlineStr">
        <is>
          <t>1</t>
        </is>
      </c>
      <c r="J2489" t="inlineStr"/>
      <c r="K2489" t="inlineStr"/>
      <c r="L2489" t="inlineStr"/>
      <c r="M2489" t="inlineStr"/>
      <c r="N2489" t="inlineStr"/>
      <c r="O2489">
        <f>(1-Summary!$B$11)*T2489+Summary!$B$11*V2489</f>
        <v/>
      </c>
      <c r="P2489">
        <f>IF(B2504=0,0,O2489/B2504)</f>
        <v/>
      </c>
      <c r="Q2489" t="n">
        <v>0</v>
      </c>
      <c r="R2489" t="n">
        <v>0</v>
      </c>
      <c r="S2489">
        <f>IFERROR(O2489/N2489,0)</f>
        <v/>
      </c>
      <c r="T2489" t="n">
        <v>0</v>
      </c>
      <c r="V2489" t="n">
        <v>0</v>
      </c>
    </row>
    <row r="2490">
      <c r="A2490">
        <f>Skills!A25</f>
        <v/>
      </c>
      <c r="B2490">
        <f>Skills!B25</f>
        <v/>
      </c>
      <c r="C2490">
        <f>Inputs!$B$3&gt;=125</f>
        <v/>
      </c>
      <c r="D2490">
        <f>IF(Skills!C25=1,60+Inputs!$B$25+Inputs!$B$29,IF(Skills!C25=2,90+Inputs!$B$26+Inputs!$B$29,IF(Skills!C25=3,120+Inputs!$B$27+Inputs!$B$29,MAX(0,(Inputs!$B$3-100)*3)+Inputs!$B$28+Inputs!$B$29)))</f>
        <v/>
      </c>
      <c r="E2490">
        <f>INDEX(FactorTable!$B$2:$Y$301, MATCH(ROUND(MIN(300,MAX(1,D2490)),0), FactorTable!$A$2:$A$301,0), Skills!M25+1)</f>
        <v/>
      </c>
      <c r="F2490">
        <f>IF(Skills!N25=TRUE,(Skills!L25/10)*(E2490/1000),Skills!L25/10)+Skills!O25</f>
        <v/>
      </c>
      <c r="G2490">
        <f>Skills!G25*IF(Skills!H25&gt;0,Skills!I25/Skills!H25,1)</f>
        <v/>
      </c>
      <c r="H2490">
        <f>1-(1-Skills!J25/100)^Skills!K25</f>
        <v/>
      </c>
      <c r="I2490" t="inlineStr">
        <is>
          <t>1</t>
        </is>
      </c>
      <c r="J2490" t="inlineStr"/>
      <c r="K2490" t="inlineStr"/>
      <c r="L2490" t="inlineStr"/>
      <c r="M2490" t="inlineStr"/>
      <c r="N2490" t="inlineStr"/>
      <c r="O2490">
        <f>(1-Summary!$B$11)*T2490+Summary!$B$11*V2490</f>
        <v/>
      </c>
      <c r="P2490">
        <f>IF(B2504=0,0,O2490/B2504)</f>
        <v/>
      </c>
      <c r="Q2490" t="n">
        <v>0</v>
      </c>
      <c r="R2490" t="n">
        <v>0</v>
      </c>
      <c r="S2490">
        <f>IFERROR(O2490/N2490,0)</f>
        <v/>
      </c>
      <c r="T2490" t="n">
        <v>0</v>
      </c>
      <c r="V2490" t="n">
        <v>0</v>
      </c>
    </row>
    <row r="2491">
      <c r="A2491">
        <f>Skills!A26</f>
        <v/>
      </c>
      <c r="B2491">
        <f>Skills!B26</f>
        <v/>
      </c>
      <c r="C2491">
        <f>Inputs!$B$3&gt;=72</f>
        <v/>
      </c>
      <c r="D2491">
        <f>IF(Skills!C26=1,60+Inputs!$B$25+Inputs!$B$29,IF(Skills!C26=2,90+Inputs!$B$26+Inputs!$B$29,IF(Skills!C26=3,120+Inputs!$B$27+Inputs!$B$29,MAX(0,(Inputs!$B$3-100)*3)+Inputs!$B$28+Inputs!$B$29)))</f>
        <v/>
      </c>
      <c r="E2491">
        <f>INDEX(FactorTable!$B$2:$Y$301, MATCH(ROUND(MIN(300,MAX(1,D2491)),0), FactorTable!$A$2:$A$301,0), Skills!M26+1)</f>
        <v/>
      </c>
      <c r="F2491">
        <f>IF(Skills!N26=TRUE,(Skills!L26/10)*(E2491/1000),Skills!L26/10)+Skills!O26</f>
        <v/>
      </c>
      <c r="G2491">
        <f>Skills!G26*IF(Skills!H26&gt;0,Skills!I26/Skills!H26,1)</f>
        <v/>
      </c>
      <c r="H2491">
        <f>1-(1-Skills!J26/100)^Skills!K26</f>
        <v/>
      </c>
      <c r="I2491" t="inlineStr">
        <is>
          <t>1</t>
        </is>
      </c>
      <c r="J2491" t="inlineStr"/>
      <c r="K2491" t="inlineStr"/>
      <c r="L2491" t="inlineStr"/>
      <c r="M2491" t="inlineStr"/>
      <c r="N2491" t="inlineStr"/>
      <c r="O2491">
        <f>(1-Summary!$B$11)*T2491+Summary!$B$11*V2491</f>
        <v/>
      </c>
      <c r="P2491">
        <f>IF(B2504=0,0,O2491/B2504)</f>
        <v/>
      </c>
      <c r="Q2491" t="n">
        <v>0</v>
      </c>
      <c r="R2491" t="n">
        <v>0</v>
      </c>
      <c r="S2491">
        <f>IFERROR(O2491/N2491,0)</f>
        <v/>
      </c>
      <c r="T2491" t="n">
        <v>0</v>
      </c>
      <c r="V2491" t="n">
        <v>0</v>
      </c>
    </row>
    <row r="2493">
      <c r="A2493" t="inlineStr">
        <is>
          <t>Attack% Bucket Multiplier</t>
        </is>
      </c>
      <c r="B2493">
        <f>(1+(((C2478=TRUE)*F2478*IF(Inputs!$B$3&gt;=110,7,5))+((C2480=TRUE)*F2480*IF(AND(Inputs!$B$38&lt;&gt;"pvp",Inputs!$B$43&gt;0),(((R2480-1)*(Skills!T15*(1+(Inputs!$B$34+(ArtifactsInput!$M$7-ArtifactsInput!$M$7)*CHOOSE(ArtifactsInput!$N$7+1,6,7.2,8.4,9.6,10.8,12))/100))+MIN((Skills!T15*(1+(Inputs!$B$34+(ArtifactsInput!$M$7-ArtifactsInput!$M$7)*CHOOSE(ArtifactsInput!$N$7+1,6,7.2,8.4,9.6,10.8,12))/100)),MAX(0,Inputs!$B$43-((R2480-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94">
      <c r="A2494" t="inlineStr">
        <is>
          <t>Global Crit Rate Bonus %</t>
        </is>
      </c>
      <c r="B2494" t="n">
        <v>0</v>
      </c>
    </row>
    <row r="2495">
      <c r="A2495" t="inlineStr">
        <is>
          <t>Attack Speed Buff Bonus %</t>
        </is>
      </c>
      <c r="B2495">
        <f>((C2484=TRUE)*F2484*IF(AND(Inputs!$B$38&lt;&gt;"pvp",Inputs!$B$43&gt;0),(((R2484-1)*(Skills!T19*(1+(Inputs!$B$34+(ArtifactsInput!$M$7-ArtifactsInput!$M$7)*CHOOSE(ArtifactsInput!$N$7+1,6,7.2,8.4,9.6,10.8,12))/100))+MIN((Skills!T19*(1+(Inputs!$B$34+(ArtifactsInput!$M$7-ArtifactsInput!$M$7)*CHOOSE(ArtifactsInput!$N$7+1,6,7.2,8.4,9.6,10.8,12))/100)),MAX(0,Inputs!$B$43-((R2484-1)*Skills!D19))))/Inputs!$B$43),IF(Inputs!$B$38="pvp",MIN((Skills!T19*(1+(Inputs!$B$34+(ArtifactsInput!$M$7-ArtifactsInput!$M$7)*CHOOSE(ArtifactsInput!$N$7+1,6,7.2,8.4,9.6,10.8,12))/100)),15)/15,(Skills!T19*(1+(Inputs!$B$34+(ArtifactsInput!$M$7-ArtifactsInput!$M$7)*CHOOSE(ArtifactsInput!$N$7+1,6,7.2,8.4,9.6,10.8,12))/100))/Skills!D19)))</f>
        <v/>
      </c>
    </row>
    <row r="2496">
      <c r="A2496" t="inlineStr">
        <is>
          <t>Actions Per Second</t>
        </is>
      </c>
      <c r="B2496">
        <f>1+MIN(150,150*(1-(1-(Inputs!$B$11+((C2485=TRUE)*(F2485-Calc!F20)))/150)*(1-B2495/150)))/100</f>
        <v/>
      </c>
    </row>
    <row r="2497">
      <c r="A2497" t="inlineStr">
        <is>
          <t>Skill + Buff Cast Rate</t>
        </is>
      </c>
      <c r="B2497">
        <f>IF(AND(Inputs!$B$38&lt;&gt;"pvp",Inputs!$B$43&gt;0),SUMPRODUCT((Skills!E2:E26=TRUE)*(C2467:C2491=TRUE)*R2467:R2491*Skills!F2:F26)/Inputs!$B$43,SUMPRODUCT((Skills!E2:E26=TRUE)*(C2467:C2491=TRUE)*Q2467:Q2491*Skills!F2:F26))</f>
        <v/>
      </c>
    </row>
    <row r="2498">
      <c r="A2498" t="inlineStr">
        <is>
          <t>Raging Blow Casts Per Second</t>
        </is>
      </c>
      <c r="B2498">
        <f>MAX(0,B2496-B2497)</f>
        <v/>
      </c>
    </row>
    <row r="2499">
      <c r="A2499" t="inlineStr">
        <is>
          <t>Global Critical Damage Bonus % (Enrage)</t>
        </is>
      </c>
      <c r="B2499">
        <f>((C2483=TRUE)*F2483*IF(AND(Inputs!$B$38&lt;&gt;"pvp",Inputs!$B$43&gt;0),(((R2483-1)*(Skills!T18*(1+(Inputs!$B$34+(ArtifactsInput!$M$7-ArtifactsInput!$M$7)*CHOOSE(ArtifactsInput!$N$7+1,6,7.2,8.4,9.6,10.8,12))/100))+MIN((Skills!T18*(1+(Inputs!$B$34+(ArtifactsInput!$M$7-ArtifactsInput!$M$7)*CHOOSE(ArtifactsInput!$N$7+1,6,7.2,8.4,9.6,10.8,12))/100)),MAX(0,Inputs!$B$43-((R2483-1)*Skills!D18))))/Inputs!$B$43),IF(Inputs!$B$38="pvp",MIN((Skills!T18*(1+(Inputs!$B$34+(ArtifactsInput!$M$7-ArtifactsInput!$M$7)*CHOOSE(ArtifactsInput!$N$7+1,6,7.2,8.4,9.6,10.8,12))/100)),15)/15,(Skills!T18*(1+(Inputs!$B$34+(ArtifactsInput!$M$7-ArtifactsInput!$M$7)*CHOOSE(ArtifactsInput!$N$7+1,6,7.2,8.4,9.6,10.8,12))/100))/Skills!D18)))</f>
        <v/>
      </c>
    </row>
    <row r="2500">
      <c r="A2500" t="inlineStr">
        <is>
          <t>Global Final Damage Bonus % (Enrage + Combo Synergy)</t>
        </is>
      </c>
      <c r="B2500">
        <f>((C2482=TRUE)*F2482*IF(AND(Inputs!$B$38&lt;&gt;"pvp",Inputs!$B$43&gt;0),(((R2482-1)*(Skills!T17*(1+(Inputs!$B$34+(ArtifactsInput!$M$7-ArtifactsInput!$M$7)*CHOOSE(ArtifactsInput!$N$7+1,6,7.2,8.4,9.6,10.8,12))/100))+MIN((Skills!T17*(1+(Inputs!$B$34+(ArtifactsInput!$M$7-ArtifactsInput!$M$7)*CHOOSE(ArtifactsInput!$N$7+1,6,7.2,8.4,9.6,10.8,12))/100)),MAX(0,Inputs!$B$43-((R2482-1)*Skills!D17))))/Inputs!$B$43),IF(Inputs!$B$38="pvp",MIN((Skills!T17*(1+(Inputs!$B$34+(ArtifactsInput!$M$7-ArtifactsInput!$M$7)*CHOOSE(ArtifactsInput!$N$7+1,6,7.2,8.4,9.6,10.8,12))/100)),15)/15,(Skills!T17*(1+(Inputs!$B$34+(ArtifactsInput!$M$7-ArtifactsInput!$M$7)*CHOOSE(ArtifactsInput!$N$7+1,6,7.2,8.4,9.6,10.8,12))/100))/Skills!D17)))+((C2479=TRUE)*F2479*IF(Inputs!$B$3&gt;=110,7,5))</f>
        <v/>
      </c>
    </row>
    <row r="2501">
      <c r="A2501" t="inlineStr">
        <is>
          <t>Buff-Casting Startup Delay (s, fixed-duration only)</t>
        </is>
      </c>
      <c r="B2501">
        <f>IF(AND(Inputs!$B$38&lt;&gt;"pvp",Inputs!$B$43&gt;0),SUMPRODUCT((Skills!T2:T26&gt;0)*(Skills!E2:E26=TRUE)*(C2467:C2491=TRUE))/B2496,0)</f>
        <v/>
      </c>
    </row>
    <row r="2502">
      <c r="A2502" t="inlineStr">
        <is>
          <t>Boss-Only Total DPS (this block's swept value)</t>
        </is>
      </c>
      <c r="B2502">
        <f>SUM(T2467:T2491)</f>
        <v/>
      </c>
    </row>
    <row r="2503">
      <c r="A2503" t="inlineStr">
        <is>
          <t>Normal-Only Total DPS (this block's swept value)</t>
        </is>
      </c>
      <c r="B2503">
        <f>SUM(V2467:V2491)</f>
        <v/>
      </c>
    </row>
    <row r="2504">
      <c r="A2504" s="6" t="inlineStr">
        <is>
          <t>TOTAL DPS</t>
        </is>
      </c>
      <c r="B2504" s="6">
        <f>SUM(O2467:O2491)</f>
        <v/>
      </c>
    </row>
    <row r="2507">
      <c r="A2507" s="6" t="inlineStr">
        <is>
          <t>Stat: Cursed Doll (Equip)</t>
        </is>
      </c>
    </row>
    <row r="2508">
      <c r="A2508" s="5" t="inlineStr">
        <is>
          <t>Key</t>
        </is>
      </c>
      <c r="B2508" s="5" t="inlineStr">
        <is>
          <t>Name</t>
        </is>
      </c>
      <c r="C2508" s="5" t="inlineStr">
        <is>
          <t>Unlocked</t>
        </is>
      </c>
      <c r="D2508" s="5" t="inlineStr">
        <is>
          <t>InputLevel</t>
        </is>
      </c>
      <c r="E2508" s="5" t="inlineStr">
        <is>
          <t>Factor</t>
        </is>
      </c>
      <c r="F2508" s="5" t="inlineStr">
        <is>
          <t>CoefficientPercent</t>
        </is>
      </c>
      <c r="G2508" s="5" t="inlineStr">
        <is>
          <t>EffectiveHits</t>
        </is>
      </c>
      <c r="H2508" s="5" t="inlineStr">
        <is>
          <t>ProcProbability</t>
        </is>
      </c>
      <c r="I2508" s="5" t="inlineStr">
        <is>
          <t>MapleHeroMultiplier</t>
        </is>
      </c>
      <c r="J2508" s="5" t="inlineStr">
        <is>
          <t>BaseDamage</t>
        </is>
      </c>
      <c r="K2508" s="5" t="inlineStr">
        <is>
          <t>BaseHitDamage</t>
        </is>
      </c>
      <c r="L2508" s="5" t="inlineStr">
        <is>
          <t>NonCritAvg</t>
        </is>
      </c>
      <c r="M2508" s="5" t="inlineStr">
        <is>
          <t>CritAvg</t>
        </is>
      </c>
      <c r="N2508" s="5" t="inlineStr">
        <is>
          <t>ExpectedDamage(perHit)</t>
        </is>
      </c>
      <c r="O2508" s="5" t="inlineStr">
        <is>
          <t>DPS</t>
        </is>
      </c>
      <c r="P2508" s="5" t="inlineStr">
        <is>
          <t>% of Total</t>
        </is>
      </c>
      <c r="Q2508" s="5" t="inlineStr">
        <is>
          <t>InvCooldown</t>
        </is>
      </c>
      <c r="R2508" s="5" t="inlineStr">
        <is>
          <t>CastsInFight</t>
        </is>
      </c>
      <c r="S2508" s="5" t="inlineStr">
        <is>
          <t>HitRate(perSec)</t>
        </is>
      </c>
      <c r="U2508" t="inlineStr">
        <is>
          <t>helpers</t>
        </is>
      </c>
    </row>
    <row r="2509">
      <c r="A2509">
        <f>Skills!A2</f>
        <v/>
      </c>
      <c r="B2509">
        <f>Skills!B2</f>
        <v/>
      </c>
      <c r="C2509">
        <f>Inputs!$B$3&gt;=100</f>
        <v/>
      </c>
      <c r="D2509" t="inlineStr"/>
      <c r="E2509" t="inlineStr"/>
      <c r="F2509">
        <f>U2511+Skills!O2</f>
        <v/>
      </c>
      <c r="G2509">
        <f>Skills!G2*IF(Skills!H2&gt;0,Skills!I2/Skills!H2,1)</f>
        <v/>
      </c>
      <c r="H2509">
        <f>1-(1-Skills!J2/100)^Skills!K2</f>
        <v/>
      </c>
      <c r="I2509" t="inlineStr">
        <is>
          <t>1</t>
        </is>
      </c>
      <c r="J2509">
        <f>((Inputs!$B$6*(1+Inputs!$B$7/100))+(((Inputs!$B$12*(1+Inputs!$B$13/100))-(Inputs!$B$12*(1+Inputs!$B$13/100)))+0.25*(Inputs!$B$14-Inputs!$B$14))*(1+Inputs!$B$7/100))*(F2509/100)</f>
        <v/>
      </c>
      <c r="K2509">
        <f>J2509*(1+((Inputs!$B$12*(1+Inputs!$B$13/100))*0.01+Inputs!$B$14*0.0025)/100)*(1+Inputs!$B$15/100)*(1+Inputs!$B$16/100)*(5000/(6000+Inputs!$B$42*(1-(100*(1-(1-(Inputs!$B$19+0)/100)*(1-CHOOSE(ArtifactsInput!$N$40+1,5,6,7,8,9,10)/100)^(ArtifactsInput!$M$40-ArtifactsInput!$M$40)))/100)))*(1+(Inputs!$B$24+((C2532=TRUE)*(F2532-Calc!F25))+B2542)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2528=TRUE)*(F2528-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2530=TRUE)*(F2530-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2520=TRUE)*F2520*IF(Inputs!$B$3&gt;=110,7,5))+((C2522=TRUE)*F2522*IF(AND(Inputs!$B$38&lt;&gt;"pvp",Inputs!$B$43&gt;0),(((R2522-1)*(Skills!T15*(1+(Inputs!$B$34+(ArtifactsInput!$M$7-ArtifactsInput!$M$7)*CHOOSE(ArtifactsInput!$N$7+1,6,7.2,8.4,9.6,10.8,12))/100))+MIN((Skills!T15*(1+(Inputs!$B$34+(ArtifactsInput!$M$7-ArtifactsInput!$M$7)*CHOOSE(ArtifactsInput!$N$7+1,6,7.2,8.4,9.6,10.8,12))/100)),MAX(0,Inputs!$B$43-((R2522-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I2509)</f>
        <v/>
      </c>
      <c r="L2509">
        <f>K2509*(MIN(Inputs!$B$22+((C2529=TRUE)*(F2529-Calc!F22)),(Inputs!$B$23+((C2531=TRUE)*(F2531-Calc!F24))+(IF(ArtifactsInput!$M$15,CHOOSE(ArtifactsInput!$N$15+1,25,30,35,40,45,50)/100*(Inputs!$B$11-Inputs!$B$11),0))))/100+(Inputs!$B$23+((C2531=TRUE)*(F2531-Calc!F24))+(IF(ArtifactsInput!$M$15,CHOOSE(ArtifactsInput!$N$15+1,25,30,35,40,45,50)/100*(Inputs!$B$11-Inputs!$B$11),0)))/100)/2</f>
        <v/>
      </c>
      <c r="M2509">
        <f>L2509*(1+(Inputs!$B$10+0+B2541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9">
        <f>L2509*(1-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2509*(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9">
        <f>(1-Summary!$B$11)*T2509+Summary!$B$11*V2509</f>
        <v/>
      </c>
      <c r="P2509">
        <f>IF(B2546=0,0,O2509/B2546)</f>
        <v/>
      </c>
      <c r="Q2509" t="n">
        <v>0</v>
      </c>
      <c r="R2509" t="n">
        <v>0</v>
      </c>
      <c r="S2509">
        <f>IFERROR(O2509/N2509,0)</f>
        <v/>
      </c>
      <c r="T2509">
        <f>IF(C2509,(Skills!G2*N2509*B2540)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2509*(1-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2509*(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2509*(1-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2509*(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9">
        <f>MAX(0,(Inputs!$B$3-100)*3)+Inputs!$B$28+Inputs!$B$29</f>
        <v/>
      </c>
      <c r="V2509">
        <f>IF(C2509,(Skills!G2*N2509*B2540)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0">
      <c r="A2510">
        <f>Skills!A3</f>
        <v/>
      </c>
      <c r="B2510">
        <f>Skills!B3</f>
        <v/>
      </c>
      <c r="C2510">
        <f>Inputs!$B$3&gt;=50</f>
        <v/>
      </c>
      <c r="D2510">
        <f>IF(Skills!C3=1,60+Inputs!$B$25+Inputs!$B$29,IF(Skills!C3=2,90+Inputs!$B$26+Inputs!$B$29,IF(Skills!C3=3,120+Inputs!$B$27+Inputs!$B$29,MAX(0,(Inputs!$B$3-100)*3)+Inputs!$B$28+Inputs!$B$29)))</f>
        <v/>
      </c>
      <c r="E2510">
        <f>INDEX(FactorTable!$B$2:$Y$301, MATCH(ROUND(MIN(300,MAX(1,D2510)),0), FactorTable!$A$2:$A$301,0), Skills!M3+1)</f>
        <v/>
      </c>
      <c r="F2510">
        <f>IF(Skills!N3=TRUE,(Skills!L3/10)*(E2510/1000),Skills!L3/10)+Skills!O3</f>
        <v/>
      </c>
      <c r="G2510" t="inlineStr"/>
      <c r="H2510" t="inlineStr"/>
      <c r="I2510" t="inlineStr">
        <is>
          <t>1</t>
        </is>
      </c>
      <c r="J2510" t="inlineStr"/>
      <c r="K2510" t="inlineStr"/>
      <c r="L2510" t="inlineStr"/>
      <c r="M2510" t="inlineStr"/>
      <c r="N2510" t="inlineStr"/>
      <c r="O2510" t="inlineStr"/>
      <c r="P2510" t="inlineStr"/>
      <c r="Q2510" t="inlineStr"/>
      <c r="R2510" t="inlineStr"/>
      <c r="S2510" t="inlineStr"/>
      <c r="U2510">
        <f>INDEX(FactorTable!$B$2:$Y$301, MATCH(ROUND(MIN(300,MAX(1,U2509)),0), FactorTable!$A$2:$A$301,0), 22)</f>
        <v/>
      </c>
    </row>
    <row r="2511">
      <c r="A2511">
        <f>Skills!A4</f>
        <v/>
      </c>
      <c r="B2511">
        <f>Skills!B4</f>
        <v/>
      </c>
      <c r="C2511">
        <f>Inputs!$B$3&gt;=105</f>
        <v/>
      </c>
      <c r="D2511">
        <f>IF(Skills!C4=1,60+Inputs!$B$25+Inputs!$B$29,IF(Skills!C4=2,90+Inputs!$B$26+Inputs!$B$29,IF(Skills!C4=3,120+Inputs!$B$27+Inputs!$B$29,MAX(0,(Inputs!$B$3-100)*3)+Inputs!$B$28+Inputs!$B$29)))</f>
        <v/>
      </c>
      <c r="E2511">
        <f>INDEX(FactorTable!$B$2:$Y$301, MATCH(ROUND(MIN(300,MAX(1,D2511)),0), FactorTable!$A$2:$A$301,0), Skills!M4+1)</f>
        <v/>
      </c>
      <c r="F2511">
        <f>IF(Skills!N4=TRUE,(Skills!L4/10)*(E2511/1000),Skills!L4/10)+Skills!O4</f>
        <v/>
      </c>
      <c r="G2511" t="inlineStr"/>
      <c r="H2511" t="inlineStr"/>
      <c r="I2511" t="inlineStr">
        <is>
          <t>1</t>
        </is>
      </c>
      <c r="J2511" t="inlineStr"/>
      <c r="K2511" t="inlineStr"/>
      <c r="L2511" t="inlineStr"/>
      <c r="M2511" t="inlineStr"/>
      <c r="N2511" t="inlineStr"/>
      <c r="O2511" t="inlineStr"/>
      <c r="P2511" t="inlineStr"/>
      <c r="Q2511" t="inlineStr"/>
      <c r="R2511" t="inlineStr"/>
      <c r="S2511" t="inlineStr"/>
      <c r="U2511">
        <f>290*U2510/1000</f>
        <v/>
      </c>
    </row>
    <row r="2512">
      <c r="A2512">
        <f>Skills!A5</f>
        <v/>
      </c>
      <c r="B2512">
        <f>Skills!B5</f>
        <v/>
      </c>
      <c r="C2512">
        <f>Inputs!$B$3&gt;=103</f>
        <v/>
      </c>
      <c r="D2512">
        <f>IF(Skills!C5=1,60+Inputs!$B$25+Inputs!$B$29,IF(Skills!C5=2,90+Inputs!$B$26+Inputs!$B$29,IF(Skills!C5=3,120+Inputs!$B$27+Inputs!$B$29,MAX(0,(Inputs!$B$3-100)*3)+Inputs!$B$28+Inputs!$B$29)))</f>
        <v/>
      </c>
      <c r="E2512">
        <f>INDEX(FactorTable!$B$2:$Y$301, MATCH(ROUND(MIN(300,MAX(1,D2512)),0), FactorTable!$A$2:$A$301,0), Skills!M5+1)</f>
        <v/>
      </c>
      <c r="F2512">
        <f>IF(Skills!N5=TRUE,(Skills!L5/10)*(E2512/1000),Skills!L5/10)+Skills!O5</f>
        <v/>
      </c>
      <c r="G2512">
        <f>Skills!G5*IF(Skills!H5&gt;0,Skills!I5/Skills!H5,1)</f>
        <v/>
      </c>
      <c r="H2512">
        <f>1-(1-Skills!J5/100)^Skills!K5</f>
        <v/>
      </c>
      <c r="I2512" t="inlineStr">
        <is>
          <t>1</t>
        </is>
      </c>
      <c r="J2512">
        <f>((Inputs!$B$6*(1+Inputs!$B$7/100))+(((Inputs!$B$12*(1+Inputs!$B$13/100))-(Inputs!$B$12*(1+Inputs!$B$13/100)))+0.25*(Inputs!$B$14-Inputs!$B$14))*(1+Inputs!$B$7/100))*(F2512/100)</f>
        <v/>
      </c>
      <c r="K2512">
        <f>J2512*(1+((Inputs!$B$12*(1+Inputs!$B$13/100))*0.01+Inputs!$B$14*0.0025)/100)*(1+Inputs!$B$15/100)*(1+Inputs!$B$16/100)*(5000/(6000+Inputs!$B$42*(1-(100*(1-(1-(Inputs!$B$19+0)/100)*(1-CHOOSE(ArtifactsInput!$N$40+1,5,6,7,8,9,10)/100)^(ArtifactsInput!$M$40-ArtifactsInput!$M$40)))/100)))*(1+(Inputs!$B$24+((C2532=TRUE)*(F2532-Calc!F25))+B2542)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2528=TRUE)*(F2528-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2530=TRUE)*(F2530-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2520=TRUE)*F2520*IF(Inputs!$B$3&gt;=110,7,5))+((C2522=TRUE)*F2522*IF(AND(Inputs!$B$38&lt;&gt;"pvp",Inputs!$B$43&gt;0),(((R2522-1)*(Skills!T15*(1+(Inputs!$B$34+(ArtifactsInput!$M$7-ArtifactsInput!$M$7)*CHOOSE(ArtifactsInput!$N$7+1,6,7.2,8.4,9.6,10.8,12))/100))+MIN((Skills!T15*(1+(Inputs!$B$34+(ArtifactsInput!$M$7-ArtifactsInput!$M$7)*CHOOSE(ArtifactsInput!$N$7+1,6,7.2,8.4,9.6,10.8,12))/100)),MAX(0,Inputs!$B$43-((R2522-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I2512)</f>
        <v/>
      </c>
      <c r="L2512">
        <f>K2512*(MIN(Inputs!$B$22+((C2529=TRUE)*(F2529-Calc!F22)),(Inputs!$B$23+((C2531=TRUE)*(F2531-Calc!F24))+(IF(ArtifactsInput!$M$15,CHOOSE(ArtifactsInput!$N$15+1,25,30,35,40,45,50)/100*(Inputs!$B$11-Inputs!$B$11),0))))/100+(Inputs!$B$23+((C2531=TRUE)*(F2531-Calc!F24))+(IF(ArtifactsInput!$M$15,CHOOSE(ArtifactsInput!$N$15+1,25,30,35,40,45,50)/100*(Inputs!$B$11-Inputs!$B$11),0)))/100)/2</f>
        <v/>
      </c>
      <c r="M2512">
        <f>L2512*(1+(Inputs!$B$10+0+B2541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2">
        <f>L2512*(1-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2512*(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2">
        <f>(1-Summary!$B$11)*T2512+Summary!$B$11*V2512</f>
        <v/>
      </c>
      <c r="P2512">
        <f>IF(B2546=0,0,O2512/B2546)</f>
        <v/>
      </c>
      <c r="Q2512">
        <f>IFERROR(1/(IF(Inputs!$B$38="pvp",15,MAX(0.1,Skills!D5-IF(Skills!E5=TRUE,Inputs!$B$32,0)))*(1-IF(AND(ArtifactsInput!$M$27,Inputs!$B$4="Chapter Hunt"),CHOOSE(ArtifactsInput!$N$27+1,20,24,28,32,36,40),0)/100)),0)</f>
        <v/>
      </c>
      <c r="R2512">
        <f>IF(AND(Inputs!$B$38&lt;&gt;"pvp",Inputs!$B$43&gt;0),IF(MAX(0,Inputs!$B$43-B2543)&lt;=0,0,(INT(MAX(0,Inputs!$B$43-B2543)/(IF(Inputs!$B$38="pvp",15,MAX(0.1,Skills!D5-IF(Skills!E5=TRUE,Inputs!$B$32,0)))*(1-IF(AND(ArtifactsInput!$M$27,Inputs!$B$4="Chapter Hunt"),CHOOSE(ArtifactsInput!$N$27+1,20,24,28,32,36,40),0)/100)))+1)),0)</f>
        <v/>
      </c>
      <c r="S2512">
        <f>IFERROR(O2512/N2512,0)</f>
        <v/>
      </c>
      <c r="T2512">
        <f>IF(C2512,(H2512*N2512*IF(AND(Inputs!$B$38&lt;&gt;"pvp",Inputs!$B$43&gt;0),((Skills!G5*((R2512-1)*IF(Skills!H5&gt;0,Skills!I5/Skills!H5,1)+IF(Skills!H5&gt;0,MIN(Skills!I5,MAX(0,MAX(0,Inputs!$B$43-B2543)-((R2512-1)*(IF(Inputs!$B$38="pvp",15,MAX(0.1,Skills!D5-IF(Skills!E5=TRUE,Inputs!$B$32,0)))*(1-IF(AND(ArtifactsInput!$M$27,Inputs!$B$4="Chapter Hunt"),CHOOSE(ArtifactsInput!$N$27+1,20,24,28,32,36,40),0)/100)))))/Skills!H5,1)))/Inputs!$B$43),G2512*Q2512)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2512*(1-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2512*(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2512*(1-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2512*(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2">
        <f>IF(C2512,(H2512*N2512*IF(AND(Inputs!$B$38&lt;&gt;"pvp",Inputs!$B$43&gt;0),((Skills!G5*((R2512-1)*IF(Skills!H5&gt;0,Skills!I5/Skills!H5,1)+IF(Skills!H5&gt;0,MIN(Skills!I5,MAX(0,MAX(0,Inputs!$B$43-B2543)-((R2512-1)*(IF(Inputs!$B$38="pvp",15,MAX(0.1,Skills!D5-IF(Skills!E5=TRUE,Inputs!$B$32,0)))*(1-IF(AND(ArtifactsInput!$M$27,Inputs!$B$4="Chapter Hunt"),CHOOSE(ArtifactsInput!$N$27+1,20,24,28,32,36,40),0)/100)))))/Skills!H5,1)))/Inputs!$B$43),G2512*Q2512)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3">
      <c r="A2513">
        <f>Skills!A6</f>
        <v/>
      </c>
      <c r="B2513">
        <f>Skills!B6</f>
        <v/>
      </c>
      <c r="C2513">
        <f>Inputs!$B$3&gt;=103</f>
        <v/>
      </c>
      <c r="D2513">
        <f>IF(Skills!C6=1,60+Inputs!$B$25+Inputs!$B$29,IF(Skills!C6=2,90+Inputs!$B$26+Inputs!$B$29,IF(Skills!C6=3,120+Inputs!$B$27+Inputs!$B$29,MAX(0,(Inputs!$B$3-100)*3)+Inputs!$B$28+Inputs!$B$29)))</f>
        <v/>
      </c>
      <c r="E2513">
        <f>INDEX(FactorTable!$B$2:$Y$301, MATCH(ROUND(MIN(300,MAX(1,D2513)),0), FactorTable!$A$2:$A$301,0), Skills!M6+1)</f>
        <v/>
      </c>
      <c r="F2513">
        <f>IF(Skills!N6=TRUE,(Skills!L6/10)*(E2513/1000),Skills!L6/10)+Skills!O6</f>
        <v/>
      </c>
      <c r="G2513">
        <f>Skills!G6*IF(Skills!H6&gt;0,Skills!I6/Skills!H6,1)</f>
        <v/>
      </c>
      <c r="H2513">
        <f>1-(1-Skills!J6/100)^Skills!K6</f>
        <v/>
      </c>
      <c r="I2513" t="inlineStr">
        <is>
          <t>1</t>
        </is>
      </c>
      <c r="J2513">
        <f>((Inputs!$B$6*(1+Inputs!$B$7/100))+(((Inputs!$B$12*(1+Inputs!$B$13/100))-(Inputs!$B$12*(1+Inputs!$B$13/100)))+0.25*(Inputs!$B$14-Inputs!$B$14))*(1+Inputs!$B$7/100))*(F2513/100)</f>
        <v/>
      </c>
      <c r="K2513">
        <f>J2513*(1+((Inputs!$B$12*(1+Inputs!$B$13/100))*0.01+Inputs!$B$14*0.0025)/100)*(1+Inputs!$B$15/100)*(1+Inputs!$B$16/100)*(5000/(6000+Inputs!$B$42*(1-(100*(1-(1-(Inputs!$B$19+0)/100)*(1-CHOOSE(ArtifactsInput!$N$40+1,5,6,7,8,9,10)/100)^(ArtifactsInput!$M$40-ArtifactsInput!$M$40)))/100)))*(1+(Inputs!$B$24+((C2532=TRUE)*(F2532-Calc!F25))+B2542)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2528=TRUE)*(F2528-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2530=TRUE)*(F2530-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2520=TRUE)*F2520*IF(Inputs!$B$3&gt;=110,7,5))+((C2522=TRUE)*F2522*IF(AND(Inputs!$B$38&lt;&gt;"pvp",Inputs!$B$43&gt;0),(((R2522-1)*(Skills!T15*(1+(Inputs!$B$34+(ArtifactsInput!$M$7-ArtifactsInput!$M$7)*CHOOSE(ArtifactsInput!$N$7+1,6,7.2,8.4,9.6,10.8,12))/100))+MIN((Skills!T15*(1+(Inputs!$B$34+(ArtifactsInput!$M$7-ArtifactsInput!$M$7)*CHOOSE(ArtifactsInput!$N$7+1,6,7.2,8.4,9.6,10.8,12))/100)),MAX(0,Inputs!$B$43-((R2522-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I2513)</f>
        <v/>
      </c>
      <c r="L2513">
        <f>K2513*(MIN(Inputs!$B$22+((C2529=TRUE)*(F2529-Calc!F22)),(Inputs!$B$23+((C2531=TRUE)*(F2531-Calc!F24))+(IF(ArtifactsInput!$M$15,CHOOSE(ArtifactsInput!$N$15+1,25,30,35,40,45,50)/100*(Inputs!$B$11-Inputs!$B$11),0))))/100+(Inputs!$B$23+((C2531=TRUE)*(F2531-Calc!F24))+(IF(ArtifactsInput!$M$15,CHOOSE(ArtifactsInput!$N$15+1,25,30,35,40,45,50)/100*(Inputs!$B$11-Inputs!$B$11),0)))/100)/2</f>
        <v/>
      </c>
      <c r="M2513">
        <f>L2513*(1+(Inputs!$B$10+0+B2541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3">
        <f>L2513*(1-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2513*(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3">
        <f>(1-Summary!$B$11)*T2513+Summary!$B$11*V2513</f>
        <v/>
      </c>
      <c r="P2513">
        <f>IF(B2546=0,0,O2513/B2546)</f>
        <v/>
      </c>
      <c r="Q2513">
        <f>IFERROR(1/(IF(Inputs!$B$38="pvp",15,MAX(0.1,Skills!D6-IF(Skills!E6=TRUE,Inputs!$B$32,0)))*(1-IF(AND(ArtifactsInput!$M$27,Inputs!$B$4="Chapter Hunt"),CHOOSE(ArtifactsInput!$N$27+1,20,24,28,32,36,40),0)/100)),0)</f>
        <v/>
      </c>
      <c r="R2513">
        <f>IF(AND(Inputs!$B$38&lt;&gt;"pvp",Inputs!$B$43&gt;0),IF(MAX(0,Inputs!$B$43-B2543)&lt;=0,0,(INT(MAX(0,Inputs!$B$43-B2543)/(IF(Inputs!$B$38="pvp",15,MAX(0.1,Skills!D6-IF(Skills!E6=TRUE,Inputs!$B$32,0)))*(1-IF(AND(ArtifactsInput!$M$27,Inputs!$B$4="Chapter Hunt"),CHOOSE(ArtifactsInput!$N$27+1,20,24,28,32,36,40),0)/100)))+1)),0)</f>
        <v/>
      </c>
      <c r="S2513">
        <f>IFERROR(O2513/N2513,0)</f>
        <v/>
      </c>
      <c r="T2513">
        <f>IF(C2513,(H2513*N2513*IF(AND(Inputs!$B$38&lt;&gt;"pvp",Inputs!$B$43&gt;0),((Skills!G6*((R2513-1)*IF(Skills!H6&gt;0,Skills!I6/Skills!H6,1)+IF(Skills!H6&gt;0,MIN(Skills!I6,MAX(0,MAX(0,Inputs!$B$43-B2543)-((R2513-1)*(IF(Inputs!$B$38="pvp",15,MAX(0.1,Skills!D6-IF(Skills!E6=TRUE,Inputs!$B$32,0)))*(1-IF(AND(ArtifactsInput!$M$27,Inputs!$B$4="Chapter Hunt"),CHOOSE(ArtifactsInput!$N$27+1,20,24,28,32,36,40),0)/100)))))/Skills!H6,1)))/Inputs!$B$43),G2513*Q2513)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2513*(1-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2513*(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2513*(1-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2513*(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3">
        <f>IF(C2513,(H2513*N2513*IF(AND(Inputs!$B$38&lt;&gt;"pvp",Inputs!$B$43&gt;0),((Skills!G6*((R2513-1)*IF(Skills!H6&gt;0,Skills!I6/Skills!H6,1)+IF(Skills!H6&gt;0,MIN(Skills!I6,MAX(0,MAX(0,Inputs!$B$43-B2543)-((R2513-1)*(IF(Inputs!$B$38="pvp",15,MAX(0.1,Skills!D6-IF(Skills!E6=TRUE,Inputs!$B$32,0)))*(1-IF(AND(ArtifactsInput!$M$27,Inputs!$B$4="Chapter Hunt"),CHOOSE(ArtifactsInput!$N$27+1,20,24,28,32,36,40),0)/100)))))/Skills!H6,1)))/Inputs!$B$43),G2513*Q2513)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4">
      <c r="A2514">
        <f>Skills!A7</f>
        <v/>
      </c>
      <c r="B2514">
        <f>Skills!B7</f>
        <v/>
      </c>
      <c r="C2514">
        <f>Inputs!$B$3&gt;=107</f>
        <v/>
      </c>
      <c r="D2514">
        <f>IF(Skills!C7=1,60+Inputs!$B$25+Inputs!$B$29,IF(Skills!C7=2,90+Inputs!$B$26+Inputs!$B$29,IF(Skills!C7=3,120+Inputs!$B$27+Inputs!$B$29,MAX(0,(Inputs!$B$3-100)*3)+Inputs!$B$28+Inputs!$B$29)))</f>
        <v/>
      </c>
      <c r="E2514">
        <f>INDEX(FactorTable!$B$2:$Y$301, MATCH(ROUND(MIN(300,MAX(1,D2514)),0), FactorTable!$A$2:$A$301,0), Skills!M7+1)</f>
        <v/>
      </c>
      <c r="F2514">
        <f>IF(Skills!N7=TRUE,(Skills!L7/10)*(E2514/1000),Skills!L7/10)+Skills!O7</f>
        <v/>
      </c>
      <c r="G2514">
        <f>Skills!G7*IF(Skills!H7&gt;0,Skills!I7/Skills!H7,1)</f>
        <v/>
      </c>
      <c r="H2514">
        <f>1-(1-Skills!J7/100)^Skills!K7</f>
        <v/>
      </c>
      <c r="I2514" t="inlineStr">
        <is>
          <t>1</t>
        </is>
      </c>
      <c r="J2514">
        <f>((Inputs!$B$6*(1+Inputs!$B$7/100))+(((Inputs!$B$12*(1+Inputs!$B$13/100))-(Inputs!$B$12*(1+Inputs!$B$13/100)))+0.25*(Inputs!$B$14-Inputs!$B$14))*(1+Inputs!$B$7/100))*(F2514/100)</f>
        <v/>
      </c>
      <c r="K2514">
        <f>J2514*(1+((Inputs!$B$12*(1+Inputs!$B$13/100))*0.01+Inputs!$B$14*0.0025)/100)*(1+Inputs!$B$15/100)*(1+Inputs!$B$16/100)*(5000/(6000+Inputs!$B$42*(1-(100*(1-(1-(Inputs!$B$19+0)/100)*(1-CHOOSE(ArtifactsInput!$N$40+1,5,6,7,8,9,10)/100)^(ArtifactsInput!$M$40-ArtifactsInput!$M$40)))/100)))*(1+(Inputs!$B$24+((C2532=TRUE)*(F2532-Calc!F25))+B2542)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2528=TRUE)*(F2528-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2530=TRUE)*(F2530-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2520=TRUE)*F2520*IF(Inputs!$B$3&gt;=110,7,5))+((C2522=TRUE)*F2522*IF(AND(Inputs!$B$38&lt;&gt;"pvp",Inputs!$B$43&gt;0),(((R2522-1)*(Skills!T15*(1+(Inputs!$B$34+(ArtifactsInput!$M$7-ArtifactsInput!$M$7)*CHOOSE(ArtifactsInput!$N$7+1,6,7.2,8.4,9.6,10.8,12))/100))+MIN((Skills!T15*(1+(Inputs!$B$34+(ArtifactsInput!$M$7-ArtifactsInput!$M$7)*CHOOSE(ArtifactsInput!$N$7+1,6,7.2,8.4,9.6,10.8,12))/100)),MAX(0,Inputs!$B$43-((R2522-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I2514)</f>
        <v/>
      </c>
      <c r="L2514">
        <f>K2514*(MIN(Inputs!$B$22+((C2529=TRUE)*(F2529-Calc!F22)),(Inputs!$B$23+((C2531=TRUE)*(F2531-Calc!F24))+(IF(ArtifactsInput!$M$15,CHOOSE(ArtifactsInput!$N$15+1,25,30,35,40,45,50)/100*(Inputs!$B$11-Inputs!$B$11),0))))/100+(Inputs!$B$23+((C2531=TRUE)*(F2531-Calc!F24))+(IF(ArtifactsInput!$M$15,CHOOSE(ArtifactsInput!$N$15+1,25,30,35,40,45,50)/100*(Inputs!$B$11-Inputs!$B$11),0)))/100)/2</f>
        <v/>
      </c>
      <c r="M2514">
        <f>L2514*(1+(Inputs!$B$10+0+B2541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4">
        <f>L2514*(1-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2514*(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4">
        <f>(1-Summary!$B$11)*T2514+Summary!$B$11*V2514</f>
        <v/>
      </c>
      <c r="P2514">
        <f>IF(B2546=0,0,O2514/B2546)</f>
        <v/>
      </c>
      <c r="Q2514">
        <f>IFERROR(1/(IF(Inputs!$B$38="pvp",15,MAX(0.1,Skills!D7-IF(Skills!E7=TRUE,Inputs!$B$32,0)))*(1-IF(AND(ArtifactsInput!$M$27,Inputs!$B$4="Chapter Hunt"),CHOOSE(ArtifactsInput!$N$27+1,20,24,28,32,36,40),0)/100)),0)</f>
        <v/>
      </c>
      <c r="R2514">
        <f>IF(AND(Inputs!$B$38&lt;&gt;"pvp",Inputs!$B$43&gt;0),IF(MAX(0,Inputs!$B$43-B2543)&lt;=0,0,(INT(MAX(0,Inputs!$B$43-B2543)/(IF(Inputs!$B$38="pvp",15,MAX(0.1,Skills!D7-IF(Skills!E7=TRUE,Inputs!$B$32,0)))*(1-IF(AND(ArtifactsInput!$M$27,Inputs!$B$4="Chapter Hunt"),CHOOSE(ArtifactsInput!$N$27+1,20,24,28,32,36,40),0)/100)))+1)),0)</f>
        <v/>
      </c>
      <c r="S2514">
        <f>IFERROR(O2514/N2514,0)</f>
        <v/>
      </c>
      <c r="T2514">
        <f>IF(C2514,(H2514*N2514*IF(AND(Inputs!$B$38&lt;&gt;"pvp",Inputs!$B$43&gt;0),((Skills!G7*((R2514-1)*IF(Skills!H7&gt;0,Skills!I7/Skills!H7,1)+IF(Skills!H7&gt;0,MIN(Skills!I7,MAX(0,MAX(0,Inputs!$B$43-B2543)-((R2514-1)*(IF(Inputs!$B$38="pvp",15,MAX(0.1,Skills!D7-IF(Skills!E7=TRUE,Inputs!$B$32,0)))*(1-IF(AND(ArtifactsInput!$M$27,Inputs!$B$4="Chapter Hunt"),CHOOSE(ArtifactsInput!$N$27+1,20,24,28,32,36,40),0)/100)))))/Skills!H7,1)))/Inputs!$B$43),G2514*Q2514)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2514*(1-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2514*(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2514*(1-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2514*(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4">
        <f>IF(C2514,(H2514*N2514*IF(AND(Inputs!$B$38&lt;&gt;"pvp",Inputs!$B$43&gt;0),((Skills!G7*((R2514-1)*IF(Skills!H7&gt;0,Skills!I7/Skills!H7,1)+IF(Skills!H7&gt;0,MIN(Skills!I7,MAX(0,MAX(0,Inputs!$B$43-B2543)-((R2514-1)*(IF(Inputs!$B$38="pvp",15,MAX(0.1,Skills!D7-IF(Skills!E7=TRUE,Inputs!$B$32,0)))*(1-IF(AND(ArtifactsInput!$M$27,Inputs!$B$4="Chapter Hunt"),CHOOSE(ArtifactsInput!$N$27+1,20,24,28,32,36,40),0)/100)))))/Skills!H7,1)))/Inputs!$B$43),G2514*Q2514)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5">
      <c r="A2515">
        <f>Skills!A8</f>
        <v/>
      </c>
      <c r="B2515">
        <f>Skills!B8</f>
        <v/>
      </c>
      <c r="C2515">
        <f>Inputs!$B$3&gt;=117</f>
        <v/>
      </c>
      <c r="D2515">
        <f>IF(Skills!C8=1,60+Inputs!$B$25+Inputs!$B$29,IF(Skills!C8=2,90+Inputs!$B$26+Inputs!$B$29,IF(Skills!C8=3,120+Inputs!$B$27+Inputs!$B$29,MAX(0,(Inputs!$B$3-100)*3)+Inputs!$B$28+Inputs!$B$29)))</f>
        <v/>
      </c>
      <c r="E2515">
        <f>INDEX(FactorTable!$B$2:$Y$301, MATCH(ROUND(MIN(300,MAX(1,D2515)),0), FactorTable!$A$2:$A$301,0), Skills!M8+1)</f>
        <v/>
      </c>
      <c r="F2515">
        <f>IF(Skills!N8=TRUE,(Skills!L8/10)*(E2515/1000),Skills!L8/10)+Skills!O8</f>
        <v/>
      </c>
      <c r="G2515">
        <f>Skills!G8*IF(Skills!H8&gt;0,Skills!I8/Skills!H8,1)</f>
        <v/>
      </c>
      <c r="H2515">
        <f>1-(1-Skills!J8/100)^Skills!K8</f>
        <v/>
      </c>
      <c r="I2515" t="inlineStr">
        <is>
          <t>1</t>
        </is>
      </c>
      <c r="J2515">
        <f>((Inputs!$B$6*(1+Inputs!$B$7/100))+(((Inputs!$B$12*(1+Inputs!$B$13/100))-(Inputs!$B$12*(1+Inputs!$B$13/100)))+0.25*(Inputs!$B$14-Inputs!$B$14))*(1+Inputs!$B$7/100))*(F2515/100)</f>
        <v/>
      </c>
      <c r="K2515">
        <f>J2515*(1+((Inputs!$B$12*(1+Inputs!$B$13/100))*0.01+Inputs!$B$14*0.0025)/100)*(1+Inputs!$B$15/100)*(1+Inputs!$B$16/100)*(5000/(6000+Inputs!$B$42*(1-(100*(1-(1-(Inputs!$B$19+0)/100)*(1-CHOOSE(ArtifactsInput!$N$40+1,5,6,7,8,9,10)/100)^(ArtifactsInput!$M$40-ArtifactsInput!$M$40)))/100)))*(1+(Inputs!$B$24+((C2532=TRUE)*(F2532-Calc!F25))+B2542)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2528=TRUE)*(F2528-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2530=TRUE)*(F2530-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2520=TRUE)*F2520*IF(Inputs!$B$3&gt;=110,7,5))+((C2522=TRUE)*F2522*IF(AND(Inputs!$B$38&lt;&gt;"pvp",Inputs!$B$43&gt;0),(((R2522-1)*(Skills!T15*(1+(Inputs!$B$34+(ArtifactsInput!$M$7-ArtifactsInput!$M$7)*CHOOSE(ArtifactsInput!$N$7+1,6,7.2,8.4,9.6,10.8,12))/100))+MIN((Skills!T15*(1+(Inputs!$B$34+(ArtifactsInput!$M$7-ArtifactsInput!$M$7)*CHOOSE(ArtifactsInput!$N$7+1,6,7.2,8.4,9.6,10.8,12))/100)),MAX(0,Inputs!$B$43-((R2522-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I2515)</f>
        <v/>
      </c>
      <c r="L2515">
        <f>K2515*(MIN(Inputs!$B$22+((C2529=TRUE)*(F2529-Calc!F22)),(Inputs!$B$23+((C2531=TRUE)*(F2531-Calc!F24))+(IF(ArtifactsInput!$M$15,CHOOSE(ArtifactsInput!$N$15+1,25,30,35,40,45,50)/100*(Inputs!$B$11-Inputs!$B$11),0))))/100+(Inputs!$B$23+((C2531=TRUE)*(F2531-Calc!F24))+(IF(ArtifactsInput!$M$15,CHOOSE(ArtifactsInput!$N$15+1,25,30,35,40,45,50)/100*(Inputs!$B$11-Inputs!$B$11),0)))/100)/2</f>
        <v/>
      </c>
      <c r="M2515">
        <f>L2515*(1+(Inputs!$B$10+0+B2541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5">
        <f>L2515*(1-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2515*(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5">
        <f>(1-Summary!$B$11)*T2515+Summary!$B$11*V2515</f>
        <v/>
      </c>
      <c r="P2515">
        <f>IF(B2546=0,0,O2515/B2546)</f>
        <v/>
      </c>
      <c r="Q2515">
        <f>IFERROR(1/(IF(Inputs!$B$38="pvp",15,MAX(0.1,Skills!D8-IF(Skills!E8=TRUE,Inputs!$B$32,0)))*(1-IF(AND(ArtifactsInput!$M$27,Inputs!$B$4="Chapter Hunt"),CHOOSE(ArtifactsInput!$N$27+1,20,24,28,32,36,40),0)/100)),0)</f>
        <v/>
      </c>
      <c r="R2515">
        <f>IF(AND(Inputs!$B$38&lt;&gt;"pvp",Inputs!$B$43&gt;0),IF(MAX(0,Inputs!$B$43-B2543)&lt;=0,0,(INT(MAX(0,Inputs!$B$43-B2543)/(IF(Inputs!$B$38="pvp",15,MAX(0.1,Skills!D8-IF(Skills!E8=TRUE,Inputs!$B$32,0)))*(1-IF(AND(ArtifactsInput!$M$27,Inputs!$B$4="Chapter Hunt"),CHOOSE(ArtifactsInput!$N$27+1,20,24,28,32,36,40),0)/100)))+1)),0)</f>
        <v/>
      </c>
      <c r="S2515">
        <f>IFERROR(O2515/N2515,0)</f>
        <v/>
      </c>
      <c r="T2515">
        <f>IF(C2515,(H2515*N2515*IF(AND(Inputs!$B$38&lt;&gt;"pvp",Inputs!$B$43&gt;0),((Skills!G8*((R2515-1)*IF(Skills!H8&gt;0,Skills!I8/Skills!H8,1)+IF(Skills!H8&gt;0,MIN(Skills!I8,MAX(0,MAX(0,Inputs!$B$43-B2543)-((R2515-1)*(IF(Inputs!$B$38="pvp",15,MAX(0.1,Skills!D8-IF(Skills!E8=TRUE,Inputs!$B$32,0)))*(1-IF(AND(ArtifactsInput!$M$27,Inputs!$B$4="Chapter Hunt"),CHOOSE(ArtifactsInput!$N$27+1,20,24,28,32,36,40),0)/100)))))/Skills!H8,1)))/Inputs!$B$43),G2515*Q2515)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2515*(1-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2515*(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2515*(1-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2515*(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5">
        <f>IF(C2515,(H2515*N2515*IF(AND(Inputs!$B$38&lt;&gt;"pvp",Inputs!$B$43&gt;0),((Skills!G8*((R2515-1)*IF(Skills!H8&gt;0,Skills!I8/Skills!H8,1)+IF(Skills!H8&gt;0,MIN(Skills!I8,MAX(0,MAX(0,Inputs!$B$43-B2543)-((R2515-1)*(IF(Inputs!$B$38="pvp",15,MAX(0.1,Skills!D8-IF(Skills!E8=TRUE,Inputs!$B$32,0)))*(1-IF(AND(ArtifactsInput!$M$27,Inputs!$B$4="Chapter Hunt"),CHOOSE(ArtifactsInput!$N$27+1,20,24,28,32,36,40),0)/100)))))/Skills!H8,1)))/Inputs!$B$43),G2515*Q2515)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6">
      <c r="A2516">
        <f>Skills!A9</f>
        <v/>
      </c>
      <c r="B2516">
        <f>Skills!B9</f>
        <v/>
      </c>
      <c r="C2516">
        <f>Inputs!$B$3&gt;=69</f>
        <v/>
      </c>
      <c r="D2516">
        <f>IF(Skills!C9=1,60+Inputs!$B$25+Inputs!$B$29,IF(Skills!C9=2,90+Inputs!$B$26+Inputs!$B$29,IF(Skills!C9=3,120+Inputs!$B$27+Inputs!$B$29,MAX(0,(Inputs!$B$3-100)*3)+Inputs!$B$28+Inputs!$B$29)))</f>
        <v/>
      </c>
      <c r="E2516">
        <f>INDEX(FactorTable!$B$2:$Y$301, MATCH(ROUND(MIN(300,MAX(1,D2516)),0), FactorTable!$A$2:$A$301,0), Skills!M9+1)</f>
        <v/>
      </c>
      <c r="F2516">
        <f>IF(Skills!N9=TRUE,(Skills!L9/10)*(E2516/1000),Skills!L9/10)+Skills!O9</f>
        <v/>
      </c>
      <c r="G2516">
        <f>Skills!G9*IF(Skills!H9&gt;0,Skills!I9/Skills!H9,1)</f>
        <v/>
      </c>
      <c r="H2516">
        <f>1-(1-Skills!J9/100)^Skills!K9</f>
        <v/>
      </c>
      <c r="I2516" t="inlineStr">
        <is>
          <t>1</t>
        </is>
      </c>
      <c r="J2516">
        <f>((Inputs!$B$6*(1+Inputs!$B$7/100))+(((Inputs!$B$12*(1+Inputs!$B$13/100))-(Inputs!$B$12*(1+Inputs!$B$13/100)))+0.25*(Inputs!$B$14-Inputs!$B$14))*(1+Inputs!$B$7/100))*(F2516/100)</f>
        <v/>
      </c>
      <c r="K2516">
        <f>J2516*(1+((Inputs!$B$12*(1+Inputs!$B$13/100))*0.01+Inputs!$B$14*0.0025)/100)*(1+Inputs!$B$15/100)*(1+Inputs!$B$16/100)*(5000/(6000+Inputs!$B$42*(1-(100*(1-(1-(Inputs!$B$19+0)/100)*(1-CHOOSE(ArtifactsInput!$N$40+1,5,6,7,8,9,10)/100)^(ArtifactsInput!$M$40-ArtifactsInput!$M$40)))/100)))*(1+(Inputs!$B$24+((C2532=TRUE)*(F2532-Calc!F25))+B2542)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2519=TRUE,F2519,0)/100)*(1+IF(Skills!A9="ENHANCED_RAGING_BLOW",IF(Inputs!$B$3&gt;=134,MAX(0,IF(Inputs!$B$3&gt;=110,7,5)-5)*50,0),0)/100)*(1+(IF(Skills!A9="RAGING_BLOW",Inputs!$B$17+((C2528=TRUE)*(F2528-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2530=TRUE)*(F2530-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2520=TRUE)*F2520*IF(Inputs!$B$3&gt;=110,7,5))+((C2522=TRUE)*F2522*IF(AND(Inputs!$B$38&lt;&gt;"pvp",Inputs!$B$43&gt;0),(((R2522-1)*(Skills!T15*(1+(Inputs!$B$34+(ArtifactsInput!$M$7-ArtifactsInput!$M$7)*CHOOSE(ArtifactsInput!$N$7+1,6,7.2,8.4,9.6,10.8,12))/100))+MIN((Skills!T15*(1+(Inputs!$B$34+(ArtifactsInput!$M$7-ArtifactsInput!$M$7)*CHOOSE(ArtifactsInput!$N$7+1,6,7.2,8.4,9.6,10.8,12))/100)),MAX(0,Inputs!$B$43-((R2522-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I2516)</f>
        <v/>
      </c>
      <c r="L2516">
        <f>K2516*(MIN(Inputs!$B$22+((C2529=TRUE)*(F2529-Calc!F22)),(Inputs!$B$23+((C2531=TRUE)*(F2531-Calc!F24))+(IF(ArtifactsInput!$M$15,CHOOSE(ArtifactsInput!$N$15+1,25,30,35,40,45,50)/100*(Inputs!$B$11-Inputs!$B$11),0))))/100+(Inputs!$B$23+((C2531=TRUE)*(F2531-Calc!F24))+(IF(ArtifactsInput!$M$15,CHOOSE(ArtifactsInput!$N$15+1,25,30,35,40,45,50)/100*(Inputs!$B$11-Inputs!$B$11),0)))/100)/2</f>
        <v/>
      </c>
      <c r="M2516">
        <f>L2516*(1+(Inputs!$B$10+0+B2541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6">
        <f>L2516*(1-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2516*(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6">
        <f>(1-Summary!$B$11)*T2516+Summary!$B$11*V2516</f>
        <v/>
      </c>
      <c r="P2516">
        <f>IF(B2546=0,0,O2516/B2546)</f>
        <v/>
      </c>
      <c r="Q2516">
        <f>IFERROR(1/(IF(Inputs!$B$38="pvp",15,MAX(0.1,Skills!D9-IF(Skills!E9=TRUE,Inputs!$B$32,0)))*(1-IF(AND(ArtifactsInput!$M$27,Inputs!$B$4="Chapter Hunt"),CHOOSE(ArtifactsInput!$N$27+1,20,24,28,32,36,40),0)/100)),0)</f>
        <v/>
      </c>
      <c r="R2516">
        <f>IF(AND(Inputs!$B$38&lt;&gt;"pvp",Inputs!$B$43&gt;0),IF(MAX(0,Inputs!$B$43-B2543)&lt;=0,0,(INT(MAX(0,Inputs!$B$43-B2543)/(IF(Inputs!$B$38="pvp",15,MAX(0.1,Skills!D9-IF(Skills!E9=TRUE,Inputs!$B$32,0)))*(1-IF(AND(ArtifactsInput!$M$27,Inputs!$B$4="Chapter Hunt"),CHOOSE(ArtifactsInput!$N$27+1,20,24,28,32,36,40),0)/100)))+1)),0)</f>
        <v/>
      </c>
      <c r="S2516">
        <f>IFERROR(O2516/N2516,0)</f>
        <v/>
      </c>
      <c r="T2516">
        <f>IF(C2516,(H2516*N2516*IF(AND(Inputs!$B$38&lt;&gt;"pvp",Inputs!$B$43&gt;0),((Skills!G9*((R2516-1)*IF(Skills!H9&gt;0,Skills!I9/Skills!H9,1)+IF(Skills!H9&gt;0,MIN(Skills!I9,MAX(0,MAX(0,Inputs!$B$43-B2543)-((R2516-1)*(IF(Inputs!$B$38="pvp",15,MAX(0.1,Skills!D9-IF(Skills!E9=TRUE,Inputs!$B$32,0)))*(1-IF(AND(ArtifactsInput!$M$27,Inputs!$B$4="Chapter Hunt"),CHOOSE(ArtifactsInput!$N$27+1,20,24,28,32,36,40),0)/100)))))/Skills!H9,1)))/Inputs!$B$43),G2516*Q2516)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2516*(1-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2516*(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2516*(1-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2516*(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6">
        <f>IF(C2516,(H2516*N2516*IF(AND(Inputs!$B$38&lt;&gt;"pvp",Inputs!$B$43&gt;0),((Skills!G9*((R2516-1)*IF(Skills!H9&gt;0,Skills!I9/Skills!H9,1)+IF(Skills!H9&gt;0,MIN(Skills!I9,MAX(0,MAX(0,Inputs!$B$43-B2543)-((R2516-1)*(IF(Inputs!$B$38="pvp",15,MAX(0.1,Skills!D9-IF(Skills!E9=TRUE,Inputs!$B$32,0)))*(1-IF(AND(ArtifactsInput!$M$27,Inputs!$B$4="Chapter Hunt"),CHOOSE(ArtifactsInput!$N$27+1,20,24,28,32,36,40),0)/100)))))/Skills!H9,1)))/Inputs!$B$43),G2516*Q2516)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7">
      <c r="A2517">
        <f>Skills!A10</f>
        <v/>
      </c>
      <c r="B2517">
        <f>Skills!B10</f>
        <v/>
      </c>
      <c r="C2517">
        <f>Inputs!$B$3&gt;=63</f>
        <v/>
      </c>
      <c r="D2517">
        <f>IF(Skills!C10=1,60+Inputs!$B$25+Inputs!$B$29,IF(Skills!C10=2,90+Inputs!$B$26+Inputs!$B$29,IF(Skills!C10=3,120+Inputs!$B$27+Inputs!$B$29,MAX(0,(Inputs!$B$3-100)*3)+Inputs!$B$28+Inputs!$B$29)))</f>
        <v/>
      </c>
      <c r="E2517">
        <f>INDEX(FactorTable!$B$2:$Y$301, MATCH(ROUND(MIN(300,MAX(1,D2517)),0), FactorTable!$A$2:$A$301,0), Skills!M10+1)</f>
        <v/>
      </c>
      <c r="F2517">
        <f>IF(Skills!N10=TRUE,(Skills!L10/10)*(E2517/1000),Skills!L10/10)+Skills!O10</f>
        <v/>
      </c>
      <c r="G2517">
        <f>Skills!G10*IF(Skills!H10&gt;0,Skills!I10/Skills!H10,1)</f>
        <v/>
      </c>
      <c r="H2517">
        <f>1-(1-Skills!J10/100)^Skills!K10</f>
        <v/>
      </c>
      <c r="I2517" t="inlineStr">
        <is>
          <t>1</t>
        </is>
      </c>
      <c r="J2517">
        <f>((Inputs!$B$6*(1+Inputs!$B$7/100))+(((Inputs!$B$12*(1+Inputs!$B$13/100))-(Inputs!$B$12*(1+Inputs!$B$13/100)))+0.25*(Inputs!$B$14-Inputs!$B$14))*(1+Inputs!$B$7/100))*(F2517/100)</f>
        <v/>
      </c>
      <c r="K2517">
        <f>J2517*(1+((Inputs!$B$12*(1+Inputs!$B$13/100))*0.01+Inputs!$B$14*0.0025)/100)*(1+Inputs!$B$15/100)*(1+Inputs!$B$16/100)*(5000/(6000+Inputs!$B$42*(1-(100*(1-(1-(Inputs!$B$19+0)/100)*(1-CHOOSE(ArtifactsInput!$N$40+1,5,6,7,8,9,10)/100)^(ArtifactsInput!$M$40-ArtifactsInput!$M$40)))/100)))*(1+(Inputs!$B$24+((C2532=TRUE)*(F2532-Calc!F25))+B2542)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2519=TRUE,F2519,0)/100)*(1+IF(Skills!A10="ENHANCED_RAGING_BLOW",IF(Inputs!$B$3&gt;=134,MAX(0,IF(Inputs!$B$3&gt;=110,7,5)-5)*50,0),0)/100)*(1+(IF(Skills!A10="RAGING_BLOW",Inputs!$B$17+((C2528=TRUE)*(F2528-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2530=TRUE)*(F2530-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2520=TRUE)*F2520*IF(Inputs!$B$3&gt;=110,7,5))+((C2522=TRUE)*F2522*IF(AND(Inputs!$B$38&lt;&gt;"pvp",Inputs!$B$43&gt;0),(((R2522-1)*(Skills!T15*(1+(Inputs!$B$34+(ArtifactsInput!$M$7-ArtifactsInput!$M$7)*CHOOSE(ArtifactsInput!$N$7+1,6,7.2,8.4,9.6,10.8,12))/100))+MIN((Skills!T15*(1+(Inputs!$B$34+(ArtifactsInput!$M$7-ArtifactsInput!$M$7)*CHOOSE(ArtifactsInput!$N$7+1,6,7.2,8.4,9.6,10.8,12))/100)),MAX(0,Inputs!$B$43-((R2522-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I2517)</f>
        <v/>
      </c>
      <c r="L2517">
        <f>K2517*(MIN(Inputs!$B$22+((C2529=TRUE)*(F2529-Calc!F22)),(Inputs!$B$23+((C2531=TRUE)*(F2531-Calc!F24))+(IF(ArtifactsInput!$M$15,CHOOSE(ArtifactsInput!$N$15+1,25,30,35,40,45,50)/100*(Inputs!$B$11-Inputs!$B$11),0))))/100+(Inputs!$B$23+((C2531=TRUE)*(F2531-Calc!F24))+(IF(ArtifactsInput!$M$15,CHOOSE(ArtifactsInput!$N$15+1,25,30,35,40,45,50)/100*(Inputs!$B$11-Inputs!$B$11),0)))/100)/2</f>
        <v/>
      </c>
      <c r="M2517">
        <f>L2517*(1+(Inputs!$B$10+0+B2541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7">
        <f>L2517*(1-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2517*(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7">
        <f>(1-Summary!$B$11)*T2517+Summary!$B$11*V2517</f>
        <v/>
      </c>
      <c r="P2517">
        <f>IF(B2546=0,0,O2517/B2546)</f>
        <v/>
      </c>
      <c r="Q2517">
        <f>IFERROR(1/(IF(Inputs!$B$38="pvp",15,MAX(0.1,Skills!D10-IF(Skills!E10=TRUE,Inputs!$B$32,0)))*(1-IF(AND(ArtifactsInput!$M$27,Inputs!$B$4="Chapter Hunt"),CHOOSE(ArtifactsInput!$N$27+1,20,24,28,32,36,40),0)/100)),0)</f>
        <v/>
      </c>
      <c r="R2517">
        <f>IF(AND(Inputs!$B$38&lt;&gt;"pvp",Inputs!$B$43&gt;0),IF(MAX(0,Inputs!$B$43-B2543)&lt;=0,0,(INT(MAX(0,Inputs!$B$43-B2543)/(IF(Inputs!$B$38="pvp",15,MAX(0.1,Skills!D10-IF(Skills!E10=TRUE,Inputs!$B$32,0)))*(1-IF(AND(ArtifactsInput!$M$27,Inputs!$B$4="Chapter Hunt"),CHOOSE(ArtifactsInput!$N$27+1,20,24,28,32,36,40),0)/100)))+1)),0)</f>
        <v/>
      </c>
      <c r="S2517">
        <f>IFERROR(O2517/N2517,0)</f>
        <v/>
      </c>
      <c r="T2517">
        <f>IF(C2517,(H2517*N2517*IF(AND(Inputs!$B$38&lt;&gt;"pvp",Inputs!$B$43&gt;0),((Skills!G10*((R2517-1)*IF(Skills!H10&gt;0,Skills!I10/Skills!H10,1)+IF(Skills!H10&gt;0,MIN(Skills!I10,MAX(0,MAX(0,Inputs!$B$43-B2543)-((R2517-1)*(IF(Inputs!$B$38="pvp",15,MAX(0.1,Skills!D10-IF(Skills!E10=TRUE,Inputs!$B$32,0)))*(1-IF(AND(ArtifactsInput!$M$27,Inputs!$B$4="Chapter Hunt"),CHOOSE(ArtifactsInput!$N$27+1,20,24,28,32,36,40),0)/100)))))/Skills!H10,1)))/Inputs!$B$43),G2517*Q2517)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2517*(1-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2517*(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2517*(1-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2517*(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7">
        <f>IF(C2517,(H2517*N2517*IF(AND(Inputs!$B$38&lt;&gt;"pvp",Inputs!$B$43&gt;0),((Skills!G10*((R2517-1)*IF(Skills!H10&gt;0,Skills!I10/Skills!H10,1)+IF(Skills!H10&gt;0,MIN(Skills!I10,MAX(0,MAX(0,Inputs!$B$43-B2543)-((R2517-1)*(IF(Inputs!$B$38="pvp",15,MAX(0.1,Skills!D10-IF(Skills!E10=TRUE,Inputs!$B$32,0)))*(1-IF(AND(ArtifactsInput!$M$27,Inputs!$B$4="Chapter Hunt"),CHOOSE(ArtifactsInput!$N$27+1,20,24,28,32,36,40),0)/100)))))/Skills!H10,1)))/Inputs!$B$43),G2517*Q2517)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8">
      <c r="A2518">
        <f>Skills!A11</f>
        <v/>
      </c>
      <c r="B2518">
        <f>Skills!B11</f>
        <v/>
      </c>
      <c r="C2518">
        <f>Inputs!$B$3&gt;=35</f>
        <v/>
      </c>
      <c r="D2518">
        <f>IF(Skills!C11=1,60+Inputs!$B$25+Inputs!$B$29,IF(Skills!C11=2,90+Inputs!$B$26+Inputs!$B$29,IF(Skills!C11=3,120+Inputs!$B$27+Inputs!$B$29,MAX(0,(Inputs!$B$3-100)*3)+Inputs!$B$28+Inputs!$B$29)))</f>
        <v/>
      </c>
      <c r="E2518">
        <f>INDEX(FactorTable!$B$2:$Y$301, MATCH(ROUND(MIN(300,MAX(1,D2518)),0), FactorTable!$A$2:$A$301,0), Skills!M11+1)</f>
        <v/>
      </c>
      <c r="F2518">
        <f>IF(Skills!N11=TRUE,(Skills!L11/10)*(E2518/1000),Skills!L11/10)+Skills!O11</f>
        <v/>
      </c>
      <c r="G2518">
        <f>Skills!G11*IF(Skills!H11&gt;0,Skills!I11/Skills!H11,1)</f>
        <v/>
      </c>
      <c r="H2518">
        <f>1-(1-Skills!J11/100)^Skills!K11</f>
        <v/>
      </c>
      <c r="I2518" t="inlineStr">
        <is>
          <t>1</t>
        </is>
      </c>
      <c r="J2518">
        <f>((Inputs!$B$6*(1+Inputs!$B$7/100))+(((Inputs!$B$12*(1+Inputs!$B$13/100))-(Inputs!$B$12*(1+Inputs!$B$13/100)))+0.25*(Inputs!$B$14-Inputs!$B$14))*(1+Inputs!$B$7/100))*(F2518/100)</f>
        <v/>
      </c>
      <c r="K2518">
        <f>J2518*(1+((Inputs!$B$12*(1+Inputs!$B$13/100))*0.01+Inputs!$B$14*0.0025)/100)*(1+Inputs!$B$15/100)*(1+Inputs!$B$16/100)*(5000/(6000+Inputs!$B$42*(1-(100*(1-(1-(Inputs!$B$19+0)/100)*(1-CHOOSE(ArtifactsInput!$N$40+1,5,6,7,8,9,10)/100)^(ArtifactsInput!$M$40-ArtifactsInput!$M$40)))/100)))*(1+(Inputs!$B$24+((C2532=TRUE)*(F2532-Calc!F25))+B2542)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2519=TRUE,F2519,0)/100)*(1+IF(Skills!A11="ENHANCED_RAGING_BLOW",IF(Inputs!$B$3&gt;=134,MAX(0,IF(Inputs!$B$3&gt;=110,7,5)-5)*50,0),0)/100)*(1+(IF(Skills!A11="RAGING_BLOW",Inputs!$B$17+((C2528=TRUE)*(F2528-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2530=TRUE)*(F2530-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2520=TRUE)*F2520*IF(Inputs!$B$3&gt;=110,7,5))+((C2522=TRUE)*F2522*IF(AND(Inputs!$B$38&lt;&gt;"pvp",Inputs!$B$43&gt;0),(((R2522-1)*(Skills!T15*(1+(Inputs!$B$34+(ArtifactsInput!$M$7-ArtifactsInput!$M$7)*CHOOSE(ArtifactsInput!$N$7+1,6,7.2,8.4,9.6,10.8,12))/100))+MIN((Skills!T15*(1+(Inputs!$B$34+(ArtifactsInput!$M$7-ArtifactsInput!$M$7)*CHOOSE(ArtifactsInput!$N$7+1,6,7.2,8.4,9.6,10.8,12))/100)),MAX(0,Inputs!$B$43-((R2522-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I2518)</f>
        <v/>
      </c>
      <c r="L2518">
        <f>K2518*(MIN(Inputs!$B$22+((C2529=TRUE)*(F2529-Calc!F22)),(Inputs!$B$23+((C2531=TRUE)*(F2531-Calc!F24))+(IF(ArtifactsInput!$M$15,CHOOSE(ArtifactsInput!$N$15+1,25,30,35,40,45,50)/100*(Inputs!$B$11-Inputs!$B$11),0))))/100+(Inputs!$B$23+((C2531=TRUE)*(F2531-Calc!F24))+(IF(ArtifactsInput!$M$15,CHOOSE(ArtifactsInput!$N$15+1,25,30,35,40,45,50)/100*(Inputs!$B$11-Inputs!$B$11),0)))/100)/2</f>
        <v/>
      </c>
      <c r="M2518">
        <f>L2518*(1+(Inputs!$B$10+0+B2541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8">
        <f>L2518*(1-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2518*(MIN((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8">
        <f>(1-Summary!$B$11)*T2518+Summary!$B$11*V2518</f>
        <v/>
      </c>
      <c r="P2518">
        <f>IF(B2546=0,0,O2518/B2546)</f>
        <v/>
      </c>
      <c r="Q2518">
        <f>IFERROR(1/(IF(Inputs!$B$38="pvp",15,MAX(0.1,Skills!D11-IF(Skills!E11=TRUE,Inputs!$B$32,0)))*(1-IF(AND(ArtifactsInput!$M$27,Inputs!$B$4="Chapter Hunt"),CHOOSE(ArtifactsInput!$N$27+1,20,24,28,32,36,40),0)/100)),0)</f>
        <v/>
      </c>
      <c r="R2518">
        <f>IF(AND(Inputs!$B$38&lt;&gt;"pvp",Inputs!$B$43&gt;0),IF(MAX(0,Inputs!$B$43-B2543)&lt;=0,0,(INT(MAX(0,Inputs!$B$43-B2543)/(IF(Inputs!$B$38="pvp",15,MAX(0.1,Skills!D11-IF(Skills!E11=TRUE,Inputs!$B$32,0)))*(1-IF(AND(ArtifactsInput!$M$27,Inputs!$B$4="Chapter Hunt"),CHOOSE(ArtifactsInput!$N$27+1,20,24,28,32,36,40),0)/100)))+1)),0)</f>
        <v/>
      </c>
      <c r="S2518">
        <f>IFERROR(O2518/N2518,0)</f>
        <v/>
      </c>
      <c r="T2518">
        <f>IF(C2518,(H2518*N2518*IF(AND(Inputs!$B$38&lt;&gt;"pvp",Inputs!$B$43&gt;0),((Skills!G11*((R2518-1)*IF(Skills!H11&gt;0,Skills!I11/Skills!H11,1)+IF(Skills!H11&gt;0,MIN(Skills!I11,MAX(0,MAX(0,Inputs!$B$43-B2543)-((R2518-1)*(IF(Inputs!$B$38="pvp",15,MAX(0.1,Skills!D11-IF(Skills!E11=TRUE,Inputs!$B$32,0)))*(1-IF(AND(ArtifactsInput!$M$27,Inputs!$B$4="Chapter Hunt"),CHOOSE(ArtifactsInput!$N$27+1,20,24,28,32,36,40),0)/100)))))/Skills!H11,1)))/Inputs!$B$43),G2518*Q2518)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2518*(1-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2518*(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2518*(1-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2518*(MIN(100,(Inputs!$B$9+((C2533=TRUE)*(F2533-Calc!F26))+B2536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8">
        <f>IF(C2518,(H2518*N2518*IF(AND(Inputs!$B$38&lt;&gt;"pvp",Inputs!$B$43&gt;0),((Skills!G11*((R2518-1)*IF(Skills!H11&gt;0,Skills!I11/Skills!H11,1)+IF(Skills!H11&gt;0,MIN(Skills!I11,MAX(0,MAX(0,Inputs!$B$43-B2543)-((R2518-1)*(IF(Inputs!$B$38="pvp",15,MAX(0.1,Skills!D11-IF(Skills!E11=TRUE,Inputs!$B$32,0)))*(1-IF(AND(ArtifactsInput!$M$27,Inputs!$B$4="Chapter Hunt"),CHOOSE(ArtifactsInput!$N$27+1,20,24,28,32,36,40),0)/100)))))/Skills!H11,1)))/Inputs!$B$43),G2518*Q2518)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9">
      <c r="A2519">
        <f>Skills!A12</f>
        <v/>
      </c>
      <c r="B2519">
        <f>Skills!B12</f>
        <v/>
      </c>
      <c r="C2519">
        <f>Inputs!$B$3&gt;=100</f>
        <v/>
      </c>
      <c r="D2519">
        <f>IF(Skills!C12=1,60+Inputs!$B$25+Inputs!$B$29,IF(Skills!C12=2,90+Inputs!$B$26+Inputs!$B$29,IF(Skills!C12=3,120+Inputs!$B$27+Inputs!$B$29,MAX(0,(Inputs!$B$3-100)*3)+Inputs!$B$28+Inputs!$B$29)))</f>
        <v/>
      </c>
      <c r="E2519">
        <f>INDEX(FactorTable!$B$2:$Y$301, MATCH(ROUND(MIN(300,MAX(1,D2519)),0), FactorTable!$A$2:$A$301,0), Skills!M12+1)</f>
        <v/>
      </c>
      <c r="F2519">
        <f>IF(Skills!N12=TRUE,(Skills!L12/10)*(E2519/1000),Skills!L12/10)+Skills!O12</f>
        <v/>
      </c>
      <c r="G2519" t="inlineStr"/>
      <c r="H2519" t="inlineStr"/>
      <c r="I2519" t="inlineStr">
        <is>
          <t>1</t>
        </is>
      </c>
      <c r="J2519" t="inlineStr"/>
      <c r="K2519" t="inlineStr"/>
      <c r="L2519" t="inlineStr"/>
      <c r="M2519" t="inlineStr"/>
      <c r="N2519" t="inlineStr"/>
      <c r="O2519" t="inlineStr"/>
      <c r="P2519" t="inlineStr"/>
      <c r="Q2519" t="inlineStr"/>
      <c r="R2519" t="inlineStr"/>
      <c r="S2519" t="inlineStr"/>
    </row>
    <row r="2520">
      <c r="A2520">
        <f>Skills!A13</f>
        <v/>
      </c>
      <c r="B2520">
        <f>Skills!B13</f>
        <v/>
      </c>
      <c r="C2520">
        <f>Inputs!$B$3&gt;=45</f>
        <v/>
      </c>
      <c r="D2520">
        <f>IF(Skills!C13=1,60+Inputs!$B$25+Inputs!$B$29,IF(Skills!C13=2,90+Inputs!$B$26+Inputs!$B$29,IF(Skills!C13=3,120+Inputs!$B$27+Inputs!$B$29,MAX(0,(Inputs!$B$3-100)*3)+Inputs!$B$28+Inputs!$B$29)))</f>
        <v/>
      </c>
      <c r="E2520">
        <f>INDEX(FactorTable!$B$2:$Y$301, MATCH(ROUND(MIN(300,MAX(1,D2520)),0), FactorTable!$A$2:$A$301,0), Skills!M13+1)</f>
        <v/>
      </c>
      <c r="F2520">
        <f>IF(Skills!N13=TRUE,(Skills!L13/10)*(E2520/1000),Skills!L13/10)+Skills!O13</f>
        <v/>
      </c>
      <c r="G2520">
        <f>Skills!G13*IF(Skills!H13&gt;0,Skills!I13/Skills!H13,1)</f>
        <v/>
      </c>
      <c r="H2520">
        <f>1-(1-Skills!J13/100)^Skills!K13</f>
        <v/>
      </c>
      <c r="I2520" t="inlineStr">
        <is>
          <t>1</t>
        </is>
      </c>
      <c r="J2520" t="inlineStr"/>
      <c r="K2520" t="inlineStr"/>
      <c r="L2520" t="inlineStr"/>
      <c r="M2520" t="inlineStr"/>
      <c r="N2520" t="inlineStr"/>
      <c r="O2520">
        <f>(1-Summary!$B$11)*T2520+Summary!$B$11*V2520</f>
        <v/>
      </c>
      <c r="P2520">
        <f>IF(B2546=0,0,O2520/B2546)</f>
        <v/>
      </c>
      <c r="Q2520" t="n">
        <v>0</v>
      </c>
      <c r="R2520" t="n">
        <v>0</v>
      </c>
      <c r="S2520">
        <f>IFERROR(O2520/N2520,0)</f>
        <v/>
      </c>
      <c r="T2520" t="n">
        <v>0</v>
      </c>
      <c r="V2520" t="n">
        <v>0</v>
      </c>
    </row>
    <row r="2521">
      <c r="A2521">
        <f>Skills!A14</f>
        <v/>
      </c>
      <c r="B2521">
        <f>Skills!B14</f>
        <v/>
      </c>
      <c r="C2521">
        <f>Inputs!$B$3&gt;=75</f>
        <v/>
      </c>
      <c r="D2521">
        <f>IF(Skills!C14=1,60+Inputs!$B$25+Inputs!$B$29,IF(Skills!C14=2,90+Inputs!$B$26+Inputs!$B$29,IF(Skills!C14=3,120+Inputs!$B$27+Inputs!$B$29,MAX(0,(Inputs!$B$3-100)*3)+Inputs!$B$28+Inputs!$B$29)))</f>
        <v/>
      </c>
      <c r="E2521">
        <f>INDEX(FactorTable!$B$2:$Y$301, MATCH(ROUND(MIN(300,MAX(1,D2521)),0), FactorTable!$A$2:$A$301,0), Skills!M14+1)</f>
        <v/>
      </c>
      <c r="F2521">
        <f>IF(Skills!N14=TRUE,(Skills!L14/10)*(E2521/1000),Skills!L14/10)+Skills!O14</f>
        <v/>
      </c>
      <c r="G2521">
        <f>Skills!G14*IF(Skills!H14&gt;0,Skills!I14/Skills!H14,1)</f>
        <v/>
      </c>
      <c r="H2521">
        <f>1-(1-Skills!J14/100)^Skills!K14</f>
        <v/>
      </c>
      <c r="I2521" t="inlineStr">
        <is>
          <t>1</t>
        </is>
      </c>
      <c r="J2521" t="inlineStr"/>
      <c r="K2521" t="inlineStr"/>
      <c r="L2521" t="inlineStr"/>
      <c r="M2521" t="inlineStr"/>
      <c r="N2521" t="inlineStr"/>
      <c r="O2521">
        <f>(1-Summary!$B$11)*T2521+Summary!$B$11*V2521</f>
        <v/>
      </c>
      <c r="P2521">
        <f>IF(B2546=0,0,O2521/B2546)</f>
        <v/>
      </c>
      <c r="Q2521" t="n">
        <v>0</v>
      </c>
      <c r="R2521" t="n">
        <v>0</v>
      </c>
      <c r="S2521">
        <f>IFERROR(O2521/N2521,0)</f>
        <v/>
      </c>
      <c r="T2521" t="n">
        <v>0</v>
      </c>
      <c r="V2521" t="n">
        <v>0</v>
      </c>
    </row>
    <row r="2522">
      <c r="A2522">
        <f>Skills!A15</f>
        <v/>
      </c>
      <c r="B2522">
        <f>Skills!B15</f>
        <v/>
      </c>
      <c r="C2522">
        <f>Inputs!$B$3&gt;=40</f>
        <v/>
      </c>
      <c r="D2522">
        <f>IF(Skills!C15=1,60+Inputs!$B$25+Inputs!$B$29,IF(Skills!C15=2,90+Inputs!$B$26+Inputs!$B$29,IF(Skills!C15=3,120+Inputs!$B$27+Inputs!$B$29,MAX(0,(Inputs!$B$3-100)*3)+Inputs!$B$28+Inputs!$B$29)))</f>
        <v/>
      </c>
      <c r="E2522">
        <f>INDEX(FactorTable!$B$2:$Y$301, MATCH(ROUND(MIN(300,MAX(1,D2522)),0), FactorTable!$A$2:$A$301,0), Skills!M15+1)</f>
        <v/>
      </c>
      <c r="F2522">
        <f>IF(Skills!N15=TRUE,(Skills!L15/10)*(E2522/1000),Skills!L15/10)+Skills!O15</f>
        <v/>
      </c>
      <c r="G2522">
        <f>Skills!G15*IF(Skills!H15&gt;0,Skills!I15/Skills!H15,1)</f>
        <v/>
      </c>
      <c r="H2522">
        <f>1-(1-Skills!J15/100)^Skills!K15</f>
        <v/>
      </c>
      <c r="I2522" t="inlineStr">
        <is>
          <t>1</t>
        </is>
      </c>
      <c r="J2522" t="inlineStr"/>
      <c r="K2522" t="inlineStr"/>
      <c r="L2522" t="inlineStr"/>
      <c r="M2522" t="inlineStr"/>
      <c r="N2522" t="inlineStr"/>
      <c r="O2522">
        <f>(1-Summary!$B$11)*T2522+Summary!$B$11*V2522</f>
        <v/>
      </c>
      <c r="P2522">
        <f>IF(B2546=0,0,O2522/B2546)</f>
        <v/>
      </c>
      <c r="Q2522">
        <f>IFERROR(1/(IF(Inputs!$B$38="pvp",15,MAX(0.1,Skills!D15-IF(Skills!E15=TRUE,Inputs!$B$32,0)))*(1-IF(AND(ArtifactsInput!$M$27,Inputs!$B$4="Chapter Hunt"),CHOOSE(ArtifactsInput!$N$27+1,20,24,28,32,36,40),0)/100)),0)</f>
        <v/>
      </c>
      <c r="R2522">
        <f>IF(AND(Inputs!$B$38&lt;&gt;"pvp",Inputs!$B$43&gt;0),IF(Inputs!$B$43&lt;=0,0,(INT(Inputs!$B$43/(IF(Inputs!$B$38="pvp",15,MAX(0.1,Skills!D15-IF(Skills!E15=TRUE,Inputs!$B$32,0)))*(1-IF(AND(ArtifactsInput!$M$27,Inputs!$B$4="Chapter Hunt"),CHOOSE(ArtifactsInput!$N$27+1,20,24,28,32,36,40),0)/100)))+1)),0)</f>
        <v/>
      </c>
      <c r="S2522">
        <f>IFERROR(O2522/N2522,0)</f>
        <v/>
      </c>
      <c r="T2522" t="n">
        <v>0</v>
      </c>
      <c r="V2522" t="n">
        <v>0</v>
      </c>
    </row>
    <row r="2523">
      <c r="A2523">
        <f>Skills!A16</f>
        <v/>
      </c>
      <c r="B2523">
        <f>Skills!B16</f>
        <v/>
      </c>
      <c r="C2523">
        <f>Inputs!$B$3&gt;=66</f>
        <v/>
      </c>
      <c r="D2523">
        <f>IF(Skills!C16=1,60+Inputs!$B$25+Inputs!$B$29,IF(Skills!C16=2,90+Inputs!$B$26+Inputs!$B$29,IF(Skills!C16=3,120+Inputs!$B$27+Inputs!$B$29,MAX(0,(Inputs!$B$3-100)*3)+Inputs!$B$28+Inputs!$B$29)))</f>
        <v/>
      </c>
      <c r="E2523">
        <f>INDEX(FactorTable!$B$2:$Y$301, MATCH(ROUND(MIN(300,MAX(1,D2523)),0), FactorTable!$A$2:$A$301,0), Skills!M16+1)</f>
        <v/>
      </c>
      <c r="F2523">
        <f>IF(Skills!N16=TRUE,(Skills!L16/10)*(E2523/1000),Skills!L16/10)+Skills!O16</f>
        <v/>
      </c>
      <c r="G2523">
        <f>Skills!G16*IF(Skills!H16&gt;0,Skills!I16/Skills!H16,1)</f>
        <v/>
      </c>
      <c r="H2523">
        <f>1-(1-Skills!J16/100)^Skills!K16</f>
        <v/>
      </c>
      <c r="I2523" t="inlineStr">
        <is>
          <t>1</t>
        </is>
      </c>
      <c r="J2523" t="inlineStr"/>
      <c r="K2523" t="inlineStr"/>
      <c r="L2523" t="inlineStr"/>
      <c r="M2523" t="inlineStr"/>
      <c r="N2523" t="inlineStr"/>
      <c r="O2523">
        <f>(1-Summary!$B$11)*T2523+Summary!$B$11*V2523</f>
        <v/>
      </c>
      <c r="P2523">
        <f>IF(B2546=0,0,O2523/B2546)</f>
        <v/>
      </c>
      <c r="Q2523">
        <f>IFERROR(1/(IF(Inputs!$B$38="pvp",15,MAX(0.1,Skills!D16-IF(Skills!E16=TRUE,Inputs!$B$32,0)))*(1-IF(AND(ArtifactsInput!$M$27,Inputs!$B$4="Chapter Hunt"),CHOOSE(ArtifactsInput!$N$27+1,20,24,28,32,36,40),0)/100)),0)</f>
        <v/>
      </c>
      <c r="R2523">
        <f>IF(AND(Inputs!$B$38&lt;&gt;"pvp",Inputs!$B$43&gt;0),IF(Inputs!$B$43&lt;=0,0,(INT(Inputs!$B$43/(IF(Inputs!$B$38="pvp",15,MAX(0.1,Skills!D16-IF(Skills!E16=TRUE,Inputs!$B$32,0)))*(1-IF(AND(ArtifactsInput!$M$27,Inputs!$B$4="Chapter Hunt"),CHOOSE(ArtifactsInput!$N$27+1,20,24,28,32,36,40),0)/100)))+1)),0)</f>
        <v/>
      </c>
      <c r="S2523">
        <f>IFERROR(O2523/N2523,0)</f>
        <v/>
      </c>
      <c r="T2523" t="n">
        <v>0</v>
      </c>
      <c r="V2523" t="n">
        <v>0</v>
      </c>
    </row>
    <row r="2524">
      <c r="A2524">
        <f>Skills!A17</f>
        <v/>
      </c>
      <c r="B2524">
        <f>Skills!B17</f>
        <v/>
      </c>
      <c r="C2524">
        <f>Inputs!$B$3&gt;=115</f>
        <v/>
      </c>
      <c r="D2524">
        <f>IF(Skills!C17=1,60+Inputs!$B$25+Inputs!$B$29,IF(Skills!C17=2,90+Inputs!$B$26+Inputs!$B$29,IF(Skills!C17=3,120+Inputs!$B$27+Inputs!$B$29,MAX(0,(Inputs!$B$3-100)*3)+Inputs!$B$28+Inputs!$B$29)))</f>
        <v/>
      </c>
      <c r="E2524">
        <f>INDEX(FactorTable!$B$2:$Y$301, MATCH(ROUND(MIN(300,MAX(1,D2524)),0), FactorTable!$A$2:$A$301,0), Skills!M17+1)</f>
        <v/>
      </c>
      <c r="F2524">
        <f>IF(Skills!N17=TRUE,(Skills!L17/10)*(E2524/1000),Skills!L17/10)+Skills!O17</f>
        <v/>
      </c>
      <c r="G2524">
        <f>Skills!G17*IF(Skills!H17&gt;0,Skills!I17/Skills!H17,1)</f>
        <v/>
      </c>
      <c r="H2524">
        <f>1-(1-Skills!J17/100)^Skills!K17</f>
        <v/>
      </c>
      <c r="I2524" t="inlineStr">
        <is>
          <t>1</t>
        </is>
      </c>
      <c r="J2524" t="inlineStr"/>
      <c r="K2524" t="inlineStr"/>
      <c r="L2524" t="inlineStr"/>
      <c r="M2524" t="inlineStr"/>
      <c r="N2524" t="inlineStr"/>
      <c r="O2524">
        <f>(1-Summary!$B$11)*T2524+Summary!$B$11*V2524</f>
        <v/>
      </c>
      <c r="P2524">
        <f>IF(B2546=0,0,O2524/B2546)</f>
        <v/>
      </c>
      <c r="Q2524">
        <f>IFERROR(1/(IF(Inputs!$B$38="pvp",15,MAX(0.1,Skills!D17-IF(Skills!E17=TRUE,Inputs!$B$32,0)))*(1-IF(AND(ArtifactsInput!$M$27,Inputs!$B$4="Chapter Hunt"),CHOOSE(ArtifactsInput!$N$27+1,20,24,28,32,36,40),0)/100)),0)</f>
        <v/>
      </c>
      <c r="R2524">
        <f>IF(AND(Inputs!$B$38&lt;&gt;"pvp",Inputs!$B$43&gt;0),IF(Inputs!$B$43&lt;=0,0,(INT(Inputs!$B$43/(IF(Inputs!$B$38="pvp",15,MAX(0.1,Skills!D17-IF(Skills!E17=TRUE,Inputs!$B$32,0)))*(1-IF(AND(ArtifactsInput!$M$27,Inputs!$B$4="Chapter Hunt"),CHOOSE(ArtifactsInput!$N$27+1,20,24,28,32,36,40),0)/100)))+1)),0)</f>
        <v/>
      </c>
      <c r="S2524">
        <f>IFERROR(O2524/N2524,0)</f>
        <v/>
      </c>
      <c r="T2524" t="n">
        <v>0</v>
      </c>
      <c r="V2524" t="n">
        <v>0</v>
      </c>
    </row>
    <row r="2525">
      <c r="A2525">
        <f>Skills!A18</f>
        <v/>
      </c>
      <c r="B2525">
        <f>Skills!B18</f>
        <v/>
      </c>
      <c r="C2525">
        <f>Inputs!$B$3&gt;=115</f>
        <v/>
      </c>
      <c r="D2525">
        <f>IF(Skills!C18=1,60+Inputs!$B$25+Inputs!$B$29,IF(Skills!C18=2,90+Inputs!$B$26+Inputs!$B$29,IF(Skills!C18=3,120+Inputs!$B$27+Inputs!$B$29,MAX(0,(Inputs!$B$3-100)*3)+Inputs!$B$28+Inputs!$B$29)))</f>
        <v/>
      </c>
      <c r="E2525">
        <f>INDEX(FactorTable!$B$2:$Y$301, MATCH(ROUND(MIN(300,MAX(1,D2525)),0), FactorTable!$A$2:$A$301,0), Skills!M18+1)</f>
        <v/>
      </c>
      <c r="F2525">
        <f>IF(Skills!N18=TRUE,(Skills!L18/10)*(E2525/1000),Skills!L18/10)+Skills!O18</f>
        <v/>
      </c>
      <c r="G2525">
        <f>Skills!G18*IF(Skills!H18&gt;0,Skills!I18/Skills!H18,1)</f>
        <v/>
      </c>
      <c r="H2525">
        <f>1-(1-Skills!J18/100)^Skills!K18</f>
        <v/>
      </c>
      <c r="I2525" t="inlineStr">
        <is>
          <t>1</t>
        </is>
      </c>
      <c r="J2525" t="inlineStr"/>
      <c r="K2525" t="inlineStr"/>
      <c r="L2525" t="inlineStr"/>
      <c r="M2525" t="inlineStr"/>
      <c r="N2525" t="inlineStr"/>
      <c r="O2525">
        <f>(1-Summary!$B$11)*T2525+Summary!$B$11*V2525</f>
        <v/>
      </c>
      <c r="P2525">
        <f>IF(B2546=0,0,O2525/B2546)</f>
        <v/>
      </c>
      <c r="Q2525">
        <f>IFERROR(1/(IF(Inputs!$B$38="pvp",15,MAX(0.1,Skills!D18-IF(Skills!E18=TRUE,Inputs!$B$32,0)))*(1-IF(AND(ArtifactsInput!$M$27,Inputs!$B$4="Chapter Hunt"),CHOOSE(ArtifactsInput!$N$27+1,20,24,28,32,36,40),0)/100)),0)</f>
        <v/>
      </c>
      <c r="R2525">
        <f>IF(AND(Inputs!$B$38&lt;&gt;"pvp",Inputs!$B$43&gt;0),IF(Inputs!$B$43&lt;=0,0,(INT(Inputs!$B$43/(IF(Inputs!$B$38="pvp",15,MAX(0.1,Skills!D18-IF(Skills!E18=TRUE,Inputs!$B$32,0)))*(1-IF(AND(ArtifactsInput!$M$27,Inputs!$B$4="Chapter Hunt"),CHOOSE(ArtifactsInput!$N$27+1,20,24,28,32,36,40),0)/100)))+1)),0)</f>
        <v/>
      </c>
      <c r="S2525">
        <f>IFERROR(O2525/N2525,0)</f>
        <v/>
      </c>
      <c r="T2525" t="n">
        <v>0</v>
      </c>
      <c r="V2525" t="n">
        <v>0</v>
      </c>
    </row>
    <row r="2526">
      <c r="A2526">
        <f>Skills!A19</f>
        <v/>
      </c>
      <c r="B2526">
        <f>Skills!B19</f>
        <v/>
      </c>
      <c r="C2526">
        <f>TRUE</f>
        <v/>
      </c>
      <c r="D2526">
        <f>IF(Skills!C19=1,60+Inputs!$B$25+Inputs!$B$29,IF(Skills!C19=2,90+Inputs!$B$26+Inputs!$B$29,IF(Skills!C19=3,120+Inputs!$B$27+Inputs!$B$29,MAX(0,(Inputs!$B$3-100)*3)+Inputs!$B$28+Inputs!$B$29)))</f>
        <v/>
      </c>
      <c r="E2526">
        <f>INDEX(FactorTable!$B$2:$Y$301, MATCH(ROUND(MIN(300,MAX(1,D2526)),0), FactorTable!$A$2:$A$301,0), Skills!M19+1)</f>
        <v/>
      </c>
      <c r="F2526">
        <f>IF(Skills!N19=TRUE,(Skills!L19/10)*(E2526/1000),Skills!L19/10)+Skills!O19</f>
        <v/>
      </c>
      <c r="G2526">
        <f>Skills!G19*IF(Skills!H19&gt;0,Skills!I19/Skills!H19,1)</f>
        <v/>
      </c>
      <c r="H2526">
        <f>1-(1-Skills!J19/100)^Skills!K19</f>
        <v/>
      </c>
      <c r="I2526" t="inlineStr">
        <is>
          <t>1</t>
        </is>
      </c>
      <c r="J2526" t="inlineStr"/>
      <c r="K2526" t="inlineStr"/>
      <c r="L2526" t="inlineStr"/>
      <c r="M2526" t="inlineStr"/>
      <c r="N2526" t="inlineStr"/>
      <c r="O2526">
        <f>(1-Summary!$B$11)*T2526+Summary!$B$11*V2526</f>
        <v/>
      </c>
      <c r="P2526">
        <f>IF(B2546=0,0,O2526/B2546)</f>
        <v/>
      </c>
      <c r="Q2526">
        <f>IFERROR(1/(IF(Inputs!$B$38="pvp",15,MAX(0.1,Skills!D19-IF(Skills!E19=TRUE,Inputs!$B$32,0)))*(1-IF(AND(ArtifactsInput!$M$27,Inputs!$B$4="Chapter Hunt"),CHOOSE(ArtifactsInput!$N$27+1,20,24,28,32,36,40),0)/100)),0)</f>
        <v/>
      </c>
      <c r="R2526">
        <f>IF(AND(Inputs!$B$38&lt;&gt;"pvp",Inputs!$B$43&gt;0),IF(Inputs!$B$43&lt;=0,0,(INT(Inputs!$B$43/(IF(Inputs!$B$38="pvp",15,MAX(0.1,Skills!D19-IF(Skills!E19=TRUE,Inputs!$B$32,0)))*(1-IF(AND(ArtifactsInput!$M$27,Inputs!$B$4="Chapter Hunt"),CHOOSE(ArtifactsInput!$N$27+1,20,24,28,32,36,40),0)/100)))+1)),0)</f>
        <v/>
      </c>
      <c r="S2526">
        <f>IFERROR(O2526/N2526,0)</f>
        <v/>
      </c>
      <c r="T2526" t="n">
        <v>0</v>
      </c>
      <c r="V2526" t="n">
        <v>0</v>
      </c>
    </row>
    <row r="2527">
      <c r="A2527">
        <f>Skills!A20</f>
        <v/>
      </c>
      <c r="B2527">
        <f>Skills!B20</f>
        <v/>
      </c>
      <c r="C2527">
        <f>Inputs!$B$3&gt;=33</f>
        <v/>
      </c>
      <c r="D2527">
        <f>IF(Skills!C20=1,60+Inputs!$B$25+Inputs!$B$29,IF(Skills!C20=2,90+Inputs!$B$26+Inputs!$B$29,IF(Skills!C20=3,120+Inputs!$B$27+Inputs!$B$29,MAX(0,(Inputs!$B$3-100)*3)+Inputs!$B$28+Inputs!$B$29)))</f>
        <v/>
      </c>
      <c r="E2527">
        <f>INDEX(FactorTable!$B$2:$Y$301, MATCH(ROUND(MIN(300,MAX(1,D2527)),0), FactorTable!$A$2:$A$301,0), Skills!M20+1)</f>
        <v/>
      </c>
      <c r="F2527">
        <f>IF(Skills!N20=TRUE,(Skills!L20/10)*(E2527/1000),Skills!L20/10)+Skills!O20</f>
        <v/>
      </c>
      <c r="G2527">
        <f>Skills!G20*IF(Skills!H20&gt;0,Skills!I20/Skills!H20,1)</f>
        <v/>
      </c>
      <c r="H2527">
        <f>1-(1-Skills!J20/100)^Skills!K20</f>
        <v/>
      </c>
      <c r="I2527" t="inlineStr">
        <is>
          <t>1</t>
        </is>
      </c>
      <c r="J2527" t="inlineStr"/>
      <c r="K2527" t="inlineStr"/>
      <c r="L2527" t="inlineStr"/>
      <c r="M2527" t="inlineStr"/>
      <c r="N2527" t="inlineStr"/>
      <c r="O2527">
        <f>(1-Summary!$B$11)*T2527+Summary!$B$11*V2527</f>
        <v/>
      </c>
      <c r="P2527">
        <f>IF(B2546=0,0,O2527/B2546)</f>
        <v/>
      </c>
      <c r="Q2527" t="n">
        <v>0</v>
      </c>
      <c r="R2527" t="n">
        <v>0</v>
      </c>
      <c r="S2527">
        <f>IFERROR(O2527/N2527,0)</f>
        <v/>
      </c>
      <c r="T2527" t="n">
        <v>0</v>
      </c>
      <c r="V2527" t="n">
        <v>0</v>
      </c>
    </row>
    <row r="2528">
      <c r="A2528">
        <f>Skills!A21</f>
        <v/>
      </c>
      <c r="B2528">
        <f>Skills!B21</f>
        <v/>
      </c>
      <c r="C2528">
        <f>Inputs!$B$3&gt;=38</f>
        <v/>
      </c>
      <c r="D2528">
        <f>IF(Skills!C21=1,60+Inputs!$B$25+Inputs!$B$29,IF(Skills!C21=2,90+Inputs!$B$26+Inputs!$B$29,IF(Skills!C21=3,120+Inputs!$B$27+Inputs!$B$29,MAX(0,(Inputs!$B$3-100)*3)+Inputs!$B$28+Inputs!$B$29)))</f>
        <v/>
      </c>
      <c r="E2528">
        <f>INDEX(FactorTable!$B$2:$Y$301, MATCH(ROUND(MIN(300,MAX(1,D2528)),0), FactorTable!$A$2:$A$301,0), Skills!M21+1)</f>
        <v/>
      </c>
      <c r="F2528">
        <f>IF(Skills!N21=TRUE,(Skills!L21/10)*(E2528/1000),Skills!L21/10)+Skills!O21</f>
        <v/>
      </c>
      <c r="G2528">
        <f>Skills!G21*IF(Skills!H21&gt;0,Skills!I21/Skills!H21,1)</f>
        <v/>
      </c>
      <c r="H2528">
        <f>1-(1-Skills!J21/100)^Skills!K21</f>
        <v/>
      </c>
      <c r="I2528" t="inlineStr">
        <is>
          <t>1</t>
        </is>
      </c>
      <c r="J2528" t="inlineStr"/>
      <c r="K2528" t="inlineStr"/>
      <c r="L2528" t="inlineStr"/>
      <c r="M2528" t="inlineStr"/>
      <c r="N2528" t="inlineStr"/>
      <c r="O2528">
        <f>(1-Summary!$B$11)*T2528+Summary!$B$11*V2528</f>
        <v/>
      </c>
      <c r="P2528">
        <f>IF(B2546=0,0,O2528/B2546)</f>
        <v/>
      </c>
      <c r="Q2528" t="n">
        <v>0</v>
      </c>
      <c r="R2528" t="n">
        <v>0</v>
      </c>
      <c r="S2528">
        <f>IFERROR(O2528/N2528,0)</f>
        <v/>
      </c>
      <c r="T2528" t="n">
        <v>0</v>
      </c>
      <c r="V2528" t="n">
        <v>0</v>
      </c>
    </row>
    <row r="2529">
      <c r="A2529">
        <f>Skills!A22</f>
        <v/>
      </c>
      <c r="B2529">
        <f>Skills!B22</f>
        <v/>
      </c>
      <c r="C2529">
        <f>Inputs!$B$3&gt;=43</f>
        <v/>
      </c>
      <c r="D2529">
        <f>IF(Skills!C22=1,60+Inputs!$B$25+Inputs!$B$29,IF(Skills!C22=2,90+Inputs!$B$26+Inputs!$B$29,IF(Skills!C22=3,120+Inputs!$B$27+Inputs!$B$29,MAX(0,(Inputs!$B$3-100)*3)+Inputs!$B$28+Inputs!$B$29)))</f>
        <v/>
      </c>
      <c r="E2529">
        <f>INDEX(FactorTable!$B$2:$Y$301, MATCH(ROUND(MIN(300,MAX(1,D2529)),0), FactorTable!$A$2:$A$301,0), Skills!M22+1)</f>
        <v/>
      </c>
      <c r="F2529">
        <f>IF(Skills!N22=TRUE,(Skills!L22/10)*(E2529/1000),Skills!L22/10)+Skills!O22</f>
        <v/>
      </c>
      <c r="G2529">
        <f>Skills!G22*IF(Skills!H22&gt;0,Skills!I22/Skills!H22,1)</f>
        <v/>
      </c>
      <c r="H2529">
        <f>1-(1-Skills!J22/100)^Skills!K22</f>
        <v/>
      </c>
      <c r="I2529" t="inlineStr">
        <is>
          <t>1</t>
        </is>
      </c>
      <c r="J2529" t="inlineStr"/>
      <c r="K2529" t="inlineStr"/>
      <c r="L2529" t="inlineStr"/>
      <c r="M2529" t="inlineStr"/>
      <c r="N2529" t="inlineStr"/>
      <c r="O2529">
        <f>(1-Summary!$B$11)*T2529+Summary!$B$11*V2529</f>
        <v/>
      </c>
      <c r="P2529">
        <f>IF(B2546=0,0,O2529/B2546)</f>
        <v/>
      </c>
      <c r="Q2529" t="n">
        <v>0</v>
      </c>
      <c r="R2529" t="n">
        <v>0</v>
      </c>
      <c r="S2529">
        <f>IFERROR(O2529/N2529,0)</f>
        <v/>
      </c>
      <c r="T2529" t="n">
        <v>0</v>
      </c>
      <c r="V2529" t="n">
        <v>0</v>
      </c>
    </row>
    <row r="2530">
      <c r="A2530">
        <f>Skills!A23</f>
        <v/>
      </c>
      <c r="B2530">
        <f>Skills!B23</f>
        <v/>
      </c>
      <c r="C2530">
        <f>Inputs!$B$3&gt;=120</f>
        <v/>
      </c>
      <c r="D2530">
        <f>IF(Skills!C23=1,60+Inputs!$B$25+Inputs!$B$29,IF(Skills!C23=2,90+Inputs!$B$26+Inputs!$B$29,IF(Skills!C23=3,120+Inputs!$B$27+Inputs!$B$29,MAX(0,(Inputs!$B$3-100)*3)+Inputs!$B$28+Inputs!$B$29)))</f>
        <v/>
      </c>
      <c r="E2530">
        <f>INDEX(FactorTable!$B$2:$Y$301, MATCH(ROUND(MIN(300,MAX(1,D2530)),0), FactorTable!$A$2:$A$301,0), Skills!M23+1)</f>
        <v/>
      </c>
      <c r="F2530">
        <f>IF(Skills!N23=TRUE,(Skills!L23/10)*(E2530/1000),Skills!L23/10)+Skills!O23</f>
        <v/>
      </c>
      <c r="G2530">
        <f>Skills!G23*IF(Skills!H23&gt;0,Skills!I23/Skills!H23,1)</f>
        <v/>
      </c>
      <c r="H2530">
        <f>1-(1-Skills!J23/100)^Skills!K23</f>
        <v/>
      </c>
      <c r="I2530" t="inlineStr">
        <is>
          <t>1</t>
        </is>
      </c>
      <c r="J2530" t="inlineStr"/>
      <c r="K2530" t="inlineStr"/>
      <c r="L2530" t="inlineStr"/>
      <c r="M2530" t="inlineStr"/>
      <c r="N2530" t="inlineStr"/>
      <c r="O2530">
        <f>(1-Summary!$B$11)*T2530+Summary!$B$11*V2530</f>
        <v/>
      </c>
      <c r="P2530">
        <f>IF(B2546=0,0,O2530/B2546)</f>
        <v/>
      </c>
      <c r="Q2530" t="n">
        <v>0</v>
      </c>
      <c r="R2530" t="n">
        <v>0</v>
      </c>
      <c r="S2530">
        <f>IFERROR(O2530/N2530,0)</f>
        <v/>
      </c>
      <c r="T2530" t="n">
        <v>0</v>
      </c>
      <c r="V2530" t="n">
        <v>0</v>
      </c>
    </row>
    <row r="2531">
      <c r="A2531">
        <f>Skills!A24</f>
        <v/>
      </c>
      <c r="B2531">
        <f>Skills!B24</f>
        <v/>
      </c>
      <c r="C2531">
        <f>Inputs!$B$3&gt;=120</f>
        <v/>
      </c>
      <c r="D2531">
        <f>IF(Skills!C24=1,60+Inputs!$B$25+Inputs!$B$29,IF(Skills!C24=2,90+Inputs!$B$26+Inputs!$B$29,IF(Skills!C24=3,120+Inputs!$B$27+Inputs!$B$29,MAX(0,(Inputs!$B$3-100)*3)+Inputs!$B$28+Inputs!$B$29)))</f>
        <v/>
      </c>
      <c r="E2531">
        <f>INDEX(FactorTable!$B$2:$Y$301, MATCH(ROUND(MIN(300,MAX(1,D2531)),0), FactorTable!$A$2:$A$301,0), Skills!M24+1)</f>
        <v/>
      </c>
      <c r="F2531">
        <f>IF(Skills!N24=TRUE,(Skills!L24/10)*(E2531/1000),Skills!L24/10)+Skills!O24</f>
        <v/>
      </c>
      <c r="G2531">
        <f>Skills!G24*IF(Skills!H24&gt;0,Skills!I24/Skills!H24,1)</f>
        <v/>
      </c>
      <c r="H2531">
        <f>1-(1-Skills!J24/100)^Skills!K24</f>
        <v/>
      </c>
      <c r="I2531" t="inlineStr">
        <is>
          <t>1</t>
        </is>
      </c>
      <c r="J2531" t="inlineStr"/>
      <c r="K2531" t="inlineStr"/>
      <c r="L2531" t="inlineStr"/>
      <c r="M2531" t="inlineStr"/>
      <c r="N2531" t="inlineStr"/>
      <c r="O2531">
        <f>(1-Summary!$B$11)*T2531+Summary!$B$11*V2531</f>
        <v/>
      </c>
      <c r="P2531">
        <f>IF(B2546=0,0,O2531/B2546)</f>
        <v/>
      </c>
      <c r="Q2531" t="n">
        <v>0</v>
      </c>
      <c r="R2531" t="n">
        <v>0</v>
      </c>
      <c r="S2531">
        <f>IFERROR(O2531/N2531,0)</f>
        <v/>
      </c>
      <c r="T2531" t="n">
        <v>0</v>
      </c>
      <c r="V2531" t="n">
        <v>0</v>
      </c>
    </row>
    <row r="2532">
      <c r="A2532">
        <f>Skills!A25</f>
        <v/>
      </c>
      <c r="B2532">
        <f>Skills!B25</f>
        <v/>
      </c>
      <c r="C2532">
        <f>Inputs!$B$3&gt;=125</f>
        <v/>
      </c>
      <c r="D2532">
        <f>IF(Skills!C25=1,60+Inputs!$B$25+Inputs!$B$29,IF(Skills!C25=2,90+Inputs!$B$26+Inputs!$B$29,IF(Skills!C25=3,120+Inputs!$B$27+Inputs!$B$29,MAX(0,(Inputs!$B$3-100)*3)+Inputs!$B$28+Inputs!$B$29)))</f>
        <v/>
      </c>
      <c r="E2532">
        <f>INDEX(FactorTable!$B$2:$Y$301, MATCH(ROUND(MIN(300,MAX(1,D2532)),0), FactorTable!$A$2:$A$301,0), Skills!M25+1)</f>
        <v/>
      </c>
      <c r="F2532">
        <f>IF(Skills!N25=TRUE,(Skills!L25/10)*(E2532/1000),Skills!L25/10)+Skills!O25</f>
        <v/>
      </c>
      <c r="G2532">
        <f>Skills!G25*IF(Skills!H25&gt;0,Skills!I25/Skills!H25,1)</f>
        <v/>
      </c>
      <c r="H2532">
        <f>1-(1-Skills!J25/100)^Skills!K25</f>
        <v/>
      </c>
      <c r="I2532" t="inlineStr">
        <is>
          <t>1</t>
        </is>
      </c>
      <c r="J2532" t="inlineStr"/>
      <c r="K2532" t="inlineStr"/>
      <c r="L2532" t="inlineStr"/>
      <c r="M2532" t="inlineStr"/>
      <c r="N2532" t="inlineStr"/>
      <c r="O2532">
        <f>(1-Summary!$B$11)*T2532+Summary!$B$11*V2532</f>
        <v/>
      </c>
      <c r="P2532">
        <f>IF(B2546=0,0,O2532/B2546)</f>
        <v/>
      </c>
      <c r="Q2532" t="n">
        <v>0</v>
      </c>
      <c r="R2532" t="n">
        <v>0</v>
      </c>
      <c r="S2532">
        <f>IFERROR(O2532/N2532,0)</f>
        <v/>
      </c>
      <c r="T2532" t="n">
        <v>0</v>
      </c>
      <c r="V2532" t="n">
        <v>0</v>
      </c>
    </row>
    <row r="2533">
      <c r="A2533">
        <f>Skills!A26</f>
        <v/>
      </c>
      <c r="B2533">
        <f>Skills!B26</f>
        <v/>
      </c>
      <c r="C2533">
        <f>Inputs!$B$3&gt;=72</f>
        <v/>
      </c>
      <c r="D2533">
        <f>IF(Skills!C26=1,60+Inputs!$B$25+Inputs!$B$29,IF(Skills!C26=2,90+Inputs!$B$26+Inputs!$B$29,IF(Skills!C26=3,120+Inputs!$B$27+Inputs!$B$29,MAX(0,(Inputs!$B$3-100)*3)+Inputs!$B$28+Inputs!$B$29)))</f>
        <v/>
      </c>
      <c r="E2533">
        <f>INDEX(FactorTable!$B$2:$Y$301, MATCH(ROUND(MIN(300,MAX(1,D2533)),0), FactorTable!$A$2:$A$301,0), Skills!M26+1)</f>
        <v/>
      </c>
      <c r="F2533">
        <f>IF(Skills!N26=TRUE,(Skills!L26/10)*(E2533/1000),Skills!L26/10)+Skills!O26</f>
        <v/>
      </c>
      <c r="G2533">
        <f>Skills!G26*IF(Skills!H26&gt;0,Skills!I26/Skills!H26,1)</f>
        <v/>
      </c>
      <c r="H2533">
        <f>1-(1-Skills!J26/100)^Skills!K26</f>
        <v/>
      </c>
      <c r="I2533" t="inlineStr">
        <is>
          <t>1</t>
        </is>
      </c>
      <c r="J2533" t="inlineStr"/>
      <c r="K2533" t="inlineStr"/>
      <c r="L2533" t="inlineStr"/>
      <c r="M2533" t="inlineStr"/>
      <c r="N2533" t="inlineStr"/>
      <c r="O2533">
        <f>(1-Summary!$B$11)*T2533+Summary!$B$11*V2533</f>
        <v/>
      </c>
      <c r="P2533">
        <f>IF(B2546=0,0,O2533/B2546)</f>
        <v/>
      </c>
      <c r="Q2533" t="n">
        <v>0</v>
      </c>
      <c r="R2533" t="n">
        <v>0</v>
      </c>
      <c r="S2533">
        <f>IFERROR(O2533/N2533,0)</f>
        <v/>
      </c>
      <c r="T2533" t="n">
        <v>0</v>
      </c>
      <c r="V2533" t="n">
        <v>0</v>
      </c>
    </row>
    <row r="2535">
      <c r="A2535" t="inlineStr">
        <is>
          <t>Attack% Bucket Multiplier</t>
        </is>
      </c>
      <c r="B2535">
        <f>(1+(((C2520=TRUE)*F2520*IF(Inputs!$B$3&gt;=110,7,5))+((C2522=TRUE)*F2522*IF(AND(Inputs!$B$38&lt;&gt;"pvp",Inputs!$B$43&gt;0),(((R2522-1)*(Skills!T15*(1+(Inputs!$B$34+(ArtifactsInput!$M$7-ArtifactsInput!$M$7)*CHOOSE(ArtifactsInput!$N$7+1,6,7.2,8.4,9.6,10.8,12))/100))+MIN((Skills!T15*(1+(Inputs!$B$34+(ArtifactsInput!$M$7-ArtifactsInput!$M$7)*CHOOSE(ArtifactsInput!$N$7+1,6,7.2,8.4,9.6,10.8,12))/100)),MAX(0,Inputs!$B$43-((R2522-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36">
      <c r="A2536" t="inlineStr">
        <is>
          <t>Global Crit Rate Bonus %</t>
        </is>
      </c>
      <c r="B2536" t="n">
        <v>0</v>
      </c>
    </row>
    <row r="2537">
      <c r="A2537" t="inlineStr">
        <is>
          <t>Attack Speed Buff Bonus %</t>
        </is>
      </c>
      <c r="B2537">
        <f>((C2526=TRUE)*F2526*IF(AND(Inputs!$B$38&lt;&gt;"pvp",Inputs!$B$43&gt;0),(((R2526-1)*(Skills!T19*(1+(Inputs!$B$34+(ArtifactsInput!$M$7-ArtifactsInput!$M$7)*CHOOSE(ArtifactsInput!$N$7+1,6,7.2,8.4,9.6,10.8,12))/100))+MIN((Skills!T19*(1+(Inputs!$B$34+(ArtifactsInput!$M$7-ArtifactsInput!$M$7)*CHOOSE(ArtifactsInput!$N$7+1,6,7.2,8.4,9.6,10.8,12))/100)),MAX(0,Inputs!$B$43-((R2526-1)*Skills!D19))))/Inputs!$B$43),IF(Inputs!$B$38="pvp",MIN((Skills!T19*(1+(Inputs!$B$34+(ArtifactsInput!$M$7-ArtifactsInput!$M$7)*CHOOSE(ArtifactsInput!$N$7+1,6,7.2,8.4,9.6,10.8,12))/100)),15)/15,(Skills!T19*(1+(Inputs!$B$34+(ArtifactsInput!$M$7-ArtifactsInput!$M$7)*CHOOSE(ArtifactsInput!$N$7+1,6,7.2,8.4,9.6,10.8,12))/100))/Skills!D19)))</f>
        <v/>
      </c>
    </row>
    <row r="2538">
      <c r="A2538" t="inlineStr">
        <is>
          <t>Actions Per Second</t>
        </is>
      </c>
      <c r="B2538">
        <f>1+MIN(150,150*(1-(1-(Inputs!$B$11+((C2527=TRUE)*(F2527-Calc!F20)))/150)*(1-B2537/150)))/100</f>
        <v/>
      </c>
    </row>
    <row r="2539">
      <c r="A2539" t="inlineStr">
        <is>
          <t>Skill + Buff Cast Rate</t>
        </is>
      </c>
      <c r="B2539">
        <f>IF(AND(Inputs!$B$38&lt;&gt;"pvp",Inputs!$B$43&gt;0),SUMPRODUCT((Skills!E2:E26=TRUE)*(C2509:C2533=TRUE)*R2509:R2533*Skills!F2:F26)/Inputs!$B$43,SUMPRODUCT((Skills!E2:E26=TRUE)*(C2509:C2533=TRUE)*Q2509:Q2533*Skills!F2:F26))</f>
        <v/>
      </c>
    </row>
    <row r="2540">
      <c r="A2540" t="inlineStr">
        <is>
          <t>Raging Blow Casts Per Second</t>
        </is>
      </c>
      <c r="B2540">
        <f>MAX(0,B2538-B2539)</f>
        <v/>
      </c>
    </row>
    <row r="2541">
      <c r="A2541" t="inlineStr">
        <is>
          <t>Global Critical Damage Bonus % (Enrage)</t>
        </is>
      </c>
      <c r="B2541">
        <f>((C2525=TRUE)*F2525*IF(AND(Inputs!$B$38&lt;&gt;"pvp",Inputs!$B$43&gt;0),(((R2525-1)*(Skills!T18*(1+(Inputs!$B$34+(ArtifactsInput!$M$7-ArtifactsInput!$M$7)*CHOOSE(ArtifactsInput!$N$7+1,6,7.2,8.4,9.6,10.8,12))/100))+MIN((Skills!T18*(1+(Inputs!$B$34+(ArtifactsInput!$M$7-ArtifactsInput!$M$7)*CHOOSE(ArtifactsInput!$N$7+1,6,7.2,8.4,9.6,10.8,12))/100)),MAX(0,Inputs!$B$43-((R2525-1)*Skills!D18))))/Inputs!$B$43),IF(Inputs!$B$38="pvp",MIN((Skills!T18*(1+(Inputs!$B$34+(ArtifactsInput!$M$7-ArtifactsInput!$M$7)*CHOOSE(ArtifactsInput!$N$7+1,6,7.2,8.4,9.6,10.8,12))/100)),15)/15,(Skills!T18*(1+(Inputs!$B$34+(ArtifactsInput!$M$7-ArtifactsInput!$M$7)*CHOOSE(ArtifactsInput!$N$7+1,6,7.2,8.4,9.6,10.8,12))/100))/Skills!D18)))</f>
        <v/>
      </c>
    </row>
    <row r="2542">
      <c r="A2542" t="inlineStr">
        <is>
          <t>Global Final Damage Bonus % (Enrage + Combo Synergy)</t>
        </is>
      </c>
      <c r="B2542">
        <f>((C2524=TRUE)*F2524*IF(AND(Inputs!$B$38&lt;&gt;"pvp",Inputs!$B$43&gt;0),(((R2524-1)*(Skills!T17*(1+(Inputs!$B$34+(ArtifactsInput!$M$7-ArtifactsInput!$M$7)*CHOOSE(ArtifactsInput!$N$7+1,6,7.2,8.4,9.6,10.8,12))/100))+MIN((Skills!T17*(1+(Inputs!$B$34+(ArtifactsInput!$M$7-ArtifactsInput!$M$7)*CHOOSE(ArtifactsInput!$N$7+1,6,7.2,8.4,9.6,10.8,12))/100)),MAX(0,Inputs!$B$43-((R2524-1)*Skills!D17))))/Inputs!$B$43),IF(Inputs!$B$38="pvp",MIN((Skills!T17*(1+(Inputs!$B$34+(ArtifactsInput!$M$7-ArtifactsInput!$M$7)*CHOOSE(ArtifactsInput!$N$7+1,6,7.2,8.4,9.6,10.8,12))/100)),15)/15,(Skills!T17*(1+(Inputs!$B$34+(ArtifactsInput!$M$7-ArtifactsInput!$M$7)*CHOOSE(ArtifactsInput!$N$7+1,6,7.2,8.4,9.6,10.8,12))/100))/Skills!D17)))+((C2521=TRUE)*F2521*IF(Inputs!$B$3&gt;=110,7,5))</f>
        <v/>
      </c>
    </row>
    <row r="2543">
      <c r="A2543" t="inlineStr">
        <is>
          <t>Buff-Casting Startup Delay (s, fixed-duration only)</t>
        </is>
      </c>
      <c r="B2543">
        <f>IF(AND(Inputs!$B$38&lt;&gt;"pvp",Inputs!$B$43&gt;0),SUMPRODUCT((Skills!T2:T26&gt;0)*(Skills!E2:E26=TRUE)*(C2509:C2533=TRUE))/B2538,0)</f>
        <v/>
      </c>
    </row>
    <row r="2544">
      <c r="A2544" t="inlineStr">
        <is>
          <t>Boss-Only Total DPS (this block's swept value)</t>
        </is>
      </c>
      <c r="B2544">
        <f>SUM(T2509:T2533)</f>
        <v/>
      </c>
    </row>
    <row r="2545">
      <c r="A2545" t="inlineStr">
        <is>
          <t>Normal-Only Total DPS (this block's swept value)</t>
        </is>
      </c>
      <c r="B2545">
        <f>SUM(V2509:V2533)</f>
        <v/>
      </c>
    </row>
    <row r="2546">
      <c r="A2546" s="6" t="inlineStr">
        <is>
          <t>TOTAL DPS</t>
        </is>
      </c>
      <c r="B2546" s="6">
        <f>SUM(O2509:O2533)</f>
        <v/>
      </c>
    </row>
    <row r="2549">
      <c r="A2549" s="6" t="inlineStr">
        <is>
          <t>Stat: Reindeer's Spear (Equip)</t>
        </is>
      </c>
    </row>
    <row r="2550">
      <c r="A2550" s="5" t="inlineStr">
        <is>
          <t>Key</t>
        </is>
      </c>
      <c r="B2550" s="5" t="inlineStr">
        <is>
          <t>Name</t>
        </is>
      </c>
      <c r="C2550" s="5" t="inlineStr">
        <is>
          <t>Unlocked</t>
        </is>
      </c>
      <c r="D2550" s="5" t="inlineStr">
        <is>
          <t>InputLevel</t>
        </is>
      </c>
      <c r="E2550" s="5" t="inlineStr">
        <is>
          <t>Factor</t>
        </is>
      </c>
      <c r="F2550" s="5" t="inlineStr">
        <is>
          <t>CoefficientPercent</t>
        </is>
      </c>
      <c r="G2550" s="5" t="inlineStr">
        <is>
          <t>EffectiveHits</t>
        </is>
      </c>
      <c r="H2550" s="5" t="inlineStr">
        <is>
          <t>ProcProbability</t>
        </is>
      </c>
      <c r="I2550" s="5" t="inlineStr">
        <is>
          <t>MapleHeroMultiplier</t>
        </is>
      </c>
      <c r="J2550" s="5" t="inlineStr">
        <is>
          <t>BaseDamage</t>
        </is>
      </c>
      <c r="K2550" s="5" t="inlineStr">
        <is>
          <t>BaseHitDamage</t>
        </is>
      </c>
      <c r="L2550" s="5" t="inlineStr">
        <is>
          <t>NonCritAvg</t>
        </is>
      </c>
      <c r="M2550" s="5" t="inlineStr">
        <is>
          <t>CritAvg</t>
        </is>
      </c>
      <c r="N2550" s="5" t="inlineStr">
        <is>
          <t>ExpectedDamage(perHit)</t>
        </is>
      </c>
      <c r="O2550" s="5" t="inlineStr">
        <is>
          <t>DPS</t>
        </is>
      </c>
      <c r="P2550" s="5" t="inlineStr">
        <is>
          <t>% of Total</t>
        </is>
      </c>
      <c r="Q2550" s="5" t="inlineStr">
        <is>
          <t>InvCooldown</t>
        </is>
      </c>
      <c r="R2550" s="5" t="inlineStr">
        <is>
          <t>CastsInFight</t>
        </is>
      </c>
      <c r="S2550" s="5" t="inlineStr">
        <is>
          <t>HitRate(perSec)</t>
        </is>
      </c>
      <c r="U2550" t="inlineStr">
        <is>
          <t>helpers</t>
        </is>
      </c>
    </row>
    <row r="2551">
      <c r="A2551">
        <f>Skills!A2</f>
        <v/>
      </c>
      <c r="B2551">
        <f>Skills!B2</f>
        <v/>
      </c>
      <c r="C2551">
        <f>Inputs!$B$3&gt;=100</f>
        <v/>
      </c>
      <c r="D2551" t="inlineStr"/>
      <c r="E2551" t="inlineStr"/>
      <c r="F2551">
        <f>U2553+Skills!O2</f>
        <v/>
      </c>
      <c r="G2551">
        <f>Skills!G2*IF(Skills!H2&gt;0,Skills!I2/Skills!H2,1)</f>
        <v/>
      </c>
      <c r="H2551">
        <f>1-(1-Skills!J2/100)^Skills!K2</f>
        <v/>
      </c>
      <c r="I2551" t="inlineStr">
        <is>
          <t>1</t>
        </is>
      </c>
      <c r="J2551">
        <f>((Inputs!$B$6*(1+Inputs!$B$7/100))+(((Inputs!$B$12*(1+Inputs!$B$13/100))-(Inputs!$B$12*(1+Inputs!$B$13/100)))+0.25*(Inputs!$B$14-Inputs!$B$14))*(1+Inputs!$B$7/100))*(F2551/100)</f>
        <v/>
      </c>
      <c r="K2551">
        <f>J2551*(1+((Inputs!$B$12*(1+Inputs!$B$13/100))*0.01+Inputs!$B$14*0.0025)/100)*(1+Inputs!$B$15/100)*(1+Inputs!$B$16/100)*(5000/(6000+Inputs!$B$42*(1-(100*(1-(1-(Inputs!$B$19+0)/100)*(1-CHOOSE(ArtifactsInput!$N$40+1,5,6,7,8,9,10)/100)^(IF(ArtifactsInput!$M$40,FALSE,TRUE)-ArtifactsInput!$M$40)))/100)))*(1+(Inputs!$B$24+((C2574=TRUE)*(F2574-Calc!F25))+B2584)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2570=TRUE)*(F2570-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2572=TRUE)*(F2572-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2562=TRUE)*F2562*IF(Inputs!$B$3&gt;=110,7,5))+((C2564=TRUE)*F2564*IF(AND(Inputs!$B$38&lt;&gt;"pvp",Inputs!$B$43&gt;0),(((R2564-1)*(Skills!T15*(1+(Inputs!$B$34+(ArtifactsInput!$M$7-ArtifactsInput!$M$7)*CHOOSE(ArtifactsInput!$N$7+1,6,7.2,8.4,9.6,10.8,12))/100))+MIN((Skills!T15*(1+(Inputs!$B$34+(ArtifactsInput!$M$7-ArtifactsInput!$M$7)*CHOOSE(ArtifactsInput!$N$7+1,6,7.2,8.4,9.6,10.8,12))/100)),MAX(0,Inputs!$B$43-((R2564-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I2551)</f>
        <v/>
      </c>
      <c r="L2551">
        <f>K2551*(MIN(Inputs!$B$22+((C2571=TRUE)*(F2571-Calc!F22)),(Inputs!$B$23+((C2573=TRUE)*(F2573-Calc!F24))+(IF(ArtifactsInput!$M$15,CHOOSE(ArtifactsInput!$N$15+1,25,30,35,40,45,50)/100*(Inputs!$B$11-Inputs!$B$11),0))))/100+(Inputs!$B$23+((C2573=TRUE)*(F2573-Calc!F24))+(IF(ArtifactsInput!$M$15,CHOOSE(ArtifactsInput!$N$15+1,25,30,35,40,45,50)/100*(Inputs!$B$11-Inputs!$B$11),0)))/100)/2</f>
        <v/>
      </c>
      <c r="M2551">
        <f>L2551*(1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1">
        <f>L2551*(1-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2551*(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1">
        <f>(1-Summary!$B$11)*T2551+Summary!$B$11*V2551</f>
        <v/>
      </c>
      <c r="P2551">
        <f>IF(B2588=0,0,O2551/B2588)</f>
        <v/>
      </c>
      <c r="Q2551" t="n">
        <v>0</v>
      </c>
      <c r="R2551" t="n">
        <v>0</v>
      </c>
      <c r="S2551">
        <f>IFERROR(O2551/N2551,0)</f>
        <v/>
      </c>
      <c r="T2551">
        <f>IF(C2551,(Skills!G2*N2551*B2582)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2551*(1-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2551*(1-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51">
        <f>MAX(0,(Inputs!$B$3-100)*3)+Inputs!$B$28+Inputs!$B$29</f>
        <v/>
      </c>
      <c r="V2551">
        <f>IF(C2551,(Skills!G2*N2551*B2582)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2">
      <c r="A2552">
        <f>Skills!A3</f>
        <v/>
      </c>
      <c r="B2552">
        <f>Skills!B3</f>
        <v/>
      </c>
      <c r="C2552">
        <f>Inputs!$B$3&gt;=50</f>
        <v/>
      </c>
      <c r="D2552">
        <f>IF(Skills!C3=1,60+Inputs!$B$25+Inputs!$B$29,IF(Skills!C3=2,90+Inputs!$B$26+Inputs!$B$29,IF(Skills!C3=3,120+Inputs!$B$27+Inputs!$B$29,MAX(0,(Inputs!$B$3-100)*3)+Inputs!$B$28+Inputs!$B$29)))</f>
        <v/>
      </c>
      <c r="E2552">
        <f>INDEX(FactorTable!$B$2:$Y$301, MATCH(ROUND(MIN(300,MAX(1,D2552)),0), FactorTable!$A$2:$A$301,0), Skills!M3+1)</f>
        <v/>
      </c>
      <c r="F2552">
        <f>IF(Skills!N3=TRUE,(Skills!L3/10)*(E2552/1000),Skills!L3/10)+Skills!O3</f>
        <v/>
      </c>
      <c r="G2552" t="inlineStr"/>
      <c r="H2552" t="inlineStr"/>
      <c r="I2552" t="inlineStr">
        <is>
          <t>1</t>
        </is>
      </c>
      <c r="J2552" t="inlineStr"/>
      <c r="K2552" t="inlineStr"/>
      <c r="L2552" t="inlineStr"/>
      <c r="M2552" t="inlineStr"/>
      <c r="N2552" t="inlineStr"/>
      <c r="O2552" t="inlineStr"/>
      <c r="P2552" t="inlineStr"/>
      <c r="Q2552" t="inlineStr"/>
      <c r="R2552" t="inlineStr"/>
      <c r="S2552" t="inlineStr"/>
      <c r="U2552">
        <f>INDEX(FactorTable!$B$2:$Y$301, MATCH(ROUND(MIN(300,MAX(1,U2551)),0), FactorTable!$A$2:$A$301,0), 22)</f>
        <v/>
      </c>
    </row>
    <row r="2553">
      <c r="A2553">
        <f>Skills!A4</f>
        <v/>
      </c>
      <c r="B2553">
        <f>Skills!B4</f>
        <v/>
      </c>
      <c r="C2553">
        <f>Inputs!$B$3&gt;=105</f>
        <v/>
      </c>
      <c r="D2553">
        <f>IF(Skills!C4=1,60+Inputs!$B$25+Inputs!$B$29,IF(Skills!C4=2,90+Inputs!$B$26+Inputs!$B$29,IF(Skills!C4=3,120+Inputs!$B$27+Inputs!$B$29,MAX(0,(Inputs!$B$3-100)*3)+Inputs!$B$28+Inputs!$B$29)))</f>
        <v/>
      </c>
      <c r="E2553">
        <f>INDEX(FactorTable!$B$2:$Y$301, MATCH(ROUND(MIN(300,MAX(1,D2553)),0), FactorTable!$A$2:$A$301,0), Skills!M4+1)</f>
        <v/>
      </c>
      <c r="F2553">
        <f>IF(Skills!N4=TRUE,(Skills!L4/10)*(E2553/1000),Skills!L4/10)+Skills!O4</f>
        <v/>
      </c>
      <c r="G2553" t="inlineStr"/>
      <c r="H2553" t="inlineStr"/>
      <c r="I2553" t="inlineStr">
        <is>
          <t>1</t>
        </is>
      </c>
      <c r="J2553" t="inlineStr"/>
      <c r="K2553" t="inlineStr"/>
      <c r="L2553" t="inlineStr"/>
      <c r="M2553" t="inlineStr"/>
      <c r="N2553" t="inlineStr"/>
      <c r="O2553" t="inlineStr"/>
      <c r="P2553" t="inlineStr"/>
      <c r="Q2553" t="inlineStr"/>
      <c r="R2553" t="inlineStr"/>
      <c r="S2553" t="inlineStr"/>
      <c r="U2553">
        <f>290*U2552/1000</f>
        <v/>
      </c>
    </row>
    <row r="2554">
      <c r="A2554">
        <f>Skills!A5</f>
        <v/>
      </c>
      <c r="B2554">
        <f>Skills!B5</f>
        <v/>
      </c>
      <c r="C2554">
        <f>Inputs!$B$3&gt;=103</f>
        <v/>
      </c>
      <c r="D2554">
        <f>IF(Skills!C5=1,60+Inputs!$B$25+Inputs!$B$29,IF(Skills!C5=2,90+Inputs!$B$26+Inputs!$B$29,IF(Skills!C5=3,120+Inputs!$B$27+Inputs!$B$29,MAX(0,(Inputs!$B$3-100)*3)+Inputs!$B$28+Inputs!$B$29)))</f>
        <v/>
      </c>
      <c r="E2554">
        <f>INDEX(FactorTable!$B$2:$Y$301, MATCH(ROUND(MIN(300,MAX(1,D2554)),0), FactorTable!$A$2:$A$301,0), Skills!M5+1)</f>
        <v/>
      </c>
      <c r="F2554">
        <f>IF(Skills!N5=TRUE,(Skills!L5/10)*(E2554/1000),Skills!L5/10)+Skills!O5</f>
        <v/>
      </c>
      <c r="G2554">
        <f>Skills!G5*IF(Skills!H5&gt;0,Skills!I5/Skills!H5,1)</f>
        <v/>
      </c>
      <c r="H2554">
        <f>1-(1-Skills!J5/100)^Skills!K5</f>
        <v/>
      </c>
      <c r="I2554" t="inlineStr">
        <is>
          <t>1</t>
        </is>
      </c>
      <c r="J2554">
        <f>((Inputs!$B$6*(1+Inputs!$B$7/100))+(((Inputs!$B$12*(1+Inputs!$B$13/100))-(Inputs!$B$12*(1+Inputs!$B$13/100)))+0.25*(Inputs!$B$14-Inputs!$B$14))*(1+Inputs!$B$7/100))*(F2554/100)</f>
        <v/>
      </c>
      <c r="K2554">
        <f>J2554*(1+((Inputs!$B$12*(1+Inputs!$B$13/100))*0.01+Inputs!$B$14*0.0025)/100)*(1+Inputs!$B$15/100)*(1+Inputs!$B$16/100)*(5000/(6000+Inputs!$B$42*(1-(100*(1-(1-(Inputs!$B$19+0)/100)*(1-CHOOSE(ArtifactsInput!$N$40+1,5,6,7,8,9,10)/100)^(IF(ArtifactsInput!$M$40,FALSE,TRUE)-ArtifactsInput!$M$40)))/100)))*(1+(Inputs!$B$24+((C2574=TRUE)*(F2574-Calc!F25))+B2584)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2570=TRUE)*(F2570-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2572=TRUE)*(F2572-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2562=TRUE)*F2562*IF(Inputs!$B$3&gt;=110,7,5))+((C2564=TRUE)*F2564*IF(AND(Inputs!$B$38&lt;&gt;"pvp",Inputs!$B$43&gt;0),(((R2564-1)*(Skills!T15*(1+(Inputs!$B$34+(ArtifactsInput!$M$7-ArtifactsInput!$M$7)*CHOOSE(ArtifactsInput!$N$7+1,6,7.2,8.4,9.6,10.8,12))/100))+MIN((Skills!T15*(1+(Inputs!$B$34+(ArtifactsInput!$M$7-ArtifactsInput!$M$7)*CHOOSE(ArtifactsInput!$N$7+1,6,7.2,8.4,9.6,10.8,12))/100)),MAX(0,Inputs!$B$43-((R2564-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I2554)</f>
        <v/>
      </c>
      <c r="L2554">
        <f>K2554*(MIN(Inputs!$B$22+((C2571=TRUE)*(F2571-Calc!F22)),(Inputs!$B$23+((C2573=TRUE)*(F2573-Calc!F24))+(IF(ArtifactsInput!$M$15,CHOOSE(ArtifactsInput!$N$15+1,25,30,35,40,45,50)/100*(Inputs!$B$11-Inputs!$B$11),0))))/100+(Inputs!$B$23+((C2573=TRUE)*(F2573-Calc!F24))+(IF(ArtifactsInput!$M$15,CHOOSE(ArtifactsInput!$N$15+1,25,30,35,40,45,50)/100*(Inputs!$B$11-Inputs!$B$11),0)))/100)/2</f>
        <v/>
      </c>
      <c r="M2554">
        <f>L2554*(1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4">
        <f>L2554*(1-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2554*(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4">
        <f>(1-Summary!$B$11)*T2554+Summary!$B$11*V2554</f>
        <v/>
      </c>
      <c r="P2554">
        <f>IF(B2588=0,0,O2554/B2588)</f>
        <v/>
      </c>
      <c r="Q2554">
        <f>IFERROR(1/(IF(Inputs!$B$38="pvp",15,MAX(0.1,Skills!D5-IF(Skills!E5=TRUE,Inputs!$B$32,0)))*(1-IF(AND(ArtifactsInput!$M$27,Inputs!$B$4="Chapter Hunt"),CHOOSE(ArtifactsInput!$N$27+1,20,24,28,32,36,40),0)/100)),0)</f>
        <v/>
      </c>
      <c r="R2554">
        <f>IF(AND(Inputs!$B$38&lt;&gt;"pvp",Inputs!$B$43&gt;0),IF(MAX(0,Inputs!$B$43-B2585)&lt;=0,0,(INT(MAX(0,Inputs!$B$43-B2585)/(IF(Inputs!$B$38="pvp",15,MAX(0.1,Skills!D5-IF(Skills!E5=TRUE,Inputs!$B$32,0)))*(1-IF(AND(ArtifactsInput!$M$27,Inputs!$B$4="Chapter Hunt"),CHOOSE(ArtifactsInput!$N$27+1,20,24,28,32,36,40),0)/100)))+1)),0)</f>
        <v/>
      </c>
      <c r="S2554">
        <f>IFERROR(O2554/N2554,0)</f>
        <v/>
      </c>
      <c r="T2554">
        <f>IF(C2554,(H2554*N2554*IF(AND(Inputs!$B$38&lt;&gt;"pvp",Inputs!$B$43&gt;0),((Skills!G5*((R2554-1)*IF(Skills!H5&gt;0,Skills!I5/Skills!H5,1)+IF(Skills!H5&gt;0,MIN(Skills!I5,MAX(0,MAX(0,Inputs!$B$43-B2585)-((R2554-1)*(IF(Inputs!$B$38="pvp",15,MAX(0.1,Skills!D5-IF(Skills!E5=TRUE,Inputs!$B$32,0)))*(1-IF(AND(ArtifactsInput!$M$27,Inputs!$B$4="Chapter Hunt"),CHOOSE(ArtifactsInput!$N$27+1,20,24,28,32,36,40),0)/100)))))/Skills!H5,1)))/Inputs!$B$43),G2554*Q2554)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2554*(1-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2554*(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2554*(1-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2554*(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4">
        <f>IF(C2554,(H2554*N2554*IF(AND(Inputs!$B$38&lt;&gt;"pvp",Inputs!$B$43&gt;0),((Skills!G5*((R2554-1)*IF(Skills!H5&gt;0,Skills!I5/Skills!H5,1)+IF(Skills!H5&gt;0,MIN(Skills!I5,MAX(0,MAX(0,Inputs!$B$43-B2585)-((R2554-1)*(IF(Inputs!$B$38="pvp",15,MAX(0.1,Skills!D5-IF(Skills!E5=TRUE,Inputs!$B$32,0)))*(1-IF(AND(ArtifactsInput!$M$27,Inputs!$B$4="Chapter Hunt"),CHOOSE(ArtifactsInput!$N$27+1,20,24,28,32,36,40),0)/100)))))/Skills!H5,1)))/Inputs!$B$43),G2554*Q2554)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5">
      <c r="A2555">
        <f>Skills!A6</f>
        <v/>
      </c>
      <c r="B2555">
        <f>Skills!B6</f>
        <v/>
      </c>
      <c r="C2555">
        <f>Inputs!$B$3&gt;=103</f>
        <v/>
      </c>
      <c r="D2555">
        <f>IF(Skills!C6=1,60+Inputs!$B$25+Inputs!$B$29,IF(Skills!C6=2,90+Inputs!$B$26+Inputs!$B$29,IF(Skills!C6=3,120+Inputs!$B$27+Inputs!$B$29,MAX(0,(Inputs!$B$3-100)*3)+Inputs!$B$28+Inputs!$B$29)))</f>
        <v/>
      </c>
      <c r="E2555">
        <f>INDEX(FactorTable!$B$2:$Y$301, MATCH(ROUND(MIN(300,MAX(1,D2555)),0), FactorTable!$A$2:$A$301,0), Skills!M6+1)</f>
        <v/>
      </c>
      <c r="F2555">
        <f>IF(Skills!N6=TRUE,(Skills!L6/10)*(E2555/1000),Skills!L6/10)+Skills!O6</f>
        <v/>
      </c>
      <c r="G2555">
        <f>Skills!G6*IF(Skills!H6&gt;0,Skills!I6/Skills!H6,1)</f>
        <v/>
      </c>
      <c r="H2555">
        <f>1-(1-Skills!J6/100)^Skills!K6</f>
        <v/>
      </c>
      <c r="I2555" t="inlineStr">
        <is>
          <t>1</t>
        </is>
      </c>
      <c r="J2555">
        <f>((Inputs!$B$6*(1+Inputs!$B$7/100))+(((Inputs!$B$12*(1+Inputs!$B$13/100))-(Inputs!$B$12*(1+Inputs!$B$13/100)))+0.25*(Inputs!$B$14-Inputs!$B$14))*(1+Inputs!$B$7/100))*(F2555/100)</f>
        <v/>
      </c>
      <c r="K2555">
        <f>J2555*(1+((Inputs!$B$12*(1+Inputs!$B$13/100))*0.01+Inputs!$B$14*0.0025)/100)*(1+Inputs!$B$15/100)*(1+Inputs!$B$16/100)*(5000/(6000+Inputs!$B$42*(1-(100*(1-(1-(Inputs!$B$19+0)/100)*(1-CHOOSE(ArtifactsInput!$N$40+1,5,6,7,8,9,10)/100)^(IF(ArtifactsInput!$M$40,FALSE,TRUE)-ArtifactsInput!$M$40)))/100)))*(1+(Inputs!$B$24+((C2574=TRUE)*(F2574-Calc!F25))+B2584)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2570=TRUE)*(F2570-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2572=TRUE)*(F2572-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2562=TRUE)*F2562*IF(Inputs!$B$3&gt;=110,7,5))+((C2564=TRUE)*F2564*IF(AND(Inputs!$B$38&lt;&gt;"pvp",Inputs!$B$43&gt;0),(((R2564-1)*(Skills!T15*(1+(Inputs!$B$34+(ArtifactsInput!$M$7-ArtifactsInput!$M$7)*CHOOSE(ArtifactsInput!$N$7+1,6,7.2,8.4,9.6,10.8,12))/100))+MIN((Skills!T15*(1+(Inputs!$B$34+(ArtifactsInput!$M$7-ArtifactsInput!$M$7)*CHOOSE(ArtifactsInput!$N$7+1,6,7.2,8.4,9.6,10.8,12))/100)),MAX(0,Inputs!$B$43-((R2564-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I2555)</f>
        <v/>
      </c>
      <c r="L2555">
        <f>K2555*(MIN(Inputs!$B$22+((C2571=TRUE)*(F2571-Calc!F22)),(Inputs!$B$23+((C2573=TRUE)*(F2573-Calc!F24))+(IF(ArtifactsInput!$M$15,CHOOSE(ArtifactsInput!$N$15+1,25,30,35,40,45,50)/100*(Inputs!$B$11-Inputs!$B$11),0))))/100+(Inputs!$B$23+((C2573=TRUE)*(F2573-Calc!F24))+(IF(ArtifactsInput!$M$15,CHOOSE(ArtifactsInput!$N$15+1,25,30,35,40,45,50)/100*(Inputs!$B$11-Inputs!$B$11),0)))/100)/2</f>
        <v/>
      </c>
      <c r="M2555">
        <f>L2555*(1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5">
        <f>L2555*(1-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2555*(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5">
        <f>(1-Summary!$B$11)*T2555+Summary!$B$11*V2555</f>
        <v/>
      </c>
      <c r="P2555">
        <f>IF(B2588=0,0,O2555/B2588)</f>
        <v/>
      </c>
      <c r="Q2555">
        <f>IFERROR(1/(IF(Inputs!$B$38="pvp",15,MAX(0.1,Skills!D6-IF(Skills!E6=TRUE,Inputs!$B$32,0)))*(1-IF(AND(ArtifactsInput!$M$27,Inputs!$B$4="Chapter Hunt"),CHOOSE(ArtifactsInput!$N$27+1,20,24,28,32,36,40),0)/100)),0)</f>
        <v/>
      </c>
      <c r="R2555">
        <f>IF(AND(Inputs!$B$38&lt;&gt;"pvp",Inputs!$B$43&gt;0),IF(MAX(0,Inputs!$B$43-B2585)&lt;=0,0,(INT(MAX(0,Inputs!$B$43-B2585)/(IF(Inputs!$B$38="pvp",15,MAX(0.1,Skills!D6-IF(Skills!E6=TRUE,Inputs!$B$32,0)))*(1-IF(AND(ArtifactsInput!$M$27,Inputs!$B$4="Chapter Hunt"),CHOOSE(ArtifactsInput!$N$27+1,20,24,28,32,36,40),0)/100)))+1)),0)</f>
        <v/>
      </c>
      <c r="S2555">
        <f>IFERROR(O2555/N2555,0)</f>
        <v/>
      </c>
      <c r="T2555">
        <f>IF(C2555,(H2555*N2555*IF(AND(Inputs!$B$38&lt;&gt;"pvp",Inputs!$B$43&gt;0),((Skills!G6*((R2555-1)*IF(Skills!H6&gt;0,Skills!I6/Skills!H6,1)+IF(Skills!H6&gt;0,MIN(Skills!I6,MAX(0,MAX(0,Inputs!$B$43-B2585)-((R2555-1)*(IF(Inputs!$B$38="pvp",15,MAX(0.1,Skills!D6-IF(Skills!E6=TRUE,Inputs!$B$32,0)))*(1-IF(AND(ArtifactsInput!$M$27,Inputs!$B$4="Chapter Hunt"),CHOOSE(ArtifactsInput!$N$27+1,20,24,28,32,36,40),0)/100)))))/Skills!H6,1)))/Inputs!$B$43),G2555*Q2555)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2555*(1-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2555*(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2555*(1-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2555*(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5">
        <f>IF(C2555,(H2555*N2555*IF(AND(Inputs!$B$38&lt;&gt;"pvp",Inputs!$B$43&gt;0),((Skills!G6*((R2555-1)*IF(Skills!H6&gt;0,Skills!I6/Skills!H6,1)+IF(Skills!H6&gt;0,MIN(Skills!I6,MAX(0,MAX(0,Inputs!$B$43-B2585)-((R2555-1)*(IF(Inputs!$B$38="pvp",15,MAX(0.1,Skills!D6-IF(Skills!E6=TRUE,Inputs!$B$32,0)))*(1-IF(AND(ArtifactsInput!$M$27,Inputs!$B$4="Chapter Hunt"),CHOOSE(ArtifactsInput!$N$27+1,20,24,28,32,36,40),0)/100)))))/Skills!H6,1)))/Inputs!$B$43),G2555*Q2555)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6">
      <c r="A2556">
        <f>Skills!A7</f>
        <v/>
      </c>
      <c r="B2556">
        <f>Skills!B7</f>
        <v/>
      </c>
      <c r="C2556">
        <f>Inputs!$B$3&gt;=107</f>
        <v/>
      </c>
      <c r="D2556">
        <f>IF(Skills!C7=1,60+Inputs!$B$25+Inputs!$B$29,IF(Skills!C7=2,90+Inputs!$B$26+Inputs!$B$29,IF(Skills!C7=3,120+Inputs!$B$27+Inputs!$B$29,MAX(0,(Inputs!$B$3-100)*3)+Inputs!$B$28+Inputs!$B$29)))</f>
        <v/>
      </c>
      <c r="E2556">
        <f>INDEX(FactorTable!$B$2:$Y$301, MATCH(ROUND(MIN(300,MAX(1,D2556)),0), FactorTable!$A$2:$A$301,0), Skills!M7+1)</f>
        <v/>
      </c>
      <c r="F2556">
        <f>IF(Skills!N7=TRUE,(Skills!L7/10)*(E2556/1000),Skills!L7/10)+Skills!O7</f>
        <v/>
      </c>
      <c r="G2556">
        <f>Skills!G7*IF(Skills!H7&gt;0,Skills!I7/Skills!H7,1)</f>
        <v/>
      </c>
      <c r="H2556">
        <f>1-(1-Skills!J7/100)^Skills!K7</f>
        <v/>
      </c>
      <c r="I2556" t="inlineStr">
        <is>
          <t>1</t>
        </is>
      </c>
      <c r="J2556">
        <f>((Inputs!$B$6*(1+Inputs!$B$7/100))+(((Inputs!$B$12*(1+Inputs!$B$13/100))-(Inputs!$B$12*(1+Inputs!$B$13/100)))+0.25*(Inputs!$B$14-Inputs!$B$14))*(1+Inputs!$B$7/100))*(F2556/100)</f>
        <v/>
      </c>
      <c r="K2556">
        <f>J2556*(1+((Inputs!$B$12*(1+Inputs!$B$13/100))*0.01+Inputs!$B$14*0.0025)/100)*(1+Inputs!$B$15/100)*(1+Inputs!$B$16/100)*(5000/(6000+Inputs!$B$42*(1-(100*(1-(1-(Inputs!$B$19+0)/100)*(1-CHOOSE(ArtifactsInput!$N$40+1,5,6,7,8,9,10)/100)^(IF(ArtifactsInput!$M$40,FALSE,TRUE)-ArtifactsInput!$M$40)))/100)))*(1+(Inputs!$B$24+((C2574=TRUE)*(F2574-Calc!F25))+B2584)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2570=TRUE)*(F2570-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2572=TRUE)*(F2572-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2562=TRUE)*F2562*IF(Inputs!$B$3&gt;=110,7,5))+((C2564=TRUE)*F2564*IF(AND(Inputs!$B$38&lt;&gt;"pvp",Inputs!$B$43&gt;0),(((R2564-1)*(Skills!T15*(1+(Inputs!$B$34+(ArtifactsInput!$M$7-ArtifactsInput!$M$7)*CHOOSE(ArtifactsInput!$N$7+1,6,7.2,8.4,9.6,10.8,12))/100))+MIN((Skills!T15*(1+(Inputs!$B$34+(ArtifactsInput!$M$7-ArtifactsInput!$M$7)*CHOOSE(ArtifactsInput!$N$7+1,6,7.2,8.4,9.6,10.8,12))/100)),MAX(0,Inputs!$B$43-((R2564-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I2556)</f>
        <v/>
      </c>
      <c r="L2556">
        <f>K2556*(MIN(Inputs!$B$22+((C2571=TRUE)*(F2571-Calc!F22)),(Inputs!$B$23+((C2573=TRUE)*(F2573-Calc!F24))+(IF(ArtifactsInput!$M$15,CHOOSE(ArtifactsInput!$N$15+1,25,30,35,40,45,50)/100*(Inputs!$B$11-Inputs!$B$11),0))))/100+(Inputs!$B$23+((C2573=TRUE)*(F2573-Calc!F24))+(IF(ArtifactsInput!$M$15,CHOOSE(ArtifactsInput!$N$15+1,25,30,35,40,45,50)/100*(Inputs!$B$11-Inputs!$B$11),0)))/100)/2</f>
        <v/>
      </c>
      <c r="M2556">
        <f>L2556*(1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6">
        <f>L2556*(1-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2556*(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6">
        <f>(1-Summary!$B$11)*T2556+Summary!$B$11*V2556</f>
        <v/>
      </c>
      <c r="P2556">
        <f>IF(B2588=0,0,O2556/B2588)</f>
        <v/>
      </c>
      <c r="Q2556">
        <f>IFERROR(1/(IF(Inputs!$B$38="pvp",15,MAX(0.1,Skills!D7-IF(Skills!E7=TRUE,Inputs!$B$32,0)))*(1-IF(AND(ArtifactsInput!$M$27,Inputs!$B$4="Chapter Hunt"),CHOOSE(ArtifactsInput!$N$27+1,20,24,28,32,36,40),0)/100)),0)</f>
        <v/>
      </c>
      <c r="R2556">
        <f>IF(AND(Inputs!$B$38&lt;&gt;"pvp",Inputs!$B$43&gt;0),IF(MAX(0,Inputs!$B$43-B2585)&lt;=0,0,(INT(MAX(0,Inputs!$B$43-B2585)/(IF(Inputs!$B$38="pvp",15,MAX(0.1,Skills!D7-IF(Skills!E7=TRUE,Inputs!$B$32,0)))*(1-IF(AND(ArtifactsInput!$M$27,Inputs!$B$4="Chapter Hunt"),CHOOSE(ArtifactsInput!$N$27+1,20,24,28,32,36,40),0)/100)))+1)),0)</f>
        <v/>
      </c>
      <c r="S2556">
        <f>IFERROR(O2556/N2556,0)</f>
        <v/>
      </c>
      <c r="T2556">
        <f>IF(C2556,(H2556*N2556*IF(AND(Inputs!$B$38&lt;&gt;"pvp",Inputs!$B$43&gt;0),((Skills!G7*((R2556-1)*IF(Skills!H7&gt;0,Skills!I7/Skills!H7,1)+IF(Skills!H7&gt;0,MIN(Skills!I7,MAX(0,MAX(0,Inputs!$B$43-B2585)-((R2556-1)*(IF(Inputs!$B$38="pvp",15,MAX(0.1,Skills!D7-IF(Skills!E7=TRUE,Inputs!$B$32,0)))*(1-IF(AND(ArtifactsInput!$M$27,Inputs!$B$4="Chapter Hunt"),CHOOSE(ArtifactsInput!$N$27+1,20,24,28,32,36,40),0)/100)))))/Skills!H7,1)))/Inputs!$B$43),G2556*Q2556)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2556*(1-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2556*(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2556*(1-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2556*(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6">
        <f>IF(C2556,(H2556*N2556*IF(AND(Inputs!$B$38&lt;&gt;"pvp",Inputs!$B$43&gt;0),((Skills!G7*((R2556-1)*IF(Skills!H7&gt;0,Skills!I7/Skills!H7,1)+IF(Skills!H7&gt;0,MIN(Skills!I7,MAX(0,MAX(0,Inputs!$B$43-B2585)-((R2556-1)*(IF(Inputs!$B$38="pvp",15,MAX(0.1,Skills!D7-IF(Skills!E7=TRUE,Inputs!$B$32,0)))*(1-IF(AND(ArtifactsInput!$M$27,Inputs!$B$4="Chapter Hunt"),CHOOSE(ArtifactsInput!$N$27+1,20,24,28,32,36,40),0)/100)))))/Skills!H7,1)))/Inputs!$B$43),G2556*Q2556)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7">
      <c r="A2557">
        <f>Skills!A8</f>
        <v/>
      </c>
      <c r="B2557">
        <f>Skills!B8</f>
        <v/>
      </c>
      <c r="C2557">
        <f>Inputs!$B$3&gt;=117</f>
        <v/>
      </c>
      <c r="D2557">
        <f>IF(Skills!C8=1,60+Inputs!$B$25+Inputs!$B$29,IF(Skills!C8=2,90+Inputs!$B$26+Inputs!$B$29,IF(Skills!C8=3,120+Inputs!$B$27+Inputs!$B$29,MAX(0,(Inputs!$B$3-100)*3)+Inputs!$B$28+Inputs!$B$29)))</f>
        <v/>
      </c>
      <c r="E2557">
        <f>INDEX(FactorTable!$B$2:$Y$301, MATCH(ROUND(MIN(300,MAX(1,D2557)),0), FactorTable!$A$2:$A$301,0), Skills!M8+1)</f>
        <v/>
      </c>
      <c r="F2557">
        <f>IF(Skills!N8=TRUE,(Skills!L8/10)*(E2557/1000),Skills!L8/10)+Skills!O8</f>
        <v/>
      </c>
      <c r="G2557">
        <f>Skills!G8*IF(Skills!H8&gt;0,Skills!I8/Skills!H8,1)</f>
        <v/>
      </c>
      <c r="H2557">
        <f>1-(1-Skills!J8/100)^Skills!K8</f>
        <v/>
      </c>
      <c r="I2557" t="inlineStr">
        <is>
          <t>1</t>
        </is>
      </c>
      <c r="J2557">
        <f>((Inputs!$B$6*(1+Inputs!$B$7/100))+(((Inputs!$B$12*(1+Inputs!$B$13/100))-(Inputs!$B$12*(1+Inputs!$B$13/100)))+0.25*(Inputs!$B$14-Inputs!$B$14))*(1+Inputs!$B$7/100))*(F2557/100)</f>
        <v/>
      </c>
      <c r="K2557">
        <f>J2557*(1+((Inputs!$B$12*(1+Inputs!$B$13/100))*0.01+Inputs!$B$14*0.0025)/100)*(1+Inputs!$B$15/100)*(1+Inputs!$B$16/100)*(5000/(6000+Inputs!$B$42*(1-(100*(1-(1-(Inputs!$B$19+0)/100)*(1-CHOOSE(ArtifactsInput!$N$40+1,5,6,7,8,9,10)/100)^(IF(ArtifactsInput!$M$40,FALSE,TRUE)-ArtifactsInput!$M$40)))/100)))*(1+(Inputs!$B$24+((C2574=TRUE)*(F2574-Calc!F25))+B2584)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2570=TRUE)*(F2570-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2572=TRUE)*(F2572-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2562=TRUE)*F2562*IF(Inputs!$B$3&gt;=110,7,5))+((C2564=TRUE)*F2564*IF(AND(Inputs!$B$38&lt;&gt;"pvp",Inputs!$B$43&gt;0),(((R2564-1)*(Skills!T15*(1+(Inputs!$B$34+(ArtifactsInput!$M$7-ArtifactsInput!$M$7)*CHOOSE(ArtifactsInput!$N$7+1,6,7.2,8.4,9.6,10.8,12))/100))+MIN((Skills!T15*(1+(Inputs!$B$34+(ArtifactsInput!$M$7-ArtifactsInput!$M$7)*CHOOSE(ArtifactsInput!$N$7+1,6,7.2,8.4,9.6,10.8,12))/100)),MAX(0,Inputs!$B$43-((R2564-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I2557)</f>
        <v/>
      </c>
      <c r="L2557">
        <f>K2557*(MIN(Inputs!$B$22+((C2571=TRUE)*(F2571-Calc!F22)),(Inputs!$B$23+((C2573=TRUE)*(F2573-Calc!F24))+(IF(ArtifactsInput!$M$15,CHOOSE(ArtifactsInput!$N$15+1,25,30,35,40,45,50)/100*(Inputs!$B$11-Inputs!$B$11),0))))/100+(Inputs!$B$23+((C2573=TRUE)*(F2573-Calc!F24))+(IF(ArtifactsInput!$M$15,CHOOSE(ArtifactsInput!$N$15+1,25,30,35,40,45,50)/100*(Inputs!$B$11-Inputs!$B$11),0)))/100)/2</f>
        <v/>
      </c>
      <c r="M2557">
        <f>L2557*(1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7">
        <f>L2557*(1-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2557*(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7">
        <f>(1-Summary!$B$11)*T2557+Summary!$B$11*V2557</f>
        <v/>
      </c>
      <c r="P2557">
        <f>IF(B2588=0,0,O2557/B2588)</f>
        <v/>
      </c>
      <c r="Q2557">
        <f>IFERROR(1/(IF(Inputs!$B$38="pvp",15,MAX(0.1,Skills!D8-IF(Skills!E8=TRUE,Inputs!$B$32,0)))*(1-IF(AND(ArtifactsInput!$M$27,Inputs!$B$4="Chapter Hunt"),CHOOSE(ArtifactsInput!$N$27+1,20,24,28,32,36,40),0)/100)),0)</f>
        <v/>
      </c>
      <c r="R2557">
        <f>IF(AND(Inputs!$B$38&lt;&gt;"pvp",Inputs!$B$43&gt;0),IF(MAX(0,Inputs!$B$43-B2585)&lt;=0,0,(INT(MAX(0,Inputs!$B$43-B2585)/(IF(Inputs!$B$38="pvp",15,MAX(0.1,Skills!D8-IF(Skills!E8=TRUE,Inputs!$B$32,0)))*(1-IF(AND(ArtifactsInput!$M$27,Inputs!$B$4="Chapter Hunt"),CHOOSE(ArtifactsInput!$N$27+1,20,24,28,32,36,40),0)/100)))+1)),0)</f>
        <v/>
      </c>
      <c r="S2557">
        <f>IFERROR(O2557/N2557,0)</f>
        <v/>
      </c>
      <c r="T2557">
        <f>IF(C2557,(H2557*N2557*IF(AND(Inputs!$B$38&lt;&gt;"pvp",Inputs!$B$43&gt;0),((Skills!G8*((R2557-1)*IF(Skills!H8&gt;0,Skills!I8/Skills!H8,1)+IF(Skills!H8&gt;0,MIN(Skills!I8,MAX(0,MAX(0,Inputs!$B$43-B2585)-((R2557-1)*(IF(Inputs!$B$38="pvp",15,MAX(0.1,Skills!D8-IF(Skills!E8=TRUE,Inputs!$B$32,0)))*(1-IF(AND(ArtifactsInput!$M$27,Inputs!$B$4="Chapter Hunt"),CHOOSE(ArtifactsInput!$N$27+1,20,24,28,32,36,40),0)/100)))))/Skills!H8,1)))/Inputs!$B$43),G2557*Q2557)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2557*(1-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2557*(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2557*(1-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2557*(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7">
        <f>IF(C2557,(H2557*N2557*IF(AND(Inputs!$B$38&lt;&gt;"pvp",Inputs!$B$43&gt;0),((Skills!G8*((R2557-1)*IF(Skills!H8&gt;0,Skills!I8/Skills!H8,1)+IF(Skills!H8&gt;0,MIN(Skills!I8,MAX(0,MAX(0,Inputs!$B$43-B2585)-((R2557-1)*(IF(Inputs!$B$38="pvp",15,MAX(0.1,Skills!D8-IF(Skills!E8=TRUE,Inputs!$B$32,0)))*(1-IF(AND(ArtifactsInput!$M$27,Inputs!$B$4="Chapter Hunt"),CHOOSE(ArtifactsInput!$N$27+1,20,24,28,32,36,40),0)/100)))))/Skills!H8,1)))/Inputs!$B$43),G2557*Q2557)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8">
      <c r="A2558">
        <f>Skills!A9</f>
        <v/>
      </c>
      <c r="B2558">
        <f>Skills!B9</f>
        <v/>
      </c>
      <c r="C2558">
        <f>Inputs!$B$3&gt;=69</f>
        <v/>
      </c>
      <c r="D2558">
        <f>IF(Skills!C9=1,60+Inputs!$B$25+Inputs!$B$29,IF(Skills!C9=2,90+Inputs!$B$26+Inputs!$B$29,IF(Skills!C9=3,120+Inputs!$B$27+Inputs!$B$29,MAX(0,(Inputs!$B$3-100)*3)+Inputs!$B$28+Inputs!$B$29)))</f>
        <v/>
      </c>
      <c r="E2558">
        <f>INDEX(FactorTable!$B$2:$Y$301, MATCH(ROUND(MIN(300,MAX(1,D2558)),0), FactorTable!$A$2:$A$301,0), Skills!M9+1)</f>
        <v/>
      </c>
      <c r="F2558">
        <f>IF(Skills!N9=TRUE,(Skills!L9/10)*(E2558/1000),Skills!L9/10)+Skills!O9</f>
        <v/>
      </c>
      <c r="G2558">
        <f>Skills!G9*IF(Skills!H9&gt;0,Skills!I9/Skills!H9,1)</f>
        <v/>
      </c>
      <c r="H2558">
        <f>1-(1-Skills!J9/100)^Skills!K9</f>
        <v/>
      </c>
      <c r="I2558" t="inlineStr">
        <is>
          <t>1</t>
        </is>
      </c>
      <c r="J2558">
        <f>((Inputs!$B$6*(1+Inputs!$B$7/100))+(((Inputs!$B$12*(1+Inputs!$B$13/100))-(Inputs!$B$12*(1+Inputs!$B$13/100)))+0.25*(Inputs!$B$14-Inputs!$B$14))*(1+Inputs!$B$7/100))*(F2558/100)</f>
        <v/>
      </c>
      <c r="K2558">
        <f>J2558*(1+((Inputs!$B$12*(1+Inputs!$B$13/100))*0.01+Inputs!$B$14*0.0025)/100)*(1+Inputs!$B$15/100)*(1+Inputs!$B$16/100)*(5000/(6000+Inputs!$B$42*(1-(100*(1-(1-(Inputs!$B$19+0)/100)*(1-CHOOSE(ArtifactsInput!$N$40+1,5,6,7,8,9,10)/100)^(IF(ArtifactsInput!$M$40,FALSE,TRUE)-ArtifactsInput!$M$40)))/100)))*(1+(Inputs!$B$24+((C2574=TRUE)*(F2574-Calc!F25))+B2584)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2561=TRUE,F2561,0)/100)*(1+IF(Skills!A9="ENHANCED_RAGING_BLOW",IF(Inputs!$B$3&gt;=134,MAX(0,IF(Inputs!$B$3&gt;=110,7,5)-5)*50,0),0)/100)*(1+(IF(Skills!A9="RAGING_BLOW",Inputs!$B$17+((C2570=TRUE)*(F2570-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2572=TRUE)*(F2572-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2562=TRUE)*F2562*IF(Inputs!$B$3&gt;=110,7,5))+((C2564=TRUE)*F2564*IF(AND(Inputs!$B$38&lt;&gt;"pvp",Inputs!$B$43&gt;0),(((R2564-1)*(Skills!T15*(1+(Inputs!$B$34+(ArtifactsInput!$M$7-ArtifactsInput!$M$7)*CHOOSE(ArtifactsInput!$N$7+1,6,7.2,8.4,9.6,10.8,12))/100))+MIN((Skills!T15*(1+(Inputs!$B$34+(ArtifactsInput!$M$7-ArtifactsInput!$M$7)*CHOOSE(ArtifactsInput!$N$7+1,6,7.2,8.4,9.6,10.8,12))/100)),MAX(0,Inputs!$B$43-((R2564-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I2558)</f>
        <v/>
      </c>
      <c r="L2558">
        <f>K2558*(MIN(Inputs!$B$22+((C2571=TRUE)*(F2571-Calc!F22)),(Inputs!$B$23+((C2573=TRUE)*(F2573-Calc!F24))+(IF(ArtifactsInput!$M$15,CHOOSE(ArtifactsInput!$N$15+1,25,30,35,40,45,50)/100*(Inputs!$B$11-Inputs!$B$11),0))))/100+(Inputs!$B$23+((C2573=TRUE)*(F2573-Calc!F24))+(IF(ArtifactsInput!$M$15,CHOOSE(ArtifactsInput!$N$15+1,25,30,35,40,45,50)/100*(Inputs!$B$11-Inputs!$B$11),0)))/100)/2</f>
        <v/>
      </c>
      <c r="M2558">
        <f>L2558*(1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8">
        <f>L2558*(1-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2558*(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8">
        <f>(1-Summary!$B$11)*T2558+Summary!$B$11*V2558</f>
        <v/>
      </c>
      <c r="P2558">
        <f>IF(B2588=0,0,O2558/B2588)</f>
        <v/>
      </c>
      <c r="Q2558">
        <f>IFERROR(1/(IF(Inputs!$B$38="pvp",15,MAX(0.1,Skills!D9-IF(Skills!E9=TRUE,Inputs!$B$32,0)))*(1-IF(AND(ArtifactsInput!$M$27,Inputs!$B$4="Chapter Hunt"),CHOOSE(ArtifactsInput!$N$27+1,20,24,28,32,36,40),0)/100)),0)</f>
        <v/>
      </c>
      <c r="R2558">
        <f>IF(AND(Inputs!$B$38&lt;&gt;"pvp",Inputs!$B$43&gt;0),IF(MAX(0,Inputs!$B$43-B2585)&lt;=0,0,(INT(MAX(0,Inputs!$B$43-B2585)/(IF(Inputs!$B$38="pvp",15,MAX(0.1,Skills!D9-IF(Skills!E9=TRUE,Inputs!$B$32,0)))*(1-IF(AND(ArtifactsInput!$M$27,Inputs!$B$4="Chapter Hunt"),CHOOSE(ArtifactsInput!$N$27+1,20,24,28,32,36,40),0)/100)))+1)),0)</f>
        <v/>
      </c>
      <c r="S2558">
        <f>IFERROR(O2558/N2558,0)</f>
        <v/>
      </c>
      <c r="T2558">
        <f>IF(C2558,(H2558*N2558*IF(AND(Inputs!$B$38&lt;&gt;"pvp",Inputs!$B$43&gt;0),((Skills!G9*((R2558-1)*IF(Skills!H9&gt;0,Skills!I9/Skills!H9,1)+IF(Skills!H9&gt;0,MIN(Skills!I9,MAX(0,MAX(0,Inputs!$B$43-B2585)-((R2558-1)*(IF(Inputs!$B$38="pvp",15,MAX(0.1,Skills!D9-IF(Skills!E9=TRUE,Inputs!$B$32,0)))*(1-IF(AND(ArtifactsInput!$M$27,Inputs!$B$4="Chapter Hunt"),CHOOSE(ArtifactsInput!$N$27+1,20,24,28,32,36,40),0)/100)))))/Skills!H9,1)))/Inputs!$B$43),G2558*Q2558)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2558*(1-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2558*(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2558*(1-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2558*(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8">
        <f>IF(C2558,(H2558*N2558*IF(AND(Inputs!$B$38&lt;&gt;"pvp",Inputs!$B$43&gt;0),((Skills!G9*((R2558-1)*IF(Skills!H9&gt;0,Skills!I9/Skills!H9,1)+IF(Skills!H9&gt;0,MIN(Skills!I9,MAX(0,MAX(0,Inputs!$B$43-B2585)-((R2558-1)*(IF(Inputs!$B$38="pvp",15,MAX(0.1,Skills!D9-IF(Skills!E9=TRUE,Inputs!$B$32,0)))*(1-IF(AND(ArtifactsInput!$M$27,Inputs!$B$4="Chapter Hunt"),CHOOSE(ArtifactsInput!$N$27+1,20,24,28,32,36,40),0)/100)))))/Skills!H9,1)))/Inputs!$B$43),G2558*Q2558)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9">
      <c r="A2559">
        <f>Skills!A10</f>
        <v/>
      </c>
      <c r="B2559">
        <f>Skills!B10</f>
        <v/>
      </c>
      <c r="C2559">
        <f>Inputs!$B$3&gt;=63</f>
        <v/>
      </c>
      <c r="D2559">
        <f>IF(Skills!C10=1,60+Inputs!$B$25+Inputs!$B$29,IF(Skills!C10=2,90+Inputs!$B$26+Inputs!$B$29,IF(Skills!C10=3,120+Inputs!$B$27+Inputs!$B$29,MAX(0,(Inputs!$B$3-100)*3)+Inputs!$B$28+Inputs!$B$29)))</f>
        <v/>
      </c>
      <c r="E2559">
        <f>INDEX(FactorTable!$B$2:$Y$301, MATCH(ROUND(MIN(300,MAX(1,D2559)),0), FactorTable!$A$2:$A$301,0), Skills!M10+1)</f>
        <v/>
      </c>
      <c r="F2559">
        <f>IF(Skills!N10=TRUE,(Skills!L10/10)*(E2559/1000),Skills!L10/10)+Skills!O10</f>
        <v/>
      </c>
      <c r="G2559">
        <f>Skills!G10*IF(Skills!H10&gt;0,Skills!I10/Skills!H10,1)</f>
        <v/>
      </c>
      <c r="H2559">
        <f>1-(1-Skills!J10/100)^Skills!K10</f>
        <v/>
      </c>
      <c r="I2559" t="inlineStr">
        <is>
          <t>1</t>
        </is>
      </c>
      <c r="J2559">
        <f>((Inputs!$B$6*(1+Inputs!$B$7/100))+(((Inputs!$B$12*(1+Inputs!$B$13/100))-(Inputs!$B$12*(1+Inputs!$B$13/100)))+0.25*(Inputs!$B$14-Inputs!$B$14))*(1+Inputs!$B$7/100))*(F2559/100)</f>
        <v/>
      </c>
      <c r="K2559">
        <f>J2559*(1+((Inputs!$B$12*(1+Inputs!$B$13/100))*0.01+Inputs!$B$14*0.0025)/100)*(1+Inputs!$B$15/100)*(1+Inputs!$B$16/100)*(5000/(6000+Inputs!$B$42*(1-(100*(1-(1-(Inputs!$B$19+0)/100)*(1-CHOOSE(ArtifactsInput!$N$40+1,5,6,7,8,9,10)/100)^(IF(ArtifactsInput!$M$40,FALSE,TRUE)-ArtifactsInput!$M$40)))/100)))*(1+(Inputs!$B$24+((C2574=TRUE)*(F2574-Calc!F25))+B2584)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2561=TRUE,F2561,0)/100)*(1+IF(Skills!A10="ENHANCED_RAGING_BLOW",IF(Inputs!$B$3&gt;=134,MAX(0,IF(Inputs!$B$3&gt;=110,7,5)-5)*50,0),0)/100)*(1+(IF(Skills!A10="RAGING_BLOW",Inputs!$B$17+((C2570=TRUE)*(F2570-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2572=TRUE)*(F2572-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2562=TRUE)*F2562*IF(Inputs!$B$3&gt;=110,7,5))+((C2564=TRUE)*F2564*IF(AND(Inputs!$B$38&lt;&gt;"pvp",Inputs!$B$43&gt;0),(((R2564-1)*(Skills!T15*(1+(Inputs!$B$34+(ArtifactsInput!$M$7-ArtifactsInput!$M$7)*CHOOSE(ArtifactsInput!$N$7+1,6,7.2,8.4,9.6,10.8,12))/100))+MIN((Skills!T15*(1+(Inputs!$B$34+(ArtifactsInput!$M$7-ArtifactsInput!$M$7)*CHOOSE(ArtifactsInput!$N$7+1,6,7.2,8.4,9.6,10.8,12))/100)),MAX(0,Inputs!$B$43-((R2564-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I2559)</f>
        <v/>
      </c>
      <c r="L2559">
        <f>K2559*(MIN(Inputs!$B$22+((C2571=TRUE)*(F2571-Calc!F22)),(Inputs!$B$23+((C2573=TRUE)*(F2573-Calc!F24))+(IF(ArtifactsInput!$M$15,CHOOSE(ArtifactsInput!$N$15+1,25,30,35,40,45,50)/100*(Inputs!$B$11-Inputs!$B$11),0))))/100+(Inputs!$B$23+((C2573=TRUE)*(F2573-Calc!F24))+(IF(ArtifactsInput!$M$15,CHOOSE(ArtifactsInput!$N$15+1,25,30,35,40,45,50)/100*(Inputs!$B$11-Inputs!$B$11),0)))/100)/2</f>
        <v/>
      </c>
      <c r="M2559">
        <f>L2559*(1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9">
        <f>L2559*(1-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2559*(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9">
        <f>(1-Summary!$B$11)*T2559+Summary!$B$11*V2559</f>
        <v/>
      </c>
      <c r="P2559">
        <f>IF(B2588=0,0,O2559/B2588)</f>
        <v/>
      </c>
      <c r="Q2559">
        <f>IFERROR(1/(IF(Inputs!$B$38="pvp",15,MAX(0.1,Skills!D10-IF(Skills!E10=TRUE,Inputs!$B$32,0)))*(1-IF(AND(ArtifactsInput!$M$27,Inputs!$B$4="Chapter Hunt"),CHOOSE(ArtifactsInput!$N$27+1,20,24,28,32,36,40),0)/100)),0)</f>
        <v/>
      </c>
      <c r="R2559">
        <f>IF(AND(Inputs!$B$38&lt;&gt;"pvp",Inputs!$B$43&gt;0),IF(MAX(0,Inputs!$B$43-B2585)&lt;=0,0,(INT(MAX(0,Inputs!$B$43-B2585)/(IF(Inputs!$B$38="pvp",15,MAX(0.1,Skills!D10-IF(Skills!E10=TRUE,Inputs!$B$32,0)))*(1-IF(AND(ArtifactsInput!$M$27,Inputs!$B$4="Chapter Hunt"),CHOOSE(ArtifactsInput!$N$27+1,20,24,28,32,36,40),0)/100)))+1)),0)</f>
        <v/>
      </c>
      <c r="S2559">
        <f>IFERROR(O2559/N2559,0)</f>
        <v/>
      </c>
      <c r="T2559">
        <f>IF(C2559,(H2559*N2559*IF(AND(Inputs!$B$38&lt;&gt;"pvp",Inputs!$B$43&gt;0),((Skills!G10*((R2559-1)*IF(Skills!H10&gt;0,Skills!I10/Skills!H10,1)+IF(Skills!H10&gt;0,MIN(Skills!I10,MAX(0,MAX(0,Inputs!$B$43-B2585)-((R2559-1)*(IF(Inputs!$B$38="pvp",15,MAX(0.1,Skills!D10-IF(Skills!E10=TRUE,Inputs!$B$32,0)))*(1-IF(AND(ArtifactsInput!$M$27,Inputs!$B$4="Chapter Hunt"),CHOOSE(ArtifactsInput!$N$27+1,20,24,28,32,36,40),0)/100)))))/Skills!H10,1)))/Inputs!$B$43),G2559*Q2559)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2559*(1-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2559*(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2559*(1-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2559*(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9">
        <f>IF(C2559,(H2559*N2559*IF(AND(Inputs!$B$38&lt;&gt;"pvp",Inputs!$B$43&gt;0),((Skills!G10*((R2559-1)*IF(Skills!H10&gt;0,Skills!I10/Skills!H10,1)+IF(Skills!H10&gt;0,MIN(Skills!I10,MAX(0,MAX(0,Inputs!$B$43-B2585)-((R2559-1)*(IF(Inputs!$B$38="pvp",15,MAX(0.1,Skills!D10-IF(Skills!E10=TRUE,Inputs!$B$32,0)))*(1-IF(AND(ArtifactsInput!$M$27,Inputs!$B$4="Chapter Hunt"),CHOOSE(ArtifactsInput!$N$27+1,20,24,28,32,36,40),0)/100)))))/Skills!H10,1)))/Inputs!$B$43),G2559*Q2559)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0">
      <c r="A2560">
        <f>Skills!A11</f>
        <v/>
      </c>
      <c r="B2560">
        <f>Skills!B11</f>
        <v/>
      </c>
      <c r="C2560">
        <f>Inputs!$B$3&gt;=35</f>
        <v/>
      </c>
      <c r="D2560">
        <f>IF(Skills!C11=1,60+Inputs!$B$25+Inputs!$B$29,IF(Skills!C11=2,90+Inputs!$B$26+Inputs!$B$29,IF(Skills!C11=3,120+Inputs!$B$27+Inputs!$B$29,MAX(0,(Inputs!$B$3-100)*3)+Inputs!$B$28+Inputs!$B$29)))</f>
        <v/>
      </c>
      <c r="E2560">
        <f>INDEX(FactorTable!$B$2:$Y$301, MATCH(ROUND(MIN(300,MAX(1,D2560)),0), FactorTable!$A$2:$A$301,0), Skills!M11+1)</f>
        <v/>
      </c>
      <c r="F2560">
        <f>IF(Skills!N11=TRUE,(Skills!L11/10)*(E2560/1000),Skills!L11/10)+Skills!O11</f>
        <v/>
      </c>
      <c r="G2560">
        <f>Skills!G11*IF(Skills!H11&gt;0,Skills!I11/Skills!H11,1)</f>
        <v/>
      </c>
      <c r="H2560">
        <f>1-(1-Skills!J11/100)^Skills!K11</f>
        <v/>
      </c>
      <c r="I2560" t="inlineStr">
        <is>
          <t>1</t>
        </is>
      </c>
      <c r="J2560">
        <f>((Inputs!$B$6*(1+Inputs!$B$7/100))+(((Inputs!$B$12*(1+Inputs!$B$13/100))-(Inputs!$B$12*(1+Inputs!$B$13/100)))+0.25*(Inputs!$B$14-Inputs!$B$14))*(1+Inputs!$B$7/100))*(F2560/100)</f>
        <v/>
      </c>
      <c r="K2560">
        <f>J2560*(1+((Inputs!$B$12*(1+Inputs!$B$13/100))*0.01+Inputs!$B$14*0.0025)/100)*(1+Inputs!$B$15/100)*(1+Inputs!$B$16/100)*(5000/(6000+Inputs!$B$42*(1-(100*(1-(1-(Inputs!$B$19+0)/100)*(1-CHOOSE(ArtifactsInput!$N$40+1,5,6,7,8,9,10)/100)^(IF(ArtifactsInput!$M$40,FALSE,TRUE)-ArtifactsInput!$M$40)))/100)))*(1+(Inputs!$B$24+((C2574=TRUE)*(F2574-Calc!F25))+B2584)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2561=TRUE,F2561,0)/100)*(1+IF(Skills!A11="ENHANCED_RAGING_BLOW",IF(Inputs!$B$3&gt;=134,MAX(0,IF(Inputs!$B$3&gt;=110,7,5)-5)*50,0),0)/100)*(1+(IF(Skills!A11="RAGING_BLOW",Inputs!$B$17+((C2570=TRUE)*(F2570-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2572=TRUE)*(F2572-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2562=TRUE)*F2562*IF(Inputs!$B$3&gt;=110,7,5))+((C2564=TRUE)*F2564*IF(AND(Inputs!$B$38&lt;&gt;"pvp",Inputs!$B$43&gt;0),(((R2564-1)*(Skills!T15*(1+(Inputs!$B$34+(ArtifactsInput!$M$7-ArtifactsInput!$M$7)*CHOOSE(ArtifactsInput!$N$7+1,6,7.2,8.4,9.6,10.8,12))/100))+MIN((Skills!T15*(1+(Inputs!$B$34+(ArtifactsInput!$M$7-ArtifactsInput!$M$7)*CHOOSE(ArtifactsInput!$N$7+1,6,7.2,8.4,9.6,10.8,12))/100)),MAX(0,Inputs!$B$43-((R2564-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I2560)</f>
        <v/>
      </c>
      <c r="L2560">
        <f>K2560*(MIN(Inputs!$B$22+((C2571=TRUE)*(F2571-Calc!F22)),(Inputs!$B$23+((C2573=TRUE)*(F2573-Calc!F24))+(IF(ArtifactsInput!$M$15,CHOOSE(ArtifactsInput!$N$15+1,25,30,35,40,45,50)/100*(Inputs!$B$11-Inputs!$B$11),0))))/100+(Inputs!$B$23+((C2573=TRUE)*(F2573-Calc!F24))+(IF(ArtifactsInput!$M$15,CHOOSE(ArtifactsInput!$N$15+1,25,30,35,40,45,50)/100*(Inputs!$B$11-Inputs!$B$11),0)))/100)/2</f>
        <v/>
      </c>
      <c r="M2560">
        <f>L2560*(1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0">
        <f>L2560*(1-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2560*(MIN((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0">
        <f>(1-Summary!$B$11)*T2560+Summary!$B$11*V2560</f>
        <v/>
      </c>
      <c r="P2560">
        <f>IF(B2588=0,0,O2560/B2588)</f>
        <v/>
      </c>
      <c r="Q2560">
        <f>IFERROR(1/(IF(Inputs!$B$38="pvp",15,MAX(0.1,Skills!D11-IF(Skills!E11=TRUE,Inputs!$B$32,0)))*(1-IF(AND(ArtifactsInput!$M$27,Inputs!$B$4="Chapter Hunt"),CHOOSE(ArtifactsInput!$N$27+1,20,24,28,32,36,40),0)/100)),0)</f>
        <v/>
      </c>
      <c r="R2560">
        <f>IF(AND(Inputs!$B$38&lt;&gt;"pvp",Inputs!$B$43&gt;0),IF(MAX(0,Inputs!$B$43-B2585)&lt;=0,0,(INT(MAX(0,Inputs!$B$43-B2585)/(IF(Inputs!$B$38="pvp",15,MAX(0.1,Skills!D11-IF(Skills!E11=TRUE,Inputs!$B$32,0)))*(1-IF(AND(ArtifactsInput!$M$27,Inputs!$B$4="Chapter Hunt"),CHOOSE(ArtifactsInput!$N$27+1,20,24,28,32,36,40),0)/100)))+1)),0)</f>
        <v/>
      </c>
      <c r="S2560">
        <f>IFERROR(O2560/N2560,0)</f>
        <v/>
      </c>
      <c r="T2560">
        <f>IF(C2560,(H2560*N2560*IF(AND(Inputs!$B$38&lt;&gt;"pvp",Inputs!$B$43&gt;0),((Skills!G11*((R2560-1)*IF(Skills!H11&gt;0,Skills!I11/Skills!H11,1)+IF(Skills!H11&gt;0,MIN(Skills!I11,MAX(0,MAX(0,Inputs!$B$43-B2585)-((R2560-1)*(IF(Inputs!$B$38="pvp",15,MAX(0.1,Skills!D11-IF(Skills!E11=TRUE,Inputs!$B$32,0)))*(1-IF(AND(ArtifactsInput!$M$27,Inputs!$B$4="Chapter Hunt"),CHOOSE(ArtifactsInput!$N$27+1,20,24,28,32,36,40),0)/100)))))/Skills!H11,1)))/Inputs!$B$43),G2560*Q2560)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2560*(1-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2560*(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2560*(1-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2560*(MIN(100,(Inputs!$B$9+((C2575=TRUE)*(F2575-Calc!F26))+B2578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0">
        <f>IF(C2560,(H2560*N2560*IF(AND(Inputs!$B$38&lt;&gt;"pvp",Inputs!$B$43&gt;0),((Skills!G11*((R2560-1)*IF(Skills!H11&gt;0,Skills!I11/Skills!H11,1)+IF(Skills!H11&gt;0,MIN(Skills!I11,MAX(0,MAX(0,Inputs!$B$43-B2585)-((R2560-1)*(IF(Inputs!$B$38="pvp",15,MAX(0.1,Skills!D11-IF(Skills!E11=TRUE,Inputs!$B$32,0)))*(1-IF(AND(ArtifactsInput!$M$27,Inputs!$B$4="Chapter Hunt"),CHOOSE(ArtifactsInput!$N$27+1,20,24,28,32,36,40),0)/100)))))/Skills!H11,1)))/Inputs!$B$43),G2560*Q2560)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1">
      <c r="A2561">
        <f>Skills!A12</f>
        <v/>
      </c>
      <c r="B2561">
        <f>Skills!B12</f>
        <v/>
      </c>
      <c r="C2561">
        <f>Inputs!$B$3&gt;=100</f>
        <v/>
      </c>
      <c r="D2561">
        <f>IF(Skills!C12=1,60+Inputs!$B$25+Inputs!$B$29,IF(Skills!C12=2,90+Inputs!$B$26+Inputs!$B$29,IF(Skills!C12=3,120+Inputs!$B$27+Inputs!$B$29,MAX(0,(Inputs!$B$3-100)*3)+Inputs!$B$28+Inputs!$B$29)))</f>
        <v/>
      </c>
      <c r="E2561">
        <f>INDEX(FactorTable!$B$2:$Y$301, MATCH(ROUND(MIN(300,MAX(1,D2561)),0), FactorTable!$A$2:$A$301,0), Skills!M12+1)</f>
        <v/>
      </c>
      <c r="F2561">
        <f>IF(Skills!N12=TRUE,(Skills!L12/10)*(E2561/1000),Skills!L12/10)+Skills!O12</f>
        <v/>
      </c>
      <c r="G2561" t="inlineStr"/>
      <c r="H2561" t="inlineStr"/>
      <c r="I2561" t="inlineStr">
        <is>
          <t>1</t>
        </is>
      </c>
      <c r="J2561" t="inlineStr"/>
      <c r="K2561" t="inlineStr"/>
      <c r="L2561" t="inlineStr"/>
      <c r="M2561" t="inlineStr"/>
      <c r="N2561" t="inlineStr"/>
      <c r="O2561" t="inlineStr"/>
      <c r="P2561" t="inlineStr"/>
      <c r="Q2561" t="inlineStr"/>
      <c r="R2561" t="inlineStr"/>
      <c r="S2561" t="inlineStr"/>
    </row>
    <row r="2562">
      <c r="A2562">
        <f>Skills!A13</f>
        <v/>
      </c>
      <c r="B2562">
        <f>Skills!B13</f>
        <v/>
      </c>
      <c r="C2562">
        <f>Inputs!$B$3&gt;=45</f>
        <v/>
      </c>
      <c r="D2562">
        <f>IF(Skills!C13=1,60+Inputs!$B$25+Inputs!$B$29,IF(Skills!C13=2,90+Inputs!$B$26+Inputs!$B$29,IF(Skills!C13=3,120+Inputs!$B$27+Inputs!$B$29,MAX(0,(Inputs!$B$3-100)*3)+Inputs!$B$28+Inputs!$B$29)))</f>
        <v/>
      </c>
      <c r="E2562">
        <f>INDEX(FactorTable!$B$2:$Y$301, MATCH(ROUND(MIN(300,MAX(1,D2562)),0), FactorTable!$A$2:$A$301,0), Skills!M13+1)</f>
        <v/>
      </c>
      <c r="F2562">
        <f>IF(Skills!N13=TRUE,(Skills!L13/10)*(E2562/1000),Skills!L13/10)+Skills!O13</f>
        <v/>
      </c>
      <c r="G2562">
        <f>Skills!G13*IF(Skills!H13&gt;0,Skills!I13/Skills!H13,1)</f>
        <v/>
      </c>
      <c r="H2562">
        <f>1-(1-Skills!J13/100)^Skills!K13</f>
        <v/>
      </c>
      <c r="I2562" t="inlineStr">
        <is>
          <t>1</t>
        </is>
      </c>
      <c r="J2562" t="inlineStr"/>
      <c r="K2562" t="inlineStr"/>
      <c r="L2562" t="inlineStr"/>
      <c r="M2562" t="inlineStr"/>
      <c r="N2562" t="inlineStr"/>
      <c r="O2562">
        <f>(1-Summary!$B$11)*T2562+Summary!$B$11*V2562</f>
        <v/>
      </c>
      <c r="P2562">
        <f>IF(B2588=0,0,O2562/B2588)</f>
        <v/>
      </c>
      <c r="Q2562" t="n">
        <v>0</v>
      </c>
      <c r="R2562" t="n">
        <v>0</v>
      </c>
      <c r="S2562">
        <f>IFERROR(O2562/N2562,0)</f>
        <v/>
      </c>
      <c r="T2562" t="n">
        <v>0</v>
      </c>
      <c r="V2562" t="n">
        <v>0</v>
      </c>
    </row>
    <row r="2563">
      <c r="A2563">
        <f>Skills!A14</f>
        <v/>
      </c>
      <c r="B2563">
        <f>Skills!B14</f>
        <v/>
      </c>
      <c r="C2563">
        <f>Inputs!$B$3&gt;=75</f>
        <v/>
      </c>
      <c r="D2563">
        <f>IF(Skills!C14=1,60+Inputs!$B$25+Inputs!$B$29,IF(Skills!C14=2,90+Inputs!$B$26+Inputs!$B$29,IF(Skills!C14=3,120+Inputs!$B$27+Inputs!$B$29,MAX(0,(Inputs!$B$3-100)*3)+Inputs!$B$28+Inputs!$B$29)))</f>
        <v/>
      </c>
      <c r="E2563">
        <f>INDEX(FactorTable!$B$2:$Y$301, MATCH(ROUND(MIN(300,MAX(1,D2563)),0), FactorTable!$A$2:$A$301,0), Skills!M14+1)</f>
        <v/>
      </c>
      <c r="F2563">
        <f>IF(Skills!N14=TRUE,(Skills!L14/10)*(E2563/1000),Skills!L14/10)+Skills!O14</f>
        <v/>
      </c>
      <c r="G2563">
        <f>Skills!G14*IF(Skills!H14&gt;0,Skills!I14/Skills!H14,1)</f>
        <v/>
      </c>
      <c r="H2563">
        <f>1-(1-Skills!J14/100)^Skills!K14</f>
        <v/>
      </c>
      <c r="I2563" t="inlineStr">
        <is>
          <t>1</t>
        </is>
      </c>
      <c r="J2563" t="inlineStr"/>
      <c r="K2563" t="inlineStr"/>
      <c r="L2563" t="inlineStr"/>
      <c r="M2563" t="inlineStr"/>
      <c r="N2563" t="inlineStr"/>
      <c r="O2563">
        <f>(1-Summary!$B$11)*T2563+Summary!$B$11*V2563</f>
        <v/>
      </c>
      <c r="P2563">
        <f>IF(B2588=0,0,O2563/B2588)</f>
        <v/>
      </c>
      <c r="Q2563" t="n">
        <v>0</v>
      </c>
      <c r="R2563" t="n">
        <v>0</v>
      </c>
      <c r="S2563">
        <f>IFERROR(O2563/N2563,0)</f>
        <v/>
      </c>
      <c r="T2563" t="n">
        <v>0</v>
      </c>
      <c r="V2563" t="n">
        <v>0</v>
      </c>
    </row>
    <row r="2564">
      <c r="A2564">
        <f>Skills!A15</f>
        <v/>
      </c>
      <c r="B2564">
        <f>Skills!B15</f>
        <v/>
      </c>
      <c r="C2564">
        <f>Inputs!$B$3&gt;=40</f>
        <v/>
      </c>
      <c r="D2564">
        <f>IF(Skills!C15=1,60+Inputs!$B$25+Inputs!$B$29,IF(Skills!C15=2,90+Inputs!$B$26+Inputs!$B$29,IF(Skills!C15=3,120+Inputs!$B$27+Inputs!$B$29,MAX(0,(Inputs!$B$3-100)*3)+Inputs!$B$28+Inputs!$B$29)))</f>
        <v/>
      </c>
      <c r="E2564">
        <f>INDEX(FactorTable!$B$2:$Y$301, MATCH(ROUND(MIN(300,MAX(1,D2564)),0), FactorTable!$A$2:$A$301,0), Skills!M15+1)</f>
        <v/>
      </c>
      <c r="F2564">
        <f>IF(Skills!N15=TRUE,(Skills!L15/10)*(E2564/1000),Skills!L15/10)+Skills!O15</f>
        <v/>
      </c>
      <c r="G2564">
        <f>Skills!G15*IF(Skills!H15&gt;0,Skills!I15/Skills!H15,1)</f>
        <v/>
      </c>
      <c r="H2564">
        <f>1-(1-Skills!J15/100)^Skills!K15</f>
        <v/>
      </c>
      <c r="I2564" t="inlineStr">
        <is>
          <t>1</t>
        </is>
      </c>
      <c r="J2564" t="inlineStr"/>
      <c r="K2564" t="inlineStr"/>
      <c r="L2564" t="inlineStr"/>
      <c r="M2564" t="inlineStr"/>
      <c r="N2564" t="inlineStr"/>
      <c r="O2564">
        <f>(1-Summary!$B$11)*T2564+Summary!$B$11*V2564</f>
        <v/>
      </c>
      <c r="P2564">
        <f>IF(B2588=0,0,O2564/B2588)</f>
        <v/>
      </c>
      <c r="Q2564">
        <f>IFERROR(1/(IF(Inputs!$B$38="pvp",15,MAX(0.1,Skills!D15-IF(Skills!E15=TRUE,Inputs!$B$32,0)))*(1-IF(AND(ArtifactsInput!$M$27,Inputs!$B$4="Chapter Hunt"),CHOOSE(ArtifactsInput!$N$27+1,20,24,28,32,36,40),0)/100)),0)</f>
        <v/>
      </c>
      <c r="R2564">
        <f>IF(AND(Inputs!$B$38&lt;&gt;"pvp",Inputs!$B$43&gt;0),IF(Inputs!$B$43&lt;=0,0,(INT(Inputs!$B$43/(IF(Inputs!$B$38="pvp",15,MAX(0.1,Skills!D15-IF(Skills!E15=TRUE,Inputs!$B$32,0)))*(1-IF(AND(ArtifactsInput!$M$27,Inputs!$B$4="Chapter Hunt"),CHOOSE(ArtifactsInput!$N$27+1,20,24,28,32,36,40),0)/100)))+1)),0)</f>
        <v/>
      </c>
      <c r="S2564">
        <f>IFERROR(O2564/N2564,0)</f>
        <v/>
      </c>
      <c r="T2564" t="n">
        <v>0</v>
      </c>
      <c r="V2564" t="n">
        <v>0</v>
      </c>
    </row>
    <row r="2565">
      <c r="A2565">
        <f>Skills!A16</f>
        <v/>
      </c>
      <c r="B2565">
        <f>Skills!B16</f>
        <v/>
      </c>
      <c r="C2565">
        <f>Inputs!$B$3&gt;=66</f>
        <v/>
      </c>
      <c r="D2565">
        <f>IF(Skills!C16=1,60+Inputs!$B$25+Inputs!$B$29,IF(Skills!C16=2,90+Inputs!$B$26+Inputs!$B$29,IF(Skills!C16=3,120+Inputs!$B$27+Inputs!$B$29,MAX(0,(Inputs!$B$3-100)*3)+Inputs!$B$28+Inputs!$B$29)))</f>
        <v/>
      </c>
      <c r="E2565">
        <f>INDEX(FactorTable!$B$2:$Y$301, MATCH(ROUND(MIN(300,MAX(1,D2565)),0), FactorTable!$A$2:$A$301,0), Skills!M16+1)</f>
        <v/>
      </c>
      <c r="F2565">
        <f>IF(Skills!N16=TRUE,(Skills!L16/10)*(E2565/1000),Skills!L16/10)+Skills!O16</f>
        <v/>
      </c>
      <c r="G2565">
        <f>Skills!G16*IF(Skills!H16&gt;0,Skills!I16/Skills!H16,1)</f>
        <v/>
      </c>
      <c r="H2565">
        <f>1-(1-Skills!J16/100)^Skills!K16</f>
        <v/>
      </c>
      <c r="I2565" t="inlineStr">
        <is>
          <t>1</t>
        </is>
      </c>
      <c r="J2565" t="inlineStr"/>
      <c r="K2565" t="inlineStr"/>
      <c r="L2565" t="inlineStr"/>
      <c r="M2565" t="inlineStr"/>
      <c r="N2565" t="inlineStr"/>
      <c r="O2565">
        <f>(1-Summary!$B$11)*T2565+Summary!$B$11*V2565</f>
        <v/>
      </c>
      <c r="P2565">
        <f>IF(B2588=0,0,O2565/B2588)</f>
        <v/>
      </c>
      <c r="Q2565">
        <f>IFERROR(1/(IF(Inputs!$B$38="pvp",15,MAX(0.1,Skills!D16-IF(Skills!E16=TRUE,Inputs!$B$32,0)))*(1-IF(AND(ArtifactsInput!$M$27,Inputs!$B$4="Chapter Hunt"),CHOOSE(ArtifactsInput!$N$27+1,20,24,28,32,36,40),0)/100)),0)</f>
        <v/>
      </c>
      <c r="R2565">
        <f>IF(AND(Inputs!$B$38&lt;&gt;"pvp",Inputs!$B$43&gt;0),IF(Inputs!$B$43&lt;=0,0,(INT(Inputs!$B$43/(IF(Inputs!$B$38="pvp",15,MAX(0.1,Skills!D16-IF(Skills!E16=TRUE,Inputs!$B$32,0)))*(1-IF(AND(ArtifactsInput!$M$27,Inputs!$B$4="Chapter Hunt"),CHOOSE(ArtifactsInput!$N$27+1,20,24,28,32,36,40),0)/100)))+1)),0)</f>
        <v/>
      </c>
      <c r="S2565">
        <f>IFERROR(O2565/N2565,0)</f>
        <v/>
      </c>
      <c r="T2565" t="n">
        <v>0</v>
      </c>
      <c r="V2565" t="n">
        <v>0</v>
      </c>
    </row>
    <row r="2566">
      <c r="A2566">
        <f>Skills!A17</f>
        <v/>
      </c>
      <c r="B2566">
        <f>Skills!B17</f>
        <v/>
      </c>
      <c r="C2566">
        <f>Inputs!$B$3&gt;=115</f>
        <v/>
      </c>
      <c r="D2566">
        <f>IF(Skills!C17=1,60+Inputs!$B$25+Inputs!$B$29,IF(Skills!C17=2,90+Inputs!$B$26+Inputs!$B$29,IF(Skills!C17=3,120+Inputs!$B$27+Inputs!$B$29,MAX(0,(Inputs!$B$3-100)*3)+Inputs!$B$28+Inputs!$B$29)))</f>
        <v/>
      </c>
      <c r="E2566">
        <f>INDEX(FactorTable!$B$2:$Y$301, MATCH(ROUND(MIN(300,MAX(1,D2566)),0), FactorTable!$A$2:$A$301,0), Skills!M17+1)</f>
        <v/>
      </c>
      <c r="F2566">
        <f>IF(Skills!N17=TRUE,(Skills!L17/10)*(E2566/1000),Skills!L17/10)+Skills!O17</f>
        <v/>
      </c>
      <c r="G2566">
        <f>Skills!G17*IF(Skills!H17&gt;0,Skills!I17/Skills!H17,1)</f>
        <v/>
      </c>
      <c r="H2566">
        <f>1-(1-Skills!J17/100)^Skills!K17</f>
        <v/>
      </c>
      <c r="I2566" t="inlineStr">
        <is>
          <t>1</t>
        </is>
      </c>
      <c r="J2566" t="inlineStr"/>
      <c r="K2566" t="inlineStr"/>
      <c r="L2566" t="inlineStr"/>
      <c r="M2566" t="inlineStr"/>
      <c r="N2566" t="inlineStr"/>
      <c r="O2566">
        <f>(1-Summary!$B$11)*T2566+Summary!$B$11*V2566</f>
        <v/>
      </c>
      <c r="P2566">
        <f>IF(B2588=0,0,O2566/B2588)</f>
        <v/>
      </c>
      <c r="Q2566">
        <f>IFERROR(1/(IF(Inputs!$B$38="pvp",15,MAX(0.1,Skills!D17-IF(Skills!E17=TRUE,Inputs!$B$32,0)))*(1-IF(AND(ArtifactsInput!$M$27,Inputs!$B$4="Chapter Hunt"),CHOOSE(ArtifactsInput!$N$27+1,20,24,28,32,36,40),0)/100)),0)</f>
        <v/>
      </c>
      <c r="R2566">
        <f>IF(AND(Inputs!$B$38&lt;&gt;"pvp",Inputs!$B$43&gt;0),IF(Inputs!$B$43&lt;=0,0,(INT(Inputs!$B$43/(IF(Inputs!$B$38="pvp",15,MAX(0.1,Skills!D17-IF(Skills!E17=TRUE,Inputs!$B$32,0)))*(1-IF(AND(ArtifactsInput!$M$27,Inputs!$B$4="Chapter Hunt"),CHOOSE(ArtifactsInput!$N$27+1,20,24,28,32,36,40),0)/100)))+1)),0)</f>
        <v/>
      </c>
      <c r="S2566">
        <f>IFERROR(O2566/N2566,0)</f>
        <v/>
      </c>
      <c r="T2566" t="n">
        <v>0</v>
      </c>
      <c r="V2566" t="n">
        <v>0</v>
      </c>
    </row>
    <row r="2567">
      <c r="A2567">
        <f>Skills!A18</f>
        <v/>
      </c>
      <c r="B2567">
        <f>Skills!B18</f>
        <v/>
      </c>
      <c r="C2567">
        <f>Inputs!$B$3&gt;=115</f>
        <v/>
      </c>
      <c r="D2567">
        <f>IF(Skills!C18=1,60+Inputs!$B$25+Inputs!$B$29,IF(Skills!C18=2,90+Inputs!$B$26+Inputs!$B$29,IF(Skills!C18=3,120+Inputs!$B$27+Inputs!$B$29,MAX(0,(Inputs!$B$3-100)*3)+Inputs!$B$28+Inputs!$B$29)))</f>
        <v/>
      </c>
      <c r="E2567">
        <f>INDEX(FactorTable!$B$2:$Y$301, MATCH(ROUND(MIN(300,MAX(1,D2567)),0), FactorTable!$A$2:$A$301,0), Skills!M18+1)</f>
        <v/>
      </c>
      <c r="F2567">
        <f>IF(Skills!N18=TRUE,(Skills!L18/10)*(E2567/1000),Skills!L18/10)+Skills!O18</f>
        <v/>
      </c>
      <c r="G2567">
        <f>Skills!G18*IF(Skills!H18&gt;0,Skills!I18/Skills!H18,1)</f>
        <v/>
      </c>
      <c r="H2567">
        <f>1-(1-Skills!J18/100)^Skills!K18</f>
        <v/>
      </c>
      <c r="I2567" t="inlineStr">
        <is>
          <t>1</t>
        </is>
      </c>
      <c r="J2567" t="inlineStr"/>
      <c r="K2567" t="inlineStr"/>
      <c r="L2567" t="inlineStr"/>
      <c r="M2567" t="inlineStr"/>
      <c r="N2567" t="inlineStr"/>
      <c r="O2567">
        <f>(1-Summary!$B$11)*T2567+Summary!$B$11*V2567</f>
        <v/>
      </c>
      <c r="P2567">
        <f>IF(B2588=0,0,O2567/B2588)</f>
        <v/>
      </c>
      <c r="Q2567">
        <f>IFERROR(1/(IF(Inputs!$B$38="pvp",15,MAX(0.1,Skills!D18-IF(Skills!E18=TRUE,Inputs!$B$32,0)))*(1-IF(AND(ArtifactsInput!$M$27,Inputs!$B$4="Chapter Hunt"),CHOOSE(ArtifactsInput!$N$27+1,20,24,28,32,36,40),0)/100)),0)</f>
        <v/>
      </c>
      <c r="R2567">
        <f>IF(AND(Inputs!$B$38&lt;&gt;"pvp",Inputs!$B$43&gt;0),IF(Inputs!$B$43&lt;=0,0,(INT(Inputs!$B$43/(IF(Inputs!$B$38="pvp",15,MAX(0.1,Skills!D18-IF(Skills!E18=TRUE,Inputs!$B$32,0)))*(1-IF(AND(ArtifactsInput!$M$27,Inputs!$B$4="Chapter Hunt"),CHOOSE(ArtifactsInput!$N$27+1,20,24,28,32,36,40),0)/100)))+1)),0)</f>
        <v/>
      </c>
      <c r="S2567">
        <f>IFERROR(O2567/N2567,0)</f>
        <v/>
      </c>
      <c r="T2567" t="n">
        <v>0</v>
      </c>
      <c r="V2567" t="n">
        <v>0</v>
      </c>
    </row>
    <row r="2568">
      <c r="A2568">
        <f>Skills!A19</f>
        <v/>
      </c>
      <c r="B2568">
        <f>Skills!B19</f>
        <v/>
      </c>
      <c r="C2568">
        <f>TRUE</f>
        <v/>
      </c>
      <c r="D2568">
        <f>IF(Skills!C19=1,60+Inputs!$B$25+Inputs!$B$29,IF(Skills!C19=2,90+Inputs!$B$26+Inputs!$B$29,IF(Skills!C19=3,120+Inputs!$B$27+Inputs!$B$29,MAX(0,(Inputs!$B$3-100)*3)+Inputs!$B$28+Inputs!$B$29)))</f>
        <v/>
      </c>
      <c r="E2568">
        <f>INDEX(FactorTable!$B$2:$Y$301, MATCH(ROUND(MIN(300,MAX(1,D2568)),0), FactorTable!$A$2:$A$301,0), Skills!M19+1)</f>
        <v/>
      </c>
      <c r="F2568">
        <f>IF(Skills!N19=TRUE,(Skills!L19/10)*(E2568/1000),Skills!L19/10)+Skills!O19</f>
        <v/>
      </c>
      <c r="G2568">
        <f>Skills!G19*IF(Skills!H19&gt;0,Skills!I19/Skills!H19,1)</f>
        <v/>
      </c>
      <c r="H2568">
        <f>1-(1-Skills!J19/100)^Skills!K19</f>
        <v/>
      </c>
      <c r="I2568" t="inlineStr">
        <is>
          <t>1</t>
        </is>
      </c>
      <c r="J2568" t="inlineStr"/>
      <c r="K2568" t="inlineStr"/>
      <c r="L2568" t="inlineStr"/>
      <c r="M2568" t="inlineStr"/>
      <c r="N2568" t="inlineStr"/>
      <c r="O2568">
        <f>(1-Summary!$B$11)*T2568+Summary!$B$11*V2568</f>
        <v/>
      </c>
      <c r="P2568">
        <f>IF(B2588=0,0,O2568/B2588)</f>
        <v/>
      </c>
      <c r="Q2568">
        <f>IFERROR(1/(IF(Inputs!$B$38="pvp",15,MAX(0.1,Skills!D19-IF(Skills!E19=TRUE,Inputs!$B$32,0)))*(1-IF(AND(ArtifactsInput!$M$27,Inputs!$B$4="Chapter Hunt"),CHOOSE(ArtifactsInput!$N$27+1,20,24,28,32,36,40),0)/100)),0)</f>
        <v/>
      </c>
      <c r="R2568">
        <f>IF(AND(Inputs!$B$38&lt;&gt;"pvp",Inputs!$B$43&gt;0),IF(Inputs!$B$43&lt;=0,0,(INT(Inputs!$B$43/(IF(Inputs!$B$38="pvp",15,MAX(0.1,Skills!D19-IF(Skills!E19=TRUE,Inputs!$B$32,0)))*(1-IF(AND(ArtifactsInput!$M$27,Inputs!$B$4="Chapter Hunt"),CHOOSE(ArtifactsInput!$N$27+1,20,24,28,32,36,40),0)/100)))+1)),0)</f>
        <v/>
      </c>
      <c r="S2568">
        <f>IFERROR(O2568/N2568,0)</f>
        <v/>
      </c>
      <c r="T2568" t="n">
        <v>0</v>
      </c>
      <c r="V2568" t="n">
        <v>0</v>
      </c>
    </row>
    <row r="2569">
      <c r="A2569">
        <f>Skills!A20</f>
        <v/>
      </c>
      <c r="B2569">
        <f>Skills!B20</f>
        <v/>
      </c>
      <c r="C2569">
        <f>Inputs!$B$3&gt;=33</f>
        <v/>
      </c>
      <c r="D2569">
        <f>IF(Skills!C20=1,60+Inputs!$B$25+Inputs!$B$29,IF(Skills!C20=2,90+Inputs!$B$26+Inputs!$B$29,IF(Skills!C20=3,120+Inputs!$B$27+Inputs!$B$29,MAX(0,(Inputs!$B$3-100)*3)+Inputs!$B$28+Inputs!$B$29)))</f>
        <v/>
      </c>
      <c r="E2569">
        <f>INDEX(FactorTable!$B$2:$Y$301, MATCH(ROUND(MIN(300,MAX(1,D2569)),0), FactorTable!$A$2:$A$301,0), Skills!M20+1)</f>
        <v/>
      </c>
      <c r="F2569">
        <f>IF(Skills!N20=TRUE,(Skills!L20/10)*(E2569/1000),Skills!L20/10)+Skills!O20</f>
        <v/>
      </c>
      <c r="G2569">
        <f>Skills!G20*IF(Skills!H20&gt;0,Skills!I20/Skills!H20,1)</f>
        <v/>
      </c>
      <c r="H2569">
        <f>1-(1-Skills!J20/100)^Skills!K20</f>
        <v/>
      </c>
      <c r="I2569" t="inlineStr">
        <is>
          <t>1</t>
        </is>
      </c>
      <c r="J2569" t="inlineStr"/>
      <c r="K2569" t="inlineStr"/>
      <c r="L2569" t="inlineStr"/>
      <c r="M2569" t="inlineStr"/>
      <c r="N2569" t="inlineStr"/>
      <c r="O2569">
        <f>(1-Summary!$B$11)*T2569+Summary!$B$11*V2569</f>
        <v/>
      </c>
      <c r="P2569">
        <f>IF(B2588=0,0,O2569/B2588)</f>
        <v/>
      </c>
      <c r="Q2569" t="n">
        <v>0</v>
      </c>
      <c r="R2569" t="n">
        <v>0</v>
      </c>
      <c r="S2569">
        <f>IFERROR(O2569/N2569,0)</f>
        <v/>
      </c>
      <c r="T2569" t="n">
        <v>0</v>
      </c>
      <c r="V2569" t="n">
        <v>0</v>
      </c>
    </row>
    <row r="2570">
      <c r="A2570">
        <f>Skills!A21</f>
        <v/>
      </c>
      <c r="B2570">
        <f>Skills!B21</f>
        <v/>
      </c>
      <c r="C2570">
        <f>Inputs!$B$3&gt;=38</f>
        <v/>
      </c>
      <c r="D2570">
        <f>IF(Skills!C21=1,60+Inputs!$B$25+Inputs!$B$29,IF(Skills!C21=2,90+Inputs!$B$26+Inputs!$B$29,IF(Skills!C21=3,120+Inputs!$B$27+Inputs!$B$29,MAX(0,(Inputs!$B$3-100)*3)+Inputs!$B$28+Inputs!$B$29)))</f>
        <v/>
      </c>
      <c r="E2570">
        <f>INDEX(FactorTable!$B$2:$Y$301, MATCH(ROUND(MIN(300,MAX(1,D2570)),0), FactorTable!$A$2:$A$301,0), Skills!M21+1)</f>
        <v/>
      </c>
      <c r="F2570">
        <f>IF(Skills!N21=TRUE,(Skills!L21/10)*(E2570/1000),Skills!L21/10)+Skills!O21</f>
        <v/>
      </c>
      <c r="G2570">
        <f>Skills!G21*IF(Skills!H21&gt;0,Skills!I21/Skills!H21,1)</f>
        <v/>
      </c>
      <c r="H2570">
        <f>1-(1-Skills!J21/100)^Skills!K21</f>
        <v/>
      </c>
      <c r="I2570" t="inlineStr">
        <is>
          <t>1</t>
        </is>
      </c>
      <c r="J2570" t="inlineStr"/>
      <c r="K2570" t="inlineStr"/>
      <c r="L2570" t="inlineStr"/>
      <c r="M2570" t="inlineStr"/>
      <c r="N2570" t="inlineStr"/>
      <c r="O2570">
        <f>(1-Summary!$B$11)*T2570+Summary!$B$11*V2570</f>
        <v/>
      </c>
      <c r="P2570">
        <f>IF(B2588=0,0,O2570/B2588)</f>
        <v/>
      </c>
      <c r="Q2570" t="n">
        <v>0</v>
      </c>
      <c r="R2570" t="n">
        <v>0</v>
      </c>
      <c r="S2570">
        <f>IFERROR(O2570/N2570,0)</f>
        <v/>
      </c>
      <c r="T2570" t="n">
        <v>0</v>
      </c>
      <c r="V2570" t="n">
        <v>0</v>
      </c>
    </row>
    <row r="2571">
      <c r="A2571">
        <f>Skills!A22</f>
        <v/>
      </c>
      <c r="B2571">
        <f>Skills!B22</f>
        <v/>
      </c>
      <c r="C2571">
        <f>Inputs!$B$3&gt;=43</f>
        <v/>
      </c>
      <c r="D2571">
        <f>IF(Skills!C22=1,60+Inputs!$B$25+Inputs!$B$29,IF(Skills!C22=2,90+Inputs!$B$26+Inputs!$B$29,IF(Skills!C22=3,120+Inputs!$B$27+Inputs!$B$29,MAX(0,(Inputs!$B$3-100)*3)+Inputs!$B$28+Inputs!$B$29)))</f>
        <v/>
      </c>
      <c r="E2571">
        <f>INDEX(FactorTable!$B$2:$Y$301, MATCH(ROUND(MIN(300,MAX(1,D2571)),0), FactorTable!$A$2:$A$301,0), Skills!M22+1)</f>
        <v/>
      </c>
      <c r="F2571">
        <f>IF(Skills!N22=TRUE,(Skills!L22/10)*(E2571/1000),Skills!L22/10)+Skills!O22</f>
        <v/>
      </c>
      <c r="G2571">
        <f>Skills!G22*IF(Skills!H22&gt;0,Skills!I22/Skills!H22,1)</f>
        <v/>
      </c>
      <c r="H2571">
        <f>1-(1-Skills!J22/100)^Skills!K22</f>
        <v/>
      </c>
      <c r="I2571" t="inlineStr">
        <is>
          <t>1</t>
        </is>
      </c>
      <c r="J2571" t="inlineStr"/>
      <c r="K2571" t="inlineStr"/>
      <c r="L2571" t="inlineStr"/>
      <c r="M2571" t="inlineStr"/>
      <c r="N2571" t="inlineStr"/>
      <c r="O2571">
        <f>(1-Summary!$B$11)*T2571+Summary!$B$11*V2571</f>
        <v/>
      </c>
      <c r="P2571">
        <f>IF(B2588=0,0,O2571/B2588)</f>
        <v/>
      </c>
      <c r="Q2571" t="n">
        <v>0</v>
      </c>
      <c r="R2571" t="n">
        <v>0</v>
      </c>
      <c r="S2571">
        <f>IFERROR(O2571/N2571,0)</f>
        <v/>
      </c>
      <c r="T2571" t="n">
        <v>0</v>
      </c>
      <c r="V2571" t="n">
        <v>0</v>
      </c>
    </row>
    <row r="2572">
      <c r="A2572">
        <f>Skills!A23</f>
        <v/>
      </c>
      <c r="B2572">
        <f>Skills!B23</f>
        <v/>
      </c>
      <c r="C2572">
        <f>Inputs!$B$3&gt;=120</f>
        <v/>
      </c>
      <c r="D2572">
        <f>IF(Skills!C23=1,60+Inputs!$B$25+Inputs!$B$29,IF(Skills!C23=2,90+Inputs!$B$26+Inputs!$B$29,IF(Skills!C23=3,120+Inputs!$B$27+Inputs!$B$29,MAX(0,(Inputs!$B$3-100)*3)+Inputs!$B$28+Inputs!$B$29)))</f>
        <v/>
      </c>
      <c r="E2572">
        <f>INDEX(FactorTable!$B$2:$Y$301, MATCH(ROUND(MIN(300,MAX(1,D2572)),0), FactorTable!$A$2:$A$301,0), Skills!M23+1)</f>
        <v/>
      </c>
      <c r="F2572">
        <f>IF(Skills!N23=TRUE,(Skills!L23/10)*(E2572/1000),Skills!L23/10)+Skills!O23</f>
        <v/>
      </c>
      <c r="G2572">
        <f>Skills!G23*IF(Skills!H23&gt;0,Skills!I23/Skills!H23,1)</f>
        <v/>
      </c>
      <c r="H2572">
        <f>1-(1-Skills!J23/100)^Skills!K23</f>
        <v/>
      </c>
      <c r="I2572" t="inlineStr">
        <is>
          <t>1</t>
        </is>
      </c>
      <c r="J2572" t="inlineStr"/>
      <c r="K2572" t="inlineStr"/>
      <c r="L2572" t="inlineStr"/>
      <c r="M2572" t="inlineStr"/>
      <c r="N2572" t="inlineStr"/>
      <c r="O2572">
        <f>(1-Summary!$B$11)*T2572+Summary!$B$11*V2572</f>
        <v/>
      </c>
      <c r="P2572">
        <f>IF(B2588=0,0,O2572/B2588)</f>
        <v/>
      </c>
      <c r="Q2572" t="n">
        <v>0</v>
      </c>
      <c r="R2572" t="n">
        <v>0</v>
      </c>
      <c r="S2572">
        <f>IFERROR(O2572/N2572,0)</f>
        <v/>
      </c>
      <c r="T2572" t="n">
        <v>0</v>
      </c>
      <c r="V2572" t="n">
        <v>0</v>
      </c>
    </row>
    <row r="2573">
      <c r="A2573">
        <f>Skills!A24</f>
        <v/>
      </c>
      <c r="B2573">
        <f>Skills!B24</f>
        <v/>
      </c>
      <c r="C2573">
        <f>Inputs!$B$3&gt;=120</f>
        <v/>
      </c>
      <c r="D2573">
        <f>IF(Skills!C24=1,60+Inputs!$B$25+Inputs!$B$29,IF(Skills!C24=2,90+Inputs!$B$26+Inputs!$B$29,IF(Skills!C24=3,120+Inputs!$B$27+Inputs!$B$29,MAX(0,(Inputs!$B$3-100)*3)+Inputs!$B$28+Inputs!$B$29)))</f>
        <v/>
      </c>
      <c r="E2573">
        <f>INDEX(FactorTable!$B$2:$Y$301, MATCH(ROUND(MIN(300,MAX(1,D2573)),0), FactorTable!$A$2:$A$301,0), Skills!M24+1)</f>
        <v/>
      </c>
      <c r="F2573">
        <f>IF(Skills!N24=TRUE,(Skills!L24/10)*(E2573/1000),Skills!L24/10)+Skills!O24</f>
        <v/>
      </c>
      <c r="G2573">
        <f>Skills!G24*IF(Skills!H24&gt;0,Skills!I24/Skills!H24,1)</f>
        <v/>
      </c>
      <c r="H2573">
        <f>1-(1-Skills!J24/100)^Skills!K24</f>
        <v/>
      </c>
      <c r="I2573" t="inlineStr">
        <is>
          <t>1</t>
        </is>
      </c>
      <c r="J2573" t="inlineStr"/>
      <c r="K2573" t="inlineStr"/>
      <c r="L2573" t="inlineStr"/>
      <c r="M2573" t="inlineStr"/>
      <c r="N2573" t="inlineStr"/>
      <c r="O2573">
        <f>(1-Summary!$B$11)*T2573+Summary!$B$11*V2573</f>
        <v/>
      </c>
      <c r="P2573">
        <f>IF(B2588=0,0,O2573/B2588)</f>
        <v/>
      </c>
      <c r="Q2573" t="n">
        <v>0</v>
      </c>
      <c r="R2573" t="n">
        <v>0</v>
      </c>
      <c r="S2573">
        <f>IFERROR(O2573/N2573,0)</f>
        <v/>
      </c>
      <c r="T2573" t="n">
        <v>0</v>
      </c>
      <c r="V2573" t="n">
        <v>0</v>
      </c>
    </row>
    <row r="2574">
      <c r="A2574">
        <f>Skills!A25</f>
        <v/>
      </c>
      <c r="B2574">
        <f>Skills!B25</f>
        <v/>
      </c>
      <c r="C2574">
        <f>Inputs!$B$3&gt;=125</f>
        <v/>
      </c>
      <c r="D2574">
        <f>IF(Skills!C25=1,60+Inputs!$B$25+Inputs!$B$29,IF(Skills!C25=2,90+Inputs!$B$26+Inputs!$B$29,IF(Skills!C25=3,120+Inputs!$B$27+Inputs!$B$29,MAX(0,(Inputs!$B$3-100)*3)+Inputs!$B$28+Inputs!$B$29)))</f>
        <v/>
      </c>
      <c r="E2574">
        <f>INDEX(FactorTable!$B$2:$Y$301, MATCH(ROUND(MIN(300,MAX(1,D2574)),0), FactorTable!$A$2:$A$301,0), Skills!M25+1)</f>
        <v/>
      </c>
      <c r="F2574">
        <f>IF(Skills!N25=TRUE,(Skills!L25/10)*(E2574/1000),Skills!L25/10)+Skills!O25</f>
        <v/>
      </c>
      <c r="G2574">
        <f>Skills!G25*IF(Skills!H25&gt;0,Skills!I25/Skills!H25,1)</f>
        <v/>
      </c>
      <c r="H2574">
        <f>1-(1-Skills!J25/100)^Skills!K25</f>
        <v/>
      </c>
      <c r="I2574" t="inlineStr">
        <is>
          <t>1</t>
        </is>
      </c>
      <c r="J2574" t="inlineStr"/>
      <c r="K2574" t="inlineStr"/>
      <c r="L2574" t="inlineStr"/>
      <c r="M2574" t="inlineStr"/>
      <c r="N2574" t="inlineStr"/>
      <c r="O2574">
        <f>(1-Summary!$B$11)*T2574+Summary!$B$11*V2574</f>
        <v/>
      </c>
      <c r="P2574">
        <f>IF(B2588=0,0,O2574/B2588)</f>
        <v/>
      </c>
      <c r="Q2574" t="n">
        <v>0</v>
      </c>
      <c r="R2574" t="n">
        <v>0</v>
      </c>
      <c r="S2574">
        <f>IFERROR(O2574/N2574,0)</f>
        <v/>
      </c>
      <c r="T2574" t="n">
        <v>0</v>
      </c>
      <c r="V2574" t="n">
        <v>0</v>
      </c>
    </row>
    <row r="2575">
      <c r="A2575">
        <f>Skills!A26</f>
        <v/>
      </c>
      <c r="B2575">
        <f>Skills!B26</f>
        <v/>
      </c>
      <c r="C2575">
        <f>Inputs!$B$3&gt;=72</f>
        <v/>
      </c>
      <c r="D2575">
        <f>IF(Skills!C26=1,60+Inputs!$B$25+Inputs!$B$29,IF(Skills!C26=2,90+Inputs!$B$26+Inputs!$B$29,IF(Skills!C26=3,120+Inputs!$B$27+Inputs!$B$29,MAX(0,(Inputs!$B$3-100)*3)+Inputs!$B$28+Inputs!$B$29)))</f>
        <v/>
      </c>
      <c r="E2575">
        <f>INDEX(FactorTable!$B$2:$Y$301, MATCH(ROUND(MIN(300,MAX(1,D2575)),0), FactorTable!$A$2:$A$301,0), Skills!M26+1)</f>
        <v/>
      </c>
      <c r="F2575">
        <f>IF(Skills!N26=TRUE,(Skills!L26/10)*(E2575/1000),Skills!L26/10)+Skills!O26</f>
        <v/>
      </c>
      <c r="G2575">
        <f>Skills!G26*IF(Skills!H26&gt;0,Skills!I26/Skills!H26,1)</f>
        <v/>
      </c>
      <c r="H2575">
        <f>1-(1-Skills!J26/100)^Skills!K26</f>
        <v/>
      </c>
      <c r="I2575" t="inlineStr">
        <is>
          <t>1</t>
        </is>
      </c>
      <c r="J2575" t="inlineStr"/>
      <c r="K2575" t="inlineStr"/>
      <c r="L2575" t="inlineStr"/>
      <c r="M2575" t="inlineStr"/>
      <c r="N2575" t="inlineStr"/>
      <c r="O2575">
        <f>(1-Summary!$B$11)*T2575+Summary!$B$11*V2575</f>
        <v/>
      </c>
      <c r="P2575">
        <f>IF(B2588=0,0,O2575/B2588)</f>
        <v/>
      </c>
      <c r="Q2575" t="n">
        <v>0</v>
      </c>
      <c r="R2575" t="n">
        <v>0</v>
      </c>
      <c r="S2575">
        <f>IFERROR(O2575/N2575,0)</f>
        <v/>
      </c>
      <c r="T2575" t="n">
        <v>0</v>
      </c>
      <c r="V2575" t="n">
        <v>0</v>
      </c>
    </row>
    <row r="2577">
      <c r="A2577" t="inlineStr">
        <is>
          <t>Attack% Bucket Multiplier</t>
        </is>
      </c>
      <c r="B2577">
        <f>(1+(((C2562=TRUE)*F2562*IF(Inputs!$B$3&gt;=110,7,5))+((C2564=TRUE)*F2564*IF(AND(Inputs!$B$38&lt;&gt;"pvp",Inputs!$B$43&gt;0),(((R2564-1)*(Skills!T15*(1+(Inputs!$B$34+(ArtifactsInput!$M$7-ArtifactsInput!$M$7)*CHOOSE(ArtifactsInput!$N$7+1,6,7.2,8.4,9.6,10.8,12))/100))+MIN((Skills!T15*(1+(Inputs!$B$34+(ArtifactsInput!$M$7-ArtifactsInput!$M$7)*CHOOSE(ArtifactsInput!$N$7+1,6,7.2,8.4,9.6,10.8,12))/100)),MAX(0,Inputs!$B$43-((R2564-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78">
      <c r="A2578" t="inlineStr">
        <is>
          <t>Global Crit Rate Bonus %</t>
        </is>
      </c>
      <c r="B2578" t="n">
        <v>0</v>
      </c>
    </row>
    <row r="2579">
      <c r="A2579" t="inlineStr">
        <is>
          <t>Attack Speed Buff Bonus %</t>
        </is>
      </c>
      <c r="B2579">
        <f>((C2568=TRUE)*F2568*IF(AND(Inputs!$B$38&lt;&gt;"pvp",Inputs!$B$43&gt;0),(((R2568-1)*(Skills!T19*(1+(Inputs!$B$34+(ArtifactsInput!$M$7-ArtifactsInput!$M$7)*CHOOSE(ArtifactsInput!$N$7+1,6,7.2,8.4,9.6,10.8,12))/100))+MIN((Skills!T19*(1+(Inputs!$B$34+(ArtifactsInput!$M$7-ArtifactsInput!$M$7)*CHOOSE(ArtifactsInput!$N$7+1,6,7.2,8.4,9.6,10.8,12))/100)),MAX(0,Inputs!$B$43-((R2568-1)*Skills!D19))))/Inputs!$B$43),IF(Inputs!$B$38="pvp",MIN((Skills!T19*(1+(Inputs!$B$34+(ArtifactsInput!$M$7-ArtifactsInput!$M$7)*CHOOSE(ArtifactsInput!$N$7+1,6,7.2,8.4,9.6,10.8,12))/100)),15)/15,(Skills!T19*(1+(Inputs!$B$34+(ArtifactsInput!$M$7-ArtifactsInput!$M$7)*CHOOSE(ArtifactsInput!$N$7+1,6,7.2,8.4,9.6,10.8,12))/100))/Skills!D19)))</f>
        <v/>
      </c>
    </row>
    <row r="2580">
      <c r="A2580" t="inlineStr">
        <is>
          <t>Actions Per Second</t>
        </is>
      </c>
      <c r="B2580">
        <f>1+MIN(150,150*(1-(1-(Inputs!$B$11+((C2569=TRUE)*(F2569-Calc!F20)))/150)*(1-B2579/150)))/100</f>
        <v/>
      </c>
    </row>
    <row r="2581">
      <c r="A2581" t="inlineStr">
        <is>
          <t>Skill + Buff Cast Rate</t>
        </is>
      </c>
      <c r="B2581">
        <f>IF(AND(Inputs!$B$38&lt;&gt;"pvp",Inputs!$B$43&gt;0),SUMPRODUCT((Skills!E2:E26=TRUE)*(C2551:C2575=TRUE)*R2551:R2575*Skills!F2:F26)/Inputs!$B$43,SUMPRODUCT((Skills!E2:E26=TRUE)*(C2551:C2575=TRUE)*Q2551:Q2575*Skills!F2:F26))</f>
        <v/>
      </c>
    </row>
    <row r="2582">
      <c r="A2582" t="inlineStr">
        <is>
          <t>Raging Blow Casts Per Second</t>
        </is>
      </c>
      <c r="B2582">
        <f>MAX(0,B2580-B2581)</f>
        <v/>
      </c>
    </row>
    <row r="2583">
      <c r="A2583" t="inlineStr">
        <is>
          <t>Global Critical Damage Bonus % (Enrage)</t>
        </is>
      </c>
      <c r="B2583">
        <f>((C2567=TRUE)*F2567*IF(AND(Inputs!$B$38&lt;&gt;"pvp",Inputs!$B$43&gt;0),(((R2567-1)*(Skills!T18*(1+(Inputs!$B$34+(ArtifactsInput!$M$7-ArtifactsInput!$M$7)*CHOOSE(ArtifactsInput!$N$7+1,6,7.2,8.4,9.6,10.8,12))/100))+MIN((Skills!T18*(1+(Inputs!$B$34+(ArtifactsInput!$M$7-ArtifactsInput!$M$7)*CHOOSE(ArtifactsInput!$N$7+1,6,7.2,8.4,9.6,10.8,12))/100)),MAX(0,Inputs!$B$43-((R2567-1)*Skills!D18))))/Inputs!$B$43),IF(Inputs!$B$38="pvp",MIN((Skills!T18*(1+(Inputs!$B$34+(ArtifactsInput!$M$7-ArtifactsInput!$M$7)*CHOOSE(ArtifactsInput!$N$7+1,6,7.2,8.4,9.6,10.8,12))/100)),15)/15,(Skills!T18*(1+(Inputs!$B$34+(ArtifactsInput!$M$7-ArtifactsInput!$M$7)*CHOOSE(ArtifactsInput!$N$7+1,6,7.2,8.4,9.6,10.8,12))/100))/Skills!D18)))</f>
        <v/>
      </c>
    </row>
    <row r="2584">
      <c r="A2584" t="inlineStr">
        <is>
          <t>Global Final Damage Bonus % (Enrage + Combo Synergy)</t>
        </is>
      </c>
      <c r="B2584">
        <f>((C2566=TRUE)*F2566*IF(AND(Inputs!$B$38&lt;&gt;"pvp",Inputs!$B$43&gt;0),(((R2566-1)*(Skills!T17*(1+(Inputs!$B$34+(ArtifactsInput!$M$7-ArtifactsInput!$M$7)*CHOOSE(ArtifactsInput!$N$7+1,6,7.2,8.4,9.6,10.8,12))/100))+MIN((Skills!T17*(1+(Inputs!$B$34+(ArtifactsInput!$M$7-ArtifactsInput!$M$7)*CHOOSE(ArtifactsInput!$N$7+1,6,7.2,8.4,9.6,10.8,12))/100)),MAX(0,Inputs!$B$43-((R2566-1)*Skills!D17))))/Inputs!$B$43),IF(Inputs!$B$38="pvp",MIN((Skills!T17*(1+(Inputs!$B$34+(ArtifactsInput!$M$7-ArtifactsInput!$M$7)*CHOOSE(ArtifactsInput!$N$7+1,6,7.2,8.4,9.6,10.8,12))/100)),15)/15,(Skills!T17*(1+(Inputs!$B$34+(ArtifactsInput!$M$7-ArtifactsInput!$M$7)*CHOOSE(ArtifactsInput!$N$7+1,6,7.2,8.4,9.6,10.8,12))/100))/Skills!D17)))+((C2563=TRUE)*F2563*IF(Inputs!$B$3&gt;=110,7,5))</f>
        <v/>
      </c>
    </row>
    <row r="2585">
      <c r="A2585" t="inlineStr">
        <is>
          <t>Buff-Casting Startup Delay (s, fixed-duration only)</t>
        </is>
      </c>
      <c r="B2585">
        <f>IF(AND(Inputs!$B$38&lt;&gt;"pvp",Inputs!$B$43&gt;0),SUMPRODUCT((Skills!T2:T26&gt;0)*(Skills!E2:E26=TRUE)*(C2551:C2575=TRUE))/B2580,0)</f>
        <v/>
      </c>
    </row>
    <row r="2586">
      <c r="A2586" t="inlineStr">
        <is>
          <t>Boss-Only Total DPS (this block's swept value)</t>
        </is>
      </c>
      <c r="B2586">
        <f>SUM(T2551:T2575)</f>
        <v/>
      </c>
    </row>
    <row r="2587">
      <c r="A2587" t="inlineStr">
        <is>
          <t>Normal-Only Total DPS (this block's swept value)</t>
        </is>
      </c>
      <c r="B2587">
        <f>SUM(V2551:V2575)</f>
        <v/>
      </c>
    </row>
    <row r="2588">
      <c r="A2588" s="6" t="inlineStr">
        <is>
          <t>TOTAL DPS</t>
        </is>
      </c>
      <c r="B2588" s="6">
        <f>SUM(O2551:O2575)</f>
        <v/>
      </c>
    </row>
    <row r="2591">
      <c r="A2591" s="6" t="inlineStr">
        <is>
          <t>Stat: Secret Map (Equip)</t>
        </is>
      </c>
    </row>
    <row r="2592">
      <c r="A2592" s="5" t="inlineStr">
        <is>
          <t>Key</t>
        </is>
      </c>
      <c r="B2592" s="5" t="inlineStr">
        <is>
          <t>Name</t>
        </is>
      </c>
      <c r="C2592" s="5" t="inlineStr">
        <is>
          <t>Unlocked</t>
        </is>
      </c>
      <c r="D2592" s="5" t="inlineStr">
        <is>
          <t>InputLevel</t>
        </is>
      </c>
      <c r="E2592" s="5" t="inlineStr">
        <is>
          <t>Factor</t>
        </is>
      </c>
      <c r="F2592" s="5" t="inlineStr">
        <is>
          <t>CoefficientPercent</t>
        </is>
      </c>
      <c r="G2592" s="5" t="inlineStr">
        <is>
          <t>EffectiveHits</t>
        </is>
      </c>
      <c r="H2592" s="5" t="inlineStr">
        <is>
          <t>ProcProbability</t>
        </is>
      </c>
      <c r="I2592" s="5" t="inlineStr">
        <is>
          <t>MapleHeroMultiplier</t>
        </is>
      </c>
      <c r="J2592" s="5" t="inlineStr">
        <is>
          <t>BaseDamage</t>
        </is>
      </c>
      <c r="K2592" s="5" t="inlineStr">
        <is>
          <t>BaseHitDamage</t>
        </is>
      </c>
      <c r="L2592" s="5" t="inlineStr">
        <is>
          <t>NonCritAvg</t>
        </is>
      </c>
      <c r="M2592" s="5" t="inlineStr">
        <is>
          <t>CritAvg</t>
        </is>
      </c>
      <c r="N2592" s="5" t="inlineStr">
        <is>
          <t>ExpectedDamage(perHit)</t>
        </is>
      </c>
      <c r="O2592" s="5" t="inlineStr">
        <is>
          <t>DPS</t>
        </is>
      </c>
      <c r="P2592" s="5" t="inlineStr">
        <is>
          <t>% of Total</t>
        </is>
      </c>
      <c r="Q2592" s="5" t="inlineStr">
        <is>
          <t>InvCooldown</t>
        </is>
      </c>
      <c r="R2592" s="5" t="inlineStr">
        <is>
          <t>CastsInFight</t>
        </is>
      </c>
      <c r="S2592" s="5" t="inlineStr">
        <is>
          <t>HitRate(perSec)</t>
        </is>
      </c>
      <c r="U2592" t="inlineStr">
        <is>
          <t>helpers</t>
        </is>
      </c>
    </row>
    <row r="2593">
      <c r="A2593">
        <f>Skills!A2</f>
        <v/>
      </c>
      <c r="B2593">
        <f>Skills!B2</f>
        <v/>
      </c>
      <c r="C2593">
        <f>Inputs!$B$3&gt;=100</f>
        <v/>
      </c>
      <c r="D2593" t="inlineStr"/>
      <c r="E2593" t="inlineStr"/>
      <c r="F2593">
        <f>U2595+Skills!O2</f>
        <v/>
      </c>
      <c r="G2593">
        <f>Skills!G2*IF(Skills!H2&gt;0,Skills!I2/Skills!H2,1)</f>
        <v/>
      </c>
      <c r="H2593">
        <f>1-(1-Skills!J2/100)^Skills!K2</f>
        <v/>
      </c>
      <c r="I2593" t="inlineStr">
        <is>
          <t>1</t>
        </is>
      </c>
      <c r="J2593">
        <f>((Inputs!$B$6*(1+Inputs!$B$7/100))+(((Inputs!$B$12*(1+Inputs!$B$13/100))-(Inputs!$B$12*(1+Inputs!$B$13/100)))+0.25*(Inputs!$B$14-Inputs!$B$14))*(1+Inputs!$B$7/100))*(F2593/100)</f>
        <v/>
      </c>
      <c r="K2593">
        <f>J2593*(1+((Inputs!$B$12*(1+Inputs!$B$13/100))*0.01+Inputs!$B$14*0.0025)/100)*(1+Inputs!$B$15/100)*(1+Inputs!$B$16/100)*(5000/(6000+Inputs!$B$42*(1-(100*(1-(1-(Inputs!$B$19+0)/100)*(1-CHOOSE(ArtifactsInput!$N$40+1,5,6,7,8,9,10)/100)^(ArtifactsInput!$M$40-ArtifactsInput!$M$40)))/100)))*(1+(Inputs!$B$24+((C2616=TRUE)*(F2616-Calc!F25))+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2612=TRUE)*(F2612-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2614=TRUE)*(F2614-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2604=TRUE)*F2604*IF(Inputs!$B$3&gt;=110,7,5))+((C2606=TRUE)*F2606*IF(AND(Inputs!$B$38&lt;&gt;"pvp",Inputs!$B$43&gt;0),(((R2606-1)*(Skills!T15*(1+(Inputs!$B$34+(ArtifactsInput!$M$7-ArtifactsInput!$M$7)*CHOOSE(ArtifactsInput!$N$7+1,6,7.2,8.4,9.6,10.8,12))/100))+MIN((Skills!T15*(1+(Inputs!$B$34+(ArtifactsInput!$M$7-ArtifactsInput!$M$7)*CHOOSE(ArtifactsInput!$N$7+1,6,7.2,8.4,9.6,10.8,12))/100)),MAX(0,Inputs!$B$43-((R2606-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100)*I2593)</f>
        <v/>
      </c>
      <c r="L2593">
        <f>K2593*(MIN(Inputs!$B$22+((C2613=TRUE)*(F2613-Calc!F22)),(Inputs!$B$23+((C2615=TRUE)*(F2615-Calc!F24))+(IF(ArtifactsInput!$M$15,CHOOSE(ArtifactsInput!$N$15+1,25,30,35,40,45,50)/100*(Inputs!$B$11-Inputs!$B$11),0))))/100+(Inputs!$B$23+((C2615=TRUE)*(F2615-Calc!F24))+(IF(ArtifactsInput!$M$15,CHOOSE(ArtifactsInput!$N$15+1,25,30,35,40,45,50)/100*(Inputs!$B$11-Inputs!$B$11),0)))/100)/2</f>
        <v/>
      </c>
      <c r="M2593">
        <f>L2593*(1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3">
        <f>L2593*(1-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2593*(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3">
        <f>(1-Summary!$B$11)*T2593+Summary!$B$11*V2593</f>
        <v/>
      </c>
      <c r="P2593">
        <f>IF(B2630=0,0,O2593/B2630)</f>
        <v/>
      </c>
      <c r="Q2593" t="n">
        <v>0</v>
      </c>
      <c r="R2593" t="n">
        <v>0</v>
      </c>
      <c r="S2593">
        <f>IFERROR(O2593/N2593,0)</f>
        <v/>
      </c>
      <c r="T2593">
        <f>IF(C2593,(Skills!G2*N2593*B2624)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2593*(1-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2593*(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2593*(1-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2593*(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3">
        <f>MAX(0,(Inputs!$B$3-100)*3)+Inputs!$B$28+Inputs!$B$29</f>
        <v/>
      </c>
      <c r="V2593">
        <f>IF(C2593,(Skills!G2*N2593*B2624)*IF(Inputs!$B$38="pvp",1,(1+(Inputs!$B$21+Skills!Q2+Summary!$B$15+(IF(ArtifactsInput!$M$33,CHOOSE(ArtifactsInput!$N$33+1,30,36,42,48,54,60),0)))/100)*(MIN((6+Inputs!$B$33)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4">
      <c r="A2594">
        <f>Skills!A3</f>
        <v/>
      </c>
      <c r="B2594">
        <f>Skills!B3</f>
        <v/>
      </c>
      <c r="C2594">
        <f>Inputs!$B$3&gt;=50</f>
        <v/>
      </c>
      <c r="D2594">
        <f>IF(Skills!C3=1,60+Inputs!$B$25+Inputs!$B$29,IF(Skills!C3=2,90+Inputs!$B$26+Inputs!$B$29,IF(Skills!C3=3,120+Inputs!$B$27+Inputs!$B$29,MAX(0,(Inputs!$B$3-100)*3)+Inputs!$B$28+Inputs!$B$29)))</f>
        <v/>
      </c>
      <c r="E2594">
        <f>INDEX(FactorTable!$B$2:$Y$301, MATCH(ROUND(MIN(300,MAX(1,D2594)),0), FactorTable!$A$2:$A$301,0), Skills!M3+1)</f>
        <v/>
      </c>
      <c r="F2594">
        <f>IF(Skills!N3=TRUE,(Skills!L3/10)*(E2594/1000),Skills!L3/10)+Skills!O3</f>
        <v/>
      </c>
      <c r="G2594" t="inlineStr"/>
      <c r="H2594" t="inlineStr"/>
      <c r="I2594" t="inlineStr">
        <is>
          <t>1</t>
        </is>
      </c>
      <c r="J2594" t="inlineStr"/>
      <c r="K2594" t="inlineStr"/>
      <c r="L2594" t="inlineStr"/>
      <c r="M2594" t="inlineStr"/>
      <c r="N2594" t="inlineStr"/>
      <c r="O2594" t="inlineStr"/>
      <c r="P2594" t="inlineStr"/>
      <c r="Q2594" t="inlineStr"/>
      <c r="R2594" t="inlineStr"/>
      <c r="S2594" t="inlineStr"/>
      <c r="U2594">
        <f>INDEX(FactorTable!$B$2:$Y$301, MATCH(ROUND(MIN(300,MAX(1,U2593)),0), FactorTable!$A$2:$A$301,0), 22)</f>
        <v/>
      </c>
    </row>
    <row r="2595">
      <c r="A2595">
        <f>Skills!A4</f>
        <v/>
      </c>
      <c r="B2595">
        <f>Skills!B4</f>
        <v/>
      </c>
      <c r="C2595">
        <f>Inputs!$B$3&gt;=105</f>
        <v/>
      </c>
      <c r="D2595">
        <f>IF(Skills!C4=1,60+Inputs!$B$25+Inputs!$B$29,IF(Skills!C4=2,90+Inputs!$B$26+Inputs!$B$29,IF(Skills!C4=3,120+Inputs!$B$27+Inputs!$B$29,MAX(0,(Inputs!$B$3-100)*3)+Inputs!$B$28+Inputs!$B$29)))</f>
        <v/>
      </c>
      <c r="E2595">
        <f>INDEX(FactorTable!$B$2:$Y$301, MATCH(ROUND(MIN(300,MAX(1,D2595)),0), FactorTable!$A$2:$A$301,0), Skills!M4+1)</f>
        <v/>
      </c>
      <c r="F2595">
        <f>IF(Skills!N4=TRUE,(Skills!L4/10)*(E2595/1000),Skills!L4/10)+Skills!O4</f>
        <v/>
      </c>
      <c r="G2595" t="inlineStr"/>
      <c r="H2595" t="inlineStr"/>
      <c r="I2595" t="inlineStr">
        <is>
          <t>1</t>
        </is>
      </c>
      <c r="J2595" t="inlineStr"/>
      <c r="K2595" t="inlineStr"/>
      <c r="L2595" t="inlineStr"/>
      <c r="M2595" t="inlineStr"/>
      <c r="N2595" t="inlineStr"/>
      <c r="O2595" t="inlineStr"/>
      <c r="P2595" t="inlineStr"/>
      <c r="Q2595" t="inlineStr"/>
      <c r="R2595" t="inlineStr"/>
      <c r="S2595" t="inlineStr"/>
      <c r="U2595">
        <f>290*U2594/1000</f>
        <v/>
      </c>
    </row>
    <row r="2596">
      <c r="A2596">
        <f>Skills!A5</f>
        <v/>
      </c>
      <c r="B2596">
        <f>Skills!B5</f>
        <v/>
      </c>
      <c r="C2596">
        <f>Inputs!$B$3&gt;=103</f>
        <v/>
      </c>
      <c r="D2596">
        <f>IF(Skills!C5=1,60+Inputs!$B$25+Inputs!$B$29,IF(Skills!C5=2,90+Inputs!$B$26+Inputs!$B$29,IF(Skills!C5=3,120+Inputs!$B$27+Inputs!$B$29,MAX(0,(Inputs!$B$3-100)*3)+Inputs!$B$28+Inputs!$B$29)))</f>
        <v/>
      </c>
      <c r="E2596">
        <f>INDEX(FactorTable!$B$2:$Y$301, MATCH(ROUND(MIN(300,MAX(1,D2596)),0), FactorTable!$A$2:$A$301,0), Skills!M5+1)</f>
        <v/>
      </c>
      <c r="F2596">
        <f>IF(Skills!N5=TRUE,(Skills!L5/10)*(E2596/1000),Skills!L5/10)+Skills!O5</f>
        <v/>
      </c>
      <c r="G2596">
        <f>Skills!G5*IF(Skills!H5&gt;0,Skills!I5/Skills!H5,1)</f>
        <v/>
      </c>
      <c r="H2596">
        <f>1-(1-Skills!J5/100)^Skills!K5</f>
        <v/>
      </c>
      <c r="I2596" t="inlineStr">
        <is>
          <t>1</t>
        </is>
      </c>
      <c r="J2596">
        <f>((Inputs!$B$6*(1+Inputs!$B$7/100))+(((Inputs!$B$12*(1+Inputs!$B$13/100))-(Inputs!$B$12*(1+Inputs!$B$13/100)))+0.25*(Inputs!$B$14-Inputs!$B$14))*(1+Inputs!$B$7/100))*(F2596/100)</f>
        <v/>
      </c>
      <c r="K2596">
        <f>J2596*(1+((Inputs!$B$12*(1+Inputs!$B$13/100))*0.01+Inputs!$B$14*0.0025)/100)*(1+Inputs!$B$15/100)*(1+Inputs!$B$16/100)*(5000/(6000+Inputs!$B$42*(1-(100*(1-(1-(Inputs!$B$19+0)/100)*(1-CHOOSE(ArtifactsInput!$N$40+1,5,6,7,8,9,10)/100)^(ArtifactsInput!$M$40-ArtifactsInput!$M$40)))/100)))*(1+(Inputs!$B$24+((C2616=TRUE)*(F2616-Calc!F25))+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2612=TRUE)*(F2612-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2614=TRUE)*(F2614-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2604=TRUE)*F2604*IF(Inputs!$B$3&gt;=110,7,5))+((C2606=TRUE)*F2606*IF(AND(Inputs!$B$38&lt;&gt;"pvp",Inputs!$B$43&gt;0),(((R2606-1)*(Skills!T15*(1+(Inputs!$B$34+(ArtifactsInput!$M$7-ArtifactsInput!$M$7)*CHOOSE(ArtifactsInput!$N$7+1,6,7.2,8.4,9.6,10.8,12))/100))+MIN((Skills!T15*(1+(Inputs!$B$34+(ArtifactsInput!$M$7-ArtifactsInput!$M$7)*CHOOSE(ArtifactsInput!$N$7+1,6,7.2,8.4,9.6,10.8,12))/100)),MAX(0,Inputs!$B$43-((R2606-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100)*I2596)</f>
        <v/>
      </c>
      <c r="L2596">
        <f>K2596*(MIN(Inputs!$B$22+((C2613=TRUE)*(F2613-Calc!F22)),(Inputs!$B$23+((C2615=TRUE)*(F2615-Calc!F24))+(IF(ArtifactsInput!$M$15,CHOOSE(ArtifactsInput!$N$15+1,25,30,35,40,45,50)/100*(Inputs!$B$11-Inputs!$B$11),0))))/100+(Inputs!$B$23+((C2615=TRUE)*(F2615-Calc!F24))+(IF(ArtifactsInput!$M$15,CHOOSE(ArtifactsInput!$N$15+1,25,30,35,40,45,50)/100*(Inputs!$B$11-Inputs!$B$11),0)))/100)/2</f>
        <v/>
      </c>
      <c r="M2596">
        <f>L2596*(1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6">
        <f>L2596*(1-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2596*(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6">
        <f>(1-Summary!$B$11)*T2596+Summary!$B$11*V2596</f>
        <v/>
      </c>
      <c r="P2596">
        <f>IF(B2630=0,0,O2596/B2630)</f>
        <v/>
      </c>
      <c r="Q2596">
        <f>IFERROR(1/(IF(Inputs!$B$38="pvp",15,MAX(0.1,Skills!D5-IF(Skills!E5=TRUE,Inputs!$B$32,0)))*(1-IF(AND(ArtifactsInput!$M$27,Inputs!$B$4="Chapter Hunt"),CHOOSE(ArtifactsInput!$N$27+1,20,24,28,32,36,40),0)/100)),0)</f>
        <v/>
      </c>
      <c r="R2596">
        <f>IF(AND(Inputs!$B$38&lt;&gt;"pvp",Inputs!$B$43&gt;0),IF(MAX(0,Inputs!$B$43-B2627)&lt;=0,0,(INT(MAX(0,Inputs!$B$43-B2627)/(IF(Inputs!$B$38="pvp",15,MAX(0.1,Skills!D5-IF(Skills!E5=TRUE,Inputs!$B$32,0)))*(1-IF(AND(ArtifactsInput!$M$27,Inputs!$B$4="Chapter Hunt"),CHOOSE(ArtifactsInput!$N$27+1,20,24,28,32,36,40),0)/100)))+1)),0)</f>
        <v/>
      </c>
      <c r="S2596">
        <f>IFERROR(O2596/N2596,0)</f>
        <v/>
      </c>
      <c r="T2596">
        <f>IF(C2596,(H2596*N2596*IF(AND(Inputs!$B$38&lt;&gt;"pvp",Inputs!$B$43&gt;0),((Skills!G5*((R2596-1)*IF(Skills!H5&gt;0,Skills!I5/Skills!H5,1)+IF(Skills!H5&gt;0,MIN(Skills!I5,MAX(0,MAX(0,Inputs!$B$43-B2627)-((R2596-1)*(IF(Inputs!$B$38="pvp",15,MAX(0.1,Skills!D5-IF(Skills!E5=TRUE,Inputs!$B$32,0)))*(1-IF(AND(ArtifactsInput!$M$27,Inputs!$B$4="Chapter Hunt"),CHOOSE(ArtifactsInput!$N$27+1,20,24,28,32,36,40),0)/100)))))/Skills!H5,1)))/Inputs!$B$43),G2596*Q2596)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2596*(1-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2596*(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2596*(1-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2596*(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96">
        <f>IF(C2596,(H2596*N2596*IF(AND(Inputs!$B$38&lt;&gt;"pvp",Inputs!$B$43&gt;0),((Skills!G5*((R2596-1)*IF(Skills!H5&gt;0,Skills!I5/Skills!H5,1)+IF(Skills!H5&gt;0,MIN(Skills!I5,MAX(0,MAX(0,Inputs!$B$43-B2627)-((R2596-1)*(IF(Inputs!$B$38="pvp",15,MAX(0.1,Skills!D5-IF(Skills!E5=TRUE,Inputs!$B$32,0)))*(1-IF(AND(ArtifactsInput!$M$27,Inputs!$B$4="Chapter Hunt"),CHOOSE(ArtifactsInput!$N$27+1,20,24,28,32,36,40),0)/100)))))/Skills!H5,1)))/Inputs!$B$43),G2596*Q2596))*IF(Inputs!$B$38="pvp",1,(1+(Inputs!$B$21+Skills!Q5+Summary!$B$15+(IF(ArtifactsInput!$M$33,CHOOSE(ArtifactsInput!$N$33+1,30,36,42,48,54,60),0)))/100)*(MIN(Skills!R5,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7">
      <c r="A2597">
        <f>Skills!A6</f>
        <v/>
      </c>
      <c r="B2597">
        <f>Skills!B6</f>
        <v/>
      </c>
      <c r="C2597">
        <f>Inputs!$B$3&gt;=103</f>
        <v/>
      </c>
      <c r="D2597">
        <f>IF(Skills!C6=1,60+Inputs!$B$25+Inputs!$B$29,IF(Skills!C6=2,90+Inputs!$B$26+Inputs!$B$29,IF(Skills!C6=3,120+Inputs!$B$27+Inputs!$B$29,MAX(0,(Inputs!$B$3-100)*3)+Inputs!$B$28+Inputs!$B$29)))</f>
        <v/>
      </c>
      <c r="E2597">
        <f>INDEX(FactorTable!$B$2:$Y$301, MATCH(ROUND(MIN(300,MAX(1,D2597)),0), FactorTable!$A$2:$A$301,0), Skills!M6+1)</f>
        <v/>
      </c>
      <c r="F2597">
        <f>IF(Skills!N6=TRUE,(Skills!L6/10)*(E2597/1000),Skills!L6/10)+Skills!O6</f>
        <v/>
      </c>
      <c r="G2597">
        <f>Skills!G6*IF(Skills!H6&gt;0,Skills!I6/Skills!H6,1)</f>
        <v/>
      </c>
      <c r="H2597">
        <f>1-(1-Skills!J6/100)^Skills!K6</f>
        <v/>
      </c>
      <c r="I2597" t="inlineStr">
        <is>
          <t>1</t>
        </is>
      </c>
      <c r="J2597">
        <f>((Inputs!$B$6*(1+Inputs!$B$7/100))+(((Inputs!$B$12*(1+Inputs!$B$13/100))-(Inputs!$B$12*(1+Inputs!$B$13/100)))+0.25*(Inputs!$B$14-Inputs!$B$14))*(1+Inputs!$B$7/100))*(F2597/100)</f>
        <v/>
      </c>
      <c r="K2597">
        <f>J2597*(1+((Inputs!$B$12*(1+Inputs!$B$13/100))*0.01+Inputs!$B$14*0.0025)/100)*(1+Inputs!$B$15/100)*(1+Inputs!$B$16/100)*(5000/(6000+Inputs!$B$42*(1-(100*(1-(1-(Inputs!$B$19+0)/100)*(1-CHOOSE(ArtifactsInput!$N$40+1,5,6,7,8,9,10)/100)^(ArtifactsInput!$M$40-ArtifactsInput!$M$40)))/100)))*(1+(Inputs!$B$24+((C2616=TRUE)*(F2616-Calc!F25))+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2612=TRUE)*(F2612-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2614=TRUE)*(F2614-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2604=TRUE)*F2604*IF(Inputs!$B$3&gt;=110,7,5))+((C2606=TRUE)*F2606*IF(AND(Inputs!$B$38&lt;&gt;"pvp",Inputs!$B$43&gt;0),(((R2606-1)*(Skills!T15*(1+(Inputs!$B$34+(ArtifactsInput!$M$7-ArtifactsInput!$M$7)*CHOOSE(ArtifactsInput!$N$7+1,6,7.2,8.4,9.6,10.8,12))/100))+MIN((Skills!T15*(1+(Inputs!$B$34+(ArtifactsInput!$M$7-ArtifactsInput!$M$7)*CHOOSE(ArtifactsInput!$N$7+1,6,7.2,8.4,9.6,10.8,12))/100)),MAX(0,Inputs!$B$43-((R2606-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100)*I2597)</f>
        <v/>
      </c>
      <c r="L2597">
        <f>K2597*(MIN(Inputs!$B$22+((C2613=TRUE)*(F2613-Calc!F22)),(Inputs!$B$23+((C2615=TRUE)*(F2615-Calc!F24))+(IF(ArtifactsInput!$M$15,CHOOSE(ArtifactsInput!$N$15+1,25,30,35,40,45,50)/100*(Inputs!$B$11-Inputs!$B$11),0))))/100+(Inputs!$B$23+((C2615=TRUE)*(F2615-Calc!F24))+(IF(ArtifactsInput!$M$15,CHOOSE(ArtifactsInput!$N$15+1,25,30,35,40,45,50)/100*(Inputs!$B$11-Inputs!$B$11),0)))/100)/2</f>
        <v/>
      </c>
      <c r="M2597">
        <f>L2597*(1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7">
        <f>L2597*(1-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2597*(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7">
        <f>(1-Summary!$B$11)*T2597+Summary!$B$11*V2597</f>
        <v/>
      </c>
      <c r="P2597">
        <f>IF(B2630=0,0,O2597/B2630)</f>
        <v/>
      </c>
      <c r="Q2597">
        <f>IFERROR(1/(IF(Inputs!$B$38="pvp",15,MAX(0.1,Skills!D6-IF(Skills!E6=TRUE,Inputs!$B$32,0)))*(1-IF(AND(ArtifactsInput!$M$27,Inputs!$B$4="Chapter Hunt"),CHOOSE(ArtifactsInput!$N$27+1,20,24,28,32,36,40),0)/100)),0)</f>
        <v/>
      </c>
      <c r="R2597">
        <f>IF(AND(Inputs!$B$38&lt;&gt;"pvp",Inputs!$B$43&gt;0),IF(MAX(0,Inputs!$B$43-B2627)&lt;=0,0,(INT(MAX(0,Inputs!$B$43-B2627)/(IF(Inputs!$B$38="pvp",15,MAX(0.1,Skills!D6-IF(Skills!E6=TRUE,Inputs!$B$32,0)))*(1-IF(AND(ArtifactsInput!$M$27,Inputs!$B$4="Chapter Hunt"),CHOOSE(ArtifactsInput!$N$27+1,20,24,28,32,36,40),0)/100)))+1)),0)</f>
        <v/>
      </c>
      <c r="S2597">
        <f>IFERROR(O2597/N2597,0)</f>
        <v/>
      </c>
      <c r="T2597">
        <f>IF(C2597,(H2597*N2597*IF(AND(Inputs!$B$38&lt;&gt;"pvp",Inputs!$B$43&gt;0),((Skills!G6*((R2597-1)*IF(Skills!H6&gt;0,Skills!I6/Skills!H6,1)+IF(Skills!H6&gt;0,MIN(Skills!I6,MAX(0,MAX(0,Inputs!$B$43-B2627)-((R2597-1)*(IF(Inputs!$B$38="pvp",15,MAX(0.1,Skills!D6-IF(Skills!E6=TRUE,Inputs!$B$32,0)))*(1-IF(AND(ArtifactsInput!$M$27,Inputs!$B$4="Chapter Hunt"),CHOOSE(ArtifactsInput!$N$27+1,20,24,28,32,36,40),0)/100)))))/Skills!H6,1)))/Inputs!$B$43),G2597*Q2597)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2597*(1-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2597*(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2597*(1-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2597*(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97">
        <f>IF(C2597,(H2597*N2597*IF(AND(Inputs!$B$38&lt;&gt;"pvp",Inputs!$B$43&gt;0),((Skills!G6*((R2597-1)*IF(Skills!H6&gt;0,Skills!I6/Skills!H6,1)+IF(Skills!H6&gt;0,MIN(Skills!I6,MAX(0,MAX(0,Inputs!$B$43-B2627)-((R2597-1)*(IF(Inputs!$B$38="pvp",15,MAX(0.1,Skills!D6-IF(Skills!E6=TRUE,Inputs!$B$32,0)))*(1-IF(AND(ArtifactsInput!$M$27,Inputs!$B$4="Chapter Hunt"),CHOOSE(ArtifactsInput!$N$27+1,20,24,28,32,36,40),0)/100)))))/Skills!H6,1)))/Inputs!$B$43),G2597*Q2597))*IF(Inputs!$B$38="pvp",1,(1+(Inputs!$B$21+Skills!Q6+Summary!$B$15+(IF(ArtifactsInput!$M$33,CHOOSE(ArtifactsInput!$N$33+1,30,36,42,48,54,60),0)))/100)*(MIN(Skills!R6,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8">
      <c r="A2598">
        <f>Skills!A7</f>
        <v/>
      </c>
      <c r="B2598">
        <f>Skills!B7</f>
        <v/>
      </c>
      <c r="C2598">
        <f>Inputs!$B$3&gt;=107</f>
        <v/>
      </c>
      <c r="D2598">
        <f>IF(Skills!C7=1,60+Inputs!$B$25+Inputs!$B$29,IF(Skills!C7=2,90+Inputs!$B$26+Inputs!$B$29,IF(Skills!C7=3,120+Inputs!$B$27+Inputs!$B$29,MAX(0,(Inputs!$B$3-100)*3)+Inputs!$B$28+Inputs!$B$29)))</f>
        <v/>
      </c>
      <c r="E2598">
        <f>INDEX(FactorTable!$B$2:$Y$301, MATCH(ROUND(MIN(300,MAX(1,D2598)),0), FactorTable!$A$2:$A$301,0), Skills!M7+1)</f>
        <v/>
      </c>
      <c r="F2598">
        <f>IF(Skills!N7=TRUE,(Skills!L7/10)*(E2598/1000),Skills!L7/10)+Skills!O7</f>
        <v/>
      </c>
      <c r="G2598">
        <f>Skills!G7*IF(Skills!H7&gt;0,Skills!I7/Skills!H7,1)</f>
        <v/>
      </c>
      <c r="H2598">
        <f>1-(1-Skills!J7/100)^Skills!K7</f>
        <v/>
      </c>
      <c r="I2598" t="inlineStr">
        <is>
          <t>1</t>
        </is>
      </c>
      <c r="J2598">
        <f>((Inputs!$B$6*(1+Inputs!$B$7/100))+(((Inputs!$B$12*(1+Inputs!$B$13/100))-(Inputs!$B$12*(1+Inputs!$B$13/100)))+0.25*(Inputs!$B$14-Inputs!$B$14))*(1+Inputs!$B$7/100))*(F2598/100)</f>
        <v/>
      </c>
      <c r="K2598">
        <f>J2598*(1+((Inputs!$B$12*(1+Inputs!$B$13/100))*0.01+Inputs!$B$14*0.0025)/100)*(1+Inputs!$B$15/100)*(1+Inputs!$B$16/100)*(5000/(6000+Inputs!$B$42*(1-(100*(1-(1-(Inputs!$B$19+0)/100)*(1-CHOOSE(ArtifactsInput!$N$40+1,5,6,7,8,9,10)/100)^(ArtifactsInput!$M$40-ArtifactsInput!$M$40)))/100)))*(1+(Inputs!$B$24+((C2616=TRUE)*(F2616-Calc!F25))+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2612=TRUE)*(F2612-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2614=TRUE)*(F2614-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2604=TRUE)*F2604*IF(Inputs!$B$3&gt;=110,7,5))+((C2606=TRUE)*F2606*IF(AND(Inputs!$B$38&lt;&gt;"pvp",Inputs!$B$43&gt;0),(((R2606-1)*(Skills!T15*(1+(Inputs!$B$34+(ArtifactsInput!$M$7-ArtifactsInput!$M$7)*CHOOSE(ArtifactsInput!$N$7+1,6,7.2,8.4,9.6,10.8,12))/100))+MIN((Skills!T15*(1+(Inputs!$B$34+(ArtifactsInput!$M$7-ArtifactsInput!$M$7)*CHOOSE(ArtifactsInput!$N$7+1,6,7.2,8.4,9.6,10.8,12))/100)),MAX(0,Inputs!$B$43-((R2606-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100)*I2598)</f>
        <v/>
      </c>
      <c r="L2598">
        <f>K2598*(MIN(Inputs!$B$22+((C2613=TRUE)*(F2613-Calc!F22)),(Inputs!$B$23+((C2615=TRUE)*(F2615-Calc!F24))+(IF(ArtifactsInput!$M$15,CHOOSE(ArtifactsInput!$N$15+1,25,30,35,40,45,50)/100*(Inputs!$B$11-Inputs!$B$11),0))))/100+(Inputs!$B$23+((C2615=TRUE)*(F2615-Calc!F24))+(IF(ArtifactsInput!$M$15,CHOOSE(ArtifactsInput!$N$15+1,25,30,35,40,45,50)/100*(Inputs!$B$11-Inputs!$B$11),0)))/100)/2</f>
        <v/>
      </c>
      <c r="M2598">
        <f>L2598*(1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8">
        <f>L2598*(1-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2598*(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8">
        <f>(1-Summary!$B$11)*T2598+Summary!$B$11*V2598</f>
        <v/>
      </c>
      <c r="P2598">
        <f>IF(B2630=0,0,O2598/B2630)</f>
        <v/>
      </c>
      <c r="Q2598">
        <f>IFERROR(1/(IF(Inputs!$B$38="pvp",15,MAX(0.1,Skills!D7-IF(Skills!E7=TRUE,Inputs!$B$32,0)))*(1-IF(AND(ArtifactsInput!$M$27,Inputs!$B$4="Chapter Hunt"),CHOOSE(ArtifactsInput!$N$27+1,20,24,28,32,36,40),0)/100)),0)</f>
        <v/>
      </c>
      <c r="R2598">
        <f>IF(AND(Inputs!$B$38&lt;&gt;"pvp",Inputs!$B$43&gt;0),IF(MAX(0,Inputs!$B$43-B2627)&lt;=0,0,(INT(MAX(0,Inputs!$B$43-B2627)/(IF(Inputs!$B$38="pvp",15,MAX(0.1,Skills!D7-IF(Skills!E7=TRUE,Inputs!$B$32,0)))*(1-IF(AND(ArtifactsInput!$M$27,Inputs!$B$4="Chapter Hunt"),CHOOSE(ArtifactsInput!$N$27+1,20,24,28,32,36,40),0)/100)))+1)),0)</f>
        <v/>
      </c>
      <c r="S2598">
        <f>IFERROR(O2598/N2598,0)</f>
        <v/>
      </c>
      <c r="T2598">
        <f>IF(C2598,(H2598*N2598*IF(AND(Inputs!$B$38&lt;&gt;"pvp",Inputs!$B$43&gt;0),((Skills!G7*((R2598-1)*IF(Skills!H7&gt;0,Skills!I7/Skills!H7,1)+IF(Skills!H7&gt;0,MIN(Skills!I7,MAX(0,MAX(0,Inputs!$B$43-B2627)-((R2598-1)*(IF(Inputs!$B$38="pvp",15,MAX(0.1,Skills!D7-IF(Skills!E7=TRUE,Inputs!$B$32,0)))*(1-IF(AND(ArtifactsInput!$M$27,Inputs!$B$4="Chapter Hunt"),CHOOSE(ArtifactsInput!$N$27+1,20,24,28,32,36,40),0)/100)))))/Skills!H7,1)))/Inputs!$B$43),G2598*Q2598)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2598*(1-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2598*(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2598*(1-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2598*(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98">
        <f>IF(C2598,(H2598*N2598*IF(AND(Inputs!$B$38&lt;&gt;"pvp",Inputs!$B$43&gt;0),((Skills!G7*((R2598-1)*IF(Skills!H7&gt;0,Skills!I7/Skills!H7,1)+IF(Skills!H7&gt;0,MIN(Skills!I7,MAX(0,MAX(0,Inputs!$B$43-B2627)-((R2598-1)*(IF(Inputs!$B$38="pvp",15,MAX(0.1,Skills!D7-IF(Skills!E7=TRUE,Inputs!$B$32,0)))*(1-IF(AND(ArtifactsInput!$M$27,Inputs!$B$4="Chapter Hunt"),CHOOSE(ArtifactsInput!$N$27+1,20,24,28,32,36,40),0)/100)))))/Skills!H7,1)))/Inputs!$B$43),G2598*Q2598))*IF(Inputs!$B$38="pvp",1,(1+(Inputs!$B$21+Skills!Q7+Summary!$B$15+(IF(ArtifactsInput!$M$33,CHOOSE(ArtifactsInput!$N$33+1,30,36,42,48,54,60),0)))/100)*(MIN(Skills!R7,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9">
      <c r="A2599">
        <f>Skills!A8</f>
        <v/>
      </c>
      <c r="B2599">
        <f>Skills!B8</f>
        <v/>
      </c>
      <c r="C2599">
        <f>Inputs!$B$3&gt;=117</f>
        <v/>
      </c>
      <c r="D2599">
        <f>IF(Skills!C8=1,60+Inputs!$B$25+Inputs!$B$29,IF(Skills!C8=2,90+Inputs!$B$26+Inputs!$B$29,IF(Skills!C8=3,120+Inputs!$B$27+Inputs!$B$29,MAX(0,(Inputs!$B$3-100)*3)+Inputs!$B$28+Inputs!$B$29)))</f>
        <v/>
      </c>
      <c r="E2599">
        <f>INDEX(FactorTable!$B$2:$Y$301, MATCH(ROUND(MIN(300,MAX(1,D2599)),0), FactorTable!$A$2:$A$301,0), Skills!M8+1)</f>
        <v/>
      </c>
      <c r="F2599">
        <f>IF(Skills!N8=TRUE,(Skills!L8/10)*(E2599/1000),Skills!L8/10)+Skills!O8</f>
        <v/>
      </c>
      <c r="G2599">
        <f>Skills!G8*IF(Skills!H8&gt;0,Skills!I8/Skills!H8,1)</f>
        <v/>
      </c>
      <c r="H2599">
        <f>1-(1-Skills!J8/100)^Skills!K8</f>
        <v/>
      </c>
      <c r="I2599" t="inlineStr">
        <is>
          <t>1</t>
        </is>
      </c>
      <c r="J2599">
        <f>((Inputs!$B$6*(1+Inputs!$B$7/100))+(((Inputs!$B$12*(1+Inputs!$B$13/100))-(Inputs!$B$12*(1+Inputs!$B$13/100)))+0.25*(Inputs!$B$14-Inputs!$B$14))*(1+Inputs!$B$7/100))*(F2599/100)</f>
        <v/>
      </c>
      <c r="K2599">
        <f>J2599*(1+((Inputs!$B$12*(1+Inputs!$B$13/100))*0.01+Inputs!$B$14*0.0025)/100)*(1+Inputs!$B$15/100)*(1+Inputs!$B$16/100)*(5000/(6000+Inputs!$B$42*(1-(100*(1-(1-(Inputs!$B$19+0)/100)*(1-CHOOSE(ArtifactsInput!$N$40+1,5,6,7,8,9,10)/100)^(ArtifactsInput!$M$40-ArtifactsInput!$M$40)))/100)))*(1+(Inputs!$B$24+((C2616=TRUE)*(F2616-Calc!F25))+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2612=TRUE)*(F2612-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2614=TRUE)*(F2614-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2604=TRUE)*F2604*IF(Inputs!$B$3&gt;=110,7,5))+((C2606=TRUE)*F2606*IF(AND(Inputs!$B$38&lt;&gt;"pvp",Inputs!$B$43&gt;0),(((R2606-1)*(Skills!T15*(1+(Inputs!$B$34+(ArtifactsInput!$M$7-ArtifactsInput!$M$7)*CHOOSE(ArtifactsInput!$N$7+1,6,7.2,8.4,9.6,10.8,12))/100))+MIN((Skills!T15*(1+(Inputs!$B$34+(ArtifactsInput!$M$7-ArtifactsInput!$M$7)*CHOOSE(ArtifactsInput!$N$7+1,6,7.2,8.4,9.6,10.8,12))/100)),MAX(0,Inputs!$B$43-((R2606-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100)*I2599)</f>
        <v/>
      </c>
      <c r="L2599">
        <f>K2599*(MIN(Inputs!$B$22+((C2613=TRUE)*(F2613-Calc!F22)),(Inputs!$B$23+((C2615=TRUE)*(F2615-Calc!F24))+(IF(ArtifactsInput!$M$15,CHOOSE(ArtifactsInput!$N$15+1,25,30,35,40,45,50)/100*(Inputs!$B$11-Inputs!$B$11),0))))/100+(Inputs!$B$23+((C2615=TRUE)*(F2615-Calc!F24))+(IF(ArtifactsInput!$M$15,CHOOSE(ArtifactsInput!$N$15+1,25,30,35,40,45,50)/100*(Inputs!$B$11-Inputs!$B$11),0)))/100)/2</f>
        <v/>
      </c>
      <c r="M2599">
        <f>L2599*(1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9">
        <f>L2599*(1-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2599*(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9">
        <f>(1-Summary!$B$11)*T2599+Summary!$B$11*V2599</f>
        <v/>
      </c>
      <c r="P2599">
        <f>IF(B2630=0,0,O2599/B2630)</f>
        <v/>
      </c>
      <c r="Q2599">
        <f>IFERROR(1/(IF(Inputs!$B$38="pvp",15,MAX(0.1,Skills!D8-IF(Skills!E8=TRUE,Inputs!$B$32,0)))*(1-IF(AND(ArtifactsInput!$M$27,Inputs!$B$4="Chapter Hunt"),CHOOSE(ArtifactsInput!$N$27+1,20,24,28,32,36,40),0)/100)),0)</f>
        <v/>
      </c>
      <c r="R2599">
        <f>IF(AND(Inputs!$B$38&lt;&gt;"pvp",Inputs!$B$43&gt;0),IF(MAX(0,Inputs!$B$43-B2627)&lt;=0,0,(INT(MAX(0,Inputs!$B$43-B2627)/(IF(Inputs!$B$38="pvp",15,MAX(0.1,Skills!D8-IF(Skills!E8=TRUE,Inputs!$B$32,0)))*(1-IF(AND(ArtifactsInput!$M$27,Inputs!$B$4="Chapter Hunt"),CHOOSE(ArtifactsInput!$N$27+1,20,24,28,32,36,40),0)/100)))+1)),0)</f>
        <v/>
      </c>
      <c r="S2599">
        <f>IFERROR(O2599/N2599,0)</f>
        <v/>
      </c>
      <c r="T2599">
        <f>IF(C2599,(H2599*N2599*IF(AND(Inputs!$B$38&lt;&gt;"pvp",Inputs!$B$43&gt;0),((Skills!G8*((R2599-1)*IF(Skills!H8&gt;0,Skills!I8/Skills!H8,1)+IF(Skills!H8&gt;0,MIN(Skills!I8,MAX(0,MAX(0,Inputs!$B$43-B2627)-((R2599-1)*(IF(Inputs!$B$38="pvp",15,MAX(0.1,Skills!D8-IF(Skills!E8=TRUE,Inputs!$B$32,0)))*(1-IF(AND(ArtifactsInput!$M$27,Inputs!$B$4="Chapter Hunt"),CHOOSE(ArtifactsInput!$N$27+1,20,24,28,32,36,40),0)/100)))))/Skills!H8,1)))/Inputs!$B$43),G2599*Q2599)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2599*(1-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2599*(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2599*(1-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2599*(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99">
        <f>IF(C2599,(H2599*N2599*IF(AND(Inputs!$B$38&lt;&gt;"pvp",Inputs!$B$43&gt;0),((Skills!G8*((R2599-1)*IF(Skills!H8&gt;0,Skills!I8/Skills!H8,1)+IF(Skills!H8&gt;0,MIN(Skills!I8,MAX(0,MAX(0,Inputs!$B$43-B2627)-((R2599-1)*(IF(Inputs!$B$38="pvp",15,MAX(0.1,Skills!D8-IF(Skills!E8=TRUE,Inputs!$B$32,0)))*(1-IF(AND(ArtifactsInput!$M$27,Inputs!$B$4="Chapter Hunt"),CHOOSE(ArtifactsInput!$N$27+1,20,24,28,32,36,40),0)/100)))))/Skills!H8,1)))/Inputs!$B$43),G2599*Q2599))*IF(Inputs!$B$38="pvp",1,(1+(Inputs!$B$21+Skills!Q8+Summary!$B$15+(IF(ArtifactsInput!$M$33,CHOOSE(ArtifactsInput!$N$33+1,30,36,42,48,54,60),0)))/100)*(MIN(Skills!R8,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0">
      <c r="A2600">
        <f>Skills!A9</f>
        <v/>
      </c>
      <c r="B2600">
        <f>Skills!B9</f>
        <v/>
      </c>
      <c r="C2600">
        <f>Inputs!$B$3&gt;=69</f>
        <v/>
      </c>
      <c r="D2600">
        <f>IF(Skills!C9=1,60+Inputs!$B$25+Inputs!$B$29,IF(Skills!C9=2,90+Inputs!$B$26+Inputs!$B$29,IF(Skills!C9=3,120+Inputs!$B$27+Inputs!$B$29,MAX(0,(Inputs!$B$3-100)*3)+Inputs!$B$28+Inputs!$B$29)))</f>
        <v/>
      </c>
      <c r="E2600">
        <f>INDEX(FactorTable!$B$2:$Y$301, MATCH(ROUND(MIN(300,MAX(1,D2600)),0), FactorTable!$A$2:$A$301,0), Skills!M9+1)</f>
        <v/>
      </c>
      <c r="F2600">
        <f>IF(Skills!N9=TRUE,(Skills!L9/10)*(E2600/1000),Skills!L9/10)+Skills!O9</f>
        <v/>
      </c>
      <c r="G2600">
        <f>Skills!G9*IF(Skills!H9&gt;0,Skills!I9/Skills!H9,1)</f>
        <v/>
      </c>
      <c r="H2600">
        <f>1-(1-Skills!J9/100)^Skills!K9</f>
        <v/>
      </c>
      <c r="I2600" t="inlineStr">
        <is>
          <t>1</t>
        </is>
      </c>
      <c r="J2600">
        <f>((Inputs!$B$6*(1+Inputs!$B$7/100))+(((Inputs!$B$12*(1+Inputs!$B$13/100))-(Inputs!$B$12*(1+Inputs!$B$13/100)))+0.25*(Inputs!$B$14-Inputs!$B$14))*(1+Inputs!$B$7/100))*(F2600/100)</f>
        <v/>
      </c>
      <c r="K2600">
        <f>J2600*(1+((Inputs!$B$12*(1+Inputs!$B$13/100))*0.01+Inputs!$B$14*0.0025)/100)*(1+Inputs!$B$15/100)*(1+Inputs!$B$16/100)*(5000/(6000+Inputs!$B$42*(1-(100*(1-(1-(Inputs!$B$19+0)/100)*(1-CHOOSE(ArtifactsInput!$N$40+1,5,6,7,8,9,10)/100)^(ArtifactsInput!$M$40-ArtifactsInput!$M$40)))/100)))*(1+(Inputs!$B$24+((C2616=TRUE)*(F2616-Calc!F25))+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2603=TRUE,F2603,0)/100)*(1+IF(Skills!A9="ENHANCED_RAGING_BLOW",IF(Inputs!$B$3&gt;=134,MAX(0,IF(Inputs!$B$3&gt;=110,7,5)-5)*50,0),0)/100)*(1+(IF(Skills!A9="RAGING_BLOW",Inputs!$B$17+((C2612=TRUE)*(F2612-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2614=TRUE)*(F2614-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2604=TRUE)*F2604*IF(Inputs!$B$3&gt;=110,7,5))+((C2606=TRUE)*F2606*IF(AND(Inputs!$B$38&lt;&gt;"pvp",Inputs!$B$43&gt;0),(((R2606-1)*(Skills!T15*(1+(Inputs!$B$34+(ArtifactsInput!$M$7-ArtifactsInput!$M$7)*CHOOSE(ArtifactsInput!$N$7+1,6,7.2,8.4,9.6,10.8,12))/100))+MIN((Skills!T15*(1+(Inputs!$B$34+(ArtifactsInput!$M$7-ArtifactsInput!$M$7)*CHOOSE(ArtifactsInput!$N$7+1,6,7.2,8.4,9.6,10.8,12))/100)),MAX(0,Inputs!$B$43-((R2606-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100)*I2600)</f>
        <v/>
      </c>
      <c r="L2600">
        <f>K2600*(MIN(Inputs!$B$22+((C2613=TRUE)*(F2613-Calc!F22)),(Inputs!$B$23+((C2615=TRUE)*(F2615-Calc!F24))+(IF(ArtifactsInput!$M$15,CHOOSE(ArtifactsInput!$N$15+1,25,30,35,40,45,50)/100*(Inputs!$B$11-Inputs!$B$11),0))))/100+(Inputs!$B$23+((C2615=TRUE)*(F2615-Calc!F24))+(IF(ArtifactsInput!$M$15,CHOOSE(ArtifactsInput!$N$15+1,25,30,35,40,45,50)/100*(Inputs!$B$11-Inputs!$B$11),0)))/100)/2</f>
        <v/>
      </c>
      <c r="M2600">
        <f>L2600*(1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0">
        <f>L2600*(1-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2600*(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0">
        <f>(1-Summary!$B$11)*T2600+Summary!$B$11*V2600</f>
        <v/>
      </c>
      <c r="P2600">
        <f>IF(B2630=0,0,O2600/B2630)</f>
        <v/>
      </c>
      <c r="Q2600">
        <f>IFERROR(1/(IF(Inputs!$B$38="pvp",15,MAX(0.1,Skills!D9-IF(Skills!E9=TRUE,Inputs!$B$32,0)))*(1-IF(AND(ArtifactsInput!$M$27,Inputs!$B$4="Chapter Hunt"),CHOOSE(ArtifactsInput!$N$27+1,20,24,28,32,36,40),0)/100)),0)</f>
        <v/>
      </c>
      <c r="R2600">
        <f>IF(AND(Inputs!$B$38&lt;&gt;"pvp",Inputs!$B$43&gt;0),IF(MAX(0,Inputs!$B$43-B2627)&lt;=0,0,(INT(MAX(0,Inputs!$B$43-B2627)/(IF(Inputs!$B$38="pvp",15,MAX(0.1,Skills!D9-IF(Skills!E9=TRUE,Inputs!$B$32,0)))*(1-IF(AND(ArtifactsInput!$M$27,Inputs!$B$4="Chapter Hunt"),CHOOSE(ArtifactsInput!$N$27+1,20,24,28,32,36,40),0)/100)))+1)),0)</f>
        <v/>
      </c>
      <c r="S2600">
        <f>IFERROR(O2600/N2600,0)</f>
        <v/>
      </c>
      <c r="T2600">
        <f>IF(C2600,(H2600*N2600*IF(AND(Inputs!$B$38&lt;&gt;"pvp",Inputs!$B$43&gt;0),((Skills!G9*((R2600-1)*IF(Skills!H9&gt;0,Skills!I9/Skills!H9,1)+IF(Skills!H9&gt;0,MIN(Skills!I9,MAX(0,MAX(0,Inputs!$B$43-B2627)-((R2600-1)*(IF(Inputs!$B$38="pvp",15,MAX(0.1,Skills!D9-IF(Skills!E9=TRUE,Inputs!$B$32,0)))*(1-IF(AND(ArtifactsInput!$M$27,Inputs!$B$4="Chapter Hunt"),CHOOSE(ArtifactsInput!$N$27+1,20,24,28,32,36,40),0)/100)))))/Skills!H9,1)))/Inputs!$B$43),G2600*Q2600)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2600*(1-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2600*(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2600*(1-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2600*(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0">
        <f>IF(C2600,(H2600*N2600*IF(AND(Inputs!$B$38&lt;&gt;"pvp",Inputs!$B$43&gt;0),((Skills!G9*((R2600-1)*IF(Skills!H9&gt;0,Skills!I9/Skills!H9,1)+IF(Skills!H9&gt;0,MIN(Skills!I9,MAX(0,MAX(0,Inputs!$B$43-B2627)-((R2600-1)*(IF(Inputs!$B$38="pvp",15,MAX(0.1,Skills!D9-IF(Skills!E9=TRUE,Inputs!$B$32,0)))*(1-IF(AND(ArtifactsInput!$M$27,Inputs!$B$4="Chapter Hunt"),CHOOSE(ArtifactsInput!$N$27+1,20,24,28,32,36,40),0)/100)))))/Skills!H9,1)))/Inputs!$B$43),G2600*Q2600))*IF(Inputs!$B$38="pvp",1,(1+(Inputs!$B$21+Skills!Q9+Summary!$B$15+(IF(ArtifactsInput!$M$33,CHOOSE(ArtifactsInput!$N$33+1,30,36,42,48,54,60),0)))/100)*(MIN(Skills!R9,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1">
      <c r="A2601">
        <f>Skills!A10</f>
        <v/>
      </c>
      <c r="B2601">
        <f>Skills!B10</f>
        <v/>
      </c>
      <c r="C2601">
        <f>Inputs!$B$3&gt;=63</f>
        <v/>
      </c>
      <c r="D2601">
        <f>IF(Skills!C10=1,60+Inputs!$B$25+Inputs!$B$29,IF(Skills!C10=2,90+Inputs!$B$26+Inputs!$B$29,IF(Skills!C10=3,120+Inputs!$B$27+Inputs!$B$29,MAX(0,(Inputs!$B$3-100)*3)+Inputs!$B$28+Inputs!$B$29)))</f>
        <v/>
      </c>
      <c r="E2601">
        <f>INDEX(FactorTable!$B$2:$Y$301, MATCH(ROUND(MIN(300,MAX(1,D2601)),0), FactorTable!$A$2:$A$301,0), Skills!M10+1)</f>
        <v/>
      </c>
      <c r="F2601">
        <f>IF(Skills!N10=TRUE,(Skills!L10/10)*(E2601/1000),Skills!L10/10)+Skills!O10</f>
        <v/>
      </c>
      <c r="G2601">
        <f>Skills!G10*IF(Skills!H10&gt;0,Skills!I10/Skills!H10,1)</f>
        <v/>
      </c>
      <c r="H2601">
        <f>1-(1-Skills!J10/100)^Skills!K10</f>
        <v/>
      </c>
      <c r="I2601" t="inlineStr">
        <is>
          <t>1</t>
        </is>
      </c>
      <c r="J2601">
        <f>((Inputs!$B$6*(1+Inputs!$B$7/100))+(((Inputs!$B$12*(1+Inputs!$B$13/100))-(Inputs!$B$12*(1+Inputs!$B$13/100)))+0.25*(Inputs!$B$14-Inputs!$B$14))*(1+Inputs!$B$7/100))*(F2601/100)</f>
        <v/>
      </c>
      <c r="K2601">
        <f>J2601*(1+((Inputs!$B$12*(1+Inputs!$B$13/100))*0.01+Inputs!$B$14*0.0025)/100)*(1+Inputs!$B$15/100)*(1+Inputs!$B$16/100)*(5000/(6000+Inputs!$B$42*(1-(100*(1-(1-(Inputs!$B$19+0)/100)*(1-CHOOSE(ArtifactsInput!$N$40+1,5,6,7,8,9,10)/100)^(ArtifactsInput!$M$40-ArtifactsInput!$M$40)))/100)))*(1+(Inputs!$B$24+((C2616=TRUE)*(F2616-Calc!F25))+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2603=TRUE,F2603,0)/100)*(1+IF(Skills!A10="ENHANCED_RAGING_BLOW",IF(Inputs!$B$3&gt;=134,MAX(0,IF(Inputs!$B$3&gt;=110,7,5)-5)*50,0),0)/100)*(1+(IF(Skills!A10="RAGING_BLOW",Inputs!$B$17+((C2612=TRUE)*(F2612-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2614=TRUE)*(F2614-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2604=TRUE)*F2604*IF(Inputs!$B$3&gt;=110,7,5))+((C2606=TRUE)*F2606*IF(AND(Inputs!$B$38&lt;&gt;"pvp",Inputs!$B$43&gt;0),(((R2606-1)*(Skills!T15*(1+(Inputs!$B$34+(ArtifactsInput!$M$7-ArtifactsInput!$M$7)*CHOOSE(ArtifactsInput!$N$7+1,6,7.2,8.4,9.6,10.8,12))/100))+MIN((Skills!T15*(1+(Inputs!$B$34+(ArtifactsInput!$M$7-ArtifactsInput!$M$7)*CHOOSE(ArtifactsInput!$N$7+1,6,7.2,8.4,9.6,10.8,12))/100)),MAX(0,Inputs!$B$43-((R2606-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100)*I2601)</f>
        <v/>
      </c>
      <c r="L2601">
        <f>K2601*(MIN(Inputs!$B$22+((C2613=TRUE)*(F2613-Calc!F22)),(Inputs!$B$23+((C2615=TRUE)*(F2615-Calc!F24))+(IF(ArtifactsInput!$M$15,CHOOSE(ArtifactsInput!$N$15+1,25,30,35,40,45,50)/100*(Inputs!$B$11-Inputs!$B$11),0))))/100+(Inputs!$B$23+((C2615=TRUE)*(F2615-Calc!F24))+(IF(ArtifactsInput!$M$15,CHOOSE(ArtifactsInput!$N$15+1,25,30,35,40,45,50)/100*(Inputs!$B$11-Inputs!$B$11),0)))/100)/2</f>
        <v/>
      </c>
      <c r="M2601">
        <f>L2601*(1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1">
        <f>L2601*(1-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2601*(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1">
        <f>(1-Summary!$B$11)*T2601+Summary!$B$11*V2601</f>
        <v/>
      </c>
      <c r="P2601">
        <f>IF(B2630=0,0,O2601/B2630)</f>
        <v/>
      </c>
      <c r="Q2601">
        <f>IFERROR(1/(IF(Inputs!$B$38="pvp",15,MAX(0.1,Skills!D10-IF(Skills!E10=TRUE,Inputs!$B$32,0)))*(1-IF(AND(ArtifactsInput!$M$27,Inputs!$B$4="Chapter Hunt"),CHOOSE(ArtifactsInput!$N$27+1,20,24,28,32,36,40),0)/100)),0)</f>
        <v/>
      </c>
      <c r="R2601">
        <f>IF(AND(Inputs!$B$38&lt;&gt;"pvp",Inputs!$B$43&gt;0),IF(MAX(0,Inputs!$B$43-B2627)&lt;=0,0,(INT(MAX(0,Inputs!$B$43-B2627)/(IF(Inputs!$B$38="pvp",15,MAX(0.1,Skills!D10-IF(Skills!E10=TRUE,Inputs!$B$32,0)))*(1-IF(AND(ArtifactsInput!$M$27,Inputs!$B$4="Chapter Hunt"),CHOOSE(ArtifactsInput!$N$27+1,20,24,28,32,36,40),0)/100)))+1)),0)</f>
        <v/>
      </c>
      <c r="S2601">
        <f>IFERROR(O2601/N2601,0)</f>
        <v/>
      </c>
      <c r="T2601">
        <f>IF(C2601,(H2601*N2601*IF(AND(Inputs!$B$38&lt;&gt;"pvp",Inputs!$B$43&gt;0),((Skills!G10*((R2601-1)*IF(Skills!H10&gt;0,Skills!I10/Skills!H10,1)+IF(Skills!H10&gt;0,MIN(Skills!I10,MAX(0,MAX(0,Inputs!$B$43-B2627)-((R2601-1)*(IF(Inputs!$B$38="pvp",15,MAX(0.1,Skills!D10-IF(Skills!E10=TRUE,Inputs!$B$32,0)))*(1-IF(AND(ArtifactsInput!$M$27,Inputs!$B$4="Chapter Hunt"),CHOOSE(ArtifactsInput!$N$27+1,20,24,28,32,36,40),0)/100)))))/Skills!H10,1)))/Inputs!$B$43),G2601*Q2601)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2601*(1-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2601*(1-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1">
        <f>IF(C2601,(H2601*N2601*IF(AND(Inputs!$B$38&lt;&gt;"pvp",Inputs!$B$43&gt;0),((Skills!G10*((R2601-1)*IF(Skills!H10&gt;0,Skills!I10/Skills!H10,1)+IF(Skills!H10&gt;0,MIN(Skills!I10,MAX(0,MAX(0,Inputs!$B$43-B2627)-((R2601-1)*(IF(Inputs!$B$38="pvp",15,MAX(0.1,Skills!D10-IF(Skills!E10=TRUE,Inputs!$B$32,0)))*(1-IF(AND(ArtifactsInput!$M$27,Inputs!$B$4="Chapter Hunt"),CHOOSE(ArtifactsInput!$N$27+1,20,24,28,32,36,40),0)/100)))))/Skills!H10,1)))/Inputs!$B$43),G2601*Q2601))*IF(Inputs!$B$38="pvp",1,(1+(Inputs!$B$21+Skills!Q10+Summary!$B$15+(IF(ArtifactsInput!$M$33,CHOOSE(ArtifactsInput!$N$33+1,30,36,42,48,54,60),0)))/100)*(MIN(Skills!R10,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2">
      <c r="A2602">
        <f>Skills!A11</f>
        <v/>
      </c>
      <c r="B2602">
        <f>Skills!B11</f>
        <v/>
      </c>
      <c r="C2602">
        <f>Inputs!$B$3&gt;=35</f>
        <v/>
      </c>
      <c r="D2602">
        <f>IF(Skills!C11=1,60+Inputs!$B$25+Inputs!$B$29,IF(Skills!C11=2,90+Inputs!$B$26+Inputs!$B$29,IF(Skills!C11=3,120+Inputs!$B$27+Inputs!$B$29,MAX(0,(Inputs!$B$3-100)*3)+Inputs!$B$28+Inputs!$B$29)))</f>
        <v/>
      </c>
      <c r="E2602">
        <f>INDEX(FactorTable!$B$2:$Y$301, MATCH(ROUND(MIN(300,MAX(1,D2602)),0), FactorTable!$A$2:$A$301,0), Skills!M11+1)</f>
        <v/>
      </c>
      <c r="F2602">
        <f>IF(Skills!N11=TRUE,(Skills!L11/10)*(E2602/1000),Skills!L11/10)+Skills!O11</f>
        <v/>
      </c>
      <c r="G2602">
        <f>Skills!G11*IF(Skills!H11&gt;0,Skills!I11/Skills!H11,1)</f>
        <v/>
      </c>
      <c r="H2602">
        <f>1-(1-Skills!J11/100)^Skills!K11</f>
        <v/>
      </c>
      <c r="I2602" t="inlineStr">
        <is>
          <t>1</t>
        </is>
      </c>
      <c r="J2602">
        <f>((Inputs!$B$6*(1+Inputs!$B$7/100))+(((Inputs!$B$12*(1+Inputs!$B$13/100))-(Inputs!$B$12*(1+Inputs!$B$13/100)))+0.25*(Inputs!$B$14-Inputs!$B$14))*(1+Inputs!$B$7/100))*(F2602/100)</f>
        <v/>
      </c>
      <c r="K2602">
        <f>J2602*(1+((Inputs!$B$12*(1+Inputs!$B$13/100))*0.01+Inputs!$B$14*0.0025)/100)*(1+Inputs!$B$15/100)*(1+Inputs!$B$16/100)*(5000/(6000+Inputs!$B$42*(1-(100*(1-(1-(Inputs!$B$19+0)/100)*(1-CHOOSE(ArtifactsInput!$N$40+1,5,6,7,8,9,10)/100)^(ArtifactsInput!$M$40-ArtifactsInput!$M$40)))/100)))*(1+(Inputs!$B$24+((C2616=TRUE)*(F2616-Calc!F25))+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2603=TRUE,F2603,0)/100)*(1+IF(Skills!A11="ENHANCED_RAGING_BLOW",IF(Inputs!$B$3&gt;=134,MAX(0,IF(Inputs!$B$3&gt;=110,7,5)-5)*50,0),0)/100)*(1+(IF(Skills!A11="RAGING_BLOW",Inputs!$B$17+((C2612=TRUE)*(F2612-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2614=TRUE)*(F2614-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2604=TRUE)*F2604*IF(Inputs!$B$3&gt;=110,7,5))+((C2606=TRUE)*F2606*IF(AND(Inputs!$B$38&lt;&gt;"pvp",Inputs!$B$43&gt;0),(((R2606-1)*(Skills!T15*(1+(Inputs!$B$34+(ArtifactsInput!$M$7-ArtifactsInput!$M$7)*CHOOSE(ArtifactsInput!$N$7+1,6,7.2,8.4,9.6,10.8,12))/100))+MIN((Skills!T15*(1+(Inputs!$B$34+(ArtifactsInput!$M$7-ArtifactsInput!$M$7)*CHOOSE(ArtifactsInput!$N$7+1,6,7.2,8.4,9.6,10.8,12))/100)),MAX(0,Inputs!$B$43-((R2606-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100)*I2602)</f>
        <v/>
      </c>
      <c r="L2602">
        <f>K2602*(MIN(Inputs!$B$22+((C2613=TRUE)*(F2613-Calc!F22)),(Inputs!$B$23+((C2615=TRUE)*(F2615-Calc!F24))+(IF(ArtifactsInput!$M$15,CHOOSE(ArtifactsInput!$N$15+1,25,30,35,40,45,50)/100*(Inputs!$B$11-Inputs!$B$11),0))))/100+(Inputs!$B$23+((C2615=TRUE)*(F2615-Calc!F24))+(IF(ArtifactsInput!$M$15,CHOOSE(ArtifactsInput!$N$15+1,25,30,35,40,45,50)/100*(Inputs!$B$11-Inputs!$B$11),0)))/100)/2</f>
        <v/>
      </c>
      <c r="M2602">
        <f>L2602*(1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2">
        <f>L2602*(1-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2602*(MIN((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2">
        <f>(1-Summary!$B$11)*T2602+Summary!$B$11*V2602</f>
        <v/>
      </c>
      <c r="P2602">
        <f>IF(B2630=0,0,O2602/B2630)</f>
        <v/>
      </c>
      <c r="Q2602">
        <f>IFERROR(1/(IF(Inputs!$B$38="pvp",15,MAX(0.1,Skills!D11-IF(Skills!E11=TRUE,Inputs!$B$32,0)))*(1-IF(AND(ArtifactsInput!$M$27,Inputs!$B$4="Chapter Hunt"),CHOOSE(ArtifactsInput!$N$27+1,20,24,28,32,36,40),0)/100)),0)</f>
        <v/>
      </c>
      <c r="R2602">
        <f>IF(AND(Inputs!$B$38&lt;&gt;"pvp",Inputs!$B$43&gt;0),IF(MAX(0,Inputs!$B$43-B2627)&lt;=0,0,(INT(MAX(0,Inputs!$B$43-B2627)/(IF(Inputs!$B$38="pvp",15,MAX(0.1,Skills!D11-IF(Skills!E11=TRUE,Inputs!$B$32,0)))*(1-IF(AND(ArtifactsInput!$M$27,Inputs!$B$4="Chapter Hunt"),CHOOSE(ArtifactsInput!$N$27+1,20,24,28,32,36,40),0)/100)))+1)),0)</f>
        <v/>
      </c>
      <c r="S2602">
        <f>IFERROR(O2602/N2602,0)</f>
        <v/>
      </c>
      <c r="T2602">
        <f>IF(C2602,(H2602*N2602*IF(AND(Inputs!$B$38&lt;&gt;"pvp",Inputs!$B$43&gt;0),((Skills!G11*((R2602-1)*IF(Skills!H11&gt;0,Skills!I11/Skills!H11,1)+IF(Skills!H11&gt;0,MIN(Skills!I11,MAX(0,MAX(0,Inputs!$B$43-B2627)-((R2602-1)*(IF(Inputs!$B$38="pvp",15,MAX(0.1,Skills!D11-IF(Skills!E11=TRUE,Inputs!$B$32,0)))*(1-IF(AND(ArtifactsInput!$M$27,Inputs!$B$4="Chapter Hunt"),CHOOSE(ArtifactsInput!$N$27+1,20,24,28,32,36,40),0)/100)))))/Skills!H11,1)))/Inputs!$B$43),G2602*Q2602)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2602*(1-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2602*(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2602*(1-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2602*(MIN(100,(Inputs!$B$9+((C2617=TRUE)*(F2617-Calc!F26))+B2620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2">
        <f>IF(C2602,(H2602*N2602*IF(AND(Inputs!$B$38&lt;&gt;"pvp",Inputs!$B$43&gt;0),((Skills!G11*((R2602-1)*IF(Skills!H11&gt;0,Skills!I11/Skills!H11,1)+IF(Skills!H11&gt;0,MIN(Skills!I11,MAX(0,MAX(0,Inputs!$B$43-B2627)-((R2602-1)*(IF(Inputs!$B$38="pvp",15,MAX(0.1,Skills!D11-IF(Skills!E11=TRUE,Inputs!$B$32,0)))*(1-IF(AND(ArtifactsInput!$M$27,Inputs!$B$4="Chapter Hunt"),CHOOSE(ArtifactsInput!$N$27+1,20,24,28,32,36,40),0)/100)))))/Skills!H11,1)))/Inputs!$B$43),G2602*Q2602))*IF(Inputs!$B$38="pvp",1,(1+(Inputs!$B$21+Skills!Q11+Summary!$B$15+(IF(ArtifactsInput!$M$33,CHOOSE(ArtifactsInput!$N$33+1,30,36,42,48,54,60),0)))/100)*(MIN(Skills!R11,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3">
      <c r="A2603">
        <f>Skills!A12</f>
        <v/>
      </c>
      <c r="B2603">
        <f>Skills!B12</f>
        <v/>
      </c>
      <c r="C2603">
        <f>Inputs!$B$3&gt;=100</f>
        <v/>
      </c>
      <c r="D2603">
        <f>IF(Skills!C12=1,60+Inputs!$B$25+Inputs!$B$29,IF(Skills!C12=2,90+Inputs!$B$26+Inputs!$B$29,IF(Skills!C12=3,120+Inputs!$B$27+Inputs!$B$29,MAX(0,(Inputs!$B$3-100)*3)+Inputs!$B$28+Inputs!$B$29)))</f>
        <v/>
      </c>
      <c r="E2603">
        <f>INDEX(FactorTable!$B$2:$Y$301, MATCH(ROUND(MIN(300,MAX(1,D2603)),0), FactorTable!$A$2:$A$301,0), Skills!M12+1)</f>
        <v/>
      </c>
      <c r="F2603">
        <f>IF(Skills!N12=TRUE,(Skills!L12/10)*(E2603/1000),Skills!L12/10)+Skills!O12</f>
        <v/>
      </c>
      <c r="G2603" t="inlineStr"/>
      <c r="H2603" t="inlineStr"/>
      <c r="I2603" t="inlineStr">
        <is>
          <t>1</t>
        </is>
      </c>
      <c r="J2603" t="inlineStr"/>
      <c r="K2603" t="inlineStr"/>
      <c r="L2603" t="inlineStr"/>
      <c r="M2603" t="inlineStr"/>
      <c r="N2603" t="inlineStr"/>
      <c r="O2603" t="inlineStr"/>
      <c r="P2603" t="inlineStr"/>
      <c r="Q2603" t="inlineStr"/>
      <c r="R2603" t="inlineStr"/>
      <c r="S2603" t="inlineStr"/>
    </row>
    <row r="2604">
      <c r="A2604">
        <f>Skills!A13</f>
        <v/>
      </c>
      <c r="B2604">
        <f>Skills!B13</f>
        <v/>
      </c>
      <c r="C2604">
        <f>Inputs!$B$3&gt;=45</f>
        <v/>
      </c>
      <c r="D2604">
        <f>IF(Skills!C13=1,60+Inputs!$B$25+Inputs!$B$29,IF(Skills!C13=2,90+Inputs!$B$26+Inputs!$B$29,IF(Skills!C13=3,120+Inputs!$B$27+Inputs!$B$29,MAX(0,(Inputs!$B$3-100)*3)+Inputs!$B$28+Inputs!$B$29)))</f>
        <v/>
      </c>
      <c r="E2604">
        <f>INDEX(FactorTable!$B$2:$Y$301, MATCH(ROUND(MIN(300,MAX(1,D2604)),0), FactorTable!$A$2:$A$301,0), Skills!M13+1)</f>
        <v/>
      </c>
      <c r="F2604">
        <f>IF(Skills!N13=TRUE,(Skills!L13/10)*(E2604/1000),Skills!L13/10)+Skills!O13</f>
        <v/>
      </c>
      <c r="G2604">
        <f>Skills!G13*IF(Skills!H13&gt;0,Skills!I13/Skills!H13,1)</f>
        <v/>
      </c>
      <c r="H2604">
        <f>1-(1-Skills!J13/100)^Skills!K13</f>
        <v/>
      </c>
      <c r="I2604" t="inlineStr">
        <is>
          <t>1</t>
        </is>
      </c>
      <c r="J2604" t="inlineStr"/>
      <c r="K2604" t="inlineStr"/>
      <c r="L2604" t="inlineStr"/>
      <c r="M2604" t="inlineStr"/>
      <c r="N2604" t="inlineStr"/>
      <c r="O2604">
        <f>(1-Summary!$B$11)*T2604+Summary!$B$11*V2604</f>
        <v/>
      </c>
      <c r="P2604">
        <f>IF(B2630=0,0,O2604/B2630)</f>
        <v/>
      </c>
      <c r="Q2604" t="n">
        <v>0</v>
      </c>
      <c r="R2604" t="n">
        <v>0</v>
      </c>
      <c r="S2604">
        <f>IFERROR(O2604/N2604,0)</f>
        <v/>
      </c>
      <c r="T2604" t="n">
        <v>0</v>
      </c>
      <c r="V2604" t="n">
        <v>0</v>
      </c>
    </row>
    <row r="2605">
      <c r="A2605">
        <f>Skills!A14</f>
        <v/>
      </c>
      <c r="B2605">
        <f>Skills!B14</f>
        <v/>
      </c>
      <c r="C2605">
        <f>Inputs!$B$3&gt;=75</f>
        <v/>
      </c>
      <c r="D2605">
        <f>IF(Skills!C14=1,60+Inputs!$B$25+Inputs!$B$29,IF(Skills!C14=2,90+Inputs!$B$26+Inputs!$B$29,IF(Skills!C14=3,120+Inputs!$B$27+Inputs!$B$29,MAX(0,(Inputs!$B$3-100)*3)+Inputs!$B$28+Inputs!$B$29)))</f>
        <v/>
      </c>
      <c r="E2605">
        <f>INDEX(FactorTable!$B$2:$Y$301, MATCH(ROUND(MIN(300,MAX(1,D2605)),0), FactorTable!$A$2:$A$301,0), Skills!M14+1)</f>
        <v/>
      </c>
      <c r="F2605">
        <f>IF(Skills!N14=TRUE,(Skills!L14/10)*(E2605/1000),Skills!L14/10)+Skills!O14</f>
        <v/>
      </c>
      <c r="G2605">
        <f>Skills!G14*IF(Skills!H14&gt;0,Skills!I14/Skills!H14,1)</f>
        <v/>
      </c>
      <c r="H2605">
        <f>1-(1-Skills!J14/100)^Skills!K14</f>
        <v/>
      </c>
      <c r="I2605" t="inlineStr">
        <is>
          <t>1</t>
        </is>
      </c>
      <c r="J2605" t="inlineStr"/>
      <c r="K2605" t="inlineStr"/>
      <c r="L2605" t="inlineStr"/>
      <c r="M2605" t="inlineStr"/>
      <c r="N2605" t="inlineStr"/>
      <c r="O2605">
        <f>(1-Summary!$B$11)*T2605+Summary!$B$11*V2605</f>
        <v/>
      </c>
      <c r="P2605">
        <f>IF(B2630=0,0,O2605/B2630)</f>
        <v/>
      </c>
      <c r="Q2605" t="n">
        <v>0</v>
      </c>
      <c r="R2605" t="n">
        <v>0</v>
      </c>
      <c r="S2605">
        <f>IFERROR(O2605/N2605,0)</f>
        <v/>
      </c>
      <c r="T2605" t="n">
        <v>0</v>
      </c>
      <c r="V2605" t="n">
        <v>0</v>
      </c>
    </row>
    <row r="2606">
      <c r="A2606">
        <f>Skills!A15</f>
        <v/>
      </c>
      <c r="B2606">
        <f>Skills!B15</f>
        <v/>
      </c>
      <c r="C2606">
        <f>Inputs!$B$3&gt;=40</f>
        <v/>
      </c>
      <c r="D2606">
        <f>IF(Skills!C15=1,60+Inputs!$B$25+Inputs!$B$29,IF(Skills!C15=2,90+Inputs!$B$26+Inputs!$B$29,IF(Skills!C15=3,120+Inputs!$B$27+Inputs!$B$29,MAX(0,(Inputs!$B$3-100)*3)+Inputs!$B$28+Inputs!$B$29)))</f>
        <v/>
      </c>
      <c r="E2606">
        <f>INDEX(FactorTable!$B$2:$Y$301, MATCH(ROUND(MIN(300,MAX(1,D2606)),0), FactorTable!$A$2:$A$301,0), Skills!M15+1)</f>
        <v/>
      </c>
      <c r="F2606">
        <f>IF(Skills!N15=TRUE,(Skills!L15/10)*(E2606/1000),Skills!L15/10)+Skills!O15</f>
        <v/>
      </c>
      <c r="G2606">
        <f>Skills!G15*IF(Skills!H15&gt;0,Skills!I15/Skills!H15,1)</f>
        <v/>
      </c>
      <c r="H2606">
        <f>1-(1-Skills!J15/100)^Skills!K15</f>
        <v/>
      </c>
      <c r="I2606" t="inlineStr">
        <is>
          <t>1</t>
        </is>
      </c>
      <c r="J2606" t="inlineStr"/>
      <c r="K2606" t="inlineStr"/>
      <c r="L2606" t="inlineStr"/>
      <c r="M2606" t="inlineStr"/>
      <c r="N2606" t="inlineStr"/>
      <c r="O2606">
        <f>(1-Summary!$B$11)*T2606+Summary!$B$11*V2606</f>
        <v/>
      </c>
      <c r="P2606">
        <f>IF(B2630=0,0,O2606/B2630)</f>
        <v/>
      </c>
      <c r="Q2606">
        <f>IFERROR(1/(IF(Inputs!$B$38="pvp",15,MAX(0.1,Skills!D15-IF(Skills!E15=TRUE,Inputs!$B$32,0)))*(1-IF(AND(ArtifactsInput!$M$27,Inputs!$B$4="Chapter Hunt"),CHOOSE(ArtifactsInput!$N$27+1,20,24,28,32,36,40),0)/100)),0)</f>
        <v/>
      </c>
      <c r="R2606">
        <f>IF(AND(Inputs!$B$38&lt;&gt;"pvp",Inputs!$B$43&gt;0),IF(Inputs!$B$43&lt;=0,0,(INT(Inputs!$B$43/(IF(Inputs!$B$38="pvp",15,MAX(0.1,Skills!D15-IF(Skills!E15=TRUE,Inputs!$B$32,0)))*(1-IF(AND(ArtifactsInput!$M$27,Inputs!$B$4="Chapter Hunt"),CHOOSE(ArtifactsInput!$N$27+1,20,24,28,32,36,40),0)/100)))+1)),0)</f>
        <v/>
      </c>
      <c r="S2606">
        <f>IFERROR(O2606/N2606,0)</f>
        <v/>
      </c>
      <c r="T2606" t="n">
        <v>0</v>
      </c>
      <c r="V2606" t="n">
        <v>0</v>
      </c>
    </row>
    <row r="2607">
      <c r="A2607">
        <f>Skills!A16</f>
        <v/>
      </c>
      <c r="B2607">
        <f>Skills!B16</f>
        <v/>
      </c>
      <c r="C2607">
        <f>Inputs!$B$3&gt;=66</f>
        <v/>
      </c>
      <c r="D2607">
        <f>IF(Skills!C16=1,60+Inputs!$B$25+Inputs!$B$29,IF(Skills!C16=2,90+Inputs!$B$26+Inputs!$B$29,IF(Skills!C16=3,120+Inputs!$B$27+Inputs!$B$29,MAX(0,(Inputs!$B$3-100)*3)+Inputs!$B$28+Inputs!$B$29)))</f>
        <v/>
      </c>
      <c r="E2607">
        <f>INDEX(FactorTable!$B$2:$Y$301, MATCH(ROUND(MIN(300,MAX(1,D2607)),0), FactorTable!$A$2:$A$301,0), Skills!M16+1)</f>
        <v/>
      </c>
      <c r="F2607">
        <f>IF(Skills!N16=TRUE,(Skills!L16/10)*(E2607/1000),Skills!L16/10)+Skills!O16</f>
        <v/>
      </c>
      <c r="G2607">
        <f>Skills!G16*IF(Skills!H16&gt;0,Skills!I16/Skills!H16,1)</f>
        <v/>
      </c>
      <c r="H2607">
        <f>1-(1-Skills!J16/100)^Skills!K16</f>
        <v/>
      </c>
      <c r="I2607" t="inlineStr">
        <is>
          <t>1</t>
        </is>
      </c>
      <c r="J2607" t="inlineStr"/>
      <c r="K2607" t="inlineStr"/>
      <c r="L2607" t="inlineStr"/>
      <c r="M2607" t="inlineStr"/>
      <c r="N2607" t="inlineStr"/>
      <c r="O2607">
        <f>(1-Summary!$B$11)*T2607+Summary!$B$11*V2607</f>
        <v/>
      </c>
      <c r="P2607">
        <f>IF(B2630=0,0,O2607/B2630)</f>
        <v/>
      </c>
      <c r="Q2607">
        <f>IFERROR(1/(IF(Inputs!$B$38="pvp",15,MAX(0.1,Skills!D16-IF(Skills!E16=TRUE,Inputs!$B$32,0)))*(1-IF(AND(ArtifactsInput!$M$27,Inputs!$B$4="Chapter Hunt"),CHOOSE(ArtifactsInput!$N$27+1,20,24,28,32,36,40),0)/100)),0)</f>
        <v/>
      </c>
      <c r="R2607">
        <f>IF(AND(Inputs!$B$38&lt;&gt;"pvp",Inputs!$B$43&gt;0),IF(Inputs!$B$43&lt;=0,0,(INT(Inputs!$B$43/(IF(Inputs!$B$38="pvp",15,MAX(0.1,Skills!D16-IF(Skills!E16=TRUE,Inputs!$B$32,0)))*(1-IF(AND(ArtifactsInput!$M$27,Inputs!$B$4="Chapter Hunt"),CHOOSE(ArtifactsInput!$N$27+1,20,24,28,32,36,40),0)/100)))+1)),0)</f>
        <v/>
      </c>
      <c r="S2607">
        <f>IFERROR(O2607/N2607,0)</f>
        <v/>
      </c>
      <c r="T2607" t="n">
        <v>0</v>
      </c>
      <c r="V2607" t="n">
        <v>0</v>
      </c>
    </row>
    <row r="2608">
      <c r="A2608">
        <f>Skills!A17</f>
        <v/>
      </c>
      <c r="B2608">
        <f>Skills!B17</f>
        <v/>
      </c>
      <c r="C2608">
        <f>Inputs!$B$3&gt;=115</f>
        <v/>
      </c>
      <c r="D2608">
        <f>IF(Skills!C17=1,60+Inputs!$B$25+Inputs!$B$29,IF(Skills!C17=2,90+Inputs!$B$26+Inputs!$B$29,IF(Skills!C17=3,120+Inputs!$B$27+Inputs!$B$29,MAX(0,(Inputs!$B$3-100)*3)+Inputs!$B$28+Inputs!$B$29)))</f>
        <v/>
      </c>
      <c r="E2608">
        <f>INDEX(FactorTable!$B$2:$Y$301, MATCH(ROUND(MIN(300,MAX(1,D2608)),0), FactorTable!$A$2:$A$301,0), Skills!M17+1)</f>
        <v/>
      </c>
      <c r="F2608">
        <f>IF(Skills!N17=TRUE,(Skills!L17/10)*(E2608/1000),Skills!L17/10)+Skills!O17</f>
        <v/>
      </c>
      <c r="G2608">
        <f>Skills!G17*IF(Skills!H17&gt;0,Skills!I17/Skills!H17,1)</f>
        <v/>
      </c>
      <c r="H2608">
        <f>1-(1-Skills!J17/100)^Skills!K17</f>
        <v/>
      </c>
      <c r="I2608" t="inlineStr">
        <is>
          <t>1</t>
        </is>
      </c>
      <c r="J2608" t="inlineStr"/>
      <c r="K2608" t="inlineStr"/>
      <c r="L2608" t="inlineStr"/>
      <c r="M2608" t="inlineStr"/>
      <c r="N2608" t="inlineStr"/>
      <c r="O2608">
        <f>(1-Summary!$B$11)*T2608+Summary!$B$11*V2608</f>
        <v/>
      </c>
      <c r="P2608">
        <f>IF(B2630=0,0,O2608/B2630)</f>
        <v/>
      </c>
      <c r="Q2608">
        <f>IFERROR(1/(IF(Inputs!$B$38="pvp",15,MAX(0.1,Skills!D17-IF(Skills!E17=TRUE,Inputs!$B$32,0)))*(1-IF(AND(ArtifactsInput!$M$27,Inputs!$B$4="Chapter Hunt"),CHOOSE(ArtifactsInput!$N$27+1,20,24,28,32,36,40),0)/100)),0)</f>
        <v/>
      </c>
      <c r="R2608">
        <f>IF(AND(Inputs!$B$38&lt;&gt;"pvp",Inputs!$B$43&gt;0),IF(Inputs!$B$43&lt;=0,0,(INT(Inputs!$B$43/(IF(Inputs!$B$38="pvp",15,MAX(0.1,Skills!D17-IF(Skills!E17=TRUE,Inputs!$B$32,0)))*(1-IF(AND(ArtifactsInput!$M$27,Inputs!$B$4="Chapter Hunt"),CHOOSE(ArtifactsInput!$N$27+1,20,24,28,32,36,40),0)/100)))+1)),0)</f>
        <v/>
      </c>
      <c r="S2608">
        <f>IFERROR(O2608/N2608,0)</f>
        <v/>
      </c>
      <c r="T2608" t="n">
        <v>0</v>
      </c>
      <c r="V2608" t="n">
        <v>0</v>
      </c>
    </row>
    <row r="2609">
      <c r="A2609">
        <f>Skills!A18</f>
        <v/>
      </c>
      <c r="B2609">
        <f>Skills!B18</f>
        <v/>
      </c>
      <c r="C2609">
        <f>Inputs!$B$3&gt;=115</f>
        <v/>
      </c>
      <c r="D2609">
        <f>IF(Skills!C18=1,60+Inputs!$B$25+Inputs!$B$29,IF(Skills!C18=2,90+Inputs!$B$26+Inputs!$B$29,IF(Skills!C18=3,120+Inputs!$B$27+Inputs!$B$29,MAX(0,(Inputs!$B$3-100)*3)+Inputs!$B$28+Inputs!$B$29)))</f>
        <v/>
      </c>
      <c r="E2609">
        <f>INDEX(FactorTable!$B$2:$Y$301, MATCH(ROUND(MIN(300,MAX(1,D2609)),0), FactorTable!$A$2:$A$301,0), Skills!M18+1)</f>
        <v/>
      </c>
      <c r="F2609">
        <f>IF(Skills!N18=TRUE,(Skills!L18/10)*(E2609/1000),Skills!L18/10)+Skills!O18</f>
        <v/>
      </c>
      <c r="G2609">
        <f>Skills!G18*IF(Skills!H18&gt;0,Skills!I18/Skills!H18,1)</f>
        <v/>
      </c>
      <c r="H2609">
        <f>1-(1-Skills!J18/100)^Skills!K18</f>
        <v/>
      </c>
      <c r="I2609" t="inlineStr">
        <is>
          <t>1</t>
        </is>
      </c>
      <c r="J2609" t="inlineStr"/>
      <c r="K2609" t="inlineStr"/>
      <c r="L2609" t="inlineStr"/>
      <c r="M2609" t="inlineStr"/>
      <c r="N2609" t="inlineStr"/>
      <c r="O2609">
        <f>(1-Summary!$B$11)*T2609+Summary!$B$11*V2609</f>
        <v/>
      </c>
      <c r="P2609">
        <f>IF(B2630=0,0,O2609/B2630)</f>
        <v/>
      </c>
      <c r="Q2609">
        <f>IFERROR(1/(IF(Inputs!$B$38="pvp",15,MAX(0.1,Skills!D18-IF(Skills!E18=TRUE,Inputs!$B$32,0)))*(1-IF(AND(ArtifactsInput!$M$27,Inputs!$B$4="Chapter Hunt"),CHOOSE(ArtifactsInput!$N$27+1,20,24,28,32,36,40),0)/100)),0)</f>
        <v/>
      </c>
      <c r="R2609">
        <f>IF(AND(Inputs!$B$38&lt;&gt;"pvp",Inputs!$B$43&gt;0),IF(Inputs!$B$43&lt;=0,0,(INT(Inputs!$B$43/(IF(Inputs!$B$38="pvp",15,MAX(0.1,Skills!D18-IF(Skills!E18=TRUE,Inputs!$B$32,0)))*(1-IF(AND(ArtifactsInput!$M$27,Inputs!$B$4="Chapter Hunt"),CHOOSE(ArtifactsInput!$N$27+1,20,24,28,32,36,40),0)/100)))+1)),0)</f>
        <v/>
      </c>
      <c r="S2609">
        <f>IFERROR(O2609/N2609,0)</f>
        <v/>
      </c>
      <c r="T2609" t="n">
        <v>0</v>
      </c>
      <c r="V2609" t="n">
        <v>0</v>
      </c>
    </row>
    <row r="2610">
      <c r="A2610">
        <f>Skills!A19</f>
        <v/>
      </c>
      <c r="B2610">
        <f>Skills!B19</f>
        <v/>
      </c>
      <c r="C2610">
        <f>TRUE</f>
        <v/>
      </c>
      <c r="D2610">
        <f>IF(Skills!C19=1,60+Inputs!$B$25+Inputs!$B$29,IF(Skills!C19=2,90+Inputs!$B$26+Inputs!$B$29,IF(Skills!C19=3,120+Inputs!$B$27+Inputs!$B$29,MAX(0,(Inputs!$B$3-100)*3)+Inputs!$B$28+Inputs!$B$29)))</f>
        <v/>
      </c>
      <c r="E2610">
        <f>INDEX(FactorTable!$B$2:$Y$301, MATCH(ROUND(MIN(300,MAX(1,D2610)),0), FactorTable!$A$2:$A$301,0), Skills!M19+1)</f>
        <v/>
      </c>
      <c r="F2610">
        <f>IF(Skills!N19=TRUE,(Skills!L19/10)*(E2610/1000),Skills!L19/10)+Skills!O19</f>
        <v/>
      </c>
      <c r="G2610">
        <f>Skills!G19*IF(Skills!H19&gt;0,Skills!I19/Skills!H19,1)</f>
        <v/>
      </c>
      <c r="H2610">
        <f>1-(1-Skills!J19/100)^Skills!K19</f>
        <v/>
      </c>
      <c r="I2610" t="inlineStr">
        <is>
          <t>1</t>
        </is>
      </c>
      <c r="J2610" t="inlineStr"/>
      <c r="K2610" t="inlineStr"/>
      <c r="L2610" t="inlineStr"/>
      <c r="M2610" t="inlineStr"/>
      <c r="N2610" t="inlineStr"/>
      <c r="O2610">
        <f>(1-Summary!$B$11)*T2610+Summary!$B$11*V2610</f>
        <v/>
      </c>
      <c r="P2610">
        <f>IF(B2630=0,0,O2610/B2630)</f>
        <v/>
      </c>
      <c r="Q2610">
        <f>IFERROR(1/(IF(Inputs!$B$38="pvp",15,MAX(0.1,Skills!D19-IF(Skills!E19=TRUE,Inputs!$B$32,0)))*(1-IF(AND(ArtifactsInput!$M$27,Inputs!$B$4="Chapter Hunt"),CHOOSE(ArtifactsInput!$N$27+1,20,24,28,32,36,40),0)/100)),0)</f>
        <v/>
      </c>
      <c r="R2610">
        <f>IF(AND(Inputs!$B$38&lt;&gt;"pvp",Inputs!$B$43&gt;0),IF(Inputs!$B$43&lt;=0,0,(INT(Inputs!$B$43/(IF(Inputs!$B$38="pvp",15,MAX(0.1,Skills!D19-IF(Skills!E19=TRUE,Inputs!$B$32,0)))*(1-IF(AND(ArtifactsInput!$M$27,Inputs!$B$4="Chapter Hunt"),CHOOSE(ArtifactsInput!$N$27+1,20,24,28,32,36,40),0)/100)))+1)),0)</f>
        <v/>
      </c>
      <c r="S2610">
        <f>IFERROR(O2610/N2610,0)</f>
        <v/>
      </c>
      <c r="T2610" t="n">
        <v>0</v>
      </c>
      <c r="V2610" t="n">
        <v>0</v>
      </c>
    </row>
    <row r="2611">
      <c r="A2611">
        <f>Skills!A20</f>
        <v/>
      </c>
      <c r="B2611">
        <f>Skills!B20</f>
        <v/>
      </c>
      <c r="C2611">
        <f>Inputs!$B$3&gt;=33</f>
        <v/>
      </c>
      <c r="D2611">
        <f>IF(Skills!C20=1,60+Inputs!$B$25+Inputs!$B$29,IF(Skills!C20=2,90+Inputs!$B$26+Inputs!$B$29,IF(Skills!C20=3,120+Inputs!$B$27+Inputs!$B$29,MAX(0,(Inputs!$B$3-100)*3)+Inputs!$B$28+Inputs!$B$29)))</f>
        <v/>
      </c>
      <c r="E2611">
        <f>INDEX(FactorTable!$B$2:$Y$301, MATCH(ROUND(MIN(300,MAX(1,D2611)),0), FactorTable!$A$2:$A$301,0), Skills!M20+1)</f>
        <v/>
      </c>
      <c r="F2611">
        <f>IF(Skills!N20=TRUE,(Skills!L20/10)*(E2611/1000),Skills!L20/10)+Skills!O20</f>
        <v/>
      </c>
      <c r="G2611">
        <f>Skills!G20*IF(Skills!H20&gt;0,Skills!I20/Skills!H20,1)</f>
        <v/>
      </c>
      <c r="H2611">
        <f>1-(1-Skills!J20/100)^Skills!K20</f>
        <v/>
      </c>
      <c r="I2611" t="inlineStr">
        <is>
          <t>1</t>
        </is>
      </c>
      <c r="J2611" t="inlineStr"/>
      <c r="K2611" t="inlineStr"/>
      <c r="L2611" t="inlineStr"/>
      <c r="M2611" t="inlineStr"/>
      <c r="N2611" t="inlineStr"/>
      <c r="O2611">
        <f>(1-Summary!$B$11)*T2611+Summary!$B$11*V2611</f>
        <v/>
      </c>
      <c r="P2611">
        <f>IF(B2630=0,0,O2611/B2630)</f>
        <v/>
      </c>
      <c r="Q2611" t="n">
        <v>0</v>
      </c>
      <c r="R2611" t="n">
        <v>0</v>
      </c>
      <c r="S2611">
        <f>IFERROR(O2611/N2611,0)</f>
        <v/>
      </c>
      <c r="T2611" t="n">
        <v>0</v>
      </c>
      <c r="V2611" t="n">
        <v>0</v>
      </c>
    </row>
    <row r="2612">
      <c r="A2612">
        <f>Skills!A21</f>
        <v/>
      </c>
      <c r="B2612">
        <f>Skills!B21</f>
        <v/>
      </c>
      <c r="C2612">
        <f>Inputs!$B$3&gt;=38</f>
        <v/>
      </c>
      <c r="D2612">
        <f>IF(Skills!C21=1,60+Inputs!$B$25+Inputs!$B$29,IF(Skills!C21=2,90+Inputs!$B$26+Inputs!$B$29,IF(Skills!C21=3,120+Inputs!$B$27+Inputs!$B$29,MAX(0,(Inputs!$B$3-100)*3)+Inputs!$B$28+Inputs!$B$29)))</f>
        <v/>
      </c>
      <c r="E2612">
        <f>INDEX(FactorTable!$B$2:$Y$301, MATCH(ROUND(MIN(300,MAX(1,D2612)),0), FactorTable!$A$2:$A$301,0), Skills!M21+1)</f>
        <v/>
      </c>
      <c r="F2612">
        <f>IF(Skills!N21=TRUE,(Skills!L21/10)*(E2612/1000),Skills!L21/10)+Skills!O21</f>
        <v/>
      </c>
      <c r="G2612">
        <f>Skills!G21*IF(Skills!H21&gt;0,Skills!I21/Skills!H21,1)</f>
        <v/>
      </c>
      <c r="H2612">
        <f>1-(1-Skills!J21/100)^Skills!K21</f>
        <v/>
      </c>
      <c r="I2612" t="inlineStr">
        <is>
          <t>1</t>
        </is>
      </c>
      <c r="J2612" t="inlineStr"/>
      <c r="K2612" t="inlineStr"/>
      <c r="L2612" t="inlineStr"/>
      <c r="M2612" t="inlineStr"/>
      <c r="N2612" t="inlineStr"/>
      <c r="O2612">
        <f>(1-Summary!$B$11)*T2612+Summary!$B$11*V2612</f>
        <v/>
      </c>
      <c r="P2612">
        <f>IF(B2630=0,0,O2612/B2630)</f>
        <v/>
      </c>
      <c r="Q2612" t="n">
        <v>0</v>
      </c>
      <c r="R2612" t="n">
        <v>0</v>
      </c>
      <c r="S2612">
        <f>IFERROR(O2612/N2612,0)</f>
        <v/>
      </c>
      <c r="T2612" t="n">
        <v>0</v>
      </c>
      <c r="V2612" t="n">
        <v>0</v>
      </c>
    </row>
    <row r="2613">
      <c r="A2613">
        <f>Skills!A22</f>
        <v/>
      </c>
      <c r="B2613">
        <f>Skills!B22</f>
        <v/>
      </c>
      <c r="C2613">
        <f>Inputs!$B$3&gt;=43</f>
        <v/>
      </c>
      <c r="D2613">
        <f>IF(Skills!C22=1,60+Inputs!$B$25+Inputs!$B$29,IF(Skills!C22=2,90+Inputs!$B$26+Inputs!$B$29,IF(Skills!C22=3,120+Inputs!$B$27+Inputs!$B$29,MAX(0,(Inputs!$B$3-100)*3)+Inputs!$B$28+Inputs!$B$29)))</f>
        <v/>
      </c>
      <c r="E2613">
        <f>INDEX(FactorTable!$B$2:$Y$301, MATCH(ROUND(MIN(300,MAX(1,D2613)),0), FactorTable!$A$2:$A$301,0), Skills!M22+1)</f>
        <v/>
      </c>
      <c r="F2613">
        <f>IF(Skills!N22=TRUE,(Skills!L22/10)*(E2613/1000),Skills!L22/10)+Skills!O22</f>
        <v/>
      </c>
      <c r="G2613">
        <f>Skills!G22*IF(Skills!H22&gt;0,Skills!I22/Skills!H22,1)</f>
        <v/>
      </c>
      <c r="H2613">
        <f>1-(1-Skills!J22/100)^Skills!K22</f>
        <v/>
      </c>
      <c r="I2613" t="inlineStr">
        <is>
          <t>1</t>
        </is>
      </c>
      <c r="J2613" t="inlineStr"/>
      <c r="K2613" t="inlineStr"/>
      <c r="L2613" t="inlineStr"/>
      <c r="M2613" t="inlineStr"/>
      <c r="N2613" t="inlineStr"/>
      <c r="O2613">
        <f>(1-Summary!$B$11)*T2613+Summary!$B$11*V2613</f>
        <v/>
      </c>
      <c r="P2613">
        <f>IF(B2630=0,0,O2613/B2630)</f>
        <v/>
      </c>
      <c r="Q2613" t="n">
        <v>0</v>
      </c>
      <c r="R2613" t="n">
        <v>0</v>
      </c>
      <c r="S2613">
        <f>IFERROR(O2613/N2613,0)</f>
        <v/>
      </c>
      <c r="T2613" t="n">
        <v>0</v>
      </c>
      <c r="V2613" t="n">
        <v>0</v>
      </c>
    </row>
    <row r="2614">
      <c r="A2614">
        <f>Skills!A23</f>
        <v/>
      </c>
      <c r="B2614">
        <f>Skills!B23</f>
        <v/>
      </c>
      <c r="C2614">
        <f>Inputs!$B$3&gt;=120</f>
        <v/>
      </c>
      <c r="D2614">
        <f>IF(Skills!C23=1,60+Inputs!$B$25+Inputs!$B$29,IF(Skills!C23=2,90+Inputs!$B$26+Inputs!$B$29,IF(Skills!C23=3,120+Inputs!$B$27+Inputs!$B$29,MAX(0,(Inputs!$B$3-100)*3)+Inputs!$B$28+Inputs!$B$29)))</f>
        <v/>
      </c>
      <c r="E2614">
        <f>INDEX(FactorTable!$B$2:$Y$301, MATCH(ROUND(MIN(300,MAX(1,D2614)),0), FactorTable!$A$2:$A$301,0), Skills!M23+1)</f>
        <v/>
      </c>
      <c r="F2614">
        <f>IF(Skills!N23=TRUE,(Skills!L23/10)*(E2614/1000),Skills!L23/10)+Skills!O23</f>
        <v/>
      </c>
      <c r="G2614">
        <f>Skills!G23*IF(Skills!H23&gt;0,Skills!I23/Skills!H23,1)</f>
        <v/>
      </c>
      <c r="H2614">
        <f>1-(1-Skills!J23/100)^Skills!K23</f>
        <v/>
      </c>
      <c r="I2614" t="inlineStr">
        <is>
          <t>1</t>
        </is>
      </c>
      <c r="J2614" t="inlineStr"/>
      <c r="K2614" t="inlineStr"/>
      <c r="L2614" t="inlineStr"/>
      <c r="M2614" t="inlineStr"/>
      <c r="N2614" t="inlineStr"/>
      <c r="O2614">
        <f>(1-Summary!$B$11)*T2614+Summary!$B$11*V2614</f>
        <v/>
      </c>
      <c r="P2614">
        <f>IF(B2630=0,0,O2614/B2630)</f>
        <v/>
      </c>
      <c r="Q2614" t="n">
        <v>0</v>
      </c>
      <c r="R2614" t="n">
        <v>0</v>
      </c>
      <c r="S2614">
        <f>IFERROR(O2614/N2614,0)</f>
        <v/>
      </c>
      <c r="T2614" t="n">
        <v>0</v>
      </c>
      <c r="V2614" t="n">
        <v>0</v>
      </c>
    </row>
    <row r="2615">
      <c r="A2615">
        <f>Skills!A24</f>
        <v/>
      </c>
      <c r="B2615">
        <f>Skills!B24</f>
        <v/>
      </c>
      <c r="C2615">
        <f>Inputs!$B$3&gt;=120</f>
        <v/>
      </c>
      <c r="D2615">
        <f>IF(Skills!C24=1,60+Inputs!$B$25+Inputs!$B$29,IF(Skills!C24=2,90+Inputs!$B$26+Inputs!$B$29,IF(Skills!C24=3,120+Inputs!$B$27+Inputs!$B$29,MAX(0,(Inputs!$B$3-100)*3)+Inputs!$B$28+Inputs!$B$29)))</f>
        <v/>
      </c>
      <c r="E2615">
        <f>INDEX(FactorTable!$B$2:$Y$301, MATCH(ROUND(MIN(300,MAX(1,D2615)),0), FactorTable!$A$2:$A$301,0), Skills!M24+1)</f>
        <v/>
      </c>
      <c r="F2615">
        <f>IF(Skills!N24=TRUE,(Skills!L24/10)*(E2615/1000),Skills!L24/10)+Skills!O24</f>
        <v/>
      </c>
      <c r="G2615">
        <f>Skills!G24*IF(Skills!H24&gt;0,Skills!I24/Skills!H24,1)</f>
        <v/>
      </c>
      <c r="H2615">
        <f>1-(1-Skills!J24/100)^Skills!K24</f>
        <v/>
      </c>
      <c r="I2615" t="inlineStr">
        <is>
          <t>1</t>
        </is>
      </c>
      <c r="J2615" t="inlineStr"/>
      <c r="K2615" t="inlineStr"/>
      <c r="L2615" t="inlineStr"/>
      <c r="M2615" t="inlineStr"/>
      <c r="N2615" t="inlineStr"/>
      <c r="O2615">
        <f>(1-Summary!$B$11)*T2615+Summary!$B$11*V2615</f>
        <v/>
      </c>
      <c r="P2615">
        <f>IF(B2630=0,0,O2615/B2630)</f>
        <v/>
      </c>
      <c r="Q2615" t="n">
        <v>0</v>
      </c>
      <c r="R2615" t="n">
        <v>0</v>
      </c>
      <c r="S2615">
        <f>IFERROR(O2615/N2615,0)</f>
        <v/>
      </c>
      <c r="T2615" t="n">
        <v>0</v>
      </c>
      <c r="V2615" t="n">
        <v>0</v>
      </c>
    </row>
    <row r="2616">
      <c r="A2616">
        <f>Skills!A25</f>
        <v/>
      </c>
      <c r="B2616">
        <f>Skills!B25</f>
        <v/>
      </c>
      <c r="C2616">
        <f>Inputs!$B$3&gt;=125</f>
        <v/>
      </c>
      <c r="D2616">
        <f>IF(Skills!C25=1,60+Inputs!$B$25+Inputs!$B$29,IF(Skills!C25=2,90+Inputs!$B$26+Inputs!$B$29,IF(Skills!C25=3,120+Inputs!$B$27+Inputs!$B$29,MAX(0,(Inputs!$B$3-100)*3)+Inputs!$B$28+Inputs!$B$29)))</f>
        <v/>
      </c>
      <c r="E2616">
        <f>INDEX(FactorTable!$B$2:$Y$301, MATCH(ROUND(MIN(300,MAX(1,D2616)),0), FactorTable!$A$2:$A$301,0), Skills!M25+1)</f>
        <v/>
      </c>
      <c r="F2616">
        <f>IF(Skills!N25=TRUE,(Skills!L25/10)*(E2616/1000),Skills!L25/10)+Skills!O25</f>
        <v/>
      </c>
      <c r="G2616">
        <f>Skills!G25*IF(Skills!H25&gt;0,Skills!I25/Skills!H25,1)</f>
        <v/>
      </c>
      <c r="H2616">
        <f>1-(1-Skills!J25/100)^Skills!K25</f>
        <v/>
      </c>
      <c r="I2616" t="inlineStr">
        <is>
          <t>1</t>
        </is>
      </c>
      <c r="J2616" t="inlineStr"/>
      <c r="K2616" t="inlineStr"/>
      <c r="L2616" t="inlineStr"/>
      <c r="M2616" t="inlineStr"/>
      <c r="N2616" t="inlineStr"/>
      <c r="O2616">
        <f>(1-Summary!$B$11)*T2616+Summary!$B$11*V2616</f>
        <v/>
      </c>
      <c r="P2616">
        <f>IF(B2630=0,0,O2616/B2630)</f>
        <v/>
      </c>
      <c r="Q2616" t="n">
        <v>0</v>
      </c>
      <c r="R2616" t="n">
        <v>0</v>
      </c>
      <c r="S2616">
        <f>IFERROR(O2616/N2616,0)</f>
        <v/>
      </c>
      <c r="T2616" t="n">
        <v>0</v>
      </c>
      <c r="V2616" t="n">
        <v>0</v>
      </c>
    </row>
    <row r="2617">
      <c r="A2617">
        <f>Skills!A26</f>
        <v/>
      </c>
      <c r="B2617">
        <f>Skills!B26</f>
        <v/>
      </c>
      <c r="C2617">
        <f>Inputs!$B$3&gt;=72</f>
        <v/>
      </c>
      <c r="D2617">
        <f>IF(Skills!C26=1,60+Inputs!$B$25+Inputs!$B$29,IF(Skills!C26=2,90+Inputs!$B$26+Inputs!$B$29,IF(Skills!C26=3,120+Inputs!$B$27+Inputs!$B$29,MAX(0,(Inputs!$B$3-100)*3)+Inputs!$B$28+Inputs!$B$29)))</f>
        <v/>
      </c>
      <c r="E2617">
        <f>INDEX(FactorTable!$B$2:$Y$301, MATCH(ROUND(MIN(300,MAX(1,D2617)),0), FactorTable!$A$2:$A$301,0), Skills!M26+1)</f>
        <v/>
      </c>
      <c r="F2617">
        <f>IF(Skills!N26=TRUE,(Skills!L26/10)*(E2617/1000),Skills!L26/10)+Skills!O26</f>
        <v/>
      </c>
      <c r="G2617">
        <f>Skills!G26*IF(Skills!H26&gt;0,Skills!I26/Skills!H26,1)</f>
        <v/>
      </c>
      <c r="H2617">
        <f>1-(1-Skills!J26/100)^Skills!K26</f>
        <v/>
      </c>
      <c r="I2617" t="inlineStr">
        <is>
          <t>1</t>
        </is>
      </c>
      <c r="J2617" t="inlineStr"/>
      <c r="K2617" t="inlineStr"/>
      <c r="L2617" t="inlineStr"/>
      <c r="M2617" t="inlineStr"/>
      <c r="N2617" t="inlineStr"/>
      <c r="O2617">
        <f>(1-Summary!$B$11)*T2617+Summary!$B$11*V2617</f>
        <v/>
      </c>
      <c r="P2617">
        <f>IF(B2630=0,0,O2617/B2630)</f>
        <v/>
      </c>
      <c r="Q2617" t="n">
        <v>0</v>
      </c>
      <c r="R2617" t="n">
        <v>0</v>
      </c>
      <c r="S2617">
        <f>IFERROR(O2617/N2617,0)</f>
        <v/>
      </c>
      <c r="T2617" t="n">
        <v>0</v>
      </c>
      <c r="V2617" t="n">
        <v>0</v>
      </c>
    </row>
    <row r="2619">
      <c r="A2619" t="inlineStr">
        <is>
          <t>Attack% Bucket Multiplier</t>
        </is>
      </c>
      <c r="B2619">
        <f>(1+(((C2604=TRUE)*F2604*IF(Inputs!$B$3&gt;=110,7,5))+((C2606=TRUE)*F2606*IF(AND(Inputs!$B$38&lt;&gt;"pvp",Inputs!$B$43&gt;0),(((R2606-1)*(Skills!T15*(1+(Inputs!$B$34+(ArtifactsInput!$M$7-ArtifactsInput!$M$7)*CHOOSE(ArtifactsInput!$N$7+1,6,7.2,8.4,9.6,10.8,12))/100))+MIN((Skills!T15*(1+(Inputs!$B$34+(ArtifactsInput!$M$7-ArtifactsInput!$M$7)*CHOOSE(ArtifactsInput!$N$7+1,6,7.2,8.4,9.6,10.8,12))/100)),MAX(0,Inputs!$B$43-((R2606-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20">
      <c r="A2620" t="inlineStr">
        <is>
          <t>Global Crit Rate Bonus %</t>
        </is>
      </c>
      <c r="B2620" t="n">
        <v>0</v>
      </c>
    </row>
    <row r="2621">
      <c r="A2621" t="inlineStr">
        <is>
          <t>Attack Speed Buff Bonus %</t>
        </is>
      </c>
      <c r="B2621">
        <f>((C2610=TRUE)*F2610*IF(AND(Inputs!$B$38&lt;&gt;"pvp",Inputs!$B$43&gt;0),(((R2610-1)*(Skills!T19*(1+(Inputs!$B$34+(ArtifactsInput!$M$7-ArtifactsInput!$M$7)*CHOOSE(ArtifactsInput!$N$7+1,6,7.2,8.4,9.6,10.8,12))/100))+MIN((Skills!T19*(1+(Inputs!$B$34+(ArtifactsInput!$M$7-ArtifactsInput!$M$7)*CHOOSE(ArtifactsInput!$N$7+1,6,7.2,8.4,9.6,10.8,12))/100)),MAX(0,Inputs!$B$43-((R2610-1)*Skills!D19))))/Inputs!$B$43),IF(Inputs!$B$38="pvp",MIN((Skills!T19*(1+(Inputs!$B$34+(ArtifactsInput!$M$7-ArtifactsInput!$M$7)*CHOOSE(ArtifactsInput!$N$7+1,6,7.2,8.4,9.6,10.8,12))/100)),15)/15,(Skills!T19*(1+(Inputs!$B$34+(ArtifactsInput!$M$7-ArtifactsInput!$M$7)*CHOOSE(ArtifactsInput!$N$7+1,6,7.2,8.4,9.6,10.8,12))/100))/Skills!D19)))</f>
        <v/>
      </c>
    </row>
    <row r="2622">
      <c r="A2622" t="inlineStr">
        <is>
          <t>Actions Per Second</t>
        </is>
      </c>
      <c r="B2622">
        <f>1+MIN(150,150*(1-(1-(Inputs!$B$11+((C2611=TRUE)*(F2611-Calc!F20)))/150)*(1-B2621/150)))/100</f>
        <v/>
      </c>
    </row>
    <row r="2623">
      <c r="A2623" t="inlineStr">
        <is>
          <t>Skill + Buff Cast Rate</t>
        </is>
      </c>
      <c r="B2623">
        <f>IF(AND(Inputs!$B$38&lt;&gt;"pvp",Inputs!$B$43&gt;0),SUMPRODUCT((Skills!E2:E26=TRUE)*(C2593:C2617=TRUE)*R2593:R2617*Skills!F2:F26)/Inputs!$B$43,SUMPRODUCT((Skills!E2:E26=TRUE)*(C2593:C2617=TRUE)*Q2593:Q2617*Skills!F2:F26))</f>
        <v/>
      </c>
    </row>
    <row r="2624">
      <c r="A2624" t="inlineStr">
        <is>
          <t>Raging Blow Casts Per Second</t>
        </is>
      </c>
      <c r="B2624">
        <f>MAX(0,B2622-B2623)</f>
        <v/>
      </c>
    </row>
    <row r="2625">
      <c r="A2625" t="inlineStr">
        <is>
          <t>Global Critical Damage Bonus % (Enrage)</t>
        </is>
      </c>
      <c r="B2625">
        <f>((C2609=TRUE)*F2609*IF(AND(Inputs!$B$38&lt;&gt;"pvp",Inputs!$B$43&gt;0),(((R2609-1)*(Skills!T18*(1+(Inputs!$B$34+(ArtifactsInput!$M$7-ArtifactsInput!$M$7)*CHOOSE(ArtifactsInput!$N$7+1,6,7.2,8.4,9.6,10.8,12))/100))+MIN((Skills!T18*(1+(Inputs!$B$34+(ArtifactsInput!$M$7-ArtifactsInput!$M$7)*CHOOSE(ArtifactsInput!$N$7+1,6,7.2,8.4,9.6,10.8,12))/100)),MAX(0,Inputs!$B$43-((R2609-1)*Skills!D18))))/Inputs!$B$43),IF(Inputs!$B$38="pvp",MIN((Skills!T18*(1+(Inputs!$B$34+(ArtifactsInput!$M$7-ArtifactsInput!$M$7)*CHOOSE(ArtifactsInput!$N$7+1,6,7.2,8.4,9.6,10.8,12))/100)),15)/15,(Skills!T18*(1+(Inputs!$B$34+(ArtifactsInput!$M$7-ArtifactsInput!$M$7)*CHOOSE(ArtifactsInput!$N$7+1,6,7.2,8.4,9.6,10.8,12))/100))/Skills!D18)))</f>
        <v/>
      </c>
    </row>
    <row r="2626">
      <c r="A2626" t="inlineStr">
        <is>
          <t>Global Final Damage Bonus % (Enrage + Combo Synergy)</t>
        </is>
      </c>
      <c r="B2626">
        <f>((C2608=TRUE)*F2608*IF(AND(Inputs!$B$38&lt;&gt;"pvp",Inputs!$B$43&gt;0),(((R2608-1)*(Skills!T17*(1+(Inputs!$B$34+(ArtifactsInput!$M$7-ArtifactsInput!$M$7)*CHOOSE(ArtifactsInput!$N$7+1,6,7.2,8.4,9.6,10.8,12))/100))+MIN((Skills!T17*(1+(Inputs!$B$34+(ArtifactsInput!$M$7-ArtifactsInput!$M$7)*CHOOSE(ArtifactsInput!$N$7+1,6,7.2,8.4,9.6,10.8,12))/100)),MAX(0,Inputs!$B$43-((R2608-1)*Skills!D17))))/Inputs!$B$43),IF(Inputs!$B$38="pvp",MIN((Skills!T17*(1+(Inputs!$B$34+(ArtifactsInput!$M$7-ArtifactsInput!$M$7)*CHOOSE(ArtifactsInput!$N$7+1,6,7.2,8.4,9.6,10.8,12))/100)),15)/15,(Skills!T17*(1+(Inputs!$B$34+(ArtifactsInput!$M$7-ArtifactsInput!$M$7)*CHOOSE(ArtifactsInput!$N$7+1,6,7.2,8.4,9.6,10.8,12))/100))/Skills!D17)))+((C2605=TRUE)*F2605*IF(Inputs!$B$3&gt;=110,7,5))</f>
        <v/>
      </c>
    </row>
    <row r="2627">
      <c r="A2627" t="inlineStr">
        <is>
          <t>Buff-Casting Startup Delay (s, fixed-duration only)</t>
        </is>
      </c>
      <c r="B2627">
        <f>IF(AND(Inputs!$B$38&lt;&gt;"pvp",Inputs!$B$43&gt;0),SUMPRODUCT((Skills!T2:T26&gt;0)*(Skills!E2:E26=TRUE)*(C2593:C2617=TRUE))/B2622,0)</f>
        <v/>
      </c>
    </row>
    <row r="2628">
      <c r="A2628" t="inlineStr">
        <is>
          <t>Boss-Only Total DPS (this block's swept value)</t>
        </is>
      </c>
      <c r="B2628">
        <f>SUM(T2593:T2617)</f>
        <v/>
      </c>
    </row>
    <row r="2629">
      <c r="A2629" t="inlineStr">
        <is>
          <t>Normal-Only Total DPS (this block's swept value)</t>
        </is>
      </c>
      <c r="B2629">
        <f>SUM(V2593:V2617)</f>
        <v/>
      </c>
    </row>
    <row r="2630">
      <c r="A2630" s="6" t="inlineStr">
        <is>
          <t>TOTAL DPS</t>
        </is>
      </c>
      <c r="B2630" s="6">
        <f>SUM(O2593:O2617)</f>
        <v/>
      </c>
    </row>
    <row r="2633">
      <c r="A2633" s="6" t="inlineStr">
        <is>
          <t>Stat: Ring of Cycles (Equip)</t>
        </is>
      </c>
    </row>
    <row r="2634">
      <c r="A2634" s="5" t="inlineStr">
        <is>
          <t>Key</t>
        </is>
      </c>
      <c r="B2634" s="5" t="inlineStr">
        <is>
          <t>Name</t>
        </is>
      </c>
      <c r="C2634" s="5" t="inlineStr">
        <is>
          <t>Unlocked</t>
        </is>
      </c>
      <c r="D2634" s="5" t="inlineStr">
        <is>
          <t>InputLevel</t>
        </is>
      </c>
      <c r="E2634" s="5" t="inlineStr">
        <is>
          <t>Factor</t>
        </is>
      </c>
      <c r="F2634" s="5" t="inlineStr">
        <is>
          <t>CoefficientPercent</t>
        </is>
      </c>
      <c r="G2634" s="5" t="inlineStr">
        <is>
          <t>EffectiveHits</t>
        </is>
      </c>
      <c r="H2634" s="5" t="inlineStr">
        <is>
          <t>ProcProbability</t>
        </is>
      </c>
      <c r="I2634" s="5" t="inlineStr">
        <is>
          <t>MapleHeroMultiplier</t>
        </is>
      </c>
      <c r="J2634" s="5" t="inlineStr">
        <is>
          <t>BaseDamage</t>
        </is>
      </c>
      <c r="K2634" s="5" t="inlineStr">
        <is>
          <t>BaseHitDamage</t>
        </is>
      </c>
      <c r="L2634" s="5" t="inlineStr">
        <is>
          <t>NonCritAvg</t>
        </is>
      </c>
      <c r="M2634" s="5" t="inlineStr">
        <is>
          <t>CritAvg</t>
        </is>
      </c>
      <c r="N2634" s="5" t="inlineStr">
        <is>
          <t>ExpectedDamage(perHit)</t>
        </is>
      </c>
      <c r="O2634" s="5" t="inlineStr">
        <is>
          <t>DPS</t>
        </is>
      </c>
      <c r="P2634" s="5" t="inlineStr">
        <is>
          <t>% of Total</t>
        </is>
      </c>
      <c r="Q2634" s="5" t="inlineStr">
        <is>
          <t>InvCooldown</t>
        </is>
      </c>
      <c r="R2634" s="5" t="inlineStr">
        <is>
          <t>CastsInFight</t>
        </is>
      </c>
      <c r="S2634" s="5" t="inlineStr">
        <is>
          <t>HitRate(perSec)</t>
        </is>
      </c>
      <c r="U2634" t="inlineStr">
        <is>
          <t>helpers</t>
        </is>
      </c>
    </row>
    <row r="2635">
      <c r="A2635">
        <f>Skills!A2</f>
        <v/>
      </c>
      <c r="B2635">
        <f>Skills!B2</f>
        <v/>
      </c>
      <c r="C2635">
        <f>Inputs!$B$3&gt;=100</f>
        <v/>
      </c>
      <c r="D2635" t="inlineStr"/>
      <c r="E2635" t="inlineStr"/>
      <c r="F2635">
        <f>U2637+Skills!O2</f>
        <v/>
      </c>
      <c r="G2635">
        <f>Skills!G2*IF(Skills!H2&gt;0,Skills!I2/Skills!H2,1)</f>
        <v/>
      </c>
      <c r="H2635">
        <f>1-(1-Skills!J2/100)^Skills!K2</f>
        <v/>
      </c>
      <c r="I2635" t="inlineStr">
        <is>
          <t>1</t>
        </is>
      </c>
      <c r="J2635">
        <f>((Inputs!$B$6*(1+Inputs!$B$7/100))+(((Inputs!$B$12*(1+Inputs!$B$13/100))-(Inputs!$B$12*(1+Inputs!$B$13/100)))+0.25*(Inputs!$B$14-Inputs!$B$14))*(1+Inputs!$B$7/100))*(F2635/100)</f>
        <v/>
      </c>
      <c r="K2635">
        <f>J2635*(1+((Inputs!$B$12*(1+Inputs!$B$13/100))*0.01+Inputs!$B$14*0.0025)/100)*(1+Inputs!$B$15/100)*(1+Inputs!$B$16/100)*(5000/(6000+Inputs!$B$42*(1-(100*(1-(1-(Inputs!$B$19+0)/100)*(1-CHOOSE(ArtifactsInput!$N$40+1,5,6,7,8,9,10)/100)^(ArtifactsInput!$M$40-ArtifactsInput!$M$40)))/100)))*(1+(Inputs!$B$24+((C2658=TRUE)*(F2658-Calc!F25))+B2668)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2654=TRUE)*(F2654-Calc!F21))+(((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2656=TRUE)*(F2656-Calc!F23))+(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(1+(((C2646=TRUE)*F2646*IF(Inputs!$B$3&gt;=110,7,5))+((C2648=TRUE)*F2648*IF(AND(Inputs!$B$38&lt;&gt;"pvp",Inputs!$B$43&gt;0),(((R2648-1)*(Skills!T15*(1+(Inputs!$B$34+(ArtifactsInput!$M$7-ArtifactsInput!$M$7)*CHOOSE(ArtifactsInput!$N$7+1,6,7.2,8.4,9.6,10.8,12))/100))+MIN((Skills!T15*(1+(Inputs!$B$34+(ArtifactsInput!$M$7-ArtifactsInput!$M$7)*CHOOSE(ArtifactsInput!$N$7+1,6,7.2,8.4,9.6,10.8,12))/100)),MAX(0,Inputs!$B$43-((R2648-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Hunt"),CHOOSE(ArtifactsInput!$N$35+1,15,18,21,24,27,30)*(1-EXP(-(0.2*B2664)*5)),0)+IF(AND(ArtifactsInput!$M$22,Inputs!$B$4&lt;&gt;"Chapter Hunt"),CHOOSE(ArtifactsInput!$N$22+1,10,12,14,16,18,20)*((0*(((0.15*B2664*5))^0/1)+1*(((0.15*B2664*5))^1/1)+2*(((0.15*B2664*5))^2/2)+3*(((0.15*B2664*5))^3/6)+4*(((0.15*B2664*5))^4/24)+5*(((0.15*B2664*5))^5/120))/((((0.15*B2664*5))^0/1)+(((0.15*B2664*5))^1/1)+(((0.15*B2664*5))^2/2)+(((0.15*B2664*5))^3/6)+(((0.15*B2664*5))^4/24)+(((0.15*B2664*5))^5/120))),0)))/100)*I2635)</f>
        <v/>
      </c>
      <c r="L2635">
        <f>K2635*(MIN(Inputs!$B$22+((C2655=TRUE)*(F2655-Calc!F22)),(Inputs!$B$23+((C2657=TRUE)*(F2657-Calc!F24))+(IF(ArtifactsInput!$M$15,CHOOSE(ArtifactsInput!$N$15+1,25,30,35,40,45,50)/100*(Inputs!$B$11-Inputs!$B$11),0))))/100+(Inputs!$B$23+((C2657=TRUE)*(F2657-Calc!F24))+(IF(ArtifactsInput!$M$15,CHOOSE(ArtifactsInput!$N$15+1,25,30,35,40,45,50)/100*(Inputs!$B$11-Inputs!$B$11),0)))/100)/2</f>
        <v/>
      </c>
      <c r="M2635">
        <f>L2635*(1+(Inputs!$B$10+0+B2667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5">
        <f>L2635*(1-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2635*(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5">
        <f>(1-Summary!$B$11)*T2635+Summary!$B$11*V2635</f>
        <v/>
      </c>
      <c r="P2635">
        <f>IF(B2672=0,0,O2635/B2672)</f>
        <v/>
      </c>
      <c r="Q2635" t="n">
        <v>0</v>
      </c>
      <c r="R2635" t="n">
        <v>0</v>
      </c>
      <c r="S2635">
        <f>IFERROR(O2635/N2635,0)</f>
        <v/>
      </c>
      <c r="T2635">
        <f>IF(C2635,(Skills!G2*N2635*B2666)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2635*(1-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2635*(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2635*(1-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2635*(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5">
        <f>MAX(0,(Inputs!$B$3-100)*3)+Inputs!$B$28+Inputs!$B$29</f>
        <v/>
      </c>
      <c r="V2635">
        <f>IF(C2635,(Skills!G2*N2635*B2666)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6">
      <c r="A2636">
        <f>Skills!A3</f>
        <v/>
      </c>
      <c r="B2636">
        <f>Skills!B3</f>
        <v/>
      </c>
      <c r="C2636">
        <f>Inputs!$B$3&gt;=50</f>
        <v/>
      </c>
      <c r="D2636">
        <f>IF(Skills!C3=1,60+Inputs!$B$25+Inputs!$B$29,IF(Skills!C3=2,90+Inputs!$B$26+Inputs!$B$29,IF(Skills!C3=3,120+Inputs!$B$27+Inputs!$B$29,MAX(0,(Inputs!$B$3-100)*3)+Inputs!$B$28+Inputs!$B$29)))</f>
        <v/>
      </c>
      <c r="E2636">
        <f>INDEX(FactorTable!$B$2:$Y$301, MATCH(ROUND(MIN(300,MAX(1,D2636)),0), FactorTable!$A$2:$A$301,0), Skills!M3+1)</f>
        <v/>
      </c>
      <c r="F2636">
        <f>IF(Skills!N3=TRUE,(Skills!L3/10)*(E2636/1000),Skills!L3/10)+Skills!O3</f>
        <v/>
      </c>
      <c r="G2636" t="inlineStr"/>
      <c r="H2636" t="inlineStr"/>
      <c r="I2636" t="inlineStr">
        <is>
          <t>1</t>
        </is>
      </c>
      <c r="J2636" t="inlineStr"/>
      <c r="K2636" t="inlineStr"/>
      <c r="L2636" t="inlineStr"/>
      <c r="M2636" t="inlineStr"/>
      <c r="N2636" t="inlineStr"/>
      <c r="O2636" t="inlineStr"/>
      <c r="P2636" t="inlineStr"/>
      <c r="Q2636" t="inlineStr"/>
      <c r="R2636" t="inlineStr"/>
      <c r="S2636" t="inlineStr"/>
      <c r="U2636">
        <f>INDEX(FactorTable!$B$2:$Y$301, MATCH(ROUND(MIN(300,MAX(1,U2635)),0), FactorTable!$A$2:$A$301,0), 22)</f>
        <v/>
      </c>
    </row>
    <row r="2637">
      <c r="A2637">
        <f>Skills!A4</f>
        <v/>
      </c>
      <c r="B2637">
        <f>Skills!B4</f>
        <v/>
      </c>
      <c r="C2637">
        <f>Inputs!$B$3&gt;=105</f>
        <v/>
      </c>
      <c r="D2637">
        <f>IF(Skills!C4=1,60+Inputs!$B$25+Inputs!$B$29,IF(Skills!C4=2,90+Inputs!$B$26+Inputs!$B$29,IF(Skills!C4=3,120+Inputs!$B$27+Inputs!$B$29,MAX(0,(Inputs!$B$3-100)*3)+Inputs!$B$28+Inputs!$B$29)))</f>
        <v/>
      </c>
      <c r="E2637">
        <f>INDEX(FactorTable!$B$2:$Y$301, MATCH(ROUND(MIN(300,MAX(1,D2637)),0), FactorTable!$A$2:$A$301,0), Skills!M4+1)</f>
        <v/>
      </c>
      <c r="F2637">
        <f>IF(Skills!N4=TRUE,(Skills!L4/10)*(E2637/1000),Skills!L4/10)+Skills!O4</f>
        <v/>
      </c>
      <c r="G2637" t="inlineStr"/>
      <c r="H2637" t="inlineStr"/>
      <c r="I2637" t="inlineStr">
        <is>
          <t>1</t>
        </is>
      </c>
      <c r="J2637" t="inlineStr"/>
      <c r="K2637" t="inlineStr"/>
      <c r="L2637" t="inlineStr"/>
      <c r="M2637" t="inlineStr"/>
      <c r="N2637" t="inlineStr"/>
      <c r="O2637" t="inlineStr"/>
      <c r="P2637" t="inlineStr"/>
      <c r="Q2637" t="inlineStr"/>
      <c r="R2637" t="inlineStr"/>
      <c r="S2637" t="inlineStr"/>
      <c r="U2637">
        <f>290*U2636/1000</f>
        <v/>
      </c>
    </row>
    <row r="2638">
      <c r="A2638">
        <f>Skills!A5</f>
        <v/>
      </c>
      <c r="B2638">
        <f>Skills!B5</f>
        <v/>
      </c>
      <c r="C2638">
        <f>Inputs!$B$3&gt;=103</f>
        <v/>
      </c>
      <c r="D2638">
        <f>IF(Skills!C5=1,60+Inputs!$B$25+Inputs!$B$29,IF(Skills!C5=2,90+Inputs!$B$26+Inputs!$B$29,IF(Skills!C5=3,120+Inputs!$B$27+Inputs!$B$29,MAX(0,(Inputs!$B$3-100)*3)+Inputs!$B$28+Inputs!$B$29)))</f>
        <v/>
      </c>
      <c r="E2638">
        <f>INDEX(FactorTable!$B$2:$Y$301, MATCH(ROUND(MIN(300,MAX(1,D2638)),0), FactorTable!$A$2:$A$301,0), Skills!M5+1)</f>
        <v/>
      </c>
      <c r="F2638">
        <f>IF(Skills!N5=TRUE,(Skills!L5/10)*(E2638/1000),Skills!L5/10)+Skills!O5</f>
        <v/>
      </c>
      <c r="G2638">
        <f>Skills!G5*IF(Skills!H5&gt;0,Skills!I5/Skills!H5,1)</f>
        <v/>
      </c>
      <c r="H2638">
        <f>1-(1-Skills!J5/100)^Skills!K5</f>
        <v/>
      </c>
      <c r="I2638" t="inlineStr">
        <is>
          <t>1</t>
        </is>
      </c>
      <c r="J2638">
        <f>((Inputs!$B$6*(1+Inputs!$B$7/100))+(((Inputs!$B$12*(1+Inputs!$B$13/100))-(Inputs!$B$12*(1+Inputs!$B$13/100)))+0.25*(Inputs!$B$14-Inputs!$B$14))*(1+Inputs!$B$7/100))*(F2638/100)</f>
        <v/>
      </c>
      <c r="K2638">
        <f>J2638*(1+((Inputs!$B$12*(1+Inputs!$B$13/100))*0.01+Inputs!$B$14*0.0025)/100)*(1+Inputs!$B$15/100)*(1+Inputs!$B$16/100)*(5000/(6000+Inputs!$B$42*(1-(100*(1-(1-(Inputs!$B$19+0)/100)*(1-CHOOSE(ArtifactsInput!$N$40+1,5,6,7,8,9,10)/100)^(ArtifactsInput!$M$40-ArtifactsInput!$M$40)))/100)))*(1+(Inputs!$B$24+((C2658=TRUE)*(F2658-Calc!F25))+B2668)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2654=TRUE)*(F2654-Calc!F21))+(((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2656=TRUE)*(F2656-Calc!F23))+(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(1+(((C2646=TRUE)*F2646*IF(Inputs!$B$3&gt;=110,7,5))+((C2648=TRUE)*F2648*IF(AND(Inputs!$B$38&lt;&gt;"pvp",Inputs!$B$43&gt;0),(((R2648-1)*(Skills!T15*(1+(Inputs!$B$34+(ArtifactsInput!$M$7-ArtifactsInput!$M$7)*CHOOSE(ArtifactsInput!$N$7+1,6,7.2,8.4,9.6,10.8,12))/100))+MIN((Skills!T15*(1+(Inputs!$B$34+(ArtifactsInput!$M$7-ArtifactsInput!$M$7)*CHOOSE(ArtifactsInput!$N$7+1,6,7.2,8.4,9.6,10.8,12))/100)),MAX(0,Inputs!$B$43-((R2648-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Hunt"),CHOOSE(ArtifactsInput!$N$35+1,15,18,21,24,27,30)*(1-EXP(-(0.2*B2664)*5)),0)+IF(AND(ArtifactsInput!$M$22,Inputs!$B$4&lt;&gt;"Chapter Hunt"),CHOOSE(ArtifactsInput!$N$22+1,10,12,14,16,18,20)*((0*(((0.15*B2664*5))^0/1)+1*(((0.15*B2664*5))^1/1)+2*(((0.15*B2664*5))^2/2)+3*(((0.15*B2664*5))^3/6)+4*(((0.15*B2664*5))^4/24)+5*(((0.15*B2664*5))^5/120))/((((0.15*B2664*5))^0/1)+(((0.15*B2664*5))^1/1)+(((0.15*B2664*5))^2/2)+(((0.15*B2664*5))^3/6)+(((0.15*B2664*5))^4/24)+(((0.15*B2664*5))^5/120))),0)))/100)*I2638)</f>
        <v/>
      </c>
      <c r="L2638">
        <f>K2638*(MIN(Inputs!$B$22+((C2655=TRUE)*(F2655-Calc!F22)),(Inputs!$B$23+((C2657=TRUE)*(F2657-Calc!F24))+(IF(ArtifactsInput!$M$15,CHOOSE(ArtifactsInput!$N$15+1,25,30,35,40,45,50)/100*(Inputs!$B$11-Inputs!$B$11),0))))/100+(Inputs!$B$23+((C2657=TRUE)*(F2657-Calc!F24))+(IF(ArtifactsInput!$M$15,CHOOSE(ArtifactsInput!$N$15+1,25,30,35,40,45,50)/100*(Inputs!$B$11-Inputs!$B$11),0)))/100)/2</f>
        <v/>
      </c>
      <c r="M2638">
        <f>L2638*(1+(Inputs!$B$10+0+B2667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8">
        <f>L2638*(1-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2638*(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8">
        <f>(1-Summary!$B$11)*T2638+Summary!$B$11*V2638</f>
        <v/>
      </c>
      <c r="P2638">
        <f>IF(B2672=0,0,O2638/B2672)</f>
        <v/>
      </c>
      <c r="Q2638">
        <f>IFERROR(1/(IF(Inputs!$B$38="pvp",15,MAX(0.1,Skills!D5-IF(Skills!E5=TRUE,Inputs!$B$32,0)))*(1-IF(AND(ArtifactsInput!$M$27,Inputs!$B$4="Chapter Hunt"),CHOOSE(ArtifactsInput!$N$27+1,20,24,28,32,36,40),0)/100)),0)</f>
        <v/>
      </c>
      <c r="R2638">
        <f>IF(AND(Inputs!$B$38&lt;&gt;"pvp",Inputs!$B$43&gt;0),IF(MAX(0,Inputs!$B$43-B2669)&lt;=0,0,(INT(MAX(0,Inputs!$B$43-B2669)/(IF(Inputs!$B$38="pvp",15,MAX(0.1,Skills!D5-IF(Skills!E5=TRUE,Inputs!$B$32,0)))*(1-IF(AND(ArtifactsInput!$M$27,Inputs!$B$4="Chapter Hunt"),CHOOSE(ArtifactsInput!$N$27+1,20,24,28,32,36,40),0)/100)))+1)),0)</f>
        <v/>
      </c>
      <c r="S2638">
        <f>IFERROR(O2638/N2638,0)</f>
        <v/>
      </c>
      <c r="T2638">
        <f>IF(C2638,(H2638*N2638*IF(AND(Inputs!$B$38&lt;&gt;"pvp",Inputs!$B$43&gt;0),((Skills!G5*((R2638-1)*IF(Skills!H5&gt;0,Skills!I5/Skills!H5,1)+IF(Skills!H5&gt;0,MIN(Skills!I5,MAX(0,MAX(0,Inputs!$B$43-B2669)-((R2638-1)*(IF(Inputs!$B$38="pvp",15,MAX(0.1,Skills!D5-IF(Skills!E5=TRUE,Inputs!$B$32,0)))*(1-IF(AND(ArtifactsInput!$M$27,Inputs!$B$4="Chapter Hunt"),CHOOSE(ArtifactsInput!$N$27+1,20,24,28,32,36,40),0)/100)))))/Skills!H5,1)))/Inputs!$B$43),G2638*Q2638)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2638*(1-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2638*(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2638*(1-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2638*(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38">
        <f>IF(C2638,(H2638*N2638*IF(AND(Inputs!$B$38&lt;&gt;"pvp",Inputs!$B$43&gt;0),((Skills!G5*((R2638-1)*IF(Skills!H5&gt;0,Skills!I5/Skills!H5,1)+IF(Skills!H5&gt;0,MIN(Skills!I5,MAX(0,MAX(0,Inputs!$B$43-B2669)-((R2638-1)*(IF(Inputs!$B$38="pvp",15,MAX(0.1,Skills!D5-IF(Skills!E5=TRUE,Inputs!$B$32,0)))*(1-IF(AND(ArtifactsInput!$M$27,Inputs!$B$4="Chapter Hunt"),CHOOSE(ArtifactsInput!$N$27+1,20,24,28,32,36,40),0)/100)))))/Skills!H5,1)))/Inputs!$B$43),G2638*Q2638)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9">
      <c r="A2639">
        <f>Skills!A6</f>
        <v/>
      </c>
      <c r="B2639">
        <f>Skills!B6</f>
        <v/>
      </c>
      <c r="C2639">
        <f>Inputs!$B$3&gt;=103</f>
        <v/>
      </c>
      <c r="D2639">
        <f>IF(Skills!C6=1,60+Inputs!$B$25+Inputs!$B$29,IF(Skills!C6=2,90+Inputs!$B$26+Inputs!$B$29,IF(Skills!C6=3,120+Inputs!$B$27+Inputs!$B$29,MAX(0,(Inputs!$B$3-100)*3)+Inputs!$B$28+Inputs!$B$29)))</f>
        <v/>
      </c>
      <c r="E2639">
        <f>INDEX(FactorTable!$B$2:$Y$301, MATCH(ROUND(MIN(300,MAX(1,D2639)),0), FactorTable!$A$2:$A$301,0), Skills!M6+1)</f>
        <v/>
      </c>
      <c r="F2639">
        <f>IF(Skills!N6=TRUE,(Skills!L6/10)*(E2639/1000),Skills!L6/10)+Skills!O6</f>
        <v/>
      </c>
      <c r="G2639">
        <f>Skills!G6*IF(Skills!H6&gt;0,Skills!I6/Skills!H6,1)</f>
        <v/>
      </c>
      <c r="H2639">
        <f>1-(1-Skills!J6/100)^Skills!K6</f>
        <v/>
      </c>
      <c r="I2639" t="inlineStr">
        <is>
          <t>1</t>
        </is>
      </c>
      <c r="J2639">
        <f>((Inputs!$B$6*(1+Inputs!$B$7/100))+(((Inputs!$B$12*(1+Inputs!$B$13/100))-(Inputs!$B$12*(1+Inputs!$B$13/100)))+0.25*(Inputs!$B$14-Inputs!$B$14))*(1+Inputs!$B$7/100))*(F2639/100)</f>
        <v/>
      </c>
      <c r="K2639">
        <f>J2639*(1+((Inputs!$B$12*(1+Inputs!$B$13/100))*0.01+Inputs!$B$14*0.0025)/100)*(1+Inputs!$B$15/100)*(1+Inputs!$B$16/100)*(5000/(6000+Inputs!$B$42*(1-(100*(1-(1-(Inputs!$B$19+0)/100)*(1-CHOOSE(ArtifactsInput!$N$40+1,5,6,7,8,9,10)/100)^(ArtifactsInput!$M$40-ArtifactsInput!$M$40)))/100)))*(1+(Inputs!$B$24+((C2658=TRUE)*(F2658-Calc!F25))+B2668)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2654=TRUE)*(F2654-Calc!F21))+(((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2656=TRUE)*(F2656-Calc!F23))+(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(1+(((C2646=TRUE)*F2646*IF(Inputs!$B$3&gt;=110,7,5))+((C2648=TRUE)*F2648*IF(AND(Inputs!$B$38&lt;&gt;"pvp",Inputs!$B$43&gt;0),(((R2648-1)*(Skills!T15*(1+(Inputs!$B$34+(ArtifactsInput!$M$7-ArtifactsInput!$M$7)*CHOOSE(ArtifactsInput!$N$7+1,6,7.2,8.4,9.6,10.8,12))/100))+MIN((Skills!T15*(1+(Inputs!$B$34+(ArtifactsInput!$M$7-ArtifactsInput!$M$7)*CHOOSE(ArtifactsInput!$N$7+1,6,7.2,8.4,9.6,10.8,12))/100)),MAX(0,Inputs!$B$43-((R2648-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Hunt"),CHOOSE(ArtifactsInput!$N$35+1,15,18,21,24,27,30)*(1-EXP(-(0.2*B2664)*5)),0)+IF(AND(ArtifactsInput!$M$22,Inputs!$B$4&lt;&gt;"Chapter Hunt"),CHOOSE(ArtifactsInput!$N$22+1,10,12,14,16,18,20)*((0*(((0.15*B2664*5))^0/1)+1*(((0.15*B2664*5))^1/1)+2*(((0.15*B2664*5))^2/2)+3*(((0.15*B2664*5))^3/6)+4*(((0.15*B2664*5))^4/24)+5*(((0.15*B2664*5))^5/120))/((((0.15*B2664*5))^0/1)+(((0.15*B2664*5))^1/1)+(((0.15*B2664*5))^2/2)+(((0.15*B2664*5))^3/6)+(((0.15*B2664*5))^4/24)+(((0.15*B2664*5))^5/120))),0)))/100)*I2639)</f>
        <v/>
      </c>
      <c r="L2639">
        <f>K2639*(MIN(Inputs!$B$22+((C2655=TRUE)*(F2655-Calc!F22)),(Inputs!$B$23+((C2657=TRUE)*(F2657-Calc!F24))+(IF(ArtifactsInput!$M$15,CHOOSE(ArtifactsInput!$N$15+1,25,30,35,40,45,50)/100*(Inputs!$B$11-Inputs!$B$11),0))))/100+(Inputs!$B$23+((C2657=TRUE)*(F2657-Calc!F24))+(IF(ArtifactsInput!$M$15,CHOOSE(ArtifactsInput!$N$15+1,25,30,35,40,45,50)/100*(Inputs!$B$11-Inputs!$B$11),0)))/100)/2</f>
        <v/>
      </c>
      <c r="M2639">
        <f>L2639*(1+(Inputs!$B$10+0+B2667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9">
        <f>L2639*(1-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2639*(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9">
        <f>(1-Summary!$B$11)*T2639+Summary!$B$11*V2639</f>
        <v/>
      </c>
      <c r="P2639">
        <f>IF(B2672=0,0,O2639/B2672)</f>
        <v/>
      </c>
      <c r="Q2639">
        <f>IFERROR(1/(IF(Inputs!$B$38="pvp",15,MAX(0.1,Skills!D6-IF(Skills!E6=TRUE,Inputs!$B$32,0)))*(1-IF(AND(ArtifactsInput!$M$27,Inputs!$B$4="Chapter Hunt"),CHOOSE(ArtifactsInput!$N$27+1,20,24,28,32,36,40),0)/100)),0)</f>
        <v/>
      </c>
      <c r="R2639">
        <f>IF(AND(Inputs!$B$38&lt;&gt;"pvp",Inputs!$B$43&gt;0),IF(MAX(0,Inputs!$B$43-B2669)&lt;=0,0,(INT(MAX(0,Inputs!$B$43-B2669)/(IF(Inputs!$B$38="pvp",15,MAX(0.1,Skills!D6-IF(Skills!E6=TRUE,Inputs!$B$32,0)))*(1-IF(AND(ArtifactsInput!$M$27,Inputs!$B$4="Chapter Hunt"),CHOOSE(ArtifactsInput!$N$27+1,20,24,28,32,36,40),0)/100)))+1)),0)</f>
        <v/>
      </c>
      <c r="S2639">
        <f>IFERROR(O2639/N2639,0)</f>
        <v/>
      </c>
      <c r="T2639">
        <f>IF(C2639,(H2639*N2639*IF(AND(Inputs!$B$38&lt;&gt;"pvp",Inputs!$B$43&gt;0),((Skills!G6*((R2639-1)*IF(Skills!H6&gt;0,Skills!I6/Skills!H6,1)+IF(Skills!H6&gt;0,MIN(Skills!I6,MAX(0,MAX(0,Inputs!$B$43-B2669)-((R2639-1)*(IF(Inputs!$B$38="pvp",15,MAX(0.1,Skills!D6-IF(Skills!E6=TRUE,Inputs!$B$32,0)))*(1-IF(AND(ArtifactsInput!$M$27,Inputs!$B$4="Chapter Hunt"),CHOOSE(ArtifactsInput!$N$27+1,20,24,28,32,36,40),0)/100)))))/Skills!H6,1)))/Inputs!$B$43),G2639*Q2639)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2639*(1-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2639*(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2639*(1-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2639*(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39">
        <f>IF(C2639,(H2639*N2639*IF(AND(Inputs!$B$38&lt;&gt;"pvp",Inputs!$B$43&gt;0),((Skills!G6*((R2639-1)*IF(Skills!H6&gt;0,Skills!I6/Skills!H6,1)+IF(Skills!H6&gt;0,MIN(Skills!I6,MAX(0,MAX(0,Inputs!$B$43-B2669)-((R2639-1)*(IF(Inputs!$B$38="pvp",15,MAX(0.1,Skills!D6-IF(Skills!E6=TRUE,Inputs!$B$32,0)))*(1-IF(AND(ArtifactsInput!$M$27,Inputs!$B$4="Chapter Hunt"),CHOOSE(ArtifactsInput!$N$27+1,20,24,28,32,36,40),0)/100)))))/Skills!H6,1)))/Inputs!$B$43),G2639*Q2639)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0">
      <c r="A2640">
        <f>Skills!A7</f>
        <v/>
      </c>
      <c r="B2640">
        <f>Skills!B7</f>
        <v/>
      </c>
      <c r="C2640">
        <f>Inputs!$B$3&gt;=107</f>
        <v/>
      </c>
      <c r="D2640">
        <f>IF(Skills!C7=1,60+Inputs!$B$25+Inputs!$B$29,IF(Skills!C7=2,90+Inputs!$B$26+Inputs!$B$29,IF(Skills!C7=3,120+Inputs!$B$27+Inputs!$B$29,MAX(0,(Inputs!$B$3-100)*3)+Inputs!$B$28+Inputs!$B$29)))</f>
        <v/>
      </c>
      <c r="E2640">
        <f>INDEX(FactorTable!$B$2:$Y$301, MATCH(ROUND(MIN(300,MAX(1,D2640)),0), FactorTable!$A$2:$A$301,0), Skills!M7+1)</f>
        <v/>
      </c>
      <c r="F2640">
        <f>IF(Skills!N7=TRUE,(Skills!L7/10)*(E2640/1000),Skills!L7/10)+Skills!O7</f>
        <v/>
      </c>
      <c r="G2640">
        <f>Skills!G7*IF(Skills!H7&gt;0,Skills!I7/Skills!H7,1)</f>
        <v/>
      </c>
      <c r="H2640">
        <f>1-(1-Skills!J7/100)^Skills!K7</f>
        <v/>
      </c>
      <c r="I2640" t="inlineStr">
        <is>
          <t>1</t>
        </is>
      </c>
      <c r="J2640">
        <f>((Inputs!$B$6*(1+Inputs!$B$7/100))+(((Inputs!$B$12*(1+Inputs!$B$13/100))-(Inputs!$B$12*(1+Inputs!$B$13/100)))+0.25*(Inputs!$B$14-Inputs!$B$14))*(1+Inputs!$B$7/100))*(F2640/100)</f>
        <v/>
      </c>
      <c r="K2640">
        <f>J2640*(1+((Inputs!$B$12*(1+Inputs!$B$13/100))*0.01+Inputs!$B$14*0.0025)/100)*(1+Inputs!$B$15/100)*(1+Inputs!$B$16/100)*(5000/(6000+Inputs!$B$42*(1-(100*(1-(1-(Inputs!$B$19+0)/100)*(1-CHOOSE(ArtifactsInput!$N$40+1,5,6,7,8,9,10)/100)^(ArtifactsInput!$M$40-ArtifactsInput!$M$40)))/100)))*(1+(Inputs!$B$24+((C2658=TRUE)*(F2658-Calc!F25))+B2668)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2654=TRUE)*(F2654-Calc!F21))+(((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2656=TRUE)*(F2656-Calc!F23))+(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(1+(((C2646=TRUE)*F2646*IF(Inputs!$B$3&gt;=110,7,5))+((C2648=TRUE)*F2648*IF(AND(Inputs!$B$38&lt;&gt;"pvp",Inputs!$B$43&gt;0),(((R2648-1)*(Skills!T15*(1+(Inputs!$B$34+(ArtifactsInput!$M$7-ArtifactsInput!$M$7)*CHOOSE(ArtifactsInput!$N$7+1,6,7.2,8.4,9.6,10.8,12))/100))+MIN((Skills!T15*(1+(Inputs!$B$34+(ArtifactsInput!$M$7-ArtifactsInput!$M$7)*CHOOSE(ArtifactsInput!$N$7+1,6,7.2,8.4,9.6,10.8,12))/100)),MAX(0,Inputs!$B$43-((R2648-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Hunt"),CHOOSE(ArtifactsInput!$N$35+1,15,18,21,24,27,30)*(1-EXP(-(0.2*B2664)*5)),0)+IF(AND(ArtifactsInput!$M$22,Inputs!$B$4&lt;&gt;"Chapter Hunt"),CHOOSE(ArtifactsInput!$N$22+1,10,12,14,16,18,20)*((0*(((0.15*B2664*5))^0/1)+1*(((0.15*B2664*5))^1/1)+2*(((0.15*B2664*5))^2/2)+3*(((0.15*B2664*5))^3/6)+4*(((0.15*B2664*5))^4/24)+5*(((0.15*B2664*5))^5/120))/((((0.15*B2664*5))^0/1)+(((0.15*B2664*5))^1/1)+(((0.15*B2664*5))^2/2)+(((0.15*B2664*5))^3/6)+(((0.15*B2664*5))^4/24)+(((0.15*B2664*5))^5/120))),0)))/100)*I2640)</f>
        <v/>
      </c>
      <c r="L2640">
        <f>K2640*(MIN(Inputs!$B$22+((C2655=TRUE)*(F2655-Calc!F22)),(Inputs!$B$23+((C2657=TRUE)*(F2657-Calc!F24))+(IF(ArtifactsInput!$M$15,CHOOSE(ArtifactsInput!$N$15+1,25,30,35,40,45,50)/100*(Inputs!$B$11-Inputs!$B$11),0))))/100+(Inputs!$B$23+((C2657=TRUE)*(F2657-Calc!F24))+(IF(ArtifactsInput!$M$15,CHOOSE(ArtifactsInput!$N$15+1,25,30,35,40,45,50)/100*(Inputs!$B$11-Inputs!$B$11),0)))/100)/2</f>
        <v/>
      </c>
      <c r="M2640">
        <f>L2640*(1+(Inputs!$B$10+0+B2667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0">
        <f>L2640*(1-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2640*(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0">
        <f>(1-Summary!$B$11)*T2640+Summary!$B$11*V2640</f>
        <v/>
      </c>
      <c r="P2640">
        <f>IF(B2672=0,0,O2640/B2672)</f>
        <v/>
      </c>
      <c r="Q2640">
        <f>IFERROR(1/(IF(Inputs!$B$38="pvp",15,MAX(0.1,Skills!D7-IF(Skills!E7=TRUE,Inputs!$B$32,0)))*(1-IF(AND(ArtifactsInput!$M$27,Inputs!$B$4="Chapter Hunt"),CHOOSE(ArtifactsInput!$N$27+1,20,24,28,32,36,40),0)/100)),0)</f>
        <v/>
      </c>
      <c r="R2640">
        <f>IF(AND(Inputs!$B$38&lt;&gt;"pvp",Inputs!$B$43&gt;0),IF(MAX(0,Inputs!$B$43-B2669)&lt;=0,0,(INT(MAX(0,Inputs!$B$43-B2669)/(IF(Inputs!$B$38="pvp",15,MAX(0.1,Skills!D7-IF(Skills!E7=TRUE,Inputs!$B$32,0)))*(1-IF(AND(ArtifactsInput!$M$27,Inputs!$B$4="Chapter Hunt"),CHOOSE(ArtifactsInput!$N$27+1,20,24,28,32,36,40),0)/100)))+1)),0)</f>
        <v/>
      </c>
      <c r="S2640">
        <f>IFERROR(O2640/N2640,0)</f>
        <v/>
      </c>
      <c r="T2640">
        <f>IF(C2640,(H2640*N2640*IF(AND(Inputs!$B$38&lt;&gt;"pvp",Inputs!$B$43&gt;0),((Skills!G7*((R2640-1)*IF(Skills!H7&gt;0,Skills!I7/Skills!H7,1)+IF(Skills!H7&gt;0,MIN(Skills!I7,MAX(0,MAX(0,Inputs!$B$43-B2669)-((R2640-1)*(IF(Inputs!$B$38="pvp",15,MAX(0.1,Skills!D7-IF(Skills!E7=TRUE,Inputs!$B$32,0)))*(1-IF(AND(ArtifactsInput!$M$27,Inputs!$B$4="Chapter Hunt"),CHOOSE(ArtifactsInput!$N$27+1,20,24,28,32,36,40),0)/100)))))/Skills!H7,1)))/Inputs!$B$43),G2640*Q2640)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2640*(1-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2640*(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2640*(1-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2640*(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0">
        <f>IF(C2640,(H2640*N2640*IF(AND(Inputs!$B$38&lt;&gt;"pvp",Inputs!$B$43&gt;0),((Skills!G7*((R2640-1)*IF(Skills!H7&gt;0,Skills!I7/Skills!H7,1)+IF(Skills!H7&gt;0,MIN(Skills!I7,MAX(0,MAX(0,Inputs!$B$43-B2669)-((R2640-1)*(IF(Inputs!$B$38="pvp",15,MAX(0.1,Skills!D7-IF(Skills!E7=TRUE,Inputs!$B$32,0)))*(1-IF(AND(ArtifactsInput!$M$27,Inputs!$B$4="Chapter Hunt"),CHOOSE(ArtifactsInput!$N$27+1,20,24,28,32,36,40),0)/100)))))/Skills!H7,1)))/Inputs!$B$43),G2640*Q2640)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1">
      <c r="A2641">
        <f>Skills!A8</f>
        <v/>
      </c>
      <c r="B2641">
        <f>Skills!B8</f>
        <v/>
      </c>
      <c r="C2641">
        <f>Inputs!$B$3&gt;=117</f>
        <v/>
      </c>
      <c r="D2641">
        <f>IF(Skills!C8=1,60+Inputs!$B$25+Inputs!$B$29,IF(Skills!C8=2,90+Inputs!$B$26+Inputs!$B$29,IF(Skills!C8=3,120+Inputs!$B$27+Inputs!$B$29,MAX(0,(Inputs!$B$3-100)*3)+Inputs!$B$28+Inputs!$B$29)))</f>
        <v/>
      </c>
      <c r="E2641">
        <f>INDEX(FactorTable!$B$2:$Y$301, MATCH(ROUND(MIN(300,MAX(1,D2641)),0), FactorTable!$A$2:$A$301,0), Skills!M8+1)</f>
        <v/>
      </c>
      <c r="F2641">
        <f>IF(Skills!N8=TRUE,(Skills!L8/10)*(E2641/1000),Skills!L8/10)+Skills!O8</f>
        <v/>
      </c>
      <c r="G2641">
        <f>Skills!G8*IF(Skills!H8&gt;0,Skills!I8/Skills!H8,1)</f>
        <v/>
      </c>
      <c r="H2641">
        <f>1-(1-Skills!J8/100)^Skills!K8</f>
        <v/>
      </c>
      <c r="I2641" t="inlineStr">
        <is>
          <t>1</t>
        </is>
      </c>
      <c r="J2641">
        <f>((Inputs!$B$6*(1+Inputs!$B$7/100))+(((Inputs!$B$12*(1+Inputs!$B$13/100))-(Inputs!$B$12*(1+Inputs!$B$13/100)))+0.25*(Inputs!$B$14-Inputs!$B$14))*(1+Inputs!$B$7/100))*(F2641/100)</f>
        <v/>
      </c>
      <c r="K2641">
        <f>J2641*(1+((Inputs!$B$12*(1+Inputs!$B$13/100))*0.01+Inputs!$B$14*0.0025)/100)*(1+Inputs!$B$15/100)*(1+Inputs!$B$16/100)*(5000/(6000+Inputs!$B$42*(1-(100*(1-(1-(Inputs!$B$19+0)/100)*(1-CHOOSE(ArtifactsInput!$N$40+1,5,6,7,8,9,10)/100)^(ArtifactsInput!$M$40-ArtifactsInput!$M$40)))/100)))*(1+(Inputs!$B$24+((C2658=TRUE)*(F2658-Calc!F25))+B2668)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2654=TRUE)*(F2654-Calc!F21))+(((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2656=TRUE)*(F2656-Calc!F23))+(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(1+(((C2646=TRUE)*F2646*IF(Inputs!$B$3&gt;=110,7,5))+((C2648=TRUE)*F2648*IF(AND(Inputs!$B$38&lt;&gt;"pvp",Inputs!$B$43&gt;0),(((R2648-1)*(Skills!T15*(1+(Inputs!$B$34+(ArtifactsInput!$M$7-ArtifactsInput!$M$7)*CHOOSE(ArtifactsInput!$N$7+1,6,7.2,8.4,9.6,10.8,12))/100))+MIN((Skills!T15*(1+(Inputs!$B$34+(ArtifactsInput!$M$7-ArtifactsInput!$M$7)*CHOOSE(ArtifactsInput!$N$7+1,6,7.2,8.4,9.6,10.8,12))/100)),MAX(0,Inputs!$B$43-((R2648-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Hunt"),CHOOSE(ArtifactsInput!$N$35+1,15,18,21,24,27,30)*(1-EXP(-(0.2*B2664)*5)),0)+IF(AND(ArtifactsInput!$M$22,Inputs!$B$4&lt;&gt;"Chapter Hunt"),CHOOSE(ArtifactsInput!$N$22+1,10,12,14,16,18,20)*((0*(((0.15*B2664*5))^0/1)+1*(((0.15*B2664*5))^1/1)+2*(((0.15*B2664*5))^2/2)+3*(((0.15*B2664*5))^3/6)+4*(((0.15*B2664*5))^4/24)+5*(((0.15*B2664*5))^5/120))/((((0.15*B2664*5))^0/1)+(((0.15*B2664*5))^1/1)+(((0.15*B2664*5))^2/2)+(((0.15*B2664*5))^3/6)+(((0.15*B2664*5))^4/24)+(((0.15*B2664*5))^5/120))),0)))/100)*I2641)</f>
        <v/>
      </c>
      <c r="L2641">
        <f>K2641*(MIN(Inputs!$B$22+((C2655=TRUE)*(F2655-Calc!F22)),(Inputs!$B$23+((C2657=TRUE)*(F2657-Calc!F24))+(IF(ArtifactsInput!$M$15,CHOOSE(ArtifactsInput!$N$15+1,25,30,35,40,45,50)/100*(Inputs!$B$11-Inputs!$B$11),0))))/100+(Inputs!$B$23+((C2657=TRUE)*(F2657-Calc!F24))+(IF(ArtifactsInput!$M$15,CHOOSE(ArtifactsInput!$N$15+1,25,30,35,40,45,50)/100*(Inputs!$B$11-Inputs!$B$11),0)))/100)/2</f>
        <v/>
      </c>
      <c r="M2641">
        <f>L2641*(1+(Inputs!$B$10+0+B2667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1">
        <f>L2641*(1-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2641*(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1">
        <f>(1-Summary!$B$11)*T2641+Summary!$B$11*V2641</f>
        <v/>
      </c>
      <c r="P2641">
        <f>IF(B2672=0,0,O2641/B2672)</f>
        <v/>
      </c>
      <c r="Q2641">
        <f>IFERROR(1/(IF(Inputs!$B$38="pvp",15,MAX(0.1,Skills!D8-IF(Skills!E8=TRUE,Inputs!$B$32,0)))*(1-IF(AND(ArtifactsInput!$M$27,Inputs!$B$4="Chapter Hunt"),CHOOSE(ArtifactsInput!$N$27+1,20,24,28,32,36,40),0)/100)),0)</f>
        <v/>
      </c>
      <c r="R2641">
        <f>IF(AND(Inputs!$B$38&lt;&gt;"pvp",Inputs!$B$43&gt;0),IF(MAX(0,Inputs!$B$43-B2669)&lt;=0,0,(INT(MAX(0,Inputs!$B$43-B2669)/(IF(Inputs!$B$38="pvp",15,MAX(0.1,Skills!D8-IF(Skills!E8=TRUE,Inputs!$B$32,0)))*(1-IF(AND(ArtifactsInput!$M$27,Inputs!$B$4="Chapter Hunt"),CHOOSE(ArtifactsInput!$N$27+1,20,24,28,32,36,40),0)/100)))+1)),0)</f>
        <v/>
      </c>
      <c r="S2641">
        <f>IFERROR(O2641/N2641,0)</f>
        <v/>
      </c>
      <c r="T2641">
        <f>IF(C2641,(H2641*N2641*IF(AND(Inputs!$B$38&lt;&gt;"pvp",Inputs!$B$43&gt;0),((Skills!G8*((R2641-1)*IF(Skills!H8&gt;0,Skills!I8/Skills!H8,1)+IF(Skills!H8&gt;0,MIN(Skills!I8,MAX(0,MAX(0,Inputs!$B$43-B2669)-((R2641-1)*(IF(Inputs!$B$38="pvp",15,MAX(0.1,Skills!D8-IF(Skills!E8=TRUE,Inputs!$B$32,0)))*(1-IF(AND(ArtifactsInput!$M$27,Inputs!$B$4="Chapter Hunt"),CHOOSE(ArtifactsInput!$N$27+1,20,24,28,32,36,40),0)/100)))))/Skills!H8,1)))/Inputs!$B$43),G2641*Q2641)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2641*(1-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2641*(1-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1">
        <f>IF(C2641,(H2641*N2641*IF(AND(Inputs!$B$38&lt;&gt;"pvp",Inputs!$B$43&gt;0),((Skills!G8*((R2641-1)*IF(Skills!H8&gt;0,Skills!I8/Skills!H8,1)+IF(Skills!H8&gt;0,MIN(Skills!I8,MAX(0,MAX(0,Inputs!$B$43-B2669)-((R2641-1)*(IF(Inputs!$B$38="pvp",15,MAX(0.1,Skills!D8-IF(Skills!E8=TRUE,Inputs!$B$32,0)))*(1-IF(AND(ArtifactsInput!$M$27,Inputs!$B$4="Chapter Hunt"),CHOOSE(ArtifactsInput!$N$27+1,20,24,28,32,36,40),0)/100)))))/Skills!H8,1)))/Inputs!$B$43),G2641*Q2641)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2">
      <c r="A2642">
        <f>Skills!A9</f>
        <v/>
      </c>
      <c r="B2642">
        <f>Skills!B9</f>
        <v/>
      </c>
      <c r="C2642">
        <f>Inputs!$B$3&gt;=69</f>
        <v/>
      </c>
      <c r="D2642">
        <f>IF(Skills!C9=1,60+Inputs!$B$25+Inputs!$B$29,IF(Skills!C9=2,90+Inputs!$B$26+Inputs!$B$29,IF(Skills!C9=3,120+Inputs!$B$27+Inputs!$B$29,MAX(0,(Inputs!$B$3-100)*3)+Inputs!$B$28+Inputs!$B$29)))</f>
        <v/>
      </c>
      <c r="E2642">
        <f>INDEX(FactorTable!$B$2:$Y$301, MATCH(ROUND(MIN(300,MAX(1,D2642)),0), FactorTable!$A$2:$A$301,0), Skills!M9+1)</f>
        <v/>
      </c>
      <c r="F2642">
        <f>IF(Skills!N9=TRUE,(Skills!L9/10)*(E2642/1000),Skills!L9/10)+Skills!O9</f>
        <v/>
      </c>
      <c r="G2642">
        <f>Skills!G9*IF(Skills!H9&gt;0,Skills!I9/Skills!H9,1)</f>
        <v/>
      </c>
      <c r="H2642">
        <f>1-(1-Skills!J9/100)^Skills!K9</f>
        <v/>
      </c>
      <c r="I2642" t="inlineStr">
        <is>
          <t>1</t>
        </is>
      </c>
      <c r="J2642">
        <f>((Inputs!$B$6*(1+Inputs!$B$7/100))+(((Inputs!$B$12*(1+Inputs!$B$13/100))-(Inputs!$B$12*(1+Inputs!$B$13/100)))+0.25*(Inputs!$B$14-Inputs!$B$14))*(1+Inputs!$B$7/100))*(F2642/100)</f>
        <v/>
      </c>
      <c r="K2642">
        <f>J2642*(1+((Inputs!$B$12*(1+Inputs!$B$13/100))*0.01+Inputs!$B$14*0.0025)/100)*(1+Inputs!$B$15/100)*(1+Inputs!$B$16/100)*(5000/(6000+Inputs!$B$42*(1-(100*(1-(1-(Inputs!$B$19+0)/100)*(1-CHOOSE(ArtifactsInput!$N$40+1,5,6,7,8,9,10)/100)^(ArtifactsInput!$M$40-ArtifactsInput!$M$40)))/100)))*(1+(Inputs!$B$24+((C2658=TRUE)*(F2658-Calc!F25))+B2668)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2645=TRUE,F2645,0)/100)*(1+IF(Skills!A9="ENHANCED_RAGING_BLOW",IF(Inputs!$B$3&gt;=134,MAX(0,IF(Inputs!$B$3&gt;=110,7,5)-5)*50,0),0)/100)*(1+(IF(Skills!A9="RAGING_BLOW",Inputs!$B$17+((C2654=TRUE)*(F2654-Calc!F21))+(((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2656=TRUE)*(F2656-Calc!F23))+(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(1+(((C2646=TRUE)*F2646*IF(Inputs!$B$3&gt;=110,7,5))+((C2648=TRUE)*F2648*IF(AND(Inputs!$B$38&lt;&gt;"pvp",Inputs!$B$43&gt;0),(((R2648-1)*(Skills!T15*(1+(Inputs!$B$34+(ArtifactsInput!$M$7-ArtifactsInput!$M$7)*CHOOSE(ArtifactsInput!$N$7+1,6,7.2,8.4,9.6,10.8,12))/100))+MIN((Skills!T15*(1+(Inputs!$B$34+(ArtifactsInput!$M$7-ArtifactsInput!$M$7)*CHOOSE(ArtifactsInput!$N$7+1,6,7.2,8.4,9.6,10.8,12))/100)),MAX(0,Inputs!$B$43-((R2648-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Hunt"),CHOOSE(ArtifactsInput!$N$35+1,15,18,21,24,27,30)*(1-EXP(-(0.2*B2664)*5)),0)+IF(AND(ArtifactsInput!$M$22,Inputs!$B$4&lt;&gt;"Chapter Hunt"),CHOOSE(ArtifactsInput!$N$22+1,10,12,14,16,18,20)*((0*(((0.15*B2664*5))^0/1)+1*(((0.15*B2664*5))^1/1)+2*(((0.15*B2664*5))^2/2)+3*(((0.15*B2664*5))^3/6)+4*(((0.15*B2664*5))^4/24)+5*(((0.15*B2664*5))^5/120))/((((0.15*B2664*5))^0/1)+(((0.15*B2664*5))^1/1)+(((0.15*B2664*5))^2/2)+(((0.15*B2664*5))^3/6)+(((0.15*B2664*5))^4/24)+(((0.15*B2664*5))^5/120))),0)))/100)*I2642)</f>
        <v/>
      </c>
      <c r="L2642">
        <f>K2642*(MIN(Inputs!$B$22+((C2655=TRUE)*(F2655-Calc!F22)),(Inputs!$B$23+((C2657=TRUE)*(F2657-Calc!F24))+(IF(ArtifactsInput!$M$15,CHOOSE(ArtifactsInput!$N$15+1,25,30,35,40,45,50)/100*(Inputs!$B$11-Inputs!$B$11),0))))/100+(Inputs!$B$23+((C2657=TRUE)*(F2657-Calc!F24))+(IF(ArtifactsInput!$M$15,CHOOSE(ArtifactsInput!$N$15+1,25,30,35,40,45,50)/100*(Inputs!$B$11-Inputs!$B$11),0)))/100)/2</f>
        <v/>
      </c>
      <c r="M2642">
        <f>L2642*(1+(Inputs!$B$10+0+B2667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2">
        <f>L2642*(1-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2642*(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2">
        <f>(1-Summary!$B$11)*T2642+Summary!$B$11*V2642</f>
        <v/>
      </c>
      <c r="P2642">
        <f>IF(B2672=0,0,O2642/B2672)</f>
        <v/>
      </c>
      <c r="Q2642">
        <f>IFERROR(1/(IF(Inputs!$B$38="pvp",15,MAX(0.1,Skills!D9-IF(Skills!E9=TRUE,Inputs!$B$32,0)))*(1-IF(AND(ArtifactsInput!$M$27,Inputs!$B$4="Chapter Hunt"),CHOOSE(ArtifactsInput!$N$27+1,20,24,28,32,36,40),0)/100)),0)</f>
        <v/>
      </c>
      <c r="R2642">
        <f>IF(AND(Inputs!$B$38&lt;&gt;"pvp",Inputs!$B$43&gt;0),IF(MAX(0,Inputs!$B$43-B2669)&lt;=0,0,(INT(MAX(0,Inputs!$B$43-B2669)/(IF(Inputs!$B$38="pvp",15,MAX(0.1,Skills!D9-IF(Skills!E9=TRUE,Inputs!$B$32,0)))*(1-IF(AND(ArtifactsInput!$M$27,Inputs!$B$4="Chapter Hunt"),CHOOSE(ArtifactsInput!$N$27+1,20,24,28,32,36,40),0)/100)))+1)),0)</f>
        <v/>
      </c>
      <c r="S2642">
        <f>IFERROR(O2642/N2642,0)</f>
        <v/>
      </c>
      <c r="T2642">
        <f>IF(C2642,(H2642*N2642*IF(AND(Inputs!$B$38&lt;&gt;"pvp",Inputs!$B$43&gt;0),((Skills!G9*((R2642-1)*IF(Skills!H9&gt;0,Skills!I9/Skills!H9,1)+IF(Skills!H9&gt;0,MIN(Skills!I9,MAX(0,MAX(0,Inputs!$B$43-B2669)-((R2642-1)*(IF(Inputs!$B$38="pvp",15,MAX(0.1,Skills!D9-IF(Skills!E9=TRUE,Inputs!$B$32,0)))*(1-IF(AND(ArtifactsInput!$M$27,Inputs!$B$4="Chapter Hunt"),CHOOSE(ArtifactsInput!$N$27+1,20,24,28,32,36,40),0)/100)))))/Skills!H9,1)))/Inputs!$B$43),G2642*Q2642)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2642*(1-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2642*(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2642*(1-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2642*(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2">
        <f>IF(C2642,(H2642*N2642*IF(AND(Inputs!$B$38&lt;&gt;"pvp",Inputs!$B$43&gt;0),((Skills!G9*((R2642-1)*IF(Skills!H9&gt;0,Skills!I9/Skills!H9,1)+IF(Skills!H9&gt;0,MIN(Skills!I9,MAX(0,MAX(0,Inputs!$B$43-B2669)-((R2642-1)*(IF(Inputs!$B$38="pvp",15,MAX(0.1,Skills!D9-IF(Skills!E9=TRUE,Inputs!$B$32,0)))*(1-IF(AND(ArtifactsInput!$M$27,Inputs!$B$4="Chapter Hunt"),CHOOSE(ArtifactsInput!$N$27+1,20,24,28,32,36,40),0)/100)))))/Skills!H9,1)))/Inputs!$B$43),G2642*Q2642)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3">
      <c r="A2643">
        <f>Skills!A10</f>
        <v/>
      </c>
      <c r="B2643">
        <f>Skills!B10</f>
        <v/>
      </c>
      <c r="C2643">
        <f>Inputs!$B$3&gt;=63</f>
        <v/>
      </c>
      <c r="D2643">
        <f>IF(Skills!C10=1,60+Inputs!$B$25+Inputs!$B$29,IF(Skills!C10=2,90+Inputs!$B$26+Inputs!$B$29,IF(Skills!C10=3,120+Inputs!$B$27+Inputs!$B$29,MAX(0,(Inputs!$B$3-100)*3)+Inputs!$B$28+Inputs!$B$29)))</f>
        <v/>
      </c>
      <c r="E2643">
        <f>INDEX(FactorTable!$B$2:$Y$301, MATCH(ROUND(MIN(300,MAX(1,D2643)),0), FactorTable!$A$2:$A$301,0), Skills!M10+1)</f>
        <v/>
      </c>
      <c r="F2643">
        <f>IF(Skills!N10=TRUE,(Skills!L10/10)*(E2643/1000),Skills!L10/10)+Skills!O10</f>
        <v/>
      </c>
      <c r="G2643">
        <f>Skills!G10*IF(Skills!H10&gt;0,Skills!I10/Skills!H10,1)</f>
        <v/>
      </c>
      <c r="H2643">
        <f>1-(1-Skills!J10/100)^Skills!K10</f>
        <v/>
      </c>
      <c r="I2643" t="inlineStr">
        <is>
          <t>1</t>
        </is>
      </c>
      <c r="J2643">
        <f>((Inputs!$B$6*(1+Inputs!$B$7/100))+(((Inputs!$B$12*(1+Inputs!$B$13/100))-(Inputs!$B$12*(1+Inputs!$B$13/100)))+0.25*(Inputs!$B$14-Inputs!$B$14))*(1+Inputs!$B$7/100))*(F2643/100)</f>
        <v/>
      </c>
      <c r="K2643">
        <f>J2643*(1+((Inputs!$B$12*(1+Inputs!$B$13/100))*0.01+Inputs!$B$14*0.0025)/100)*(1+Inputs!$B$15/100)*(1+Inputs!$B$16/100)*(5000/(6000+Inputs!$B$42*(1-(100*(1-(1-(Inputs!$B$19+0)/100)*(1-CHOOSE(ArtifactsInput!$N$40+1,5,6,7,8,9,10)/100)^(ArtifactsInput!$M$40-ArtifactsInput!$M$40)))/100)))*(1+(Inputs!$B$24+((C2658=TRUE)*(F2658-Calc!F25))+B2668)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2645=TRUE,F2645,0)/100)*(1+IF(Skills!A10="ENHANCED_RAGING_BLOW",IF(Inputs!$B$3&gt;=134,MAX(0,IF(Inputs!$B$3&gt;=110,7,5)-5)*50,0),0)/100)*(1+(IF(Skills!A10="RAGING_BLOW",Inputs!$B$17+((C2654=TRUE)*(F2654-Calc!F21))+(((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2656=TRUE)*(F2656-Calc!F23))+(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(1+(((C2646=TRUE)*F2646*IF(Inputs!$B$3&gt;=110,7,5))+((C2648=TRUE)*F2648*IF(AND(Inputs!$B$38&lt;&gt;"pvp",Inputs!$B$43&gt;0),(((R2648-1)*(Skills!T15*(1+(Inputs!$B$34+(ArtifactsInput!$M$7-ArtifactsInput!$M$7)*CHOOSE(ArtifactsInput!$N$7+1,6,7.2,8.4,9.6,10.8,12))/100))+MIN((Skills!T15*(1+(Inputs!$B$34+(ArtifactsInput!$M$7-ArtifactsInput!$M$7)*CHOOSE(ArtifactsInput!$N$7+1,6,7.2,8.4,9.6,10.8,12))/100)),MAX(0,Inputs!$B$43-((R2648-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Hunt"),CHOOSE(ArtifactsInput!$N$35+1,15,18,21,24,27,30)*(1-EXP(-(0.2*B2664)*5)),0)+IF(AND(ArtifactsInput!$M$22,Inputs!$B$4&lt;&gt;"Chapter Hunt"),CHOOSE(ArtifactsInput!$N$22+1,10,12,14,16,18,20)*((0*(((0.15*B2664*5))^0/1)+1*(((0.15*B2664*5))^1/1)+2*(((0.15*B2664*5))^2/2)+3*(((0.15*B2664*5))^3/6)+4*(((0.15*B2664*5))^4/24)+5*(((0.15*B2664*5))^5/120))/((((0.15*B2664*5))^0/1)+(((0.15*B2664*5))^1/1)+(((0.15*B2664*5))^2/2)+(((0.15*B2664*5))^3/6)+(((0.15*B2664*5))^4/24)+(((0.15*B2664*5))^5/120))),0)))/100)*I2643)</f>
        <v/>
      </c>
      <c r="L2643">
        <f>K2643*(MIN(Inputs!$B$22+((C2655=TRUE)*(F2655-Calc!F22)),(Inputs!$B$23+((C2657=TRUE)*(F2657-Calc!F24))+(IF(ArtifactsInput!$M$15,CHOOSE(ArtifactsInput!$N$15+1,25,30,35,40,45,50)/100*(Inputs!$B$11-Inputs!$B$11),0))))/100+(Inputs!$B$23+((C2657=TRUE)*(F2657-Calc!F24))+(IF(ArtifactsInput!$M$15,CHOOSE(ArtifactsInput!$N$15+1,25,30,35,40,45,50)/100*(Inputs!$B$11-Inputs!$B$11),0)))/100)/2</f>
        <v/>
      </c>
      <c r="M2643">
        <f>L2643*(1+(Inputs!$B$10+0+B2667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3">
        <f>L2643*(1-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2643*(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3">
        <f>(1-Summary!$B$11)*T2643+Summary!$B$11*V2643</f>
        <v/>
      </c>
      <c r="P2643">
        <f>IF(B2672=0,0,O2643/B2672)</f>
        <v/>
      </c>
      <c r="Q2643">
        <f>IFERROR(1/(IF(Inputs!$B$38="pvp",15,MAX(0.1,Skills!D10-IF(Skills!E10=TRUE,Inputs!$B$32,0)))*(1-IF(AND(ArtifactsInput!$M$27,Inputs!$B$4="Chapter Hunt"),CHOOSE(ArtifactsInput!$N$27+1,20,24,28,32,36,40),0)/100)),0)</f>
        <v/>
      </c>
      <c r="R2643">
        <f>IF(AND(Inputs!$B$38&lt;&gt;"pvp",Inputs!$B$43&gt;0),IF(MAX(0,Inputs!$B$43-B2669)&lt;=0,0,(INT(MAX(0,Inputs!$B$43-B2669)/(IF(Inputs!$B$38="pvp",15,MAX(0.1,Skills!D10-IF(Skills!E10=TRUE,Inputs!$B$32,0)))*(1-IF(AND(ArtifactsInput!$M$27,Inputs!$B$4="Chapter Hunt"),CHOOSE(ArtifactsInput!$N$27+1,20,24,28,32,36,40),0)/100)))+1)),0)</f>
        <v/>
      </c>
      <c r="S2643">
        <f>IFERROR(O2643/N2643,0)</f>
        <v/>
      </c>
      <c r="T2643">
        <f>IF(C2643,(H2643*N2643*IF(AND(Inputs!$B$38&lt;&gt;"pvp",Inputs!$B$43&gt;0),((Skills!G10*((R2643-1)*IF(Skills!H10&gt;0,Skills!I10/Skills!H10,1)+IF(Skills!H10&gt;0,MIN(Skills!I10,MAX(0,MAX(0,Inputs!$B$43-B2669)-((R2643-1)*(IF(Inputs!$B$38="pvp",15,MAX(0.1,Skills!D10-IF(Skills!E10=TRUE,Inputs!$B$32,0)))*(1-IF(AND(ArtifactsInput!$M$27,Inputs!$B$4="Chapter Hunt"),CHOOSE(ArtifactsInput!$N$27+1,20,24,28,32,36,40),0)/100)))))/Skills!H10,1)))/Inputs!$B$43),G2643*Q2643)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2643*(1-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2643*(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2643*(1-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2643*(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3">
        <f>IF(C2643,(H2643*N2643*IF(AND(Inputs!$B$38&lt;&gt;"pvp",Inputs!$B$43&gt;0),((Skills!G10*((R2643-1)*IF(Skills!H10&gt;0,Skills!I10/Skills!H10,1)+IF(Skills!H10&gt;0,MIN(Skills!I10,MAX(0,MAX(0,Inputs!$B$43-B2669)-((R2643-1)*(IF(Inputs!$B$38="pvp",15,MAX(0.1,Skills!D10-IF(Skills!E10=TRUE,Inputs!$B$32,0)))*(1-IF(AND(ArtifactsInput!$M$27,Inputs!$B$4="Chapter Hunt"),CHOOSE(ArtifactsInput!$N$27+1,20,24,28,32,36,40),0)/100)))))/Skills!H10,1)))/Inputs!$B$43),G2643*Q2643)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4">
      <c r="A2644">
        <f>Skills!A11</f>
        <v/>
      </c>
      <c r="B2644">
        <f>Skills!B11</f>
        <v/>
      </c>
      <c r="C2644">
        <f>Inputs!$B$3&gt;=35</f>
        <v/>
      </c>
      <c r="D2644">
        <f>IF(Skills!C11=1,60+Inputs!$B$25+Inputs!$B$29,IF(Skills!C11=2,90+Inputs!$B$26+Inputs!$B$29,IF(Skills!C11=3,120+Inputs!$B$27+Inputs!$B$29,MAX(0,(Inputs!$B$3-100)*3)+Inputs!$B$28+Inputs!$B$29)))</f>
        <v/>
      </c>
      <c r="E2644">
        <f>INDEX(FactorTable!$B$2:$Y$301, MATCH(ROUND(MIN(300,MAX(1,D2644)),0), FactorTable!$A$2:$A$301,0), Skills!M11+1)</f>
        <v/>
      </c>
      <c r="F2644">
        <f>IF(Skills!N11=TRUE,(Skills!L11/10)*(E2644/1000),Skills!L11/10)+Skills!O11</f>
        <v/>
      </c>
      <c r="G2644">
        <f>Skills!G11*IF(Skills!H11&gt;0,Skills!I11/Skills!H11,1)</f>
        <v/>
      </c>
      <c r="H2644">
        <f>1-(1-Skills!J11/100)^Skills!K11</f>
        <v/>
      </c>
      <c r="I2644" t="inlineStr">
        <is>
          <t>1</t>
        </is>
      </c>
      <c r="J2644">
        <f>((Inputs!$B$6*(1+Inputs!$B$7/100))+(((Inputs!$B$12*(1+Inputs!$B$13/100))-(Inputs!$B$12*(1+Inputs!$B$13/100)))+0.25*(Inputs!$B$14-Inputs!$B$14))*(1+Inputs!$B$7/100))*(F2644/100)</f>
        <v/>
      </c>
      <c r="K2644">
        <f>J2644*(1+((Inputs!$B$12*(1+Inputs!$B$13/100))*0.01+Inputs!$B$14*0.0025)/100)*(1+Inputs!$B$15/100)*(1+Inputs!$B$16/100)*(5000/(6000+Inputs!$B$42*(1-(100*(1-(1-(Inputs!$B$19+0)/100)*(1-CHOOSE(ArtifactsInput!$N$40+1,5,6,7,8,9,10)/100)^(ArtifactsInput!$M$40-ArtifactsInput!$M$40)))/100)))*(1+(Inputs!$B$24+((C2658=TRUE)*(F2658-Calc!F25))+B2668)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2645=TRUE,F2645,0)/100)*(1+IF(Skills!A11="ENHANCED_RAGING_BLOW",IF(Inputs!$B$3&gt;=134,MAX(0,IF(Inputs!$B$3&gt;=110,7,5)-5)*50,0),0)/100)*(1+(IF(Skills!A11="RAGING_BLOW",Inputs!$B$17+((C2654=TRUE)*(F2654-Calc!F21))+(((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2656=TRUE)*(F2656-Calc!F23))+(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(1+(((C2646=TRUE)*F2646*IF(Inputs!$B$3&gt;=110,7,5))+((C2648=TRUE)*F2648*IF(AND(Inputs!$B$38&lt;&gt;"pvp",Inputs!$B$43&gt;0),(((R2648-1)*(Skills!T15*(1+(Inputs!$B$34+(ArtifactsInput!$M$7-ArtifactsInput!$M$7)*CHOOSE(ArtifactsInput!$N$7+1,6,7.2,8.4,9.6,10.8,12))/100))+MIN((Skills!T15*(1+(Inputs!$B$34+(ArtifactsInput!$M$7-ArtifactsInput!$M$7)*CHOOSE(ArtifactsInput!$N$7+1,6,7.2,8.4,9.6,10.8,12))/100)),MAX(0,Inputs!$B$43-((R2648-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Hunt"),CHOOSE(ArtifactsInput!$N$35+1,15,18,21,24,27,30)*(1-EXP(-(0.2*B2664)*5)),0)+IF(AND(ArtifactsInput!$M$22,Inputs!$B$4&lt;&gt;"Chapter Hunt"),CHOOSE(ArtifactsInput!$N$22+1,10,12,14,16,18,20)*((0*(((0.15*B2664*5))^0/1)+1*(((0.15*B2664*5))^1/1)+2*(((0.15*B2664*5))^2/2)+3*(((0.15*B2664*5))^3/6)+4*(((0.15*B2664*5))^4/24)+5*(((0.15*B2664*5))^5/120))/((((0.15*B2664*5))^0/1)+(((0.15*B2664*5))^1/1)+(((0.15*B2664*5))^2/2)+(((0.15*B2664*5))^3/6)+(((0.15*B2664*5))^4/24)+(((0.15*B2664*5))^5/120))),0)))/100)*I2644)</f>
        <v/>
      </c>
      <c r="L2644">
        <f>K2644*(MIN(Inputs!$B$22+((C2655=TRUE)*(F2655-Calc!F22)),(Inputs!$B$23+((C2657=TRUE)*(F2657-Calc!F24))+(IF(ArtifactsInput!$M$15,CHOOSE(ArtifactsInput!$N$15+1,25,30,35,40,45,50)/100*(Inputs!$B$11-Inputs!$B$11),0))))/100+(Inputs!$B$23+((C2657=TRUE)*(F2657-Calc!F24))+(IF(ArtifactsInput!$M$15,CHOOSE(ArtifactsInput!$N$15+1,25,30,35,40,45,50)/100*(Inputs!$B$11-Inputs!$B$11),0)))/100)/2</f>
        <v/>
      </c>
      <c r="M2644">
        <f>L2644*(1+(Inputs!$B$10+0+B2667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4">
        <f>L2644*(1-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2644*(MIN((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4">
        <f>(1-Summary!$B$11)*T2644+Summary!$B$11*V2644</f>
        <v/>
      </c>
      <c r="P2644">
        <f>IF(B2672=0,0,O2644/B2672)</f>
        <v/>
      </c>
      <c r="Q2644">
        <f>IFERROR(1/(IF(Inputs!$B$38="pvp",15,MAX(0.1,Skills!D11-IF(Skills!E11=TRUE,Inputs!$B$32,0)))*(1-IF(AND(ArtifactsInput!$M$27,Inputs!$B$4="Chapter Hunt"),CHOOSE(ArtifactsInput!$N$27+1,20,24,28,32,36,40),0)/100)),0)</f>
        <v/>
      </c>
      <c r="R2644">
        <f>IF(AND(Inputs!$B$38&lt;&gt;"pvp",Inputs!$B$43&gt;0),IF(MAX(0,Inputs!$B$43-B2669)&lt;=0,0,(INT(MAX(0,Inputs!$B$43-B2669)/(IF(Inputs!$B$38="pvp",15,MAX(0.1,Skills!D11-IF(Skills!E11=TRUE,Inputs!$B$32,0)))*(1-IF(AND(ArtifactsInput!$M$27,Inputs!$B$4="Chapter Hunt"),CHOOSE(ArtifactsInput!$N$27+1,20,24,28,32,36,40),0)/100)))+1)),0)</f>
        <v/>
      </c>
      <c r="S2644">
        <f>IFERROR(O2644/N2644,0)</f>
        <v/>
      </c>
      <c r="T2644">
        <f>IF(C2644,(H2644*N2644*IF(AND(Inputs!$B$38&lt;&gt;"pvp",Inputs!$B$43&gt;0),((Skills!G11*((R2644-1)*IF(Skills!H11&gt;0,Skills!I11/Skills!H11,1)+IF(Skills!H11&gt;0,MIN(Skills!I11,MAX(0,MAX(0,Inputs!$B$43-B2669)-((R2644-1)*(IF(Inputs!$B$38="pvp",15,MAX(0.1,Skills!D11-IF(Skills!E11=TRUE,Inputs!$B$32,0)))*(1-IF(AND(ArtifactsInput!$M$27,Inputs!$B$4="Chapter Hunt"),CHOOSE(ArtifactsInput!$N$27+1,20,24,28,32,36,40),0)/100)))))/Skills!H11,1)))/Inputs!$B$43),G2644*Q2644)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2644*(1-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2644*(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2644*(1-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2644*(MIN(100,(Inputs!$B$9+((C2659=TRUE)*(F2659-Calc!F26))+B2662+(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4">
        <f>IF(C2644,(H2644*N2644*IF(AND(Inputs!$B$38&lt;&gt;"pvp",Inputs!$B$43&gt;0),((Skills!G11*((R2644-1)*IF(Skills!H11&gt;0,Skills!I11/Skills!H11,1)+IF(Skills!H11&gt;0,MIN(Skills!I11,MAX(0,MAX(0,Inputs!$B$43-B2669)-((R2644-1)*(IF(Inputs!$B$38="pvp",15,MAX(0.1,Skills!D11-IF(Skills!E11=TRUE,Inputs!$B$32,0)))*(1-IF(AND(ArtifactsInput!$M$27,Inputs!$B$4="Chapter Hunt"),CHOOSE(ArtifactsInput!$N$27+1,20,24,28,32,36,40),0)/100)))))/Skills!H11,1)))/Inputs!$B$43),G2644*Q2644)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5">
      <c r="A2645">
        <f>Skills!A12</f>
        <v/>
      </c>
      <c r="B2645">
        <f>Skills!B12</f>
        <v/>
      </c>
      <c r="C2645">
        <f>Inputs!$B$3&gt;=100</f>
        <v/>
      </c>
      <c r="D2645">
        <f>IF(Skills!C12=1,60+Inputs!$B$25+Inputs!$B$29,IF(Skills!C12=2,90+Inputs!$B$26+Inputs!$B$29,IF(Skills!C12=3,120+Inputs!$B$27+Inputs!$B$29,MAX(0,(Inputs!$B$3-100)*3)+Inputs!$B$28+Inputs!$B$29)))</f>
        <v/>
      </c>
      <c r="E2645">
        <f>INDEX(FactorTable!$B$2:$Y$301, MATCH(ROUND(MIN(300,MAX(1,D2645)),0), FactorTable!$A$2:$A$301,0), Skills!M12+1)</f>
        <v/>
      </c>
      <c r="F2645">
        <f>IF(Skills!N12=TRUE,(Skills!L12/10)*(E2645/1000),Skills!L12/10)+Skills!O12</f>
        <v/>
      </c>
      <c r="G2645" t="inlineStr"/>
      <c r="H2645" t="inlineStr"/>
      <c r="I2645" t="inlineStr">
        <is>
          <t>1</t>
        </is>
      </c>
      <c r="J2645" t="inlineStr"/>
      <c r="K2645" t="inlineStr"/>
      <c r="L2645" t="inlineStr"/>
      <c r="M2645" t="inlineStr"/>
      <c r="N2645" t="inlineStr"/>
      <c r="O2645" t="inlineStr"/>
      <c r="P2645" t="inlineStr"/>
      <c r="Q2645" t="inlineStr"/>
      <c r="R2645" t="inlineStr"/>
      <c r="S2645" t="inlineStr"/>
    </row>
    <row r="2646">
      <c r="A2646">
        <f>Skills!A13</f>
        <v/>
      </c>
      <c r="B2646">
        <f>Skills!B13</f>
        <v/>
      </c>
      <c r="C2646">
        <f>Inputs!$B$3&gt;=45</f>
        <v/>
      </c>
      <c r="D2646">
        <f>IF(Skills!C13=1,60+Inputs!$B$25+Inputs!$B$29,IF(Skills!C13=2,90+Inputs!$B$26+Inputs!$B$29,IF(Skills!C13=3,120+Inputs!$B$27+Inputs!$B$29,MAX(0,(Inputs!$B$3-100)*3)+Inputs!$B$28+Inputs!$B$29)))</f>
        <v/>
      </c>
      <c r="E2646">
        <f>INDEX(FactorTable!$B$2:$Y$301, MATCH(ROUND(MIN(300,MAX(1,D2646)),0), FactorTable!$A$2:$A$301,0), Skills!M13+1)</f>
        <v/>
      </c>
      <c r="F2646">
        <f>IF(Skills!N13=TRUE,(Skills!L13/10)*(E2646/1000),Skills!L13/10)+Skills!O13</f>
        <v/>
      </c>
      <c r="G2646">
        <f>Skills!G13*IF(Skills!H13&gt;0,Skills!I13/Skills!H13,1)</f>
        <v/>
      </c>
      <c r="H2646">
        <f>1-(1-Skills!J13/100)^Skills!K13</f>
        <v/>
      </c>
      <c r="I2646" t="inlineStr">
        <is>
          <t>1</t>
        </is>
      </c>
      <c r="J2646" t="inlineStr"/>
      <c r="K2646" t="inlineStr"/>
      <c r="L2646" t="inlineStr"/>
      <c r="M2646" t="inlineStr"/>
      <c r="N2646" t="inlineStr"/>
      <c r="O2646">
        <f>(1-Summary!$B$11)*T2646+Summary!$B$11*V2646</f>
        <v/>
      </c>
      <c r="P2646">
        <f>IF(B2672=0,0,O2646/B2672)</f>
        <v/>
      </c>
      <c r="Q2646" t="n">
        <v>0</v>
      </c>
      <c r="R2646" t="n">
        <v>0</v>
      </c>
      <c r="S2646">
        <f>IFERROR(O2646/N2646,0)</f>
        <v/>
      </c>
      <c r="T2646" t="n">
        <v>0</v>
      </c>
      <c r="V2646" t="n">
        <v>0</v>
      </c>
    </row>
    <row r="2647">
      <c r="A2647">
        <f>Skills!A14</f>
        <v/>
      </c>
      <c r="B2647">
        <f>Skills!B14</f>
        <v/>
      </c>
      <c r="C2647">
        <f>Inputs!$B$3&gt;=75</f>
        <v/>
      </c>
      <c r="D2647">
        <f>IF(Skills!C14=1,60+Inputs!$B$25+Inputs!$B$29,IF(Skills!C14=2,90+Inputs!$B$26+Inputs!$B$29,IF(Skills!C14=3,120+Inputs!$B$27+Inputs!$B$29,MAX(0,(Inputs!$B$3-100)*3)+Inputs!$B$28+Inputs!$B$29)))</f>
        <v/>
      </c>
      <c r="E2647">
        <f>INDEX(FactorTable!$B$2:$Y$301, MATCH(ROUND(MIN(300,MAX(1,D2647)),0), FactorTable!$A$2:$A$301,0), Skills!M14+1)</f>
        <v/>
      </c>
      <c r="F2647">
        <f>IF(Skills!N14=TRUE,(Skills!L14/10)*(E2647/1000),Skills!L14/10)+Skills!O14</f>
        <v/>
      </c>
      <c r="G2647">
        <f>Skills!G14*IF(Skills!H14&gt;0,Skills!I14/Skills!H14,1)</f>
        <v/>
      </c>
      <c r="H2647">
        <f>1-(1-Skills!J14/100)^Skills!K14</f>
        <v/>
      </c>
      <c r="I2647" t="inlineStr">
        <is>
          <t>1</t>
        </is>
      </c>
      <c r="J2647" t="inlineStr"/>
      <c r="K2647" t="inlineStr"/>
      <c r="L2647" t="inlineStr"/>
      <c r="M2647" t="inlineStr"/>
      <c r="N2647" t="inlineStr"/>
      <c r="O2647">
        <f>(1-Summary!$B$11)*T2647+Summary!$B$11*V2647</f>
        <v/>
      </c>
      <c r="P2647">
        <f>IF(B2672=0,0,O2647/B2672)</f>
        <v/>
      </c>
      <c r="Q2647" t="n">
        <v>0</v>
      </c>
      <c r="R2647" t="n">
        <v>0</v>
      </c>
      <c r="S2647">
        <f>IFERROR(O2647/N2647,0)</f>
        <v/>
      </c>
      <c r="T2647" t="n">
        <v>0</v>
      </c>
      <c r="V2647" t="n">
        <v>0</v>
      </c>
    </row>
    <row r="2648">
      <c r="A2648">
        <f>Skills!A15</f>
        <v/>
      </c>
      <c r="B2648">
        <f>Skills!B15</f>
        <v/>
      </c>
      <c r="C2648">
        <f>Inputs!$B$3&gt;=40</f>
        <v/>
      </c>
      <c r="D2648">
        <f>IF(Skills!C15=1,60+Inputs!$B$25+Inputs!$B$29,IF(Skills!C15=2,90+Inputs!$B$26+Inputs!$B$29,IF(Skills!C15=3,120+Inputs!$B$27+Inputs!$B$29,MAX(0,(Inputs!$B$3-100)*3)+Inputs!$B$28+Inputs!$B$29)))</f>
        <v/>
      </c>
      <c r="E2648">
        <f>INDEX(FactorTable!$B$2:$Y$301, MATCH(ROUND(MIN(300,MAX(1,D2648)),0), FactorTable!$A$2:$A$301,0), Skills!M15+1)</f>
        <v/>
      </c>
      <c r="F2648">
        <f>IF(Skills!N15=TRUE,(Skills!L15/10)*(E2648/1000),Skills!L15/10)+Skills!O15</f>
        <v/>
      </c>
      <c r="G2648">
        <f>Skills!G15*IF(Skills!H15&gt;0,Skills!I15/Skills!H15,1)</f>
        <v/>
      </c>
      <c r="H2648">
        <f>1-(1-Skills!J15/100)^Skills!K15</f>
        <v/>
      </c>
      <c r="I2648" t="inlineStr">
        <is>
          <t>1</t>
        </is>
      </c>
      <c r="J2648" t="inlineStr"/>
      <c r="K2648" t="inlineStr"/>
      <c r="L2648" t="inlineStr"/>
      <c r="M2648" t="inlineStr"/>
      <c r="N2648" t="inlineStr"/>
      <c r="O2648">
        <f>(1-Summary!$B$11)*T2648+Summary!$B$11*V2648</f>
        <v/>
      </c>
      <c r="P2648">
        <f>IF(B2672=0,0,O2648/B2672)</f>
        <v/>
      </c>
      <c r="Q2648">
        <f>IFERROR(1/(IF(Inputs!$B$38="pvp",15,MAX(0.1,Skills!D15-IF(Skills!E15=TRUE,Inputs!$B$32,0)))*(1-IF(AND(ArtifactsInput!$M$27,Inputs!$B$4="Chapter Hunt"),CHOOSE(ArtifactsInput!$N$27+1,20,24,28,32,36,40),0)/100)),0)</f>
        <v/>
      </c>
      <c r="R2648">
        <f>IF(AND(Inputs!$B$38&lt;&gt;"pvp",Inputs!$B$43&gt;0),IF(Inputs!$B$43&lt;=0,0,(INT(Inputs!$B$43/(IF(Inputs!$B$38="pvp",15,MAX(0.1,Skills!D15-IF(Skills!E15=TRUE,Inputs!$B$32,0)))*(1-IF(AND(ArtifactsInput!$M$27,Inputs!$B$4="Chapter Hunt"),CHOOSE(ArtifactsInput!$N$27+1,20,24,28,32,36,40),0)/100)))+1)),0)</f>
        <v/>
      </c>
      <c r="S2648">
        <f>IFERROR(O2648/N2648,0)</f>
        <v/>
      </c>
      <c r="T2648" t="n">
        <v>0</v>
      </c>
      <c r="V2648" t="n">
        <v>0</v>
      </c>
    </row>
    <row r="2649">
      <c r="A2649">
        <f>Skills!A16</f>
        <v/>
      </c>
      <c r="B2649">
        <f>Skills!B16</f>
        <v/>
      </c>
      <c r="C2649">
        <f>Inputs!$B$3&gt;=66</f>
        <v/>
      </c>
      <c r="D2649">
        <f>IF(Skills!C16=1,60+Inputs!$B$25+Inputs!$B$29,IF(Skills!C16=2,90+Inputs!$B$26+Inputs!$B$29,IF(Skills!C16=3,120+Inputs!$B$27+Inputs!$B$29,MAX(0,(Inputs!$B$3-100)*3)+Inputs!$B$28+Inputs!$B$29)))</f>
        <v/>
      </c>
      <c r="E2649">
        <f>INDEX(FactorTable!$B$2:$Y$301, MATCH(ROUND(MIN(300,MAX(1,D2649)),0), FactorTable!$A$2:$A$301,0), Skills!M16+1)</f>
        <v/>
      </c>
      <c r="F2649">
        <f>IF(Skills!N16=TRUE,(Skills!L16/10)*(E2649/1000),Skills!L16/10)+Skills!O16</f>
        <v/>
      </c>
      <c r="G2649">
        <f>Skills!G16*IF(Skills!H16&gt;0,Skills!I16/Skills!H16,1)</f>
        <v/>
      </c>
      <c r="H2649">
        <f>1-(1-Skills!J16/100)^Skills!K16</f>
        <v/>
      </c>
      <c r="I2649" t="inlineStr">
        <is>
          <t>1</t>
        </is>
      </c>
      <c r="J2649" t="inlineStr"/>
      <c r="K2649" t="inlineStr"/>
      <c r="L2649" t="inlineStr"/>
      <c r="M2649" t="inlineStr"/>
      <c r="N2649" t="inlineStr"/>
      <c r="O2649">
        <f>(1-Summary!$B$11)*T2649+Summary!$B$11*V2649</f>
        <v/>
      </c>
      <c r="P2649">
        <f>IF(B2672=0,0,O2649/B2672)</f>
        <v/>
      </c>
      <c r="Q2649">
        <f>IFERROR(1/(IF(Inputs!$B$38="pvp",15,MAX(0.1,Skills!D16-IF(Skills!E16=TRUE,Inputs!$B$32,0)))*(1-IF(AND(ArtifactsInput!$M$27,Inputs!$B$4="Chapter Hunt"),CHOOSE(ArtifactsInput!$N$27+1,20,24,28,32,36,40),0)/100)),0)</f>
        <v/>
      </c>
      <c r="R2649">
        <f>IF(AND(Inputs!$B$38&lt;&gt;"pvp",Inputs!$B$43&gt;0),IF(Inputs!$B$43&lt;=0,0,(INT(Inputs!$B$43/(IF(Inputs!$B$38="pvp",15,MAX(0.1,Skills!D16-IF(Skills!E16=TRUE,Inputs!$B$32,0)))*(1-IF(AND(ArtifactsInput!$M$27,Inputs!$B$4="Chapter Hunt"),CHOOSE(ArtifactsInput!$N$27+1,20,24,28,32,36,40),0)/100)))+1)),0)</f>
        <v/>
      </c>
      <c r="S2649">
        <f>IFERROR(O2649/N2649,0)</f>
        <v/>
      </c>
      <c r="T2649" t="n">
        <v>0</v>
      </c>
      <c r="V2649" t="n">
        <v>0</v>
      </c>
    </row>
    <row r="2650">
      <c r="A2650">
        <f>Skills!A17</f>
        <v/>
      </c>
      <c r="B2650">
        <f>Skills!B17</f>
        <v/>
      </c>
      <c r="C2650">
        <f>Inputs!$B$3&gt;=115</f>
        <v/>
      </c>
      <c r="D2650">
        <f>IF(Skills!C17=1,60+Inputs!$B$25+Inputs!$B$29,IF(Skills!C17=2,90+Inputs!$B$26+Inputs!$B$29,IF(Skills!C17=3,120+Inputs!$B$27+Inputs!$B$29,MAX(0,(Inputs!$B$3-100)*3)+Inputs!$B$28+Inputs!$B$29)))</f>
        <v/>
      </c>
      <c r="E2650">
        <f>INDEX(FactorTable!$B$2:$Y$301, MATCH(ROUND(MIN(300,MAX(1,D2650)),0), FactorTable!$A$2:$A$301,0), Skills!M17+1)</f>
        <v/>
      </c>
      <c r="F2650">
        <f>IF(Skills!N17=TRUE,(Skills!L17/10)*(E2650/1000),Skills!L17/10)+Skills!O17</f>
        <v/>
      </c>
      <c r="G2650">
        <f>Skills!G17*IF(Skills!H17&gt;0,Skills!I17/Skills!H17,1)</f>
        <v/>
      </c>
      <c r="H2650">
        <f>1-(1-Skills!J17/100)^Skills!K17</f>
        <v/>
      </c>
      <c r="I2650" t="inlineStr">
        <is>
          <t>1</t>
        </is>
      </c>
      <c r="J2650" t="inlineStr"/>
      <c r="K2650" t="inlineStr"/>
      <c r="L2650" t="inlineStr"/>
      <c r="M2650" t="inlineStr"/>
      <c r="N2650" t="inlineStr"/>
      <c r="O2650">
        <f>(1-Summary!$B$11)*T2650+Summary!$B$11*V2650</f>
        <v/>
      </c>
      <c r="P2650">
        <f>IF(B2672=0,0,O2650/B2672)</f>
        <v/>
      </c>
      <c r="Q2650">
        <f>IFERROR(1/(IF(Inputs!$B$38="pvp",15,MAX(0.1,Skills!D17-IF(Skills!E17=TRUE,Inputs!$B$32,0)))*(1-IF(AND(ArtifactsInput!$M$27,Inputs!$B$4="Chapter Hunt"),CHOOSE(ArtifactsInput!$N$27+1,20,24,28,32,36,40),0)/100)),0)</f>
        <v/>
      </c>
      <c r="R2650">
        <f>IF(AND(Inputs!$B$38&lt;&gt;"pvp",Inputs!$B$43&gt;0),IF(Inputs!$B$43&lt;=0,0,(INT(Inputs!$B$43/(IF(Inputs!$B$38="pvp",15,MAX(0.1,Skills!D17-IF(Skills!E17=TRUE,Inputs!$B$32,0)))*(1-IF(AND(ArtifactsInput!$M$27,Inputs!$B$4="Chapter Hunt"),CHOOSE(ArtifactsInput!$N$27+1,20,24,28,32,36,40),0)/100)))+1)),0)</f>
        <v/>
      </c>
      <c r="S2650">
        <f>IFERROR(O2650/N2650,0)</f>
        <v/>
      </c>
      <c r="T2650" t="n">
        <v>0</v>
      </c>
      <c r="V2650" t="n">
        <v>0</v>
      </c>
    </row>
    <row r="2651">
      <c r="A2651">
        <f>Skills!A18</f>
        <v/>
      </c>
      <c r="B2651">
        <f>Skills!B18</f>
        <v/>
      </c>
      <c r="C2651">
        <f>Inputs!$B$3&gt;=115</f>
        <v/>
      </c>
      <c r="D2651">
        <f>IF(Skills!C18=1,60+Inputs!$B$25+Inputs!$B$29,IF(Skills!C18=2,90+Inputs!$B$26+Inputs!$B$29,IF(Skills!C18=3,120+Inputs!$B$27+Inputs!$B$29,MAX(0,(Inputs!$B$3-100)*3)+Inputs!$B$28+Inputs!$B$29)))</f>
        <v/>
      </c>
      <c r="E2651">
        <f>INDEX(FactorTable!$B$2:$Y$301, MATCH(ROUND(MIN(300,MAX(1,D2651)),0), FactorTable!$A$2:$A$301,0), Skills!M18+1)</f>
        <v/>
      </c>
      <c r="F2651">
        <f>IF(Skills!N18=TRUE,(Skills!L18/10)*(E2651/1000),Skills!L18/10)+Skills!O18</f>
        <v/>
      </c>
      <c r="G2651">
        <f>Skills!G18*IF(Skills!H18&gt;0,Skills!I18/Skills!H18,1)</f>
        <v/>
      </c>
      <c r="H2651">
        <f>1-(1-Skills!J18/100)^Skills!K18</f>
        <v/>
      </c>
      <c r="I2651" t="inlineStr">
        <is>
          <t>1</t>
        </is>
      </c>
      <c r="J2651" t="inlineStr"/>
      <c r="K2651" t="inlineStr"/>
      <c r="L2651" t="inlineStr"/>
      <c r="M2651" t="inlineStr"/>
      <c r="N2651" t="inlineStr"/>
      <c r="O2651">
        <f>(1-Summary!$B$11)*T2651+Summary!$B$11*V2651</f>
        <v/>
      </c>
      <c r="P2651">
        <f>IF(B2672=0,0,O2651/B2672)</f>
        <v/>
      </c>
      <c r="Q2651">
        <f>IFERROR(1/(IF(Inputs!$B$38="pvp",15,MAX(0.1,Skills!D18-IF(Skills!E18=TRUE,Inputs!$B$32,0)))*(1-IF(AND(ArtifactsInput!$M$27,Inputs!$B$4="Chapter Hunt"),CHOOSE(ArtifactsInput!$N$27+1,20,24,28,32,36,40),0)/100)),0)</f>
        <v/>
      </c>
      <c r="R2651">
        <f>IF(AND(Inputs!$B$38&lt;&gt;"pvp",Inputs!$B$43&gt;0),IF(Inputs!$B$43&lt;=0,0,(INT(Inputs!$B$43/(IF(Inputs!$B$38="pvp",15,MAX(0.1,Skills!D18-IF(Skills!E18=TRUE,Inputs!$B$32,0)))*(1-IF(AND(ArtifactsInput!$M$27,Inputs!$B$4="Chapter Hunt"),CHOOSE(ArtifactsInput!$N$27+1,20,24,28,32,36,40),0)/100)))+1)),0)</f>
        <v/>
      </c>
      <c r="S2651">
        <f>IFERROR(O2651/N2651,0)</f>
        <v/>
      </c>
      <c r="T2651" t="n">
        <v>0</v>
      </c>
      <c r="V2651" t="n">
        <v>0</v>
      </c>
    </row>
    <row r="2652">
      <c r="A2652">
        <f>Skills!A19</f>
        <v/>
      </c>
      <c r="B2652">
        <f>Skills!B19</f>
        <v/>
      </c>
      <c r="C2652">
        <f>TRUE</f>
        <v/>
      </c>
      <c r="D2652">
        <f>IF(Skills!C19=1,60+Inputs!$B$25+Inputs!$B$29,IF(Skills!C19=2,90+Inputs!$B$26+Inputs!$B$29,IF(Skills!C19=3,120+Inputs!$B$27+Inputs!$B$29,MAX(0,(Inputs!$B$3-100)*3)+Inputs!$B$28+Inputs!$B$29)))</f>
        <v/>
      </c>
      <c r="E2652">
        <f>INDEX(FactorTable!$B$2:$Y$301, MATCH(ROUND(MIN(300,MAX(1,D2652)),0), FactorTable!$A$2:$A$301,0), Skills!M19+1)</f>
        <v/>
      </c>
      <c r="F2652">
        <f>IF(Skills!N19=TRUE,(Skills!L19/10)*(E2652/1000),Skills!L19/10)+Skills!O19</f>
        <v/>
      </c>
      <c r="G2652">
        <f>Skills!G19*IF(Skills!H19&gt;0,Skills!I19/Skills!H19,1)</f>
        <v/>
      </c>
      <c r="H2652">
        <f>1-(1-Skills!J19/100)^Skills!K19</f>
        <v/>
      </c>
      <c r="I2652" t="inlineStr">
        <is>
          <t>1</t>
        </is>
      </c>
      <c r="J2652" t="inlineStr"/>
      <c r="K2652" t="inlineStr"/>
      <c r="L2652" t="inlineStr"/>
      <c r="M2652" t="inlineStr"/>
      <c r="N2652" t="inlineStr"/>
      <c r="O2652">
        <f>(1-Summary!$B$11)*T2652+Summary!$B$11*V2652</f>
        <v/>
      </c>
      <c r="P2652">
        <f>IF(B2672=0,0,O2652/B2672)</f>
        <v/>
      </c>
      <c r="Q2652">
        <f>IFERROR(1/(IF(Inputs!$B$38="pvp",15,MAX(0.1,Skills!D19-IF(Skills!E19=TRUE,Inputs!$B$32,0)))*(1-IF(AND(ArtifactsInput!$M$27,Inputs!$B$4="Chapter Hunt"),CHOOSE(ArtifactsInput!$N$27+1,20,24,28,32,36,40),0)/100)),0)</f>
        <v/>
      </c>
      <c r="R2652">
        <f>IF(AND(Inputs!$B$38&lt;&gt;"pvp",Inputs!$B$43&gt;0),IF(Inputs!$B$43&lt;=0,0,(INT(Inputs!$B$43/(IF(Inputs!$B$38="pvp",15,MAX(0.1,Skills!D19-IF(Skills!E19=TRUE,Inputs!$B$32,0)))*(1-IF(AND(ArtifactsInput!$M$27,Inputs!$B$4="Chapter Hunt"),CHOOSE(ArtifactsInput!$N$27+1,20,24,28,32,36,40),0)/100)))+1)),0)</f>
        <v/>
      </c>
      <c r="S2652">
        <f>IFERROR(O2652/N2652,0)</f>
        <v/>
      </c>
      <c r="T2652" t="n">
        <v>0</v>
      </c>
      <c r="V2652" t="n">
        <v>0</v>
      </c>
    </row>
    <row r="2653">
      <c r="A2653">
        <f>Skills!A20</f>
        <v/>
      </c>
      <c r="B2653">
        <f>Skills!B20</f>
        <v/>
      </c>
      <c r="C2653">
        <f>Inputs!$B$3&gt;=33</f>
        <v/>
      </c>
      <c r="D2653">
        <f>IF(Skills!C20=1,60+Inputs!$B$25+Inputs!$B$29,IF(Skills!C20=2,90+Inputs!$B$26+Inputs!$B$29,IF(Skills!C20=3,120+Inputs!$B$27+Inputs!$B$29,MAX(0,(Inputs!$B$3-100)*3)+Inputs!$B$28+Inputs!$B$29)))</f>
        <v/>
      </c>
      <c r="E2653">
        <f>INDEX(FactorTable!$B$2:$Y$301, MATCH(ROUND(MIN(300,MAX(1,D2653)),0), FactorTable!$A$2:$A$301,0), Skills!M20+1)</f>
        <v/>
      </c>
      <c r="F2653">
        <f>IF(Skills!N20=TRUE,(Skills!L20/10)*(E2653/1000),Skills!L20/10)+Skills!O20</f>
        <v/>
      </c>
      <c r="G2653">
        <f>Skills!G20*IF(Skills!H20&gt;0,Skills!I20/Skills!H20,1)</f>
        <v/>
      </c>
      <c r="H2653">
        <f>1-(1-Skills!J20/100)^Skills!K20</f>
        <v/>
      </c>
      <c r="I2653" t="inlineStr">
        <is>
          <t>1</t>
        </is>
      </c>
      <c r="J2653" t="inlineStr"/>
      <c r="K2653" t="inlineStr"/>
      <c r="L2653" t="inlineStr"/>
      <c r="M2653" t="inlineStr"/>
      <c r="N2653" t="inlineStr"/>
      <c r="O2653">
        <f>(1-Summary!$B$11)*T2653+Summary!$B$11*V2653</f>
        <v/>
      </c>
      <c r="P2653">
        <f>IF(B2672=0,0,O2653/B2672)</f>
        <v/>
      </c>
      <c r="Q2653" t="n">
        <v>0</v>
      </c>
      <c r="R2653" t="n">
        <v>0</v>
      </c>
      <c r="S2653">
        <f>IFERROR(O2653/N2653,0)</f>
        <v/>
      </c>
      <c r="T2653" t="n">
        <v>0</v>
      </c>
      <c r="V2653" t="n">
        <v>0</v>
      </c>
    </row>
    <row r="2654">
      <c r="A2654">
        <f>Skills!A21</f>
        <v/>
      </c>
      <c r="B2654">
        <f>Skills!B21</f>
        <v/>
      </c>
      <c r="C2654">
        <f>Inputs!$B$3&gt;=38</f>
        <v/>
      </c>
      <c r="D2654">
        <f>IF(Skills!C21=1,60+Inputs!$B$25+Inputs!$B$29,IF(Skills!C21=2,90+Inputs!$B$26+Inputs!$B$29,IF(Skills!C21=3,120+Inputs!$B$27+Inputs!$B$29,MAX(0,(Inputs!$B$3-100)*3)+Inputs!$B$28+Inputs!$B$29)))</f>
        <v/>
      </c>
      <c r="E2654">
        <f>INDEX(FactorTable!$B$2:$Y$301, MATCH(ROUND(MIN(300,MAX(1,D2654)),0), FactorTable!$A$2:$A$301,0), Skills!M21+1)</f>
        <v/>
      </c>
      <c r="F2654">
        <f>IF(Skills!N21=TRUE,(Skills!L21/10)*(E2654/1000),Skills!L21/10)+Skills!O21</f>
        <v/>
      </c>
      <c r="G2654">
        <f>Skills!G21*IF(Skills!H21&gt;0,Skills!I21/Skills!H21,1)</f>
        <v/>
      </c>
      <c r="H2654">
        <f>1-(1-Skills!J21/100)^Skills!K21</f>
        <v/>
      </c>
      <c r="I2654" t="inlineStr">
        <is>
          <t>1</t>
        </is>
      </c>
      <c r="J2654" t="inlineStr"/>
      <c r="K2654" t="inlineStr"/>
      <c r="L2654" t="inlineStr"/>
      <c r="M2654" t="inlineStr"/>
      <c r="N2654" t="inlineStr"/>
      <c r="O2654">
        <f>(1-Summary!$B$11)*T2654+Summary!$B$11*V2654</f>
        <v/>
      </c>
      <c r="P2654">
        <f>IF(B2672=0,0,O2654/B2672)</f>
        <v/>
      </c>
      <c r="Q2654" t="n">
        <v>0</v>
      </c>
      <c r="R2654" t="n">
        <v>0</v>
      </c>
      <c r="S2654">
        <f>IFERROR(O2654/N2654,0)</f>
        <v/>
      </c>
      <c r="T2654" t="n">
        <v>0</v>
      </c>
      <c r="V2654" t="n">
        <v>0</v>
      </c>
    </row>
    <row r="2655">
      <c r="A2655">
        <f>Skills!A22</f>
        <v/>
      </c>
      <c r="B2655">
        <f>Skills!B22</f>
        <v/>
      </c>
      <c r="C2655">
        <f>Inputs!$B$3&gt;=43</f>
        <v/>
      </c>
      <c r="D2655">
        <f>IF(Skills!C22=1,60+Inputs!$B$25+Inputs!$B$29,IF(Skills!C22=2,90+Inputs!$B$26+Inputs!$B$29,IF(Skills!C22=3,120+Inputs!$B$27+Inputs!$B$29,MAX(0,(Inputs!$B$3-100)*3)+Inputs!$B$28+Inputs!$B$29)))</f>
        <v/>
      </c>
      <c r="E2655">
        <f>INDEX(FactorTable!$B$2:$Y$301, MATCH(ROUND(MIN(300,MAX(1,D2655)),0), FactorTable!$A$2:$A$301,0), Skills!M22+1)</f>
        <v/>
      </c>
      <c r="F2655">
        <f>IF(Skills!N22=TRUE,(Skills!L22/10)*(E2655/1000),Skills!L22/10)+Skills!O22</f>
        <v/>
      </c>
      <c r="G2655">
        <f>Skills!G22*IF(Skills!H22&gt;0,Skills!I22/Skills!H22,1)</f>
        <v/>
      </c>
      <c r="H2655">
        <f>1-(1-Skills!J22/100)^Skills!K22</f>
        <v/>
      </c>
      <c r="I2655" t="inlineStr">
        <is>
          <t>1</t>
        </is>
      </c>
      <c r="J2655" t="inlineStr"/>
      <c r="K2655" t="inlineStr"/>
      <c r="L2655" t="inlineStr"/>
      <c r="M2655" t="inlineStr"/>
      <c r="N2655" t="inlineStr"/>
      <c r="O2655">
        <f>(1-Summary!$B$11)*T2655+Summary!$B$11*V2655</f>
        <v/>
      </c>
      <c r="P2655">
        <f>IF(B2672=0,0,O2655/B2672)</f>
        <v/>
      </c>
      <c r="Q2655" t="n">
        <v>0</v>
      </c>
      <c r="R2655" t="n">
        <v>0</v>
      </c>
      <c r="S2655">
        <f>IFERROR(O2655/N2655,0)</f>
        <v/>
      </c>
      <c r="T2655" t="n">
        <v>0</v>
      </c>
      <c r="V2655" t="n">
        <v>0</v>
      </c>
    </row>
    <row r="2656">
      <c r="A2656">
        <f>Skills!A23</f>
        <v/>
      </c>
      <c r="B2656">
        <f>Skills!B23</f>
        <v/>
      </c>
      <c r="C2656">
        <f>Inputs!$B$3&gt;=120</f>
        <v/>
      </c>
      <c r="D2656">
        <f>IF(Skills!C23=1,60+Inputs!$B$25+Inputs!$B$29,IF(Skills!C23=2,90+Inputs!$B$26+Inputs!$B$29,IF(Skills!C23=3,120+Inputs!$B$27+Inputs!$B$29,MAX(0,(Inputs!$B$3-100)*3)+Inputs!$B$28+Inputs!$B$29)))</f>
        <v/>
      </c>
      <c r="E2656">
        <f>INDEX(FactorTable!$B$2:$Y$301, MATCH(ROUND(MIN(300,MAX(1,D2656)),0), FactorTable!$A$2:$A$301,0), Skills!M23+1)</f>
        <v/>
      </c>
      <c r="F2656">
        <f>IF(Skills!N23=TRUE,(Skills!L23/10)*(E2656/1000),Skills!L23/10)+Skills!O23</f>
        <v/>
      </c>
      <c r="G2656">
        <f>Skills!G23*IF(Skills!H23&gt;0,Skills!I23/Skills!H23,1)</f>
        <v/>
      </c>
      <c r="H2656">
        <f>1-(1-Skills!J23/100)^Skills!K23</f>
        <v/>
      </c>
      <c r="I2656" t="inlineStr">
        <is>
          <t>1</t>
        </is>
      </c>
      <c r="J2656" t="inlineStr"/>
      <c r="K2656" t="inlineStr"/>
      <c r="L2656" t="inlineStr"/>
      <c r="M2656" t="inlineStr"/>
      <c r="N2656" t="inlineStr"/>
      <c r="O2656">
        <f>(1-Summary!$B$11)*T2656+Summary!$B$11*V2656</f>
        <v/>
      </c>
      <c r="P2656">
        <f>IF(B2672=0,0,O2656/B2672)</f>
        <v/>
      </c>
      <c r="Q2656" t="n">
        <v>0</v>
      </c>
      <c r="R2656" t="n">
        <v>0</v>
      </c>
      <c r="S2656">
        <f>IFERROR(O2656/N2656,0)</f>
        <v/>
      </c>
      <c r="T2656" t="n">
        <v>0</v>
      </c>
      <c r="V2656" t="n">
        <v>0</v>
      </c>
    </row>
    <row r="2657">
      <c r="A2657">
        <f>Skills!A24</f>
        <v/>
      </c>
      <c r="B2657">
        <f>Skills!B24</f>
        <v/>
      </c>
      <c r="C2657">
        <f>Inputs!$B$3&gt;=120</f>
        <v/>
      </c>
      <c r="D2657">
        <f>IF(Skills!C24=1,60+Inputs!$B$25+Inputs!$B$29,IF(Skills!C24=2,90+Inputs!$B$26+Inputs!$B$29,IF(Skills!C24=3,120+Inputs!$B$27+Inputs!$B$29,MAX(0,(Inputs!$B$3-100)*3)+Inputs!$B$28+Inputs!$B$29)))</f>
        <v/>
      </c>
      <c r="E2657">
        <f>INDEX(FactorTable!$B$2:$Y$301, MATCH(ROUND(MIN(300,MAX(1,D2657)),0), FactorTable!$A$2:$A$301,0), Skills!M24+1)</f>
        <v/>
      </c>
      <c r="F2657">
        <f>IF(Skills!N24=TRUE,(Skills!L24/10)*(E2657/1000),Skills!L24/10)+Skills!O24</f>
        <v/>
      </c>
      <c r="G2657">
        <f>Skills!G24*IF(Skills!H24&gt;0,Skills!I24/Skills!H24,1)</f>
        <v/>
      </c>
      <c r="H2657">
        <f>1-(1-Skills!J24/100)^Skills!K24</f>
        <v/>
      </c>
      <c r="I2657" t="inlineStr">
        <is>
          <t>1</t>
        </is>
      </c>
      <c r="J2657" t="inlineStr"/>
      <c r="K2657" t="inlineStr"/>
      <c r="L2657" t="inlineStr"/>
      <c r="M2657" t="inlineStr"/>
      <c r="N2657" t="inlineStr"/>
      <c r="O2657">
        <f>(1-Summary!$B$11)*T2657+Summary!$B$11*V2657</f>
        <v/>
      </c>
      <c r="P2657">
        <f>IF(B2672=0,0,O2657/B2672)</f>
        <v/>
      </c>
      <c r="Q2657" t="n">
        <v>0</v>
      </c>
      <c r="R2657" t="n">
        <v>0</v>
      </c>
      <c r="S2657">
        <f>IFERROR(O2657/N2657,0)</f>
        <v/>
      </c>
      <c r="T2657" t="n">
        <v>0</v>
      </c>
      <c r="V2657" t="n">
        <v>0</v>
      </c>
    </row>
    <row r="2658">
      <c r="A2658">
        <f>Skills!A25</f>
        <v/>
      </c>
      <c r="B2658">
        <f>Skills!B25</f>
        <v/>
      </c>
      <c r="C2658">
        <f>Inputs!$B$3&gt;=125</f>
        <v/>
      </c>
      <c r="D2658">
        <f>IF(Skills!C25=1,60+Inputs!$B$25+Inputs!$B$29,IF(Skills!C25=2,90+Inputs!$B$26+Inputs!$B$29,IF(Skills!C25=3,120+Inputs!$B$27+Inputs!$B$29,MAX(0,(Inputs!$B$3-100)*3)+Inputs!$B$28+Inputs!$B$29)))</f>
        <v/>
      </c>
      <c r="E2658">
        <f>INDEX(FactorTable!$B$2:$Y$301, MATCH(ROUND(MIN(300,MAX(1,D2658)),0), FactorTable!$A$2:$A$301,0), Skills!M25+1)</f>
        <v/>
      </c>
      <c r="F2658">
        <f>IF(Skills!N25=TRUE,(Skills!L25/10)*(E2658/1000),Skills!L25/10)+Skills!O25</f>
        <v/>
      </c>
      <c r="G2658">
        <f>Skills!G25*IF(Skills!H25&gt;0,Skills!I25/Skills!H25,1)</f>
        <v/>
      </c>
      <c r="H2658">
        <f>1-(1-Skills!J25/100)^Skills!K25</f>
        <v/>
      </c>
      <c r="I2658" t="inlineStr">
        <is>
          <t>1</t>
        </is>
      </c>
      <c r="J2658" t="inlineStr"/>
      <c r="K2658" t="inlineStr"/>
      <c r="L2658" t="inlineStr"/>
      <c r="M2658" t="inlineStr"/>
      <c r="N2658" t="inlineStr"/>
      <c r="O2658">
        <f>(1-Summary!$B$11)*T2658+Summary!$B$11*V2658</f>
        <v/>
      </c>
      <c r="P2658">
        <f>IF(B2672=0,0,O2658/B2672)</f>
        <v/>
      </c>
      <c r="Q2658" t="n">
        <v>0</v>
      </c>
      <c r="R2658" t="n">
        <v>0</v>
      </c>
      <c r="S2658">
        <f>IFERROR(O2658/N2658,0)</f>
        <v/>
      </c>
      <c r="T2658" t="n">
        <v>0</v>
      </c>
      <c r="V2658" t="n">
        <v>0</v>
      </c>
    </row>
    <row r="2659">
      <c r="A2659">
        <f>Skills!A26</f>
        <v/>
      </c>
      <c r="B2659">
        <f>Skills!B26</f>
        <v/>
      </c>
      <c r="C2659">
        <f>Inputs!$B$3&gt;=72</f>
        <v/>
      </c>
      <c r="D2659">
        <f>IF(Skills!C26=1,60+Inputs!$B$25+Inputs!$B$29,IF(Skills!C26=2,90+Inputs!$B$26+Inputs!$B$29,IF(Skills!C26=3,120+Inputs!$B$27+Inputs!$B$29,MAX(0,(Inputs!$B$3-100)*3)+Inputs!$B$28+Inputs!$B$29)))</f>
        <v/>
      </c>
      <c r="E2659">
        <f>INDEX(FactorTable!$B$2:$Y$301, MATCH(ROUND(MIN(300,MAX(1,D2659)),0), FactorTable!$A$2:$A$301,0), Skills!M26+1)</f>
        <v/>
      </c>
      <c r="F2659">
        <f>IF(Skills!N26=TRUE,(Skills!L26/10)*(E2659/1000),Skills!L26/10)+Skills!O26</f>
        <v/>
      </c>
      <c r="G2659">
        <f>Skills!G26*IF(Skills!H26&gt;0,Skills!I26/Skills!H26,1)</f>
        <v/>
      </c>
      <c r="H2659">
        <f>1-(1-Skills!J26/100)^Skills!K26</f>
        <v/>
      </c>
      <c r="I2659" t="inlineStr">
        <is>
          <t>1</t>
        </is>
      </c>
      <c r="J2659" t="inlineStr"/>
      <c r="K2659" t="inlineStr"/>
      <c r="L2659" t="inlineStr"/>
      <c r="M2659" t="inlineStr"/>
      <c r="N2659" t="inlineStr"/>
      <c r="O2659">
        <f>(1-Summary!$B$11)*T2659+Summary!$B$11*V2659</f>
        <v/>
      </c>
      <c r="P2659">
        <f>IF(B2672=0,0,O2659/B2672)</f>
        <v/>
      </c>
      <c r="Q2659" t="n">
        <v>0</v>
      </c>
      <c r="R2659" t="n">
        <v>0</v>
      </c>
      <c r="S2659">
        <f>IFERROR(O2659/N2659,0)</f>
        <v/>
      </c>
      <c r="T2659" t="n">
        <v>0</v>
      </c>
      <c r="V2659" t="n">
        <v>0</v>
      </c>
    </row>
    <row r="2661">
      <c r="A2661" t="inlineStr">
        <is>
          <t>Attack% Bucket Multiplier</t>
        </is>
      </c>
      <c r="B2661">
        <f>(1+(((C2646=TRUE)*F2646*IF(Inputs!$B$3&gt;=110,7,5))+((C2648=TRUE)*F2648*IF(AND(Inputs!$B$38&lt;&gt;"pvp",Inputs!$B$43&gt;0),(((R2648-1)*(Skills!T15*(1+(Inputs!$B$34+(ArtifactsInput!$M$7-ArtifactsInput!$M$7)*CHOOSE(ArtifactsInput!$N$7+1,6,7.2,8.4,9.6,10.8,12))/100))+MIN((Skills!T15*(1+(Inputs!$B$34+(ArtifactsInput!$M$7-ArtifactsInput!$M$7)*CHOOSE(ArtifactsInput!$N$7+1,6,7.2,8.4,9.6,10.8,12))/100)),MAX(0,Inputs!$B$43-((R2648-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62">
      <c r="A2662" t="inlineStr">
        <is>
          <t>Global Crit Rate Bonus %</t>
        </is>
      </c>
      <c r="B2662" t="n">
        <v>0</v>
      </c>
    </row>
    <row r="2663">
      <c r="A2663" t="inlineStr">
        <is>
          <t>Attack Speed Buff Bonus %</t>
        </is>
      </c>
      <c r="B2663">
        <f>((C2652=TRUE)*F2652*IF(AND(Inputs!$B$38&lt;&gt;"pvp",Inputs!$B$43&gt;0),(((R2652-1)*(Skills!T19*(1+(Inputs!$B$34+(ArtifactsInput!$M$7-ArtifactsInput!$M$7)*CHOOSE(ArtifactsInput!$N$7+1,6,7.2,8.4,9.6,10.8,12))/100))+MIN((Skills!T19*(1+(Inputs!$B$34+(ArtifactsInput!$M$7-ArtifactsInput!$M$7)*CHOOSE(ArtifactsInput!$N$7+1,6,7.2,8.4,9.6,10.8,12))/100)),MAX(0,Inputs!$B$43-((R2652-1)*Skills!D19))))/Inputs!$B$43),IF(Inputs!$B$38="pvp",MIN((Skills!T19*(1+(Inputs!$B$34+(ArtifactsInput!$M$7-ArtifactsInput!$M$7)*CHOOSE(ArtifactsInput!$N$7+1,6,7.2,8.4,9.6,10.8,12))/100)),15)/15,(Skills!T19*(1+(Inputs!$B$34+(ArtifactsInput!$M$7-ArtifactsInput!$M$7)*CHOOSE(ArtifactsInput!$N$7+1,6,7.2,8.4,9.6,10.8,12))/100))/Skills!D19)))</f>
        <v/>
      </c>
    </row>
    <row r="2664">
      <c r="A2664" t="inlineStr">
        <is>
          <t>Actions Per Second</t>
        </is>
      </c>
      <c r="B2664">
        <f>1+MIN(150,150*(1-(1-(Inputs!$B$11+((C2653=TRUE)*(F2653-Calc!F20)))/150)*(1-B2663/150)))/100</f>
        <v/>
      </c>
    </row>
    <row r="2665">
      <c r="A2665" t="inlineStr">
        <is>
          <t>Skill + Buff Cast Rate</t>
        </is>
      </c>
      <c r="B2665">
        <f>IF(AND(Inputs!$B$38&lt;&gt;"pvp",Inputs!$B$43&gt;0),SUMPRODUCT((Skills!E2:E26=TRUE)*(C2635:C2659=TRUE)*R2635:R2659*Skills!F2:F26)/Inputs!$B$43,SUMPRODUCT((Skills!E2:E26=TRUE)*(C2635:C2659=TRUE)*Q2635:Q2659*Skills!F2:F26))</f>
        <v/>
      </c>
    </row>
    <row r="2666">
      <c r="A2666" t="inlineStr">
        <is>
          <t>Raging Blow Casts Per Second</t>
        </is>
      </c>
      <c r="B2666">
        <f>MAX(0,B2664-B2665)</f>
        <v/>
      </c>
    </row>
    <row r="2667">
      <c r="A2667" t="inlineStr">
        <is>
          <t>Global Critical Damage Bonus % (Enrage)</t>
        </is>
      </c>
      <c r="B2667">
        <f>((C2651=TRUE)*F2651*IF(AND(Inputs!$B$38&lt;&gt;"pvp",Inputs!$B$43&gt;0),(((R2651-1)*(Skills!T18*(1+(Inputs!$B$34+(ArtifactsInput!$M$7-ArtifactsInput!$M$7)*CHOOSE(ArtifactsInput!$N$7+1,6,7.2,8.4,9.6,10.8,12))/100))+MIN((Skills!T18*(1+(Inputs!$B$34+(ArtifactsInput!$M$7-ArtifactsInput!$M$7)*CHOOSE(ArtifactsInput!$N$7+1,6,7.2,8.4,9.6,10.8,12))/100)),MAX(0,Inputs!$B$43-((R2651-1)*Skills!D18))))/Inputs!$B$43),IF(Inputs!$B$38="pvp",MIN((Skills!T18*(1+(Inputs!$B$34+(ArtifactsInput!$M$7-ArtifactsInput!$M$7)*CHOOSE(ArtifactsInput!$N$7+1,6,7.2,8.4,9.6,10.8,12))/100)),15)/15,(Skills!T18*(1+(Inputs!$B$34+(ArtifactsInput!$M$7-ArtifactsInput!$M$7)*CHOOSE(ArtifactsInput!$N$7+1,6,7.2,8.4,9.6,10.8,12))/100))/Skills!D18)))</f>
        <v/>
      </c>
    </row>
    <row r="2668">
      <c r="A2668" t="inlineStr">
        <is>
          <t>Global Final Damage Bonus % (Enrage + Combo Synergy)</t>
        </is>
      </c>
      <c r="B2668">
        <f>((C2650=TRUE)*F2650*IF(AND(Inputs!$B$38&lt;&gt;"pvp",Inputs!$B$43&gt;0),(((R2650-1)*(Skills!T17*(1+(Inputs!$B$34+(ArtifactsInput!$M$7-ArtifactsInput!$M$7)*CHOOSE(ArtifactsInput!$N$7+1,6,7.2,8.4,9.6,10.8,12))/100))+MIN((Skills!T17*(1+(Inputs!$B$34+(ArtifactsInput!$M$7-ArtifactsInput!$M$7)*CHOOSE(ArtifactsInput!$N$7+1,6,7.2,8.4,9.6,10.8,12))/100)),MAX(0,Inputs!$B$43-((R2650-1)*Skills!D17))))/Inputs!$B$43),IF(Inputs!$B$38="pvp",MIN((Skills!T17*(1+(Inputs!$B$34+(ArtifactsInput!$M$7-ArtifactsInput!$M$7)*CHOOSE(ArtifactsInput!$N$7+1,6,7.2,8.4,9.6,10.8,12))/100)),15)/15,(Skills!T17*(1+(Inputs!$B$34+(ArtifactsInput!$M$7-ArtifactsInput!$M$7)*CHOOSE(ArtifactsInput!$N$7+1,6,7.2,8.4,9.6,10.8,12))/100))/Skills!D17)))+((C2647=TRUE)*F2647*IF(Inputs!$B$3&gt;=110,7,5))</f>
        <v/>
      </c>
    </row>
    <row r="2669">
      <c r="A2669" t="inlineStr">
        <is>
          <t>Buff-Casting Startup Delay (s, fixed-duration only)</t>
        </is>
      </c>
      <c r="B2669">
        <f>IF(AND(Inputs!$B$38&lt;&gt;"pvp",Inputs!$B$43&gt;0),SUMPRODUCT((Skills!T2:T26&gt;0)*(Skills!E2:E26=TRUE)*(C2635:C2659=TRUE))/B2664,0)</f>
        <v/>
      </c>
    </row>
    <row r="2670">
      <c r="A2670" t="inlineStr">
        <is>
          <t>Boss-Only Total DPS (this block's swept value)</t>
        </is>
      </c>
      <c r="B2670">
        <f>SUM(T2635:T2659)</f>
        <v/>
      </c>
    </row>
    <row r="2671">
      <c r="A2671" t="inlineStr">
        <is>
          <t>Normal-Only Total DPS (this block's swept value)</t>
        </is>
      </c>
      <c r="B2671">
        <f>SUM(V2635:V2659)</f>
        <v/>
      </c>
    </row>
    <row r="2672">
      <c r="A2672" s="6" t="inlineStr">
        <is>
          <t>TOTAL DPS</t>
        </is>
      </c>
      <c r="B2672" s="6">
        <f>SUM(O2635:O2659)</f>
        <v/>
      </c>
    </row>
    <row r="2675">
      <c r="A2675" s="9" t="inlineStr">
        <is>
          <t>Cooldown Reduction Milestone Sweep (absolute CDR seconds, fixed-duration content only)</t>
        </is>
      </c>
    </row>
    <row r="2676">
      <c r="A2676" s="5" t="inlineStr">
        <is>
          <t>CDR (s)</t>
        </is>
      </c>
      <c r="B2676" s="5" t="inlineStr">
        <is>
          <t>Total DPS</t>
        </is>
      </c>
      <c r="C2676" s="5" t="inlineStr">
        <is>
          <t>DPS Gain (vs prior step)</t>
        </is>
      </c>
      <c r="D2676" s="5" t="inlineStr">
        <is>
          <t>% Gain (vs current CDR)</t>
        </is>
      </c>
    </row>
    <row r="2677">
      <c r="A2677" t="n">
        <v>0.5</v>
      </c>
      <c r="B2677">
        <f>B2728</f>
        <v/>
      </c>
      <c r="C2677" t="n">
        <v>0</v>
      </c>
      <c r="D2677">
        <f>IF(Summary!$B$3=0,0,(B2677-Summary!$B$3)/Summary!$B$3*100)</f>
        <v/>
      </c>
    </row>
    <row r="2678">
      <c r="A2678" t="n">
        <v>1</v>
      </c>
      <c r="B2678">
        <f>B2770</f>
        <v/>
      </c>
      <c r="C2678">
        <f>B2678-B2677</f>
        <v/>
      </c>
      <c r="D2678">
        <f>IF(Summary!$B$3=0,0,(B2678-Summary!$B$3)/Summary!$B$3*100)</f>
        <v/>
      </c>
    </row>
    <row r="2679">
      <c r="A2679" t="n">
        <v>1.5</v>
      </c>
      <c r="B2679">
        <f>B2812</f>
        <v/>
      </c>
      <c r="C2679">
        <f>B2679-B2678</f>
        <v/>
      </c>
      <c r="D2679">
        <f>IF(Summary!$B$3=0,0,(B2679-Summary!$B$3)/Summary!$B$3*100)</f>
        <v/>
      </c>
    </row>
    <row r="2680">
      <c r="A2680" t="n">
        <v>2</v>
      </c>
      <c r="B2680">
        <f>B2854</f>
        <v/>
      </c>
      <c r="C2680">
        <f>B2680-B2679</f>
        <v/>
      </c>
      <c r="D2680">
        <f>IF(Summary!$B$3=0,0,(B2680-Summary!$B$3)/Summary!$B$3*100)</f>
        <v/>
      </c>
    </row>
    <row r="2681">
      <c r="A2681" t="n">
        <v>2.5</v>
      </c>
      <c r="B2681">
        <f>B2896</f>
        <v/>
      </c>
      <c r="C2681">
        <f>B2681-B2680</f>
        <v/>
      </c>
      <c r="D2681">
        <f>IF(Summary!$B$3=0,0,(B2681-Summary!$B$3)/Summary!$B$3*100)</f>
        <v/>
      </c>
    </row>
    <row r="2682">
      <c r="A2682" t="n">
        <v>3</v>
      </c>
      <c r="B2682">
        <f>B2938</f>
        <v/>
      </c>
      <c r="C2682">
        <f>B2682-B2681</f>
        <v/>
      </c>
      <c r="D2682">
        <f>IF(Summary!$B$3=0,0,(B2682-Summary!$B$3)/Summary!$B$3*100)</f>
        <v/>
      </c>
    </row>
    <row r="2683">
      <c r="A2683" t="n">
        <v>3.5</v>
      </c>
      <c r="B2683">
        <f>B2980</f>
        <v/>
      </c>
      <c r="C2683">
        <f>B2683-B2682</f>
        <v/>
      </c>
      <c r="D2683">
        <f>IF(Summary!$B$3=0,0,(B2683-Summary!$B$3)/Summary!$B$3*100)</f>
        <v/>
      </c>
    </row>
    <row r="2684">
      <c r="A2684" t="n">
        <v>4</v>
      </c>
      <c r="B2684">
        <f>B3022</f>
        <v/>
      </c>
      <c r="C2684">
        <f>B2684-B2683</f>
        <v/>
      </c>
      <c r="D2684">
        <f>IF(Summary!$B$3=0,0,(B2684-Summary!$B$3)/Summary!$B$3*100)</f>
        <v/>
      </c>
    </row>
    <row r="2685">
      <c r="A2685" t="n">
        <v>4.5</v>
      </c>
      <c r="B2685">
        <f>B3064</f>
        <v/>
      </c>
      <c r="C2685">
        <f>B2685-B2684</f>
        <v/>
      </c>
      <c r="D2685">
        <f>IF(Summary!$B$3=0,0,(B2685-Summary!$B$3)/Summary!$B$3*100)</f>
        <v/>
      </c>
    </row>
    <row r="2686">
      <c r="A2686" t="n">
        <v>5</v>
      </c>
      <c r="B2686">
        <f>B3106</f>
        <v/>
      </c>
      <c r="C2686">
        <f>B2686-B2685</f>
        <v/>
      </c>
      <c r="D2686">
        <f>IF(Summary!$B$3=0,0,(B2686-Summary!$B$3)/Summary!$B$3*100)</f>
        <v/>
      </c>
    </row>
    <row r="2689">
      <c r="A2689" s="6" t="inlineStr">
        <is>
          <t>Stat: CDR = 0.5s</t>
        </is>
      </c>
    </row>
    <row r="2690">
      <c r="A2690" s="5" t="inlineStr">
        <is>
          <t>Key</t>
        </is>
      </c>
      <c r="B2690" s="5" t="inlineStr">
        <is>
          <t>Name</t>
        </is>
      </c>
      <c r="C2690" s="5" t="inlineStr">
        <is>
          <t>Unlocked</t>
        </is>
      </c>
      <c r="D2690" s="5" t="inlineStr">
        <is>
          <t>InputLevel</t>
        </is>
      </c>
      <c r="E2690" s="5" t="inlineStr">
        <is>
          <t>Factor</t>
        </is>
      </c>
      <c r="F2690" s="5" t="inlineStr">
        <is>
          <t>CoefficientPercent</t>
        </is>
      </c>
      <c r="G2690" s="5" t="inlineStr">
        <is>
          <t>EffectiveHits</t>
        </is>
      </c>
      <c r="H2690" s="5" t="inlineStr">
        <is>
          <t>ProcProbability</t>
        </is>
      </c>
      <c r="I2690" s="5" t="inlineStr">
        <is>
          <t>MapleHeroMultiplier</t>
        </is>
      </c>
      <c r="J2690" s="5" t="inlineStr">
        <is>
          <t>BaseDamage</t>
        </is>
      </c>
      <c r="K2690" s="5" t="inlineStr">
        <is>
          <t>BaseHitDamage</t>
        </is>
      </c>
      <c r="L2690" s="5" t="inlineStr">
        <is>
          <t>NonCritAvg</t>
        </is>
      </c>
      <c r="M2690" s="5" t="inlineStr">
        <is>
          <t>CritAvg</t>
        </is>
      </c>
      <c r="N2690" s="5" t="inlineStr">
        <is>
          <t>ExpectedDamage(perHit)</t>
        </is>
      </c>
      <c r="O2690" s="5" t="inlineStr">
        <is>
          <t>DPS</t>
        </is>
      </c>
      <c r="P2690" s="5" t="inlineStr">
        <is>
          <t>% of Total</t>
        </is>
      </c>
      <c r="Q2690" s="5" t="inlineStr">
        <is>
          <t>InvCooldown</t>
        </is>
      </c>
      <c r="R2690" s="5" t="inlineStr">
        <is>
          <t>CastsInFight</t>
        </is>
      </c>
      <c r="S2690" s="5" t="inlineStr">
        <is>
          <t>HitRate(perSec)</t>
        </is>
      </c>
      <c r="U2690" t="inlineStr">
        <is>
          <t>helpers</t>
        </is>
      </c>
    </row>
    <row r="2691">
      <c r="A2691">
        <f>Skills!A2</f>
        <v/>
      </c>
      <c r="B2691">
        <f>Skills!B2</f>
        <v/>
      </c>
      <c r="C2691">
        <f>Inputs!$B$3&gt;=100</f>
        <v/>
      </c>
      <c r="D2691" t="inlineStr"/>
      <c r="E2691" t="inlineStr"/>
      <c r="F2691">
        <f>U2693+Skills!O2</f>
        <v/>
      </c>
      <c r="G2691">
        <f>Skills!G2*IF(Skills!H2&gt;0,Skills!I2/Skills!H2,1)</f>
        <v/>
      </c>
      <c r="H2691">
        <f>1-(1-Skills!J2/100)^Skills!K2</f>
        <v/>
      </c>
      <c r="I2691" t="inlineStr">
        <is>
          <t>1</t>
        </is>
      </c>
      <c r="J2691">
        <f>((Inputs!$B$6*(1+Inputs!$B$7/100))+(((Inputs!$B$12*(1+Inputs!$B$13/100))-(Inputs!$B$12*(1+Inputs!$B$13/100)))+0.25*(Inputs!$B$14-Inputs!$B$14))*(1+Inputs!$B$7/100))*(F2691/100)</f>
        <v/>
      </c>
      <c r="K2691">
        <f>J2691*(1+((Inputs!$B$12*(1+Inputs!$B$13/100))*0.01+Inputs!$B$14*0.0025)/100)*(1+Inputs!$B$15/100)*(1+Inputs!$B$16/100)*(5000/(6000+Inputs!$B$42*(1-(100*(1-(1-(Inputs!$B$19+0)/100)*(1-CHOOSE(ArtifactsInput!$N$40+1,5,6,7,8,9,10)/100)^(ArtifactsInput!$M$40-ArtifactsInput!$M$40)))/100)))*(1+(Inputs!$B$24+((C2714=TRUE)*(F2714-Calc!F25))+B2724)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2710=TRUE)*(F2710-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2712=TRUE)*(F2712-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2702=TRUE)*F2702*IF(Inputs!$B$3&gt;=110,7,5))+((C2704=TRUE)*F2704*IF(AND(Inputs!$B$38&lt;&gt;"pvp",Inputs!$B$43&gt;0),(((R2704-1)*(Skills!T15*(1+(Inputs!$B$34+(ArtifactsInput!$M$7-ArtifactsInput!$M$7)*CHOOSE(ArtifactsInput!$N$7+1,6,7.2,8.4,9.6,10.8,12))/100))+MIN((Skills!T15*(1+(Inputs!$B$34+(ArtifactsInput!$M$7-ArtifactsInput!$M$7)*CHOOSE(ArtifactsInput!$N$7+1,6,7.2,8.4,9.6,10.8,12))/100)),MAX(0,Inputs!$B$43-((R2704-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Hunt"),CHOOSE(ArtifactsInput!$N$35+1,15,18,21,24,27,30)*(1-EXP(-(0.2*B2720)*5)),0)+IF(AND(ArtifactsInput!$M$22,Inputs!$B$4&lt;&gt;"Chapter Hunt"),CHOOSE(ArtifactsInput!$N$22+1,10,12,14,16,18,20)*((0*(((0.15*B2720*5))^0/1)+1*(((0.15*B2720*5))^1/1)+2*(((0.15*B2720*5))^2/2)+3*(((0.15*B2720*5))^3/6)+4*(((0.15*B2720*5))^4/24)+5*(((0.15*B2720*5))^5/120))/((((0.15*B2720*5))^0/1)+(((0.15*B2720*5))^1/1)+(((0.15*B2720*5))^2/2)+(((0.15*B2720*5))^3/6)+(((0.15*B2720*5))^4/24)+(((0.15*B2720*5))^5/120))),0)))/100)*I2691)</f>
        <v/>
      </c>
      <c r="L2691">
        <f>K2691*(MIN(Inputs!$B$22+((C2711=TRUE)*(F2711-Calc!F22)),(Inputs!$B$23+((C2713=TRUE)*(F2713-Calc!F24))+(IF(ArtifactsInput!$M$15,CHOOSE(ArtifactsInput!$N$15+1,25,30,35,40,45,50)/100*(Inputs!$B$11-Inputs!$B$11),0))))/100+(Inputs!$B$23+((C2713=TRUE)*(F2713-Calc!F24))+(IF(ArtifactsInput!$M$15,CHOOSE(ArtifactsInput!$N$15+1,25,30,35,40,45,50)/100*(Inputs!$B$11-Inputs!$B$11),0)))/100)/2</f>
        <v/>
      </c>
      <c r="M2691">
        <f>L2691*(1+(Inputs!$B$10+0+B2723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1">
        <f>L2691*(1-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2691*(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1">
        <f>(1-Summary!$B$11)*T2691+Summary!$B$11*V2691</f>
        <v/>
      </c>
      <c r="P2691">
        <f>IF(B2728=0,0,O2691/B2728)</f>
        <v/>
      </c>
      <c r="Q2691" t="n">
        <v>0</v>
      </c>
      <c r="R2691" t="n">
        <v>0</v>
      </c>
      <c r="S2691">
        <f>IFERROR(O2691/N2691,0)</f>
        <v/>
      </c>
      <c r="T2691">
        <f>IF(C2691,(Skills!G2*N2691*B2722)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2691*(1-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2691*(1-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91">
        <f>MAX(0,(Inputs!$B$3-100)*3)+Inputs!$B$28+Inputs!$B$29</f>
        <v/>
      </c>
      <c r="V2691">
        <f>IF(C2691,(Skills!G2*N2691*B2722)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2">
      <c r="A2692">
        <f>Skills!A3</f>
        <v/>
      </c>
      <c r="B2692">
        <f>Skills!B3</f>
        <v/>
      </c>
      <c r="C2692">
        <f>Inputs!$B$3&gt;=50</f>
        <v/>
      </c>
      <c r="D2692">
        <f>IF(Skills!C3=1,60+Inputs!$B$25+Inputs!$B$29,IF(Skills!C3=2,90+Inputs!$B$26+Inputs!$B$29,IF(Skills!C3=3,120+Inputs!$B$27+Inputs!$B$29,MAX(0,(Inputs!$B$3-100)*3)+Inputs!$B$28+Inputs!$B$29)))</f>
        <v/>
      </c>
      <c r="E2692">
        <f>INDEX(FactorTable!$B$2:$Y$301, MATCH(ROUND(MIN(300,MAX(1,D2692)),0), FactorTable!$A$2:$A$301,0), Skills!M3+1)</f>
        <v/>
      </c>
      <c r="F2692">
        <f>IF(Skills!N3=TRUE,(Skills!L3/10)*(E2692/1000),Skills!L3/10)+Skills!O3</f>
        <v/>
      </c>
      <c r="G2692" t="inlineStr"/>
      <c r="H2692" t="inlineStr"/>
      <c r="I2692" t="inlineStr">
        <is>
          <t>1</t>
        </is>
      </c>
      <c r="J2692" t="inlineStr"/>
      <c r="K2692" t="inlineStr"/>
      <c r="L2692" t="inlineStr"/>
      <c r="M2692" t="inlineStr"/>
      <c r="N2692" t="inlineStr"/>
      <c r="O2692" t="inlineStr"/>
      <c r="P2692" t="inlineStr"/>
      <c r="Q2692" t="inlineStr"/>
      <c r="R2692" t="inlineStr"/>
      <c r="S2692" t="inlineStr"/>
      <c r="U2692">
        <f>INDEX(FactorTable!$B$2:$Y$301, MATCH(ROUND(MIN(300,MAX(1,U2691)),0), FactorTable!$A$2:$A$301,0), 22)</f>
        <v/>
      </c>
    </row>
    <row r="2693">
      <c r="A2693">
        <f>Skills!A4</f>
        <v/>
      </c>
      <c r="B2693">
        <f>Skills!B4</f>
        <v/>
      </c>
      <c r="C2693">
        <f>Inputs!$B$3&gt;=105</f>
        <v/>
      </c>
      <c r="D2693">
        <f>IF(Skills!C4=1,60+Inputs!$B$25+Inputs!$B$29,IF(Skills!C4=2,90+Inputs!$B$26+Inputs!$B$29,IF(Skills!C4=3,120+Inputs!$B$27+Inputs!$B$29,MAX(0,(Inputs!$B$3-100)*3)+Inputs!$B$28+Inputs!$B$29)))</f>
        <v/>
      </c>
      <c r="E2693">
        <f>INDEX(FactorTable!$B$2:$Y$301, MATCH(ROUND(MIN(300,MAX(1,D2693)),0), FactorTable!$A$2:$A$301,0), Skills!M4+1)</f>
        <v/>
      </c>
      <c r="F2693">
        <f>IF(Skills!N4=TRUE,(Skills!L4/10)*(E2693/1000),Skills!L4/10)+Skills!O4</f>
        <v/>
      </c>
      <c r="G2693" t="inlineStr"/>
      <c r="H2693" t="inlineStr"/>
      <c r="I2693" t="inlineStr">
        <is>
          <t>1</t>
        </is>
      </c>
      <c r="J2693" t="inlineStr"/>
      <c r="K2693" t="inlineStr"/>
      <c r="L2693" t="inlineStr"/>
      <c r="M2693" t="inlineStr"/>
      <c r="N2693" t="inlineStr"/>
      <c r="O2693" t="inlineStr"/>
      <c r="P2693" t="inlineStr"/>
      <c r="Q2693" t="inlineStr"/>
      <c r="R2693" t="inlineStr"/>
      <c r="S2693" t="inlineStr"/>
      <c r="U2693">
        <f>290*U2692/1000</f>
        <v/>
      </c>
    </row>
    <row r="2694">
      <c r="A2694">
        <f>Skills!A5</f>
        <v/>
      </c>
      <c r="B2694">
        <f>Skills!B5</f>
        <v/>
      </c>
      <c r="C2694">
        <f>Inputs!$B$3&gt;=103</f>
        <v/>
      </c>
      <c r="D2694">
        <f>IF(Skills!C5=1,60+Inputs!$B$25+Inputs!$B$29,IF(Skills!C5=2,90+Inputs!$B$26+Inputs!$B$29,IF(Skills!C5=3,120+Inputs!$B$27+Inputs!$B$29,MAX(0,(Inputs!$B$3-100)*3)+Inputs!$B$28+Inputs!$B$29)))</f>
        <v/>
      </c>
      <c r="E2694">
        <f>INDEX(FactorTable!$B$2:$Y$301, MATCH(ROUND(MIN(300,MAX(1,D2694)),0), FactorTable!$A$2:$A$301,0), Skills!M5+1)</f>
        <v/>
      </c>
      <c r="F2694">
        <f>IF(Skills!N5=TRUE,(Skills!L5/10)*(E2694/1000),Skills!L5/10)+Skills!O5</f>
        <v/>
      </c>
      <c r="G2694">
        <f>Skills!G5*IF(Skills!H5&gt;0,Skills!I5/Skills!H5,1)</f>
        <v/>
      </c>
      <c r="H2694">
        <f>1-(1-Skills!J5/100)^Skills!K5</f>
        <v/>
      </c>
      <c r="I2694" t="inlineStr">
        <is>
          <t>1</t>
        </is>
      </c>
      <c r="J2694">
        <f>((Inputs!$B$6*(1+Inputs!$B$7/100))+(((Inputs!$B$12*(1+Inputs!$B$13/100))-(Inputs!$B$12*(1+Inputs!$B$13/100)))+0.25*(Inputs!$B$14-Inputs!$B$14))*(1+Inputs!$B$7/100))*(F2694/100)</f>
        <v/>
      </c>
      <c r="K2694">
        <f>J2694*(1+((Inputs!$B$12*(1+Inputs!$B$13/100))*0.01+Inputs!$B$14*0.0025)/100)*(1+Inputs!$B$15/100)*(1+Inputs!$B$16/100)*(5000/(6000+Inputs!$B$42*(1-(100*(1-(1-(Inputs!$B$19+0)/100)*(1-CHOOSE(ArtifactsInput!$N$40+1,5,6,7,8,9,10)/100)^(ArtifactsInput!$M$40-ArtifactsInput!$M$40)))/100)))*(1+(Inputs!$B$24+((C2714=TRUE)*(F2714-Calc!F25))+B2724)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2710=TRUE)*(F2710-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2712=TRUE)*(F2712-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2702=TRUE)*F2702*IF(Inputs!$B$3&gt;=110,7,5))+((C2704=TRUE)*F2704*IF(AND(Inputs!$B$38&lt;&gt;"pvp",Inputs!$B$43&gt;0),(((R2704-1)*(Skills!T15*(1+(Inputs!$B$34+(ArtifactsInput!$M$7-ArtifactsInput!$M$7)*CHOOSE(ArtifactsInput!$N$7+1,6,7.2,8.4,9.6,10.8,12))/100))+MIN((Skills!T15*(1+(Inputs!$B$34+(ArtifactsInput!$M$7-ArtifactsInput!$M$7)*CHOOSE(ArtifactsInput!$N$7+1,6,7.2,8.4,9.6,10.8,12))/100)),MAX(0,Inputs!$B$43-((R2704-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Hunt"),CHOOSE(ArtifactsInput!$N$35+1,15,18,21,24,27,30)*(1-EXP(-(0.2*B2720)*5)),0)+IF(AND(ArtifactsInput!$M$22,Inputs!$B$4&lt;&gt;"Chapter Hunt"),CHOOSE(ArtifactsInput!$N$22+1,10,12,14,16,18,20)*((0*(((0.15*B2720*5))^0/1)+1*(((0.15*B2720*5))^1/1)+2*(((0.15*B2720*5))^2/2)+3*(((0.15*B2720*5))^3/6)+4*(((0.15*B2720*5))^4/24)+5*(((0.15*B2720*5))^5/120))/((((0.15*B2720*5))^0/1)+(((0.15*B2720*5))^1/1)+(((0.15*B2720*5))^2/2)+(((0.15*B2720*5))^3/6)+(((0.15*B2720*5))^4/24)+(((0.15*B2720*5))^5/120))),0)))/100)*I2694)</f>
        <v/>
      </c>
      <c r="L2694">
        <f>K2694*(MIN(Inputs!$B$22+((C2711=TRUE)*(F2711-Calc!F22)),(Inputs!$B$23+((C2713=TRUE)*(F2713-Calc!F24))+(IF(ArtifactsInput!$M$15,CHOOSE(ArtifactsInput!$N$15+1,25,30,35,40,45,50)/100*(Inputs!$B$11-Inputs!$B$11),0))))/100+(Inputs!$B$23+((C2713=TRUE)*(F2713-Calc!F24))+(IF(ArtifactsInput!$M$15,CHOOSE(ArtifactsInput!$N$15+1,25,30,35,40,45,50)/100*(Inputs!$B$11-Inputs!$B$11),0)))/100)/2</f>
        <v/>
      </c>
      <c r="M2694">
        <f>L2694*(1+(Inputs!$B$10+0+B2723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4">
        <f>L2694*(1-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2694*(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4">
        <f>(1-Summary!$B$11)*T2694+Summary!$B$11*V2694</f>
        <v/>
      </c>
      <c r="P2694">
        <f>IF(B2728=0,0,O2694/B2728)</f>
        <v/>
      </c>
      <c r="Q2694">
        <f>IFERROR(1/(IF(Inputs!$B$38="pvp",15,MAX(0.1,Skills!D5-IF(Skills!E5=TRUE,0.5,0)))*(1-IF(AND(ArtifactsInput!$M$27,Inputs!$B$4="Chapter Hunt"),CHOOSE(ArtifactsInput!$N$27+1,20,24,28,32,36,40),0)/100)),0)</f>
        <v/>
      </c>
      <c r="R2694">
        <f>IF(AND(Inputs!$B$38&lt;&gt;"pvp",Inputs!$B$43&gt;0),IF(MAX(0,Inputs!$B$43-B2725)&lt;=0,0,(INT(MAX(0,Inputs!$B$43-B2725)/(IF(Inputs!$B$38="pvp",15,MAX(0.1,Skills!D5-IF(Skills!E5=TRUE,0.5,0)))*(1-IF(AND(ArtifactsInput!$M$27,Inputs!$B$4="Chapter Hunt"),CHOOSE(ArtifactsInput!$N$27+1,20,24,28,32,36,40),0)/100)))+1)),0)</f>
        <v/>
      </c>
      <c r="S2694">
        <f>IFERROR(O2694/N2694,0)</f>
        <v/>
      </c>
      <c r="T2694">
        <f>IF(C2694,(H2694*N2694*IF(AND(Inputs!$B$38&lt;&gt;"pvp",Inputs!$B$43&gt;0),((Skills!G5*((R2694-1)*IF(Skills!H5&gt;0,Skills!I5/Skills!H5,1)+IF(Skills!H5&gt;0,MIN(Skills!I5,MAX(0,MAX(0,Inputs!$B$43-B2725)-((R2694-1)*(IF(Inputs!$B$38="pvp",15,MAX(0.1,Skills!D5-IF(Skills!E5=TRUE,0.5,0)))*(1-IF(AND(ArtifactsInput!$M$27,Inputs!$B$4="Chapter Hunt"),CHOOSE(ArtifactsInput!$N$27+1,20,24,28,32,36,40),0)/100)))))/Skills!H5,1)))/Inputs!$B$43),G2694*Q2694)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2694*(1-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2694*(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2694*(1-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2694*(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4">
        <f>IF(C2694,(H2694*N2694*IF(AND(Inputs!$B$38&lt;&gt;"pvp",Inputs!$B$43&gt;0),((Skills!G5*((R2694-1)*IF(Skills!H5&gt;0,Skills!I5/Skills!H5,1)+IF(Skills!H5&gt;0,MIN(Skills!I5,MAX(0,MAX(0,Inputs!$B$43-B2725)-((R2694-1)*(IF(Inputs!$B$38="pvp",15,MAX(0.1,Skills!D5-IF(Skills!E5=TRUE,0.5,0)))*(1-IF(AND(ArtifactsInput!$M$27,Inputs!$B$4="Chapter Hunt"),CHOOSE(ArtifactsInput!$N$27+1,20,24,28,32,36,40),0)/100)))))/Skills!H5,1)))/Inputs!$B$43),G2694*Q2694)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5">
      <c r="A2695">
        <f>Skills!A6</f>
        <v/>
      </c>
      <c r="B2695">
        <f>Skills!B6</f>
        <v/>
      </c>
      <c r="C2695">
        <f>Inputs!$B$3&gt;=103</f>
        <v/>
      </c>
      <c r="D2695">
        <f>IF(Skills!C6=1,60+Inputs!$B$25+Inputs!$B$29,IF(Skills!C6=2,90+Inputs!$B$26+Inputs!$B$29,IF(Skills!C6=3,120+Inputs!$B$27+Inputs!$B$29,MAX(0,(Inputs!$B$3-100)*3)+Inputs!$B$28+Inputs!$B$29)))</f>
        <v/>
      </c>
      <c r="E2695">
        <f>INDEX(FactorTable!$B$2:$Y$301, MATCH(ROUND(MIN(300,MAX(1,D2695)),0), FactorTable!$A$2:$A$301,0), Skills!M6+1)</f>
        <v/>
      </c>
      <c r="F2695">
        <f>IF(Skills!N6=TRUE,(Skills!L6/10)*(E2695/1000),Skills!L6/10)+Skills!O6</f>
        <v/>
      </c>
      <c r="G2695">
        <f>Skills!G6*IF(Skills!H6&gt;0,Skills!I6/Skills!H6,1)</f>
        <v/>
      </c>
      <c r="H2695">
        <f>1-(1-Skills!J6/100)^Skills!K6</f>
        <v/>
      </c>
      <c r="I2695" t="inlineStr">
        <is>
          <t>1</t>
        </is>
      </c>
      <c r="J2695">
        <f>((Inputs!$B$6*(1+Inputs!$B$7/100))+(((Inputs!$B$12*(1+Inputs!$B$13/100))-(Inputs!$B$12*(1+Inputs!$B$13/100)))+0.25*(Inputs!$B$14-Inputs!$B$14))*(1+Inputs!$B$7/100))*(F2695/100)</f>
        <v/>
      </c>
      <c r="K2695">
        <f>J2695*(1+((Inputs!$B$12*(1+Inputs!$B$13/100))*0.01+Inputs!$B$14*0.0025)/100)*(1+Inputs!$B$15/100)*(1+Inputs!$B$16/100)*(5000/(6000+Inputs!$B$42*(1-(100*(1-(1-(Inputs!$B$19+0)/100)*(1-CHOOSE(ArtifactsInput!$N$40+1,5,6,7,8,9,10)/100)^(ArtifactsInput!$M$40-ArtifactsInput!$M$40)))/100)))*(1+(Inputs!$B$24+((C2714=TRUE)*(F2714-Calc!F25))+B2724)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2710=TRUE)*(F2710-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2712=TRUE)*(F2712-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2702=TRUE)*F2702*IF(Inputs!$B$3&gt;=110,7,5))+((C2704=TRUE)*F2704*IF(AND(Inputs!$B$38&lt;&gt;"pvp",Inputs!$B$43&gt;0),(((R2704-1)*(Skills!T15*(1+(Inputs!$B$34+(ArtifactsInput!$M$7-ArtifactsInput!$M$7)*CHOOSE(ArtifactsInput!$N$7+1,6,7.2,8.4,9.6,10.8,12))/100))+MIN((Skills!T15*(1+(Inputs!$B$34+(ArtifactsInput!$M$7-ArtifactsInput!$M$7)*CHOOSE(ArtifactsInput!$N$7+1,6,7.2,8.4,9.6,10.8,12))/100)),MAX(0,Inputs!$B$43-((R2704-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Hunt"),CHOOSE(ArtifactsInput!$N$35+1,15,18,21,24,27,30)*(1-EXP(-(0.2*B2720)*5)),0)+IF(AND(ArtifactsInput!$M$22,Inputs!$B$4&lt;&gt;"Chapter Hunt"),CHOOSE(ArtifactsInput!$N$22+1,10,12,14,16,18,20)*((0*(((0.15*B2720*5))^0/1)+1*(((0.15*B2720*5))^1/1)+2*(((0.15*B2720*5))^2/2)+3*(((0.15*B2720*5))^3/6)+4*(((0.15*B2720*5))^4/24)+5*(((0.15*B2720*5))^5/120))/((((0.15*B2720*5))^0/1)+(((0.15*B2720*5))^1/1)+(((0.15*B2720*5))^2/2)+(((0.15*B2720*5))^3/6)+(((0.15*B2720*5))^4/24)+(((0.15*B2720*5))^5/120))),0)))/100)*I2695)</f>
        <v/>
      </c>
      <c r="L2695">
        <f>K2695*(MIN(Inputs!$B$22+((C2711=TRUE)*(F2711-Calc!F22)),(Inputs!$B$23+((C2713=TRUE)*(F2713-Calc!F24))+(IF(ArtifactsInput!$M$15,CHOOSE(ArtifactsInput!$N$15+1,25,30,35,40,45,50)/100*(Inputs!$B$11-Inputs!$B$11),0))))/100+(Inputs!$B$23+((C2713=TRUE)*(F2713-Calc!F24))+(IF(ArtifactsInput!$M$15,CHOOSE(ArtifactsInput!$N$15+1,25,30,35,40,45,50)/100*(Inputs!$B$11-Inputs!$B$11),0)))/100)/2</f>
        <v/>
      </c>
      <c r="M2695">
        <f>L2695*(1+(Inputs!$B$10+0+B2723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5">
        <f>L2695*(1-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2695*(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5">
        <f>(1-Summary!$B$11)*T2695+Summary!$B$11*V2695</f>
        <v/>
      </c>
      <c r="P2695">
        <f>IF(B2728=0,0,O2695/B2728)</f>
        <v/>
      </c>
      <c r="Q2695">
        <f>IFERROR(1/(IF(Inputs!$B$38="pvp",15,MAX(0.1,Skills!D6-IF(Skills!E6=TRUE,0.5,0)))*(1-IF(AND(ArtifactsInput!$M$27,Inputs!$B$4="Chapter Hunt"),CHOOSE(ArtifactsInput!$N$27+1,20,24,28,32,36,40),0)/100)),0)</f>
        <v/>
      </c>
      <c r="R2695">
        <f>IF(AND(Inputs!$B$38&lt;&gt;"pvp",Inputs!$B$43&gt;0),IF(MAX(0,Inputs!$B$43-B2725)&lt;=0,0,(INT(MAX(0,Inputs!$B$43-B2725)/(IF(Inputs!$B$38="pvp",15,MAX(0.1,Skills!D6-IF(Skills!E6=TRUE,0.5,0)))*(1-IF(AND(ArtifactsInput!$M$27,Inputs!$B$4="Chapter Hunt"),CHOOSE(ArtifactsInput!$N$27+1,20,24,28,32,36,40),0)/100)))+1)),0)</f>
        <v/>
      </c>
      <c r="S2695">
        <f>IFERROR(O2695/N2695,0)</f>
        <v/>
      </c>
      <c r="T2695">
        <f>IF(C2695,(H2695*N2695*IF(AND(Inputs!$B$38&lt;&gt;"pvp",Inputs!$B$43&gt;0),((Skills!G6*((R2695-1)*IF(Skills!H6&gt;0,Skills!I6/Skills!H6,1)+IF(Skills!H6&gt;0,MIN(Skills!I6,MAX(0,MAX(0,Inputs!$B$43-B2725)-((R2695-1)*(IF(Inputs!$B$38="pvp",15,MAX(0.1,Skills!D6-IF(Skills!E6=TRUE,0.5,0)))*(1-IF(AND(ArtifactsInput!$M$27,Inputs!$B$4="Chapter Hunt"),CHOOSE(ArtifactsInput!$N$27+1,20,24,28,32,36,40),0)/100)))))/Skills!H6,1)))/Inputs!$B$43),G2695*Q2695)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2695*(1-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2695*(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2695*(1-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2695*(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5">
        <f>IF(C2695,(H2695*N2695*IF(AND(Inputs!$B$38&lt;&gt;"pvp",Inputs!$B$43&gt;0),((Skills!G6*((R2695-1)*IF(Skills!H6&gt;0,Skills!I6/Skills!H6,1)+IF(Skills!H6&gt;0,MIN(Skills!I6,MAX(0,MAX(0,Inputs!$B$43-B2725)-((R2695-1)*(IF(Inputs!$B$38="pvp",15,MAX(0.1,Skills!D6-IF(Skills!E6=TRUE,0.5,0)))*(1-IF(AND(ArtifactsInput!$M$27,Inputs!$B$4="Chapter Hunt"),CHOOSE(ArtifactsInput!$N$27+1,20,24,28,32,36,40),0)/100)))))/Skills!H6,1)))/Inputs!$B$43),G2695*Q2695)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6">
      <c r="A2696">
        <f>Skills!A7</f>
        <v/>
      </c>
      <c r="B2696">
        <f>Skills!B7</f>
        <v/>
      </c>
      <c r="C2696">
        <f>Inputs!$B$3&gt;=107</f>
        <v/>
      </c>
      <c r="D2696">
        <f>IF(Skills!C7=1,60+Inputs!$B$25+Inputs!$B$29,IF(Skills!C7=2,90+Inputs!$B$26+Inputs!$B$29,IF(Skills!C7=3,120+Inputs!$B$27+Inputs!$B$29,MAX(0,(Inputs!$B$3-100)*3)+Inputs!$B$28+Inputs!$B$29)))</f>
        <v/>
      </c>
      <c r="E2696">
        <f>INDEX(FactorTable!$B$2:$Y$301, MATCH(ROUND(MIN(300,MAX(1,D2696)),0), FactorTable!$A$2:$A$301,0), Skills!M7+1)</f>
        <v/>
      </c>
      <c r="F2696">
        <f>IF(Skills!N7=TRUE,(Skills!L7/10)*(E2696/1000),Skills!L7/10)+Skills!O7</f>
        <v/>
      </c>
      <c r="G2696">
        <f>Skills!G7*IF(Skills!H7&gt;0,Skills!I7/Skills!H7,1)</f>
        <v/>
      </c>
      <c r="H2696">
        <f>1-(1-Skills!J7/100)^Skills!K7</f>
        <v/>
      </c>
      <c r="I2696" t="inlineStr">
        <is>
          <t>1</t>
        </is>
      </c>
      <c r="J2696">
        <f>((Inputs!$B$6*(1+Inputs!$B$7/100))+(((Inputs!$B$12*(1+Inputs!$B$13/100))-(Inputs!$B$12*(1+Inputs!$B$13/100)))+0.25*(Inputs!$B$14-Inputs!$B$14))*(1+Inputs!$B$7/100))*(F2696/100)</f>
        <v/>
      </c>
      <c r="K2696">
        <f>J2696*(1+((Inputs!$B$12*(1+Inputs!$B$13/100))*0.01+Inputs!$B$14*0.0025)/100)*(1+Inputs!$B$15/100)*(1+Inputs!$B$16/100)*(5000/(6000+Inputs!$B$42*(1-(100*(1-(1-(Inputs!$B$19+0)/100)*(1-CHOOSE(ArtifactsInput!$N$40+1,5,6,7,8,9,10)/100)^(ArtifactsInput!$M$40-ArtifactsInput!$M$40)))/100)))*(1+(Inputs!$B$24+((C2714=TRUE)*(F2714-Calc!F25))+B2724)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2710=TRUE)*(F2710-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2712=TRUE)*(F2712-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2702=TRUE)*F2702*IF(Inputs!$B$3&gt;=110,7,5))+((C2704=TRUE)*F2704*IF(AND(Inputs!$B$38&lt;&gt;"pvp",Inputs!$B$43&gt;0),(((R2704-1)*(Skills!T15*(1+(Inputs!$B$34+(ArtifactsInput!$M$7-ArtifactsInput!$M$7)*CHOOSE(ArtifactsInput!$N$7+1,6,7.2,8.4,9.6,10.8,12))/100))+MIN((Skills!T15*(1+(Inputs!$B$34+(ArtifactsInput!$M$7-ArtifactsInput!$M$7)*CHOOSE(ArtifactsInput!$N$7+1,6,7.2,8.4,9.6,10.8,12))/100)),MAX(0,Inputs!$B$43-((R2704-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Hunt"),CHOOSE(ArtifactsInput!$N$35+1,15,18,21,24,27,30)*(1-EXP(-(0.2*B2720)*5)),0)+IF(AND(ArtifactsInput!$M$22,Inputs!$B$4&lt;&gt;"Chapter Hunt"),CHOOSE(ArtifactsInput!$N$22+1,10,12,14,16,18,20)*((0*(((0.15*B2720*5))^0/1)+1*(((0.15*B2720*5))^1/1)+2*(((0.15*B2720*5))^2/2)+3*(((0.15*B2720*5))^3/6)+4*(((0.15*B2720*5))^4/24)+5*(((0.15*B2720*5))^5/120))/((((0.15*B2720*5))^0/1)+(((0.15*B2720*5))^1/1)+(((0.15*B2720*5))^2/2)+(((0.15*B2720*5))^3/6)+(((0.15*B2720*5))^4/24)+(((0.15*B2720*5))^5/120))),0)))/100)*I2696)</f>
        <v/>
      </c>
      <c r="L2696">
        <f>K2696*(MIN(Inputs!$B$22+((C2711=TRUE)*(F2711-Calc!F22)),(Inputs!$B$23+((C2713=TRUE)*(F2713-Calc!F24))+(IF(ArtifactsInput!$M$15,CHOOSE(ArtifactsInput!$N$15+1,25,30,35,40,45,50)/100*(Inputs!$B$11-Inputs!$B$11),0))))/100+(Inputs!$B$23+((C2713=TRUE)*(F2713-Calc!F24))+(IF(ArtifactsInput!$M$15,CHOOSE(ArtifactsInput!$N$15+1,25,30,35,40,45,50)/100*(Inputs!$B$11-Inputs!$B$11),0)))/100)/2</f>
        <v/>
      </c>
      <c r="M2696">
        <f>L2696*(1+(Inputs!$B$10+0+B2723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6">
        <f>L2696*(1-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2696*(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6">
        <f>(1-Summary!$B$11)*T2696+Summary!$B$11*V2696</f>
        <v/>
      </c>
      <c r="P2696">
        <f>IF(B2728=0,0,O2696/B2728)</f>
        <v/>
      </c>
      <c r="Q2696">
        <f>IFERROR(1/(IF(Inputs!$B$38="pvp",15,MAX(0.1,Skills!D7-IF(Skills!E7=TRUE,0.5,0)))*(1-IF(AND(ArtifactsInput!$M$27,Inputs!$B$4="Chapter Hunt"),CHOOSE(ArtifactsInput!$N$27+1,20,24,28,32,36,40),0)/100)),0)</f>
        <v/>
      </c>
      <c r="R2696">
        <f>IF(AND(Inputs!$B$38&lt;&gt;"pvp",Inputs!$B$43&gt;0),IF(MAX(0,Inputs!$B$43-B2725)&lt;=0,0,(INT(MAX(0,Inputs!$B$43-B2725)/(IF(Inputs!$B$38="pvp",15,MAX(0.1,Skills!D7-IF(Skills!E7=TRUE,0.5,0)))*(1-IF(AND(ArtifactsInput!$M$27,Inputs!$B$4="Chapter Hunt"),CHOOSE(ArtifactsInput!$N$27+1,20,24,28,32,36,40),0)/100)))+1)),0)</f>
        <v/>
      </c>
      <c r="S2696">
        <f>IFERROR(O2696/N2696,0)</f>
        <v/>
      </c>
      <c r="T2696">
        <f>IF(C2696,(H2696*N2696*IF(AND(Inputs!$B$38&lt;&gt;"pvp",Inputs!$B$43&gt;0),((Skills!G7*((R2696-1)*IF(Skills!H7&gt;0,Skills!I7/Skills!H7,1)+IF(Skills!H7&gt;0,MIN(Skills!I7,MAX(0,MAX(0,Inputs!$B$43-B2725)-((R2696-1)*(IF(Inputs!$B$38="pvp",15,MAX(0.1,Skills!D7-IF(Skills!E7=TRUE,0.5,0)))*(1-IF(AND(ArtifactsInput!$M$27,Inputs!$B$4="Chapter Hunt"),CHOOSE(ArtifactsInput!$N$27+1,20,24,28,32,36,40),0)/100)))))/Skills!H7,1)))/Inputs!$B$43),G2696*Q2696)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2696*(1-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2696*(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2696*(1-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2696*(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6">
        <f>IF(C2696,(H2696*N2696*IF(AND(Inputs!$B$38&lt;&gt;"pvp",Inputs!$B$43&gt;0),((Skills!G7*((R2696-1)*IF(Skills!H7&gt;0,Skills!I7/Skills!H7,1)+IF(Skills!H7&gt;0,MIN(Skills!I7,MAX(0,MAX(0,Inputs!$B$43-B2725)-((R2696-1)*(IF(Inputs!$B$38="pvp",15,MAX(0.1,Skills!D7-IF(Skills!E7=TRUE,0.5,0)))*(1-IF(AND(ArtifactsInput!$M$27,Inputs!$B$4="Chapter Hunt"),CHOOSE(ArtifactsInput!$N$27+1,20,24,28,32,36,40),0)/100)))))/Skills!H7,1)))/Inputs!$B$43),G2696*Q2696)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7">
      <c r="A2697">
        <f>Skills!A8</f>
        <v/>
      </c>
      <c r="B2697">
        <f>Skills!B8</f>
        <v/>
      </c>
      <c r="C2697">
        <f>Inputs!$B$3&gt;=117</f>
        <v/>
      </c>
      <c r="D2697">
        <f>IF(Skills!C8=1,60+Inputs!$B$25+Inputs!$B$29,IF(Skills!C8=2,90+Inputs!$B$26+Inputs!$B$29,IF(Skills!C8=3,120+Inputs!$B$27+Inputs!$B$29,MAX(0,(Inputs!$B$3-100)*3)+Inputs!$B$28+Inputs!$B$29)))</f>
        <v/>
      </c>
      <c r="E2697">
        <f>INDEX(FactorTable!$B$2:$Y$301, MATCH(ROUND(MIN(300,MAX(1,D2697)),0), FactorTable!$A$2:$A$301,0), Skills!M8+1)</f>
        <v/>
      </c>
      <c r="F2697">
        <f>IF(Skills!N8=TRUE,(Skills!L8/10)*(E2697/1000),Skills!L8/10)+Skills!O8</f>
        <v/>
      </c>
      <c r="G2697">
        <f>Skills!G8*IF(Skills!H8&gt;0,Skills!I8/Skills!H8,1)</f>
        <v/>
      </c>
      <c r="H2697">
        <f>1-(1-Skills!J8/100)^Skills!K8</f>
        <v/>
      </c>
      <c r="I2697" t="inlineStr">
        <is>
          <t>1</t>
        </is>
      </c>
      <c r="J2697">
        <f>((Inputs!$B$6*(1+Inputs!$B$7/100))+(((Inputs!$B$12*(1+Inputs!$B$13/100))-(Inputs!$B$12*(1+Inputs!$B$13/100)))+0.25*(Inputs!$B$14-Inputs!$B$14))*(1+Inputs!$B$7/100))*(F2697/100)</f>
        <v/>
      </c>
      <c r="K2697">
        <f>J2697*(1+((Inputs!$B$12*(1+Inputs!$B$13/100))*0.01+Inputs!$B$14*0.0025)/100)*(1+Inputs!$B$15/100)*(1+Inputs!$B$16/100)*(5000/(6000+Inputs!$B$42*(1-(100*(1-(1-(Inputs!$B$19+0)/100)*(1-CHOOSE(ArtifactsInput!$N$40+1,5,6,7,8,9,10)/100)^(ArtifactsInput!$M$40-ArtifactsInput!$M$40)))/100)))*(1+(Inputs!$B$24+((C2714=TRUE)*(F2714-Calc!F25))+B2724)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2710=TRUE)*(F2710-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2712=TRUE)*(F2712-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2702=TRUE)*F2702*IF(Inputs!$B$3&gt;=110,7,5))+((C2704=TRUE)*F2704*IF(AND(Inputs!$B$38&lt;&gt;"pvp",Inputs!$B$43&gt;0),(((R2704-1)*(Skills!T15*(1+(Inputs!$B$34+(ArtifactsInput!$M$7-ArtifactsInput!$M$7)*CHOOSE(ArtifactsInput!$N$7+1,6,7.2,8.4,9.6,10.8,12))/100))+MIN((Skills!T15*(1+(Inputs!$B$34+(ArtifactsInput!$M$7-ArtifactsInput!$M$7)*CHOOSE(ArtifactsInput!$N$7+1,6,7.2,8.4,9.6,10.8,12))/100)),MAX(0,Inputs!$B$43-((R2704-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Hunt"),CHOOSE(ArtifactsInput!$N$35+1,15,18,21,24,27,30)*(1-EXP(-(0.2*B2720)*5)),0)+IF(AND(ArtifactsInput!$M$22,Inputs!$B$4&lt;&gt;"Chapter Hunt"),CHOOSE(ArtifactsInput!$N$22+1,10,12,14,16,18,20)*((0*(((0.15*B2720*5))^0/1)+1*(((0.15*B2720*5))^1/1)+2*(((0.15*B2720*5))^2/2)+3*(((0.15*B2720*5))^3/6)+4*(((0.15*B2720*5))^4/24)+5*(((0.15*B2720*5))^5/120))/((((0.15*B2720*5))^0/1)+(((0.15*B2720*5))^1/1)+(((0.15*B2720*5))^2/2)+(((0.15*B2720*5))^3/6)+(((0.15*B2720*5))^4/24)+(((0.15*B2720*5))^5/120))),0)))/100)*I2697)</f>
        <v/>
      </c>
      <c r="L2697">
        <f>K2697*(MIN(Inputs!$B$22+((C2711=TRUE)*(F2711-Calc!F22)),(Inputs!$B$23+((C2713=TRUE)*(F2713-Calc!F24))+(IF(ArtifactsInput!$M$15,CHOOSE(ArtifactsInput!$N$15+1,25,30,35,40,45,50)/100*(Inputs!$B$11-Inputs!$B$11),0))))/100+(Inputs!$B$23+((C2713=TRUE)*(F2713-Calc!F24))+(IF(ArtifactsInput!$M$15,CHOOSE(ArtifactsInput!$N$15+1,25,30,35,40,45,50)/100*(Inputs!$B$11-Inputs!$B$11),0)))/100)/2</f>
        <v/>
      </c>
      <c r="M2697">
        <f>L2697*(1+(Inputs!$B$10+0+B2723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7">
        <f>L2697*(1-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2697*(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7">
        <f>(1-Summary!$B$11)*T2697+Summary!$B$11*V2697</f>
        <v/>
      </c>
      <c r="P2697">
        <f>IF(B2728=0,0,O2697/B2728)</f>
        <v/>
      </c>
      <c r="Q2697">
        <f>IFERROR(1/(IF(Inputs!$B$38="pvp",15,MAX(0.1,Skills!D8-IF(Skills!E8=TRUE,0.5,0)))*(1-IF(AND(ArtifactsInput!$M$27,Inputs!$B$4="Chapter Hunt"),CHOOSE(ArtifactsInput!$N$27+1,20,24,28,32,36,40),0)/100)),0)</f>
        <v/>
      </c>
      <c r="R2697">
        <f>IF(AND(Inputs!$B$38&lt;&gt;"pvp",Inputs!$B$43&gt;0),IF(MAX(0,Inputs!$B$43-B2725)&lt;=0,0,(INT(MAX(0,Inputs!$B$43-B2725)/(IF(Inputs!$B$38="pvp",15,MAX(0.1,Skills!D8-IF(Skills!E8=TRUE,0.5,0)))*(1-IF(AND(ArtifactsInput!$M$27,Inputs!$B$4="Chapter Hunt"),CHOOSE(ArtifactsInput!$N$27+1,20,24,28,32,36,40),0)/100)))+1)),0)</f>
        <v/>
      </c>
      <c r="S2697">
        <f>IFERROR(O2697/N2697,0)</f>
        <v/>
      </c>
      <c r="T2697">
        <f>IF(C2697,(H2697*N2697*IF(AND(Inputs!$B$38&lt;&gt;"pvp",Inputs!$B$43&gt;0),((Skills!G8*((R2697-1)*IF(Skills!H8&gt;0,Skills!I8/Skills!H8,1)+IF(Skills!H8&gt;0,MIN(Skills!I8,MAX(0,MAX(0,Inputs!$B$43-B2725)-((R2697-1)*(IF(Inputs!$B$38="pvp",15,MAX(0.1,Skills!D8-IF(Skills!E8=TRUE,0.5,0)))*(1-IF(AND(ArtifactsInput!$M$27,Inputs!$B$4="Chapter Hunt"),CHOOSE(ArtifactsInput!$N$27+1,20,24,28,32,36,40),0)/100)))))/Skills!H8,1)))/Inputs!$B$43),G2697*Q2697)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2697*(1-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2697*(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2697*(1-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2697*(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7">
        <f>IF(C2697,(H2697*N2697*IF(AND(Inputs!$B$38&lt;&gt;"pvp",Inputs!$B$43&gt;0),((Skills!G8*((R2697-1)*IF(Skills!H8&gt;0,Skills!I8/Skills!H8,1)+IF(Skills!H8&gt;0,MIN(Skills!I8,MAX(0,MAX(0,Inputs!$B$43-B2725)-((R2697-1)*(IF(Inputs!$B$38="pvp",15,MAX(0.1,Skills!D8-IF(Skills!E8=TRUE,0.5,0)))*(1-IF(AND(ArtifactsInput!$M$27,Inputs!$B$4="Chapter Hunt"),CHOOSE(ArtifactsInput!$N$27+1,20,24,28,32,36,40),0)/100)))))/Skills!H8,1)))/Inputs!$B$43),G2697*Q2697)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8">
      <c r="A2698">
        <f>Skills!A9</f>
        <v/>
      </c>
      <c r="B2698">
        <f>Skills!B9</f>
        <v/>
      </c>
      <c r="C2698">
        <f>Inputs!$B$3&gt;=69</f>
        <v/>
      </c>
      <c r="D2698">
        <f>IF(Skills!C9=1,60+Inputs!$B$25+Inputs!$B$29,IF(Skills!C9=2,90+Inputs!$B$26+Inputs!$B$29,IF(Skills!C9=3,120+Inputs!$B$27+Inputs!$B$29,MAX(0,(Inputs!$B$3-100)*3)+Inputs!$B$28+Inputs!$B$29)))</f>
        <v/>
      </c>
      <c r="E2698">
        <f>INDEX(FactorTable!$B$2:$Y$301, MATCH(ROUND(MIN(300,MAX(1,D2698)),0), FactorTable!$A$2:$A$301,0), Skills!M9+1)</f>
        <v/>
      </c>
      <c r="F2698">
        <f>IF(Skills!N9=TRUE,(Skills!L9/10)*(E2698/1000),Skills!L9/10)+Skills!O9</f>
        <v/>
      </c>
      <c r="G2698">
        <f>Skills!G9*IF(Skills!H9&gt;0,Skills!I9/Skills!H9,1)</f>
        <v/>
      </c>
      <c r="H2698">
        <f>1-(1-Skills!J9/100)^Skills!K9</f>
        <v/>
      </c>
      <c r="I2698" t="inlineStr">
        <is>
          <t>1</t>
        </is>
      </c>
      <c r="J2698">
        <f>((Inputs!$B$6*(1+Inputs!$B$7/100))+(((Inputs!$B$12*(1+Inputs!$B$13/100))-(Inputs!$B$12*(1+Inputs!$B$13/100)))+0.25*(Inputs!$B$14-Inputs!$B$14))*(1+Inputs!$B$7/100))*(F2698/100)</f>
        <v/>
      </c>
      <c r="K2698">
        <f>J2698*(1+((Inputs!$B$12*(1+Inputs!$B$13/100))*0.01+Inputs!$B$14*0.0025)/100)*(1+Inputs!$B$15/100)*(1+Inputs!$B$16/100)*(5000/(6000+Inputs!$B$42*(1-(100*(1-(1-(Inputs!$B$19+0)/100)*(1-CHOOSE(ArtifactsInput!$N$40+1,5,6,7,8,9,10)/100)^(ArtifactsInput!$M$40-ArtifactsInput!$M$40)))/100)))*(1+(Inputs!$B$24+((C2714=TRUE)*(F2714-Calc!F25))+B2724)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2701=TRUE,F2701,0)/100)*(1+IF(Skills!A9="ENHANCED_RAGING_BLOW",IF(Inputs!$B$3&gt;=134,MAX(0,IF(Inputs!$B$3&gt;=110,7,5)-5)*50,0),0)/100)*(1+(IF(Skills!A9="RAGING_BLOW",Inputs!$B$17+((C2710=TRUE)*(F2710-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2712=TRUE)*(F2712-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2702=TRUE)*F2702*IF(Inputs!$B$3&gt;=110,7,5))+((C2704=TRUE)*F2704*IF(AND(Inputs!$B$38&lt;&gt;"pvp",Inputs!$B$43&gt;0),(((R2704-1)*(Skills!T15*(1+(Inputs!$B$34+(ArtifactsInput!$M$7-ArtifactsInput!$M$7)*CHOOSE(ArtifactsInput!$N$7+1,6,7.2,8.4,9.6,10.8,12))/100))+MIN((Skills!T15*(1+(Inputs!$B$34+(ArtifactsInput!$M$7-ArtifactsInput!$M$7)*CHOOSE(ArtifactsInput!$N$7+1,6,7.2,8.4,9.6,10.8,12))/100)),MAX(0,Inputs!$B$43-((R2704-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Hunt"),CHOOSE(ArtifactsInput!$N$35+1,15,18,21,24,27,30)*(1-EXP(-(0.2*B2720)*5)),0)+IF(AND(ArtifactsInput!$M$22,Inputs!$B$4&lt;&gt;"Chapter Hunt"),CHOOSE(ArtifactsInput!$N$22+1,10,12,14,16,18,20)*((0*(((0.15*B2720*5))^0/1)+1*(((0.15*B2720*5))^1/1)+2*(((0.15*B2720*5))^2/2)+3*(((0.15*B2720*5))^3/6)+4*(((0.15*B2720*5))^4/24)+5*(((0.15*B2720*5))^5/120))/((((0.15*B2720*5))^0/1)+(((0.15*B2720*5))^1/1)+(((0.15*B2720*5))^2/2)+(((0.15*B2720*5))^3/6)+(((0.15*B2720*5))^4/24)+(((0.15*B2720*5))^5/120))),0)))/100)*I2698)</f>
        <v/>
      </c>
      <c r="L2698">
        <f>K2698*(MIN(Inputs!$B$22+((C2711=TRUE)*(F2711-Calc!F22)),(Inputs!$B$23+((C2713=TRUE)*(F2713-Calc!F24))+(IF(ArtifactsInput!$M$15,CHOOSE(ArtifactsInput!$N$15+1,25,30,35,40,45,50)/100*(Inputs!$B$11-Inputs!$B$11),0))))/100+(Inputs!$B$23+((C2713=TRUE)*(F2713-Calc!F24))+(IF(ArtifactsInput!$M$15,CHOOSE(ArtifactsInput!$N$15+1,25,30,35,40,45,50)/100*(Inputs!$B$11-Inputs!$B$11),0)))/100)/2</f>
        <v/>
      </c>
      <c r="M2698">
        <f>L2698*(1+(Inputs!$B$10+0+B2723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8">
        <f>L2698*(1-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2698*(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8">
        <f>(1-Summary!$B$11)*T2698+Summary!$B$11*V2698</f>
        <v/>
      </c>
      <c r="P2698">
        <f>IF(B2728=0,0,O2698/B2728)</f>
        <v/>
      </c>
      <c r="Q2698">
        <f>IFERROR(1/(IF(Inputs!$B$38="pvp",15,MAX(0.1,Skills!D9-IF(Skills!E9=TRUE,0.5,0)))*(1-IF(AND(ArtifactsInput!$M$27,Inputs!$B$4="Chapter Hunt"),CHOOSE(ArtifactsInput!$N$27+1,20,24,28,32,36,40),0)/100)),0)</f>
        <v/>
      </c>
      <c r="R2698">
        <f>IF(AND(Inputs!$B$38&lt;&gt;"pvp",Inputs!$B$43&gt;0),IF(MAX(0,Inputs!$B$43-B2725)&lt;=0,0,(INT(MAX(0,Inputs!$B$43-B2725)/(IF(Inputs!$B$38="pvp",15,MAX(0.1,Skills!D9-IF(Skills!E9=TRUE,0.5,0)))*(1-IF(AND(ArtifactsInput!$M$27,Inputs!$B$4="Chapter Hunt"),CHOOSE(ArtifactsInput!$N$27+1,20,24,28,32,36,40),0)/100)))+1)),0)</f>
        <v/>
      </c>
      <c r="S2698">
        <f>IFERROR(O2698/N2698,0)</f>
        <v/>
      </c>
      <c r="T2698">
        <f>IF(C2698,(H2698*N2698*IF(AND(Inputs!$B$38&lt;&gt;"pvp",Inputs!$B$43&gt;0),((Skills!G9*((R2698-1)*IF(Skills!H9&gt;0,Skills!I9/Skills!H9,1)+IF(Skills!H9&gt;0,MIN(Skills!I9,MAX(0,MAX(0,Inputs!$B$43-B2725)-((R2698-1)*(IF(Inputs!$B$38="pvp",15,MAX(0.1,Skills!D9-IF(Skills!E9=TRUE,0.5,0)))*(1-IF(AND(ArtifactsInput!$M$27,Inputs!$B$4="Chapter Hunt"),CHOOSE(ArtifactsInput!$N$27+1,20,24,28,32,36,40),0)/100)))))/Skills!H9,1)))/Inputs!$B$43),G2698*Q2698)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2698*(1-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2698*(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2698*(1-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2698*(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8">
        <f>IF(C2698,(H2698*N2698*IF(AND(Inputs!$B$38&lt;&gt;"pvp",Inputs!$B$43&gt;0),((Skills!G9*((R2698-1)*IF(Skills!H9&gt;0,Skills!I9/Skills!H9,1)+IF(Skills!H9&gt;0,MIN(Skills!I9,MAX(0,MAX(0,Inputs!$B$43-B2725)-((R2698-1)*(IF(Inputs!$B$38="pvp",15,MAX(0.1,Skills!D9-IF(Skills!E9=TRUE,0.5,0)))*(1-IF(AND(ArtifactsInput!$M$27,Inputs!$B$4="Chapter Hunt"),CHOOSE(ArtifactsInput!$N$27+1,20,24,28,32,36,40),0)/100)))))/Skills!H9,1)))/Inputs!$B$43),G2698*Q2698)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9">
      <c r="A2699">
        <f>Skills!A10</f>
        <v/>
      </c>
      <c r="B2699">
        <f>Skills!B10</f>
        <v/>
      </c>
      <c r="C2699">
        <f>Inputs!$B$3&gt;=63</f>
        <v/>
      </c>
      <c r="D2699">
        <f>IF(Skills!C10=1,60+Inputs!$B$25+Inputs!$B$29,IF(Skills!C10=2,90+Inputs!$B$26+Inputs!$B$29,IF(Skills!C10=3,120+Inputs!$B$27+Inputs!$B$29,MAX(0,(Inputs!$B$3-100)*3)+Inputs!$B$28+Inputs!$B$29)))</f>
        <v/>
      </c>
      <c r="E2699">
        <f>INDEX(FactorTable!$B$2:$Y$301, MATCH(ROUND(MIN(300,MAX(1,D2699)),0), FactorTable!$A$2:$A$301,0), Skills!M10+1)</f>
        <v/>
      </c>
      <c r="F2699">
        <f>IF(Skills!N10=TRUE,(Skills!L10/10)*(E2699/1000),Skills!L10/10)+Skills!O10</f>
        <v/>
      </c>
      <c r="G2699">
        <f>Skills!G10*IF(Skills!H10&gt;0,Skills!I10/Skills!H10,1)</f>
        <v/>
      </c>
      <c r="H2699">
        <f>1-(1-Skills!J10/100)^Skills!K10</f>
        <v/>
      </c>
      <c r="I2699" t="inlineStr">
        <is>
          <t>1</t>
        </is>
      </c>
      <c r="J2699">
        <f>((Inputs!$B$6*(1+Inputs!$B$7/100))+(((Inputs!$B$12*(1+Inputs!$B$13/100))-(Inputs!$B$12*(1+Inputs!$B$13/100)))+0.25*(Inputs!$B$14-Inputs!$B$14))*(1+Inputs!$B$7/100))*(F2699/100)</f>
        <v/>
      </c>
      <c r="K2699">
        <f>J2699*(1+((Inputs!$B$12*(1+Inputs!$B$13/100))*0.01+Inputs!$B$14*0.0025)/100)*(1+Inputs!$B$15/100)*(1+Inputs!$B$16/100)*(5000/(6000+Inputs!$B$42*(1-(100*(1-(1-(Inputs!$B$19+0)/100)*(1-CHOOSE(ArtifactsInput!$N$40+1,5,6,7,8,9,10)/100)^(ArtifactsInput!$M$40-ArtifactsInput!$M$40)))/100)))*(1+(Inputs!$B$24+((C2714=TRUE)*(F2714-Calc!F25))+B2724)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2701=TRUE,F2701,0)/100)*(1+IF(Skills!A10="ENHANCED_RAGING_BLOW",IF(Inputs!$B$3&gt;=134,MAX(0,IF(Inputs!$B$3&gt;=110,7,5)-5)*50,0),0)/100)*(1+(IF(Skills!A10="RAGING_BLOW",Inputs!$B$17+((C2710=TRUE)*(F2710-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2712=TRUE)*(F2712-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2702=TRUE)*F2702*IF(Inputs!$B$3&gt;=110,7,5))+((C2704=TRUE)*F2704*IF(AND(Inputs!$B$38&lt;&gt;"pvp",Inputs!$B$43&gt;0),(((R2704-1)*(Skills!T15*(1+(Inputs!$B$34+(ArtifactsInput!$M$7-ArtifactsInput!$M$7)*CHOOSE(ArtifactsInput!$N$7+1,6,7.2,8.4,9.6,10.8,12))/100))+MIN((Skills!T15*(1+(Inputs!$B$34+(ArtifactsInput!$M$7-ArtifactsInput!$M$7)*CHOOSE(ArtifactsInput!$N$7+1,6,7.2,8.4,9.6,10.8,12))/100)),MAX(0,Inputs!$B$43-((R2704-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Hunt"),CHOOSE(ArtifactsInput!$N$35+1,15,18,21,24,27,30)*(1-EXP(-(0.2*B2720)*5)),0)+IF(AND(ArtifactsInput!$M$22,Inputs!$B$4&lt;&gt;"Chapter Hunt"),CHOOSE(ArtifactsInput!$N$22+1,10,12,14,16,18,20)*((0*(((0.15*B2720*5))^0/1)+1*(((0.15*B2720*5))^1/1)+2*(((0.15*B2720*5))^2/2)+3*(((0.15*B2720*5))^3/6)+4*(((0.15*B2720*5))^4/24)+5*(((0.15*B2720*5))^5/120))/((((0.15*B2720*5))^0/1)+(((0.15*B2720*5))^1/1)+(((0.15*B2720*5))^2/2)+(((0.15*B2720*5))^3/6)+(((0.15*B2720*5))^4/24)+(((0.15*B2720*5))^5/120))),0)))/100)*I2699)</f>
        <v/>
      </c>
      <c r="L2699">
        <f>K2699*(MIN(Inputs!$B$22+((C2711=TRUE)*(F2711-Calc!F22)),(Inputs!$B$23+((C2713=TRUE)*(F2713-Calc!F24))+(IF(ArtifactsInput!$M$15,CHOOSE(ArtifactsInput!$N$15+1,25,30,35,40,45,50)/100*(Inputs!$B$11-Inputs!$B$11),0))))/100+(Inputs!$B$23+((C2713=TRUE)*(F2713-Calc!F24))+(IF(ArtifactsInput!$M$15,CHOOSE(ArtifactsInput!$N$15+1,25,30,35,40,45,50)/100*(Inputs!$B$11-Inputs!$B$11),0)))/100)/2</f>
        <v/>
      </c>
      <c r="M2699">
        <f>L2699*(1+(Inputs!$B$10+0+B2723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9">
        <f>L2699*(1-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2699*(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9">
        <f>(1-Summary!$B$11)*T2699+Summary!$B$11*V2699</f>
        <v/>
      </c>
      <c r="P2699">
        <f>IF(B2728=0,0,O2699/B2728)</f>
        <v/>
      </c>
      <c r="Q2699">
        <f>IFERROR(1/(IF(Inputs!$B$38="pvp",15,MAX(0.1,Skills!D10-IF(Skills!E10=TRUE,0.5,0)))*(1-IF(AND(ArtifactsInput!$M$27,Inputs!$B$4="Chapter Hunt"),CHOOSE(ArtifactsInput!$N$27+1,20,24,28,32,36,40),0)/100)),0)</f>
        <v/>
      </c>
      <c r="R2699">
        <f>IF(AND(Inputs!$B$38&lt;&gt;"pvp",Inputs!$B$43&gt;0),IF(MAX(0,Inputs!$B$43-B2725)&lt;=0,0,(INT(MAX(0,Inputs!$B$43-B2725)/(IF(Inputs!$B$38="pvp",15,MAX(0.1,Skills!D10-IF(Skills!E10=TRUE,0.5,0)))*(1-IF(AND(ArtifactsInput!$M$27,Inputs!$B$4="Chapter Hunt"),CHOOSE(ArtifactsInput!$N$27+1,20,24,28,32,36,40),0)/100)))+1)),0)</f>
        <v/>
      </c>
      <c r="S2699">
        <f>IFERROR(O2699/N2699,0)</f>
        <v/>
      </c>
      <c r="T2699">
        <f>IF(C2699,(H2699*N2699*IF(AND(Inputs!$B$38&lt;&gt;"pvp",Inputs!$B$43&gt;0),((Skills!G10*((R2699-1)*IF(Skills!H10&gt;0,Skills!I10/Skills!H10,1)+IF(Skills!H10&gt;0,MIN(Skills!I10,MAX(0,MAX(0,Inputs!$B$43-B2725)-((R2699-1)*(IF(Inputs!$B$38="pvp",15,MAX(0.1,Skills!D10-IF(Skills!E10=TRUE,0.5,0)))*(1-IF(AND(ArtifactsInput!$M$27,Inputs!$B$4="Chapter Hunt"),CHOOSE(ArtifactsInput!$N$27+1,20,24,28,32,36,40),0)/100)))))/Skills!H10,1)))/Inputs!$B$43),G2699*Q2699)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2699*(1-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2699*(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2699*(1-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2699*(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9">
        <f>IF(C2699,(H2699*N2699*IF(AND(Inputs!$B$38&lt;&gt;"pvp",Inputs!$B$43&gt;0),((Skills!G10*((R2699-1)*IF(Skills!H10&gt;0,Skills!I10/Skills!H10,1)+IF(Skills!H10&gt;0,MIN(Skills!I10,MAX(0,MAX(0,Inputs!$B$43-B2725)-((R2699-1)*(IF(Inputs!$B$38="pvp",15,MAX(0.1,Skills!D10-IF(Skills!E10=TRUE,0.5,0)))*(1-IF(AND(ArtifactsInput!$M$27,Inputs!$B$4="Chapter Hunt"),CHOOSE(ArtifactsInput!$N$27+1,20,24,28,32,36,40),0)/100)))))/Skills!H10,1)))/Inputs!$B$43),G2699*Q2699)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0">
      <c r="A2700">
        <f>Skills!A11</f>
        <v/>
      </c>
      <c r="B2700">
        <f>Skills!B11</f>
        <v/>
      </c>
      <c r="C2700">
        <f>Inputs!$B$3&gt;=35</f>
        <v/>
      </c>
      <c r="D2700">
        <f>IF(Skills!C11=1,60+Inputs!$B$25+Inputs!$B$29,IF(Skills!C11=2,90+Inputs!$B$26+Inputs!$B$29,IF(Skills!C11=3,120+Inputs!$B$27+Inputs!$B$29,MAX(0,(Inputs!$B$3-100)*3)+Inputs!$B$28+Inputs!$B$29)))</f>
        <v/>
      </c>
      <c r="E2700">
        <f>INDEX(FactorTable!$B$2:$Y$301, MATCH(ROUND(MIN(300,MAX(1,D2700)),0), FactorTable!$A$2:$A$301,0), Skills!M11+1)</f>
        <v/>
      </c>
      <c r="F2700">
        <f>IF(Skills!N11=TRUE,(Skills!L11/10)*(E2700/1000),Skills!L11/10)+Skills!O11</f>
        <v/>
      </c>
      <c r="G2700">
        <f>Skills!G11*IF(Skills!H11&gt;0,Skills!I11/Skills!H11,1)</f>
        <v/>
      </c>
      <c r="H2700">
        <f>1-(1-Skills!J11/100)^Skills!K11</f>
        <v/>
      </c>
      <c r="I2700" t="inlineStr">
        <is>
          <t>1</t>
        </is>
      </c>
      <c r="J2700">
        <f>((Inputs!$B$6*(1+Inputs!$B$7/100))+(((Inputs!$B$12*(1+Inputs!$B$13/100))-(Inputs!$B$12*(1+Inputs!$B$13/100)))+0.25*(Inputs!$B$14-Inputs!$B$14))*(1+Inputs!$B$7/100))*(F2700/100)</f>
        <v/>
      </c>
      <c r="K2700">
        <f>J2700*(1+((Inputs!$B$12*(1+Inputs!$B$13/100))*0.01+Inputs!$B$14*0.0025)/100)*(1+Inputs!$B$15/100)*(1+Inputs!$B$16/100)*(5000/(6000+Inputs!$B$42*(1-(100*(1-(1-(Inputs!$B$19+0)/100)*(1-CHOOSE(ArtifactsInput!$N$40+1,5,6,7,8,9,10)/100)^(ArtifactsInput!$M$40-ArtifactsInput!$M$40)))/100)))*(1+(Inputs!$B$24+((C2714=TRUE)*(F2714-Calc!F25))+B2724)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2701=TRUE,F2701,0)/100)*(1+IF(Skills!A11="ENHANCED_RAGING_BLOW",IF(Inputs!$B$3&gt;=134,MAX(0,IF(Inputs!$B$3&gt;=110,7,5)-5)*50,0),0)/100)*(1+(IF(Skills!A11="RAGING_BLOW",Inputs!$B$17+((C2710=TRUE)*(F2710-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2712=TRUE)*(F2712-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2702=TRUE)*F2702*IF(Inputs!$B$3&gt;=110,7,5))+((C2704=TRUE)*F2704*IF(AND(Inputs!$B$38&lt;&gt;"pvp",Inputs!$B$43&gt;0),(((R2704-1)*(Skills!T15*(1+(Inputs!$B$34+(ArtifactsInput!$M$7-ArtifactsInput!$M$7)*CHOOSE(ArtifactsInput!$N$7+1,6,7.2,8.4,9.6,10.8,12))/100))+MIN((Skills!T15*(1+(Inputs!$B$34+(ArtifactsInput!$M$7-ArtifactsInput!$M$7)*CHOOSE(ArtifactsInput!$N$7+1,6,7.2,8.4,9.6,10.8,12))/100)),MAX(0,Inputs!$B$43-((R2704-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Hunt"),CHOOSE(ArtifactsInput!$N$35+1,15,18,21,24,27,30)*(1-EXP(-(0.2*B2720)*5)),0)+IF(AND(ArtifactsInput!$M$22,Inputs!$B$4&lt;&gt;"Chapter Hunt"),CHOOSE(ArtifactsInput!$N$22+1,10,12,14,16,18,20)*((0*(((0.15*B2720*5))^0/1)+1*(((0.15*B2720*5))^1/1)+2*(((0.15*B2720*5))^2/2)+3*(((0.15*B2720*5))^3/6)+4*(((0.15*B2720*5))^4/24)+5*(((0.15*B2720*5))^5/120))/((((0.15*B2720*5))^0/1)+(((0.15*B2720*5))^1/1)+(((0.15*B2720*5))^2/2)+(((0.15*B2720*5))^3/6)+(((0.15*B2720*5))^4/24)+(((0.15*B2720*5))^5/120))),0)))/100)*I2700)</f>
        <v/>
      </c>
      <c r="L2700">
        <f>K2700*(MIN(Inputs!$B$22+((C2711=TRUE)*(F2711-Calc!F22)),(Inputs!$B$23+((C2713=TRUE)*(F2713-Calc!F24))+(IF(ArtifactsInput!$M$15,CHOOSE(ArtifactsInput!$N$15+1,25,30,35,40,45,50)/100*(Inputs!$B$11-Inputs!$B$11),0))))/100+(Inputs!$B$23+((C2713=TRUE)*(F2713-Calc!F24))+(IF(ArtifactsInput!$M$15,CHOOSE(ArtifactsInput!$N$15+1,25,30,35,40,45,50)/100*(Inputs!$B$11-Inputs!$B$11),0)))/100)/2</f>
        <v/>
      </c>
      <c r="M2700">
        <f>L2700*(1+(Inputs!$B$10+0+B2723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0">
        <f>L2700*(1-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2700*(MIN((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0">
        <f>(1-Summary!$B$11)*T2700+Summary!$B$11*V2700</f>
        <v/>
      </c>
      <c r="P2700">
        <f>IF(B2728=0,0,O2700/B2728)</f>
        <v/>
      </c>
      <c r="Q2700">
        <f>IFERROR(1/(IF(Inputs!$B$38="pvp",15,MAX(0.1,Skills!D11-IF(Skills!E11=TRUE,0.5,0)))*(1-IF(AND(ArtifactsInput!$M$27,Inputs!$B$4="Chapter Hunt"),CHOOSE(ArtifactsInput!$N$27+1,20,24,28,32,36,40),0)/100)),0)</f>
        <v/>
      </c>
      <c r="R2700">
        <f>IF(AND(Inputs!$B$38&lt;&gt;"pvp",Inputs!$B$43&gt;0),IF(MAX(0,Inputs!$B$43-B2725)&lt;=0,0,(INT(MAX(0,Inputs!$B$43-B2725)/(IF(Inputs!$B$38="pvp",15,MAX(0.1,Skills!D11-IF(Skills!E11=TRUE,0.5,0)))*(1-IF(AND(ArtifactsInput!$M$27,Inputs!$B$4="Chapter Hunt"),CHOOSE(ArtifactsInput!$N$27+1,20,24,28,32,36,40),0)/100)))+1)),0)</f>
        <v/>
      </c>
      <c r="S2700">
        <f>IFERROR(O2700/N2700,0)</f>
        <v/>
      </c>
      <c r="T2700">
        <f>IF(C2700,(H2700*N2700*IF(AND(Inputs!$B$38&lt;&gt;"pvp",Inputs!$B$43&gt;0),((Skills!G11*((R2700-1)*IF(Skills!H11&gt;0,Skills!I11/Skills!H11,1)+IF(Skills!H11&gt;0,MIN(Skills!I11,MAX(0,MAX(0,Inputs!$B$43-B2725)-((R2700-1)*(IF(Inputs!$B$38="pvp",15,MAX(0.1,Skills!D11-IF(Skills!E11=TRUE,0.5,0)))*(1-IF(AND(ArtifactsInput!$M$27,Inputs!$B$4="Chapter Hunt"),CHOOSE(ArtifactsInput!$N$27+1,20,24,28,32,36,40),0)/100)))))/Skills!H11,1)))/Inputs!$B$43),G2700*Q2700)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2700*(1-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2700*(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2700*(1-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2700*(MIN(100,(Inputs!$B$9+((C2715=TRUE)*(F2715-Calc!F26))+B2718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00">
        <f>IF(C2700,(H2700*N2700*IF(AND(Inputs!$B$38&lt;&gt;"pvp",Inputs!$B$43&gt;0),((Skills!G11*((R2700-1)*IF(Skills!H11&gt;0,Skills!I11/Skills!H11,1)+IF(Skills!H11&gt;0,MIN(Skills!I11,MAX(0,MAX(0,Inputs!$B$43-B2725)-((R2700-1)*(IF(Inputs!$B$38="pvp",15,MAX(0.1,Skills!D11-IF(Skills!E11=TRUE,0.5,0)))*(1-IF(AND(ArtifactsInput!$M$27,Inputs!$B$4="Chapter Hunt"),CHOOSE(ArtifactsInput!$N$27+1,20,24,28,32,36,40),0)/100)))))/Skills!H11,1)))/Inputs!$B$43),G2700*Q2700)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01">
      <c r="A2701">
        <f>Skills!A12</f>
        <v/>
      </c>
      <c r="B2701">
        <f>Skills!B12</f>
        <v/>
      </c>
      <c r="C2701">
        <f>Inputs!$B$3&gt;=100</f>
        <v/>
      </c>
      <c r="D2701">
        <f>IF(Skills!C12=1,60+Inputs!$B$25+Inputs!$B$29,IF(Skills!C12=2,90+Inputs!$B$26+Inputs!$B$29,IF(Skills!C12=3,120+Inputs!$B$27+Inputs!$B$29,MAX(0,(Inputs!$B$3-100)*3)+Inputs!$B$28+Inputs!$B$29)))</f>
        <v/>
      </c>
      <c r="E2701">
        <f>INDEX(FactorTable!$B$2:$Y$301, MATCH(ROUND(MIN(300,MAX(1,D2701)),0), FactorTable!$A$2:$A$301,0), Skills!M12+1)</f>
        <v/>
      </c>
      <c r="F2701">
        <f>IF(Skills!N12=TRUE,(Skills!L12/10)*(E2701/1000),Skills!L12/10)+Skills!O12</f>
        <v/>
      </c>
      <c r="G2701" t="inlineStr"/>
      <c r="H2701" t="inlineStr"/>
      <c r="I2701" t="inlineStr">
        <is>
          <t>1</t>
        </is>
      </c>
      <c r="J2701" t="inlineStr"/>
      <c r="K2701" t="inlineStr"/>
      <c r="L2701" t="inlineStr"/>
      <c r="M2701" t="inlineStr"/>
      <c r="N2701" t="inlineStr"/>
      <c r="O2701" t="inlineStr"/>
      <c r="P2701" t="inlineStr"/>
      <c r="Q2701" t="inlineStr"/>
      <c r="R2701" t="inlineStr"/>
      <c r="S2701" t="inlineStr"/>
    </row>
    <row r="2702">
      <c r="A2702">
        <f>Skills!A13</f>
        <v/>
      </c>
      <c r="B2702">
        <f>Skills!B13</f>
        <v/>
      </c>
      <c r="C2702">
        <f>Inputs!$B$3&gt;=45</f>
        <v/>
      </c>
      <c r="D2702">
        <f>IF(Skills!C13=1,60+Inputs!$B$25+Inputs!$B$29,IF(Skills!C13=2,90+Inputs!$B$26+Inputs!$B$29,IF(Skills!C13=3,120+Inputs!$B$27+Inputs!$B$29,MAX(0,(Inputs!$B$3-100)*3)+Inputs!$B$28+Inputs!$B$29)))</f>
        <v/>
      </c>
      <c r="E2702">
        <f>INDEX(FactorTable!$B$2:$Y$301, MATCH(ROUND(MIN(300,MAX(1,D2702)),0), FactorTable!$A$2:$A$301,0), Skills!M13+1)</f>
        <v/>
      </c>
      <c r="F2702">
        <f>IF(Skills!N13=TRUE,(Skills!L13/10)*(E2702/1000),Skills!L13/10)+Skills!O13</f>
        <v/>
      </c>
      <c r="G2702">
        <f>Skills!G13*IF(Skills!H13&gt;0,Skills!I13/Skills!H13,1)</f>
        <v/>
      </c>
      <c r="H2702">
        <f>1-(1-Skills!J13/100)^Skills!K13</f>
        <v/>
      </c>
      <c r="I2702" t="inlineStr">
        <is>
          <t>1</t>
        </is>
      </c>
      <c r="J2702" t="inlineStr"/>
      <c r="K2702" t="inlineStr"/>
      <c r="L2702" t="inlineStr"/>
      <c r="M2702" t="inlineStr"/>
      <c r="N2702" t="inlineStr"/>
      <c r="O2702">
        <f>(1-Summary!$B$11)*T2702+Summary!$B$11*V2702</f>
        <v/>
      </c>
      <c r="P2702">
        <f>IF(B2728=0,0,O2702/B2728)</f>
        <v/>
      </c>
      <c r="Q2702" t="n">
        <v>0</v>
      </c>
      <c r="R2702" t="n">
        <v>0</v>
      </c>
      <c r="S2702">
        <f>IFERROR(O2702/N2702,0)</f>
        <v/>
      </c>
      <c r="T2702" t="n">
        <v>0</v>
      </c>
      <c r="V2702" t="n">
        <v>0</v>
      </c>
    </row>
    <row r="2703">
      <c r="A2703">
        <f>Skills!A14</f>
        <v/>
      </c>
      <c r="B2703">
        <f>Skills!B14</f>
        <v/>
      </c>
      <c r="C2703">
        <f>Inputs!$B$3&gt;=75</f>
        <v/>
      </c>
      <c r="D2703">
        <f>IF(Skills!C14=1,60+Inputs!$B$25+Inputs!$B$29,IF(Skills!C14=2,90+Inputs!$B$26+Inputs!$B$29,IF(Skills!C14=3,120+Inputs!$B$27+Inputs!$B$29,MAX(0,(Inputs!$B$3-100)*3)+Inputs!$B$28+Inputs!$B$29)))</f>
        <v/>
      </c>
      <c r="E2703">
        <f>INDEX(FactorTable!$B$2:$Y$301, MATCH(ROUND(MIN(300,MAX(1,D2703)),0), FactorTable!$A$2:$A$301,0), Skills!M14+1)</f>
        <v/>
      </c>
      <c r="F2703">
        <f>IF(Skills!N14=TRUE,(Skills!L14/10)*(E2703/1000),Skills!L14/10)+Skills!O14</f>
        <v/>
      </c>
      <c r="G2703">
        <f>Skills!G14*IF(Skills!H14&gt;0,Skills!I14/Skills!H14,1)</f>
        <v/>
      </c>
      <c r="H2703">
        <f>1-(1-Skills!J14/100)^Skills!K14</f>
        <v/>
      </c>
      <c r="I2703" t="inlineStr">
        <is>
          <t>1</t>
        </is>
      </c>
      <c r="J2703" t="inlineStr"/>
      <c r="K2703" t="inlineStr"/>
      <c r="L2703" t="inlineStr"/>
      <c r="M2703" t="inlineStr"/>
      <c r="N2703" t="inlineStr"/>
      <c r="O2703">
        <f>(1-Summary!$B$11)*T2703+Summary!$B$11*V2703</f>
        <v/>
      </c>
      <c r="P2703">
        <f>IF(B2728=0,0,O2703/B2728)</f>
        <v/>
      </c>
      <c r="Q2703" t="n">
        <v>0</v>
      </c>
      <c r="R2703" t="n">
        <v>0</v>
      </c>
      <c r="S2703">
        <f>IFERROR(O2703/N2703,0)</f>
        <v/>
      </c>
      <c r="T2703" t="n">
        <v>0</v>
      </c>
      <c r="V2703" t="n">
        <v>0</v>
      </c>
    </row>
    <row r="2704">
      <c r="A2704">
        <f>Skills!A15</f>
        <v/>
      </c>
      <c r="B2704">
        <f>Skills!B15</f>
        <v/>
      </c>
      <c r="C2704">
        <f>Inputs!$B$3&gt;=40</f>
        <v/>
      </c>
      <c r="D2704">
        <f>IF(Skills!C15=1,60+Inputs!$B$25+Inputs!$B$29,IF(Skills!C15=2,90+Inputs!$B$26+Inputs!$B$29,IF(Skills!C15=3,120+Inputs!$B$27+Inputs!$B$29,MAX(0,(Inputs!$B$3-100)*3)+Inputs!$B$28+Inputs!$B$29)))</f>
        <v/>
      </c>
      <c r="E2704">
        <f>INDEX(FactorTable!$B$2:$Y$301, MATCH(ROUND(MIN(300,MAX(1,D2704)),0), FactorTable!$A$2:$A$301,0), Skills!M15+1)</f>
        <v/>
      </c>
      <c r="F2704">
        <f>IF(Skills!N15=TRUE,(Skills!L15/10)*(E2704/1000),Skills!L15/10)+Skills!O15</f>
        <v/>
      </c>
      <c r="G2704">
        <f>Skills!G15*IF(Skills!H15&gt;0,Skills!I15/Skills!H15,1)</f>
        <v/>
      </c>
      <c r="H2704">
        <f>1-(1-Skills!J15/100)^Skills!K15</f>
        <v/>
      </c>
      <c r="I2704" t="inlineStr">
        <is>
          <t>1</t>
        </is>
      </c>
      <c r="J2704" t="inlineStr"/>
      <c r="K2704" t="inlineStr"/>
      <c r="L2704" t="inlineStr"/>
      <c r="M2704" t="inlineStr"/>
      <c r="N2704" t="inlineStr"/>
      <c r="O2704">
        <f>(1-Summary!$B$11)*T2704+Summary!$B$11*V2704</f>
        <v/>
      </c>
      <c r="P2704">
        <f>IF(B2728=0,0,O2704/B2728)</f>
        <v/>
      </c>
      <c r="Q2704">
        <f>IFERROR(1/(IF(Inputs!$B$38="pvp",15,MAX(0.1,Skills!D15-IF(Skills!E15=TRUE,0.5,0)))*(1-IF(AND(ArtifactsInput!$M$27,Inputs!$B$4="Chapter Hunt"),CHOOSE(ArtifactsInput!$N$27+1,20,24,28,32,36,40),0)/100)),0)</f>
        <v/>
      </c>
      <c r="R2704">
        <f>IF(AND(Inputs!$B$38&lt;&gt;"pvp",Inputs!$B$43&gt;0),IF(Inputs!$B$43&lt;=0,0,(INT(Inputs!$B$43/(IF(Inputs!$B$38="pvp",15,MAX(0.1,Skills!D15-IF(Skills!E15=TRUE,0.5,0)))*(1-IF(AND(ArtifactsInput!$M$27,Inputs!$B$4="Chapter Hunt"),CHOOSE(ArtifactsInput!$N$27+1,20,24,28,32,36,40),0)/100)))+1)),0)</f>
        <v/>
      </c>
      <c r="S2704">
        <f>IFERROR(O2704/N2704,0)</f>
        <v/>
      </c>
      <c r="T2704" t="n">
        <v>0</v>
      </c>
      <c r="V2704" t="n">
        <v>0</v>
      </c>
    </row>
    <row r="2705">
      <c r="A2705">
        <f>Skills!A16</f>
        <v/>
      </c>
      <c r="B2705">
        <f>Skills!B16</f>
        <v/>
      </c>
      <c r="C2705">
        <f>Inputs!$B$3&gt;=66</f>
        <v/>
      </c>
      <c r="D2705">
        <f>IF(Skills!C16=1,60+Inputs!$B$25+Inputs!$B$29,IF(Skills!C16=2,90+Inputs!$B$26+Inputs!$B$29,IF(Skills!C16=3,120+Inputs!$B$27+Inputs!$B$29,MAX(0,(Inputs!$B$3-100)*3)+Inputs!$B$28+Inputs!$B$29)))</f>
        <v/>
      </c>
      <c r="E2705">
        <f>INDEX(FactorTable!$B$2:$Y$301, MATCH(ROUND(MIN(300,MAX(1,D2705)),0), FactorTable!$A$2:$A$301,0), Skills!M16+1)</f>
        <v/>
      </c>
      <c r="F2705">
        <f>IF(Skills!N16=TRUE,(Skills!L16/10)*(E2705/1000),Skills!L16/10)+Skills!O16</f>
        <v/>
      </c>
      <c r="G2705">
        <f>Skills!G16*IF(Skills!H16&gt;0,Skills!I16/Skills!H16,1)</f>
        <v/>
      </c>
      <c r="H2705">
        <f>1-(1-Skills!J16/100)^Skills!K16</f>
        <v/>
      </c>
      <c r="I2705" t="inlineStr">
        <is>
          <t>1</t>
        </is>
      </c>
      <c r="J2705" t="inlineStr"/>
      <c r="K2705" t="inlineStr"/>
      <c r="L2705" t="inlineStr"/>
      <c r="M2705" t="inlineStr"/>
      <c r="N2705" t="inlineStr"/>
      <c r="O2705">
        <f>(1-Summary!$B$11)*T2705+Summary!$B$11*V2705</f>
        <v/>
      </c>
      <c r="P2705">
        <f>IF(B2728=0,0,O2705/B2728)</f>
        <v/>
      </c>
      <c r="Q2705">
        <f>IFERROR(1/(IF(Inputs!$B$38="pvp",15,MAX(0.1,Skills!D16-IF(Skills!E16=TRUE,0.5,0)))*(1-IF(AND(ArtifactsInput!$M$27,Inputs!$B$4="Chapter Hunt"),CHOOSE(ArtifactsInput!$N$27+1,20,24,28,32,36,40),0)/100)),0)</f>
        <v/>
      </c>
      <c r="R2705">
        <f>IF(AND(Inputs!$B$38&lt;&gt;"pvp",Inputs!$B$43&gt;0),IF(Inputs!$B$43&lt;=0,0,(INT(Inputs!$B$43/(IF(Inputs!$B$38="pvp",15,MAX(0.1,Skills!D16-IF(Skills!E16=TRUE,0.5,0)))*(1-IF(AND(ArtifactsInput!$M$27,Inputs!$B$4="Chapter Hunt"),CHOOSE(ArtifactsInput!$N$27+1,20,24,28,32,36,40),0)/100)))+1)),0)</f>
        <v/>
      </c>
      <c r="S2705">
        <f>IFERROR(O2705/N2705,0)</f>
        <v/>
      </c>
      <c r="T2705" t="n">
        <v>0</v>
      </c>
      <c r="V2705" t="n">
        <v>0</v>
      </c>
    </row>
    <row r="2706">
      <c r="A2706">
        <f>Skills!A17</f>
        <v/>
      </c>
      <c r="B2706">
        <f>Skills!B17</f>
        <v/>
      </c>
      <c r="C2706">
        <f>Inputs!$B$3&gt;=115</f>
        <v/>
      </c>
      <c r="D2706">
        <f>IF(Skills!C17=1,60+Inputs!$B$25+Inputs!$B$29,IF(Skills!C17=2,90+Inputs!$B$26+Inputs!$B$29,IF(Skills!C17=3,120+Inputs!$B$27+Inputs!$B$29,MAX(0,(Inputs!$B$3-100)*3)+Inputs!$B$28+Inputs!$B$29)))</f>
        <v/>
      </c>
      <c r="E2706">
        <f>INDEX(FactorTable!$B$2:$Y$301, MATCH(ROUND(MIN(300,MAX(1,D2706)),0), FactorTable!$A$2:$A$301,0), Skills!M17+1)</f>
        <v/>
      </c>
      <c r="F2706">
        <f>IF(Skills!N17=TRUE,(Skills!L17/10)*(E2706/1000),Skills!L17/10)+Skills!O17</f>
        <v/>
      </c>
      <c r="G2706">
        <f>Skills!G17*IF(Skills!H17&gt;0,Skills!I17/Skills!H17,1)</f>
        <v/>
      </c>
      <c r="H2706">
        <f>1-(1-Skills!J17/100)^Skills!K17</f>
        <v/>
      </c>
      <c r="I2706" t="inlineStr">
        <is>
          <t>1</t>
        </is>
      </c>
      <c r="J2706" t="inlineStr"/>
      <c r="K2706" t="inlineStr"/>
      <c r="L2706" t="inlineStr"/>
      <c r="M2706" t="inlineStr"/>
      <c r="N2706" t="inlineStr"/>
      <c r="O2706">
        <f>(1-Summary!$B$11)*T2706+Summary!$B$11*V2706</f>
        <v/>
      </c>
      <c r="P2706">
        <f>IF(B2728=0,0,O2706/B2728)</f>
        <v/>
      </c>
      <c r="Q2706">
        <f>IFERROR(1/(IF(Inputs!$B$38="pvp",15,MAX(0.1,Skills!D17-IF(Skills!E17=TRUE,0.5,0)))*(1-IF(AND(ArtifactsInput!$M$27,Inputs!$B$4="Chapter Hunt"),CHOOSE(ArtifactsInput!$N$27+1,20,24,28,32,36,40),0)/100)),0)</f>
        <v/>
      </c>
      <c r="R2706">
        <f>IF(AND(Inputs!$B$38&lt;&gt;"pvp",Inputs!$B$43&gt;0),IF(Inputs!$B$43&lt;=0,0,(INT(Inputs!$B$43/(IF(Inputs!$B$38="pvp",15,MAX(0.1,Skills!D17-IF(Skills!E17=TRUE,0.5,0)))*(1-IF(AND(ArtifactsInput!$M$27,Inputs!$B$4="Chapter Hunt"),CHOOSE(ArtifactsInput!$N$27+1,20,24,28,32,36,40),0)/100)))+1)),0)</f>
        <v/>
      </c>
      <c r="S2706">
        <f>IFERROR(O2706/N2706,0)</f>
        <v/>
      </c>
      <c r="T2706" t="n">
        <v>0</v>
      </c>
      <c r="V2706" t="n">
        <v>0</v>
      </c>
    </row>
    <row r="2707">
      <c r="A2707">
        <f>Skills!A18</f>
        <v/>
      </c>
      <c r="B2707">
        <f>Skills!B18</f>
        <v/>
      </c>
      <c r="C2707">
        <f>Inputs!$B$3&gt;=115</f>
        <v/>
      </c>
      <c r="D2707">
        <f>IF(Skills!C18=1,60+Inputs!$B$25+Inputs!$B$29,IF(Skills!C18=2,90+Inputs!$B$26+Inputs!$B$29,IF(Skills!C18=3,120+Inputs!$B$27+Inputs!$B$29,MAX(0,(Inputs!$B$3-100)*3)+Inputs!$B$28+Inputs!$B$29)))</f>
        <v/>
      </c>
      <c r="E2707">
        <f>INDEX(FactorTable!$B$2:$Y$301, MATCH(ROUND(MIN(300,MAX(1,D2707)),0), FactorTable!$A$2:$A$301,0), Skills!M18+1)</f>
        <v/>
      </c>
      <c r="F2707">
        <f>IF(Skills!N18=TRUE,(Skills!L18/10)*(E2707/1000),Skills!L18/10)+Skills!O18</f>
        <v/>
      </c>
      <c r="G2707">
        <f>Skills!G18*IF(Skills!H18&gt;0,Skills!I18/Skills!H18,1)</f>
        <v/>
      </c>
      <c r="H2707">
        <f>1-(1-Skills!J18/100)^Skills!K18</f>
        <v/>
      </c>
      <c r="I2707" t="inlineStr">
        <is>
          <t>1</t>
        </is>
      </c>
      <c r="J2707" t="inlineStr"/>
      <c r="K2707" t="inlineStr"/>
      <c r="L2707" t="inlineStr"/>
      <c r="M2707" t="inlineStr"/>
      <c r="N2707" t="inlineStr"/>
      <c r="O2707">
        <f>(1-Summary!$B$11)*T2707+Summary!$B$11*V2707</f>
        <v/>
      </c>
      <c r="P2707">
        <f>IF(B2728=0,0,O2707/B2728)</f>
        <v/>
      </c>
      <c r="Q2707">
        <f>IFERROR(1/(IF(Inputs!$B$38="pvp",15,MAX(0.1,Skills!D18-IF(Skills!E18=TRUE,0.5,0)))*(1-IF(AND(ArtifactsInput!$M$27,Inputs!$B$4="Chapter Hunt"),CHOOSE(ArtifactsInput!$N$27+1,20,24,28,32,36,40),0)/100)),0)</f>
        <v/>
      </c>
      <c r="R2707">
        <f>IF(AND(Inputs!$B$38&lt;&gt;"pvp",Inputs!$B$43&gt;0),IF(Inputs!$B$43&lt;=0,0,(INT(Inputs!$B$43/(IF(Inputs!$B$38="pvp",15,MAX(0.1,Skills!D18-IF(Skills!E18=TRUE,0.5,0)))*(1-IF(AND(ArtifactsInput!$M$27,Inputs!$B$4="Chapter Hunt"),CHOOSE(ArtifactsInput!$N$27+1,20,24,28,32,36,40),0)/100)))+1)),0)</f>
        <v/>
      </c>
      <c r="S2707">
        <f>IFERROR(O2707/N2707,0)</f>
        <v/>
      </c>
      <c r="T2707" t="n">
        <v>0</v>
      </c>
      <c r="V2707" t="n">
        <v>0</v>
      </c>
    </row>
    <row r="2708">
      <c r="A2708">
        <f>Skills!A19</f>
        <v/>
      </c>
      <c r="B2708">
        <f>Skills!B19</f>
        <v/>
      </c>
      <c r="C2708">
        <f>TRUE</f>
        <v/>
      </c>
      <c r="D2708">
        <f>IF(Skills!C19=1,60+Inputs!$B$25+Inputs!$B$29,IF(Skills!C19=2,90+Inputs!$B$26+Inputs!$B$29,IF(Skills!C19=3,120+Inputs!$B$27+Inputs!$B$29,MAX(0,(Inputs!$B$3-100)*3)+Inputs!$B$28+Inputs!$B$29)))</f>
        <v/>
      </c>
      <c r="E2708">
        <f>INDEX(FactorTable!$B$2:$Y$301, MATCH(ROUND(MIN(300,MAX(1,D2708)),0), FactorTable!$A$2:$A$301,0), Skills!M19+1)</f>
        <v/>
      </c>
      <c r="F2708">
        <f>IF(Skills!N19=TRUE,(Skills!L19/10)*(E2708/1000),Skills!L19/10)+Skills!O19</f>
        <v/>
      </c>
      <c r="G2708">
        <f>Skills!G19*IF(Skills!H19&gt;0,Skills!I19/Skills!H19,1)</f>
        <v/>
      </c>
      <c r="H2708">
        <f>1-(1-Skills!J19/100)^Skills!K19</f>
        <v/>
      </c>
      <c r="I2708" t="inlineStr">
        <is>
          <t>1</t>
        </is>
      </c>
      <c r="J2708" t="inlineStr"/>
      <c r="K2708" t="inlineStr"/>
      <c r="L2708" t="inlineStr"/>
      <c r="M2708" t="inlineStr"/>
      <c r="N2708" t="inlineStr"/>
      <c r="O2708">
        <f>(1-Summary!$B$11)*T2708+Summary!$B$11*V2708</f>
        <v/>
      </c>
      <c r="P2708">
        <f>IF(B2728=0,0,O2708/B2728)</f>
        <v/>
      </c>
      <c r="Q2708">
        <f>IFERROR(1/(IF(Inputs!$B$38="pvp",15,MAX(0.1,Skills!D19-IF(Skills!E19=TRUE,0.5,0)))*(1-IF(AND(ArtifactsInput!$M$27,Inputs!$B$4="Chapter Hunt"),CHOOSE(ArtifactsInput!$N$27+1,20,24,28,32,36,40),0)/100)),0)</f>
        <v/>
      </c>
      <c r="R2708">
        <f>IF(AND(Inputs!$B$38&lt;&gt;"pvp",Inputs!$B$43&gt;0),IF(Inputs!$B$43&lt;=0,0,(INT(Inputs!$B$43/(IF(Inputs!$B$38="pvp",15,MAX(0.1,Skills!D19-IF(Skills!E19=TRUE,0.5,0)))*(1-IF(AND(ArtifactsInput!$M$27,Inputs!$B$4="Chapter Hunt"),CHOOSE(ArtifactsInput!$N$27+1,20,24,28,32,36,40),0)/100)))+1)),0)</f>
        <v/>
      </c>
      <c r="S2708">
        <f>IFERROR(O2708/N2708,0)</f>
        <v/>
      </c>
      <c r="T2708" t="n">
        <v>0</v>
      </c>
      <c r="V2708" t="n">
        <v>0</v>
      </c>
    </row>
    <row r="2709">
      <c r="A2709">
        <f>Skills!A20</f>
        <v/>
      </c>
      <c r="B2709">
        <f>Skills!B20</f>
        <v/>
      </c>
      <c r="C2709">
        <f>Inputs!$B$3&gt;=33</f>
        <v/>
      </c>
      <c r="D2709">
        <f>IF(Skills!C20=1,60+Inputs!$B$25+Inputs!$B$29,IF(Skills!C20=2,90+Inputs!$B$26+Inputs!$B$29,IF(Skills!C20=3,120+Inputs!$B$27+Inputs!$B$29,MAX(0,(Inputs!$B$3-100)*3)+Inputs!$B$28+Inputs!$B$29)))</f>
        <v/>
      </c>
      <c r="E2709">
        <f>INDEX(FactorTable!$B$2:$Y$301, MATCH(ROUND(MIN(300,MAX(1,D2709)),0), FactorTable!$A$2:$A$301,0), Skills!M20+1)</f>
        <v/>
      </c>
      <c r="F2709">
        <f>IF(Skills!N20=TRUE,(Skills!L20/10)*(E2709/1000),Skills!L20/10)+Skills!O20</f>
        <v/>
      </c>
      <c r="G2709">
        <f>Skills!G20*IF(Skills!H20&gt;0,Skills!I20/Skills!H20,1)</f>
        <v/>
      </c>
      <c r="H2709">
        <f>1-(1-Skills!J20/100)^Skills!K20</f>
        <v/>
      </c>
      <c r="I2709" t="inlineStr">
        <is>
          <t>1</t>
        </is>
      </c>
      <c r="J2709" t="inlineStr"/>
      <c r="K2709" t="inlineStr"/>
      <c r="L2709" t="inlineStr"/>
      <c r="M2709" t="inlineStr"/>
      <c r="N2709" t="inlineStr"/>
      <c r="O2709">
        <f>(1-Summary!$B$11)*T2709+Summary!$B$11*V2709</f>
        <v/>
      </c>
      <c r="P2709">
        <f>IF(B2728=0,0,O2709/B2728)</f>
        <v/>
      </c>
      <c r="Q2709" t="n">
        <v>0</v>
      </c>
      <c r="R2709" t="n">
        <v>0</v>
      </c>
      <c r="S2709">
        <f>IFERROR(O2709/N2709,0)</f>
        <v/>
      </c>
      <c r="T2709" t="n">
        <v>0</v>
      </c>
      <c r="V2709" t="n">
        <v>0</v>
      </c>
    </row>
    <row r="2710">
      <c r="A2710">
        <f>Skills!A21</f>
        <v/>
      </c>
      <c r="B2710">
        <f>Skills!B21</f>
        <v/>
      </c>
      <c r="C2710">
        <f>Inputs!$B$3&gt;=38</f>
        <v/>
      </c>
      <c r="D2710">
        <f>IF(Skills!C21=1,60+Inputs!$B$25+Inputs!$B$29,IF(Skills!C21=2,90+Inputs!$B$26+Inputs!$B$29,IF(Skills!C21=3,120+Inputs!$B$27+Inputs!$B$29,MAX(0,(Inputs!$B$3-100)*3)+Inputs!$B$28+Inputs!$B$29)))</f>
        <v/>
      </c>
      <c r="E2710">
        <f>INDEX(FactorTable!$B$2:$Y$301, MATCH(ROUND(MIN(300,MAX(1,D2710)),0), FactorTable!$A$2:$A$301,0), Skills!M21+1)</f>
        <v/>
      </c>
      <c r="F2710">
        <f>IF(Skills!N21=TRUE,(Skills!L21/10)*(E2710/1000),Skills!L21/10)+Skills!O21</f>
        <v/>
      </c>
      <c r="G2710">
        <f>Skills!G21*IF(Skills!H21&gt;0,Skills!I21/Skills!H21,1)</f>
        <v/>
      </c>
      <c r="H2710">
        <f>1-(1-Skills!J21/100)^Skills!K21</f>
        <v/>
      </c>
      <c r="I2710" t="inlineStr">
        <is>
          <t>1</t>
        </is>
      </c>
      <c r="J2710" t="inlineStr"/>
      <c r="K2710" t="inlineStr"/>
      <c r="L2710" t="inlineStr"/>
      <c r="M2710" t="inlineStr"/>
      <c r="N2710" t="inlineStr"/>
      <c r="O2710">
        <f>(1-Summary!$B$11)*T2710+Summary!$B$11*V2710</f>
        <v/>
      </c>
      <c r="P2710">
        <f>IF(B2728=0,0,O2710/B2728)</f>
        <v/>
      </c>
      <c r="Q2710" t="n">
        <v>0</v>
      </c>
      <c r="R2710" t="n">
        <v>0</v>
      </c>
      <c r="S2710">
        <f>IFERROR(O2710/N2710,0)</f>
        <v/>
      </c>
      <c r="T2710" t="n">
        <v>0</v>
      </c>
      <c r="V2710" t="n">
        <v>0</v>
      </c>
    </row>
    <row r="2711">
      <c r="A2711">
        <f>Skills!A22</f>
        <v/>
      </c>
      <c r="B2711">
        <f>Skills!B22</f>
        <v/>
      </c>
      <c r="C2711">
        <f>Inputs!$B$3&gt;=43</f>
        <v/>
      </c>
      <c r="D2711">
        <f>IF(Skills!C22=1,60+Inputs!$B$25+Inputs!$B$29,IF(Skills!C22=2,90+Inputs!$B$26+Inputs!$B$29,IF(Skills!C22=3,120+Inputs!$B$27+Inputs!$B$29,MAX(0,(Inputs!$B$3-100)*3)+Inputs!$B$28+Inputs!$B$29)))</f>
        <v/>
      </c>
      <c r="E2711">
        <f>INDEX(FactorTable!$B$2:$Y$301, MATCH(ROUND(MIN(300,MAX(1,D2711)),0), FactorTable!$A$2:$A$301,0), Skills!M22+1)</f>
        <v/>
      </c>
      <c r="F2711">
        <f>IF(Skills!N22=TRUE,(Skills!L22/10)*(E2711/1000),Skills!L22/10)+Skills!O22</f>
        <v/>
      </c>
      <c r="G2711">
        <f>Skills!G22*IF(Skills!H22&gt;0,Skills!I22/Skills!H22,1)</f>
        <v/>
      </c>
      <c r="H2711">
        <f>1-(1-Skills!J22/100)^Skills!K22</f>
        <v/>
      </c>
      <c r="I2711" t="inlineStr">
        <is>
          <t>1</t>
        </is>
      </c>
      <c r="J2711" t="inlineStr"/>
      <c r="K2711" t="inlineStr"/>
      <c r="L2711" t="inlineStr"/>
      <c r="M2711" t="inlineStr"/>
      <c r="N2711" t="inlineStr"/>
      <c r="O2711">
        <f>(1-Summary!$B$11)*T2711+Summary!$B$11*V2711</f>
        <v/>
      </c>
      <c r="P2711">
        <f>IF(B2728=0,0,O2711/B2728)</f>
        <v/>
      </c>
      <c r="Q2711" t="n">
        <v>0</v>
      </c>
      <c r="R2711" t="n">
        <v>0</v>
      </c>
      <c r="S2711">
        <f>IFERROR(O2711/N2711,0)</f>
        <v/>
      </c>
      <c r="T2711" t="n">
        <v>0</v>
      </c>
      <c r="V2711" t="n">
        <v>0</v>
      </c>
    </row>
    <row r="2712">
      <c r="A2712">
        <f>Skills!A23</f>
        <v/>
      </c>
      <c r="B2712">
        <f>Skills!B23</f>
        <v/>
      </c>
      <c r="C2712">
        <f>Inputs!$B$3&gt;=120</f>
        <v/>
      </c>
      <c r="D2712">
        <f>IF(Skills!C23=1,60+Inputs!$B$25+Inputs!$B$29,IF(Skills!C23=2,90+Inputs!$B$26+Inputs!$B$29,IF(Skills!C23=3,120+Inputs!$B$27+Inputs!$B$29,MAX(0,(Inputs!$B$3-100)*3)+Inputs!$B$28+Inputs!$B$29)))</f>
        <v/>
      </c>
      <c r="E2712">
        <f>INDEX(FactorTable!$B$2:$Y$301, MATCH(ROUND(MIN(300,MAX(1,D2712)),0), FactorTable!$A$2:$A$301,0), Skills!M23+1)</f>
        <v/>
      </c>
      <c r="F2712">
        <f>IF(Skills!N23=TRUE,(Skills!L23/10)*(E2712/1000),Skills!L23/10)+Skills!O23</f>
        <v/>
      </c>
      <c r="G2712">
        <f>Skills!G23*IF(Skills!H23&gt;0,Skills!I23/Skills!H23,1)</f>
        <v/>
      </c>
      <c r="H2712">
        <f>1-(1-Skills!J23/100)^Skills!K23</f>
        <v/>
      </c>
      <c r="I2712" t="inlineStr">
        <is>
          <t>1</t>
        </is>
      </c>
      <c r="J2712" t="inlineStr"/>
      <c r="K2712" t="inlineStr"/>
      <c r="L2712" t="inlineStr"/>
      <c r="M2712" t="inlineStr"/>
      <c r="N2712" t="inlineStr"/>
      <c r="O2712">
        <f>(1-Summary!$B$11)*T2712+Summary!$B$11*V2712</f>
        <v/>
      </c>
      <c r="P2712">
        <f>IF(B2728=0,0,O2712/B2728)</f>
        <v/>
      </c>
      <c r="Q2712" t="n">
        <v>0</v>
      </c>
      <c r="R2712" t="n">
        <v>0</v>
      </c>
      <c r="S2712">
        <f>IFERROR(O2712/N2712,0)</f>
        <v/>
      </c>
      <c r="T2712" t="n">
        <v>0</v>
      </c>
      <c r="V2712" t="n">
        <v>0</v>
      </c>
    </row>
    <row r="2713">
      <c r="A2713">
        <f>Skills!A24</f>
        <v/>
      </c>
      <c r="B2713">
        <f>Skills!B24</f>
        <v/>
      </c>
      <c r="C2713">
        <f>Inputs!$B$3&gt;=120</f>
        <v/>
      </c>
      <c r="D2713">
        <f>IF(Skills!C24=1,60+Inputs!$B$25+Inputs!$B$29,IF(Skills!C24=2,90+Inputs!$B$26+Inputs!$B$29,IF(Skills!C24=3,120+Inputs!$B$27+Inputs!$B$29,MAX(0,(Inputs!$B$3-100)*3)+Inputs!$B$28+Inputs!$B$29)))</f>
        <v/>
      </c>
      <c r="E2713">
        <f>INDEX(FactorTable!$B$2:$Y$301, MATCH(ROUND(MIN(300,MAX(1,D2713)),0), FactorTable!$A$2:$A$301,0), Skills!M24+1)</f>
        <v/>
      </c>
      <c r="F2713">
        <f>IF(Skills!N24=TRUE,(Skills!L24/10)*(E2713/1000),Skills!L24/10)+Skills!O24</f>
        <v/>
      </c>
      <c r="G2713">
        <f>Skills!G24*IF(Skills!H24&gt;0,Skills!I24/Skills!H24,1)</f>
        <v/>
      </c>
      <c r="H2713">
        <f>1-(1-Skills!J24/100)^Skills!K24</f>
        <v/>
      </c>
      <c r="I2713" t="inlineStr">
        <is>
          <t>1</t>
        </is>
      </c>
      <c r="J2713" t="inlineStr"/>
      <c r="K2713" t="inlineStr"/>
      <c r="L2713" t="inlineStr"/>
      <c r="M2713" t="inlineStr"/>
      <c r="N2713" t="inlineStr"/>
      <c r="O2713">
        <f>(1-Summary!$B$11)*T2713+Summary!$B$11*V2713</f>
        <v/>
      </c>
      <c r="P2713">
        <f>IF(B2728=0,0,O2713/B2728)</f>
        <v/>
      </c>
      <c r="Q2713" t="n">
        <v>0</v>
      </c>
      <c r="R2713" t="n">
        <v>0</v>
      </c>
      <c r="S2713">
        <f>IFERROR(O2713/N2713,0)</f>
        <v/>
      </c>
      <c r="T2713" t="n">
        <v>0</v>
      </c>
      <c r="V2713" t="n">
        <v>0</v>
      </c>
    </row>
    <row r="2714">
      <c r="A2714">
        <f>Skills!A25</f>
        <v/>
      </c>
      <c r="B2714">
        <f>Skills!B25</f>
        <v/>
      </c>
      <c r="C2714">
        <f>Inputs!$B$3&gt;=125</f>
        <v/>
      </c>
      <c r="D2714">
        <f>IF(Skills!C25=1,60+Inputs!$B$25+Inputs!$B$29,IF(Skills!C25=2,90+Inputs!$B$26+Inputs!$B$29,IF(Skills!C25=3,120+Inputs!$B$27+Inputs!$B$29,MAX(0,(Inputs!$B$3-100)*3)+Inputs!$B$28+Inputs!$B$29)))</f>
        <v/>
      </c>
      <c r="E2714">
        <f>INDEX(FactorTable!$B$2:$Y$301, MATCH(ROUND(MIN(300,MAX(1,D2714)),0), FactorTable!$A$2:$A$301,0), Skills!M25+1)</f>
        <v/>
      </c>
      <c r="F2714">
        <f>IF(Skills!N25=TRUE,(Skills!L25/10)*(E2714/1000),Skills!L25/10)+Skills!O25</f>
        <v/>
      </c>
      <c r="G2714">
        <f>Skills!G25*IF(Skills!H25&gt;0,Skills!I25/Skills!H25,1)</f>
        <v/>
      </c>
      <c r="H2714">
        <f>1-(1-Skills!J25/100)^Skills!K25</f>
        <v/>
      </c>
      <c r="I2714" t="inlineStr">
        <is>
          <t>1</t>
        </is>
      </c>
      <c r="J2714" t="inlineStr"/>
      <c r="K2714" t="inlineStr"/>
      <c r="L2714" t="inlineStr"/>
      <c r="M2714" t="inlineStr"/>
      <c r="N2714" t="inlineStr"/>
      <c r="O2714">
        <f>(1-Summary!$B$11)*T2714+Summary!$B$11*V2714</f>
        <v/>
      </c>
      <c r="P2714">
        <f>IF(B2728=0,0,O2714/B2728)</f>
        <v/>
      </c>
      <c r="Q2714" t="n">
        <v>0</v>
      </c>
      <c r="R2714" t="n">
        <v>0</v>
      </c>
      <c r="S2714">
        <f>IFERROR(O2714/N2714,0)</f>
        <v/>
      </c>
      <c r="T2714" t="n">
        <v>0</v>
      </c>
      <c r="V2714" t="n">
        <v>0</v>
      </c>
    </row>
    <row r="2715">
      <c r="A2715">
        <f>Skills!A26</f>
        <v/>
      </c>
      <c r="B2715">
        <f>Skills!B26</f>
        <v/>
      </c>
      <c r="C2715">
        <f>Inputs!$B$3&gt;=72</f>
        <v/>
      </c>
      <c r="D2715">
        <f>IF(Skills!C26=1,60+Inputs!$B$25+Inputs!$B$29,IF(Skills!C26=2,90+Inputs!$B$26+Inputs!$B$29,IF(Skills!C26=3,120+Inputs!$B$27+Inputs!$B$29,MAX(0,(Inputs!$B$3-100)*3)+Inputs!$B$28+Inputs!$B$29)))</f>
        <v/>
      </c>
      <c r="E2715">
        <f>INDEX(FactorTable!$B$2:$Y$301, MATCH(ROUND(MIN(300,MAX(1,D2715)),0), FactorTable!$A$2:$A$301,0), Skills!M26+1)</f>
        <v/>
      </c>
      <c r="F2715">
        <f>IF(Skills!N26=TRUE,(Skills!L26/10)*(E2715/1000),Skills!L26/10)+Skills!O26</f>
        <v/>
      </c>
      <c r="G2715">
        <f>Skills!G26*IF(Skills!H26&gt;0,Skills!I26/Skills!H26,1)</f>
        <v/>
      </c>
      <c r="H2715">
        <f>1-(1-Skills!J26/100)^Skills!K26</f>
        <v/>
      </c>
      <c r="I2715" t="inlineStr">
        <is>
          <t>1</t>
        </is>
      </c>
      <c r="J2715" t="inlineStr"/>
      <c r="K2715" t="inlineStr"/>
      <c r="L2715" t="inlineStr"/>
      <c r="M2715" t="inlineStr"/>
      <c r="N2715" t="inlineStr"/>
      <c r="O2715">
        <f>(1-Summary!$B$11)*T2715+Summary!$B$11*V2715</f>
        <v/>
      </c>
      <c r="P2715">
        <f>IF(B2728=0,0,O2715/B2728)</f>
        <v/>
      </c>
      <c r="Q2715" t="n">
        <v>0</v>
      </c>
      <c r="R2715" t="n">
        <v>0</v>
      </c>
      <c r="S2715">
        <f>IFERROR(O2715/N2715,0)</f>
        <v/>
      </c>
      <c r="T2715" t="n">
        <v>0</v>
      </c>
      <c r="V2715" t="n">
        <v>0</v>
      </c>
    </row>
    <row r="2717">
      <c r="A2717" t="inlineStr">
        <is>
          <t>Attack% Bucket Multiplier</t>
        </is>
      </c>
      <c r="B2717">
        <f>(1+(((C2702=TRUE)*F2702*IF(Inputs!$B$3&gt;=110,7,5))+((C2704=TRUE)*F2704*IF(AND(Inputs!$B$38&lt;&gt;"pvp",Inputs!$B$43&gt;0),(((R2704-1)*(Skills!T15*(1+(Inputs!$B$34+(ArtifactsInput!$M$7-ArtifactsInput!$M$7)*CHOOSE(ArtifactsInput!$N$7+1,6,7.2,8.4,9.6,10.8,12))/100))+MIN((Skills!T15*(1+(Inputs!$B$34+(ArtifactsInput!$M$7-ArtifactsInput!$M$7)*CHOOSE(ArtifactsInput!$N$7+1,6,7.2,8.4,9.6,10.8,12))/100)),MAX(0,Inputs!$B$43-((R2704-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18">
      <c r="A2718" t="inlineStr">
        <is>
          <t>Global Crit Rate Bonus %</t>
        </is>
      </c>
      <c r="B2718" t="n">
        <v>0</v>
      </c>
    </row>
    <row r="2719">
      <c r="A2719" t="inlineStr">
        <is>
          <t>Attack Speed Buff Bonus %</t>
        </is>
      </c>
      <c r="B2719">
        <f>((C2708=TRUE)*F2708*IF(AND(Inputs!$B$38&lt;&gt;"pvp",Inputs!$B$43&gt;0),(((R2708-1)*(Skills!T19*(1+(Inputs!$B$34+(ArtifactsInput!$M$7-ArtifactsInput!$M$7)*CHOOSE(ArtifactsInput!$N$7+1,6,7.2,8.4,9.6,10.8,12))/100))+MIN((Skills!T19*(1+(Inputs!$B$34+(ArtifactsInput!$M$7-ArtifactsInput!$M$7)*CHOOSE(ArtifactsInput!$N$7+1,6,7.2,8.4,9.6,10.8,12))/100)),MAX(0,Inputs!$B$43-((R2708-1)*Skills!D19))))/Inputs!$B$43),IF(Inputs!$B$38="pvp",MIN((Skills!T19*(1+(Inputs!$B$34+(ArtifactsInput!$M$7-ArtifactsInput!$M$7)*CHOOSE(ArtifactsInput!$N$7+1,6,7.2,8.4,9.6,10.8,12))/100)),15)/15,(Skills!T19*(1+(Inputs!$B$34+(ArtifactsInput!$M$7-ArtifactsInput!$M$7)*CHOOSE(ArtifactsInput!$N$7+1,6,7.2,8.4,9.6,10.8,12))/100))/Skills!D19)))</f>
        <v/>
      </c>
    </row>
    <row r="2720">
      <c r="A2720" t="inlineStr">
        <is>
          <t>Actions Per Second</t>
        </is>
      </c>
      <c r="B2720">
        <f>1+MIN(150,150*(1-(1-(Inputs!$B$11+((C2709=TRUE)*(F2709-Calc!F20)))/150)*(1-B2719/150)))/100</f>
        <v/>
      </c>
    </row>
    <row r="2721">
      <c r="A2721" t="inlineStr">
        <is>
          <t>Skill + Buff Cast Rate</t>
        </is>
      </c>
      <c r="B2721">
        <f>IF(AND(Inputs!$B$38&lt;&gt;"pvp",Inputs!$B$43&gt;0),SUMPRODUCT((Skills!E2:E26=TRUE)*(C2691:C2715=TRUE)*R2691:R2715*Skills!F2:F26)/Inputs!$B$43,SUMPRODUCT((Skills!E2:E26=TRUE)*(C2691:C2715=TRUE)*Q2691:Q2715*Skills!F2:F26))</f>
        <v/>
      </c>
    </row>
    <row r="2722">
      <c r="A2722" t="inlineStr">
        <is>
          <t>Raging Blow Casts Per Second</t>
        </is>
      </c>
      <c r="B2722">
        <f>MAX(0,B2720-B2721)</f>
        <v/>
      </c>
    </row>
    <row r="2723">
      <c r="A2723" t="inlineStr">
        <is>
          <t>Global Critical Damage Bonus % (Enrage)</t>
        </is>
      </c>
      <c r="B2723">
        <f>((C2707=TRUE)*F2707*IF(AND(Inputs!$B$38&lt;&gt;"pvp",Inputs!$B$43&gt;0),(((R2707-1)*(Skills!T18*(1+(Inputs!$B$34+(ArtifactsInput!$M$7-ArtifactsInput!$M$7)*CHOOSE(ArtifactsInput!$N$7+1,6,7.2,8.4,9.6,10.8,12))/100))+MIN((Skills!T18*(1+(Inputs!$B$34+(ArtifactsInput!$M$7-ArtifactsInput!$M$7)*CHOOSE(ArtifactsInput!$N$7+1,6,7.2,8.4,9.6,10.8,12))/100)),MAX(0,Inputs!$B$43-((R2707-1)*Skills!D18))))/Inputs!$B$43),IF(Inputs!$B$38="pvp",MIN((Skills!T18*(1+(Inputs!$B$34+(ArtifactsInput!$M$7-ArtifactsInput!$M$7)*CHOOSE(ArtifactsInput!$N$7+1,6,7.2,8.4,9.6,10.8,12))/100)),15)/15,(Skills!T18*(1+(Inputs!$B$34+(ArtifactsInput!$M$7-ArtifactsInput!$M$7)*CHOOSE(ArtifactsInput!$N$7+1,6,7.2,8.4,9.6,10.8,12))/100))/Skills!D18)))</f>
        <v/>
      </c>
    </row>
    <row r="2724">
      <c r="A2724" t="inlineStr">
        <is>
          <t>Global Final Damage Bonus % (Enrage + Combo Synergy)</t>
        </is>
      </c>
      <c r="B2724">
        <f>((C2706=TRUE)*F2706*IF(AND(Inputs!$B$38&lt;&gt;"pvp",Inputs!$B$43&gt;0),(((R2706-1)*(Skills!T17*(1+(Inputs!$B$34+(ArtifactsInput!$M$7-ArtifactsInput!$M$7)*CHOOSE(ArtifactsInput!$N$7+1,6,7.2,8.4,9.6,10.8,12))/100))+MIN((Skills!T17*(1+(Inputs!$B$34+(ArtifactsInput!$M$7-ArtifactsInput!$M$7)*CHOOSE(ArtifactsInput!$N$7+1,6,7.2,8.4,9.6,10.8,12))/100)),MAX(0,Inputs!$B$43-((R2706-1)*Skills!D17))))/Inputs!$B$43),IF(Inputs!$B$38="pvp",MIN((Skills!T17*(1+(Inputs!$B$34+(ArtifactsInput!$M$7-ArtifactsInput!$M$7)*CHOOSE(ArtifactsInput!$N$7+1,6,7.2,8.4,9.6,10.8,12))/100)),15)/15,(Skills!T17*(1+(Inputs!$B$34+(ArtifactsInput!$M$7-ArtifactsInput!$M$7)*CHOOSE(ArtifactsInput!$N$7+1,6,7.2,8.4,9.6,10.8,12))/100))/Skills!D17)))+((C2703=TRUE)*F2703*IF(Inputs!$B$3&gt;=110,7,5))</f>
        <v/>
      </c>
    </row>
    <row r="2725">
      <c r="A2725" t="inlineStr">
        <is>
          <t>Buff-Casting Startup Delay (s, fixed-duration only)</t>
        </is>
      </c>
      <c r="B2725">
        <f>IF(AND(Inputs!$B$38&lt;&gt;"pvp",Inputs!$B$43&gt;0),SUMPRODUCT((Skills!T2:T26&gt;0)*(Skills!E2:E26=TRUE)*(C2691:C2715=TRUE))/B2720,0)</f>
        <v/>
      </c>
    </row>
    <row r="2726">
      <c r="A2726" t="inlineStr">
        <is>
          <t>Boss-Only Total DPS (this block's swept value)</t>
        </is>
      </c>
      <c r="B2726">
        <f>SUM(T2691:T2715)</f>
        <v/>
      </c>
    </row>
    <row r="2727">
      <c r="A2727" t="inlineStr">
        <is>
          <t>Normal-Only Total DPS (this block's swept value)</t>
        </is>
      </c>
      <c r="B2727">
        <f>SUM(V2691:V2715)</f>
        <v/>
      </c>
    </row>
    <row r="2728">
      <c r="A2728" s="6" t="inlineStr">
        <is>
          <t>TOTAL DPS</t>
        </is>
      </c>
      <c r="B2728" s="6">
        <f>SUM(O2691:O2715)</f>
        <v/>
      </c>
    </row>
    <row r="2731">
      <c r="A2731" s="6" t="inlineStr">
        <is>
          <t>Stat: CDR = 1.0s</t>
        </is>
      </c>
    </row>
    <row r="2732">
      <c r="A2732" s="5" t="inlineStr">
        <is>
          <t>Key</t>
        </is>
      </c>
      <c r="B2732" s="5" t="inlineStr">
        <is>
          <t>Name</t>
        </is>
      </c>
      <c r="C2732" s="5" t="inlineStr">
        <is>
          <t>Unlocked</t>
        </is>
      </c>
      <c r="D2732" s="5" t="inlineStr">
        <is>
          <t>InputLevel</t>
        </is>
      </c>
      <c r="E2732" s="5" t="inlineStr">
        <is>
          <t>Factor</t>
        </is>
      </c>
      <c r="F2732" s="5" t="inlineStr">
        <is>
          <t>CoefficientPercent</t>
        </is>
      </c>
      <c r="G2732" s="5" t="inlineStr">
        <is>
          <t>EffectiveHits</t>
        </is>
      </c>
      <c r="H2732" s="5" t="inlineStr">
        <is>
          <t>ProcProbability</t>
        </is>
      </c>
      <c r="I2732" s="5" t="inlineStr">
        <is>
          <t>MapleHeroMultiplier</t>
        </is>
      </c>
      <c r="J2732" s="5" t="inlineStr">
        <is>
          <t>BaseDamage</t>
        </is>
      </c>
      <c r="K2732" s="5" t="inlineStr">
        <is>
          <t>BaseHitDamage</t>
        </is>
      </c>
      <c r="L2732" s="5" t="inlineStr">
        <is>
          <t>NonCritAvg</t>
        </is>
      </c>
      <c r="M2732" s="5" t="inlineStr">
        <is>
          <t>CritAvg</t>
        </is>
      </c>
      <c r="N2732" s="5" t="inlineStr">
        <is>
          <t>ExpectedDamage(perHit)</t>
        </is>
      </c>
      <c r="O2732" s="5" t="inlineStr">
        <is>
          <t>DPS</t>
        </is>
      </c>
      <c r="P2732" s="5" t="inlineStr">
        <is>
          <t>% of Total</t>
        </is>
      </c>
      <c r="Q2732" s="5" t="inlineStr">
        <is>
          <t>InvCooldown</t>
        </is>
      </c>
      <c r="R2732" s="5" t="inlineStr">
        <is>
          <t>CastsInFight</t>
        </is>
      </c>
      <c r="S2732" s="5" t="inlineStr">
        <is>
          <t>HitRate(perSec)</t>
        </is>
      </c>
      <c r="U2732" t="inlineStr">
        <is>
          <t>helpers</t>
        </is>
      </c>
    </row>
    <row r="2733">
      <c r="A2733">
        <f>Skills!A2</f>
        <v/>
      </c>
      <c r="B2733">
        <f>Skills!B2</f>
        <v/>
      </c>
      <c r="C2733">
        <f>Inputs!$B$3&gt;=100</f>
        <v/>
      </c>
      <c r="D2733" t="inlineStr"/>
      <c r="E2733" t="inlineStr"/>
      <c r="F2733">
        <f>U2735+Skills!O2</f>
        <v/>
      </c>
      <c r="G2733">
        <f>Skills!G2*IF(Skills!H2&gt;0,Skills!I2/Skills!H2,1)</f>
        <v/>
      </c>
      <c r="H2733">
        <f>1-(1-Skills!J2/100)^Skills!K2</f>
        <v/>
      </c>
      <c r="I2733" t="inlineStr">
        <is>
          <t>1</t>
        </is>
      </c>
      <c r="J2733">
        <f>((Inputs!$B$6*(1+Inputs!$B$7/100))+(((Inputs!$B$12*(1+Inputs!$B$13/100))-(Inputs!$B$12*(1+Inputs!$B$13/100)))+0.25*(Inputs!$B$14-Inputs!$B$14))*(1+Inputs!$B$7/100))*(F2733/100)</f>
        <v/>
      </c>
      <c r="K2733">
        <f>J2733*(1+((Inputs!$B$12*(1+Inputs!$B$13/100))*0.01+Inputs!$B$14*0.0025)/100)*(1+Inputs!$B$15/100)*(1+Inputs!$B$16/100)*(5000/(6000+Inputs!$B$42*(1-(100*(1-(1-(Inputs!$B$19+0)/100)*(1-CHOOSE(ArtifactsInput!$N$40+1,5,6,7,8,9,10)/100)^(ArtifactsInput!$M$40-ArtifactsInput!$M$40)))/100)))*(1+(Inputs!$B$24+((C2756=TRUE)*(F2756-Calc!F25))+B2766)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2752=TRUE)*(F2752-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2754=TRUE)*(F2754-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2744=TRUE)*F2744*IF(Inputs!$B$3&gt;=110,7,5))+((C2746=TRUE)*F2746*IF(AND(Inputs!$B$38&lt;&gt;"pvp",Inputs!$B$43&gt;0),(((R2746-1)*(Skills!T15*(1+(Inputs!$B$34+(ArtifactsInput!$M$7-ArtifactsInput!$M$7)*CHOOSE(ArtifactsInput!$N$7+1,6,7.2,8.4,9.6,10.8,12))/100))+MIN((Skills!T15*(1+(Inputs!$B$34+(ArtifactsInput!$M$7-ArtifactsInput!$M$7)*CHOOSE(ArtifactsInput!$N$7+1,6,7.2,8.4,9.6,10.8,12))/100)),MAX(0,Inputs!$B$43-((R2746-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Hunt"),CHOOSE(ArtifactsInput!$N$35+1,15,18,21,24,27,30)*(1-EXP(-(0.2*B2762)*5)),0)+IF(AND(ArtifactsInput!$M$22,Inputs!$B$4&lt;&gt;"Chapter Hunt"),CHOOSE(ArtifactsInput!$N$22+1,10,12,14,16,18,20)*((0*(((0.15*B2762*5))^0/1)+1*(((0.15*B2762*5))^1/1)+2*(((0.15*B2762*5))^2/2)+3*(((0.15*B2762*5))^3/6)+4*(((0.15*B2762*5))^4/24)+5*(((0.15*B2762*5))^5/120))/((((0.15*B2762*5))^0/1)+(((0.15*B2762*5))^1/1)+(((0.15*B2762*5))^2/2)+(((0.15*B2762*5))^3/6)+(((0.15*B2762*5))^4/24)+(((0.15*B2762*5))^5/120))),0)))/100)*I2733)</f>
        <v/>
      </c>
      <c r="L2733">
        <f>K2733*(MIN(Inputs!$B$22+((C2753=TRUE)*(F2753-Calc!F22)),(Inputs!$B$23+((C2755=TRUE)*(F2755-Calc!F24))+(IF(ArtifactsInput!$M$15,CHOOSE(ArtifactsInput!$N$15+1,25,30,35,40,45,50)/100*(Inputs!$B$11-Inputs!$B$11),0))))/100+(Inputs!$B$23+((C2755=TRUE)*(F2755-Calc!F24))+(IF(ArtifactsInput!$M$15,CHOOSE(ArtifactsInput!$N$15+1,25,30,35,40,45,50)/100*(Inputs!$B$11-Inputs!$B$11),0)))/100)/2</f>
        <v/>
      </c>
      <c r="M2733">
        <f>L2733*(1+(Inputs!$B$10+0+B2765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3">
        <f>L2733*(1-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2733*(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3">
        <f>(1-Summary!$B$11)*T2733+Summary!$B$11*V2733</f>
        <v/>
      </c>
      <c r="P2733">
        <f>IF(B2770=0,0,O2733/B2770)</f>
        <v/>
      </c>
      <c r="Q2733" t="n">
        <v>0</v>
      </c>
      <c r="R2733" t="n">
        <v>0</v>
      </c>
      <c r="S2733">
        <f>IFERROR(O2733/N2733,0)</f>
        <v/>
      </c>
      <c r="T2733">
        <f>IF(C2733,(Skills!G2*N2733*B2764)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2733*(1-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2733*(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2733*(1-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2733*(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33">
        <f>MAX(0,(Inputs!$B$3-100)*3)+Inputs!$B$28+Inputs!$B$29</f>
        <v/>
      </c>
      <c r="V2733">
        <f>IF(C2733,(Skills!G2*N2733*B2764)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4">
      <c r="A2734">
        <f>Skills!A3</f>
        <v/>
      </c>
      <c r="B2734">
        <f>Skills!B3</f>
        <v/>
      </c>
      <c r="C2734">
        <f>Inputs!$B$3&gt;=50</f>
        <v/>
      </c>
      <c r="D2734">
        <f>IF(Skills!C3=1,60+Inputs!$B$25+Inputs!$B$29,IF(Skills!C3=2,90+Inputs!$B$26+Inputs!$B$29,IF(Skills!C3=3,120+Inputs!$B$27+Inputs!$B$29,MAX(0,(Inputs!$B$3-100)*3)+Inputs!$B$28+Inputs!$B$29)))</f>
        <v/>
      </c>
      <c r="E2734">
        <f>INDEX(FactorTable!$B$2:$Y$301, MATCH(ROUND(MIN(300,MAX(1,D2734)),0), FactorTable!$A$2:$A$301,0), Skills!M3+1)</f>
        <v/>
      </c>
      <c r="F2734">
        <f>IF(Skills!N3=TRUE,(Skills!L3/10)*(E2734/1000),Skills!L3/10)+Skills!O3</f>
        <v/>
      </c>
      <c r="G2734" t="inlineStr"/>
      <c r="H2734" t="inlineStr"/>
      <c r="I2734" t="inlineStr">
        <is>
          <t>1</t>
        </is>
      </c>
      <c r="J2734" t="inlineStr"/>
      <c r="K2734" t="inlineStr"/>
      <c r="L2734" t="inlineStr"/>
      <c r="M2734" t="inlineStr"/>
      <c r="N2734" t="inlineStr"/>
      <c r="O2734" t="inlineStr"/>
      <c r="P2734" t="inlineStr"/>
      <c r="Q2734" t="inlineStr"/>
      <c r="R2734" t="inlineStr"/>
      <c r="S2734" t="inlineStr"/>
      <c r="U2734">
        <f>INDEX(FactorTable!$B$2:$Y$301, MATCH(ROUND(MIN(300,MAX(1,U2733)),0), FactorTable!$A$2:$A$301,0), 22)</f>
        <v/>
      </c>
    </row>
    <row r="2735">
      <c r="A2735">
        <f>Skills!A4</f>
        <v/>
      </c>
      <c r="B2735">
        <f>Skills!B4</f>
        <v/>
      </c>
      <c r="C2735">
        <f>Inputs!$B$3&gt;=105</f>
        <v/>
      </c>
      <c r="D2735">
        <f>IF(Skills!C4=1,60+Inputs!$B$25+Inputs!$B$29,IF(Skills!C4=2,90+Inputs!$B$26+Inputs!$B$29,IF(Skills!C4=3,120+Inputs!$B$27+Inputs!$B$29,MAX(0,(Inputs!$B$3-100)*3)+Inputs!$B$28+Inputs!$B$29)))</f>
        <v/>
      </c>
      <c r="E2735">
        <f>INDEX(FactorTable!$B$2:$Y$301, MATCH(ROUND(MIN(300,MAX(1,D2735)),0), FactorTable!$A$2:$A$301,0), Skills!M4+1)</f>
        <v/>
      </c>
      <c r="F2735">
        <f>IF(Skills!N4=TRUE,(Skills!L4/10)*(E2735/1000),Skills!L4/10)+Skills!O4</f>
        <v/>
      </c>
      <c r="G2735" t="inlineStr"/>
      <c r="H2735" t="inlineStr"/>
      <c r="I2735" t="inlineStr">
        <is>
          <t>1</t>
        </is>
      </c>
      <c r="J2735" t="inlineStr"/>
      <c r="K2735" t="inlineStr"/>
      <c r="L2735" t="inlineStr"/>
      <c r="M2735" t="inlineStr"/>
      <c r="N2735" t="inlineStr"/>
      <c r="O2735" t="inlineStr"/>
      <c r="P2735" t="inlineStr"/>
      <c r="Q2735" t="inlineStr"/>
      <c r="R2735" t="inlineStr"/>
      <c r="S2735" t="inlineStr"/>
      <c r="U2735">
        <f>290*U2734/1000</f>
        <v/>
      </c>
    </row>
    <row r="2736">
      <c r="A2736">
        <f>Skills!A5</f>
        <v/>
      </c>
      <c r="B2736">
        <f>Skills!B5</f>
        <v/>
      </c>
      <c r="C2736">
        <f>Inputs!$B$3&gt;=103</f>
        <v/>
      </c>
      <c r="D2736">
        <f>IF(Skills!C5=1,60+Inputs!$B$25+Inputs!$B$29,IF(Skills!C5=2,90+Inputs!$B$26+Inputs!$B$29,IF(Skills!C5=3,120+Inputs!$B$27+Inputs!$B$29,MAX(0,(Inputs!$B$3-100)*3)+Inputs!$B$28+Inputs!$B$29)))</f>
        <v/>
      </c>
      <c r="E2736">
        <f>INDEX(FactorTable!$B$2:$Y$301, MATCH(ROUND(MIN(300,MAX(1,D2736)),0), FactorTable!$A$2:$A$301,0), Skills!M5+1)</f>
        <v/>
      </c>
      <c r="F2736">
        <f>IF(Skills!N5=TRUE,(Skills!L5/10)*(E2736/1000),Skills!L5/10)+Skills!O5</f>
        <v/>
      </c>
      <c r="G2736">
        <f>Skills!G5*IF(Skills!H5&gt;0,Skills!I5/Skills!H5,1)</f>
        <v/>
      </c>
      <c r="H2736">
        <f>1-(1-Skills!J5/100)^Skills!K5</f>
        <v/>
      </c>
      <c r="I2736" t="inlineStr">
        <is>
          <t>1</t>
        </is>
      </c>
      <c r="J2736">
        <f>((Inputs!$B$6*(1+Inputs!$B$7/100))+(((Inputs!$B$12*(1+Inputs!$B$13/100))-(Inputs!$B$12*(1+Inputs!$B$13/100)))+0.25*(Inputs!$B$14-Inputs!$B$14))*(1+Inputs!$B$7/100))*(F2736/100)</f>
        <v/>
      </c>
      <c r="K2736">
        <f>J2736*(1+((Inputs!$B$12*(1+Inputs!$B$13/100))*0.01+Inputs!$B$14*0.0025)/100)*(1+Inputs!$B$15/100)*(1+Inputs!$B$16/100)*(5000/(6000+Inputs!$B$42*(1-(100*(1-(1-(Inputs!$B$19+0)/100)*(1-CHOOSE(ArtifactsInput!$N$40+1,5,6,7,8,9,10)/100)^(ArtifactsInput!$M$40-ArtifactsInput!$M$40)))/100)))*(1+(Inputs!$B$24+((C2756=TRUE)*(F2756-Calc!F25))+B2766)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2752=TRUE)*(F2752-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2754=TRUE)*(F2754-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2744=TRUE)*F2744*IF(Inputs!$B$3&gt;=110,7,5))+((C2746=TRUE)*F2746*IF(AND(Inputs!$B$38&lt;&gt;"pvp",Inputs!$B$43&gt;0),(((R2746-1)*(Skills!T15*(1+(Inputs!$B$34+(ArtifactsInput!$M$7-ArtifactsInput!$M$7)*CHOOSE(ArtifactsInput!$N$7+1,6,7.2,8.4,9.6,10.8,12))/100))+MIN((Skills!T15*(1+(Inputs!$B$34+(ArtifactsInput!$M$7-ArtifactsInput!$M$7)*CHOOSE(ArtifactsInput!$N$7+1,6,7.2,8.4,9.6,10.8,12))/100)),MAX(0,Inputs!$B$43-((R2746-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Hunt"),CHOOSE(ArtifactsInput!$N$35+1,15,18,21,24,27,30)*(1-EXP(-(0.2*B2762)*5)),0)+IF(AND(ArtifactsInput!$M$22,Inputs!$B$4&lt;&gt;"Chapter Hunt"),CHOOSE(ArtifactsInput!$N$22+1,10,12,14,16,18,20)*((0*(((0.15*B2762*5))^0/1)+1*(((0.15*B2762*5))^1/1)+2*(((0.15*B2762*5))^2/2)+3*(((0.15*B2762*5))^3/6)+4*(((0.15*B2762*5))^4/24)+5*(((0.15*B2762*5))^5/120))/((((0.15*B2762*5))^0/1)+(((0.15*B2762*5))^1/1)+(((0.15*B2762*5))^2/2)+(((0.15*B2762*5))^3/6)+(((0.15*B2762*5))^4/24)+(((0.15*B2762*5))^5/120))),0)))/100)*I2736)</f>
        <v/>
      </c>
      <c r="L2736">
        <f>K2736*(MIN(Inputs!$B$22+((C2753=TRUE)*(F2753-Calc!F22)),(Inputs!$B$23+((C2755=TRUE)*(F2755-Calc!F24))+(IF(ArtifactsInput!$M$15,CHOOSE(ArtifactsInput!$N$15+1,25,30,35,40,45,50)/100*(Inputs!$B$11-Inputs!$B$11),0))))/100+(Inputs!$B$23+((C2755=TRUE)*(F2755-Calc!F24))+(IF(ArtifactsInput!$M$15,CHOOSE(ArtifactsInput!$N$15+1,25,30,35,40,45,50)/100*(Inputs!$B$11-Inputs!$B$11),0)))/100)/2</f>
        <v/>
      </c>
      <c r="M2736">
        <f>L2736*(1+(Inputs!$B$10+0+B2765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6">
        <f>L2736*(1-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2736*(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6">
        <f>(1-Summary!$B$11)*T2736+Summary!$B$11*V2736</f>
        <v/>
      </c>
      <c r="P2736">
        <f>IF(B2770=0,0,O2736/B2770)</f>
        <v/>
      </c>
      <c r="Q2736">
        <f>IFERROR(1/(IF(Inputs!$B$38="pvp",15,MAX(0.1,Skills!D5-IF(Skills!E5=TRUE,1.0,0)))*(1-IF(AND(ArtifactsInput!$M$27,Inputs!$B$4="Chapter Hunt"),CHOOSE(ArtifactsInput!$N$27+1,20,24,28,32,36,40),0)/100)),0)</f>
        <v/>
      </c>
      <c r="R2736">
        <f>IF(AND(Inputs!$B$38&lt;&gt;"pvp",Inputs!$B$43&gt;0),IF(MAX(0,Inputs!$B$43-B2767)&lt;=0,0,(INT(MAX(0,Inputs!$B$43-B2767)/(IF(Inputs!$B$38="pvp",15,MAX(0.1,Skills!D5-IF(Skills!E5=TRUE,1.0,0)))*(1-IF(AND(ArtifactsInput!$M$27,Inputs!$B$4="Chapter Hunt"),CHOOSE(ArtifactsInput!$N$27+1,20,24,28,32,36,40),0)/100)))+1)),0)</f>
        <v/>
      </c>
      <c r="S2736">
        <f>IFERROR(O2736/N2736,0)</f>
        <v/>
      </c>
      <c r="T2736">
        <f>IF(C2736,(H2736*N2736*IF(AND(Inputs!$B$38&lt;&gt;"pvp",Inputs!$B$43&gt;0),((Skills!G5*((R2736-1)*IF(Skills!H5&gt;0,Skills!I5/Skills!H5,1)+IF(Skills!H5&gt;0,MIN(Skills!I5,MAX(0,MAX(0,Inputs!$B$43-B2767)-((R2736-1)*(IF(Inputs!$B$38="pvp",15,MAX(0.1,Skills!D5-IF(Skills!E5=TRUE,1.0,0)))*(1-IF(AND(ArtifactsInput!$M$27,Inputs!$B$4="Chapter Hunt"),CHOOSE(ArtifactsInput!$N$27+1,20,24,28,32,36,40),0)/100)))))/Skills!H5,1)))/Inputs!$B$43),G2736*Q2736)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2736*(1-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2736*(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2736*(1-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2736*(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6">
        <f>IF(C2736,(H2736*N2736*IF(AND(Inputs!$B$38&lt;&gt;"pvp",Inputs!$B$43&gt;0),((Skills!G5*((R2736-1)*IF(Skills!H5&gt;0,Skills!I5/Skills!H5,1)+IF(Skills!H5&gt;0,MIN(Skills!I5,MAX(0,MAX(0,Inputs!$B$43-B2767)-((R2736-1)*(IF(Inputs!$B$38="pvp",15,MAX(0.1,Skills!D5-IF(Skills!E5=TRUE,1.0,0)))*(1-IF(AND(ArtifactsInput!$M$27,Inputs!$B$4="Chapter Hunt"),CHOOSE(ArtifactsInput!$N$27+1,20,24,28,32,36,40),0)/100)))))/Skills!H5,1)))/Inputs!$B$43),G2736*Q2736)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7">
      <c r="A2737">
        <f>Skills!A6</f>
        <v/>
      </c>
      <c r="B2737">
        <f>Skills!B6</f>
        <v/>
      </c>
      <c r="C2737">
        <f>Inputs!$B$3&gt;=103</f>
        <v/>
      </c>
      <c r="D2737">
        <f>IF(Skills!C6=1,60+Inputs!$B$25+Inputs!$B$29,IF(Skills!C6=2,90+Inputs!$B$26+Inputs!$B$29,IF(Skills!C6=3,120+Inputs!$B$27+Inputs!$B$29,MAX(0,(Inputs!$B$3-100)*3)+Inputs!$B$28+Inputs!$B$29)))</f>
        <v/>
      </c>
      <c r="E2737">
        <f>INDEX(FactorTable!$B$2:$Y$301, MATCH(ROUND(MIN(300,MAX(1,D2737)),0), FactorTable!$A$2:$A$301,0), Skills!M6+1)</f>
        <v/>
      </c>
      <c r="F2737">
        <f>IF(Skills!N6=TRUE,(Skills!L6/10)*(E2737/1000),Skills!L6/10)+Skills!O6</f>
        <v/>
      </c>
      <c r="G2737">
        <f>Skills!G6*IF(Skills!H6&gt;0,Skills!I6/Skills!H6,1)</f>
        <v/>
      </c>
      <c r="H2737">
        <f>1-(1-Skills!J6/100)^Skills!K6</f>
        <v/>
      </c>
      <c r="I2737" t="inlineStr">
        <is>
          <t>1</t>
        </is>
      </c>
      <c r="J2737">
        <f>((Inputs!$B$6*(1+Inputs!$B$7/100))+(((Inputs!$B$12*(1+Inputs!$B$13/100))-(Inputs!$B$12*(1+Inputs!$B$13/100)))+0.25*(Inputs!$B$14-Inputs!$B$14))*(1+Inputs!$B$7/100))*(F2737/100)</f>
        <v/>
      </c>
      <c r="K2737">
        <f>J2737*(1+((Inputs!$B$12*(1+Inputs!$B$13/100))*0.01+Inputs!$B$14*0.0025)/100)*(1+Inputs!$B$15/100)*(1+Inputs!$B$16/100)*(5000/(6000+Inputs!$B$42*(1-(100*(1-(1-(Inputs!$B$19+0)/100)*(1-CHOOSE(ArtifactsInput!$N$40+1,5,6,7,8,9,10)/100)^(ArtifactsInput!$M$40-ArtifactsInput!$M$40)))/100)))*(1+(Inputs!$B$24+((C2756=TRUE)*(F2756-Calc!F25))+B2766)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2752=TRUE)*(F2752-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2754=TRUE)*(F2754-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2744=TRUE)*F2744*IF(Inputs!$B$3&gt;=110,7,5))+((C2746=TRUE)*F2746*IF(AND(Inputs!$B$38&lt;&gt;"pvp",Inputs!$B$43&gt;0),(((R2746-1)*(Skills!T15*(1+(Inputs!$B$34+(ArtifactsInput!$M$7-ArtifactsInput!$M$7)*CHOOSE(ArtifactsInput!$N$7+1,6,7.2,8.4,9.6,10.8,12))/100))+MIN((Skills!T15*(1+(Inputs!$B$34+(ArtifactsInput!$M$7-ArtifactsInput!$M$7)*CHOOSE(ArtifactsInput!$N$7+1,6,7.2,8.4,9.6,10.8,12))/100)),MAX(0,Inputs!$B$43-((R2746-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Hunt"),CHOOSE(ArtifactsInput!$N$35+1,15,18,21,24,27,30)*(1-EXP(-(0.2*B2762)*5)),0)+IF(AND(ArtifactsInput!$M$22,Inputs!$B$4&lt;&gt;"Chapter Hunt"),CHOOSE(ArtifactsInput!$N$22+1,10,12,14,16,18,20)*((0*(((0.15*B2762*5))^0/1)+1*(((0.15*B2762*5))^1/1)+2*(((0.15*B2762*5))^2/2)+3*(((0.15*B2762*5))^3/6)+4*(((0.15*B2762*5))^4/24)+5*(((0.15*B2762*5))^5/120))/((((0.15*B2762*5))^0/1)+(((0.15*B2762*5))^1/1)+(((0.15*B2762*5))^2/2)+(((0.15*B2762*5))^3/6)+(((0.15*B2762*5))^4/24)+(((0.15*B2762*5))^5/120))),0)))/100)*I2737)</f>
        <v/>
      </c>
      <c r="L2737">
        <f>K2737*(MIN(Inputs!$B$22+((C2753=TRUE)*(F2753-Calc!F22)),(Inputs!$B$23+((C2755=TRUE)*(F2755-Calc!F24))+(IF(ArtifactsInput!$M$15,CHOOSE(ArtifactsInput!$N$15+1,25,30,35,40,45,50)/100*(Inputs!$B$11-Inputs!$B$11),0))))/100+(Inputs!$B$23+((C2755=TRUE)*(F2755-Calc!F24))+(IF(ArtifactsInput!$M$15,CHOOSE(ArtifactsInput!$N$15+1,25,30,35,40,45,50)/100*(Inputs!$B$11-Inputs!$B$11),0)))/100)/2</f>
        <v/>
      </c>
      <c r="M2737">
        <f>L2737*(1+(Inputs!$B$10+0+B2765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7">
        <f>L2737*(1-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2737*(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7">
        <f>(1-Summary!$B$11)*T2737+Summary!$B$11*V2737</f>
        <v/>
      </c>
      <c r="P2737">
        <f>IF(B2770=0,0,O2737/B2770)</f>
        <v/>
      </c>
      <c r="Q2737">
        <f>IFERROR(1/(IF(Inputs!$B$38="pvp",15,MAX(0.1,Skills!D6-IF(Skills!E6=TRUE,1.0,0)))*(1-IF(AND(ArtifactsInput!$M$27,Inputs!$B$4="Chapter Hunt"),CHOOSE(ArtifactsInput!$N$27+1,20,24,28,32,36,40),0)/100)),0)</f>
        <v/>
      </c>
      <c r="R2737">
        <f>IF(AND(Inputs!$B$38&lt;&gt;"pvp",Inputs!$B$43&gt;0),IF(MAX(0,Inputs!$B$43-B2767)&lt;=0,0,(INT(MAX(0,Inputs!$B$43-B2767)/(IF(Inputs!$B$38="pvp",15,MAX(0.1,Skills!D6-IF(Skills!E6=TRUE,1.0,0)))*(1-IF(AND(ArtifactsInput!$M$27,Inputs!$B$4="Chapter Hunt"),CHOOSE(ArtifactsInput!$N$27+1,20,24,28,32,36,40),0)/100)))+1)),0)</f>
        <v/>
      </c>
      <c r="S2737">
        <f>IFERROR(O2737/N2737,0)</f>
        <v/>
      </c>
      <c r="T2737">
        <f>IF(C2737,(H2737*N2737*IF(AND(Inputs!$B$38&lt;&gt;"pvp",Inputs!$B$43&gt;0),((Skills!G6*((R2737-1)*IF(Skills!H6&gt;0,Skills!I6/Skills!H6,1)+IF(Skills!H6&gt;0,MIN(Skills!I6,MAX(0,MAX(0,Inputs!$B$43-B2767)-((R2737-1)*(IF(Inputs!$B$38="pvp",15,MAX(0.1,Skills!D6-IF(Skills!E6=TRUE,1.0,0)))*(1-IF(AND(ArtifactsInput!$M$27,Inputs!$B$4="Chapter Hunt"),CHOOSE(ArtifactsInput!$N$27+1,20,24,28,32,36,40),0)/100)))))/Skills!H6,1)))/Inputs!$B$43),G2737*Q2737)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2737*(1-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2737*(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2737*(1-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2737*(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7">
        <f>IF(C2737,(H2737*N2737*IF(AND(Inputs!$B$38&lt;&gt;"pvp",Inputs!$B$43&gt;0),((Skills!G6*((R2737-1)*IF(Skills!H6&gt;0,Skills!I6/Skills!H6,1)+IF(Skills!H6&gt;0,MIN(Skills!I6,MAX(0,MAX(0,Inputs!$B$43-B2767)-((R2737-1)*(IF(Inputs!$B$38="pvp",15,MAX(0.1,Skills!D6-IF(Skills!E6=TRUE,1.0,0)))*(1-IF(AND(ArtifactsInput!$M$27,Inputs!$B$4="Chapter Hunt"),CHOOSE(ArtifactsInput!$N$27+1,20,24,28,32,36,40),0)/100)))))/Skills!H6,1)))/Inputs!$B$43),G2737*Q2737)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8">
      <c r="A2738">
        <f>Skills!A7</f>
        <v/>
      </c>
      <c r="B2738">
        <f>Skills!B7</f>
        <v/>
      </c>
      <c r="C2738">
        <f>Inputs!$B$3&gt;=107</f>
        <v/>
      </c>
      <c r="D2738">
        <f>IF(Skills!C7=1,60+Inputs!$B$25+Inputs!$B$29,IF(Skills!C7=2,90+Inputs!$B$26+Inputs!$B$29,IF(Skills!C7=3,120+Inputs!$B$27+Inputs!$B$29,MAX(0,(Inputs!$B$3-100)*3)+Inputs!$B$28+Inputs!$B$29)))</f>
        <v/>
      </c>
      <c r="E2738">
        <f>INDEX(FactorTable!$B$2:$Y$301, MATCH(ROUND(MIN(300,MAX(1,D2738)),0), FactorTable!$A$2:$A$301,0), Skills!M7+1)</f>
        <v/>
      </c>
      <c r="F2738">
        <f>IF(Skills!N7=TRUE,(Skills!L7/10)*(E2738/1000),Skills!L7/10)+Skills!O7</f>
        <v/>
      </c>
      <c r="G2738">
        <f>Skills!G7*IF(Skills!H7&gt;0,Skills!I7/Skills!H7,1)</f>
        <v/>
      </c>
      <c r="H2738">
        <f>1-(1-Skills!J7/100)^Skills!K7</f>
        <v/>
      </c>
      <c r="I2738" t="inlineStr">
        <is>
          <t>1</t>
        </is>
      </c>
      <c r="J2738">
        <f>((Inputs!$B$6*(1+Inputs!$B$7/100))+(((Inputs!$B$12*(1+Inputs!$B$13/100))-(Inputs!$B$12*(1+Inputs!$B$13/100)))+0.25*(Inputs!$B$14-Inputs!$B$14))*(1+Inputs!$B$7/100))*(F2738/100)</f>
        <v/>
      </c>
      <c r="K2738">
        <f>J2738*(1+((Inputs!$B$12*(1+Inputs!$B$13/100))*0.01+Inputs!$B$14*0.0025)/100)*(1+Inputs!$B$15/100)*(1+Inputs!$B$16/100)*(5000/(6000+Inputs!$B$42*(1-(100*(1-(1-(Inputs!$B$19+0)/100)*(1-CHOOSE(ArtifactsInput!$N$40+1,5,6,7,8,9,10)/100)^(ArtifactsInput!$M$40-ArtifactsInput!$M$40)))/100)))*(1+(Inputs!$B$24+((C2756=TRUE)*(F2756-Calc!F25))+B2766)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2752=TRUE)*(F2752-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2754=TRUE)*(F2754-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2744=TRUE)*F2744*IF(Inputs!$B$3&gt;=110,7,5))+((C2746=TRUE)*F2746*IF(AND(Inputs!$B$38&lt;&gt;"pvp",Inputs!$B$43&gt;0),(((R2746-1)*(Skills!T15*(1+(Inputs!$B$34+(ArtifactsInput!$M$7-ArtifactsInput!$M$7)*CHOOSE(ArtifactsInput!$N$7+1,6,7.2,8.4,9.6,10.8,12))/100))+MIN((Skills!T15*(1+(Inputs!$B$34+(ArtifactsInput!$M$7-ArtifactsInput!$M$7)*CHOOSE(ArtifactsInput!$N$7+1,6,7.2,8.4,9.6,10.8,12))/100)),MAX(0,Inputs!$B$43-((R2746-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Hunt"),CHOOSE(ArtifactsInput!$N$35+1,15,18,21,24,27,30)*(1-EXP(-(0.2*B2762)*5)),0)+IF(AND(ArtifactsInput!$M$22,Inputs!$B$4&lt;&gt;"Chapter Hunt"),CHOOSE(ArtifactsInput!$N$22+1,10,12,14,16,18,20)*((0*(((0.15*B2762*5))^0/1)+1*(((0.15*B2762*5))^1/1)+2*(((0.15*B2762*5))^2/2)+3*(((0.15*B2762*5))^3/6)+4*(((0.15*B2762*5))^4/24)+5*(((0.15*B2762*5))^5/120))/((((0.15*B2762*5))^0/1)+(((0.15*B2762*5))^1/1)+(((0.15*B2762*5))^2/2)+(((0.15*B2762*5))^3/6)+(((0.15*B2762*5))^4/24)+(((0.15*B2762*5))^5/120))),0)))/100)*I2738)</f>
        <v/>
      </c>
      <c r="L2738">
        <f>K2738*(MIN(Inputs!$B$22+((C2753=TRUE)*(F2753-Calc!F22)),(Inputs!$B$23+((C2755=TRUE)*(F2755-Calc!F24))+(IF(ArtifactsInput!$M$15,CHOOSE(ArtifactsInput!$N$15+1,25,30,35,40,45,50)/100*(Inputs!$B$11-Inputs!$B$11),0))))/100+(Inputs!$B$23+((C2755=TRUE)*(F2755-Calc!F24))+(IF(ArtifactsInput!$M$15,CHOOSE(ArtifactsInput!$N$15+1,25,30,35,40,45,50)/100*(Inputs!$B$11-Inputs!$B$11),0)))/100)/2</f>
        <v/>
      </c>
      <c r="M2738">
        <f>L2738*(1+(Inputs!$B$10+0+B2765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8">
        <f>L2738*(1-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2738*(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8">
        <f>(1-Summary!$B$11)*T2738+Summary!$B$11*V2738</f>
        <v/>
      </c>
      <c r="P2738">
        <f>IF(B2770=0,0,O2738/B2770)</f>
        <v/>
      </c>
      <c r="Q2738">
        <f>IFERROR(1/(IF(Inputs!$B$38="pvp",15,MAX(0.1,Skills!D7-IF(Skills!E7=TRUE,1.0,0)))*(1-IF(AND(ArtifactsInput!$M$27,Inputs!$B$4="Chapter Hunt"),CHOOSE(ArtifactsInput!$N$27+1,20,24,28,32,36,40),0)/100)),0)</f>
        <v/>
      </c>
      <c r="R2738">
        <f>IF(AND(Inputs!$B$38&lt;&gt;"pvp",Inputs!$B$43&gt;0),IF(MAX(0,Inputs!$B$43-B2767)&lt;=0,0,(INT(MAX(0,Inputs!$B$43-B2767)/(IF(Inputs!$B$38="pvp",15,MAX(0.1,Skills!D7-IF(Skills!E7=TRUE,1.0,0)))*(1-IF(AND(ArtifactsInput!$M$27,Inputs!$B$4="Chapter Hunt"),CHOOSE(ArtifactsInput!$N$27+1,20,24,28,32,36,40),0)/100)))+1)),0)</f>
        <v/>
      </c>
      <c r="S2738">
        <f>IFERROR(O2738/N2738,0)</f>
        <v/>
      </c>
      <c r="T2738">
        <f>IF(C2738,(H2738*N2738*IF(AND(Inputs!$B$38&lt;&gt;"pvp",Inputs!$B$43&gt;0),((Skills!G7*((R2738-1)*IF(Skills!H7&gt;0,Skills!I7/Skills!H7,1)+IF(Skills!H7&gt;0,MIN(Skills!I7,MAX(0,MAX(0,Inputs!$B$43-B2767)-((R2738-1)*(IF(Inputs!$B$38="pvp",15,MAX(0.1,Skills!D7-IF(Skills!E7=TRUE,1.0,0)))*(1-IF(AND(ArtifactsInput!$M$27,Inputs!$B$4="Chapter Hunt"),CHOOSE(ArtifactsInput!$N$27+1,20,24,28,32,36,40),0)/100)))))/Skills!H7,1)))/Inputs!$B$43),G2738*Q2738)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2738*(1-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2738*(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2738*(1-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2738*(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8">
        <f>IF(C2738,(H2738*N2738*IF(AND(Inputs!$B$38&lt;&gt;"pvp",Inputs!$B$43&gt;0),((Skills!G7*((R2738-1)*IF(Skills!H7&gt;0,Skills!I7/Skills!H7,1)+IF(Skills!H7&gt;0,MIN(Skills!I7,MAX(0,MAX(0,Inputs!$B$43-B2767)-((R2738-1)*(IF(Inputs!$B$38="pvp",15,MAX(0.1,Skills!D7-IF(Skills!E7=TRUE,1.0,0)))*(1-IF(AND(ArtifactsInput!$M$27,Inputs!$B$4="Chapter Hunt"),CHOOSE(ArtifactsInput!$N$27+1,20,24,28,32,36,40),0)/100)))))/Skills!H7,1)))/Inputs!$B$43),G2738*Q2738)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9">
      <c r="A2739">
        <f>Skills!A8</f>
        <v/>
      </c>
      <c r="B2739">
        <f>Skills!B8</f>
        <v/>
      </c>
      <c r="C2739">
        <f>Inputs!$B$3&gt;=117</f>
        <v/>
      </c>
      <c r="D2739">
        <f>IF(Skills!C8=1,60+Inputs!$B$25+Inputs!$B$29,IF(Skills!C8=2,90+Inputs!$B$26+Inputs!$B$29,IF(Skills!C8=3,120+Inputs!$B$27+Inputs!$B$29,MAX(0,(Inputs!$B$3-100)*3)+Inputs!$B$28+Inputs!$B$29)))</f>
        <v/>
      </c>
      <c r="E2739">
        <f>INDEX(FactorTable!$B$2:$Y$301, MATCH(ROUND(MIN(300,MAX(1,D2739)),0), FactorTable!$A$2:$A$301,0), Skills!M8+1)</f>
        <v/>
      </c>
      <c r="F2739">
        <f>IF(Skills!N8=TRUE,(Skills!L8/10)*(E2739/1000),Skills!L8/10)+Skills!O8</f>
        <v/>
      </c>
      <c r="G2739">
        <f>Skills!G8*IF(Skills!H8&gt;0,Skills!I8/Skills!H8,1)</f>
        <v/>
      </c>
      <c r="H2739">
        <f>1-(1-Skills!J8/100)^Skills!K8</f>
        <v/>
      </c>
      <c r="I2739" t="inlineStr">
        <is>
          <t>1</t>
        </is>
      </c>
      <c r="J2739">
        <f>((Inputs!$B$6*(1+Inputs!$B$7/100))+(((Inputs!$B$12*(1+Inputs!$B$13/100))-(Inputs!$B$12*(1+Inputs!$B$13/100)))+0.25*(Inputs!$B$14-Inputs!$B$14))*(1+Inputs!$B$7/100))*(F2739/100)</f>
        <v/>
      </c>
      <c r="K2739">
        <f>J2739*(1+((Inputs!$B$12*(1+Inputs!$B$13/100))*0.01+Inputs!$B$14*0.0025)/100)*(1+Inputs!$B$15/100)*(1+Inputs!$B$16/100)*(5000/(6000+Inputs!$B$42*(1-(100*(1-(1-(Inputs!$B$19+0)/100)*(1-CHOOSE(ArtifactsInput!$N$40+1,5,6,7,8,9,10)/100)^(ArtifactsInput!$M$40-ArtifactsInput!$M$40)))/100)))*(1+(Inputs!$B$24+((C2756=TRUE)*(F2756-Calc!F25))+B2766)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2752=TRUE)*(F2752-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2754=TRUE)*(F2754-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2744=TRUE)*F2744*IF(Inputs!$B$3&gt;=110,7,5))+((C2746=TRUE)*F2746*IF(AND(Inputs!$B$38&lt;&gt;"pvp",Inputs!$B$43&gt;0),(((R2746-1)*(Skills!T15*(1+(Inputs!$B$34+(ArtifactsInput!$M$7-ArtifactsInput!$M$7)*CHOOSE(ArtifactsInput!$N$7+1,6,7.2,8.4,9.6,10.8,12))/100))+MIN((Skills!T15*(1+(Inputs!$B$34+(ArtifactsInput!$M$7-ArtifactsInput!$M$7)*CHOOSE(ArtifactsInput!$N$7+1,6,7.2,8.4,9.6,10.8,12))/100)),MAX(0,Inputs!$B$43-((R2746-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Hunt"),CHOOSE(ArtifactsInput!$N$35+1,15,18,21,24,27,30)*(1-EXP(-(0.2*B2762)*5)),0)+IF(AND(ArtifactsInput!$M$22,Inputs!$B$4&lt;&gt;"Chapter Hunt"),CHOOSE(ArtifactsInput!$N$22+1,10,12,14,16,18,20)*((0*(((0.15*B2762*5))^0/1)+1*(((0.15*B2762*5))^1/1)+2*(((0.15*B2762*5))^2/2)+3*(((0.15*B2762*5))^3/6)+4*(((0.15*B2762*5))^4/24)+5*(((0.15*B2762*5))^5/120))/((((0.15*B2762*5))^0/1)+(((0.15*B2762*5))^1/1)+(((0.15*B2762*5))^2/2)+(((0.15*B2762*5))^3/6)+(((0.15*B2762*5))^4/24)+(((0.15*B2762*5))^5/120))),0)))/100)*I2739)</f>
        <v/>
      </c>
      <c r="L2739">
        <f>K2739*(MIN(Inputs!$B$22+((C2753=TRUE)*(F2753-Calc!F22)),(Inputs!$B$23+((C2755=TRUE)*(F2755-Calc!F24))+(IF(ArtifactsInput!$M$15,CHOOSE(ArtifactsInput!$N$15+1,25,30,35,40,45,50)/100*(Inputs!$B$11-Inputs!$B$11),0))))/100+(Inputs!$B$23+((C2755=TRUE)*(F2755-Calc!F24))+(IF(ArtifactsInput!$M$15,CHOOSE(ArtifactsInput!$N$15+1,25,30,35,40,45,50)/100*(Inputs!$B$11-Inputs!$B$11),0)))/100)/2</f>
        <v/>
      </c>
      <c r="M2739">
        <f>L2739*(1+(Inputs!$B$10+0+B2765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9">
        <f>L2739*(1-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2739*(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9">
        <f>(1-Summary!$B$11)*T2739+Summary!$B$11*V2739</f>
        <v/>
      </c>
      <c r="P2739">
        <f>IF(B2770=0,0,O2739/B2770)</f>
        <v/>
      </c>
      <c r="Q2739">
        <f>IFERROR(1/(IF(Inputs!$B$38="pvp",15,MAX(0.1,Skills!D8-IF(Skills!E8=TRUE,1.0,0)))*(1-IF(AND(ArtifactsInput!$M$27,Inputs!$B$4="Chapter Hunt"),CHOOSE(ArtifactsInput!$N$27+1,20,24,28,32,36,40),0)/100)),0)</f>
        <v/>
      </c>
      <c r="R2739">
        <f>IF(AND(Inputs!$B$38&lt;&gt;"pvp",Inputs!$B$43&gt;0),IF(MAX(0,Inputs!$B$43-B2767)&lt;=0,0,(INT(MAX(0,Inputs!$B$43-B2767)/(IF(Inputs!$B$38="pvp",15,MAX(0.1,Skills!D8-IF(Skills!E8=TRUE,1.0,0)))*(1-IF(AND(ArtifactsInput!$M$27,Inputs!$B$4="Chapter Hunt"),CHOOSE(ArtifactsInput!$N$27+1,20,24,28,32,36,40),0)/100)))+1)),0)</f>
        <v/>
      </c>
      <c r="S2739">
        <f>IFERROR(O2739/N2739,0)</f>
        <v/>
      </c>
      <c r="T2739">
        <f>IF(C2739,(H2739*N2739*IF(AND(Inputs!$B$38&lt;&gt;"pvp",Inputs!$B$43&gt;0),((Skills!G8*((R2739-1)*IF(Skills!H8&gt;0,Skills!I8/Skills!H8,1)+IF(Skills!H8&gt;0,MIN(Skills!I8,MAX(0,MAX(0,Inputs!$B$43-B2767)-((R2739-1)*(IF(Inputs!$B$38="pvp",15,MAX(0.1,Skills!D8-IF(Skills!E8=TRUE,1.0,0)))*(1-IF(AND(ArtifactsInput!$M$27,Inputs!$B$4="Chapter Hunt"),CHOOSE(ArtifactsInput!$N$27+1,20,24,28,32,36,40),0)/100)))))/Skills!H8,1)))/Inputs!$B$43),G2739*Q2739)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2739*(1-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2739*(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2739*(1-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2739*(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9">
        <f>IF(C2739,(H2739*N2739*IF(AND(Inputs!$B$38&lt;&gt;"pvp",Inputs!$B$43&gt;0),((Skills!G8*((R2739-1)*IF(Skills!H8&gt;0,Skills!I8/Skills!H8,1)+IF(Skills!H8&gt;0,MIN(Skills!I8,MAX(0,MAX(0,Inputs!$B$43-B2767)-((R2739-1)*(IF(Inputs!$B$38="pvp",15,MAX(0.1,Skills!D8-IF(Skills!E8=TRUE,1.0,0)))*(1-IF(AND(ArtifactsInput!$M$27,Inputs!$B$4="Chapter Hunt"),CHOOSE(ArtifactsInput!$N$27+1,20,24,28,32,36,40),0)/100)))))/Skills!H8,1)))/Inputs!$B$43),G2739*Q2739)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0">
      <c r="A2740">
        <f>Skills!A9</f>
        <v/>
      </c>
      <c r="B2740">
        <f>Skills!B9</f>
        <v/>
      </c>
      <c r="C2740">
        <f>Inputs!$B$3&gt;=69</f>
        <v/>
      </c>
      <c r="D2740">
        <f>IF(Skills!C9=1,60+Inputs!$B$25+Inputs!$B$29,IF(Skills!C9=2,90+Inputs!$B$26+Inputs!$B$29,IF(Skills!C9=3,120+Inputs!$B$27+Inputs!$B$29,MAX(0,(Inputs!$B$3-100)*3)+Inputs!$B$28+Inputs!$B$29)))</f>
        <v/>
      </c>
      <c r="E2740">
        <f>INDEX(FactorTable!$B$2:$Y$301, MATCH(ROUND(MIN(300,MAX(1,D2740)),0), FactorTable!$A$2:$A$301,0), Skills!M9+1)</f>
        <v/>
      </c>
      <c r="F2740">
        <f>IF(Skills!N9=TRUE,(Skills!L9/10)*(E2740/1000),Skills!L9/10)+Skills!O9</f>
        <v/>
      </c>
      <c r="G2740">
        <f>Skills!G9*IF(Skills!H9&gt;0,Skills!I9/Skills!H9,1)</f>
        <v/>
      </c>
      <c r="H2740">
        <f>1-(1-Skills!J9/100)^Skills!K9</f>
        <v/>
      </c>
      <c r="I2740" t="inlineStr">
        <is>
          <t>1</t>
        </is>
      </c>
      <c r="J2740">
        <f>((Inputs!$B$6*(1+Inputs!$B$7/100))+(((Inputs!$B$12*(1+Inputs!$B$13/100))-(Inputs!$B$12*(1+Inputs!$B$13/100)))+0.25*(Inputs!$B$14-Inputs!$B$14))*(1+Inputs!$B$7/100))*(F2740/100)</f>
        <v/>
      </c>
      <c r="K2740">
        <f>J2740*(1+((Inputs!$B$12*(1+Inputs!$B$13/100))*0.01+Inputs!$B$14*0.0025)/100)*(1+Inputs!$B$15/100)*(1+Inputs!$B$16/100)*(5000/(6000+Inputs!$B$42*(1-(100*(1-(1-(Inputs!$B$19+0)/100)*(1-CHOOSE(ArtifactsInput!$N$40+1,5,6,7,8,9,10)/100)^(ArtifactsInput!$M$40-ArtifactsInput!$M$40)))/100)))*(1+(Inputs!$B$24+((C2756=TRUE)*(F2756-Calc!F25))+B2766)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2743=TRUE,F2743,0)/100)*(1+IF(Skills!A9="ENHANCED_RAGING_BLOW",IF(Inputs!$B$3&gt;=134,MAX(0,IF(Inputs!$B$3&gt;=110,7,5)-5)*50,0),0)/100)*(1+(IF(Skills!A9="RAGING_BLOW",Inputs!$B$17+((C2752=TRUE)*(F2752-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2754=TRUE)*(F2754-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2744=TRUE)*F2744*IF(Inputs!$B$3&gt;=110,7,5))+((C2746=TRUE)*F2746*IF(AND(Inputs!$B$38&lt;&gt;"pvp",Inputs!$B$43&gt;0),(((R2746-1)*(Skills!T15*(1+(Inputs!$B$34+(ArtifactsInput!$M$7-ArtifactsInput!$M$7)*CHOOSE(ArtifactsInput!$N$7+1,6,7.2,8.4,9.6,10.8,12))/100))+MIN((Skills!T15*(1+(Inputs!$B$34+(ArtifactsInput!$M$7-ArtifactsInput!$M$7)*CHOOSE(ArtifactsInput!$N$7+1,6,7.2,8.4,9.6,10.8,12))/100)),MAX(0,Inputs!$B$43-((R2746-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Hunt"),CHOOSE(ArtifactsInput!$N$35+1,15,18,21,24,27,30)*(1-EXP(-(0.2*B2762)*5)),0)+IF(AND(ArtifactsInput!$M$22,Inputs!$B$4&lt;&gt;"Chapter Hunt"),CHOOSE(ArtifactsInput!$N$22+1,10,12,14,16,18,20)*((0*(((0.15*B2762*5))^0/1)+1*(((0.15*B2762*5))^1/1)+2*(((0.15*B2762*5))^2/2)+3*(((0.15*B2762*5))^3/6)+4*(((0.15*B2762*5))^4/24)+5*(((0.15*B2762*5))^5/120))/((((0.15*B2762*5))^0/1)+(((0.15*B2762*5))^1/1)+(((0.15*B2762*5))^2/2)+(((0.15*B2762*5))^3/6)+(((0.15*B2762*5))^4/24)+(((0.15*B2762*5))^5/120))),0)))/100)*I2740)</f>
        <v/>
      </c>
      <c r="L2740">
        <f>K2740*(MIN(Inputs!$B$22+((C2753=TRUE)*(F2753-Calc!F22)),(Inputs!$B$23+((C2755=TRUE)*(F2755-Calc!F24))+(IF(ArtifactsInput!$M$15,CHOOSE(ArtifactsInput!$N$15+1,25,30,35,40,45,50)/100*(Inputs!$B$11-Inputs!$B$11),0))))/100+(Inputs!$B$23+((C2755=TRUE)*(F2755-Calc!F24))+(IF(ArtifactsInput!$M$15,CHOOSE(ArtifactsInput!$N$15+1,25,30,35,40,45,50)/100*(Inputs!$B$11-Inputs!$B$11),0)))/100)/2</f>
        <v/>
      </c>
      <c r="M2740">
        <f>L2740*(1+(Inputs!$B$10+0+B2765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0">
        <f>L2740*(1-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2740*(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0">
        <f>(1-Summary!$B$11)*T2740+Summary!$B$11*V2740</f>
        <v/>
      </c>
      <c r="P2740">
        <f>IF(B2770=0,0,O2740/B2770)</f>
        <v/>
      </c>
      <c r="Q2740">
        <f>IFERROR(1/(IF(Inputs!$B$38="pvp",15,MAX(0.1,Skills!D9-IF(Skills!E9=TRUE,1.0,0)))*(1-IF(AND(ArtifactsInput!$M$27,Inputs!$B$4="Chapter Hunt"),CHOOSE(ArtifactsInput!$N$27+1,20,24,28,32,36,40),0)/100)),0)</f>
        <v/>
      </c>
      <c r="R2740">
        <f>IF(AND(Inputs!$B$38&lt;&gt;"pvp",Inputs!$B$43&gt;0),IF(MAX(0,Inputs!$B$43-B2767)&lt;=0,0,(INT(MAX(0,Inputs!$B$43-B2767)/(IF(Inputs!$B$38="pvp",15,MAX(0.1,Skills!D9-IF(Skills!E9=TRUE,1.0,0)))*(1-IF(AND(ArtifactsInput!$M$27,Inputs!$B$4="Chapter Hunt"),CHOOSE(ArtifactsInput!$N$27+1,20,24,28,32,36,40),0)/100)))+1)),0)</f>
        <v/>
      </c>
      <c r="S2740">
        <f>IFERROR(O2740/N2740,0)</f>
        <v/>
      </c>
      <c r="T2740">
        <f>IF(C2740,(H2740*N2740*IF(AND(Inputs!$B$38&lt;&gt;"pvp",Inputs!$B$43&gt;0),((Skills!G9*((R2740-1)*IF(Skills!H9&gt;0,Skills!I9/Skills!H9,1)+IF(Skills!H9&gt;0,MIN(Skills!I9,MAX(0,MAX(0,Inputs!$B$43-B2767)-((R2740-1)*(IF(Inputs!$B$38="pvp",15,MAX(0.1,Skills!D9-IF(Skills!E9=TRUE,1.0,0)))*(1-IF(AND(ArtifactsInput!$M$27,Inputs!$B$4="Chapter Hunt"),CHOOSE(ArtifactsInput!$N$27+1,20,24,28,32,36,40),0)/100)))))/Skills!H9,1)))/Inputs!$B$43),G2740*Q2740)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2740*(1-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2740*(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2740*(1-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2740*(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40">
        <f>IF(C2740,(H2740*N2740*IF(AND(Inputs!$B$38&lt;&gt;"pvp",Inputs!$B$43&gt;0),((Skills!G9*((R2740-1)*IF(Skills!H9&gt;0,Skills!I9/Skills!H9,1)+IF(Skills!H9&gt;0,MIN(Skills!I9,MAX(0,MAX(0,Inputs!$B$43-B2767)-((R2740-1)*(IF(Inputs!$B$38="pvp",15,MAX(0.1,Skills!D9-IF(Skills!E9=TRUE,1.0,0)))*(1-IF(AND(ArtifactsInput!$M$27,Inputs!$B$4="Chapter Hunt"),CHOOSE(ArtifactsInput!$N$27+1,20,24,28,32,36,40),0)/100)))))/Skills!H9,1)))/Inputs!$B$43),G2740*Q2740)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1">
      <c r="A2741">
        <f>Skills!A10</f>
        <v/>
      </c>
      <c r="B2741">
        <f>Skills!B10</f>
        <v/>
      </c>
      <c r="C2741">
        <f>Inputs!$B$3&gt;=63</f>
        <v/>
      </c>
      <c r="D2741">
        <f>IF(Skills!C10=1,60+Inputs!$B$25+Inputs!$B$29,IF(Skills!C10=2,90+Inputs!$B$26+Inputs!$B$29,IF(Skills!C10=3,120+Inputs!$B$27+Inputs!$B$29,MAX(0,(Inputs!$B$3-100)*3)+Inputs!$B$28+Inputs!$B$29)))</f>
        <v/>
      </c>
      <c r="E2741">
        <f>INDEX(FactorTable!$B$2:$Y$301, MATCH(ROUND(MIN(300,MAX(1,D2741)),0), FactorTable!$A$2:$A$301,0), Skills!M10+1)</f>
        <v/>
      </c>
      <c r="F2741">
        <f>IF(Skills!N10=TRUE,(Skills!L10/10)*(E2741/1000),Skills!L10/10)+Skills!O10</f>
        <v/>
      </c>
      <c r="G2741">
        <f>Skills!G10*IF(Skills!H10&gt;0,Skills!I10/Skills!H10,1)</f>
        <v/>
      </c>
      <c r="H2741">
        <f>1-(1-Skills!J10/100)^Skills!K10</f>
        <v/>
      </c>
      <c r="I2741" t="inlineStr">
        <is>
          <t>1</t>
        </is>
      </c>
      <c r="J2741">
        <f>((Inputs!$B$6*(1+Inputs!$B$7/100))+(((Inputs!$B$12*(1+Inputs!$B$13/100))-(Inputs!$B$12*(1+Inputs!$B$13/100)))+0.25*(Inputs!$B$14-Inputs!$B$14))*(1+Inputs!$B$7/100))*(F2741/100)</f>
        <v/>
      </c>
      <c r="K2741">
        <f>J2741*(1+((Inputs!$B$12*(1+Inputs!$B$13/100))*0.01+Inputs!$B$14*0.0025)/100)*(1+Inputs!$B$15/100)*(1+Inputs!$B$16/100)*(5000/(6000+Inputs!$B$42*(1-(100*(1-(1-(Inputs!$B$19+0)/100)*(1-CHOOSE(ArtifactsInput!$N$40+1,5,6,7,8,9,10)/100)^(ArtifactsInput!$M$40-ArtifactsInput!$M$40)))/100)))*(1+(Inputs!$B$24+((C2756=TRUE)*(F2756-Calc!F25))+B2766)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2743=TRUE,F2743,0)/100)*(1+IF(Skills!A10="ENHANCED_RAGING_BLOW",IF(Inputs!$B$3&gt;=134,MAX(0,IF(Inputs!$B$3&gt;=110,7,5)-5)*50,0),0)/100)*(1+(IF(Skills!A10="RAGING_BLOW",Inputs!$B$17+((C2752=TRUE)*(F2752-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2754=TRUE)*(F2754-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2744=TRUE)*F2744*IF(Inputs!$B$3&gt;=110,7,5))+((C2746=TRUE)*F2746*IF(AND(Inputs!$B$38&lt;&gt;"pvp",Inputs!$B$43&gt;0),(((R2746-1)*(Skills!T15*(1+(Inputs!$B$34+(ArtifactsInput!$M$7-ArtifactsInput!$M$7)*CHOOSE(ArtifactsInput!$N$7+1,6,7.2,8.4,9.6,10.8,12))/100))+MIN((Skills!T15*(1+(Inputs!$B$34+(ArtifactsInput!$M$7-ArtifactsInput!$M$7)*CHOOSE(ArtifactsInput!$N$7+1,6,7.2,8.4,9.6,10.8,12))/100)),MAX(0,Inputs!$B$43-((R2746-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Hunt"),CHOOSE(ArtifactsInput!$N$35+1,15,18,21,24,27,30)*(1-EXP(-(0.2*B2762)*5)),0)+IF(AND(ArtifactsInput!$M$22,Inputs!$B$4&lt;&gt;"Chapter Hunt"),CHOOSE(ArtifactsInput!$N$22+1,10,12,14,16,18,20)*((0*(((0.15*B2762*5))^0/1)+1*(((0.15*B2762*5))^1/1)+2*(((0.15*B2762*5))^2/2)+3*(((0.15*B2762*5))^3/6)+4*(((0.15*B2762*5))^4/24)+5*(((0.15*B2762*5))^5/120))/((((0.15*B2762*5))^0/1)+(((0.15*B2762*5))^1/1)+(((0.15*B2762*5))^2/2)+(((0.15*B2762*5))^3/6)+(((0.15*B2762*5))^4/24)+(((0.15*B2762*5))^5/120))),0)))/100)*I2741)</f>
        <v/>
      </c>
      <c r="L2741">
        <f>K2741*(MIN(Inputs!$B$22+((C2753=TRUE)*(F2753-Calc!F22)),(Inputs!$B$23+((C2755=TRUE)*(F2755-Calc!F24))+(IF(ArtifactsInput!$M$15,CHOOSE(ArtifactsInput!$N$15+1,25,30,35,40,45,50)/100*(Inputs!$B$11-Inputs!$B$11),0))))/100+(Inputs!$B$23+((C2755=TRUE)*(F2755-Calc!F24))+(IF(ArtifactsInput!$M$15,CHOOSE(ArtifactsInput!$N$15+1,25,30,35,40,45,50)/100*(Inputs!$B$11-Inputs!$B$11),0)))/100)/2</f>
        <v/>
      </c>
      <c r="M2741">
        <f>L2741*(1+(Inputs!$B$10+0+B2765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1">
        <f>L2741*(1-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2741*(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1">
        <f>(1-Summary!$B$11)*T2741+Summary!$B$11*V2741</f>
        <v/>
      </c>
      <c r="P2741">
        <f>IF(B2770=0,0,O2741/B2770)</f>
        <v/>
      </c>
      <c r="Q2741">
        <f>IFERROR(1/(IF(Inputs!$B$38="pvp",15,MAX(0.1,Skills!D10-IF(Skills!E10=TRUE,1.0,0)))*(1-IF(AND(ArtifactsInput!$M$27,Inputs!$B$4="Chapter Hunt"),CHOOSE(ArtifactsInput!$N$27+1,20,24,28,32,36,40),0)/100)),0)</f>
        <v/>
      </c>
      <c r="R2741">
        <f>IF(AND(Inputs!$B$38&lt;&gt;"pvp",Inputs!$B$43&gt;0),IF(MAX(0,Inputs!$B$43-B2767)&lt;=0,0,(INT(MAX(0,Inputs!$B$43-B2767)/(IF(Inputs!$B$38="pvp",15,MAX(0.1,Skills!D10-IF(Skills!E10=TRUE,1.0,0)))*(1-IF(AND(ArtifactsInput!$M$27,Inputs!$B$4="Chapter Hunt"),CHOOSE(ArtifactsInput!$N$27+1,20,24,28,32,36,40),0)/100)))+1)),0)</f>
        <v/>
      </c>
      <c r="S2741">
        <f>IFERROR(O2741/N2741,0)</f>
        <v/>
      </c>
      <c r="T2741">
        <f>IF(C2741,(H2741*N2741*IF(AND(Inputs!$B$38&lt;&gt;"pvp",Inputs!$B$43&gt;0),((Skills!G10*((R2741-1)*IF(Skills!H10&gt;0,Skills!I10/Skills!H10,1)+IF(Skills!H10&gt;0,MIN(Skills!I10,MAX(0,MAX(0,Inputs!$B$43-B2767)-((R2741-1)*(IF(Inputs!$B$38="pvp",15,MAX(0.1,Skills!D10-IF(Skills!E10=TRUE,1.0,0)))*(1-IF(AND(ArtifactsInput!$M$27,Inputs!$B$4="Chapter Hunt"),CHOOSE(ArtifactsInput!$N$27+1,20,24,28,32,36,40),0)/100)))))/Skills!H10,1)))/Inputs!$B$43),G2741*Q2741)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2741*(1-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2741*(1-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41">
        <f>IF(C2741,(H2741*N2741*IF(AND(Inputs!$B$38&lt;&gt;"pvp",Inputs!$B$43&gt;0),((Skills!G10*((R2741-1)*IF(Skills!H10&gt;0,Skills!I10/Skills!H10,1)+IF(Skills!H10&gt;0,MIN(Skills!I10,MAX(0,MAX(0,Inputs!$B$43-B2767)-((R2741-1)*(IF(Inputs!$B$38="pvp",15,MAX(0.1,Skills!D10-IF(Skills!E10=TRUE,1.0,0)))*(1-IF(AND(ArtifactsInput!$M$27,Inputs!$B$4="Chapter Hunt"),CHOOSE(ArtifactsInput!$N$27+1,20,24,28,32,36,40),0)/100)))))/Skills!H10,1)))/Inputs!$B$43),G2741*Q2741)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2">
      <c r="A2742">
        <f>Skills!A11</f>
        <v/>
      </c>
      <c r="B2742">
        <f>Skills!B11</f>
        <v/>
      </c>
      <c r="C2742">
        <f>Inputs!$B$3&gt;=35</f>
        <v/>
      </c>
      <c r="D2742">
        <f>IF(Skills!C11=1,60+Inputs!$B$25+Inputs!$B$29,IF(Skills!C11=2,90+Inputs!$B$26+Inputs!$B$29,IF(Skills!C11=3,120+Inputs!$B$27+Inputs!$B$29,MAX(0,(Inputs!$B$3-100)*3)+Inputs!$B$28+Inputs!$B$29)))</f>
        <v/>
      </c>
      <c r="E2742">
        <f>INDEX(FactorTable!$B$2:$Y$301, MATCH(ROUND(MIN(300,MAX(1,D2742)),0), FactorTable!$A$2:$A$301,0), Skills!M11+1)</f>
        <v/>
      </c>
      <c r="F2742">
        <f>IF(Skills!N11=TRUE,(Skills!L11/10)*(E2742/1000),Skills!L11/10)+Skills!O11</f>
        <v/>
      </c>
      <c r="G2742">
        <f>Skills!G11*IF(Skills!H11&gt;0,Skills!I11/Skills!H11,1)</f>
        <v/>
      </c>
      <c r="H2742">
        <f>1-(1-Skills!J11/100)^Skills!K11</f>
        <v/>
      </c>
      <c r="I2742" t="inlineStr">
        <is>
          <t>1</t>
        </is>
      </c>
      <c r="J2742">
        <f>((Inputs!$B$6*(1+Inputs!$B$7/100))+(((Inputs!$B$12*(1+Inputs!$B$13/100))-(Inputs!$B$12*(1+Inputs!$B$13/100)))+0.25*(Inputs!$B$14-Inputs!$B$14))*(1+Inputs!$B$7/100))*(F2742/100)</f>
        <v/>
      </c>
      <c r="K2742">
        <f>J2742*(1+((Inputs!$B$12*(1+Inputs!$B$13/100))*0.01+Inputs!$B$14*0.0025)/100)*(1+Inputs!$B$15/100)*(1+Inputs!$B$16/100)*(5000/(6000+Inputs!$B$42*(1-(100*(1-(1-(Inputs!$B$19+0)/100)*(1-CHOOSE(ArtifactsInput!$N$40+1,5,6,7,8,9,10)/100)^(ArtifactsInput!$M$40-ArtifactsInput!$M$40)))/100)))*(1+(Inputs!$B$24+((C2756=TRUE)*(F2756-Calc!F25))+B2766)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2743=TRUE,F2743,0)/100)*(1+IF(Skills!A11="ENHANCED_RAGING_BLOW",IF(Inputs!$B$3&gt;=134,MAX(0,IF(Inputs!$B$3&gt;=110,7,5)-5)*50,0),0)/100)*(1+(IF(Skills!A11="RAGING_BLOW",Inputs!$B$17+((C2752=TRUE)*(F2752-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2754=TRUE)*(F2754-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2744=TRUE)*F2744*IF(Inputs!$B$3&gt;=110,7,5))+((C2746=TRUE)*F2746*IF(AND(Inputs!$B$38&lt;&gt;"pvp",Inputs!$B$43&gt;0),(((R2746-1)*(Skills!T15*(1+(Inputs!$B$34+(ArtifactsInput!$M$7-ArtifactsInput!$M$7)*CHOOSE(ArtifactsInput!$N$7+1,6,7.2,8.4,9.6,10.8,12))/100))+MIN((Skills!T15*(1+(Inputs!$B$34+(ArtifactsInput!$M$7-ArtifactsInput!$M$7)*CHOOSE(ArtifactsInput!$N$7+1,6,7.2,8.4,9.6,10.8,12))/100)),MAX(0,Inputs!$B$43-((R2746-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Hunt"),CHOOSE(ArtifactsInput!$N$35+1,15,18,21,24,27,30)*(1-EXP(-(0.2*B2762)*5)),0)+IF(AND(ArtifactsInput!$M$22,Inputs!$B$4&lt;&gt;"Chapter Hunt"),CHOOSE(ArtifactsInput!$N$22+1,10,12,14,16,18,20)*((0*(((0.15*B2762*5))^0/1)+1*(((0.15*B2762*5))^1/1)+2*(((0.15*B2762*5))^2/2)+3*(((0.15*B2762*5))^3/6)+4*(((0.15*B2762*5))^4/24)+5*(((0.15*B2762*5))^5/120))/((((0.15*B2762*5))^0/1)+(((0.15*B2762*5))^1/1)+(((0.15*B2762*5))^2/2)+(((0.15*B2762*5))^3/6)+(((0.15*B2762*5))^4/24)+(((0.15*B2762*5))^5/120))),0)))/100)*I2742)</f>
        <v/>
      </c>
      <c r="L2742">
        <f>K2742*(MIN(Inputs!$B$22+((C2753=TRUE)*(F2753-Calc!F22)),(Inputs!$B$23+((C2755=TRUE)*(F2755-Calc!F24))+(IF(ArtifactsInput!$M$15,CHOOSE(ArtifactsInput!$N$15+1,25,30,35,40,45,50)/100*(Inputs!$B$11-Inputs!$B$11),0))))/100+(Inputs!$B$23+((C2755=TRUE)*(F2755-Calc!F24))+(IF(ArtifactsInput!$M$15,CHOOSE(ArtifactsInput!$N$15+1,25,30,35,40,45,50)/100*(Inputs!$B$11-Inputs!$B$11),0)))/100)/2</f>
        <v/>
      </c>
      <c r="M2742">
        <f>L2742*(1+(Inputs!$B$10+0+B2765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2">
        <f>L2742*(1-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2742*(MIN((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2">
        <f>(1-Summary!$B$11)*T2742+Summary!$B$11*V2742</f>
        <v/>
      </c>
      <c r="P2742">
        <f>IF(B2770=0,0,O2742/B2770)</f>
        <v/>
      </c>
      <c r="Q2742">
        <f>IFERROR(1/(IF(Inputs!$B$38="pvp",15,MAX(0.1,Skills!D11-IF(Skills!E11=TRUE,1.0,0)))*(1-IF(AND(ArtifactsInput!$M$27,Inputs!$B$4="Chapter Hunt"),CHOOSE(ArtifactsInput!$N$27+1,20,24,28,32,36,40),0)/100)),0)</f>
        <v/>
      </c>
      <c r="R2742">
        <f>IF(AND(Inputs!$B$38&lt;&gt;"pvp",Inputs!$B$43&gt;0),IF(MAX(0,Inputs!$B$43-B2767)&lt;=0,0,(INT(MAX(0,Inputs!$B$43-B2767)/(IF(Inputs!$B$38="pvp",15,MAX(0.1,Skills!D11-IF(Skills!E11=TRUE,1.0,0)))*(1-IF(AND(ArtifactsInput!$M$27,Inputs!$B$4="Chapter Hunt"),CHOOSE(ArtifactsInput!$N$27+1,20,24,28,32,36,40),0)/100)))+1)),0)</f>
        <v/>
      </c>
      <c r="S2742">
        <f>IFERROR(O2742/N2742,0)</f>
        <v/>
      </c>
      <c r="T2742">
        <f>IF(C2742,(H2742*N2742*IF(AND(Inputs!$B$38&lt;&gt;"pvp",Inputs!$B$43&gt;0),((Skills!G11*((R2742-1)*IF(Skills!H11&gt;0,Skills!I11/Skills!H11,1)+IF(Skills!H11&gt;0,MIN(Skills!I11,MAX(0,MAX(0,Inputs!$B$43-B2767)-((R2742-1)*(IF(Inputs!$B$38="pvp",15,MAX(0.1,Skills!D11-IF(Skills!E11=TRUE,1.0,0)))*(1-IF(AND(ArtifactsInput!$M$27,Inputs!$B$4="Chapter Hunt"),CHOOSE(ArtifactsInput!$N$27+1,20,24,28,32,36,40),0)/100)))))/Skills!H11,1)))/Inputs!$B$43),G2742*Q2742)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2742*(1-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2742*(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2742*(1-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2742*(MIN(100,(Inputs!$B$9+((C2757=TRUE)*(F2757-Calc!F26))+B2760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42">
        <f>IF(C2742,(H2742*N2742*IF(AND(Inputs!$B$38&lt;&gt;"pvp",Inputs!$B$43&gt;0),((Skills!G11*((R2742-1)*IF(Skills!H11&gt;0,Skills!I11/Skills!H11,1)+IF(Skills!H11&gt;0,MIN(Skills!I11,MAX(0,MAX(0,Inputs!$B$43-B2767)-((R2742-1)*(IF(Inputs!$B$38="pvp",15,MAX(0.1,Skills!D11-IF(Skills!E11=TRUE,1.0,0)))*(1-IF(AND(ArtifactsInput!$M$27,Inputs!$B$4="Chapter Hunt"),CHOOSE(ArtifactsInput!$N$27+1,20,24,28,32,36,40),0)/100)))))/Skills!H11,1)))/Inputs!$B$43),G2742*Q2742)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3">
      <c r="A2743">
        <f>Skills!A12</f>
        <v/>
      </c>
      <c r="B2743">
        <f>Skills!B12</f>
        <v/>
      </c>
      <c r="C2743">
        <f>Inputs!$B$3&gt;=100</f>
        <v/>
      </c>
      <c r="D2743">
        <f>IF(Skills!C12=1,60+Inputs!$B$25+Inputs!$B$29,IF(Skills!C12=2,90+Inputs!$B$26+Inputs!$B$29,IF(Skills!C12=3,120+Inputs!$B$27+Inputs!$B$29,MAX(0,(Inputs!$B$3-100)*3)+Inputs!$B$28+Inputs!$B$29)))</f>
        <v/>
      </c>
      <c r="E2743">
        <f>INDEX(FactorTable!$B$2:$Y$301, MATCH(ROUND(MIN(300,MAX(1,D2743)),0), FactorTable!$A$2:$A$301,0), Skills!M12+1)</f>
        <v/>
      </c>
      <c r="F2743">
        <f>IF(Skills!N12=TRUE,(Skills!L12/10)*(E2743/1000),Skills!L12/10)+Skills!O12</f>
        <v/>
      </c>
      <c r="G2743" t="inlineStr"/>
      <c r="H2743" t="inlineStr"/>
      <c r="I2743" t="inlineStr">
        <is>
          <t>1</t>
        </is>
      </c>
      <c r="J2743" t="inlineStr"/>
      <c r="K2743" t="inlineStr"/>
      <c r="L2743" t="inlineStr"/>
      <c r="M2743" t="inlineStr"/>
      <c r="N2743" t="inlineStr"/>
      <c r="O2743" t="inlineStr"/>
      <c r="P2743" t="inlineStr"/>
      <c r="Q2743" t="inlineStr"/>
      <c r="R2743" t="inlineStr"/>
      <c r="S2743" t="inlineStr"/>
    </row>
    <row r="2744">
      <c r="A2744">
        <f>Skills!A13</f>
        <v/>
      </c>
      <c r="B2744">
        <f>Skills!B13</f>
        <v/>
      </c>
      <c r="C2744">
        <f>Inputs!$B$3&gt;=45</f>
        <v/>
      </c>
      <c r="D2744">
        <f>IF(Skills!C13=1,60+Inputs!$B$25+Inputs!$B$29,IF(Skills!C13=2,90+Inputs!$B$26+Inputs!$B$29,IF(Skills!C13=3,120+Inputs!$B$27+Inputs!$B$29,MAX(0,(Inputs!$B$3-100)*3)+Inputs!$B$28+Inputs!$B$29)))</f>
        <v/>
      </c>
      <c r="E2744">
        <f>INDEX(FactorTable!$B$2:$Y$301, MATCH(ROUND(MIN(300,MAX(1,D2744)),0), FactorTable!$A$2:$A$301,0), Skills!M13+1)</f>
        <v/>
      </c>
      <c r="F2744">
        <f>IF(Skills!N13=TRUE,(Skills!L13/10)*(E2744/1000),Skills!L13/10)+Skills!O13</f>
        <v/>
      </c>
      <c r="G2744">
        <f>Skills!G13*IF(Skills!H13&gt;0,Skills!I13/Skills!H13,1)</f>
        <v/>
      </c>
      <c r="H2744">
        <f>1-(1-Skills!J13/100)^Skills!K13</f>
        <v/>
      </c>
      <c r="I2744" t="inlineStr">
        <is>
          <t>1</t>
        </is>
      </c>
      <c r="J2744" t="inlineStr"/>
      <c r="K2744" t="inlineStr"/>
      <c r="L2744" t="inlineStr"/>
      <c r="M2744" t="inlineStr"/>
      <c r="N2744" t="inlineStr"/>
      <c r="O2744">
        <f>(1-Summary!$B$11)*T2744+Summary!$B$11*V2744</f>
        <v/>
      </c>
      <c r="P2744">
        <f>IF(B2770=0,0,O2744/B2770)</f>
        <v/>
      </c>
      <c r="Q2744" t="n">
        <v>0</v>
      </c>
      <c r="R2744" t="n">
        <v>0</v>
      </c>
      <c r="S2744">
        <f>IFERROR(O2744/N2744,0)</f>
        <v/>
      </c>
      <c r="T2744" t="n">
        <v>0</v>
      </c>
      <c r="V2744" t="n">
        <v>0</v>
      </c>
    </row>
    <row r="2745">
      <c r="A2745">
        <f>Skills!A14</f>
        <v/>
      </c>
      <c r="B2745">
        <f>Skills!B14</f>
        <v/>
      </c>
      <c r="C2745">
        <f>Inputs!$B$3&gt;=75</f>
        <v/>
      </c>
      <c r="D2745">
        <f>IF(Skills!C14=1,60+Inputs!$B$25+Inputs!$B$29,IF(Skills!C14=2,90+Inputs!$B$26+Inputs!$B$29,IF(Skills!C14=3,120+Inputs!$B$27+Inputs!$B$29,MAX(0,(Inputs!$B$3-100)*3)+Inputs!$B$28+Inputs!$B$29)))</f>
        <v/>
      </c>
      <c r="E2745">
        <f>INDEX(FactorTable!$B$2:$Y$301, MATCH(ROUND(MIN(300,MAX(1,D2745)),0), FactorTable!$A$2:$A$301,0), Skills!M14+1)</f>
        <v/>
      </c>
      <c r="F2745">
        <f>IF(Skills!N14=TRUE,(Skills!L14/10)*(E2745/1000),Skills!L14/10)+Skills!O14</f>
        <v/>
      </c>
      <c r="G2745">
        <f>Skills!G14*IF(Skills!H14&gt;0,Skills!I14/Skills!H14,1)</f>
        <v/>
      </c>
      <c r="H2745">
        <f>1-(1-Skills!J14/100)^Skills!K14</f>
        <v/>
      </c>
      <c r="I2745" t="inlineStr">
        <is>
          <t>1</t>
        </is>
      </c>
      <c r="J2745" t="inlineStr"/>
      <c r="K2745" t="inlineStr"/>
      <c r="L2745" t="inlineStr"/>
      <c r="M2745" t="inlineStr"/>
      <c r="N2745" t="inlineStr"/>
      <c r="O2745">
        <f>(1-Summary!$B$11)*T2745+Summary!$B$11*V2745</f>
        <v/>
      </c>
      <c r="P2745">
        <f>IF(B2770=0,0,O2745/B2770)</f>
        <v/>
      </c>
      <c r="Q2745" t="n">
        <v>0</v>
      </c>
      <c r="R2745" t="n">
        <v>0</v>
      </c>
      <c r="S2745">
        <f>IFERROR(O2745/N2745,0)</f>
        <v/>
      </c>
      <c r="T2745" t="n">
        <v>0</v>
      </c>
      <c r="V2745" t="n">
        <v>0</v>
      </c>
    </row>
    <row r="2746">
      <c r="A2746">
        <f>Skills!A15</f>
        <v/>
      </c>
      <c r="B2746">
        <f>Skills!B15</f>
        <v/>
      </c>
      <c r="C2746">
        <f>Inputs!$B$3&gt;=40</f>
        <v/>
      </c>
      <c r="D2746">
        <f>IF(Skills!C15=1,60+Inputs!$B$25+Inputs!$B$29,IF(Skills!C15=2,90+Inputs!$B$26+Inputs!$B$29,IF(Skills!C15=3,120+Inputs!$B$27+Inputs!$B$29,MAX(0,(Inputs!$B$3-100)*3)+Inputs!$B$28+Inputs!$B$29)))</f>
        <v/>
      </c>
      <c r="E2746">
        <f>INDEX(FactorTable!$B$2:$Y$301, MATCH(ROUND(MIN(300,MAX(1,D2746)),0), FactorTable!$A$2:$A$301,0), Skills!M15+1)</f>
        <v/>
      </c>
      <c r="F2746">
        <f>IF(Skills!N15=TRUE,(Skills!L15/10)*(E2746/1000),Skills!L15/10)+Skills!O15</f>
        <v/>
      </c>
      <c r="G2746">
        <f>Skills!G15*IF(Skills!H15&gt;0,Skills!I15/Skills!H15,1)</f>
        <v/>
      </c>
      <c r="H2746">
        <f>1-(1-Skills!J15/100)^Skills!K15</f>
        <v/>
      </c>
      <c r="I2746" t="inlineStr">
        <is>
          <t>1</t>
        </is>
      </c>
      <c r="J2746" t="inlineStr"/>
      <c r="K2746" t="inlineStr"/>
      <c r="L2746" t="inlineStr"/>
      <c r="M2746" t="inlineStr"/>
      <c r="N2746" t="inlineStr"/>
      <c r="O2746">
        <f>(1-Summary!$B$11)*T2746+Summary!$B$11*V2746</f>
        <v/>
      </c>
      <c r="P2746">
        <f>IF(B2770=0,0,O2746/B2770)</f>
        <v/>
      </c>
      <c r="Q2746">
        <f>IFERROR(1/(IF(Inputs!$B$38="pvp",15,MAX(0.1,Skills!D15-IF(Skills!E15=TRUE,1.0,0)))*(1-IF(AND(ArtifactsInput!$M$27,Inputs!$B$4="Chapter Hunt"),CHOOSE(ArtifactsInput!$N$27+1,20,24,28,32,36,40),0)/100)),0)</f>
        <v/>
      </c>
      <c r="R2746">
        <f>IF(AND(Inputs!$B$38&lt;&gt;"pvp",Inputs!$B$43&gt;0),IF(Inputs!$B$43&lt;=0,0,(INT(Inputs!$B$43/(IF(Inputs!$B$38="pvp",15,MAX(0.1,Skills!D15-IF(Skills!E15=TRUE,1.0,0)))*(1-IF(AND(ArtifactsInput!$M$27,Inputs!$B$4="Chapter Hunt"),CHOOSE(ArtifactsInput!$N$27+1,20,24,28,32,36,40),0)/100)))+1)),0)</f>
        <v/>
      </c>
      <c r="S2746">
        <f>IFERROR(O2746/N2746,0)</f>
        <v/>
      </c>
      <c r="T2746" t="n">
        <v>0</v>
      </c>
      <c r="V2746" t="n">
        <v>0</v>
      </c>
    </row>
    <row r="2747">
      <c r="A2747">
        <f>Skills!A16</f>
        <v/>
      </c>
      <c r="B2747">
        <f>Skills!B16</f>
        <v/>
      </c>
      <c r="C2747">
        <f>Inputs!$B$3&gt;=66</f>
        <v/>
      </c>
      <c r="D2747">
        <f>IF(Skills!C16=1,60+Inputs!$B$25+Inputs!$B$29,IF(Skills!C16=2,90+Inputs!$B$26+Inputs!$B$29,IF(Skills!C16=3,120+Inputs!$B$27+Inputs!$B$29,MAX(0,(Inputs!$B$3-100)*3)+Inputs!$B$28+Inputs!$B$29)))</f>
        <v/>
      </c>
      <c r="E2747">
        <f>INDEX(FactorTable!$B$2:$Y$301, MATCH(ROUND(MIN(300,MAX(1,D2747)),0), FactorTable!$A$2:$A$301,0), Skills!M16+1)</f>
        <v/>
      </c>
      <c r="F2747">
        <f>IF(Skills!N16=TRUE,(Skills!L16/10)*(E2747/1000),Skills!L16/10)+Skills!O16</f>
        <v/>
      </c>
      <c r="G2747">
        <f>Skills!G16*IF(Skills!H16&gt;0,Skills!I16/Skills!H16,1)</f>
        <v/>
      </c>
      <c r="H2747">
        <f>1-(1-Skills!J16/100)^Skills!K16</f>
        <v/>
      </c>
      <c r="I2747" t="inlineStr">
        <is>
          <t>1</t>
        </is>
      </c>
      <c r="J2747" t="inlineStr"/>
      <c r="K2747" t="inlineStr"/>
      <c r="L2747" t="inlineStr"/>
      <c r="M2747" t="inlineStr"/>
      <c r="N2747" t="inlineStr"/>
      <c r="O2747">
        <f>(1-Summary!$B$11)*T2747+Summary!$B$11*V2747</f>
        <v/>
      </c>
      <c r="P2747">
        <f>IF(B2770=0,0,O2747/B2770)</f>
        <v/>
      </c>
      <c r="Q2747">
        <f>IFERROR(1/(IF(Inputs!$B$38="pvp",15,MAX(0.1,Skills!D16-IF(Skills!E16=TRUE,1.0,0)))*(1-IF(AND(ArtifactsInput!$M$27,Inputs!$B$4="Chapter Hunt"),CHOOSE(ArtifactsInput!$N$27+1,20,24,28,32,36,40),0)/100)),0)</f>
        <v/>
      </c>
      <c r="R2747">
        <f>IF(AND(Inputs!$B$38&lt;&gt;"pvp",Inputs!$B$43&gt;0),IF(Inputs!$B$43&lt;=0,0,(INT(Inputs!$B$43/(IF(Inputs!$B$38="pvp",15,MAX(0.1,Skills!D16-IF(Skills!E16=TRUE,1.0,0)))*(1-IF(AND(ArtifactsInput!$M$27,Inputs!$B$4="Chapter Hunt"),CHOOSE(ArtifactsInput!$N$27+1,20,24,28,32,36,40),0)/100)))+1)),0)</f>
        <v/>
      </c>
      <c r="S2747">
        <f>IFERROR(O2747/N2747,0)</f>
        <v/>
      </c>
      <c r="T2747" t="n">
        <v>0</v>
      </c>
      <c r="V2747" t="n">
        <v>0</v>
      </c>
    </row>
    <row r="2748">
      <c r="A2748">
        <f>Skills!A17</f>
        <v/>
      </c>
      <c r="B2748">
        <f>Skills!B17</f>
        <v/>
      </c>
      <c r="C2748">
        <f>Inputs!$B$3&gt;=115</f>
        <v/>
      </c>
      <c r="D2748">
        <f>IF(Skills!C17=1,60+Inputs!$B$25+Inputs!$B$29,IF(Skills!C17=2,90+Inputs!$B$26+Inputs!$B$29,IF(Skills!C17=3,120+Inputs!$B$27+Inputs!$B$29,MAX(0,(Inputs!$B$3-100)*3)+Inputs!$B$28+Inputs!$B$29)))</f>
        <v/>
      </c>
      <c r="E2748">
        <f>INDEX(FactorTable!$B$2:$Y$301, MATCH(ROUND(MIN(300,MAX(1,D2748)),0), FactorTable!$A$2:$A$301,0), Skills!M17+1)</f>
        <v/>
      </c>
      <c r="F2748">
        <f>IF(Skills!N17=TRUE,(Skills!L17/10)*(E2748/1000),Skills!L17/10)+Skills!O17</f>
        <v/>
      </c>
      <c r="G2748">
        <f>Skills!G17*IF(Skills!H17&gt;0,Skills!I17/Skills!H17,1)</f>
        <v/>
      </c>
      <c r="H2748">
        <f>1-(1-Skills!J17/100)^Skills!K17</f>
        <v/>
      </c>
      <c r="I2748" t="inlineStr">
        <is>
          <t>1</t>
        </is>
      </c>
      <c r="J2748" t="inlineStr"/>
      <c r="K2748" t="inlineStr"/>
      <c r="L2748" t="inlineStr"/>
      <c r="M2748" t="inlineStr"/>
      <c r="N2748" t="inlineStr"/>
      <c r="O2748">
        <f>(1-Summary!$B$11)*T2748+Summary!$B$11*V2748</f>
        <v/>
      </c>
      <c r="P2748">
        <f>IF(B2770=0,0,O2748/B2770)</f>
        <v/>
      </c>
      <c r="Q2748">
        <f>IFERROR(1/(IF(Inputs!$B$38="pvp",15,MAX(0.1,Skills!D17-IF(Skills!E17=TRUE,1.0,0)))*(1-IF(AND(ArtifactsInput!$M$27,Inputs!$B$4="Chapter Hunt"),CHOOSE(ArtifactsInput!$N$27+1,20,24,28,32,36,40),0)/100)),0)</f>
        <v/>
      </c>
      <c r="R2748">
        <f>IF(AND(Inputs!$B$38&lt;&gt;"pvp",Inputs!$B$43&gt;0),IF(Inputs!$B$43&lt;=0,0,(INT(Inputs!$B$43/(IF(Inputs!$B$38="pvp",15,MAX(0.1,Skills!D17-IF(Skills!E17=TRUE,1.0,0)))*(1-IF(AND(ArtifactsInput!$M$27,Inputs!$B$4="Chapter Hunt"),CHOOSE(ArtifactsInput!$N$27+1,20,24,28,32,36,40),0)/100)))+1)),0)</f>
        <v/>
      </c>
      <c r="S2748">
        <f>IFERROR(O2748/N2748,0)</f>
        <v/>
      </c>
      <c r="T2748" t="n">
        <v>0</v>
      </c>
      <c r="V2748" t="n">
        <v>0</v>
      </c>
    </row>
    <row r="2749">
      <c r="A2749">
        <f>Skills!A18</f>
        <v/>
      </c>
      <c r="B2749">
        <f>Skills!B18</f>
        <v/>
      </c>
      <c r="C2749">
        <f>Inputs!$B$3&gt;=115</f>
        <v/>
      </c>
      <c r="D2749">
        <f>IF(Skills!C18=1,60+Inputs!$B$25+Inputs!$B$29,IF(Skills!C18=2,90+Inputs!$B$26+Inputs!$B$29,IF(Skills!C18=3,120+Inputs!$B$27+Inputs!$B$29,MAX(0,(Inputs!$B$3-100)*3)+Inputs!$B$28+Inputs!$B$29)))</f>
        <v/>
      </c>
      <c r="E2749">
        <f>INDEX(FactorTable!$B$2:$Y$301, MATCH(ROUND(MIN(300,MAX(1,D2749)),0), FactorTable!$A$2:$A$301,0), Skills!M18+1)</f>
        <v/>
      </c>
      <c r="F2749">
        <f>IF(Skills!N18=TRUE,(Skills!L18/10)*(E2749/1000),Skills!L18/10)+Skills!O18</f>
        <v/>
      </c>
      <c r="G2749">
        <f>Skills!G18*IF(Skills!H18&gt;0,Skills!I18/Skills!H18,1)</f>
        <v/>
      </c>
      <c r="H2749">
        <f>1-(1-Skills!J18/100)^Skills!K18</f>
        <v/>
      </c>
      <c r="I2749" t="inlineStr">
        <is>
          <t>1</t>
        </is>
      </c>
      <c r="J2749" t="inlineStr"/>
      <c r="K2749" t="inlineStr"/>
      <c r="L2749" t="inlineStr"/>
      <c r="M2749" t="inlineStr"/>
      <c r="N2749" t="inlineStr"/>
      <c r="O2749">
        <f>(1-Summary!$B$11)*T2749+Summary!$B$11*V2749</f>
        <v/>
      </c>
      <c r="P2749">
        <f>IF(B2770=0,0,O2749/B2770)</f>
        <v/>
      </c>
      <c r="Q2749">
        <f>IFERROR(1/(IF(Inputs!$B$38="pvp",15,MAX(0.1,Skills!D18-IF(Skills!E18=TRUE,1.0,0)))*(1-IF(AND(ArtifactsInput!$M$27,Inputs!$B$4="Chapter Hunt"),CHOOSE(ArtifactsInput!$N$27+1,20,24,28,32,36,40),0)/100)),0)</f>
        <v/>
      </c>
      <c r="R2749">
        <f>IF(AND(Inputs!$B$38&lt;&gt;"pvp",Inputs!$B$43&gt;0),IF(Inputs!$B$43&lt;=0,0,(INT(Inputs!$B$43/(IF(Inputs!$B$38="pvp",15,MAX(0.1,Skills!D18-IF(Skills!E18=TRUE,1.0,0)))*(1-IF(AND(ArtifactsInput!$M$27,Inputs!$B$4="Chapter Hunt"),CHOOSE(ArtifactsInput!$N$27+1,20,24,28,32,36,40),0)/100)))+1)),0)</f>
        <v/>
      </c>
      <c r="S2749">
        <f>IFERROR(O2749/N2749,0)</f>
        <v/>
      </c>
      <c r="T2749" t="n">
        <v>0</v>
      </c>
      <c r="V2749" t="n">
        <v>0</v>
      </c>
    </row>
    <row r="2750">
      <c r="A2750">
        <f>Skills!A19</f>
        <v/>
      </c>
      <c r="B2750">
        <f>Skills!B19</f>
        <v/>
      </c>
      <c r="C2750">
        <f>TRUE</f>
        <v/>
      </c>
      <c r="D2750">
        <f>IF(Skills!C19=1,60+Inputs!$B$25+Inputs!$B$29,IF(Skills!C19=2,90+Inputs!$B$26+Inputs!$B$29,IF(Skills!C19=3,120+Inputs!$B$27+Inputs!$B$29,MAX(0,(Inputs!$B$3-100)*3)+Inputs!$B$28+Inputs!$B$29)))</f>
        <v/>
      </c>
      <c r="E2750">
        <f>INDEX(FactorTable!$B$2:$Y$301, MATCH(ROUND(MIN(300,MAX(1,D2750)),0), FactorTable!$A$2:$A$301,0), Skills!M19+1)</f>
        <v/>
      </c>
      <c r="F2750">
        <f>IF(Skills!N19=TRUE,(Skills!L19/10)*(E2750/1000),Skills!L19/10)+Skills!O19</f>
        <v/>
      </c>
      <c r="G2750">
        <f>Skills!G19*IF(Skills!H19&gt;0,Skills!I19/Skills!H19,1)</f>
        <v/>
      </c>
      <c r="H2750">
        <f>1-(1-Skills!J19/100)^Skills!K19</f>
        <v/>
      </c>
      <c r="I2750" t="inlineStr">
        <is>
          <t>1</t>
        </is>
      </c>
      <c r="J2750" t="inlineStr"/>
      <c r="K2750" t="inlineStr"/>
      <c r="L2750" t="inlineStr"/>
      <c r="M2750" t="inlineStr"/>
      <c r="N2750" t="inlineStr"/>
      <c r="O2750">
        <f>(1-Summary!$B$11)*T2750+Summary!$B$11*V2750</f>
        <v/>
      </c>
      <c r="P2750">
        <f>IF(B2770=0,0,O2750/B2770)</f>
        <v/>
      </c>
      <c r="Q2750">
        <f>IFERROR(1/(IF(Inputs!$B$38="pvp",15,MAX(0.1,Skills!D19-IF(Skills!E19=TRUE,1.0,0)))*(1-IF(AND(ArtifactsInput!$M$27,Inputs!$B$4="Chapter Hunt"),CHOOSE(ArtifactsInput!$N$27+1,20,24,28,32,36,40),0)/100)),0)</f>
        <v/>
      </c>
      <c r="R2750">
        <f>IF(AND(Inputs!$B$38&lt;&gt;"pvp",Inputs!$B$43&gt;0),IF(Inputs!$B$43&lt;=0,0,(INT(Inputs!$B$43/(IF(Inputs!$B$38="pvp",15,MAX(0.1,Skills!D19-IF(Skills!E19=TRUE,1.0,0)))*(1-IF(AND(ArtifactsInput!$M$27,Inputs!$B$4="Chapter Hunt"),CHOOSE(ArtifactsInput!$N$27+1,20,24,28,32,36,40),0)/100)))+1)),0)</f>
        <v/>
      </c>
      <c r="S2750">
        <f>IFERROR(O2750/N2750,0)</f>
        <v/>
      </c>
      <c r="T2750" t="n">
        <v>0</v>
      </c>
      <c r="V2750" t="n">
        <v>0</v>
      </c>
    </row>
    <row r="2751">
      <c r="A2751">
        <f>Skills!A20</f>
        <v/>
      </c>
      <c r="B2751">
        <f>Skills!B20</f>
        <v/>
      </c>
      <c r="C2751">
        <f>Inputs!$B$3&gt;=33</f>
        <v/>
      </c>
      <c r="D2751">
        <f>IF(Skills!C20=1,60+Inputs!$B$25+Inputs!$B$29,IF(Skills!C20=2,90+Inputs!$B$26+Inputs!$B$29,IF(Skills!C20=3,120+Inputs!$B$27+Inputs!$B$29,MAX(0,(Inputs!$B$3-100)*3)+Inputs!$B$28+Inputs!$B$29)))</f>
        <v/>
      </c>
      <c r="E2751">
        <f>INDEX(FactorTable!$B$2:$Y$301, MATCH(ROUND(MIN(300,MAX(1,D2751)),0), FactorTable!$A$2:$A$301,0), Skills!M20+1)</f>
        <v/>
      </c>
      <c r="F2751">
        <f>IF(Skills!N20=TRUE,(Skills!L20/10)*(E2751/1000),Skills!L20/10)+Skills!O20</f>
        <v/>
      </c>
      <c r="G2751">
        <f>Skills!G20*IF(Skills!H20&gt;0,Skills!I20/Skills!H20,1)</f>
        <v/>
      </c>
      <c r="H2751">
        <f>1-(1-Skills!J20/100)^Skills!K20</f>
        <v/>
      </c>
      <c r="I2751" t="inlineStr">
        <is>
          <t>1</t>
        </is>
      </c>
      <c r="J2751" t="inlineStr"/>
      <c r="K2751" t="inlineStr"/>
      <c r="L2751" t="inlineStr"/>
      <c r="M2751" t="inlineStr"/>
      <c r="N2751" t="inlineStr"/>
      <c r="O2751">
        <f>(1-Summary!$B$11)*T2751+Summary!$B$11*V2751</f>
        <v/>
      </c>
      <c r="P2751">
        <f>IF(B2770=0,0,O2751/B2770)</f>
        <v/>
      </c>
      <c r="Q2751" t="n">
        <v>0</v>
      </c>
      <c r="R2751" t="n">
        <v>0</v>
      </c>
      <c r="S2751">
        <f>IFERROR(O2751/N2751,0)</f>
        <v/>
      </c>
      <c r="T2751" t="n">
        <v>0</v>
      </c>
      <c r="V2751" t="n">
        <v>0</v>
      </c>
    </row>
    <row r="2752">
      <c r="A2752">
        <f>Skills!A21</f>
        <v/>
      </c>
      <c r="B2752">
        <f>Skills!B21</f>
        <v/>
      </c>
      <c r="C2752">
        <f>Inputs!$B$3&gt;=38</f>
        <v/>
      </c>
      <c r="D2752">
        <f>IF(Skills!C21=1,60+Inputs!$B$25+Inputs!$B$29,IF(Skills!C21=2,90+Inputs!$B$26+Inputs!$B$29,IF(Skills!C21=3,120+Inputs!$B$27+Inputs!$B$29,MAX(0,(Inputs!$B$3-100)*3)+Inputs!$B$28+Inputs!$B$29)))</f>
        <v/>
      </c>
      <c r="E2752">
        <f>INDEX(FactorTable!$B$2:$Y$301, MATCH(ROUND(MIN(300,MAX(1,D2752)),0), FactorTable!$A$2:$A$301,0), Skills!M21+1)</f>
        <v/>
      </c>
      <c r="F2752">
        <f>IF(Skills!N21=TRUE,(Skills!L21/10)*(E2752/1000),Skills!L21/10)+Skills!O21</f>
        <v/>
      </c>
      <c r="G2752">
        <f>Skills!G21*IF(Skills!H21&gt;0,Skills!I21/Skills!H21,1)</f>
        <v/>
      </c>
      <c r="H2752">
        <f>1-(1-Skills!J21/100)^Skills!K21</f>
        <v/>
      </c>
      <c r="I2752" t="inlineStr">
        <is>
          <t>1</t>
        </is>
      </c>
      <c r="J2752" t="inlineStr"/>
      <c r="K2752" t="inlineStr"/>
      <c r="L2752" t="inlineStr"/>
      <c r="M2752" t="inlineStr"/>
      <c r="N2752" t="inlineStr"/>
      <c r="O2752">
        <f>(1-Summary!$B$11)*T2752+Summary!$B$11*V2752</f>
        <v/>
      </c>
      <c r="P2752">
        <f>IF(B2770=0,0,O2752/B2770)</f>
        <v/>
      </c>
      <c r="Q2752" t="n">
        <v>0</v>
      </c>
      <c r="R2752" t="n">
        <v>0</v>
      </c>
      <c r="S2752">
        <f>IFERROR(O2752/N2752,0)</f>
        <v/>
      </c>
      <c r="T2752" t="n">
        <v>0</v>
      </c>
      <c r="V2752" t="n">
        <v>0</v>
      </c>
    </row>
    <row r="2753">
      <c r="A2753">
        <f>Skills!A22</f>
        <v/>
      </c>
      <c r="B2753">
        <f>Skills!B22</f>
        <v/>
      </c>
      <c r="C2753">
        <f>Inputs!$B$3&gt;=43</f>
        <v/>
      </c>
      <c r="D2753">
        <f>IF(Skills!C22=1,60+Inputs!$B$25+Inputs!$B$29,IF(Skills!C22=2,90+Inputs!$B$26+Inputs!$B$29,IF(Skills!C22=3,120+Inputs!$B$27+Inputs!$B$29,MAX(0,(Inputs!$B$3-100)*3)+Inputs!$B$28+Inputs!$B$29)))</f>
        <v/>
      </c>
      <c r="E2753">
        <f>INDEX(FactorTable!$B$2:$Y$301, MATCH(ROUND(MIN(300,MAX(1,D2753)),0), FactorTable!$A$2:$A$301,0), Skills!M22+1)</f>
        <v/>
      </c>
      <c r="F2753">
        <f>IF(Skills!N22=TRUE,(Skills!L22/10)*(E2753/1000),Skills!L22/10)+Skills!O22</f>
        <v/>
      </c>
      <c r="G2753">
        <f>Skills!G22*IF(Skills!H22&gt;0,Skills!I22/Skills!H22,1)</f>
        <v/>
      </c>
      <c r="H2753">
        <f>1-(1-Skills!J22/100)^Skills!K22</f>
        <v/>
      </c>
      <c r="I2753" t="inlineStr">
        <is>
          <t>1</t>
        </is>
      </c>
      <c r="J2753" t="inlineStr"/>
      <c r="K2753" t="inlineStr"/>
      <c r="L2753" t="inlineStr"/>
      <c r="M2753" t="inlineStr"/>
      <c r="N2753" t="inlineStr"/>
      <c r="O2753">
        <f>(1-Summary!$B$11)*T2753+Summary!$B$11*V2753</f>
        <v/>
      </c>
      <c r="P2753">
        <f>IF(B2770=0,0,O2753/B2770)</f>
        <v/>
      </c>
      <c r="Q2753" t="n">
        <v>0</v>
      </c>
      <c r="R2753" t="n">
        <v>0</v>
      </c>
      <c r="S2753">
        <f>IFERROR(O2753/N2753,0)</f>
        <v/>
      </c>
      <c r="T2753" t="n">
        <v>0</v>
      </c>
      <c r="V2753" t="n">
        <v>0</v>
      </c>
    </row>
    <row r="2754">
      <c r="A2754">
        <f>Skills!A23</f>
        <v/>
      </c>
      <c r="B2754">
        <f>Skills!B23</f>
        <v/>
      </c>
      <c r="C2754">
        <f>Inputs!$B$3&gt;=120</f>
        <v/>
      </c>
      <c r="D2754">
        <f>IF(Skills!C23=1,60+Inputs!$B$25+Inputs!$B$29,IF(Skills!C23=2,90+Inputs!$B$26+Inputs!$B$29,IF(Skills!C23=3,120+Inputs!$B$27+Inputs!$B$29,MAX(0,(Inputs!$B$3-100)*3)+Inputs!$B$28+Inputs!$B$29)))</f>
        <v/>
      </c>
      <c r="E2754">
        <f>INDEX(FactorTable!$B$2:$Y$301, MATCH(ROUND(MIN(300,MAX(1,D2754)),0), FactorTable!$A$2:$A$301,0), Skills!M23+1)</f>
        <v/>
      </c>
      <c r="F2754">
        <f>IF(Skills!N23=TRUE,(Skills!L23/10)*(E2754/1000),Skills!L23/10)+Skills!O23</f>
        <v/>
      </c>
      <c r="G2754">
        <f>Skills!G23*IF(Skills!H23&gt;0,Skills!I23/Skills!H23,1)</f>
        <v/>
      </c>
      <c r="H2754">
        <f>1-(1-Skills!J23/100)^Skills!K23</f>
        <v/>
      </c>
      <c r="I2754" t="inlineStr">
        <is>
          <t>1</t>
        </is>
      </c>
      <c r="J2754" t="inlineStr"/>
      <c r="K2754" t="inlineStr"/>
      <c r="L2754" t="inlineStr"/>
      <c r="M2754" t="inlineStr"/>
      <c r="N2754" t="inlineStr"/>
      <c r="O2754">
        <f>(1-Summary!$B$11)*T2754+Summary!$B$11*V2754</f>
        <v/>
      </c>
      <c r="P2754">
        <f>IF(B2770=0,0,O2754/B2770)</f>
        <v/>
      </c>
      <c r="Q2754" t="n">
        <v>0</v>
      </c>
      <c r="R2754" t="n">
        <v>0</v>
      </c>
      <c r="S2754">
        <f>IFERROR(O2754/N2754,0)</f>
        <v/>
      </c>
      <c r="T2754" t="n">
        <v>0</v>
      </c>
      <c r="V2754" t="n">
        <v>0</v>
      </c>
    </row>
    <row r="2755">
      <c r="A2755">
        <f>Skills!A24</f>
        <v/>
      </c>
      <c r="B2755">
        <f>Skills!B24</f>
        <v/>
      </c>
      <c r="C2755">
        <f>Inputs!$B$3&gt;=120</f>
        <v/>
      </c>
      <c r="D2755">
        <f>IF(Skills!C24=1,60+Inputs!$B$25+Inputs!$B$29,IF(Skills!C24=2,90+Inputs!$B$26+Inputs!$B$29,IF(Skills!C24=3,120+Inputs!$B$27+Inputs!$B$29,MAX(0,(Inputs!$B$3-100)*3)+Inputs!$B$28+Inputs!$B$29)))</f>
        <v/>
      </c>
      <c r="E2755">
        <f>INDEX(FactorTable!$B$2:$Y$301, MATCH(ROUND(MIN(300,MAX(1,D2755)),0), FactorTable!$A$2:$A$301,0), Skills!M24+1)</f>
        <v/>
      </c>
      <c r="F2755">
        <f>IF(Skills!N24=TRUE,(Skills!L24/10)*(E2755/1000),Skills!L24/10)+Skills!O24</f>
        <v/>
      </c>
      <c r="G2755">
        <f>Skills!G24*IF(Skills!H24&gt;0,Skills!I24/Skills!H24,1)</f>
        <v/>
      </c>
      <c r="H2755">
        <f>1-(1-Skills!J24/100)^Skills!K24</f>
        <v/>
      </c>
      <c r="I2755" t="inlineStr">
        <is>
          <t>1</t>
        </is>
      </c>
      <c r="J2755" t="inlineStr"/>
      <c r="K2755" t="inlineStr"/>
      <c r="L2755" t="inlineStr"/>
      <c r="M2755" t="inlineStr"/>
      <c r="N2755" t="inlineStr"/>
      <c r="O2755">
        <f>(1-Summary!$B$11)*T2755+Summary!$B$11*V2755</f>
        <v/>
      </c>
      <c r="P2755">
        <f>IF(B2770=0,0,O2755/B2770)</f>
        <v/>
      </c>
      <c r="Q2755" t="n">
        <v>0</v>
      </c>
      <c r="R2755" t="n">
        <v>0</v>
      </c>
      <c r="S2755">
        <f>IFERROR(O2755/N2755,0)</f>
        <v/>
      </c>
      <c r="T2755" t="n">
        <v>0</v>
      </c>
      <c r="V2755" t="n">
        <v>0</v>
      </c>
    </row>
    <row r="2756">
      <c r="A2756">
        <f>Skills!A25</f>
        <v/>
      </c>
      <c r="B2756">
        <f>Skills!B25</f>
        <v/>
      </c>
      <c r="C2756">
        <f>Inputs!$B$3&gt;=125</f>
        <v/>
      </c>
      <c r="D2756">
        <f>IF(Skills!C25=1,60+Inputs!$B$25+Inputs!$B$29,IF(Skills!C25=2,90+Inputs!$B$26+Inputs!$B$29,IF(Skills!C25=3,120+Inputs!$B$27+Inputs!$B$29,MAX(0,(Inputs!$B$3-100)*3)+Inputs!$B$28+Inputs!$B$29)))</f>
        <v/>
      </c>
      <c r="E2756">
        <f>INDEX(FactorTable!$B$2:$Y$301, MATCH(ROUND(MIN(300,MAX(1,D2756)),0), FactorTable!$A$2:$A$301,0), Skills!M25+1)</f>
        <v/>
      </c>
      <c r="F2756">
        <f>IF(Skills!N25=TRUE,(Skills!L25/10)*(E2756/1000),Skills!L25/10)+Skills!O25</f>
        <v/>
      </c>
      <c r="G2756">
        <f>Skills!G25*IF(Skills!H25&gt;0,Skills!I25/Skills!H25,1)</f>
        <v/>
      </c>
      <c r="H2756">
        <f>1-(1-Skills!J25/100)^Skills!K25</f>
        <v/>
      </c>
      <c r="I2756" t="inlineStr">
        <is>
          <t>1</t>
        </is>
      </c>
      <c r="J2756" t="inlineStr"/>
      <c r="K2756" t="inlineStr"/>
      <c r="L2756" t="inlineStr"/>
      <c r="M2756" t="inlineStr"/>
      <c r="N2756" t="inlineStr"/>
      <c r="O2756">
        <f>(1-Summary!$B$11)*T2756+Summary!$B$11*V2756</f>
        <v/>
      </c>
      <c r="P2756">
        <f>IF(B2770=0,0,O2756/B2770)</f>
        <v/>
      </c>
      <c r="Q2756" t="n">
        <v>0</v>
      </c>
      <c r="R2756" t="n">
        <v>0</v>
      </c>
      <c r="S2756">
        <f>IFERROR(O2756/N2756,0)</f>
        <v/>
      </c>
      <c r="T2756" t="n">
        <v>0</v>
      </c>
      <c r="V2756" t="n">
        <v>0</v>
      </c>
    </row>
    <row r="2757">
      <c r="A2757">
        <f>Skills!A26</f>
        <v/>
      </c>
      <c r="B2757">
        <f>Skills!B26</f>
        <v/>
      </c>
      <c r="C2757">
        <f>Inputs!$B$3&gt;=72</f>
        <v/>
      </c>
      <c r="D2757">
        <f>IF(Skills!C26=1,60+Inputs!$B$25+Inputs!$B$29,IF(Skills!C26=2,90+Inputs!$B$26+Inputs!$B$29,IF(Skills!C26=3,120+Inputs!$B$27+Inputs!$B$29,MAX(0,(Inputs!$B$3-100)*3)+Inputs!$B$28+Inputs!$B$29)))</f>
        <v/>
      </c>
      <c r="E2757">
        <f>INDEX(FactorTable!$B$2:$Y$301, MATCH(ROUND(MIN(300,MAX(1,D2757)),0), FactorTable!$A$2:$A$301,0), Skills!M26+1)</f>
        <v/>
      </c>
      <c r="F2757">
        <f>IF(Skills!N26=TRUE,(Skills!L26/10)*(E2757/1000),Skills!L26/10)+Skills!O26</f>
        <v/>
      </c>
      <c r="G2757">
        <f>Skills!G26*IF(Skills!H26&gt;0,Skills!I26/Skills!H26,1)</f>
        <v/>
      </c>
      <c r="H2757">
        <f>1-(1-Skills!J26/100)^Skills!K26</f>
        <v/>
      </c>
      <c r="I2757" t="inlineStr">
        <is>
          <t>1</t>
        </is>
      </c>
      <c r="J2757" t="inlineStr"/>
      <c r="K2757" t="inlineStr"/>
      <c r="L2757" t="inlineStr"/>
      <c r="M2757" t="inlineStr"/>
      <c r="N2757" t="inlineStr"/>
      <c r="O2757">
        <f>(1-Summary!$B$11)*T2757+Summary!$B$11*V2757</f>
        <v/>
      </c>
      <c r="P2757">
        <f>IF(B2770=0,0,O2757/B2770)</f>
        <v/>
      </c>
      <c r="Q2757" t="n">
        <v>0</v>
      </c>
      <c r="R2757" t="n">
        <v>0</v>
      </c>
      <c r="S2757">
        <f>IFERROR(O2757/N2757,0)</f>
        <v/>
      </c>
      <c r="T2757" t="n">
        <v>0</v>
      </c>
      <c r="V2757" t="n">
        <v>0</v>
      </c>
    </row>
    <row r="2759">
      <c r="A2759" t="inlineStr">
        <is>
          <t>Attack% Bucket Multiplier</t>
        </is>
      </c>
      <c r="B2759">
        <f>(1+(((C2744=TRUE)*F2744*IF(Inputs!$B$3&gt;=110,7,5))+((C2746=TRUE)*F2746*IF(AND(Inputs!$B$38&lt;&gt;"pvp",Inputs!$B$43&gt;0),(((R2746-1)*(Skills!T15*(1+(Inputs!$B$34+(ArtifactsInput!$M$7-ArtifactsInput!$M$7)*CHOOSE(ArtifactsInput!$N$7+1,6,7.2,8.4,9.6,10.8,12))/100))+MIN((Skills!T15*(1+(Inputs!$B$34+(ArtifactsInput!$M$7-ArtifactsInput!$M$7)*CHOOSE(ArtifactsInput!$N$7+1,6,7.2,8.4,9.6,10.8,12))/100)),MAX(0,Inputs!$B$43-((R2746-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60">
      <c r="A2760" t="inlineStr">
        <is>
          <t>Global Crit Rate Bonus %</t>
        </is>
      </c>
      <c r="B2760" t="n">
        <v>0</v>
      </c>
    </row>
    <row r="2761">
      <c r="A2761" t="inlineStr">
        <is>
          <t>Attack Speed Buff Bonus %</t>
        </is>
      </c>
      <c r="B2761">
        <f>((C2750=TRUE)*F2750*IF(AND(Inputs!$B$38&lt;&gt;"pvp",Inputs!$B$43&gt;0),(((R2750-1)*(Skills!T19*(1+(Inputs!$B$34+(ArtifactsInput!$M$7-ArtifactsInput!$M$7)*CHOOSE(ArtifactsInput!$N$7+1,6,7.2,8.4,9.6,10.8,12))/100))+MIN((Skills!T19*(1+(Inputs!$B$34+(ArtifactsInput!$M$7-ArtifactsInput!$M$7)*CHOOSE(ArtifactsInput!$N$7+1,6,7.2,8.4,9.6,10.8,12))/100)),MAX(0,Inputs!$B$43-((R2750-1)*Skills!D19))))/Inputs!$B$43),IF(Inputs!$B$38="pvp",MIN((Skills!T19*(1+(Inputs!$B$34+(ArtifactsInput!$M$7-ArtifactsInput!$M$7)*CHOOSE(ArtifactsInput!$N$7+1,6,7.2,8.4,9.6,10.8,12))/100)),15)/15,(Skills!T19*(1+(Inputs!$B$34+(ArtifactsInput!$M$7-ArtifactsInput!$M$7)*CHOOSE(ArtifactsInput!$N$7+1,6,7.2,8.4,9.6,10.8,12))/100))/Skills!D19)))</f>
        <v/>
      </c>
    </row>
    <row r="2762">
      <c r="A2762" t="inlineStr">
        <is>
          <t>Actions Per Second</t>
        </is>
      </c>
      <c r="B2762">
        <f>1+MIN(150,150*(1-(1-(Inputs!$B$11+((C2751=TRUE)*(F2751-Calc!F20)))/150)*(1-B2761/150)))/100</f>
        <v/>
      </c>
    </row>
    <row r="2763">
      <c r="A2763" t="inlineStr">
        <is>
          <t>Skill + Buff Cast Rate</t>
        </is>
      </c>
      <c r="B2763">
        <f>IF(AND(Inputs!$B$38&lt;&gt;"pvp",Inputs!$B$43&gt;0),SUMPRODUCT((Skills!E2:E26=TRUE)*(C2733:C2757=TRUE)*R2733:R2757*Skills!F2:F26)/Inputs!$B$43,SUMPRODUCT((Skills!E2:E26=TRUE)*(C2733:C2757=TRUE)*Q2733:Q2757*Skills!F2:F26))</f>
        <v/>
      </c>
    </row>
    <row r="2764">
      <c r="A2764" t="inlineStr">
        <is>
          <t>Raging Blow Casts Per Second</t>
        </is>
      </c>
      <c r="B2764">
        <f>MAX(0,B2762-B2763)</f>
        <v/>
      </c>
    </row>
    <row r="2765">
      <c r="A2765" t="inlineStr">
        <is>
          <t>Global Critical Damage Bonus % (Enrage)</t>
        </is>
      </c>
      <c r="B2765">
        <f>((C2749=TRUE)*F2749*IF(AND(Inputs!$B$38&lt;&gt;"pvp",Inputs!$B$43&gt;0),(((R2749-1)*(Skills!T18*(1+(Inputs!$B$34+(ArtifactsInput!$M$7-ArtifactsInput!$M$7)*CHOOSE(ArtifactsInput!$N$7+1,6,7.2,8.4,9.6,10.8,12))/100))+MIN((Skills!T18*(1+(Inputs!$B$34+(ArtifactsInput!$M$7-ArtifactsInput!$M$7)*CHOOSE(ArtifactsInput!$N$7+1,6,7.2,8.4,9.6,10.8,12))/100)),MAX(0,Inputs!$B$43-((R2749-1)*Skills!D18))))/Inputs!$B$43),IF(Inputs!$B$38="pvp",MIN((Skills!T18*(1+(Inputs!$B$34+(ArtifactsInput!$M$7-ArtifactsInput!$M$7)*CHOOSE(ArtifactsInput!$N$7+1,6,7.2,8.4,9.6,10.8,12))/100)),15)/15,(Skills!T18*(1+(Inputs!$B$34+(ArtifactsInput!$M$7-ArtifactsInput!$M$7)*CHOOSE(ArtifactsInput!$N$7+1,6,7.2,8.4,9.6,10.8,12))/100))/Skills!D18)))</f>
        <v/>
      </c>
    </row>
    <row r="2766">
      <c r="A2766" t="inlineStr">
        <is>
          <t>Global Final Damage Bonus % (Enrage + Combo Synergy)</t>
        </is>
      </c>
      <c r="B2766">
        <f>((C2748=TRUE)*F2748*IF(AND(Inputs!$B$38&lt;&gt;"pvp",Inputs!$B$43&gt;0),(((R2748-1)*(Skills!T17*(1+(Inputs!$B$34+(ArtifactsInput!$M$7-ArtifactsInput!$M$7)*CHOOSE(ArtifactsInput!$N$7+1,6,7.2,8.4,9.6,10.8,12))/100))+MIN((Skills!T17*(1+(Inputs!$B$34+(ArtifactsInput!$M$7-ArtifactsInput!$M$7)*CHOOSE(ArtifactsInput!$N$7+1,6,7.2,8.4,9.6,10.8,12))/100)),MAX(0,Inputs!$B$43-((R2748-1)*Skills!D17))))/Inputs!$B$43),IF(Inputs!$B$38="pvp",MIN((Skills!T17*(1+(Inputs!$B$34+(ArtifactsInput!$M$7-ArtifactsInput!$M$7)*CHOOSE(ArtifactsInput!$N$7+1,6,7.2,8.4,9.6,10.8,12))/100)),15)/15,(Skills!T17*(1+(Inputs!$B$34+(ArtifactsInput!$M$7-ArtifactsInput!$M$7)*CHOOSE(ArtifactsInput!$N$7+1,6,7.2,8.4,9.6,10.8,12))/100))/Skills!D17)))+((C2745=TRUE)*F2745*IF(Inputs!$B$3&gt;=110,7,5))</f>
        <v/>
      </c>
    </row>
    <row r="2767">
      <c r="A2767" t="inlineStr">
        <is>
          <t>Buff-Casting Startup Delay (s, fixed-duration only)</t>
        </is>
      </c>
      <c r="B2767">
        <f>IF(AND(Inputs!$B$38&lt;&gt;"pvp",Inputs!$B$43&gt;0),SUMPRODUCT((Skills!T2:T26&gt;0)*(Skills!E2:E26=TRUE)*(C2733:C2757=TRUE))/B2762,0)</f>
        <v/>
      </c>
    </row>
    <row r="2768">
      <c r="A2768" t="inlineStr">
        <is>
          <t>Boss-Only Total DPS (this block's swept value)</t>
        </is>
      </c>
      <c r="B2768">
        <f>SUM(T2733:T2757)</f>
        <v/>
      </c>
    </row>
    <row r="2769">
      <c r="A2769" t="inlineStr">
        <is>
          <t>Normal-Only Total DPS (this block's swept value)</t>
        </is>
      </c>
      <c r="B2769">
        <f>SUM(V2733:V2757)</f>
        <v/>
      </c>
    </row>
    <row r="2770">
      <c r="A2770" s="6" t="inlineStr">
        <is>
          <t>TOTAL DPS</t>
        </is>
      </c>
      <c r="B2770" s="6">
        <f>SUM(O2733:O2757)</f>
        <v/>
      </c>
    </row>
    <row r="2773">
      <c r="A2773" s="6" t="inlineStr">
        <is>
          <t>Stat: CDR = 1.5s</t>
        </is>
      </c>
    </row>
    <row r="2774">
      <c r="A2774" s="5" t="inlineStr">
        <is>
          <t>Key</t>
        </is>
      </c>
      <c r="B2774" s="5" t="inlineStr">
        <is>
          <t>Name</t>
        </is>
      </c>
      <c r="C2774" s="5" t="inlineStr">
        <is>
          <t>Unlocked</t>
        </is>
      </c>
      <c r="D2774" s="5" t="inlineStr">
        <is>
          <t>InputLevel</t>
        </is>
      </c>
      <c r="E2774" s="5" t="inlineStr">
        <is>
          <t>Factor</t>
        </is>
      </c>
      <c r="F2774" s="5" t="inlineStr">
        <is>
          <t>CoefficientPercent</t>
        </is>
      </c>
      <c r="G2774" s="5" t="inlineStr">
        <is>
          <t>EffectiveHits</t>
        </is>
      </c>
      <c r="H2774" s="5" t="inlineStr">
        <is>
          <t>ProcProbability</t>
        </is>
      </c>
      <c r="I2774" s="5" t="inlineStr">
        <is>
          <t>MapleHeroMultiplier</t>
        </is>
      </c>
      <c r="J2774" s="5" t="inlineStr">
        <is>
          <t>BaseDamage</t>
        </is>
      </c>
      <c r="K2774" s="5" t="inlineStr">
        <is>
          <t>BaseHitDamage</t>
        </is>
      </c>
      <c r="L2774" s="5" t="inlineStr">
        <is>
          <t>NonCritAvg</t>
        </is>
      </c>
      <c r="M2774" s="5" t="inlineStr">
        <is>
          <t>CritAvg</t>
        </is>
      </c>
      <c r="N2774" s="5" t="inlineStr">
        <is>
          <t>ExpectedDamage(perHit)</t>
        </is>
      </c>
      <c r="O2774" s="5" t="inlineStr">
        <is>
          <t>DPS</t>
        </is>
      </c>
      <c r="P2774" s="5" t="inlineStr">
        <is>
          <t>% of Total</t>
        </is>
      </c>
      <c r="Q2774" s="5" t="inlineStr">
        <is>
          <t>InvCooldown</t>
        </is>
      </c>
      <c r="R2774" s="5" t="inlineStr">
        <is>
          <t>CastsInFight</t>
        </is>
      </c>
      <c r="S2774" s="5" t="inlineStr">
        <is>
          <t>HitRate(perSec)</t>
        </is>
      </c>
      <c r="U2774" t="inlineStr">
        <is>
          <t>helpers</t>
        </is>
      </c>
    </row>
    <row r="2775">
      <c r="A2775">
        <f>Skills!A2</f>
        <v/>
      </c>
      <c r="B2775">
        <f>Skills!B2</f>
        <v/>
      </c>
      <c r="C2775">
        <f>Inputs!$B$3&gt;=100</f>
        <v/>
      </c>
      <c r="D2775" t="inlineStr"/>
      <c r="E2775" t="inlineStr"/>
      <c r="F2775">
        <f>U2777+Skills!O2</f>
        <v/>
      </c>
      <c r="G2775">
        <f>Skills!G2*IF(Skills!H2&gt;0,Skills!I2/Skills!H2,1)</f>
        <v/>
      </c>
      <c r="H2775">
        <f>1-(1-Skills!J2/100)^Skills!K2</f>
        <v/>
      </c>
      <c r="I2775" t="inlineStr">
        <is>
          <t>1</t>
        </is>
      </c>
      <c r="J2775">
        <f>((Inputs!$B$6*(1+Inputs!$B$7/100))+(((Inputs!$B$12*(1+Inputs!$B$13/100))-(Inputs!$B$12*(1+Inputs!$B$13/100)))+0.25*(Inputs!$B$14-Inputs!$B$14))*(1+Inputs!$B$7/100))*(F2775/100)</f>
        <v/>
      </c>
      <c r="K2775">
        <f>J2775*(1+((Inputs!$B$12*(1+Inputs!$B$13/100))*0.01+Inputs!$B$14*0.0025)/100)*(1+Inputs!$B$15/100)*(1+Inputs!$B$16/100)*(5000/(6000+Inputs!$B$42*(1-(100*(1-(1-(Inputs!$B$19+0)/100)*(1-CHOOSE(ArtifactsInput!$N$40+1,5,6,7,8,9,10)/100)^(ArtifactsInput!$M$40-ArtifactsInput!$M$40)))/100)))*(1+(Inputs!$B$24+((C2798=TRUE)*(F2798-Calc!F25))+B2808)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2794=TRUE)*(F2794-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2796=TRUE)*(F2796-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2786=TRUE)*F2786*IF(Inputs!$B$3&gt;=110,7,5))+((C2788=TRUE)*F2788*IF(AND(Inputs!$B$38&lt;&gt;"pvp",Inputs!$B$43&gt;0),(((R2788-1)*(Skills!T15*(1+(Inputs!$B$34+(ArtifactsInput!$M$7-ArtifactsInput!$M$7)*CHOOSE(ArtifactsInput!$N$7+1,6,7.2,8.4,9.6,10.8,12))/100))+MIN((Skills!T15*(1+(Inputs!$B$34+(ArtifactsInput!$M$7-ArtifactsInput!$M$7)*CHOOSE(ArtifactsInput!$N$7+1,6,7.2,8.4,9.6,10.8,12))/100)),MAX(0,Inputs!$B$43-((R2788-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Hunt"),CHOOSE(ArtifactsInput!$N$35+1,15,18,21,24,27,30)*(1-EXP(-(0.2*B2804)*5)),0)+IF(AND(ArtifactsInput!$M$22,Inputs!$B$4&lt;&gt;"Chapter Hunt"),CHOOSE(ArtifactsInput!$N$22+1,10,12,14,16,18,20)*((0*(((0.15*B2804*5))^0/1)+1*(((0.15*B2804*5))^1/1)+2*(((0.15*B2804*5))^2/2)+3*(((0.15*B2804*5))^3/6)+4*(((0.15*B2804*5))^4/24)+5*(((0.15*B2804*5))^5/120))/((((0.15*B2804*5))^0/1)+(((0.15*B2804*5))^1/1)+(((0.15*B2804*5))^2/2)+(((0.15*B2804*5))^3/6)+(((0.15*B2804*5))^4/24)+(((0.15*B2804*5))^5/120))),0)))/100)*I2775)</f>
        <v/>
      </c>
      <c r="L2775">
        <f>K2775*(MIN(Inputs!$B$22+((C2795=TRUE)*(F2795-Calc!F22)),(Inputs!$B$23+((C2797=TRUE)*(F2797-Calc!F24))+(IF(ArtifactsInput!$M$15,CHOOSE(ArtifactsInput!$N$15+1,25,30,35,40,45,50)/100*(Inputs!$B$11-Inputs!$B$11),0))))/100+(Inputs!$B$23+((C2797=TRUE)*(F2797-Calc!F24))+(IF(ArtifactsInput!$M$15,CHOOSE(ArtifactsInput!$N$15+1,25,30,35,40,45,50)/100*(Inputs!$B$11-Inputs!$B$11),0)))/100)/2</f>
        <v/>
      </c>
      <c r="M2775">
        <f>L2775*(1+(Inputs!$B$10+0+B2807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5">
        <f>L2775*(1-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2775*(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5">
        <f>(1-Summary!$B$11)*T2775+Summary!$B$11*V2775</f>
        <v/>
      </c>
      <c r="P2775">
        <f>IF(B2812=0,0,O2775/B2812)</f>
        <v/>
      </c>
      <c r="Q2775" t="n">
        <v>0</v>
      </c>
      <c r="R2775" t="n">
        <v>0</v>
      </c>
      <c r="S2775">
        <f>IFERROR(O2775/N2775,0)</f>
        <v/>
      </c>
      <c r="T2775">
        <f>IF(C2775,(Skills!G2*N2775*B2806)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2775*(1-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2775*(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2775*(1-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2775*(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75">
        <f>MAX(0,(Inputs!$B$3-100)*3)+Inputs!$B$28+Inputs!$B$29</f>
        <v/>
      </c>
      <c r="V2775">
        <f>IF(C2775,(Skills!G2*N2775*B2806)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6">
      <c r="A2776">
        <f>Skills!A3</f>
        <v/>
      </c>
      <c r="B2776">
        <f>Skills!B3</f>
        <v/>
      </c>
      <c r="C2776">
        <f>Inputs!$B$3&gt;=50</f>
        <v/>
      </c>
      <c r="D2776">
        <f>IF(Skills!C3=1,60+Inputs!$B$25+Inputs!$B$29,IF(Skills!C3=2,90+Inputs!$B$26+Inputs!$B$29,IF(Skills!C3=3,120+Inputs!$B$27+Inputs!$B$29,MAX(0,(Inputs!$B$3-100)*3)+Inputs!$B$28+Inputs!$B$29)))</f>
        <v/>
      </c>
      <c r="E2776">
        <f>INDEX(FactorTable!$B$2:$Y$301, MATCH(ROUND(MIN(300,MAX(1,D2776)),0), FactorTable!$A$2:$A$301,0), Skills!M3+1)</f>
        <v/>
      </c>
      <c r="F2776">
        <f>IF(Skills!N3=TRUE,(Skills!L3/10)*(E2776/1000),Skills!L3/10)+Skills!O3</f>
        <v/>
      </c>
      <c r="G2776" t="inlineStr"/>
      <c r="H2776" t="inlineStr"/>
      <c r="I2776" t="inlineStr">
        <is>
          <t>1</t>
        </is>
      </c>
      <c r="J2776" t="inlineStr"/>
      <c r="K2776" t="inlineStr"/>
      <c r="L2776" t="inlineStr"/>
      <c r="M2776" t="inlineStr"/>
      <c r="N2776" t="inlineStr"/>
      <c r="O2776" t="inlineStr"/>
      <c r="P2776" t="inlineStr"/>
      <c r="Q2776" t="inlineStr"/>
      <c r="R2776" t="inlineStr"/>
      <c r="S2776" t="inlineStr"/>
      <c r="U2776">
        <f>INDEX(FactorTable!$B$2:$Y$301, MATCH(ROUND(MIN(300,MAX(1,U2775)),0), FactorTable!$A$2:$A$301,0), 22)</f>
        <v/>
      </c>
    </row>
    <row r="2777">
      <c r="A2777">
        <f>Skills!A4</f>
        <v/>
      </c>
      <c r="B2777">
        <f>Skills!B4</f>
        <v/>
      </c>
      <c r="C2777">
        <f>Inputs!$B$3&gt;=105</f>
        <v/>
      </c>
      <c r="D2777">
        <f>IF(Skills!C4=1,60+Inputs!$B$25+Inputs!$B$29,IF(Skills!C4=2,90+Inputs!$B$26+Inputs!$B$29,IF(Skills!C4=3,120+Inputs!$B$27+Inputs!$B$29,MAX(0,(Inputs!$B$3-100)*3)+Inputs!$B$28+Inputs!$B$29)))</f>
        <v/>
      </c>
      <c r="E2777">
        <f>INDEX(FactorTable!$B$2:$Y$301, MATCH(ROUND(MIN(300,MAX(1,D2777)),0), FactorTable!$A$2:$A$301,0), Skills!M4+1)</f>
        <v/>
      </c>
      <c r="F2777">
        <f>IF(Skills!N4=TRUE,(Skills!L4/10)*(E2777/1000),Skills!L4/10)+Skills!O4</f>
        <v/>
      </c>
      <c r="G2777" t="inlineStr"/>
      <c r="H2777" t="inlineStr"/>
      <c r="I2777" t="inlineStr">
        <is>
          <t>1</t>
        </is>
      </c>
      <c r="J2777" t="inlineStr"/>
      <c r="K2777" t="inlineStr"/>
      <c r="L2777" t="inlineStr"/>
      <c r="M2777" t="inlineStr"/>
      <c r="N2777" t="inlineStr"/>
      <c r="O2777" t="inlineStr"/>
      <c r="P2777" t="inlineStr"/>
      <c r="Q2777" t="inlineStr"/>
      <c r="R2777" t="inlineStr"/>
      <c r="S2777" t="inlineStr"/>
      <c r="U2777">
        <f>290*U2776/1000</f>
        <v/>
      </c>
    </row>
    <row r="2778">
      <c r="A2778">
        <f>Skills!A5</f>
        <v/>
      </c>
      <c r="B2778">
        <f>Skills!B5</f>
        <v/>
      </c>
      <c r="C2778">
        <f>Inputs!$B$3&gt;=103</f>
        <v/>
      </c>
      <c r="D2778">
        <f>IF(Skills!C5=1,60+Inputs!$B$25+Inputs!$B$29,IF(Skills!C5=2,90+Inputs!$B$26+Inputs!$B$29,IF(Skills!C5=3,120+Inputs!$B$27+Inputs!$B$29,MAX(0,(Inputs!$B$3-100)*3)+Inputs!$B$28+Inputs!$B$29)))</f>
        <v/>
      </c>
      <c r="E2778">
        <f>INDEX(FactorTable!$B$2:$Y$301, MATCH(ROUND(MIN(300,MAX(1,D2778)),0), FactorTable!$A$2:$A$301,0), Skills!M5+1)</f>
        <v/>
      </c>
      <c r="F2778">
        <f>IF(Skills!N5=TRUE,(Skills!L5/10)*(E2778/1000),Skills!L5/10)+Skills!O5</f>
        <v/>
      </c>
      <c r="G2778">
        <f>Skills!G5*IF(Skills!H5&gt;0,Skills!I5/Skills!H5,1)</f>
        <v/>
      </c>
      <c r="H2778">
        <f>1-(1-Skills!J5/100)^Skills!K5</f>
        <v/>
      </c>
      <c r="I2778" t="inlineStr">
        <is>
          <t>1</t>
        </is>
      </c>
      <c r="J2778">
        <f>((Inputs!$B$6*(1+Inputs!$B$7/100))+(((Inputs!$B$12*(1+Inputs!$B$13/100))-(Inputs!$B$12*(1+Inputs!$B$13/100)))+0.25*(Inputs!$B$14-Inputs!$B$14))*(1+Inputs!$B$7/100))*(F2778/100)</f>
        <v/>
      </c>
      <c r="K2778">
        <f>J2778*(1+((Inputs!$B$12*(1+Inputs!$B$13/100))*0.01+Inputs!$B$14*0.0025)/100)*(1+Inputs!$B$15/100)*(1+Inputs!$B$16/100)*(5000/(6000+Inputs!$B$42*(1-(100*(1-(1-(Inputs!$B$19+0)/100)*(1-CHOOSE(ArtifactsInput!$N$40+1,5,6,7,8,9,10)/100)^(ArtifactsInput!$M$40-ArtifactsInput!$M$40)))/100)))*(1+(Inputs!$B$24+((C2798=TRUE)*(F2798-Calc!F25))+B2808)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2794=TRUE)*(F2794-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2796=TRUE)*(F2796-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2786=TRUE)*F2786*IF(Inputs!$B$3&gt;=110,7,5))+((C2788=TRUE)*F2788*IF(AND(Inputs!$B$38&lt;&gt;"pvp",Inputs!$B$43&gt;0),(((R2788-1)*(Skills!T15*(1+(Inputs!$B$34+(ArtifactsInput!$M$7-ArtifactsInput!$M$7)*CHOOSE(ArtifactsInput!$N$7+1,6,7.2,8.4,9.6,10.8,12))/100))+MIN((Skills!T15*(1+(Inputs!$B$34+(ArtifactsInput!$M$7-ArtifactsInput!$M$7)*CHOOSE(ArtifactsInput!$N$7+1,6,7.2,8.4,9.6,10.8,12))/100)),MAX(0,Inputs!$B$43-((R2788-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Hunt"),CHOOSE(ArtifactsInput!$N$35+1,15,18,21,24,27,30)*(1-EXP(-(0.2*B2804)*5)),0)+IF(AND(ArtifactsInput!$M$22,Inputs!$B$4&lt;&gt;"Chapter Hunt"),CHOOSE(ArtifactsInput!$N$22+1,10,12,14,16,18,20)*((0*(((0.15*B2804*5))^0/1)+1*(((0.15*B2804*5))^1/1)+2*(((0.15*B2804*5))^2/2)+3*(((0.15*B2804*5))^3/6)+4*(((0.15*B2804*5))^4/24)+5*(((0.15*B2804*5))^5/120))/((((0.15*B2804*5))^0/1)+(((0.15*B2804*5))^1/1)+(((0.15*B2804*5))^2/2)+(((0.15*B2804*5))^3/6)+(((0.15*B2804*5))^4/24)+(((0.15*B2804*5))^5/120))),0)))/100)*I2778)</f>
        <v/>
      </c>
      <c r="L2778">
        <f>K2778*(MIN(Inputs!$B$22+((C2795=TRUE)*(F2795-Calc!F22)),(Inputs!$B$23+((C2797=TRUE)*(F2797-Calc!F24))+(IF(ArtifactsInput!$M$15,CHOOSE(ArtifactsInput!$N$15+1,25,30,35,40,45,50)/100*(Inputs!$B$11-Inputs!$B$11),0))))/100+(Inputs!$B$23+((C2797=TRUE)*(F2797-Calc!F24))+(IF(ArtifactsInput!$M$15,CHOOSE(ArtifactsInput!$N$15+1,25,30,35,40,45,50)/100*(Inputs!$B$11-Inputs!$B$11),0)))/100)/2</f>
        <v/>
      </c>
      <c r="M2778">
        <f>L2778*(1+(Inputs!$B$10+0+B2807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8">
        <f>L2778*(1-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2778*(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8">
        <f>(1-Summary!$B$11)*T2778+Summary!$B$11*V2778</f>
        <v/>
      </c>
      <c r="P2778">
        <f>IF(B2812=0,0,O2778/B2812)</f>
        <v/>
      </c>
      <c r="Q2778">
        <f>IFERROR(1/(IF(Inputs!$B$38="pvp",15,MAX(0.1,Skills!D5-IF(Skills!E5=TRUE,1.5,0)))*(1-IF(AND(ArtifactsInput!$M$27,Inputs!$B$4="Chapter Hunt"),CHOOSE(ArtifactsInput!$N$27+1,20,24,28,32,36,40),0)/100)),0)</f>
        <v/>
      </c>
      <c r="R2778">
        <f>IF(AND(Inputs!$B$38&lt;&gt;"pvp",Inputs!$B$43&gt;0),IF(MAX(0,Inputs!$B$43-B2809)&lt;=0,0,(INT(MAX(0,Inputs!$B$43-B2809)/(IF(Inputs!$B$38="pvp",15,MAX(0.1,Skills!D5-IF(Skills!E5=TRUE,1.5,0)))*(1-IF(AND(ArtifactsInput!$M$27,Inputs!$B$4="Chapter Hunt"),CHOOSE(ArtifactsInput!$N$27+1,20,24,28,32,36,40),0)/100)))+1)),0)</f>
        <v/>
      </c>
      <c r="S2778">
        <f>IFERROR(O2778/N2778,0)</f>
        <v/>
      </c>
      <c r="T2778">
        <f>IF(C2778,(H2778*N2778*IF(AND(Inputs!$B$38&lt;&gt;"pvp",Inputs!$B$43&gt;0),((Skills!G5*((R2778-1)*IF(Skills!H5&gt;0,Skills!I5/Skills!H5,1)+IF(Skills!H5&gt;0,MIN(Skills!I5,MAX(0,MAX(0,Inputs!$B$43-B2809)-((R2778-1)*(IF(Inputs!$B$38="pvp",15,MAX(0.1,Skills!D5-IF(Skills!E5=TRUE,1.5,0)))*(1-IF(AND(ArtifactsInput!$M$27,Inputs!$B$4="Chapter Hunt"),CHOOSE(ArtifactsInput!$N$27+1,20,24,28,32,36,40),0)/100)))))/Skills!H5,1)))/Inputs!$B$43),G2778*Q2778)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2778*(1-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2778*(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2778*(1-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2778*(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8">
        <f>IF(C2778,(H2778*N2778*IF(AND(Inputs!$B$38&lt;&gt;"pvp",Inputs!$B$43&gt;0),((Skills!G5*((R2778-1)*IF(Skills!H5&gt;0,Skills!I5/Skills!H5,1)+IF(Skills!H5&gt;0,MIN(Skills!I5,MAX(0,MAX(0,Inputs!$B$43-B2809)-((R2778-1)*(IF(Inputs!$B$38="pvp",15,MAX(0.1,Skills!D5-IF(Skills!E5=TRUE,1.5,0)))*(1-IF(AND(ArtifactsInput!$M$27,Inputs!$B$4="Chapter Hunt"),CHOOSE(ArtifactsInput!$N$27+1,20,24,28,32,36,40),0)/100)))))/Skills!H5,1)))/Inputs!$B$43),G2778*Q2778)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9">
      <c r="A2779">
        <f>Skills!A6</f>
        <v/>
      </c>
      <c r="B2779">
        <f>Skills!B6</f>
        <v/>
      </c>
      <c r="C2779">
        <f>Inputs!$B$3&gt;=103</f>
        <v/>
      </c>
      <c r="D2779">
        <f>IF(Skills!C6=1,60+Inputs!$B$25+Inputs!$B$29,IF(Skills!C6=2,90+Inputs!$B$26+Inputs!$B$29,IF(Skills!C6=3,120+Inputs!$B$27+Inputs!$B$29,MAX(0,(Inputs!$B$3-100)*3)+Inputs!$B$28+Inputs!$B$29)))</f>
        <v/>
      </c>
      <c r="E2779">
        <f>INDEX(FactorTable!$B$2:$Y$301, MATCH(ROUND(MIN(300,MAX(1,D2779)),0), FactorTable!$A$2:$A$301,0), Skills!M6+1)</f>
        <v/>
      </c>
      <c r="F2779">
        <f>IF(Skills!N6=TRUE,(Skills!L6/10)*(E2779/1000),Skills!L6/10)+Skills!O6</f>
        <v/>
      </c>
      <c r="G2779">
        <f>Skills!G6*IF(Skills!H6&gt;0,Skills!I6/Skills!H6,1)</f>
        <v/>
      </c>
      <c r="H2779">
        <f>1-(1-Skills!J6/100)^Skills!K6</f>
        <v/>
      </c>
      <c r="I2779" t="inlineStr">
        <is>
          <t>1</t>
        </is>
      </c>
      <c r="J2779">
        <f>((Inputs!$B$6*(1+Inputs!$B$7/100))+(((Inputs!$B$12*(1+Inputs!$B$13/100))-(Inputs!$B$12*(1+Inputs!$B$13/100)))+0.25*(Inputs!$B$14-Inputs!$B$14))*(1+Inputs!$B$7/100))*(F2779/100)</f>
        <v/>
      </c>
      <c r="K2779">
        <f>J2779*(1+((Inputs!$B$12*(1+Inputs!$B$13/100))*0.01+Inputs!$B$14*0.0025)/100)*(1+Inputs!$B$15/100)*(1+Inputs!$B$16/100)*(5000/(6000+Inputs!$B$42*(1-(100*(1-(1-(Inputs!$B$19+0)/100)*(1-CHOOSE(ArtifactsInput!$N$40+1,5,6,7,8,9,10)/100)^(ArtifactsInput!$M$40-ArtifactsInput!$M$40)))/100)))*(1+(Inputs!$B$24+((C2798=TRUE)*(F2798-Calc!F25))+B2808)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2794=TRUE)*(F2794-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2796=TRUE)*(F2796-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2786=TRUE)*F2786*IF(Inputs!$B$3&gt;=110,7,5))+((C2788=TRUE)*F2788*IF(AND(Inputs!$B$38&lt;&gt;"pvp",Inputs!$B$43&gt;0),(((R2788-1)*(Skills!T15*(1+(Inputs!$B$34+(ArtifactsInput!$M$7-ArtifactsInput!$M$7)*CHOOSE(ArtifactsInput!$N$7+1,6,7.2,8.4,9.6,10.8,12))/100))+MIN((Skills!T15*(1+(Inputs!$B$34+(ArtifactsInput!$M$7-ArtifactsInput!$M$7)*CHOOSE(ArtifactsInput!$N$7+1,6,7.2,8.4,9.6,10.8,12))/100)),MAX(0,Inputs!$B$43-((R2788-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Hunt"),CHOOSE(ArtifactsInput!$N$35+1,15,18,21,24,27,30)*(1-EXP(-(0.2*B2804)*5)),0)+IF(AND(ArtifactsInput!$M$22,Inputs!$B$4&lt;&gt;"Chapter Hunt"),CHOOSE(ArtifactsInput!$N$22+1,10,12,14,16,18,20)*((0*(((0.15*B2804*5))^0/1)+1*(((0.15*B2804*5))^1/1)+2*(((0.15*B2804*5))^2/2)+3*(((0.15*B2804*5))^3/6)+4*(((0.15*B2804*5))^4/24)+5*(((0.15*B2804*5))^5/120))/((((0.15*B2804*5))^0/1)+(((0.15*B2804*5))^1/1)+(((0.15*B2804*5))^2/2)+(((0.15*B2804*5))^3/6)+(((0.15*B2804*5))^4/24)+(((0.15*B2804*5))^5/120))),0)))/100)*I2779)</f>
        <v/>
      </c>
      <c r="L2779">
        <f>K2779*(MIN(Inputs!$B$22+((C2795=TRUE)*(F2795-Calc!F22)),(Inputs!$B$23+((C2797=TRUE)*(F2797-Calc!F24))+(IF(ArtifactsInput!$M$15,CHOOSE(ArtifactsInput!$N$15+1,25,30,35,40,45,50)/100*(Inputs!$B$11-Inputs!$B$11),0))))/100+(Inputs!$B$23+((C2797=TRUE)*(F2797-Calc!F24))+(IF(ArtifactsInput!$M$15,CHOOSE(ArtifactsInput!$N$15+1,25,30,35,40,45,50)/100*(Inputs!$B$11-Inputs!$B$11),0)))/100)/2</f>
        <v/>
      </c>
      <c r="M2779">
        <f>L2779*(1+(Inputs!$B$10+0+B2807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9">
        <f>L2779*(1-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2779*(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9">
        <f>(1-Summary!$B$11)*T2779+Summary!$B$11*V2779</f>
        <v/>
      </c>
      <c r="P2779">
        <f>IF(B2812=0,0,O2779/B2812)</f>
        <v/>
      </c>
      <c r="Q2779">
        <f>IFERROR(1/(IF(Inputs!$B$38="pvp",15,MAX(0.1,Skills!D6-IF(Skills!E6=TRUE,1.5,0)))*(1-IF(AND(ArtifactsInput!$M$27,Inputs!$B$4="Chapter Hunt"),CHOOSE(ArtifactsInput!$N$27+1,20,24,28,32,36,40),0)/100)),0)</f>
        <v/>
      </c>
      <c r="R2779">
        <f>IF(AND(Inputs!$B$38&lt;&gt;"pvp",Inputs!$B$43&gt;0),IF(MAX(0,Inputs!$B$43-B2809)&lt;=0,0,(INT(MAX(0,Inputs!$B$43-B2809)/(IF(Inputs!$B$38="pvp",15,MAX(0.1,Skills!D6-IF(Skills!E6=TRUE,1.5,0)))*(1-IF(AND(ArtifactsInput!$M$27,Inputs!$B$4="Chapter Hunt"),CHOOSE(ArtifactsInput!$N$27+1,20,24,28,32,36,40),0)/100)))+1)),0)</f>
        <v/>
      </c>
      <c r="S2779">
        <f>IFERROR(O2779/N2779,0)</f>
        <v/>
      </c>
      <c r="T2779">
        <f>IF(C2779,(H2779*N2779*IF(AND(Inputs!$B$38&lt;&gt;"pvp",Inputs!$B$43&gt;0),((Skills!G6*((R2779-1)*IF(Skills!H6&gt;0,Skills!I6/Skills!H6,1)+IF(Skills!H6&gt;0,MIN(Skills!I6,MAX(0,MAX(0,Inputs!$B$43-B2809)-((R2779-1)*(IF(Inputs!$B$38="pvp",15,MAX(0.1,Skills!D6-IF(Skills!E6=TRUE,1.5,0)))*(1-IF(AND(ArtifactsInput!$M$27,Inputs!$B$4="Chapter Hunt"),CHOOSE(ArtifactsInput!$N$27+1,20,24,28,32,36,40),0)/100)))))/Skills!H6,1)))/Inputs!$B$43),G2779*Q2779)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2779*(1-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2779*(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2779*(1-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2779*(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9">
        <f>IF(C2779,(H2779*N2779*IF(AND(Inputs!$B$38&lt;&gt;"pvp",Inputs!$B$43&gt;0),((Skills!G6*((R2779-1)*IF(Skills!H6&gt;0,Skills!I6/Skills!H6,1)+IF(Skills!H6&gt;0,MIN(Skills!I6,MAX(0,MAX(0,Inputs!$B$43-B2809)-((R2779-1)*(IF(Inputs!$B$38="pvp",15,MAX(0.1,Skills!D6-IF(Skills!E6=TRUE,1.5,0)))*(1-IF(AND(ArtifactsInput!$M$27,Inputs!$B$4="Chapter Hunt"),CHOOSE(ArtifactsInput!$N$27+1,20,24,28,32,36,40),0)/100)))))/Skills!H6,1)))/Inputs!$B$43),G2779*Q2779)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0">
      <c r="A2780">
        <f>Skills!A7</f>
        <v/>
      </c>
      <c r="B2780">
        <f>Skills!B7</f>
        <v/>
      </c>
      <c r="C2780">
        <f>Inputs!$B$3&gt;=107</f>
        <v/>
      </c>
      <c r="D2780">
        <f>IF(Skills!C7=1,60+Inputs!$B$25+Inputs!$B$29,IF(Skills!C7=2,90+Inputs!$B$26+Inputs!$B$29,IF(Skills!C7=3,120+Inputs!$B$27+Inputs!$B$29,MAX(0,(Inputs!$B$3-100)*3)+Inputs!$B$28+Inputs!$B$29)))</f>
        <v/>
      </c>
      <c r="E2780">
        <f>INDEX(FactorTable!$B$2:$Y$301, MATCH(ROUND(MIN(300,MAX(1,D2780)),0), FactorTable!$A$2:$A$301,0), Skills!M7+1)</f>
        <v/>
      </c>
      <c r="F2780">
        <f>IF(Skills!N7=TRUE,(Skills!L7/10)*(E2780/1000),Skills!L7/10)+Skills!O7</f>
        <v/>
      </c>
      <c r="G2780">
        <f>Skills!G7*IF(Skills!H7&gt;0,Skills!I7/Skills!H7,1)</f>
        <v/>
      </c>
      <c r="H2780">
        <f>1-(1-Skills!J7/100)^Skills!K7</f>
        <v/>
      </c>
      <c r="I2780" t="inlineStr">
        <is>
          <t>1</t>
        </is>
      </c>
      <c r="J2780">
        <f>((Inputs!$B$6*(1+Inputs!$B$7/100))+(((Inputs!$B$12*(1+Inputs!$B$13/100))-(Inputs!$B$12*(1+Inputs!$B$13/100)))+0.25*(Inputs!$B$14-Inputs!$B$14))*(1+Inputs!$B$7/100))*(F2780/100)</f>
        <v/>
      </c>
      <c r="K2780">
        <f>J2780*(1+((Inputs!$B$12*(1+Inputs!$B$13/100))*0.01+Inputs!$B$14*0.0025)/100)*(1+Inputs!$B$15/100)*(1+Inputs!$B$16/100)*(5000/(6000+Inputs!$B$42*(1-(100*(1-(1-(Inputs!$B$19+0)/100)*(1-CHOOSE(ArtifactsInput!$N$40+1,5,6,7,8,9,10)/100)^(ArtifactsInput!$M$40-ArtifactsInput!$M$40)))/100)))*(1+(Inputs!$B$24+((C2798=TRUE)*(F2798-Calc!F25))+B2808)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2794=TRUE)*(F2794-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2796=TRUE)*(F2796-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2786=TRUE)*F2786*IF(Inputs!$B$3&gt;=110,7,5))+((C2788=TRUE)*F2788*IF(AND(Inputs!$B$38&lt;&gt;"pvp",Inputs!$B$43&gt;0),(((R2788-1)*(Skills!T15*(1+(Inputs!$B$34+(ArtifactsInput!$M$7-ArtifactsInput!$M$7)*CHOOSE(ArtifactsInput!$N$7+1,6,7.2,8.4,9.6,10.8,12))/100))+MIN((Skills!T15*(1+(Inputs!$B$34+(ArtifactsInput!$M$7-ArtifactsInput!$M$7)*CHOOSE(ArtifactsInput!$N$7+1,6,7.2,8.4,9.6,10.8,12))/100)),MAX(0,Inputs!$B$43-((R2788-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Hunt"),CHOOSE(ArtifactsInput!$N$35+1,15,18,21,24,27,30)*(1-EXP(-(0.2*B2804)*5)),0)+IF(AND(ArtifactsInput!$M$22,Inputs!$B$4&lt;&gt;"Chapter Hunt"),CHOOSE(ArtifactsInput!$N$22+1,10,12,14,16,18,20)*((0*(((0.15*B2804*5))^0/1)+1*(((0.15*B2804*5))^1/1)+2*(((0.15*B2804*5))^2/2)+3*(((0.15*B2804*5))^3/6)+4*(((0.15*B2804*5))^4/24)+5*(((0.15*B2804*5))^5/120))/((((0.15*B2804*5))^0/1)+(((0.15*B2804*5))^1/1)+(((0.15*B2804*5))^2/2)+(((0.15*B2804*5))^3/6)+(((0.15*B2804*5))^4/24)+(((0.15*B2804*5))^5/120))),0)))/100)*I2780)</f>
        <v/>
      </c>
      <c r="L2780">
        <f>K2780*(MIN(Inputs!$B$22+((C2795=TRUE)*(F2795-Calc!F22)),(Inputs!$B$23+((C2797=TRUE)*(F2797-Calc!F24))+(IF(ArtifactsInput!$M$15,CHOOSE(ArtifactsInput!$N$15+1,25,30,35,40,45,50)/100*(Inputs!$B$11-Inputs!$B$11),0))))/100+(Inputs!$B$23+((C2797=TRUE)*(F2797-Calc!F24))+(IF(ArtifactsInput!$M$15,CHOOSE(ArtifactsInput!$N$15+1,25,30,35,40,45,50)/100*(Inputs!$B$11-Inputs!$B$11),0)))/100)/2</f>
        <v/>
      </c>
      <c r="M2780">
        <f>L2780*(1+(Inputs!$B$10+0+B2807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0">
        <f>L2780*(1-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2780*(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0">
        <f>(1-Summary!$B$11)*T2780+Summary!$B$11*V2780</f>
        <v/>
      </c>
      <c r="P2780">
        <f>IF(B2812=0,0,O2780/B2812)</f>
        <v/>
      </c>
      <c r="Q2780">
        <f>IFERROR(1/(IF(Inputs!$B$38="pvp",15,MAX(0.1,Skills!D7-IF(Skills!E7=TRUE,1.5,0)))*(1-IF(AND(ArtifactsInput!$M$27,Inputs!$B$4="Chapter Hunt"),CHOOSE(ArtifactsInput!$N$27+1,20,24,28,32,36,40),0)/100)),0)</f>
        <v/>
      </c>
      <c r="R2780">
        <f>IF(AND(Inputs!$B$38&lt;&gt;"pvp",Inputs!$B$43&gt;0),IF(MAX(0,Inputs!$B$43-B2809)&lt;=0,0,(INT(MAX(0,Inputs!$B$43-B2809)/(IF(Inputs!$B$38="pvp",15,MAX(0.1,Skills!D7-IF(Skills!E7=TRUE,1.5,0)))*(1-IF(AND(ArtifactsInput!$M$27,Inputs!$B$4="Chapter Hunt"),CHOOSE(ArtifactsInput!$N$27+1,20,24,28,32,36,40),0)/100)))+1)),0)</f>
        <v/>
      </c>
      <c r="S2780">
        <f>IFERROR(O2780/N2780,0)</f>
        <v/>
      </c>
      <c r="T2780">
        <f>IF(C2780,(H2780*N2780*IF(AND(Inputs!$B$38&lt;&gt;"pvp",Inputs!$B$43&gt;0),((Skills!G7*((R2780-1)*IF(Skills!H7&gt;0,Skills!I7/Skills!H7,1)+IF(Skills!H7&gt;0,MIN(Skills!I7,MAX(0,MAX(0,Inputs!$B$43-B2809)-((R2780-1)*(IF(Inputs!$B$38="pvp",15,MAX(0.1,Skills!D7-IF(Skills!E7=TRUE,1.5,0)))*(1-IF(AND(ArtifactsInput!$M$27,Inputs!$B$4="Chapter Hunt"),CHOOSE(ArtifactsInput!$N$27+1,20,24,28,32,36,40),0)/100)))))/Skills!H7,1)))/Inputs!$B$43),G2780*Q2780)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2780*(1-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2780*(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2780*(1-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2780*(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0">
        <f>IF(C2780,(H2780*N2780*IF(AND(Inputs!$B$38&lt;&gt;"pvp",Inputs!$B$43&gt;0),((Skills!G7*((R2780-1)*IF(Skills!H7&gt;0,Skills!I7/Skills!H7,1)+IF(Skills!H7&gt;0,MIN(Skills!I7,MAX(0,MAX(0,Inputs!$B$43-B2809)-((R2780-1)*(IF(Inputs!$B$38="pvp",15,MAX(0.1,Skills!D7-IF(Skills!E7=TRUE,1.5,0)))*(1-IF(AND(ArtifactsInput!$M$27,Inputs!$B$4="Chapter Hunt"),CHOOSE(ArtifactsInput!$N$27+1,20,24,28,32,36,40),0)/100)))))/Skills!H7,1)))/Inputs!$B$43),G2780*Q2780)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1">
      <c r="A2781">
        <f>Skills!A8</f>
        <v/>
      </c>
      <c r="B2781">
        <f>Skills!B8</f>
        <v/>
      </c>
      <c r="C2781">
        <f>Inputs!$B$3&gt;=117</f>
        <v/>
      </c>
      <c r="D2781">
        <f>IF(Skills!C8=1,60+Inputs!$B$25+Inputs!$B$29,IF(Skills!C8=2,90+Inputs!$B$26+Inputs!$B$29,IF(Skills!C8=3,120+Inputs!$B$27+Inputs!$B$29,MAX(0,(Inputs!$B$3-100)*3)+Inputs!$B$28+Inputs!$B$29)))</f>
        <v/>
      </c>
      <c r="E2781">
        <f>INDEX(FactorTable!$B$2:$Y$301, MATCH(ROUND(MIN(300,MAX(1,D2781)),0), FactorTable!$A$2:$A$301,0), Skills!M8+1)</f>
        <v/>
      </c>
      <c r="F2781">
        <f>IF(Skills!N8=TRUE,(Skills!L8/10)*(E2781/1000),Skills!L8/10)+Skills!O8</f>
        <v/>
      </c>
      <c r="G2781">
        <f>Skills!G8*IF(Skills!H8&gt;0,Skills!I8/Skills!H8,1)</f>
        <v/>
      </c>
      <c r="H2781">
        <f>1-(1-Skills!J8/100)^Skills!K8</f>
        <v/>
      </c>
      <c r="I2781" t="inlineStr">
        <is>
          <t>1</t>
        </is>
      </c>
      <c r="J2781">
        <f>((Inputs!$B$6*(1+Inputs!$B$7/100))+(((Inputs!$B$12*(1+Inputs!$B$13/100))-(Inputs!$B$12*(1+Inputs!$B$13/100)))+0.25*(Inputs!$B$14-Inputs!$B$14))*(1+Inputs!$B$7/100))*(F2781/100)</f>
        <v/>
      </c>
      <c r="K2781">
        <f>J2781*(1+((Inputs!$B$12*(1+Inputs!$B$13/100))*0.01+Inputs!$B$14*0.0025)/100)*(1+Inputs!$B$15/100)*(1+Inputs!$B$16/100)*(5000/(6000+Inputs!$B$42*(1-(100*(1-(1-(Inputs!$B$19+0)/100)*(1-CHOOSE(ArtifactsInput!$N$40+1,5,6,7,8,9,10)/100)^(ArtifactsInput!$M$40-ArtifactsInput!$M$40)))/100)))*(1+(Inputs!$B$24+((C2798=TRUE)*(F2798-Calc!F25))+B2808)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2794=TRUE)*(F2794-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2796=TRUE)*(F2796-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2786=TRUE)*F2786*IF(Inputs!$B$3&gt;=110,7,5))+((C2788=TRUE)*F2788*IF(AND(Inputs!$B$38&lt;&gt;"pvp",Inputs!$B$43&gt;0),(((R2788-1)*(Skills!T15*(1+(Inputs!$B$34+(ArtifactsInput!$M$7-ArtifactsInput!$M$7)*CHOOSE(ArtifactsInput!$N$7+1,6,7.2,8.4,9.6,10.8,12))/100))+MIN((Skills!T15*(1+(Inputs!$B$34+(ArtifactsInput!$M$7-ArtifactsInput!$M$7)*CHOOSE(ArtifactsInput!$N$7+1,6,7.2,8.4,9.6,10.8,12))/100)),MAX(0,Inputs!$B$43-((R2788-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Hunt"),CHOOSE(ArtifactsInput!$N$35+1,15,18,21,24,27,30)*(1-EXP(-(0.2*B2804)*5)),0)+IF(AND(ArtifactsInput!$M$22,Inputs!$B$4&lt;&gt;"Chapter Hunt"),CHOOSE(ArtifactsInput!$N$22+1,10,12,14,16,18,20)*((0*(((0.15*B2804*5))^0/1)+1*(((0.15*B2804*5))^1/1)+2*(((0.15*B2804*5))^2/2)+3*(((0.15*B2804*5))^3/6)+4*(((0.15*B2804*5))^4/24)+5*(((0.15*B2804*5))^5/120))/((((0.15*B2804*5))^0/1)+(((0.15*B2804*5))^1/1)+(((0.15*B2804*5))^2/2)+(((0.15*B2804*5))^3/6)+(((0.15*B2804*5))^4/24)+(((0.15*B2804*5))^5/120))),0)))/100)*I2781)</f>
        <v/>
      </c>
      <c r="L2781">
        <f>K2781*(MIN(Inputs!$B$22+((C2795=TRUE)*(F2795-Calc!F22)),(Inputs!$B$23+((C2797=TRUE)*(F2797-Calc!F24))+(IF(ArtifactsInput!$M$15,CHOOSE(ArtifactsInput!$N$15+1,25,30,35,40,45,50)/100*(Inputs!$B$11-Inputs!$B$11),0))))/100+(Inputs!$B$23+((C2797=TRUE)*(F2797-Calc!F24))+(IF(ArtifactsInput!$M$15,CHOOSE(ArtifactsInput!$N$15+1,25,30,35,40,45,50)/100*(Inputs!$B$11-Inputs!$B$11),0)))/100)/2</f>
        <v/>
      </c>
      <c r="M2781">
        <f>L2781*(1+(Inputs!$B$10+0+B2807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1">
        <f>L2781*(1-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2781*(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1">
        <f>(1-Summary!$B$11)*T2781+Summary!$B$11*V2781</f>
        <v/>
      </c>
      <c r="P2781">
        <f>IF(B2812=0,0,O2781/B2812)</f>
        <v/>
      </c>
      <c r="Q2781">
        <f>IFERROR(1/(IF(Inputs!$B$38="pvp",15,MAX(0.1,Skills!D8-IF(Skills!E8=TRUE,1.5,0)))*(1-IF(AND(ArtifactsInput!$M$27,Inputs!$B$4="Chapter Hunt"),CHOOSE(ArtifactsInput!$N$27+1,20,24,28,32,36,40),0)/100)),0)</f>
        <v/>
      </c>
      <c r="R2781">
        <f>IF(AND(Inputs!$B$38&lt;&gt;"pvp",Inputs!$B$43&gt;0),IF(MAX(0,Inputs!$B$43-B2809)&lt;=0,0,(INT(MAX(0,Inputs!$B$43-B2809)/(IF(Inputs!$B$38="pvp",15,MAX(0.1,Skills!D8-IF(Skills!E8=TRUE,1.5,0)))*(1-IF(AND(ArtifactsInput!$M$27,Inputs!$B$4="Chapter Hunt"),CHOOSE(ArtifactsInput!$N$27+1,20,24,28,32,36,40),0)/100)))+1)),0)</f>
        <v/>
      </c>
      <c r="S2781">
        <f>IFERROR(O2781/N2781,0)</f>
        <v/>
      </c>
      <c r="T2781">
        <f>IF(C2781,(H2781*N2781*IF(AND(Inputs!$B$38&lt;&gt;"pvp",Inputs!$B$43&gt;0),((Skills!G8*((R2781-1)*IF(Skills!H8&gt;0,Skills!I8/Skills!H8,1)+IF(Skills!H8&gt;0,MIN(Skills!I8,MAX(0,MAX(0,Inputs!$B$43-B2809)-((R2781-1)*(IF(Inputs!$B$38="pvp",15,MAX(0.1,Skills!D8-IF(Skills!E8=TRUE,1.5,0)))*(1-IF(AND(ArtifactsInput!$M$27,Inputs!$B$4="Chapter Hunt"),CHOOSE(ArtifactsInput!$N$27+1,20,24,28,32,36,40),0)/100)))))/Skills!H8,1)))/Inputs!$B$43),G2781*Q2781)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2781*(1-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2781*(1-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1">
        <f>IF(C2781,(H2781*N2781*IF(AND(Inputs!$B$38&lt;&gt;"pvp",Inputs!$B$43&gt;0),((Skills!G8*((R2781-1)*IF(Skills!H8&gt;0,Skills!I8/Skills!H8,1)+IF(Skills!H8&gt;0,MIN(Skills!I8,MAX(0,MAX(0,Inputs!$B$43-B2809)-((R2781-1)*(IF(Inputs!$B$38="pvp",15,MAX(0.1,Skills!D8-IF(Skills!E8=TRUE,1.5,0)))*(1-IF(AND(ArtifactsInput!$M$27,Inputs!$B$4="Chapter Hunt"),CHOOSE(ArtifactsInput!$N$27+1,20,24,28,32,36,40),0)/100)))))/Skills!H8,1)))/Inputs!$B$43),G2781*Q2781)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2">
      <c r="A2782">
        <f>Skills!A9</f>
        <v/>
      </c>
      <c r="B2782">
        <f>Skills!B9</f>
        <v/>
      </c>
      <c r="C2782">
        <f>Inputs!$B$3&gt;=69</f>
        <v/>
      </c>
      <c r="D2782">
        <f>IF(Skills!C9=1,60+Inputs!$B$25+Inputs!$B$29,IF(Skills!C9=2,90+Inputs!$B$26+Inputs!$B$29,IF(Skills!C9=3,120+Inputs!$B$27+Inputs!$B$29,MAX(0,(Inputs!$B$3-100)*3)+Inputs!$B$28+Inputs!$B$29)))</f>
        <v/>
      </c>
      <c r="E2782">
        <f>INDEX(FactorTable!$B$2:$Y$301, MATCH(ROUND(MIN(300,MAX(1,D2782)),0), FactorTable!$A$2:$A$301,0), Skills!M9+1)</f>
        <v/>
      </c>
      <c r="F2782">
        <f>IF(Skills!N9=TRUE,(Skills!L9/10)*(E2782/1000),Skills!L9/10)+Skills!O9</f>
        <v/>
      </c>
      <c r="G2782">
        <f>Skills!G9*IF(Skills!H9&gt;0,Skills!I9/Skills!H9,1)</f>
        <v/>
      </c>
      <c r="H2782">
        <f>1-(1-Skills!J9/100)^Skills!K9</f>
        <v/>
      </c>
      <c r="I2782" t="inlineStr">
        <is>
          <t>1</t>
        </is>
      </c>
      <c r="J2782">
        <f>((Inputs!$B$6*(1+Inputs!$B$7/100))+(((Inputs!$B$12*(1+Inputs!$B$13/100))-(Inputs!$B$12*(1+Inputs!$B$13/100)))+0.25*(Inputs!$B$14-Inputs!$B$14))*(1+Inputs!$B$7/100))*(F2782/100)</f>
        <v/>
      </c>
      <c r="K2782">
        <f>J2782*(1+((Inputs!$B$12*(1+Inputs!$B$13/100))*0.01+Inputs!$B$14*0.0025)/100)*(1+Inputs!$B$15/100)*(1+Inputs!$B$16/100)*(5000/(6000+Inputs!$B$42*(1-(100*(1-(1-(Inputs!$B$19+0)/100)*(1-CHOOSE(ArtifactsInput!$N$40+1,5,6,7,8,9,10)/100)^(ArtifactsInput!$M$40-ArtifactsInput!$M$40)))/100)))*(1+(Inputs!$B$24+((C2798=TRUE)*(F2798-Calc!F25))+B2808)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2785=TRUE,F2785,0)/100)*(1+IF(Skills!A9="ENHANCED_RAGING_BLOW",IF(Inputs!$B$3&gt;=134,MAX(0,IF(Inputs!$B$3&gt;=110,7,5)-5)*50,0),0)/100)*(1+(IF(Skills!A9="RAGING_BLOW",Inputs!$B$17+((C2794=TRUE)*(F2794-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2796=TRUE)*(F2796-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2786=TRUE)*F2786*IF(Inputs!$B$3&gt;=110,7,5))+((C2788=TRUE)*F2788*IF(AND(Inputs!$B$38&lt;&gt;"pvp",Inputs!$B$43&gt;0),(((R2788-1)*(Skills!T15*(1+(Inputs!$B$34+(ArtifactsInput!$M$7-ArtifactsInput!$M$7)*CHOOSE(ArtifactsInput!$N$7+1,6,7.2,8.4,9.6,10.8,12))/100))+MIN((Skills!T15*(1+(Inputs!$B$34+(ArtifactsInput!$M$7-ArtifactsInput!$M$7)*CHOOSE(ArtifactsInput!$N$7+1,6,7.2,8.4,9.6,10.8,12))/100)),MAX(0,Inputs!$B$43-((R2788-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Hunt"),CHOOSE(ArtifactsInput!$N$35+1,15,18,21,24,27,30)*(1-EXP(-(0.2*B2804)*5)),0)+IF(AND(ArtifactsInput!$M$22,Inputs!$B$4&lt;&gt;"Chapter Hunt"),CHOOSE(ArtifactsInput!$N$22+1,10,12,14,16,18,20)*((0*(((0.15*B2804*5))^0/1)+1*(((0.15*B2804*5))^1/1)+2*(((0.15*B2804*5))^2/2)+3*(((0.15*B2804*5))^3/6)+4*(((0.15*B2804*5))^4/24)+5*(((0.15*B2804*5))^5/120))/((((0.15*B2804*5))^0/1)+(((0.15*B2804*5))^1/1)+(((0.15*B2804*5))^2/2)+(((0.15*B2804*5))^3/6)+(((0.15*B2804*5))^4/24)+(((0.15*B2804*5))^5/120))),0)))/100)*I2782)</f>
        <v/>
      </c>
      <c r="L2782">
        <f>K2782*(MIN(Inputs!$B$22+((C2795=TRUE)*(F2795-Calc!F22)),(Inputs!$B$23+((C2797=TRUE)*(F2797-Calc!F24))+(IF(ArtifactsInput!$M$15,CHOOSE(ArtifactsInput!$N$15+1,25,30,35,40,45,50)/100*(Inputs!$B$11-Inputs!$B$11),0))))/100+(Inputs!$B$23+((C2797=TRUE)*(F2797-Calc!F24))+(IF(ArtifactsInput!$M$15,CHOOSE(ArtifactsInput!$N$15+1,25,30,35,40,45,50)/100*(Inputs!$B$11-Inputs!$B$11),0)))/100)/2</f>
        <v/>
      </c>
      <c r="M2782">
        <f>L2782*(1+(Inputs!$B$10+0+B2807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2">
        <f>L2782*(1-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2782*(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2">
        <f>(1-Summary!$B$11)*T2782+Summary!$B$11*V2782</f>
        <v/>
      </c>
      <c r="P2782">
        <f>IF(B2812=0,0,O2782/B2812)</f>
        <v/>
      </c>
      <c r="Q2782">
        <f>IFERROR(1/(IF(Inputs!$B$38="pvp",15,MAX(0.1,Skills!D9-IF(Skills!E9=TRUE,1.5,0)))*(1-IF(AND(ArtifactsInput!$M$27,Inputs!$B$4="Chapter Hunt"),CHOOSE(ArtifactsInput!$N$27+1,20,24,28,32,36,40),0)/100)),0)</f>
        <v/>
      </c>
      <c r="R2782">
        <f>IF(AND(Inputs!$B$38&lt;&gt;"pvp",Inputs!$B$43&gt;0),IF(MAX(0,Inputs!$B$43-B2809)&lt;=0,0,(INT(MAX(0,Inputs!$B$43-B2809)/(IF(Inputs!$B$38="pvp",15,MAX(0.1,Skills!D9-IF(Skills!E9=TRUE,1.5,0)))*(1-IF(AND(ArtifactsInput!$M$27,Inputs!$B$4="Chapter Hunt"),CHOOSE(ArtifactsInput!$N$27+1,20,24,28,32,36,40),0)/100)))+1)),0)</f>
        <v/>
      </c>
      <c r="S2782">
        <f>IFERROR(O2782/N2782,0)</f>
        <v/>
      </c>
      <c r="T2782">
        <f>IF(C2782,(H2782*N2782*IF(AND(Inputs!$B$38&lt;&gt;"pvp",Inputs!$B$43&gt;0),((Skills!G9*((R2782-1)*IF(Skills!H9&gt;0,Skills!I9/Skills!H9,1)+IF(Skills!H9&gt;0,MIN(Skills!I9,MAX(0,MAX(0,Inputs!$B$43-B2809)-((R2782-1)*(IF(Inputs!$B$38="pvp",15,MAX(0.1,Skills!D9-IF(Skills!E9=TRUE,1.5,0)))*(1-IF(AND(ArtifactsInput!$M$27,Inputs!$B$4="Chapter Hunt"),CHOOSE(ArtifactsInput!$N$27+1,20,24,28,32,36,40),0)/100)))))/Skills!H9,1)))/Inputs!$B$43),G2782*Q2782)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2782*(1-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2782*(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2782*(1-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2782*(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2">
        <f>IF(C2782,(H2782*N2782*IF(AND(Inputs!$B$38&lt;&gt;"pvp",Inputs!$B$43&gt;0),((Skills!G9*((R2782-1)*IF(Skills!H9&gt;0,Skills!I9/Skills!H9,1)+IF(Skills!H9&gt;0,MIN(Skills!I9,MAX(0,MAX(0,Inputs!$B$43-B2809)-((R2782-1)*(IF(Inputs!$B$38="pvp",15,MAX(0.1,Skills!D9-IF(Skills!E9=TRUE,1.5,0)))*(1-IF(AND(ArtifactsInput!$M$27,Inputs!$B$4="Chapter Hunt"),CHOOSE(ArtifactsInput!$N$27+1,20,24,28,32,36,40),0)/100)))))/Skills!H9,1)))/Inputs!$B$43),G2782*Q2782)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3">
      <c r="A2783">
        <f>Skills!A10</f>
        <v/>
      </c>
      <c r="B2783">
        <f>Skills!B10</f>
        <v/>
      </c>
      <c r="C2783">
        <f>Inputs!$B$3&gt;=63</f>
        <v/>
      </c>
      <c r="D2783">
        <f>IF(Skills!C10=1,60+Inputs!$B$25+Inputs!$B$29,IF(Skills!C10=2,90+Inputs!$B$26+Inputs!$B$29,IF(Skills!C10=3,120+Inputs!$B$27+Inputs!$B$29,MAX(0,(Inputs!$B$3-100)*3)+Inputs!$B$28+Inputs!$B$29)))</f>
        <v/>
      </c>
      <c r="E2783">
        <f>INDEX(FactorTable!$B$2:$Y$301, MATCH(ROUND(MIN(300,MAX(1,D2783)),0), FactorTable!$A$2:$A$301,0), Skills!M10+1)</f>
        <v/>
      </c>
      <c r="F2783">
        <f>IF(Skills!N10=TRUE,(Skills!L10/10)*(E2783/1000),Skills!L10/10)+Skills!O10</f>
        <v/>
      </c>
      <c r="G2783">
        <f>Skills!G10*IF(Skills!H10&gt;0,Skills!I10/Skills!H10,1)</f>
        <v/>
      </c>
      <c r="H2783">
        <f>1-(1-Skills!J10/100)^Skills!K10</f>
        <v/>
      </c>
      <c r="I2783" t="inlineStr">
        <is>
          <t>1</t>
        </is>
      </c>
      <c r="J2783">
        <f>((Inputs!$B$6*(1+Inputs!$B$7/100))+(((Inputs!$B$12*(1+Inputs!$B$13/100))-(Inputs!$B$12*(1+Inputs!$B$13/100)))+0.25*(Inputs!$B$14-Inputs!$B$14))*(1+Inputs!$B$7/100))*(F2783/100)</f>
        <v/>
      </c>
      <c r="K2783">
        <f>J2783*(1+((Inputs!$B$12*(1+Inputs!$B$13/100))*0.01+Inputs!$B$14*0.0025)/100)*(1+Inputs!$B$15/100)*(1+Inputs!$B$16/100)*(5000/(6000+Inputs!$B$42*(1-(100*(1-(1-(Inputs!$B$19+0)/100)*(1-CHOOSE(ArtifactsInput!$N$40+1,5,6,7,8,9,10)/100)^(ArtifactsInput!$M$40-ArtifactsInput!$M$40)))/100)))*(1+(Inputs!$B$24+((C2798=TRUE)*(F2798-Calc!F25))+B2808)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2785=TRUE,F2785,0)/100)*(1+IF(Skills!A10="ENHANCED_RAGING_BLOW",IF(Inputs!$B$3&gt;=134,MAX(0,IF(Inputs!$B$3&gt;=110,7,5)-5)*50,0),0)/100)*(1+(IF(Skills!A10="RAGING_BLOW",Inputs!$B$17+((C2794=TRUE)*(F2794-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2796=TRUE)*(F2796-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2786=TRUE)*F2786*IF(Inputs!$B$3&gt;=110,7,5))+((C2788=TRUE)*F2788*IF(AND(Inputs!$B$38&lt;&gt;"pvp",Inputs!$B$43&gt;0),(((R2788-1)*(Skills!T15*(1+(Inputs!$B$34+(ArtifactsInput!$M$7-ArtifactsInput!$M$7)*CHOOSE(ArtifactsInput!$N$7+1,6,7.2,8.4,9.6,10.8,12))/100))+MIN((Skills!T15*(1+(Inputs!$B$34+(ArtifactsInput!$M$7-ArtifactsInput!$M$7)*CHOOSE(ArtifactsInput!$N$7+1,6,7.2,8.4,9.6,10.8,12))/100)),MAX(0,Inputs!$B$43-((R2788-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Hunt"),CHOOSE(ArtifactsInput!$N$35+1,15,18,21,24,27,30)*(1-EXP(-(0.2*B2804)*5)),0)+IF(AND(ArtifactsInput!$M$22,Inputs!$B$4&lt;&gt;"Chapter Hunt"),CHOOSE(ArtifactsInput!$N$22+1,10,12,14,16,18,20)*((0*(((0.15*B2804*5))^0/1)+1*(((0.15*B2804*5))^1/1)+2*(((0.15*B2804*5))^2/2)+3*(((0.15*B2804*5))^3/6)+4*(((0.15*B2804*5))^4/24)+5*(((0.15*B2804*5))^5/120))/((((0.15*B2804*5))^0/1)+(((0.15*B2804*5))^1/1)+(((0.15*B2804*5))^2/2)+(((0.15*B2804*5))^3/6)+(((0.15*B2804*5))^4/24)+(((0.15*B2804*5))^5/120))),0)))/100)*I2783)</f>
        <v/>
      </c>
      <c r="L2783">
        <f>K2783*(MIN(Inputs!$B$22+((C2795=TRUE)*(F2795-Calc!F22)),(Inputs!$B$23+((C2797=TRUE)*(F2797-Calc!F24))+(IF(ArtifactsInput!$M$15,CHOOSE(ArtifactsInput!$N$15+1,25,30,35,40,45,50)/100*(Inputs!$B$11-Inputs!$B$11),0))))/100+(Inputs!$B$23+((C2797=TRUE)*(F2797-Calc!F24))+(IF(ArtifactsInput!$M$15,CHOOSE(ArtifactsInput!$N$15+1,25,30,35,40,45,50)/100*(Inputs!$B$11-Inputs!$B$11),0)))/100)/2</f>
        <v/>
      </c>
      <c r="M2783">
        <f>L2783*(1+(Inputs!$B$10+0+B2807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3">
        <f>L2783*(1-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2783*(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3">
        <f>(1-Summary!$B$11)*T2783+Summary!$B$11*V2783</f>
        <v/>
      </c>
      <c r="P2783">
        <f>IF(B2812=0,0,O2783/B2812)</f>
        <v/>
      </c>
      <c r="Q2783">
        <f>IFERROR(1/(IF(Inputs!$B$38="pvp",15,MAX(0.1,Skills!D10-IF(Skills!E10=TRUE,1.5,0)))*(1-IF(AND(ArtifactsInput!$M$27,Inputs!$B$4="Chapter Hunt"),CHOOSE(ArtifactsInput!$N$27+1,20,24,28,32,36,40),0)/100)),0)</f>
        <v/>
      </c>
      <c r="R2783">
        <f>IF(AND(Inputs!$B$38&lt;&gt;"pvp",Inputs!$B$43&gt;0),IF(MAX(0,Inputs!$B$43-B2809)&lt;=0,0,(INT(MAX(0,Inputs!$B$43-B2809)/(IF(Inputs!$B$38="pvp",15,MAX(0.1,Skills!D10-IF(Skills!E10=TRUE,1.5,0)))*(1-IF(AND(ArtifactsInput!$M$27,Inputs!$B$4="Chapter Hunt"),CHOOSE(ArtifactsInput!$N$27+1,20,24,28,32,36,40),0)/100)))+1)),0)</f>
        <v/>
      </c>
      <c r="S2783">
        <f>IFERROR(O2783/N2783,0)</f>
        <v/>
      </c>
      <c r="T2783">
        <f>IF(C2783,(H2783*N2783*IF(AND(Inputs!$B$38&lt;&gt;"pvp",Inputs!$B$43&gt;0),((Skills!G10*((R2783-1)*IF(Skills!H10&gt;0,Skills!I10/Skills!H10,1)+IF(Skills!H10&gt;0,MIN(Skills!I10,MAX(0,MAX(0,Inputs!$B$43-B2809)-((R2783-1)*(IF(Inputs!$B$38="pvp",15,MAX(0.1,Skills!D10-IF(Skills!E10=TRUE,1.5,0)))*(1-IF(AND(ArtifactsInput!$M$27,Inputs!$B$4="Chapter Hunt"),CHOOSE(ArtifactsInput!$N$27+1,20,24,28,32,36,40),0)/100)))))/Skills!H10,1)))/Inputs!$B$43),G2783*Q2783)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2783*(1-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2783*(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2783*(1-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2783*(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3">
        <f>IF(C2783,(H2783*N2783*IF(AND(Inputs!$B$38&lt;&gt;"pvp",Inputs!$B$43&gt;0),((Skills!G10*((R2783-1)*IF(Skills!H10&gt;0,Skills!I10/Skills!H10,1)+IF(Skills!H10&gt;0,MIN(Skills!I10,MAX(0,MAX(0,Inputs!$B$43-B2809)-((R2783-1)*(IF(Inputs!$B$38="pvp",15,MAX(0.1,Skills!D10-IF(Skills!E10=TRUE,1.5,0)))*(1-IF(AND(ArtifactsInput!$M$27,Inputs!$B$4="Chapter Hunt"),CHOOSE(ArtifactsInput!$N$27+1,20,24,28,32,36,40),0)/100)))))/Skills!H10,1)))/Inputs!$B$43),G2783*Q2783)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4">
      <c r="A2784">
        <f>Skills!A11</f>
        <v/>
      </c>
      <c r="B2784">
        <f>Skills!B11</f>
        <v/>
      </c>
      <c r="C2784">
        <f>Inputs!$B$3&gt;=35</f>
        <v/>
      </c>
      <c r="D2784">
        <f>IF(Skills!C11=1,60+Inputs!$B$25+Inputs!$B$29,IF(Skills!C11=2,90+Inputs!$B$26+Inputs!$B$29,IF(Skills!C11=3,120+Inputs!$B$27+Inputs!$B$29,MAX(0,(Inputs!$B$3-100)*3)+Inputs!$B$28+Inputs!$B$29)))</f>
        <v/>
      </c>
      <c r="E2784">
        <f>INDEX(FactorTable!$B$2:$Y$301, MATCH(ROUND(MIN(300,MAX(1,D2784)),0), FactorTable!$A$2:$A$301,0), Skills!M11+1)</f>
        <v/>
      </c>
      <c r="F2784">
        <f>IF(Skills!N11=TRUE,(Skills!L11/10)*(E2784/1000),Skills!L11/10)+Skills!O11</f>
        <v/>
      </c>
      <c r="G2784">
        <f>Skills!G11*IF(Skills!H11&gt;0,Skills!I11/Skills!H11,1)</f>
        <v/>
      </c>
      <c r="H2784">
        <f>1-(1-Skills!J11/100)^Skills!K11</f>
        <v/>
      </c>
      <c r="I2784" t="inlineStr">
        <is>
          <t>1</t>
        </is>
      </c>
      <c r="J2784">
        <f>((Inputs!$B$6*(1+Inputs!$B$7/100))+(((Inputs!$B$12*(1+Inputs!$B$13/100))-(Inputs!$B$12*(1+Inputs!$B$13/100)))+0.25*(Inputs!$B$14-Inputs!$B$14))*(1+Inputs!$B$7/100))*(F2784/100)</f>
        <v/>
      </c>
      <c r="K2784">
        <f>J2784*(1+((Inputs!$B$12*(1+Inputs!$B$13/100))*0.01+Inputs!$B$14*0.0025)/100)*(1+Inputs!$B$15/100)*(1+Inputs!$B$16/100)*(5000/(6000+Inputs!$B$42*(1-(100*(1-(1-(Inputs!$B$19+0)/100)*(1-CHOOSE(ArtifactsInput!$N$40+1,5,6,7,8,9,10)/100)^(ArtifactsInput!$M$40-ArtifactsInput!$M$40)))/100)))*(1+(Inputs!$B$24+((C2798=TRUE)*(F2798-Calc!F25))+B2808)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2785=TRUE,F2785,0)/100)*(1+IF(Skills!A11="ENHANCED_RAGING_BLOW",IF(Inputs!$B$3&gt;=134,MAX(0,IF(Inputs!$B$3&gt;=110,7,5)-5)*50,0),0)/100)*(1+(IF(Skills!A11="RAGING_BLOW",Inputs!$B$17+((C2794=TRUE)*(F2794-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2796=TRUE)*(F2796-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2786=TRUE)*F2786*IF(Inputs!$B$3&gt;=110,7,5))+((C2788=TRUE)*F2788*IF(AND(Inputs!$B$38&lt;&gt;"pvp",Inputs!$B$43&gt;0),(((R2788-1)*(Skills!T15*(1+(Inputs!$B$34+(ArtifactsInput!$M$7-ArtifactsInput!$M$7)*CHOOSE(ArtifactsInput!$N$7+1,6,7.2,8.4,9.6,10.8,12))/100))+MIN((Skills!T15*(1+(Inputs!$B$34+(ArtifactsInput!$M$7-ArtifactsInput!$M$7)*CHOOSE(ArtifactsInput!$N$7+1,6,7.2,8.4,9.6,10.8,12))/100)),MAX(0,Inputs!$B$43-((R2788-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Hunt"),CHOOSE(ArtifactsInput!$N$35+1,15,18,21,24,27,30)*(1-EXP(-(0.2*B2804)*5)),0)+IF(AND(ArtifactsInput!$M$22,Inputs!$B$4&lt;&gt;"Chapter Hunt"),CHOOSE(ArtifactsInput!$N$22+1,10,12,14,16,18,20)*((0*(((0.15*B2804*5))^0/1)+1*(((0.15*B2804*5))^1/1)+2*(((0.15*B2804*5))^2/2)+3*(((0.15*B2804*5))^3/6)+4*(((0.15*B2804*5))^4/24)+5*(((0.15*B2804*5))^5/120))/((((0.15*B2804*5))^0/1)+(((0.15*B2804*5))^1/1)+(((0.15*B2804*5))^2/2)+(((0.15*B2804*5))^3/6)+(((0.15*B2804*5))^4/24)+(((0.15*B2804*5))^5/120))),0)))/100)*I2784)</f>
        <v/>
      </c>
      <c r="L2784">
        <f>K2784*(MIN(Inputs!$B$22+((C2795=TRUE)*(F2795-Calc!F22)),(Inputs!$B$23+((C2797=TRUE)*(F2797-Calc!F24))+(IF(ArtifactsInput!$M$15,CHOOSE(ArtifactsInput!$N$15+1,25,30,35,40,45,50)/100*(Inputs!$B$11-Inputs!$B$11),0))))/100+(Inputs!$B$23+((C2797=TRUE)*(F2797-Calc!F24))+(IF(ArtifactsInput!$M$15,CHOOSE(ArtifactsInput!$N$15+1,25,30,35,40,45,50)/100*(Inputs!$B$11-Inputs!$B$11),0)))/100)/2</f>
        <v/>
      </c>
      <c r="M2784">
        <f>L2784*(1+(Inputs!$B$10+0+B2807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4">
        <f>L2784*(1-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2784*(MIN((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4">
        <f>(1-Summary!$B$11)*T2784+Summary!$B$11*V2784</f>
        <v/>
      </c>
      <c r="P2784">
        <f>IF(B2812=0,0,O2784/B2812)</f>
        <v/>
      </c>
      <c r="Q2784">
        <f>IFERROR(1/(IF(Inputs!$B$38="pvp",15,MAX(0.1,Skills!D11-IF(Skills!E11=TRUE,1.5,0)))*(1-IF(AND(ArtifactsInput!$M$27,Inputs!$B$4="Chapter Hunt"),CHOOSE(ArtifactsInput!$N$27+1,20,24,28,32,36,40),0)/100)),0)</f>
        <v/>
      </c>
      <c r="R2784">
        <f>IF(AND(Inputs!$B$38&lt;&gt;"pvp",Inputs!$B$43&gt;0),IF(MAX(0,Inputs!$B$43-B2809)&lt;=0,0,(INT(MAX(0,Inputs!$B$43-B2809)/(IF(Inputs!$B$38="pvp",15,MAX(0.1,Skills!D11-IF(Skills!E11=TRUE,1.5,0)))*(1-IF(AND(ArtifactsInput!$M$27,Inputs!$B$4="Chapter Hunt"),CHOOSE(ArtifactsInput!$N$27+1,20,24,28,32,36,40),0)/100)))+1)),0)</f>
        <v/>
      </c>
      <c r="S2784">
        <f>IFERROR(O2784/N2784,0)</f>
        <v/>
      </c>
      <c r="T2784">
        <f>IF(C2784,(H2784*N2784*IF(AND(Inputs!$B$38&lt;&gt;"pvp",Inputs!$B$43&gt;0),((Skills!G11*((R2784-1)*IF(Skills!H11&gt;0,Skills!I11/Skills!H11,1)+IF(Skills!H11&gt;0,MIN(Skills!I11,MAX(0,MAX(0,Inputs!$B$43-B2809)-((R2784-1)*(IF(Inputs!$B$38="pvp",15,MAX(0.1,Skills!D11-IF(Skills!E11=TRUE,1.5,0)))*(1-IF(AND(ArtifactsInput!$M$27,Inputs!$B$4="Chapter Hunt"),CHOOSE(ArtifactsInput!$N$27+1,20,24,28,32,36,40),0)/100)))))/Skills!H11,1)))/Inputs!$B$43),G2784*Q2784)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2784*(1-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2784*(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2784*(1-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2784*(MIN(100,(Inputs!$B$9+((C2799=TRUE)*(F2799-Calc!F26))+B2802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4">
        <f>IF(C2784,(H2784*N2784*IF(AND(Inputs!$B$38&lt;&gt;"pvp",Inputs!$B$43&gt;0),((Skills!G11*((R2784-1)*IF(Skills!H11&gt;0,Skills!I11/Skills!H11,1)+IF(Skills!H11&gt;0,MIN(Skills!I11,MAX(0,MAX(0,Inputs!$B$43-B2809)-((R2784-1)*(IF(Inputs!$B$38="pvp",15,MAX(0.1,Skills!D11-IF(Skills!E11=TRUE,1.5,0)))*(1-IF(AND(ArtifactsInput!$M$27,Inputs!$B$4="Chapter Hunt"),CHOOSE(ArtifactsInput!$N$27+1,20,24,28,32,36,40),0)/100)))))/Skills!H11,1)))/Inputs!$B$43),G2784*Q2784)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5">
      <c r="A2785">
        <f>Skills!A12</f>
        <v/>
      </c>
      <c r="B2785">
        <f>Skills!B12</f>
        <v/>
      </c>
      <c r="C2785">
        <f>Inputs!$B$3&gt;=100</f>
        <v/>
      </c>
      <c r="D2785">
        <f>IF(Skills!C12=1,60+Inputs!$B$25+Inputs!$B$29,IF(Skills!C12=2,90+Inputs!$B$26+Inputs!$B$29,IF(Skills!C12=3,120+Inputs!$B$27+Inputs!$B$29,MAX(0,(Inputs!$B$3-100)*3)+Inputs!$B$28+Inputs!$B$29)))</f>
        <v/>
      </c>
      <c r="E2785">
        <f>INDEX(FactorTable!$B$2:$Y$301, MATCH(ROUND(MIN(300,MAX(1,D2785)),0), FactorTable!$A$2:$A$301,0), Skills!M12+1)</f>
        <v/>
      </c>
      <c r="F2785">
        <f>IF(Skills!N12=TRUE,(Skills!L12/10)*(E2785/1000),Skills!L12/10)+Skills!O12</f>
        <v/>
      </c>
      <c r="G2785" t="inlineStr"/>
      <c r="H2785" t="inlineStr"/>
      <c r="I2785" t="inlineStr">
        <is>
          <t>1</t>
        </is>
      </c>
      <c r="J2785" t="inlineStr"/>
      <c r="K2785" t="inlineStr"/>
      <c r="L2785" t="inlineStr"/>
      <c r="M2785" t="inlineStr"/>
      <c r="N2785" t="inlineStr"/>
      <c r="O2785" t="inlineStr"/>
      <c r="P2785" t="inlineStr"/>
      <c r="Q2785" t="inlineStr"/>
      <c r="R2785" t="inlineStr"/>
      <c r="S2785" t="inlineStr"/>
    </row>
    <row r="2786">
      <c r="A2786">
        <f>Skills!A13</f>
        <v/>
      </c>
      <c r="B2786">
        <f>Skills!B13</f>
        <v/>
      </c>
      <c r="C2786">
        <f>Inputs!$B$3&gt;=45</f>
        <v/>
      </c>
      <c r="D2786">
        <f>IF(Skills!C13=1,60+Inputs!$B$25+Inputs!$B$29,IF(Skills!C13=2,90+Inputs!$B$26+Inputs!$B$29,IF(Skills!C13=3,120+Inputs!$B$27+Inputs!$B$29,MAX(0,(Inputs!$B$3-100)*3)+Inputs!$B$28+Inputs!$B$29)))</f>
        <v/>
      </c>
      <c r="E2786">
        <f>INDEX(FactorTable!$B$2:$Y$301, MATCH(ROUND(MIN(300,MAX(1,D2786)),0), FactorTable!$A$2:$A$301,0), Skills!M13+1)</f>
        <v/>
      </c>
      <c r="F2786">
        <f>IF(Skills!N13=TRUE,(Skills!L13/10)*(E2786/1000),Skills!L13/10)+Skills!O13</f>
        <v/>
      </c>
      <c r="G2786">
        <f>Skills!G13*IF(Skills!H13&gt;0,Skills!I13/Skills!H13,1)</f>
        <v/>
      </c>
      <c r="H2786">
        <f>1-(1-Skills!J13/100)^Skills!K13</f>
        <v/>
      </c>
      <c r="I2786" t="inlineStr">
        <is>
          <t>1</t>
        </is>
      </c>
      <c r="J2786" t="inlineStr"/>
      <c r="K2786" t="inlineStr"/>
      <c r="L2786" t="inlineStr"/>
      <c r="M2786" t="inlineStr"/>
      <c r="N2786" t="inlineStr"/>
      <c r="O2786">
        <f>(1-Summary!$B$11)*T2786+Summary!$B$11*V2786</f>
        <v/>
      </c>
      <c r="P2786">
        <f>IF(B2812=0,0,O2786/B2812)</f>
        <v/>
      </c>
      <c r="Q2786" t="n">
        <v>0</v>
      </c>
      <c r="R2786" t="n">
        <v>0</v>
      </c>
      <c r="S2786">
        <f>IFERROR(O2786/N2786,0)</f>
        <v/>
      </c>
      <c r="T2786" t="n">
        <v>0</v>
      </c>
      <c r="V2786" t="n">
        <v>0</v>
      </c>
    </row>
    <row r="2787">
      <c r="A2787">
        <f>Skills!A14</f>
        <v/>
      </c>
      <c r="B2787">
        <f>Skills!B14</f>
        <v/>
      </c>
      <c r="C2787">
        <f>Inputs!$B$3&gt;=75</f>
        <v/>
      </c>
      <c r="D2787">
        <f>IF(Skills!C14=1,60+Inputs!$B$25+Inputs!$B$29,IF(Skills!C14=2,90+Inputs!$B$26+Inputs!$B$29,IF(Skills!C14=3,120+Inputs!$B$27+Inputs!$B$29,MAX(0,(Inputs!$B$3-100)*3)+Inputs!$B$28+Inputs!$B$29)))</f>
        <v/>
      </c>
      <c r="E2787">
        <f>INDEX(FactorTable!$B$2:$Y$301, MATCH(ROUND(MIN(300,MAX(1,D2787)),0), FactorTable!$A$2:$A$301,0), Skills!M14+1)</f>
        <v/>
      </c>
      <c r="F2787">
        <f>IF(Skills!N14=TRUE,(Skills!L14/10)*(E2787/1000),Skills!L14/10)+Skills!O14</f>
        <v/>
      </c>
      <c r="G2787">
        <f>Skills!G14*IF(Skills!H14&gt;0,Skills!I14/Skills!H14,1)</f>
        <v/>
      </c>
      <c r="H2787">
        <f>1-(1-Skills!J14/100)^Skills!K14</f>
        <v/>
      </c>
      <c r="I2787" t="inlineStr">
        <is>
          <t>1</t>
        </is>
      </c>
      <c r="J2787" t="inlineStr"/>
      <c r="K2787" t="inlineStr"/>
      <c r="L2787" t="inlineStr"/>
      <c r="M2787" t="inlineStr"/>
      <c r="N2787" t="inlineStr"/>
      <c r="O2787">
        <f>(1-Summary!$B$11)*T2787+Summary!$B$11*V2787</f>
        <v/>
      </c>
      <c r="P2787">
        <f>IF(B2812=0,0,O2787/B2812)</f>
        <v/>
      </c>
      <c r="Q2787" t="n">
        <v>0</v>
      </c>
      <c r="R2787" t="n">
        <v>0</v>
      </c>
      <c r="S2787">
        <f>IFERROR(O2787/N2787,0)</f>
        <v/>
      </c>
      <c r="T2787" t="n">
        <v>0</v>
      </c>
      <c r="V2787" t="n">
        <v>0</v>
      </c>
    </row>
    <row r="2788">
      <c r="A2788">
        <f>Skills!A15</f>
        <v/>
      </c>
      <c r="B2788">
        <f>Skills!B15</f>
        <v/>
      </c>
      <c r="C2788">
        <f>Inputs!$B$3&gt;=40</f>
        <v/>
      </c>
      <c r="D2788">
        <f>IF(Skills!C15=1,60+Inputs!$B$25+Inputs!$B$29,IF(Skills!C15=2,90+Inputs!$B$26+Inputs!$B$29,IF(Skills!C15=3,120+Inputs!$B$27+Inputs!$B$29,MAX(0,(Inputs!$B$3-100)*3)+Inputs!$B$28+Inputs!$B$29)))</f>
        <v/>
      </c>
      <c r="E2788">
        <f>INDEX(FactorTable!$B$2:$Y$301, MATCH(ROUND(MIN(300,MAX(1,D2788)),0), FactorTable!$A$2:$A$301,0), Skills!M15+1)</f>
        <v/>
      </c>
      <c r="F2788">
        <f>IF(Skills!N15=TRUE,(Skills!L15/10)*(E2788/1000),Skills!L15/10)+Skills!O15</f>
        <v/>
      </c>
      <c r="G2788">
        <f>Skills!G15*IF(Skills!H15&gt;0,Skills!I15/Skills!H15,1)</f>
        <v/>
      </c>
      <c r="H2788">
        <f>1-(1-Skills!J15/100)^Skills!K15</f>
        <v/>
      </c>
      <c r="I2788" t="inlineStr">
        <is>
          <t>1</t>
        </is>
      </c>
      <c r="J2788" t="inlineStr"/>
      <c r="K2788" t="inlineStr"/>
      <c r="L2788" t="inlineStr"/>
      <c r="M2788" t="inlineStr"/>
      <c r="N2788" t="inlineStr"/>
      <c r="O2788">
        <f>(1-Summary!$B$11)*T2788+Summary!$B$11*V2788</f>
        <v/>
      </c>
      <c r="P2788">
        <f>IF(B2812=0,0,O2788/B2812)</f>
        <v/>
      </c>
      <c r="Q2788">
        <f>IFERROR(1/(IF(Inputs!$B$38="pvp",15,MAX(0.1,Skills!D15-IF(Skills!E15=TRUE,1.5,0)))*(1-IF(AND(ArtifactsInput!$M$27,Inputs!$B$4="Chapter Hunt"),CHOOSE(ArtifactsInput!$N$27+1,20,24,28,32,36,40),0)/100)),0)</f>
        <v/>
      </c>
      <c r="R2788">
        <f>IF(AND(Inputs!$B$38&lt;&gt;"pvp",Inputs!$B$43&gt;0),IF(Inputs!$B$43&lt;=0,0,(INT(Inputs!$B$43/(IF(Inputs!$B$38="pvp",15,MAX(0.1,Skills!D15-IF(Skills!E15=TRUE,1.5,0)))*(1-IF(AND(ArtifactsInput!$M$27,Inputs!$B$4="Chapter Hunt"),CHOOSE(ArtifactsInput!$N$27+1,20,24,28,32,36,40),0)/100)))+1)),0)</f>
        <v/>
      </c>
      <c r="S2788">
        <f>IFERROR(O2788/N2788,0)</f>
        <v/>
      </c>
      <c r="T2788" t="n">
        <v>0</v>
      </c>
      <c r="V2788" t="n">
        <v>0</v>
      </c>
    </row>
    <row r="2789">
      <c r="A2789">
        <f>Skills!A16</f>
        <v/>
      </c>
      <c r="B2789">
        <f>Skills!B16</f>
        <v/>
      </c>
      <c r="C2789">
        <f>Inputs!$B$3&gt;=66</f>
        <v/>
      </c>
      <c r="D2789">
        <f>IF(Skills!C16=1,60+Inputs!$B$25+Inputs!$B$29,IF(Skills!C16=2,90+Inputs!$B$26+Inputs!$B$29,IF(Skills!C16=3,120+Inputs!$B$27+Inputs!$B$29,MAX(0,(Inputs!$B$3-100)*3)+Inputs!$B$28+Inputs!$B$29)))</f>
        <v/>
      </c>
      <c r="E2789">
        <f>INDEX(FactorTable!$B$2:$Y$301, MATCH(ROUND(MIN(300,MAX(1,D2789)),0), FactorTable!$A$2:$A$301,0), Skills!M16+1)</f>
        <v/>
      </c>
      <c r="F2789">
        <f>IF(Skills!N16=TRUE,(Skills!L16/10)*(E2789/1000),Skills!L16/10)+Skills!O16</f>
        <v/>
      </c>
      <c r="G2789">
        <f>Skills!G16*IF(Skills!H16&gt;0,Skills!I16/Skills!H16,1)</f>
        <v/>
      </c>
      <c r="H2789">
        <f>1-(1-Skills!J16/100)^Skills!K16</f>
        <v/>
      </c>
      <c r="I2789" t="inlineStr">
        <is>
          <t>1</t>
        </is>
      </c>
      <c r="J2789" t="inlineStr"/>
      <c r="K2789" t="inlineStr"/>
      <c r="L2789" t="inlineStr"/>
      <c r="M2789" t="inlineStr"/>
      <c r="N2789" t="inlineStr"/>
      <c r="O2789">
        <f>(1-Summary!$B$11)*T2789+Summary!$B$11*V2789</f>
        <v/>
      </c>
      <c r="P2789">
        <f>IF(B2812=0,0,O2789/B2812)</f>
        <v/>
      </c>
      <c r="Q2789">
        <f>IFERROR(1/(IF(Inputs!$B$38="pvp",15,MAX(0.1,Skills!D16-IF(Skills!E16=TRUE,1.5,0)))*(1-IF(AND(ArtifactsInput!$M$27,Inputs!$B$4="Chapter Hunt"),CHOOSE(ArtifactsInput!$N$27+1,20,24,28,32,36,40),0)/100)),0)</f>
        <v/>
      </c>
      <c r="R2789">
        <f>IF(AND(Inputs!$B$38&lt;&gt;"pvp",Inputs!$B$43&gt;0),IF(Inputs!$B$43&lt;=0,0,(INT(Inputs!$B$43/(IF(Inputs!$B$38="pvp",15,MAX(0.1,Skills!D16-IF(Skills!E16=TRUE,1.5,0)))*(1-IF(AND(ArtifactsInput!$M$27,Inputs!$B$4="Chapter Hunt"),CHOOSE(ArtifactsInput!$N$27+1,20,24,28,32,36,40),0)/100)))+1)),0)</f>
        <v/>
      </c>
      <c r="S2789">
        <f>IFERROR(O2789/N2789,0)</f>
        <v/>
      </c>
      <c r="T2789" t="n">
        <v>0</v>
      </c>
      <c r="V2789" t="n">
        <v>0</v>
      </c>
    </row>
    <row r="2790">
      <c r="A2790">
        <f>Skills!A17</f>
        <v/>
      </c>
      <c r="B2790">
        <f>Skills!B17</f>
        <v/>
      </c>
      <c r="C2790">
        <f>Inputs!$B$3&gt;=115</f>
        <v/>
      </c>
      <c r="D2790">
        <f>IF(Skills!C17=1,60+Inputs!$B$25+Inputs!$B$29,IF(Skills!C17=2,90+Inputs!$B$26+Inputs!$B$29,IF(Skills!C17=3,120+Inputs!$B$27+Inputs!$B$29,MAX(0,(Inputs!$B$3-100)*3)+Inputs!$B$28+Inputs!$B$29)))</f>
        <v/>
      </c>
      <c r="E2790">
        <f>INDEX(FactorTable!$B$2:$Y$301, MATCH(ROUND(MIN(300,MAX(1,D2790)),0), FactorTable!$A$2:$A$301,0), Skills!M17+1)</f>
        <v/>
      </c>
      <c r="F2790">
        <f>IF(Skills!N17=TRUE,(Skills!L17/10)*(E2790/1000),Skills!L17/10)+Skills!O17</f>
        <v/>
      </c>
      <c r="G2790">
        <f>Skills!G17*IF(Skills!H17&gt;0,Skills!I17/Skills!H17,1)</f>
        <v/>
      </c>
      <c r="H2790">
        <f>1-(1-Skills!J17/100)^Skills!K17</f>
        <v/>
      </c>
      <c r="I2790" t="inlineStr">
        <is>
          <t>1</t>
        </is>
      </c>
      <c r="J2790" t="inlineStr"/>
      <c r="K2790" t="inlineStr"/>
      <c r="L2790" t="inlineStr"/>
      <c r="M2790" t="inlineStr"/>
      <c r="N2790" t="inlineStr"/>
      <c r="O2790">
        <f>(1-Summary!$B$11)*T2790+Summary!$B$11*V2790</f>
        <v/>
      </c>
      <c r="P2790">
        <f>IF(B2812=0,0,O2790/B2812)</f>
        <v/>
      </c>
      <c r="Q2790">
        <f>IFERROR(1/(IF(Inputs!$B$38="pvp",15,MAX(0.1,Skills!D17-IF(Skills!E17=TRUE,1.5,0)))*(1-IF(AND(ArtifactsInput!$M$27,Inputs!$B$4="Chapter Hunt"),CHOOSE(ArtifactsInput!$N$27+1,20,24,28,32,36,40),0)/100)),0)</f>
        <v/>
      </c>
      <c r="R2790">
        <f>IF(AND(Inputs!$B$38&lt;&gt;"pvp",Inputs!$B$43&gt;0),IF(Inputs!$B$43&lt;=0,0,(INT(Inputs!$B$43/(IF(Inputs!$B$38="pvp",15,MAX(0.1,Skills!D17-IF(Skills!E17=TRUE,1.5,0)))*(1-IF(AND(ArtifactsInput!$M$27,Inputs!$B$4="Chapter Hunt"),CHOOSE(ArtifactsInput!$N$27+1,20,24,28,32,36,40),0)/100)))+1)),0)</f>
        <v/>
      </c>
      <c r="S2790">
        <f>IFERROR(O2790/N2790,0)</f>
        <v/>
      </c>
      <c r="T2790" t="n">
        <v>0</v>
      </c>
      <c r="V2790" t="n">
        <v>0</v>
      </c>
    </row>
    <row r="2791">
      <c r="A2791">
        <f>Skills!A18</f>
        <v/>
      </c>
      <c r="B2791">
        <f>Skills!B18</f>
        <v/>
      </c>
      <c r="C2791">
        <f>Inputs!$B$3&gt;=115</f>
        <v/>
      </c>
      <c r="D2791">
        <f>IF(Skills!C18=1,60+Inputs!$B$25+Inputs!$B$29,IF(Skills!C18=2,90+Inputs!$B$26+Inputs!$B$29,IF(Skills!C18=3,120+Inputs!$B$27+Inputs!$B$29,MAX(0,(Inputs!$B$3-100)*3)+Inputs!$B$28+Inputs!$B$29)))</f>
        <v/>
      </c>
      <c r="E2791">
        <f>INDEX(FactorTable!$B$2:$Y$301, MATCH(ROUND(MIN(300,MAX(1,D2791)),0), FactorTable!$A$2:$A$301,0), Skills!M18+1)</f>
        <v/>
      </c>
      <c r="F2791">
        <f>IF(Skills!N18=TRUE,(Skills!L18/10)*(E2791/1000),Skills!L18/10)+Skills!O18</f>
        <v/>
      </c>
      <c r="G2791">
        <f>Skills!G18*IF(Skills!H18&gt;0,Skills!I18/Skills!H18,1)</f>
        <v/>
      </c>
      <c r="H2791">
        <f>1-(1-Skills!J18/100)^Skills!K18</f>
        <v/>
      </c>
      <c r="I2791" t="inlineStr">
        <is>
          <t>1</t>
        </is>
      </c>
      <c r="J2791" t="inlineStr"/>
      <c r="K2791" t="inlineStr"/>
      <c r="L2791" t="inlineStr"/>
      <c r="M2791" t="inlineStr"/>
      <c r="N2791" t="inlineStr"/>
      <c r="O2791">
        <f>(1-Summary!$B$11)*T2791+Summary!$B$11*V2791</f>
        <v/>
      </c>
      <c r="P2791">
        <f>IF(B2812=0,0,O2791/B2812)</f>
        <v/>
      </c>
      <c r="Q2791">
        <f>IFERROR(1/(IF(Inputs!$B$38="pvp",15,MAX(0.1,Skills!D18-IF(Skills!E18=TRUE,1.5,0)))*(1-IF(AND(ArtifactsInput!$M$27,Inputs!$B$4="Chapter Hunt"),CHOOSE(ArtifactsInput!$N$27+1,20,24,28,32,36,40),0)/100)),0)</f>
        <v/>
      </c>
      <c r="R2791">
        <f>IF(AND(Inputs!$B$38&lt;&gt;"pvp",Inputs!$B$43&gt;0),IF(Inputs!$B$43&lt;=0,0,(INT(Inputs!$B$43/(IF(Inputs!$B$38="pvp",15,MAX(0.1,Skills!D18-IF(Skills!E18=TRUE,1.5,0)))*(1-IF(AND(ArtifactsInput!$M$27,Inputs!$B$4="Chapter Hunt"),CHOOSE(ArtifactsInput!$N$27+1,20,24,28,32,36,40),0)/100)))+1)),0)</f>
        <v/>
      </c>
      <c r="S2791">
        <f>IFERROR(O2791/N2791,0)</f>
        <v/>
      </c>
      <c r="T2791" t="n">
        <v>0</v>
      </c>
      <c r="V2791" t="n">
        <v>0</v>
      </c>
    </row>
    <row r="2792">
      <c r="A2792">
        <f>Skills!A19</f>
        <v/>
      </c>
      <c r="B2792">
        <f>Skills!B19</f>
        <v/>
      </c>
      <c r="C2792">
        <f>TRUE</f>
        <v/>
      </c>
      <c r="D2792">
        <f>IF(Skills!C19=1,60+Inputs!$B$25+Inputs!$B$29,IF(Skills!C19=2,90+Inputs!$B$26+Inputs!$B$29,IF(Skills!C19=3,120+Inputs!$B$27+Inputs!$B$29,MAX(0,(Inputs!$B$3-100)*3)+Inputs!$B$28+Inputs!$B$29)))</f>
        <v/>
      </c>
      <c r="E2792">
        <f>INDEX(FactorTable!$B$2:$Y$301, MATCH(ROUND(MIN(300,MAX(1,D2792)),0), FactorTable!$A$2:$A$301,0), Skills!M19+1)</f>
        <v/>
      </c>
      <c r="F2792">
        <f>IF(Skills!N19=TRUE,(Skills!L19/10)*(E2792/1000),Skills!L19/10)+Skills!O19</f>
        <v/>
      </c>
      <c r="G2792">
        <f>Skills!G19*IF(Skills!H19&gt;0,Skills!I19/Skills!H19,1)</f>
        <v/>
      </c>
      <c r="H2792">
        <f>1-(1-Skills!J19/100)^Skills!K19</f>
        <v/>
      </c>
      <c r="I2792" t="inlineStr">
        <is>
          <t>1</t>
        </is>
      </c>
      <c r="J2792" t="inlineStr"/>
      <c r="K2792" t="inlineStr"/>
      <c r="L2792" t="inlineStr"/>
      <c r="M2792" t="inlineStr"/>
      <c r="N2792" t="inlineStr"/>
      <c r="O2792">
        <f>(1-Summary!$B$11)*T2792+Summary!$B$11*V2792</f>
        <v/>
      </c>
      <c r="P2792">
        <f>IF(B2812=0,0,O2792/B2812)</f>
        <v/>
      </c>
      <c r="Q2792">
        <f>IFERROR(1/(IF(Inputs!$B$38="pvp",15,MAX(0.1,Skills!D19-IF(Skills!E19=TRUE,1.5,0)))*(1-IF(AND(ArtifactsInput!$M$27,Inputs!$B$4="Chapter Hunt"),CHOOSE(ArtifactsInput!$N$27+1,20,24,28,32,36,40),0)/100)),0)</f>
        <v/>
      </c>
      <c r="R2792">
        <f>IF(AND(Inputs!$B$38&lt;&gt;"pvp",Inputs!$B$43&gt;0),IF(Inputs!$B$43&lt;=0,0,(INT(Inputs!$B$43/(IF(Inputs!$B$38="pvp",15,MAX(0.1,Skills!D19-IF(Skills!E19=TRUE,1.5,0)))*(1-IF(AND(ArtifactsInput!$M$27,Inputs!$B$4="Chapter Hunt"),CHOOSE(ArtifactsInput!$N$27+1,20,24,28,32,36,40),0)/100)))+1)),0)</f>
        <v/>
      </c>
      <c r="S2792">
        <f>IFERROR(O2792/N2792,0)</f>
        <v/>
      </c>
      <c r="T2792" t="n">
        <v>0</v>
      </c>
      <c r="V2792" t="n">
        <v>0</v>
      </c>
    </row>
    <row r="2793">
      <c r="A2793">
        <f>Skills!A20</f>
        <v/>
      </c>
      <c r="B2793">
        <f>Skills!B20</f>
        <v/>
      </c>
      <c r="C2793">
        <f>Inputs!$B$3&gt;=33</f>
        <v/>
      </c>
      <c r="D2793">
        <f>IF(Skills!C20=1,60+Inputs!$B$25+Inputs!$B$29,IF(Skills!C20=2,90+Inputs!$B$26+Inputs!$B$29,IF(Skills!C20=3,120+Inputs!$B$27+Inputs!$B$29,MAX(0,(Inputs!$B$3-100)*3)+Inputs!$B$28+Inputs!$B$29)))</f>
        <v/>
      </c>
      <c r="E2793">
        <f>INDEX(FactorTable!$B$2:$Y$301, MATCH(ROUND(MIN(300,MAX(1,D2793)),0), FactorTable!$A$2:$A$301,0), Skills!M20+1)</f>
        <v/>
      </c>
      <c r="F2793">
        <f>IF(Skills!N20=TRUE,(Skills!L20/10)*(E2793/1000),Skills!L20/10)+Skills!O20</f>
        <v/>
      </c>
      <c r="G2793">
        <f>Skills!G20*IF(Skills!H20&gt;0,Skills!I20/Skills!H20,1)</f>
        <v/>
      </c>
      <c r="H2793">
        <f>1-(1-Skills!J20/100)^Skills!K20</f>
        <v/>
      </c>
      <c r="I2793" t="inlineStr">
        <is>
          <t>1</t>
        </is>
      </c>
      <c r="J2793" t="inlineStr"/>
      <c r="K2793" t="inlineStr"/>
      <c r="L2793" t="inlineStr"/>
      <c r="M2793" t="inlineStr"/>
      <c r="N2793" t="inlineStr"/>
      <c r="O2793">
        <f>(1-Summary!$B$11)*T2793+Summary!$B$11*V2793</f>
        <v/>
      </c>
      <c r="P2793">
        <f>IF(B2812=0,0,O2793/B2812)</f>
        <v/>
      </c>
      <c r="Q2793" t="n">
        <v>0</v>
      </c>
      <c r="R2793" t="n">
        <v>0</v>
      </c>
      <c r="S2793">
        <f>IFERROR(O2793/N2793,0)</f>
        <v/>
      </c>
      <c r="T2793" t="n">
        <v>0</v>
      </c>
      <c r="V2793" t="n">
        <v>0</v>
      </c>
    </row>
    <row r="2794">
      <c r="A2794">
        <f>Skills!A21</f>
        <v/>
      </c>
      <c r="B2794">
        <f>Skills!B21</f>
        <v/>
      </c>
      <c r="C2794">
        <f>Inputs!$B$3&gt;=38</f>
        <v/>
      </c>
      <c r="D2794">
        <f>IF(Skills!C21=1,60+Inputs!$B$25+Inputs!$B$29,IF(Skills!C21=2,90+Inputs!$B$26+Inputs!$B$29,IF(Skills!C21=3,120+Inputs!$B$27+Inputs!$B$29,MAX(0,(Inputs!$B$3-100)*3)+Inputs!$B$28+Inputs!$B$29)))</f>
        <v/>
      </c>
      <c r="E2794">
        <f>INDEX(FactorTable!$B$2:$Y$301, MATCH(ROUND(MIN(300,MAX(1,D2794)),0), FactorTable!$A$2:$A$301,0), Skills!M21+1)</f>
        <v/>
      </c>
      <c r="F2794">
        <f>IF(Skills!N21=TRUE,(Skills!L21/10)*(E2794/1000),Skills!L21/10)+Skills!O21</f>
        <v/>
      </c>
      <c r="G2794">
        <f>Skills!G21*IF(Skills!H21&gt;0,Skills!I21/Skills!H21,1)</f>
        <v/>
      </c>
      <c r="H2794">
        <f>1-(1-Skills!J21/100)^Skills!K21</f>
        <v/>
      </c>
      <c r="I2794" t="inlineStr">
        <is>
          <t>1</t>
        </is>
      </c>
      <c r="J2794" t="inlineStr"/>
      <c r="K2794" t="inlineStr"/>
      <c r="L2794" t="inlineStr"/>
      <c r="M2794" t="inlineStr"/>
      <c r="N2794" t="inlineStr"/>
      <c r="O2794">
        <f>(1-Summary!$B$11)*T2794+Summary!$B$11*V2794</f>
        <v/>
      </c>
      <c r="P2794">
        <f>IF(B2812=0,0,O2794/B2812)</f>
        <v/>
      </c>
      <c r="Q2794" t="n">
        <v>0</v>
      </c>
      <c r="R2794" t="n">
        <v>0</v>
      </c>
      <c r="S2794">
        <f>IFERROR(O2794/N2794,0)</f>
        <v/>
      </c>
      <c r="T2794" t="n">
        <v>0</v>
      </c>
      <c r="V2794" t="n">
        <v>0</v>
      </c>
    </row>
    <row r="2795">
      <c r="A2795">
        <f>Skills!A22</f>
        <v/>
      </c>
      <c r="B2795">
        <f>Skills!B22</f>
        <v/>
      </c>
      <c r="C2795">
        <f>Inputs!$B$3&gt;=43</f>
        <v/>
      </c>
      <c r="D2795">
        <f>IF(Skills!C22=1,60+Inputs!$B$25+Inputs!$B$29,IF(Skills!C22=2,90+Inputs!$B$26+Inputs!$B$29,IF(Skills!C22=3,120+Inputs!$B$27+Inputs!$B$29,MAX(0,(Inputs!$B$3-100)*3)+Inputs!$B$28+Inputs!$B$29)))</f>
        <v/>
      </c>
      <c r="E2795">
        <f>INDEX(FactorTable!$B$2:$Y$301, MATCH(ROUND(MIN(300,MAX(1,D2795)),0), FactorTable!$A$2:$A$301,0), Skills!M22+1)</f>
        <v/>
      </c>
      <c r="F2795">
        <f>IF(Skills!N22=TRUE,(Skills!L22/10)*(E2795/1000),Skills!L22/10)+Skills!O22</f>
        <v/>
      </c>
      <c r="G2795">
        <f>Skills!G22*IF(Skills!H22&gt;0,Skills!I22/Skills!H22,1)</f>
        <v/>
      </c>
      <c r="H2795">
        <f>1-(1-Skills!J22/100)^Skills!K22</f>
        <v/>
      </c>
      <c r="I2795" t="inlineStr">
        <is>
          <t>1</t>
        </is>
      </c>
      <c r="J2795" t="inlineStr"/>
      <c r="K2795" t="inlineStr"/>
      <c r="L2795" t="inlineStr"/>
      <c r="M2795" t="inlineStr"/>
      <c r="N2795" t="inlineStr"/>
      <c r="O2795">
        <f>(1-Summary!$B$11)*T2795+Summary!$B$11*V2795</f>
        <v/>
      </c>
      <c r="P2795">
        <f>IF(B2812=0,0,O2795/B2812)</f>
        <v/>
      </c>
      <c r="Q2795" t="n">
        <v>0</v>
      </c>
      <c r="R2795" t="n">
        <v>0</v>
      </c>
      <c r="S2795">
        <f>IFERROR(O2795/N2795,0)</f>
        <v/>
      </c>
      <c r="T2795" t="n">
        <v>0</v>
      </c>
      <c r="V2795" t="n">
        <v>0</v>
      </c>
    </row>
    <row r="2796">
      <c r="A2796">
        <f>Skills!A23</f>
        <v/>
      </c>
      <c r="B2796">
        <f>Skills!B23</f>
        <v/>
      </c>
      <c r="C2796">
        <f>Inputs!$B$3&gt;=120</f>
        <v/>
      </c>
      <c r="D2796">
        <f>IF(Skills!C23=1,60+Inputs!$B$25+Inputs!$B$29,IF(Skills!C23=2,90+Inputs!$B$26+Inputs!$B$29,IF(Skills!C23=3,120+Inputs!$B$27+Inputs!$B$29,MAX(0,(Inputs!$B$3-100)*3)+Inputs!$B$28+Inputs!$B$29)))</f>
        <v/>
      </c>
      <c r="E2796">
        <f>INDEX(FactorTable!$B$2:$Y$301, MATCH(ROUND(MIN(300,MAX(1,D2796)),0), FactorTable!$A$2:$A$301,0), Skills!M23+1)</f>
        <v/>
      </c>
      <c r="F2796">
        <f>IF(Skills!N23=TRUE,(Skills!L23/10)*(E2796/1000),Skills!L23/10)+Skills!O23</f>
        <v/>
      </c>
      <c r="G2796">
        <f>Skills!G23*IF(Skills!H23&gt;0,Skills!I23/Skills!H23,1)</f>
        <v/>
      </c>
      <c r="H2796">
        <f>1-(1-Skills!J23/100)^Skills!K23</f>
        <v/>
      </c>
      <c r="I2796" t="inlineStr">
        <is>
          <t>1</t>
        </is>
      </c>
      <c r="J2796" t="inlineStr"/>
      <c r="K2796" t="inlineStr"/>
      <c r="L2796" t="inlineStr"/>
      <c r="M2796" t="inlineStr"/>
      <c r="N2796" t="inlineStr"/>
      <c r="O2796">
        <f>(1-Summary!$B$11)*T2796+Summary!$B$11*V2796</f>
        <v/>
      </c>
      <c r="P2796">
        <f>IF(B2812=0,0,O2796/B2812)</f>
        <v/>
      </c>
      <c r="Q2796" t="n">
        <v>0</v>
      </c>
      <c r="R2796" t="n">
        <v>0</v>
      </c>
      <c r="S2796">
        <f>IFERROR(O2796/N2796,0)</f>
        <v/>
      </c>
      <c r="T2796" t="n">
        <v>0</v>
      </c>
      <c r="V2796" t="n">
        <v>0</v>
      </c>
    </row>
    <row r="2797">
      <c r="A2797">
        <f>Skills!A24</f>
        <v/>
      </c>
      <c r="B2797">
        <f>Skills!B24</f>
        <v/>
      </c>
      <c r="C2797">
        <f>Inputs!$B$3&gt;=120</f>
        <v/>
      </c>
      <c r="D2797">
        <f>IF(Skills!C24=1,60+Inputs!$B$25+Inputs!$B$29,IF(Skills!C24=2,90+Inputs!$B$26+Inputs!$B$29,IF(Skills!C24=3,120+Inputs!$B$27+Inputs!$B$29,MAX(0,(Inputs!$B$3-100)*3)+Inputs!$B$28+Inputs!$B$29)))</f>
        <v/>
      </c>
      <c r="E2797">
        <f>INDEX(FactorTable!$B$2:$Y$301, MATCH(ROUND(MIN(300,MAX(1,D2797)),0), FactorTable!$A$2:$A$301,0), Skills!M24+1)</f>
        <v/>
      </c>
      <c r="F2797">
        <f>IF(Skills!N24=TRUE,(Skills!L24/10)*(E2797/1000),Skills!L24/10)+Skills!O24</f>
        <v/>
      </c>
      <c r="G2797">
        <f>Skills!G24*IF(Skills!H24&gt;0,Skills!I24/Skills!H24,1)</f>
        <v/>
      </c>
      <c r="H2797">
        <f>1-(1-Skills!J24/100)^Skills!K24</f>
        <v/>
      </c>
      <c r="I2797" t="inlineStr">
        <is>
          <t>1</t>
        </is>
      </c>
      <c r="J2797" t="inlineStr"/>
      <c r="K2797" t="inlineStr"/>
      <c r="L2797" t="inlineStr"/>
      <c r="M2797" t="inlineStr"/>
      <c r="N2797" t="inlineStr"/>
      <c r="O2797">
        <f>(1-Summary!$B$11)*T2797+Summary!$B$11*V2797</f>
        <v/>
      </c>
      <c r="P2797">
        <f>IF(B2812=0,0,O2797/B2812)</f>
        <v/>
      </c>
      <c r="Q2797" t="n">
        <v>0</v>
      </c>
      <c r="R2797" t="n">
        <v>0</v>
      </c>
      <c r="S2797">
        <f>IFERROR(O2797/N2797,0)</f>
        <v/>
      </c>
      <c r="T2797" t="n">
        <v>0</v>
      </c>
      <c r="V2797" t="n">
        <v>0</v>
      </c>
    </row>
    <row r="2798">
      <c r="A2798">
        <f>Skills!A25</f>
        <v/>
      </c>
      <c r="B2798">
        <f>Skills!B25</f>
        <v/>
      </c>
      <c r="C2798">
        <f>Inputs!$B$3&gt;=125</f>
        <v/>
      </c>
      <c r="D2798">
        <f>IF(Skills!C25=1,60+Inputs!$B$25+Inputs!$B$29,IF(Skills!C25=2,90+Inputs!$B$26+Inputs!$B$29,IF(Skills!C25=3,120+Inputs!$B$27+Inputs!$B$29,MAX(0,(Inputs!$B$3-100)*3)+Inputs!$B$28+Inputs!$B$29)))</f>
        <v/>
      </c>
      <c r="E2798">
        <f>INDEX(FactorTable!$B$2:$Y$301, MATCH(ROUND(MIN(300,MAX(1,D2798)),0), FactorTable!$A$2:$A$301,0), Skills!M25+1)</f>
        <v/>
      </c>
      <c r="F2798">
        <f>IF(Skills!N25=TRUE,(Skills!L25/10)*(E2798/1000),Skills!L25/10)+Skills!O25</f>
        <v/>
      </c>
      <c r="G2798">
        <f>Skills!G25*IF(Skills!H25&gt;0,Skills!I25/Skills!H25,1)</f>
        <v/>
      </c>
      <c r="H2798">
        <f>1-(1-Skills!J25/100)^Skills!K25</f>
        <v/>
      </c>
      <c r="I2798" t="inlineStr">
        <is>
          <t>1</t>
        </is>
      </c>
      <c r="J2798" t="inlineStr"/>
      <c r="K2798" t="inlineStr"/>
      <c r="L2798" t="inlineStr"/>
      <c r="M2798" t="inlineStr"/>
      <c r="N2798" t="inlineStr"/>
      <c r="O2798">
        <f>(1-Summary!$B$11)*T2798+Summary!$B$11*V2798</f>
        <v/>
      </c>
      <c r="P2798">
        <f>IF(B2812=0,0,O2798/B2812)</f>
        <v/>
      </c>
      <c r="Q2798" t="n">
        <v>0</v>
      </c>
      <c r="R2798" t="n">
        <v>0</v>
      </c>
      <c r="S2798">
        <f>IFERROR(O2798/N2798,0)</f>
        <v/>
      </c>
      <c r="T2798" t="n">
        <v>0</v>
      </c>
      <c r="V2798" t="n">
        <v>0</v>
      </c>
    </row>
    <row r="2799">
      <c r="A2799">
        <f>Skills!A26</f>
        <v/>
      </c>
      <c r="B2799">
        <f>Skills!B26</f>
        <v/>
      </c>
      <c r="C2799">
        <f>Inputs!$B$3&gt;=72</f>
        <v/>
      </c>
      <c r="D2799">
        <f>IF(Skills!C26=1,60+Inputs!$B$25+Inputs!$B$29,IF(Skills!C26=2,90+Inputs!$B$26+Inputs!$B$29,IF(Skills!C26=3,120+Inputs!$B$27+Inputs!$B$29,MAX(0,(Inputs!$B$3-100)*3)+Inputs!$B$28+Inputs!$B$29)))</f>
        <v/>
      </c>
      <c r="E2799">
        <f>INDEX(FactorTable!$B$2:$Y$301, MATCH(ROUND(MIN(300,MAX(1,D2799)),0), FactorTable!$A$2:$A$301,0), Skills!M26+1)</f>
        <v/>
      </c>
      <c r="F2799">
        <f>IF(Skills!N26=TRUE,(Skills!L26/10)*(E2799/1000),Skills!L26/10)+Skills!O26</f>
        <v/>
      </c>
      <c r="G2799">
        <f>Skills!G26*IF(Skills!H26&gt;0,Skills!I26/Skills!H26,1)</f>
        <v/>
      </c>
      <c r="H2799">
        <f>1-(1-Skills!J26/100)^Skills!K26</f>
        <v/>
      </c>
      <c r="I2799" t="inlineStr">
        <is>
          <t>1</t>
        </is>
      </c>
      <c r="J2799" t="inlineStr"/>
      <c r="K2799" t="inlineStr"/>
      <c r="L2799" t="inlineStr"/>
      <c r="M2799" t="inlineStr"/>
      <c r="N2799" t="inlineStr"/>
      <c r="O2799">
        <f>(1-Summary!$B$11)*T2799+Summary!$B$11*V2799</f>
        <v/>
      </c>
      <c r="P2799">
        <f>IF(B2812=0,0,O2799/B2812)</f>
        <v/>
      </c>
      <c r="Q2799" t="n">
        <v>0</v>
      </c>
      <c r="R2799" t="n">
        <v>0</v>
      </c>
      <c r="S2799">
        <f>IFERROR(O2799/N2799,0)</f>
        <v/>
      </c>
      <c r="T2799" t="n">
        <v>0</v>
      </c>
      <c r="V2799" t="n">
        <v>0</v>
      </c>
    </row>
    <row r="2801">
      <c r="A2801" t="inlineStr">
        <is>
          <t>Attack% Bucket Multiplier</t>
        </is>
      </c>
      <c r="B2801">
        <f>(1+(((C2786=TRUE)*F2786*IF(Inputs!$B$3&gt;=110,7,5))+((C2788=TRUE)*F2788*IF(AND(Inputs!$B$38&lt;&gt;"pvp",Inputs!$B$43&gt;0),(((R2788-1)*(Skills!T15*(1+(Inputs!$B$34+(ArtifactsInput!$M$7-ArtifactsInput!$M$7)*CHOOSE(ArtifactsInput!$N$7+1,6,7.2,8.4,9.6,10.8,12))/100))+MIN((Skills!T15*(1+(Inputs!$B$34+(ArtifactsInput!$M$7-ArtifactsInput!$M$7)*CHOOSE(ArtifactsInput!$N$7+1,6,7.2,8.4,9.6,10.8,12))/100)),MAX(0,Inputs!$B$43-((R2788-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02">
      <c r="A2802" t="inlineStr">
        <is>
          <t>Global Crit Rate Bonus %</t>
        </is>
      </c>
      <c r="B2802" t="n">
        <v>0</v>
      </c>
    </row>
    <row r="2803">
      <c r="A2803" t="inlineStr">
        <is>
          <t>Attack Speed Buff Bonus %</t>
        </is>
      </c>
      <c r="B2803">
        <f>((C2792=TRUE)*F2792*IF(AND(Inputs!$B$38&lt;&gt;"pvp",Inputs!$B$43&gt;0),(((R2792-1)*(Skills!T19*(1+(Inputs!$B$34+(ArtifactsInput!$M$7-ArtifactsInput!$M$7)*CHOOSE(ArtifactsInput!$N$7+1,6,7.2,8.4,9.6,10.8,12))/100))+MIN((Skills!T19*(1+(Inputs!$B$34+(ArtifactsInput!$M$7-ArtifactsInput!$M$7)*CHOOSE(ArtifactsInput!$N$7+1,6,7.2,8.4,9.6,10.8,12))/100)),MAX(0,Inputs!$B$43-((R2792-1)*Skills!D19))))/Inputs!$B$43),IF(Inputs!$B$38="pvp",MIN((Skills!T19*(1+(Inputs!$B$34+(ArtifactsInput!$M$7-ArtifactsInput!$M$7)*CHOOSE(ArtifactsInput!$N$7+1,6,7.2,8.4,9.6,10.8,12))/100)),15)/15,(Skills!T19*(1+(Inputs!$B$34+(ArtifactsInput!$M$7-ArtifactsInput!$M$7)*CHOOSE(ArtifactsInput!$N$7+1,6,7.2,8.4,9.6,10.8,12))/100))/Skills!D19)))</f>
        <v/>
      </c>
    </row>
    <row r="2804">
      <c r="A2804" t="inlineStr">
        <is>
          <t>Actions Per Second</t>
        </is>
      </c>
      <c r="B2804">
        <f>1+MIN(150,150*(1-(1-(Inputs!$B$11+((C2793=TRUE)*(F2793-Calc!F20)))/150)*(1-B2803/150)))/100</f>
        <v/>
      </c>
    </row>
    <row r="2805">
      <c r="A2805" t="inlineStr">
        <is>
          <t>Skill + Buff Cast Rate</t>
        </is>
      </c>
      <c r="B2805">
        <f>IF(AND(Inputs!$B$38&lt;&gt;"pvp",Inputs!$B$43&gt;0),SUMPRODUCT((Skills!E2:E26=TRUE)*(C2775:C2799=TRUE)*R2775:R2799*Skills!F2:F26)/Inputs!$B$43,SUMPRODUCT((Skills!E2:E26=TRUE)*(C2775:C2799=TRUE)*Q2775:Q2799*Skills!F2:F26))</f>
        <v/>
      </c>
    </row>
    <row r="2806">
      <c r="A2806" t="inlineStr">
        <is>
          <t>Raging Blow Casts Per Second</t>
        </is>
      </c>
      <c r="B2806">
        <f>MAX(0,B2804-B2805)</f>
        <v/>
      </c>
    </row>
    <row r="2807">
      <c r="A2807" t="inlineStr">
        <is>
          <t>Global Critical Damage Bonus % (Enrage)</t>
        </is>
      </c>
      <c r="B2807">
        <f>((C2791=TRUE)*F2791*IF(AND(Inputs!$B$38&lt;&gt;"pvp",Inputs!$B$43&gt;0),(((R2791-1)*(Skills!T18*(1+(Inputs!$B$34+(ArtifactsInput!$M$7-ArtifactsInput!$M$7)*CHOOSE(ArtifactsInput!$N$7+1,6,7.2,8.4,9.6,10.8,12))/100))+MIN((Skills!T18*(1+(Inputs!$B$34+(ArtifactsInput!$M$7-ArtifactsInput!$M$7)*CHOOSE(ArtifactsInput!$N$7+1,6,7.2,8.4,9.6,10.8,12))/100)),MAX(0,Inputs!$B$43-((R2791-1)*Skills!D18))))/Inputs!$B$43),IF(Inputs!$B$38="pvp",MIN((Skills!T18*(1+(Inputs!$B$34+(ArtifactsInput!$M$7-ArtifactsInput!$M$7)*CHOOSE(ArtifactsInput!$N$7+1,6,7.2,8.4,9.6,10.8,12))/100)),15)/15,(Skills!T18*(1+(Inputs!$B$34+(ArtifactsInput!$M$7-ArtifactsInput!$M$7)*CHOOSE(ArtifactsInput!$N$7+1,6,7.2,8.4,9.6,10.8,12))/100))/Skills!D18)))</f>
        <v/>
      </c>
    </row>
    <row r="2808">
      <c r="A2808" t="inlineStr">
        <is>
          <t>Global Final Damage Bonus % (Enrage + Combo Synergy)</t>
        </is>
      </c>
      <c r="B2808">
        <f>((C2790=TRUE)*F2790*IF(AND(Inputs!$B$38&lt;&gt;"pvp",Inputs!$B$43&gt;0),(((R2790-1)*(Skills!T17*(1+(Inputs!$B$34+(ArtifactsInput!$M$7-ArtifactsInput!$M$7)*CHOOSE(ArtifactsInput!$N$7+1,6,7.2,8.4,9.6,10.8,12))/100))+MIN((Skills!T17*(1+(Inputs!$B$34+(ArtifactsInput!$M$7-ArtifactsInput!$M$7)*CHOOSE(ArtifactsInput!$N$7+1,6,7.2,8.4,9.6,10.8,12))/100)),MAX(0,Inputs!$B$43-((R2790-1)*Skills!D17))))/Inputs!$B$43),IF(Inputs!$B$38="pvp",MIN((Skills!T17*(1+(Inputs!$B$34+(ArtifactsInput!$M$7-ArtifactsInput!$M$7)*CHOOSE(ArtifactsInput!$N$7+1,6,7.2,8.4,9.6,10.8,12))/100)),15)/15,(Skills!T17*(1+(Inputs!$B$34+(ArtifactsInput!$M$7-ArtifactsInput!$M$7)*CHOOSE(ArtifactsInput!$N$7+1,6,7.2,8.4,9.6,10.8,12))/100))/Skills!D17)))+((C2787=TRUE)*F2787*IF(Inputs!$B$3&gt;=110,7,5))</f>
        <v/>
      </c>
    </row>
    <row r="2809">
      <c r="A2809" t="inlineStr">
        <is>
          <t>Buff-Casting Startup Delay (s, fixed-duration only)</t>
        </is>
      </c>
      <c r="B2809">
        <f>IF(AND(Inputs!$B$38&lt;&gt;"pvp",Inputs!$B$43&gt;0),SUMPRODUCT((Skills!T2:T26&gt;0)*(Skills!E2:E26=TRUE)*(C2775:C2799=TRUE))/B2804,0)</f>
        <v/>
      </c>
    </row>
    <row r="2810">
      <c r="A2810" t="inlineStr">
        <is>
          <t>Boss-Only Total DPS (this block's swept value)</t>
        </is>
      </c>
      <c r="B2810">
        <f>SUM(T2775:T2799)</f>
        <v/>
      </c>
    </row>
    <row r="2811">
      <c r="A2811" t="inlineStr">
        <is>
          <t>Normal-Only Total DPS (this block's swept value)</t>
        </is>
      </c>
      <c r="B2811">
        <f>SUM(V2775:V2799)</f>
        <v/>
      </c>
    </row>
    <row r="2812">
      <c r="A2812" s="6" t="inlineStr">
        <is>
          <t>TOTAL DPS</t>
        </is>
      </c>
      <c r="B2812" s="6">
        <f>SUM(O2775:O2799)</f>
        <v/>
      </c>
    </row>
    <row r="2815">
      <c r="A2815" s="6" t="inlineStr">
        <is>
          <t>Stat: CDR = 2.0s</t>
        </is>
      </c>
    </row>
    <row r="2816">
      <c r="A2816" s="5" t="inlineStr">
        <is>
          <t>Key</t>
        </is>
      </c>
      <c r="B2816" s="5" t="inlineStr">
        <is>
          <t>Name</t>
        </is>
      </c>
      <c r="C2816" s="5" t="inlineStr">
        <is>
          <t>Unlocked</t>
        </is>
      </c>
      <c r="D2816" s="5" t="inlineStr">
        <is>
          <t>InputLevel</t>
        </is>
      </c>
      <c r="E2816" s="5" t="inlineStr">
        <is>
          <t>Factor</t>
        </is>
      </c>
      <c r="F2816" s="5" t="inlineStr">
        <is>
          <t>CoefficientPercent</t>
        </is>
      </c>
      <c r="G2816" s="5" t="inlineStr">
        <is>
          <t>EffectiveHits</t>
        </is>
      </c>
      <c r="H2816" s="5" t="inlineStr">
        <is>
          <t>ProcProbability</t>
        </is>
      </c>
      <c r="I2816" s="5" t="inlineStr">
        <is>
          <t>MapleHeroMultiplier</t>
        </is>
      </c>
      <c r="J2816" s="5" t="inlineStr">
        <is>
          <t>BaseDamage</t>
        </is>
      </c>
      <c r="K2816" s="5" t="inlineStr">
        <is>
          <t>BaseHitDamage</t>
        </is>
      </c>
      <c r="L2816" s="5" t="inlineStr">
        <is>
          <t>NonCritAvg</t>
        </is>
      </c>
      <c r="M2816" s="5" t="inlineStr">
        <is>
          <t>CritAvg</t>
        </is>
      </c>
      <c r="N2816" s="5" t="inlineStr">
        <is>
          <t>ExpectedDamage(perHit)</t>
        </is>
      </c>
      <c r="O2816" s="5" t="inlineStr">
        <is>
          <t>DPS</t>
        </is>
      </c>
      <c r="P2816" s="5" t="inlineStr">
        <is>
          <t>% of Total</t>
        </is>
      </c>
      <c r="Q2816" s="5" t="inlineStr">
        <is>
          <t>InvCooldown</t>
        </is>
      </c>
      <c r="R2816" s="5" t="inlineStr">
        <is>
          <t>CastsInFight</t>
        </is>
      </c>
      <c r="S2816" s="5" t="inlineStr">
        <is>
          <t>HitRate(perSec)</t>
        </is>
      </c>
      <c r="U2816" t="inlineStr">
        <is>
          <t>helpers</t>
        </is>
      </c>
    </row>
    <row r="2817">
      <c r="A2817">
        <f>Skills!A2</f>
        <v/>
      </c>
      <c r="B2817">
        <f>Skills!B2</f>
        <v/>
      </c>
      <c r="C2817">
        <f>Inputs!$B$3&gt;=100</f>
        <v/>
      </c>
      <c r="D2817" t="inlineStr"/>
      <c r="E2817" t="inlineStr"/>
      <c r="F2817">
        <f>U2819+Skills!O2</f>
        <v/>
      </c>
      <c r="G2817">
        <f>Skills!G2*IF(Skills!H2&gt;0,Skills!I2/Skills!H2,1)</f>
        <v/>
      </c>
      <c r="H2817">
        <f>1-(1-Skills!J2/100)^Skills!K2</f>
        <v/>
      </c>
      <c r="I2817" t="inlineStr">
        <is>
          <t>1</t>
        </is>
      </c>
      <c r="J2817">
        <f>((Inputs!$B$6*(1+Inputs!$B$7/100))+(((Inputs!$B$12*(1+Inputs!$B$13/100))-(Inputs!$B$12*(1+Inputs!$B$13/100)))+0.25*(Inputs!$B$14-Inputs!$B$14))*(1+Inputs!$B$7/100))*(F2817/100)</f>
        <v/>
      </c>
      <c r="K2817">
        <f>J2817*(1+((Inputs!$B$12*(1+Inputs!$B$13/100))*0.01+Inputs!$B$14*0.0025)/100)*(1+Inputs!$B$15/100)*(1+Inputs!$B$16/100)*(5000/(6000+Inputs!$B$42*(1-(100*(1-(1-(Inputs!$B$19+0)/100)*(1-CHOOSE(ArtifactsInput!$N$40+1,5,6,7,8,9,10)/100)^(ArtifactsInput!$M$40-ArtifactsInput!$M$40)))/100)))*(1+(Inputs!$B$24+((C2840=TRUE)*(F2840-Calc!F25))+B2850)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2836=TRUE)*(F2836-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2838=TRUE)*(F2838-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2828=TRUE)*F2828*IF(Inputs!$B$3&gt;=110,7,5))+((C2830=TRUE)*F2830*IF(AND(Inputs!$B$38&lt;&gt;"pvp",Inputs!$B$43&gt;0),(((R2830-1)*(Skills!T15*(1+(Inputs!$B$34+(ArtifactsInput!$M$7-ArtifactsInput!$M$7)*CHOOSE(ArtifactsInput!$N$7+1,6,7.2,8.4,9.6,10.8,12))/100))+MIN((Skills!T15*(1+(Inputs!$B$34+(ArtifactsInput!$M$7-ArtifactsInput!$M$7)*CHOOSE(ArtifactsInput!$N$7+1,6,7.2,8.4,9.6,10.8,12))/100)),MAX(0,Inputs!$B$43-((R2830-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Hunt"),CHOOSE(ArtifactsInput!$N$35+1,15,18,21,24,27,30)*(1-EXP(-(0.2*B2846)*5)),0)+IF(AND(ArtifactsInput!$M$22,Inputs!$B$4&lt;&gt;"Chapter Hunt"),CHOOSE(ArtifactsInput!$N$22+1,10,12,14,16,18,20)*((0*(((0.15*B2846*5))^0/1)+1*(((0.15*B2846*5))^1/1)+2*(((0.15*B2846*5))^2/2)+3*(((0.15*B2846*5))^3/6)+4*(((0.15*B2846*5))^4/24)+5*(((0.15*B2846*5))^5/120))/((((0.15*B2846*5))^0/1)+(((0.15*B2846*5))^1/1)+(((0.15*B2846*5))^2/2)+(((0.15*B2846*5))^3/6)+(((0.15*B2846*5))^4/24)+(((0.15*B2846*5))^5/120))),0)))/100)*I2817)</f>
        <v/>
      </c>
      <c r="L2817">
        <f>K2817*(MIN(Inputs!$B$22+((C2837=TRUE)*(F2837-Calc!F22)),(Inputs!$B$23+((C2839=TRUE)*(F2839-Calc!F24))+(IF(ArtifactsInput!$M$15,CHOOSE(ArtifactsInput!$N$15+1,25,30,35,40,45,50)/100*(Inputs!$B$11-Inputs!$B$11),0))))/100+(Inputs!$B$23+((C2839=TRUE)*(F2839-Calc!F24))+(IF(ArtifactsInput!$M$15,CHOOSE(ArtifactsInput!$N$15+1,25,30,35,40,45,50)/100*(Inputs!$B$11-Inputs!$B$11),0)))/100)/2</f>
        <v/>
      </c>
      <c r="M2817">
        <f>L2817*(1+(Inputs!$B$10+0+B2849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7">
        <f>L2817*(1-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2817*(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7">
        <f>(1-Summary!$B$11)*T2817+Summary!$B$11*V2817</f>
        <v/>
      </c>
      <c r="P2817">
        <f>IF(B2854=0,0,O2817/B2854)</f>
        <v/>
      </c>
      <c r="Q2817" t="n">
        <v>0</v>
      </c>
      <c r="R2817" t="n">
        <v>0</v>
      </c>
      <c r="S2817">
        <f>IFERROR(O2817/N2817,0)</f>
        <v/>
      </c>
      <c r="T2817">
        <f>IF(C2817,(Skills!G2*N2817*B2848)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2817*(1-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2817*(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2817*(1-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2817*(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17">
        <f>MAX(0,(Inputs!$B$3-100)*3)+Inputs!$B$28+Inputs!$B$29</f>
        <v/>
      </c>
      <c r="V2817">
        <f>IF(C2817,(Skills!G2*N2817*B2848)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8">
      <c r="A2818">
        <f>Skills!A3</f>
        <v/>
      </c>
      <c r="B2818">
        <f>Skills!B3</f>
        <v/>
      </c>
      <c r="C2818">
        <f>Inputs!$B$3&gt;=50</f>
        <v/>
      </c>
      <c r="D2818">
        <f>IF(Skills!C3=1,60+Inputs!$B$25+Inputs!$B$29,IF(Skills!C3=2,90+Inputs!$B$26+Inputs!$B$29,IF(Skills!C3=3,120+Inputs!$B$27+Inputs!$B$29,MAX(0,(Inputs!$B$3-100)*3)+Inputs!$B$28+Inputs!$B$29)))</f>
        <v/>
      </c>
      <c r="E2818">
        <f>INDEX(FactorTable!$B$2:$Y$301, MATCH(ROUND(MIN(300,MAX(1,D2818)),0), FactorTable!$A$2:$A$301,0), Skills!M3+1)</f>
        <v/>
      </c>
      <c r="F2818">
        <f>IF(Skills!N3=TRUE,(Skills!L3/10)*(E2818/1000),Skills!L3/10)+Skills!O3</f>
        <v/>
      </c>
      <c r="G2818" t="inlineStr"/>
      <c r="H2818" t="inlineStr"/>
      <c r="I2818" t="inlineStr">
        <is>
          <t>1</t>
        </is>
      </c>
      <c r="J2818" t="inlineStr"/>
      <c r="K2818" t="inlineStr"/>
      <c r="L2818" t="inlineStr"/>
      <c r="M2818" t="inlineStr"/>
      <c r="N2818" t="inlineStr"/>
      <c r="O2818" t="inlineStr"/>
      <c r="P2818" t="inlineStr"/>
      <c r="Q2818" t="inlineStr"/>
      <c r="R2818" t="inlineStr"/>
      <c r="S2818" t="inlineStr"/>
      <c r="U2818">
        <f>INDEX(FactorTable!$B$2:$Y$301, MATCH(ROUND(MIN(300,MAX(1,U2817)),0), FactorTable!$A$2:$A$301,0), 22)</f>
        <v/>
      </c>
    </row>
    <row r="2819">
      <c r="A2819">
        <f>Skills!A4</f>
        <v/>
      </c>
      <c r="B2819">
        <f>Skills!B4</f>
        <v/>
      </c>
      <c r="C2819">
        <f>Inputs!$B$3&gt;=105</f>
        <v/>
      </c>
      <c r="D2819">
        <f>IF(Skills!C4=1,60+Inputs!$B$25+Inputs!$B$29,IF(Skills!C4=2,90+Inputs!$B$26+Inputs!$B$29,IF(Skills!C4=3,120+Inputs!$B$27+Inputs!$B$29,MAX(0,(Inputs!$B$3-100)*3)+Inputs!$B$28+Inputs!$B$29)))</f>
        <v/>
      </c>
      <c r="E2819">
        <f>INDEX(FactorTable!$B$2:$Y$301, MATCH(ROUND(MIN(300,MAX(1,D2819)),0), FactorTable!$A$2:$A$301,0), Skills!M4+1)</f>
        <v/>
      </c>
      <c r="F2819">
        <f>IF(Skills!N4=TRUE,(Skills!L4/10)*(E2819/1000),Skills!L4/10)+Skills!O4</f>
        <v/>
      </c>
      <c r="G2819" t="inlineStr"/>
      <c r="H2819" t="inlineStr"/>
      <c r="I2819" t="inlineStr">
        <is>
          <t>1</t>
        </is>
      </c>
      <c r="J2819" t="inlineStr"/>
      <c r="K2819" t="inlineStr"/>
      <c r="L2819" t="inlineStr"/>
      <c r="M2819" t="inlineStr"/>
      <c r="N2819" t="inlineStr"/>
      <c r="O2819" t="inlineStr"/>
      <c r="P2819" t="inlineStr"/>
      <c r="Q2819" t="inlineStr"/>
      <c r="R2819" t="inlineStr"/>
      <c r="S2819" t="inlineStr"/>
      <c r="U2819">
        <f>290*U2818/1000</f>
        <v/>
      </c>
    </row>
    <row r="2820">
      <c r="A2820">
        <f>Skills!A5</f>
        <v/>
      </c>
      <c r="B2820">
        <f>Skills!B5</f>
        <v/>
      </c>
      <c r="C2820">
        <f>Inputs!$B$3&gt;=103</f>
        <v/>
      </c>
      <c r="D2820">
        <f>IF(Skills!C5=1,60+Inputs!$B$25+Inputs!$B$29,IF(Skills!C5=2,90+Inputs!$B$26+Inputs!$B$29,IF(Skills!C5=3,120+Inputs!$B$27+Inputs!$B$29,MAX(0,(Inputs!$B$3-100)*3)+Inputs!$B$28+Inputs!$B$29)))</f>
        <v/>
      </c>
      <c r="E2820">
        <f>INDEX(FactorTable!$B$2:$Y$301, MATCH(ROUND(MIN(300,MAX(1,D2820)),0), FactorTable!$A$2:$A$301,0), Skills!M5+1)</f>
        <v/>
      </c>
      <c r="F2820">
        <f>IF(Skills!N5=TRUE,(Skills!L5/10)*(E2820/1000),Skills!L5/10)+Skills!O5</f>
        <v/>
      </c>
      <c r="G2820">
        <f>Skills!G5*IF(Skills!H5&gt;0,Skills!I5/Skills!H5,1)</f>
        <v/>
      </c>
      <c r="H2820">
        <f>1-(1-Skills!J5/100)^Skills!K5</f>
        <v/>
      </c>
      <c r="I2820" t="inlineStr">
        <is>
          <t>1</t>
        </is>
      </c>
      <c r="J2820">
        <f>((Inputs!$B$6*(1+Inputs!$B$7/100))+(((Inputs!$B$12*(1+Inputs!$B$13/100))-(Inputs!$B$12*(1+Inputs!$B$13/100)))+0.25*(Inputs!$B$14-Inputs!$B$14))*(1+Inputs!$B$7/100))*(F2820/100)</f>
        <v/>
      </c>
      <c r="K2820">
        <f>J2820*(1+((Inputs!$B$12*(1+Inputs!$B$13/100))*0.01+Inputs!$B$14*0.0025)/100)*(1+Inputs!$B$15/100)*(1+Inputs!$B$16/100)*(5000/(6000+Inputs!$B$42*(1-(100*(1-(1-(Inputs!$B$19+0)/100)*(1-CHOOSE(ArtifactsInput!$N$40+1,5,6,7,8,9,10)/100)^(ArtifactsInput!$M$40-ArtifactsInput!$M$40)))/100)))*(1+(Inputs!$B$24+((C2840=TRUE)*(F2840-Calc!F25))+B2850)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2836=TRUE)*(F2836-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2838=TRUE)*(F2838-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2828=TRUE)*F2828*IF(Inputs!$B$3&gt;=110,7,5))+((C2830=TRUE)*F2830*IF(AND(Inputs!$B$38&lt;&gt;"pvp",Inputs!$B$43&gt;0),(((R2830-1)*(Skills!T15*(1+(Inputs!$B$34+(ArtifactsInput!$M$7-ArtifactsInput!$M$7)*CHOOSE(ArtifactsInput!$N$7+1,6,7.2,8.4,9.6,10.8,12))/100))+MIN((Skills!T15*(1+(Inputs!$B$34+(ArtifactsInput!$M$7-ArtifactsInput!$M$7)*CHOOSE(ArtifactsInput!$N$7+1,6,7.2,8.4,9.6,10.8,12))/100)),MAX(0,Inputs!$B$43-((R2830-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Hunt"),CHOOSE(ArtifactsInput!$N$35+1,15,18,21,24,27,30)*(1-EXP(-(0.2*B2846)*5)),0)+IF(AND(ArtifactsInput!$M$22,Inputs!$B$4&lt;&gt;"Chapter Hunt"),CHOOSE(ArtifactsInput!$N$22+1,10,12,14,16,18,20)*((0*(((0.15*B2846*5))^0/1)+1*(((0.15*B2846*5))^1/1)+2*(((0.15*B2846*5))^2/2)+3*(((0.15*B2846*5))^3/6)+4*(((0.15*B2846*5))^4/24)+5*(((0.15*B2846*5))^5/120))/((((0.15*B2846*5))^0/1)+(((0.15*B2846*5))^1/1)+(((0.15*B2846*5))^2/2)+(((0.15*B2846*5))^3/6)+(((0.15*B2846*5))^4/24)+(((0.15*B2846*5))^5/120))),0)))/100)*I2820)</f>
        <v/>
      </c>
      <c r="L2820">
        <f>K2820*(MIN(Inputs!$B$22+((C2837=TRUE)*(F2837-Calc!F22)),(Inputs!$B$23+((C2839=TRUE)*(F2839-Calc!F24))+(IF(ArtifactsInput!$M$15,CHOOSE(ArtifactsInput!$N$15+1,25,30,35,40,45,50)/100*(Inputs!$B$11-Inputs!$B$11),0))))/100+(Inputs!$B$23+((C2839=TRUE)*(F2839-Calc!F24))+(IF(ArtifactsInput!$M$15,CHOOSE(ArtifactsInput!$N$15+1,25,30,35,40,45,50)/100*(Inputs!$B$11-Inputs!$B$11),0)))/100)/2</f>
        <v/>
      </c>
      <c r="M2820">
        <f>L2820*(1+(Inputs!$B$10+0+B2849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0">
        <f>L2820*(1-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2820*(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0">
        <f>(1-Summary!$B$11)*T2820+Summary!$B$11*V2820</f>
        <v/>
      </c>
      <c r="P2820">
        <f>IF(B2854=0,0,O2820/B2854)</f>
        <v/>
      </c>
      <c r="Q2820">
        <f>IFERROR(1/(IF(Inputs!$B$38="pvp",15,MAX(0.1,Skills!D5-IF(Skills!E5=TRUE,2.0,0)))*(1-IF(AND(ArtifactsInput!$M$27,Inputs!$B$4="Chapter Hunt"),CHOOSE(ArtifactsInput!$N$27+1,20,24,28,32,36,40),0)/100)),0)</f>
        <v/>
      </c>
      <c r="R2820">
        <f>IF(AND(Inputs!$B$38&lt;&gt;"pvp",Inputs!$B$43&gt;0),IF(MAX(0,Inputs!$B$43-B2851)&lt;=0,0,(INT(MAX(0,Inputs!$B$43-B2851)/(IF(Inputs!$B$38="pvp",15,MAX(0.1,Skills!D5-IF(Skills!E5=TRUE,2.0,0)))*(1-IF(AND(ArtifactsInput!$M$27,Inputs!$B$4="Chapter Hunt"),CHOOSE(ArtifactsInput!$N$27+1,20,24,28,32,36,40),0)/100)))+1)),0)</f>
        <v/>
      </c>
      <c r="S2820">
        <f>IFERROR(O2820/N2820,0)</f>
        <v/>
      </c>
      <c r="T2820">
        <f>IF(C2820,(H2820*N2820*IF(AND(Inputs!$B$38&lt;&gt;"pvp",Inputs!$B$43&gt;0),((Skills!G5*((R2820-1)*IF(Skills!H5&gt;0,Skills!I5/Skills!H5,1)+IF(Skills!H5&gt;0,MIN(Skills!I5,MAX(0,MAX(0,Inputs!$B$43-B2851)-((R2820-1)*(IF(Inputs!$B$38="pvp",15,MAX(0.1,Skills!D5-IF(Skills!E5=TRUE,2.0,0)))*(1-IF(AND(ArtifactsInput!$M$27,Inputs!$B$4="Chapter Hunt"),CHOOSE(ArtifactsInput!$N$27+1,20,24,28,32,36,40),0)/100)))))/Skills!H5,1)))/Inputs!$B$43),G2820*Q2820)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2820*(1-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2820*(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2820*(1-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2820*(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0">
        <f>IF(C2820,(H2820*N2820*IF(AND(Inputs!$B$38&lt;&gt;"pvp",Inputs!$B$43&gt;0),((Skills!G5*((R2820-1)*IF(Skills!H5&gt;0,Skills!I5/Skills!H5,1)+IF(Skills!H5&gt;0,MIN(Skills!I5,MAX(0,MAX(0,Inputs!$B$43-B2851)-((R2820-1)*(IF(Inputs!$B$38="pvp",15,MAX(0.1,Skills!D5-IF(Skills!E5=TRUE,2.0,0)))*(1-IF(AND(ArtifactsInput!$M$27,Inputs!$B$4="Chapter Hunt"),CHOOSE(ArtifactsInput!$N$27+1,20,24,28,32,36,40),0)/100)))))/Skills!H5,1)))/Inputs!$B$43),G2820*Q2820)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1">
      <c r="A2821">
        <f>Skills!A6</f>
        <v/>
      </c>
      <c r="B2821">
        <f>Skills!B6</f>
        <v/>
      </c>
      <c r="C2821">
        <f>Inputs!$B$3&gt;=103</f>
        <v/>
      </c>
      <c r="D2821">
        <f>IF(Skills!C6=1,60+Inputs!$B$25+Inputs!$B$29,IF(Skills!C6=2,90+Inputs!$B$26+Inputs!$B$29,IF(Skills!C6=3,120+Inputs!$B$27+Inputs!$B$29,MAX(0,(Inputs!$B$3-100)*3)+Inputs!$B$28+Inputs!$B$29)))</f>
        <v/>
      </c>
      <c r="E2821">
        <f>INDEX(FactorTable!$B$2:$Y$301, MATCH(ROUND(MIN(300,MAX(1,D2821)),0), FactorTable!$A$2:$A$301,0), Skills!M6+1)</f>
        <v/>
      </c>
      <c r="F2821">
        <f>IF(Skills!N6=TRUE,(Skills!L6/10)*(E2821/1000),Skills!L6/10)+Skills!O6</f>
        <v/>
      </c>
      <c r="G2821">
        <f>Skills!G6*IF(Skills!H6&gt;0,Skills!I6/Skills!H6,1)</f>
        <v/>
      </c>
      <c r="H2821">
        <f>1-(1-Skills!J6/100)^Skills!K6</f>
        <v/>
      </c>
      <c r="I2821" t="inlineStr">
        <is>
          <t>1</t>
        </is>
      </c>
      <c r="J2821">
        <f>((Inputs!$B$6*(1+Inputs!$B$7/100))+(((Inputs!$B$12*(1+Inputs!$B$13/100))-(Inputs!$B$12*(1+Inputs!$B$13/100)))+0.25*(Inputs!$B$14-Inputs!$B$14))*(1+Inputs!$B$7/100))*(F2821/100)</f>
        <v/>
      </c>
      <c r="K2821">
        <f>J2821*(1+((Inputs!$B$12*(1+Inputs!$B$13/100))*0.01+Inputs!$B$14*0.0025)/100)*(1+Inputs!$B$15/100)*(1+Inputs!$B$16/100)*(5000/(6000+Inputs!$B$42*(1-(100*(1-(1-(Inputs!$B$19+0)/100)*(1-CHOOSE(ArtifactsInput!$N$40+1,5,6,7,8,9,10)/100)^(ArtifactsInput!$M$40-ArtifactsInput!$M$40)))/100)))*(1+(Inputs!$B$24+((C2840=TRUE)*(F2840-Calc!F25))+B2850)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2836=TRUE)*(F2836-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2838=TRUE)*(F2838-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2828=TRUE)*F2828*IF(Inputs!$B$3&gt;=110,7,5))+((C2830=TRUE)*F2830*IF(AND(Inputs!$B$38&lt;&gt;"pvp",Inputs!$B$43&gt;0),(((R2830-1)*(Skills!T15*(1+(Inputs!$B$34+(ArtifactsInput!$M$7-ArtifactsInput!$M$7)*CHOOSE(ArtifactsInput!$N$7+1,6,7.2,8.4,9.6,10.8,12))/100))+MIN((Skills!T15*(1+(Inputs!$B$34+(ArtifactsInput!$M$7-ArtifactsInput!$M$7)*CHOOSE(ArtifactsInput!$N$7+1,6,7.2,8.4,9.6,10.8,12))/100)),MAX(0,Inputs!$B$43-((R2830-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Hunt"),CHOOSE(ArtifactsInput!$N$35+1,15,18,21,24,27,30)*(1-EXP(-(0.2*B2846)*5)),0)+IF(AND(ArtifactsInput!$M$22,Inputs!$B$4&lt;&gt;"Chapter Hunt"),CHOOSE(ArtifactsInput!$N$22+1,10,12,14,16,18,20)*((0*(((0.15*B2846*5))^0/1)+1*(((0.15*B2846*5))^1/1)+2*(((0.15*B2846*5))^2/2)+3*(((0.15*B2846*5))^3/6)+4*(((0.15*B2846*5))^4/24)+5*(((0.15*B2846*5))^5/120))/((((0.15*B2846*5))^0/1)+(((0.15*B2846*5))^1/1)+(((0.15*B2846*5))^2/2)+(((0.15*B2846*5))^3/6)+(((0.15*B2846*5))^4/24)+(((0.15*B2846*5))^5/120))),0)))/100)*I2821)</f>
        <v/>
      </c>
      <c r="L2821">
        <f>K2821*(MIN(Inputs!$B$22+((C2837=TRUE)*(F2837-Calc!F22)),(Inputs!$B$23+((C2839=TRUE)*(F2839-Calc!F24))+(IF(ArtifactsInput!$M$15,CHOOSE(ArtifactsInput!$N$15+1,25,30,35,40,45,50)/100*(Inputs!$B$11-Inputs!$B$11),0))))/100+(Inputs!$B$23+((C2839=TRUE)*(F2839-Calc!F24))+(IF(ArtifactsInput!$M$15,CHOOSE(ArtifactsInput!$N$15+1,25,30,35,40,45,50)/100*(Inputs!$B$11-Inputs!$B$11),0)))/100)/2</f>
        <v/>
      </c>
      <c r="M2821">
        <f>L2821*(1+(Inputs!$B$10+0+B2849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1">
        <f>L2821*(1-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2821*(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1">
        <f>(1-Summary!$B$11)*T2821+Summary!$B$11*V2821</f>
        <v/>
      </c>
      <c r="P2821">
        <f>IF(B2854=0,0,O2821/B2854)</f>
        <v/>
      </c>
      <c r="Q2821">
        <f>IFERROR(1/(IF(Inputs!$B$38="pvp",15,MAX(0.1,Skills!D6-IF(Skills!E6=TRUE,2.0,0)))*(1-IF(AND(ArtifactsInput!$M$27,Inputs!$B$4="Chapter Hunt"),CHOOSE(ArtifactsInput!$N$27+1,20,24,28,32,36,40),0)/100)),0)</f>
        <v/>
      </c>
      <c r="R2821">
        <f>IF(AND(Inputs!$B$38&lt;&gt;"pvp",Inputs!$B$43&gt;0),IF(MAX(0,Inputs!$B$43-B2851)&lt;=0,0,(INT(MAX(0,Inputs!$B$43-B2851)/(IF(Inputs!$B$38="pvp",15,MAX(0.1,Skills!D6-IF(Skills!E6=TRUE,2.0,0)))*(1-IF(AND(ArtifactsInput!$M$27,Inputs!$B$4="Chapter Hunt"),CHOOSE(ArtifactsInput!$N$27+1,20,24,28,32,36,40),0)/100)))+1)),0)</f>
        <v/>
      </c>
      <c r="S2821">
        <f>IFERROR(O2821/N2821,0)</f>
        <v/>
      </c>
      <c r="T2821">
        <f>IF(C2821,(H2821*N2821*IF(AND(Inputs!$B$38&lt;&gt;"pvp",Inputs!$B$43&gt;0),((Skills!G6*((R2821-1)*IF(Skills!H6&gt;0,Skills!I6/Skills!H6,1)+IF(Skills!H6&gt;0,MIN(Skills!I6,MAX(0,MAX(0,Inputs!$B$43-B2851)-((R2821-1)*(IF(Inputs!$B$38="pvp",15,MAX(0.1,Skills!D6-IF(Skills!E6=TRUE,2.0,0)))*(1-IF(AND(ArtifactsInput!$M$27,Inputs!$B$4="Chapter Hunt"),CHOOSE(ArtifactsInput!$N$27+1,20,24,28,32,36,40),0)/100)))))/Skills!H6,1)))/Inputs!$B$43),G2821*Q2821)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2821*(1-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2821*(1-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1">
        <f>IF(C2821,(H2821*N2821*IF(AND(Inputs!$B$38&lt;&gt;"pvp",Inputs!$B$43&gt;0),((Skills!G6*((R2821-1)*IF(Skills!H6&gt;0,Skills!I6/Skills!H6,1)+IF(Skills!H6&gt;0,MIN(Skills!I6,MAX(0,MAX(0,Inputs!$B$43-B2851)-((R2821-1)*(IF(Inputs!$B$38="pvp",15,MAX(0.1,Skills!D6-IF(Skills!E6=TRUE,2.0,0)))*(1-IF(AND(ArtifactsInput!$M$27,Inputs!$B$4="Chapter Hunt"),CHOOSE(ArtifactsInput!$N$27+1,20,24,28,32,36,40),0)/100)))))/Skills!H6,1)))/Inputs!$B$43),G2821*Q2821)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2">
      <c r="A2822">
        <f>Skills!A7</f>
        <v/>
      </c>
      <c r="B2822">
        <f>Skills!B7</f>
        <v/>
      </c>
      <c r="C2822">
        <f>Inputs!$B$3&gt;=107</f>
        <v/>
      </c>
      <c r="D2822">
        <f>IF(Skills!C7=1,60+Inputs!$B$25+Inputs!$B$29,IF(Skills!C7=2,90+Inputs!$B$26+Inputs!$B$29,IF(Skills!C7=3,120+Inputs!$B$27+Inputs!$B$29,MAX(0,(Inputs!$B$3-100)*3)+Inputs!$B$28+Inputs!$B$29)))</f>
        <v/>
      </c>
      <c r="E2822">
        <f>INDEX(FactorTable!$B$2:$Y$301, MATCH(ROUND(MIN(300,MAX(1,D2822)),0), FactorTable!$A$2:$A$301,0), Skills!M7+1)</f>
        <v/>
      </c>
      <c r="F2822">
        <f>IF(Skills!N7=TRUE,(Skills!L7/10)*(E2822/1000),Skills!L7/10)+Skills!O7</f>
        <v/>
      </c>
      <c r="G2822">
        <f>Skills!G7*IF(Skills!H7&gt;0,Skills!I7/Skills!H7,1)</f>
        <v/>
      </c>
      <c r="H2822">
        <f>1-(1-Skills!J7/100)^Skills!K7</f>
        <v/>
      </c>
      <c r="I2822" t="inlineStr">
        <is>
          <t>1</t>
        </is>
      </c>
      <c r="J2822">
        <f>((Inputs!$B$6*(1+Inputs!$B$7/100))+(((Inputs!$B$12*(1+Inputs!$B$13/100))-(Inputs!$B$12*(1+Inputs!$B$13/100)))+0.25*(Inputs!$B$14-Inputs!$B$14))*(1+Inputs!$B$7/100))*(F2822/100)</f>
        <v/>
      </c>
      <c r="K2822">
        <f>J2822*(1+((Inputs!$B$12*(1+Inputs!$B$13/100))*0.01+Inputs!$B$14*0.0025)/100)*(1+Inputs!$B$15/100)*(1+Inputs!$B$16/100)*(5000/(6000+Inputs!$B$42*(1-(100*(1-(1-(Inputs!$B$19+0)/100)*(1-CHOOSE(ArtifactsInput!$N$40+1,5,6,7,8,9,10)/100)^(ArtifactsInput!$M$40-ArtifactsInput!$M$40)))/100)))*(1+(Inputs!$B$24+((C2840=TRUE)*(F2840-Calc!F25))+B2850)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2836=TRUE)*(F2836-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2838=TRUE)*(F2838-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2828=TRUE)*F2828*IF(Inputs!$B$3&gt;=110,7,5))+((C2830=TRUE)*F2830*IF(AND(Inputs!$B$38&lt;&gt;"pvp",Inputs!$B$43&gt;0),(((R2830-1)*(Skills!T15*(1+(Inputs!$B$34+(ArtifactsInput!$M$7-ArtifactsInput!$M$7)*CHOOSE(ArtifactsInput!$N$7+1,6,7.2,8.4,9.6,10.8,12))/100))+MIN((Skills!T15*(1+(Inputs!$B$34+(ArtifactsInput!$M$7-ArtifactsInput!$M$7)*CHOOSE(ArtifactsInput!$N$7+1,6,7.2,8.4,9.6,10.8,12))/100)),MAX(0,Inputs!$B$43-((R2830-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Hunt"),CHOOSE(ArtifactsInput!$N$35+1,15,18,21,24,27,30)*(1-EXP(-(0.2*B2846)*5)),0)+IF(AND(ArtifactsInput!$M$22,Inputs!$B$4&lt;&gt;"Chapter Hunt"),CHOOSE(ArtifactsInput!$N$22+1,10,12,14,16,18,20)*((0*(((0.15*B2846*5))^0/1)+1*(((0.15*B2846*5))^1/1)+2*(((0.15*B2846*5))^2/2)+3*(((0.15*B2846*5))^3/6)+4*(((0.15*B2846*5))^4/24)+5*(((0.15*B2846*5))^5/120))/((((0.15*B2846*5))^0/1)+(((0.15*B2846*5))^1/1)+(((0.15*B2846*5))^2/2)+(((0.15*B2846*5))^3/6)+(((0.15*B2846*5))^4/24)+(((0.15*B2846*5))^5/120))),0)))/100)*I2822)</f>
        <v/>
      </c>
      <c r="L2822">
        <f>K2822*(MIN(Inputs!$B$22+((C2837=TRUE)*(F2837-Calc!F22)),(Inputs!$B$23+((C2839=TRUE)*(F2839-Calc!F24))+(IF(ArtifactsInput!$M$15,CHOOSE(ArtifactsInput!$N$15+1,25,30,35,40,45,50)/100*(Inputs!$B$11-Inputs!$B$11),0))))/100+(Inputs!$B$23+((C2839=TRUE)*(F2839-Calc!F24))+(IF(ArtifactsInput!$M$15,CHOOSE(ArtifactsInput!$N$15+1,25,30,35,40,45,50)/100*(Inputs!$B$11-Inputs!$B$11),0)))/100)/2</f>
        <v/>
      </c>
      <c r="M2822">
        <f>L2822*(1+(Inputs!$B$10+0+B2849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2">
        <f>L2822*(1-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2822*(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2">
        <f>(1-Summary!$B$11)*T2822+Summary!$B$11*V2822</f>
        <v/>
      </c>
      <c r="P2822">
        <f>IF(B2854=0,0,O2822/B2854)</f>
        <v/>
      </c>
      <c r="Q2822">
        <f>IFERROR(1/(IF(Inputs!$B$38="pvp",15,MAX(0.1,Skills!D7-IF(Skills!E7=TRUE,2.0,0)))*(1-IF(AND(ArtifactsInput!$M$27,Inputs!$B$4="Chapter Hunt"),CHOOSE(ArtifactsInput!$N$27+1,20,24,28,32,36,40),0)/100)),0)</f>
        <v/>
      </c>
      <c r="R2822">
        <f>IF(AND(Inputs!$B$38&lt;&gt;"pvp",Inputs!$B$43&gt;0),IF(MAX(0,Inputs!$B$43-B2851)&lt;=0,0,(INT(MAX(0,Inputs!$B$43-B2851)/(IF(Inputs!$B$38="pvp",15,MAX(0.1,Skills!D7-IF(Skills!E7=TRUE,2.0,0)))*(1-IF(AND(ArtifactsInput!$M$27,Inputs!$B$4="Chapter Hunt"),CHOOSE(ArtifactsInput!$N$27+1,20,24,28,32,36,40),0)/100)))+1)),0)</f>
        <v/>
      </c>
      <c r="S2822">
        <f>IFERROR(O2822/N2822,0)</f>
        <v/>
      </c>
      <c r="T2822">
        <f>IF(C2822,(H2822*N2822*IF(AND(Inputs!$B$38&lt;&gt;"pvp",Inputs!$B$43&gt;0),((Skills!G7*((R2822-1)*IF(Skills!H7&gt;0,Skills!I7/Skills!H7,1)+IF(Skills!H7&gt;0,MIN(Skills!I7,MAX(0,MAX(0,Inputs!$B$43-B2851)-((R2822-1)*(IF(Inputs!$B$38="pvp",15,MAX(0.1,Skills!D7-IF(Skills!E7=TRUE,2.0,0)))*(1-IF(AND(ArtifactsInput!$M$27,Inputs!$B$4="Chapter Hunt"),CHOOSE(ArtifactsInput!$N$27+1,20,24,28,32,36,40),0)/100)))))/Skills!H7,1)))/Inputs!$B$43),G2822*Q2822)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2822*(1-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2822*(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2822*(1-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2822*(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2">
        <f>IF(C2822,(H2822*N2822*IF(AND(Inputs!$B$38&lt;&gt;"pvp",Inputs!$B$43&gt;0),((Skills!G7*((R2822-1)*IF(Skills!H7&gt;0,Skills!I7/Skills!H7,1)+IF(Skills!H7&gt;0,MIN(Skills!I7,MAX(0,MAX(0,Inputs!$B$43-B2851)-((R2822-1)*(IF(Inputs!$B$38="pvp",15,MAX(0.1,Skills!D7-IF(Skills!E7=TRUE,2.0,0)))*(1-IF(AND(ArtifactsInput!$M$27,Inputs!$B$4="Chapter Hunt"),CHOOSE(ArtifactsInput!$N$27+1,20,24,28,32,36,40),0)/100)))))/Skills!H7,1)))/Inputs!$B$43),G2822*Q2822)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3">
      <c r="A2823">
        <f>Skills!A8</f>
        <v/>
      </c>
      <c r="B2823">
        <f>Skills!B8</f>
        <v/>
      </c>
      <c r="C2823">
        <f>Inputs!$B$3&gt;=117</f>
        <v/>
      </c>
      <c r="D2823">
        <f>IF(Skills!C8=1,60+Inputs!$B$25+Inputs!$B$29,IF(Skills!C8=2,90+Inputs!$B$26+Inputs!$B$29,IF(Skills!C8=3,120+Inputs!$B$27+Inputs!$B$29,MAX(0,(Inputs!$B$3-100)*3)+Inputs!$B$28+Inputs!$B$29)))</f>
        <v/>
      </c>
      <c r="E2823">
        <f>INDEX(FactorTable!$B$2:$Y$301, MATCH(ROUND(MIN(300,MAX(1,D2823)),0), FactorTable!$A$2:$A$301,0), Skills!M8+1)</f>
        <v/>
      </c>
      <c r="F2823">
        <f>IF(Skills!N8=TRUE,(Skills!L8/10)*(E2823/1000),Skills!L8/10)+Skills!O8</f>
        <v/>
      </c>
      <c r="G2823">
        <f>Skills!G8*IF(Skills!H8&gt;0,Skills!I8/Skills!H8,1)</f>
        <v/>
      </c>
      <c r="H2823">
        <f>1-(1-Skills!J8/100)^Skills!K8</f>
        <v/>
      </c>
      <c r="I2823" t="inlineStr">
        <is>
          <t>1</t>
        </is>
      </c>
      <c r="J2823">
        <f>((Inputs!$B$6*(1+Inputs!$B$7/100))+(((Inputs!$B$12*(1+Inputs!$B$13/100))-(Inputs!$B$12*(1+Inputs!$B$13/100)))+0.25*(Inputs!$B$14-Inputs!$B$14))*(1+Inputs!$B$7/100))*(F2823/100)</f>
        <v/>
      </c>
      <c r="K2823">
        <f>J2823*(1+((Inputs!$B$12*(1+Inputs!$B$13/100))*0.01+Inputs!$B$14*0.0025)/100)*(1+Inputs!$B$15/100)*(1+Inputs!$B$16/100)*(5000/(6000+Inputs!$B$42*(1-(100*(1-(1-(Inputs!$B$19+0)/100)*(1-CHOOSE(ArtifactsInput!$N$40+1,5,6,7,8,9,10)/100)^(ArtifactsInput!$M$40-ArtifactsInput!$M$40)))/100)))*(1+(Inputs!$B$24+((C2840=TRUE)*(F2840-Calc!F25))+B2850)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2836=TRUE)*(F2836-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2838=TRUE)*(F2838-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2828=TRUE)*F2828*IF(Inputs!$B$3&gt;=110,7,5))+((C2830=TRUE)*F2830*IF(AND(Inputs!$B$38&lt;&gt;"pvp",Inputs!$B$43&gt;0),(((R2830-1)*(Skills!T15*(1+(Inputs!$B$34+(ArtifactsInput!$M$7-ArtifactsInput!$M$7)*CHOOSE(ArtifactsInput!$N$7+1,6,7.2,8.4,9.6,10.8,12))/100))+MIN((Skills!T15*(1+(Inputs!$B$34+(ArtifactsInput!$M$7-ArtifactsInput!$M$7)*CHOOSE(ArtifactsInput!$N$7+1,6,7.2,8.4,9.6,10.8,12))/100)),MAX(0,Inputs!$B$43-((R2830-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Hunt"),CHOOSE(ArtifactsInput!$N$35+1,15,18,21,24,27,30)*(1-EXP(-(0.2*B2846)*5)),0)+IF(AND(ArtifactsInput!$M$22,Inputs!$B$4&lt;&gt;"Chapter Hunt"),CHOOSE(ArtifactsInput!$N$22+1,10,12,14,16,18,20)*((0*(((0.15*B2846*5))^0/1)+1*(((0.15*B2846*5))^1/1)+2*(((0.15*B2846*5))^2/2)+3*(((0.15*B2846*5))^3/6)+4*(((0.15*B2846*5))^4/24)+5*(((0.15*B2846*5))^5/120))/((((0.15*B2846*5))^0/1)+(((0.15*B2846*5))^1/1)+(((0.15*B2846*5))^2/2)+(((0.15*B2846*5))^3/6)+(((0.15*B2846*5))^4/24)+(((0.15*B2846*5))^5/120))),0)))/100)*I2823)</f>
        <v/>
      </c>
      <c r="L2823">
        <f>K2823*(MIN(Inputs!$B$22+((C2837=TRUE)*(F2837-Calc!F22)),(Inputs!$B$23+((C2839=TRUE)*(F2839-Calc!F24))+(IF(ArtifactsInput!$M$15,CHOOSE(ArtifactsInput!$N$15+1,25,30,35,40,45,50)/100*(Inputs!$B$11-Inputs!$B$11),0))))/100+(Inputs!$B$23+((C2839=TRUE)*(F2839-Calc!F24))+(IF(ArtifactsInput!$M$15,CHOOSE(ArtifactsInput!$N$15+1,25,30,35,40,45,50)/100*(Inputs!$B$11-Inputs!$B$11),0)))/100)/2</f>
        <v/>
      </c>
      <c r="M2823">
        <f>L2823*(1+(Inputs!$B$10+0+B2849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3">
        <f>L2823*(1-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2823*(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3">
        <f>(1-Summary!$B$11)*T2823+Summary!$B$11*V2823</f>
        <v/>
      </c>
      <c r="P2823">
        <f>IF(B2854=0,0,O2823/B2854)</f>
        <v/>
      </c>
      <c r="Q2823">
        <f>IFERROR(1/(IF(Inputs!$B$38="pvp",15,MAX(0.1,Skills!D8-IF(Skills!E8=TRUE,2.0,0)))*(1-IF(AND(ArtifactsInput!$M$27,Inputs!$B$4="Chapter Hunt"),CHOOSE(ArtifactsInput!$N$27+1,20,24,28,32,36,40),0)/100)),0)</f>
        <v/>
      </c>
      <c r="R2823">
        <f>IF(AND(Inputs!$B$38&lt;&gt;"pvp",Inputs!$B$43&gt;0),IF(MAX(0,Inputs!$B$43-B2851)&lt;=0,0,(INT(MAX(0,Inputs!$B$43-B2851)/(IF(Inputs!$B$38="pvp",15,MAX(0.1,Skills!D8-IF(Skills!E8=TRUE,2.0,0)))*(1-IF(AND(ArtifactsInput!$M$27,Inputs!$B$4="Chapter Hunt"),CHOOSE(ArtifactsInput!$N$27+1,20,24,28,32,36,40),0)/100)))+1)),0)</f>
        <v/>
      </c>
      <c r="S2823">
        <f>IFERROR(O2823/N2823,0)</f>
        <v/>
      </c>
      <c r="T2823">
        <f>IF(C2823,(H2823*N2823*IF(AND(Inputs!$B$38&lt;&gt;"pvp",Inputs!$B$43&gt;0),((Skills!G8*((R2823-1)*IF(Skills!H8&gt;0,Skills!I8/Skills!H8,1)+IF(Skills!H8&gt;0,MIN(Skills!I8,MAX(0,MAX(0,Inputs!$B$43-B2851)-((R2823-1)*(IF(Inputs!$B$38="pvp",15,MAX(0.1,Skills!D8-IF(Skills!E8=TRUE,2.0,0)))*(1-IF(AND(ArtifactsInput!$M$27,Inputs!$B$4="Chapter Hunt"),CHOOSE(ArtifactsInput!$N$27+1,20,24,28,32,36,40),0)/100)))))/Skills!H8,1)))/Inputs!$B$43),G2823*Q2823)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2823*(1-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2823*(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2823*(1-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2823*(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3">
        <f>IF(C2823,(H2823*N2823*IF(AND(Inputs!$B$38&lt;&gt;"pvp",Inputs!$B$43&gt;0),((Skills!G8*((R2823-1)*IF(Skills!H8&gt;0,Skills!I8/Skills!H8,1)+IF(Skills!H8&gt;0,MIN(Skills!I8,MAX(0,MAX(0,Inputs!$B$43-B2851)-((R2823-1)*(IF(Inputs!$B$38="pvp",15,MAX(0.1,Skills!D8-IF(Skills!E8=TRUE,2.0,0)))*(1-IF(AND(ArtifactsInput!$M$27,Inputs!$B$4="Chapter Hunt"),CHOOSE(ArtifactsInput!$N$27+1,20,24,28,32,36,40),0)/100)))))/Skills!H8,1)))/Inputs!$B$43),G2823*Q2823)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4">
      <c r="A2824">
        <f>Skills!A9</f>
        <v/>
      </c>
      <c r="B2824">
        <f>Skills!B9</f>
        <v/>
      </c>
      <c r="C2824">
        <f>Inputs!$B$3&gt;=69</f>
        <v/>
      </c>
      <c r="D2824">
        <f>IF(Skills!C9=1,60+Inputs!$B$25+Inputs!$B$29,IF(Skills!C9=2,90+Inputs!$B$26+Inputs!$B$29,IF(Skills!C9=3,120+Inputs!$B$27+Inputs!$B$29,MAX(0,(Inputs!$B$3-100)*3)+Inputs!$B$28+Inputs!$B$29)))</f>
        <v/>
      </c>
      <c r="E2824">
        <f>INDEX(FactorTable!$B$2:$Y$301, MATCH(ROUND(MIN(300,MAX(1,D2824)),0), FactorTable!$A$2:$A$301,0), Skills!M9+1)</f>
        <v/>
      </c>
      <c r="F2824">
        <f>IF(Skills!N9=TRUE,(Skills!L9/10)*(E2824/1000),Skills!L9/10)+Skills!O9</f>
        <v/>
      </c>
      <c r="G2824">
        <f>Skills!G9*IF(Skills!H9&gt;0,Skills!I9/Skills!H9,1)</f>
        <v/>
      </c>
      <c r="H2824">
        <f>1-(1-Skills!J9/100)^Skills!K9</f>
        <v/>
      </c>
      <c r="I2824" t="inlineStr">
        <is>
          <t>1</t>
        </is>
      </c>
      <c r="J2824">
        <f>((Inputs!$B$6*(1+Inputs!$B$7/100))+(((Inputs!$B$12*(1+Inputs!$B$13/100))-(Inputs!$B$12*(1+Inputs!$B$13/100)))+0.25*(Inputs!$B$14-Inputs!$B$14))*(1+Inputs!$B$7/100))*(F2824/100)</f>
        <v/>
      </c>
      <c r="K2824">
        <f>J2824*(1+((Inputs!$B$12*(1+Inputs!$B$13/100))*0.01+Inputs!$B$14*0.0025)/100)*(1+Inputs!$B$15/100)*(1+Inputs!$B$16/100)*(5000/(6000+Inputs!$B$42*(1-(100*(1-(1-(Inputs!$B$19+0)/100)*(1-CHOOSE(ArtifactsInput!$N$40+1,5,6,7,8,9,10)/100)^(ArtifactsInput!$M$40-ArtifactsInput!$M$40)))/100)))*(1+(Inputs!$B$24+((C2840=TRUE)*(F2840-Calc!F25))+B2850)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2827=TRUE,F2827,0)/100)*(1+IF(Skills!A9="ENHANCED_RAGING_BLOW",IF(Inputs!$B$3&gt;=134,MAX(0,IF(Inputs!$B$3&gt;=110,7,5)-5)*50,0),0)/100)*(1+(IF(Skills!A9="RAGING_BLOW",Inputs!$B$17+((C2836=TRUE)*(F2836-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2838=TRUE)*(F2838-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2828=TRUE)*F2828*IF(Inputs!$B$3&gt;=110,7,5))+((C2830=TRUE)*F2830*IF(AND(Inputs!$B$38&lt;&gt;"pvp",Inputs!$B$43&gt;0),(((R2830-1)*(Skills!T15*(1+(Inputs!$B$34+(ArtifactsInput!$M$7-ArtifactsInput!$M$7)*CHOOSE(ArtifactsInput!$N$7+1,6,7.2,8.4,9.6,10.8,12))/100))+MIN((Skills!T15*(1+(Inputs!$B$34+(ArtifactsInput!$M$7-ArtifactsInput!$M$7)*CHOOSE(ArtifactsInput!$N$7+1,6,7.2,8.4,9.6,10.8,12))/100)),MAX(0,Inputs!$B$43-((R2830-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Hunt"),CHOOSE(ArtifactsInput!$N$35+1,15,18,21,24,27,30)*(1-EXP(-(0.2*B2846)*5)),0)+IF(AND(ArtifactsInput!$M$22,Inputs!$B$4&lt;&gt;"Chapter Hunt"),CHOOSE(ArtifactsInput!$N$22+1,10,12,14,16,18,20)*((0*(((0.15*B2846*5))^0/1)+1*(((0.15*B2846*5))^1/1)+2*(((0.15*B2846*5))^2/2)+3*(((0.15*B2846*5))^3/6)+4*(((0.15*B2846*5))^4/24)+5*(((0.15*B2846*5))^5/120))/((((0.15*B2846*5))^0/1)+(((0.15*B2846*5))^1/1)+(((0.15*B2846*5))^2/2)+(((0.15*B2846*5))^3/6)+(((0.15*B2846*5))^4/24)+(((0.15*B2846*5))^5/120))),0)))/100)*I2824)</f>
        <v/>
      </c>
      <c r="L2824">
        <f>K2824*(MIN(Inputs!$B$22+((C2837=TRUE)*(F2837-Calc!F22)),(Inputs!$B$23+((C2839=TRUE)*(F2839-Calc!F24))+(IF(ArtifactsInput!$M$15,CHOOSE(ArtifactsInput!$N$15+1,25,30,35,40,45,50)/100*(Inputs!$B$11-Inputs!$B$11),0))))/100+(Inputs!$B$23+((C2839=TRUE)*(F2839-Calc!F24))+(IF(ArtifactsInput!$M$15,CHOOSE(ArtifactsInput!$N$15+1,25,30,35,40,45,50)/100*(Inputs!$B$11-Inputs!$B$11),0)))/100)/2</f>
        <v/>
      </c>
      <c r="M2824">
        <f>L2824*(1+(Inputs!$B$10+0+B2849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4">
        <f>L2824*(1-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2824*(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4">
        <f>(1-Summary!$B$11)*T2824+Summary!$B$11*V2824</f>
        <v/>
      </c>
      <c r="P2824">
        <f>IF(B2854=0,0,O2824/B2854)</f>
        <v/>
      </c>
      <c r="Q2824">
        <f>IFERROR(1/(IF(Inputs!$B$38="pvp",15,MAX(0.1,Skills!D9-IF(Skills!E9=TRUE,2.0,0)))*(1-IF(AND(ArtifactsInput!$M$27,Inputs!$B$4="Chapter Hunt"),CHOOSE(ArtifactsInput!$N$27+1,20,24,28,32,36,40),0)/100)),0)</f>
        <v/>
      </c>
      <c r="R2824">
        <f>IF(AND(Inputs!$B$38&lt;&gt;"pvp",Inputs!$B$43&gt;0),IF(MAX(0,Inputs!$B$43-B2851)&lt;=0,0,(INT(MAX(0,Inputs!$B$43-B2851)/(IF(Inputs!$B$38="pvp",15,MAX(0.1,Skills!D9-IF(Skills!E9=TRUE,2.0,0)))*(1-IF(AND(ArtifactsInput!$M$27,Inputs!$B$4="Chapter Hunt"),CHOOSE(ArtifactsInput!$N$27+1,20,24,28,32,36,40),0)/100)))+1)),0)</f>
        <v/>
      </c>
      <c r="S2824">
        <f>IFERROR(O2824/N2824,0)</f>
        <v/>
      </c>
      <c r="T2824">
        <f>IF(C2824,(H2824*N2824*IF(AND(Inputs!$B$38&lt;&gt;"pvp",Inputs!$B$43&gt;0),((Skills!G9*((R2824-1)*IF(Skills!H9&gt;0,Skills!I9/Skills!H9,1)+IF(Skills!H9&gt;0,MIN(Skills!I9,MAX(0,MAX(0,Inputs!$B$43-B2851)-((R2824-1)*(IF(Inputs!$B$38="pvp",15,MAX(0.1,Skills!D9-IF(Skills!E9=TRUE,2.0,0)))*(1-IF(AND(ArtifactsInput!$M$27,Inputs!$B$4="Chapter Hunt"),CHOOSE(ArtifactsInput!$N$27+1,20,24,28,32,36,40),0)/100)))))/Skills!H9,1)))/Inputs!$B$43),G2824*Q2824)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2824*(1-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2824*(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2824*(1-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2824*(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4">
        <f>IF(C2824,(H2824*N2824*IF(AND(Inputs!$B$38&lt;&gt;"pvp",Inputs!$B$43&gt;0),((Skills!G9*((R2824-1)*IF(Skills!H9&gt;0,Skills!I9/Skills!H9,1)+IF(Skills!H9&gt;0,MIN(Skills!I9,MAX(0,MAX(0,Inputs!$B$43-B2851)-((R2824-1)*(IF(Inputs!$B$38="pvp",15,MAX(0.1,Skills!D9-IF(Skills!E9=TRUE,2.0,0)))*(1-IF(AND(ArtifactsInput!$M$27,Inputs!$B$4="Chapter Hunt"),CHOOSE(ArtifactsInput!$N$27+1,20,24,28,32,36,40),0)/100)))))/Skills!H9,1)))/Inputs!$B$43),G2824*Q2824)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5">
      <c r="A2825">
        <f>Skills!A10</f>
        <v/>
      </c>
      <c r="B2825">
        <f>Skills!B10</f>
        <v/>
      </c>
      <c r="C2825">
        <f>Inputs!$B$3&gt;=63</f>
        <v/>
      </c>
      <c r="D2825">
        <f>IF(Skills!C10=1,60+Inputs!$B$25+Inputs!$B$29,IF(Skills!C10=2,90+Inputs!$B$26+Inputs!$B$29,IF(Skills!C10=3,120+Inputs!$B$27+Inputs!$B$29,MAX(0,(Inputs!$B$3-100)*3)+Inputs!$B$28+Inputs!$B$29)))</f>
        <v/>
      </c>
      <c r="E2825">
        <f>INDEX(FactorTable!$B$2:$Y$301, MATCH(ROUND(MIN(300,MAX(1,D2825)),0), FactorTable!$A$2:$A$301,0), Skills!M10+1)</f>
        <v/>
      </c>
      <c r="F2825">
        <f>IF(Skills!N10=TRUE,(Skills!L10/10)*(E2825/1000),Skills!L10/10)+Skills!O10</f>
        <v/>
      </c>
      <c r="G2825">
        <f>Skills!G10*IF(Skills!H10&gt;0,Skills!I10/Skills!H10,1)</f>
        <v/>
      </c>
      <c r="H2825">
        <f>1-(1-Skills!J10/100)^Skills!K10</f>
        <v/>
      </c>
      <c r="I2825" t="inlineStr">
        <is>
          <t>1</t>
        </is>
      </c>
      <c r="J2825">
        <f>((Inputs!$B$6*(1+Inputs!$B$7/100))+(((Inputs!$B$12*(1+Inputs!$B$13/100))-(Inputs!$B$12*(1+Inputs!$B$13/100)))+0.25*(Inputs!$B$14-Inputs!$B$14))*(1+Inputs!$B$7/100))*(F2825/100)</f>
        <v/>
      </c>
      <c r="K2825">
        <f>J2825*(1+((Inputs!$B$12*(1+Inputs!$B$13/100))*0.01+Inputs!$B$14*0.0025)/100)*(1+Inputs!$B$15/100)*(1+Inputs!$B$16/100)*(5000/(6000+Inputs!$B$42*(1-(100*(1-(1-(Inputs!$B$19+0)/100)*(1-CHOOSE(ArtifactsInput!$N$40+1,5,6,7,8,9,10)/100)^(ArtifactsInput!$M$40-ArtifactsInput!$M$40)))/100)))*(1+(Inputs!$B$24+((C2840=TRUE)*(F2840-Calc!F25))+B2850)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2827=TRUE,F2827,0)/100)*(1+IF(Skills!A10="ENHANCED_RAGING_BLOW",IF(Inputs!$B$3&gt;=134,MAX(0,IF(Inputs!$B$3&gt;=110,7,5)-5)*50,0),0)/100)*(1+(IF(Skills!A10="RAGING_BLOW",Inputs!$B$17+((C2836=TRUE)*(F2836-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2838=TRUE)*(F2838-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2828=TRUE)*F2828*IF(Inputs!$B$3&gt;=110,7,5))+((C2830=TRUE)*F2830*IF(AND(Inputs!$B$38&lt;&gt;"pvp",Inputs!$B$43&gt;0),(((R2830-1)*(Skills!T15*(1+(Inputs!$B$34+(ArtifactsInput!$M$7-ArtifactsInput!$M$7)*CHOOSE(ArtifactsInput!$N$7+1,6,7.2,8.4,9.6,10.8,12))/100))+MIN((Skills!T15*(1+(Inputs!$B$34+(ArtifactsInput!$M$7-ArtifactsInput!$M$7)*CHOOSE(ArtifactsInput!$N$7+1,6,7.2,8.4,9.6,10.8,12))/100)),MAX(0,Inputs!$B$43-((R2830-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Hunt"),CHOOSE(ArtifactsInput!$N$35+1,15,18,21,24,27,30)*(1-EXP(-(0.2*B2846)*5)),0)+IF(AND(ArtifactsInput!$M$22,Inputs!$B$4&lt;&gt;"Chapter Hunt"),CHOOSE(ArtifactsInput!$N$22+1,10,12,14,16,18,20)*((0*(((0.15*B2846*5))^0/1)+1*(((0.15*B2846*5))^1/1)+2*(((0.15*B2846*5))^2/2)+3*(((0.15*B2846*5))^3/6)+4*(((0.15*B2846*5))^4/24)+5*(((0.15*B2846*5))^5/120))/((((0.15*B2846*5))^0/1)+(((0.15*B2846*5))^1/1)+(((0.15*B2846*5))^2/2)+(((0.15*B2846*5))^3/6)+(((0.15*B2846*5))^4/24)+(((0.15*B2846*5))^5/120))),0)))/100)*I2825)</f>
        <v/>
      </c>
      <c r="L2825">
        <f>K2825*(MIN(Inputs!$B$22+((C2837=TRUE)*(F2837-Calc!F22)),(Inputs!$B$23+((C2839=TRUE)*(F2839-Calc!F24))+(IF(ArtifactsInput!$M$15,CHOOSE(ArtifactsInput!$N$15+1,25,30,35,40,45,50)/100*(Inputs!$B$11-Inputs!$B$11),0))))/100+(Inputs!$B$23+((C2839=TRUE)*(F2839-Calc!F24))+(IF(ArtifactsInput!$M$15,CHOOSE(ArtifactsInput!$N$15+1,25,30,35,40,45,50)/100*(Inputs!$B$11-Inputs!$B$11),0)))/100)/2</f>
        <v/>
      </c>
      <c r="M2825">
        <f>L2825*(1+(Inputs!$B$10+0+B2849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5">
        <f>L2825*(1-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2825*(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5">
        <f>(1-Summary!$B$11)*T2825+Summary!$B$11*V2825</f>
        <v/>
      </c>
      <c r="P2825">
        <f>IF(B2854=0,0,O2825/B2854)</f>
        <v/>
      </c>
      <c r="Q2825">
        <f>IFERROR(1/(IF(Inputs!$B$38="pvp",15,MAX(0.1,Skills!D10-IF(Skills!E10=TRUE,2.0,0)))*(1-IF(AND(ArtifactsInput!$M$27,Inputs!$B$4="Chapter Hunt"),CHOOSE(ArtifactsInput!$N$27+1,20,24,28,32,36,40),0)/100)),0)</f>
        <v/>
      </c>
      <c r="R2825">
        <f>IF(AND(Inputs!$B$38&lt;&gt;"pvp",Inputs!$B$43&gt;0),IF(MAX(0,Inputs!$B$43-B2851)&lt;=0,0,(INT(MAX(0,Inputs!$B$43-B2851)/(IF(Inputs!$B$38="pvp",15,MAX(0.1,Skills!D10-IF(Skills!E10=TRUE,2.0,0)))*(1-IF(AND(ArtifactsInput!$M$27,Inputs!$B$4="Chapter Hunt"),CHOOSE(ArtifactsInput!$N$27+1,20,24,28,32,36,40),0)/100)))+1)),0)</f>
        <v/>
      </c>
      <c r="S2825">
        <f>IFERROR(O2825/N2825,0)</f>
        <v/>
      </c>
      <c r="T2825">
        <f>IF(C2825,(H2825*N2825*IF(AND(Inputs!$B$38&lt;&gt;"pvp",Inputs!$B$43&gt;0),((Skills!G10*((R2825-1)*IF(Skills!H10&gt;0,Skills!I10/Skills!H10,1)+IF(Skills!H10&gt;0,MIN(Skills!I10,MAX(0,MAX(0,Inputs!$B$43-B2851)-((R2825-1)*(IF(Inputs!$B$38="pvp",15,MAX(0.1,Skills!D10-IF(Skills!E10=TRUE,2.0,0)))*(1-IF(AND(ArtifactsInput!$M$27,Inputs!$B$4="Chapter Hunt"),CHOOSE(ArtifactsInput!$N$27+1,20,24,28,32,36,40),0)/100)))))/Skills!H10,1)))/Inputs!$B$43),G2825*Q2825)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2825*(1-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2825*(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2825*(1-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2825*(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5">
        <f>IF(C2825,(H2825*N2825*IF(AND(Inputs!$B$38&lt;&gt;"pvp",Inputs!$B$43&gt;0),((Skills!G10*((R2825-1)*IF(Skills!H10&gt;0,Skills!I10/Skills!H10,1)+IF(Skills!H10&gt;0,MIN(Skills!I10,MAX(0,MAX(0,Inputs!$B$43-B2851)-((R2825-1)*(IF(Inputs!$B$38="pvp",15,MAX(0.1,Skills!D10-IF(Skills!E10=TRUE,2.0,0)))*(1-IF(AND(ArtifactsInput!$M$27,Inputs!$B$4="Chapter Hunt"),CHOOSE(ArtifactsInput!$N$27+1,20,24,28,32,36,40),0)/100)))))/Skills!H10,1)))/Inputs!$B$43),G2825*Q2825)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6">
      <c r="A2826">
        <f>Skills!A11</f>
        <v/>
      </c>
      <c r="B2826">
        <f>Skills!B11</f>
        <v/>
      </c>
      <c r="C2826">
        <f>Inputs!$B$3&gt;=35</f>
        <v/>
      </c>
      <c r="D2826">
        <f>IF(Skills!C11=1,60+Inputs!$B$25+Inputs!$B$29,IF(Skills!C11=2,90+Inputs!$B$26+Inputs!$B$29,IF(Skills!C11=3,120+Inputs!$B$27+Inputs!$B$29,MAX(0,(Inputs!$B$3-100)*3)+Inputs!$B$28+Inputs!$B$29)))</f>
        <v/>
      </c>
      <c r="E2826">
        <f>INDEX(FactorTable!$B$2:$Y$301, MATCH(ROUND(MIN(300,MAX(1,D2826)),0), FactorTable!$A$2:$A$301,0), Skills!M11+1)</f>
        <v/>
      </c>
      <c r="F2826">
        <f>IF(Skills!N11=TRUE,(Skills!L11/10)*(E2826/1000),Skills!L11/10)+Skills!O11</f>
        <v/>
      </c>
      <c r="G2826">
        <f>Skills!G11*IF(Skills!H11&gt;0,Skills!I11/Skills!H11,1)</f>
        <v/>
      </c>
      <c r="H2826">
        <f>1-(1-Skills!J11/100)^Skills!K11</f>
        <v/>
      </c>
      <c r="I2826" t="inlineStr">
        <is>
          <t>1</t>
        </is>
      </c>
      <c r="J2826">
        <f>((Inputs!$B$6*(1+Inputs!$B$7/100))+(((Inputs!$B$12*(1+Inputs!$B$13/100))-(Inputs!$B$12*(1+Inputs!$B$13/100)))+0.25*(Inputs!$B$14-Inputs!$B$14))*(1+Inputs!$B$7/100))*(F2826/100)</f>
        <v/>
      </c>
      <c r="K2826">
        <f>J2826*(1+((Inputs!$B$12*(1+Inputs!$B$13/100))*0.01+Inputs!$B$14*0.0025)/100)*(1+Inputs!$B$15/100)*(1+Inputs!$B$16/100)*(5000/(6000+Inputs!$B$42*(1-(100*(1-(1-(Inputs!$B$19+0)/100)*(1-CHOOSE(ArtifactsInput!$N$40+1,5,6,7,8,9,10)/100)^(ArtifactsInput!$M$40-ArtifactsInput!$M$40)))/100)))*(1+(Inputs!$B$24+((C2840=TRUE)*(F2840-Calc!F25))+B2850)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2827=TRUE,F2827,0)/100)*(1+IF(Skills!A11="ENHANCED_RAGING_BLOW",IF(Inputs!$B$3&gt;=134,MAX(0,IF(Inputs!$B$3&gt;=110,7,5)-5)*50,0),0)/100)*(1+(IF(Skills!A11="RAGING_BLOW",Inputs!$B$17+((C2836=TRUE)*(F2836-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2838=TRUE)*(F2838-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2828=TRUE)*F2828*IF(Inputs!$B$3&gt;=110,7,5))+((C2830=TRUE)*F2830*IF(AND(Inputs!$B$38&lt;&gt;"pvp",Inputs!$B$43&gt;0),(((R2830-1)*(Skills!T15*(1+(Inputs!$B$34+(ArtifactsInput!$M$7-ArtifactsInput!$M$7)*CHOOSE(ArtifactsInput!$N$7+1,6,7.2,8.4,9.6,10.8,12))/100))+MIN((Skills!T15*(1+(Inputs!$B$34+(ArtifactsInput!$M$7-ArtifactsInput!$M$7)*CHOOSE(ArtifactsInput!$N$7+1,6,7.2,8.4,9.6,10.8,12))/100)),MAX(0,Inputs!$B$43-((R2830-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Hunt"),CHOOSE(ArtifactsInput!$N$35+1,15,18,21,24,27,30)*(1-EXP(-(0.2*B2846)*5)),0)+IF(AND(ArtifactsInput!$M$22,Inputs!$B$4&lt;&gt;"Chapter Hunt"),CHOOSE(ArtifactsInput!$N$22+1,10,12,14,16,18,20)*((0*(((0.15*B2846*5))^0/1)+1*(((0.15*B2846*5))^1/1)+2*(((0.15*B2846*5))^2/2)+3*(((0.15*B2846*5))^3/6)+4*(((0.15*B2846*5))^4/24)+5*(((0.15*B2846*5))^5/120))/((((0.15*B2846*5))^0/1)+(((0.15*B2846*5))^1/1)+(((0.15*B2846*5))^2/2)+(((0.15*B2846*5))^3/6)+(((0.15*B2846*5))^4/24)+(((0.15*B2846*5))^5/120))),0)))/100)*I2826)</f>
        <v/>
      </c>
      <c r="L2826">
        <f>K2826*(MIN(Inputs!$B$22+((C2837=TRUE)*(F2837-Calc!F22)),(Inputs!$B$23+((C2839=TRUE)*(F2839-Calc!F24))+(IF(ArtifactsInput!$M$15,CHOOSE(ArtifactsInput!$N$15+1,25,30,35,40,45,50)/100*(Inputs!$B$11-Inputs!$B$11),0))))/100+(Inputs!$B$23+((C2839=TRUE)*(F2839-Calc!F24))+(IF(ArtifactsInput!$M$15,CHOOSE(ArtifactsInput!$N$15+1,25,30,35,40,45,50)/100*(Inputs!$B$11-Inputs!$B$11),0)))/100)/2</f>
        <v/>
      </c>
      <c r="M2826">
        <f>L2826*(1+(Inputs!$B$10+0+B2849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6">
        <f>L2826*(1-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2826*(MIN((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6">
        <f>(1-Summary!$B$11)*T2826+Summary!$B$11*V2826</f>
        <v/>
      </c>
      <c r="P2826">
        <f>IF(B2854=0,0,O2826/B2854)</f>
        <v/>
      </c>
      <c r="Q2826">
        <f>IFERROR(1/(IF(Inputs!$B$38="pvp",15,MAX(0.1,Skills!D11-IF(Skills!E11=TRUE,2.0,0)))*(1-IF(AND(ArtifactsInput!$M$27,Inputs!$B$4="Chapter Hunt"),CHOOSE(ArtifactsInput!$N$27+1,20,24,28,32,36,40),0)/100)),0)</f>
        <v/>
      </c>
      <c r="R2826">
        <f>IF(AND(Inputs!$B$38&lt;&gt;"pvp",Inputs!$B$43&gt;0),IF(MAX(0,Inputs!$B$43-B2851)&lt;=0,0,(INT(MAX(0,Inputs!$B$43-B2851)/(IF(Inputs!$B$38="pvp",15,MAX(0.1,Skills!D11-IF(Skills!E11=TRUE,2.0,0)))*(1-IF(AND(ArtifactsInput!$M$27,Inputs!$B$4="Chapter Hunt"),CHOOSE(ArtifactsInput!$N$27+1,20,24,28,32,36,40),0)/100)))+1)),0)</f>
        <v/>
      </c>
      <c r="S2826">
        <f>IFERROR(O2826/N2826,0)</f>
        <v/>
      </c>
      <c r="T2826">
        <f>IF(C2826,(H2826*N2826*IF(AND(Inputs!$B$38&lt;&gt;"pvp",Inputs!$B$43&gt;0),((Skills!G11*((R2826-1)*IF(Skills!H11&gt;0,Skills!I11/Skills!H11,1)+IF(Skills!H11&gt;0,MIN(Skills!I11,MAX(0,MAX(0,Inputs!$B$43-B2851)-((R2826-1)*(IF(Inputs!$B$38="pvp",15,MAX(0.1,Skills!D11-IF(Skills!E11=TRUE,2.0,0)))*(1-IF(AND(ArtifactsInput!$M$27,Inputs!$B$4="Chapter Hunt"),CHOOSE(ArtifactsInput!$N$27+1,20,24,28,32,36,40),0)/100)))))/Skills!H11,1)))/Inputs!$B$43),G2826*Q2826)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2826*(1-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2826*(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2826*(1-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2826*(MIN(100,(Inputs!$B$9+((C2841=TRUE)*(F2841-Calc!F26))+B2844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6">
        <f>IF(C2826,(H2826*N2826*IF(AND(Inputs!$B$38&lt;&gt;"pvp",Inputs!$B$43&gt;0),((Skills!G11*((R2826-1)*IF(Skills!H11&gt;0,Skills!I11/Skills!H11,1)+IF(Skills!H11&gt;0,MIN(Skills!I11,MAX(0,MAX(0,Inputs!$B$43-B2851)-((R2826-1)*(IF(Inputs!$B$38="pvp",15,MAX(0.1,Skills!D11-IF(Skills!E11=TRUE,2.0,0)))*(1-IF(AND(ArtifactsInput!$M$27,Inputs!$B$4="Chapter Hunt"),CHOOSE(ArtifactsInput!$N$27+1,20,24,28,32,36,40),0)/100)))))/Skills!H11,1)))/Inputs!$B$43),G2826*Q2826)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7">
      <c r="A2827">
        <f>Skills!A12</f>
        <v/>
      </c>
      <c r="B2827">
        <f>Skills!B12</f>
        <v/>
      </c>
      <c r="C2827">
        <f>Inputs!$B$3&gt;=100</f>
        <v/>
      </c>
      <c r="D2827">
        <f>IF(Skills!C12=1,60+Inputs!$B$25+Inputs!$B$29,IF(Skills!C12=2,90+Inputs!$B$26+Inputs!$B$29,IF(Skills!C12=3,120+Inputs!$B$27+Inputs!$B$29,MAX(0,(Inputs!$B$3-100)*3)+Inputs!$B$28+Inputs!$B$29)))</f>
        <v/>
      </c>
      <c r="E2827">
        <f>INDEX(FactorTable!$B$2:$Y$301, MATCH(ROUND(MIN(300,MAX(1,D2827)),0), FactorTable!$A$2:$A$301,0), Skills!M12+1)</f>
        <v/>
      </c>
      <c r="F2827">
        <f>IF(Skills!N12=TRUE,(Skills!L12/10)*(E2827/1000),Skills!L12/10)+Skills!O12</f>
        <v/>
      </c>
      <c r="G2827" t="inlineStr"/>
      <c r="H2827" t="inlineStr"/>
      <c r="I2827" t="inlineStr">
        <is>
          <t>1</t>
        </is>
      </c>
      <c r="J2827" t="inlineStr"/>
      <c r="K2827" t="inlineStr"/>
      <c r="L2827" t="inlineStr"/>
      <c r="M2827" t="inlineStr"/>
      <c r="N2827" t="inlineStr"/>
      <c r="O2827" t="inlineStr"/>
      <c r="P2827" t="inlineStr"/>
      <c r="Q2827" t="inlineStr"/>
      <c r="R2827" t="inlineStr"/>
      <c r="S2827" t="inlineStr"/>
    </row>
    <row r="2828">
      <c r="A2828">
        <f>Skills!A13</f>
        <v/>
      </c>
      <c r="B2828">
        <f>Skills!B13</f>
        <v/>
      </c>
      <c r="C2828">
        <f>Inputs!$B$3&gt;=45</f>
        <v/>
      </c>
      <c r="D2828">
        <f>IF(Skills!C13=1,60+Inputs!$B$25+Inputs!$B$29,IF(Skills!C13=2,90+Inputs!$B$26+Inputs!$B$29,IF(Skills!C13=3,120+Inputs!$B$27+Inputs!$B$29,MAX(0,(Inputs!$B$3-100)*3)+Inputs!$B$28+Inputs!$B$29)))</f>
        <v/>
      </c>
      <c r="E2828">
        <f>INDEX(FactorTable!$B$2:$Y$301, MATCH(ROUND(MIN(300,MAX(1,D2828)),0), FactorTable!$A$2:$A$301,0), Skills!M13+1)</f>
        <v/>
      </c>
      <c r="F2828">
        <f>IF(Skills!N13=TRUE,(Skills!L13/10)*(E2828/1000),Skills!L13/10)+Skills!O13</f>
        <v/>
      </c>
      <c r="G2828">
        <f>Skills!G13*IF(Skills!H13&gt;0,Skills!I13/Skills!H13,1)</f>
        <v/>
      </c>
      <c r="H2828">
        <f>1-(1-Skills!J13/100)^Skills!K13</f>
        <v/>
      </c>
      <c r="I2828" t="inlineStr">
        <is>
          <t>1</t>
        </is>
      </c>
      <c r="J2828" t="inlineStr"/>
      <c r="K2828" t="inlineStr"/>
      <c r="L2828" t="inlineStr"/>
      <c r="M2828" t="inlineStr"/>
      <c r="N2828" t="inlineStr"/>
      <c r="O2828">
        <f>(1-Summary!$B$11)*T2828+Summary!$B$11*V2828</f>
        <v/>
      </c>
      <c r="P2828">
        <f>IF(B2854=0,0,O2828/B2854)</f>
        <v/>
      </c>
      <c r="Q2828" t="n">
        <v>0</v>
      </c>
      <c r="R2828" t="n">
        <v>0</v>
      </c>
      <c r="S2828">
        <f>IFERROR(O2828/N2828,0)</f>
        <v/>
      </c>
      <c r="T2828" t="n">
        <v>0</v>
      </c>
      <c r="V2828" t="n">
        <v>0</v>
      </c>
    </row>
    <row r="2829">
      <c r="A2829">
        <f>Skills!A14</f>
        <v/>
      </c>
      <c r="B2829">
        <f>Skills!B14</f>
        <v/>
      </c>
      <c r="C2829">
        <f>Inputs!$B$3&gt;=75</f>
        <v/>
      </c>
      <c r="D2829">
        <f>IF(Skills!C14=1,60+Inputs!$B$25+Inputs!$B$29,IF(Skills!C14=2,90+Inputs!$B$26+Inputs!$B$29,IF(Skills!C14=3,120+Inputs!$B$27+Inputs!$B$29,MAX(0,(Inputs!$B$3-100)*3)+Inputs!$B$28+Inputs!$B$29)))</f>
        <v/>
      </c>
      <c r="E2829">
        <f>INDEX(FactorTable!$B$2:$Y$301, MATCH(ROUND(MIN(300,MAX(1,D2829)),0), FactorTable!$A$2:$A$301,0), Skills!M14+1)</f>
        <v/>
      </c>
      <c r="F2829">
        <f>IF(Skills!N14=TRUE,(Skills!L14/10)*(E2829/1000),Skills!L14/10)+Skills!O14</f>
        <v/>
      </c>
      <c r="G2829">
        <f>Skills!G14*IF(Skills!H14&gt;0,Skills!I14/Skills!H14,1)</f>
        <v/>
      </c>
      <c r="H2829">
        <f>1-(1-Skills!J14/100)^Skills!K14</f>
        <v/>
      </c>
      <c r="I2829" t="inlineStr">
        <is>
          <t>1</t>
        </is>
      </c>
      <c r="J2829" t="inlineStr"/>
      <c r="K2829" t="inlineStr"/>
      <c r="L2829" t="inlineStr"/>
      <c r="M2829" t="inlineStr"/>
      <c r="N2829" t="inlineStr"/>
      <c r="O2829">
        <f>(1-Summary!$B$11)*T2829+Summary!$B$11*V2829</f>
        <v/>
      </c>
      <c r="P2829">
        <f>IF(B2854=0,0,O2829/B2854)</f>
        <v/>
      </c>
      <c r="Q2829" t="n">
        <v>0</v>
      </c>
      <c r="R2829" t="n">
        <v>0</v>
      </c>
      <c r="S2829">
        <f>IFERROR(O2829/N2829,0)</f>
        <v/>
      </c>
      <c r="T2829" t="n">
        <v>0</v>
      </c>
      <c r="V2829" t="n">
        <v>0</v>
      </c>
    </row>
    <row r="2830">
      <c r="A2830">
        <f>Skills!A15</f>
        <v/>
      </c>
      <c r="B2830">
        <f>Skills!B15</f>
        <v/>
      </c>
      <c r="C2830">
        <f>Inputs!$B$3&gt;=40</f>
        <v/>
      </c>
      <c r="D2830">
        <f>IF(Skills!C15=1,60+Inputs!$B$25+Inputs!$B$29,IF(Skills!C15=2,90+Inputs!$B$26+Inputs!$B$29,IF(Skills!C15=3,120+Inputs!$B$27+Inputs!$B$29,MAX(0,(Inputs!$B$3-100)*3)+Inputs!$B$28+Inputs!$B$29)))</f>
        <v/>
      </c>
      <c r="E2830">
        <f>INDEX(FactorTable!$B$2:$Y$301, MATCH(ROUND(MIN(300,MAX(1,D2830)),0), FactorTable!$A$2:$A$301,0), Skills!M15+1)</f>
        <v/>
      </c>
      <c r="F2830">
        <f>IF(Skills!N15=TRUE,(Skills!L15/10)*(E2830/1000),Skills!L15/10)+Skills!O15</f>
        <v/>
      </c>
      <c r="G2830">
        <f>Skills!G15*IF(Skills!H15&gt;0,Skills!I15/Skills!H15,1)</f>
        <v/>
      </c>
      <c r="H2830">
        <f>1-(1-Skills!J15/100)^Skills!K15</f>
        <v/>
      </c>
      <c r="I2830" t="inlineStr">
        <is>
          <t>1</t>
        </is>
      </c>
      <c r="J2830" t="inlineStr"/>
      <c r="K2830" t="inlineStr"/>
      <c r="L2830" t="inlineStr"/>
      <c r="M2830" t="inlineStr"/>
      <c r="N2830" t="inlineStr"/>
      <c r="O2830">
        <f>(1-Summary!$B$11)*T2830+Summary!$B$11*V2830</f>
        <v/>
      </c>
      <c r="P2830">
        <f>IF(B2854=0,0,O2830/B2854)</f>
        <v/>
      </c>
      <c r="Q2830">
        <f>IFERROR(1/(IF(Inputs!$B$38="pvp",15,MAX(0.1,Skills!D15-IF(Skills!E15=TRUE,2.0,0)))*(1-IF(AND(ArtifactsInput!$M$27,Inputs!$B$4="Chapter Hunt"),CHOOSE(ArtifactsInput!$N$27+1,20,24,28,32,36,40),0)/100)),0)</f>
        <v/>
      </c>
      <c r="R2830">
        <f>IF(AND(Inputs!$B$38&lt;&gt;"pvp",Inputs!$B$43&gt;0),IF(Inputs!$B$43&lt;=0,0,(INT(Inputs!$B$43/(IF(Inputs!$B$38="pvp",15,MAX(0.1,Skills!D15-IF(Skills!E15=TRUE,2.0,0)))*(1-IF(AND(ArtifactsInput!$M$27,Inputs!$B$4="Chapter Hunt"),CHOOSE(ArtifactsInput!$N$27+1,20,24,28,32,36,40),0)/100)))+1)),0)</f>
        <v/>
      </c>
      <c r="S2830">
        <f>IFERROR(O2830/N2830,0)</f>
        <v/>
      </c>
      <c r="T2830" t="n">
        <v>0</v>
      </c>
      <c r="V2830" t="n">
        <v>0</v>
      </c>
    </row>
    <row r="2831">
      <c r="A2831">
        <f>Skills!A16</f>
        <v/>
      </c>
      <c r="B2831">
        <f>Skills!B16</f>
        <v/>
      </c>
      <c r="C2831">
        <f>Inputs!$B$3&gt;=66</f>
        <v/>
      </c>
      <c r="D2831">
        <f>IF(Skills!C16=1,60+Inputs!$B$25+Inputs!$B$29,IF(Skills!C16=2,90+Inputs!$B$26+Inputs!$B$29,IF(Skills!C16=3,120+Inputs!$B$27+Inputs!$B$29,MAX(0,(Inputs!$B$3-100)*3)+Inputs!$B$28+Inputs!$B$29)))</f>
        <v/>
      </c>
      <c r="E2831">
        <f>INDEX(FactorTable!$B$2:$Y$301, MATCH(ROUND(MIN(300,MAX(1,D2831)),0), FactorTable!$A$2:$A$301,0), Skills!M16+1)</f>
        <v/>
      </c>
      <c r="F2831">
        <f>IF(Skills!N16=TRUE,(Skills!L16/10)*(E2831/1000),Skills!L16/10)+Skills!O16</f>
        <v/>
      </c>
      <c r="G2831">
        <f>Skills!G16*IF(Skills!H16&gt;0,Skills!I16/Skills!H16,1)</f>
        <v/>
      </c>
      <c r="H2831">
        <f>1-(1-Skills!J16/100)^Skills!K16</f>
        <v/>
      </c>
      <c r="I2831" t="inlineStr">
        <is>
          <t>1</t>
        </is>
      </c>
      <c r="J2831" t="inlineStr"/>
      <c r="K2831" t="inlineStr"/>
      <c r="L2831" t="inlineStr"/>
      <c r="M2831" t="inlineStr"/>
      <c r="N2831" t="inlineStr"/>
      <c r="O2831">
        <f>(1-Summary!$B$11)*T2831+Summary!$B$11*V2831</f>
        <v/>
      </c>
      <c r="P2831">
        <f>IF(B2854=0,0,O2831/B2854)</f>
        <v/>
      </c>
      <c r="Q2831">
        <f>IFERROR(1/(IF(Inputs!$B$38="pvp",15,MAX(0.1,Skills!D16-IF(Skills!E16=TRUE,2.0,0)))*(1-IF(AND(ArtifactsInput!$M$27,Inputs!$B$4="Chapter Hunt"),CHOOSE(ArtifactsInput!$N$27+1,20,24,28,32,36,40),0)/100)),0)</f>
        <v/>
      </c>
      <c r="R2831">
        <f>IF(AND(Inputs!$B$38&lt;&gt;"pvp",Inputs!$B$43&gt;0),IF(Inputs!$B$43&lt;=0,0,(INT(Inputs!$B$43/(IF(Inputs!$B$38="pvp",15,MAX(0.1,Skills!D16-IF(Skills!E16=TRUE,2.0,0)))*(1-IF(AND(ArtifactsInput!$M$27,Inputs!$B$4="Chapter Hunt"),CHOOSE(ArtifactsInput!$N$27+1,20,24,28,32,36,40),0)/100)))+1)),0)</f>
        <v/>
      </c>
      <c r="S2831">
        <f>IFERROR(O2831/N2831,0)</f>
        <v/>
      </c>
      <c r="T2831" t="n">
        <v>0</v>
      </c>
      <c r="V2831" t="n">
        <v>0</v>
      </c>
    </row>
    <row r="2832">
      <c r="A2832">
        <f>Skills!A17</f>
        <v/>
      </c>
      <c r="B2832">
        <f>Skills!B17</f>
        <v/>
      </c>
      <c r="C2832">
        <f>Inputs!$B$3&gt;=115</f>
        <v/>
      </c>
      <c r="D2832">
        <f>IF(Skills!C17=1,60+Inputs!$B$25+Inputs!$B$29,IF(Skills!C17=2,90+Inputs!$B$26+Inputs!$B$29,IF(Skills!C17=3,120+Inputs!$B$27+Inputs!$B$29,MAX(0,(Inputs!$B$3-100)*3)+Inputs!$B$28+Inputs!$B$29)))</f>
        <v/>
      </c>
      <c r="E2832">
        <f>INDEX(FactorTable!$B$2:$Y$301, MATCH(ROUND(MIN(300,MAX(1,D2832)),0), FactorTable!$A$2:$A$301,0), Skills!M17+1)</f>
        <v/>
      </c>
      <c r="F2832">
        <f>IF(Skills!N17=TRUE,(Skills!L17/10)*(E2832/1000),Skills!L17/10)+Skills!O17</f>
        <v/>
      </c>
      <c r="G2832">
        <f>Skills!G17*IF(Skills!H17&gt;0,Skills!I17/Skills!H17,1)</f>
        <v/>
      </c>
      <c r="H2832">
        <f>1-(1-Skills!J17/100)^Skills!K17</f>
        <v/>
      </c>
      <c r="I2832" t="inlineStr">
        <is>
          <t>1</t>
        </is>
      </c>
      <c r="J2832" t="inlineStr"/>
      <c r="K2832" t="inlineStr"/>
      <c r="L2832" t="inlineStr"/>
      <c r="M2832" t="inlineStr"/>
      <c r="N2832" t="inlineStr"/>
      <c r="O2832">
        <f>(1-Summary!$B$11)*T2832+Summary!$B$11*V2832</f>
        <v/>
      </c>
      <c r="P2832">
        <f>IF(B2854=0,0,O2832/B2854)</f>
        <v/>
      </c>
      <c r="Q2832">
        <f>IFERROR(1/(IF(Inputs!$B$38="pvp",15,MAX(0.1,Skills!D17-IF(Skills!E17=TRUE,2.0,0)))*(1-IF(AND(ArtifactsInput!$M$27,Inputs!$B$4="Chapter Hunt"),CHOOSE(ArtifactsInput!$N$27+1,20,24,28,32,36,40),0)/100)),0)</f>
        <v/>
      </c>
      <c r="R2832">
        <f>IF(AND(Inputs!$B$38&lt;&gt;"pvp",Inputs!$B$43&gt;0),IF(Inputs!$B$43&lt;=0,0,(INT(Inputs!$B$43/(IF(Inputs!$B$38="pvp",15,MAX(0.1,Skills!D17-IF(Skills!E17=TRUE,2.0,0)))*(1-IF(AND(ArtifactsInput!$M$27,Inputs!$B$4="Chapter Hunt"),CHOOSE(ArtifactsInput!$N$27+1,20,24,28,32,36,40),0)/100)))+1)),0)</f>
        <v/>
      </c>
      <c r="S2832">
        <f>IFERROR(O2832/N2832,0)</f>
        <v/>
      </c>
      <c r="T2832" t="n">
        <v>0</v>
      </c>
      <c r="V2832" t="n">
        <v>0</v>
      </c>
    </row>
    <row r="2833">
      <c r="A2833">
        <f>Skills!A18</f>
        <v/>
      </c>
      <c r="B2833">
        <f>Skills!B18</f>
        <v/>
      </c>
      <c r="C2833">
        <f>Inputs!$B$3&gt;=115</f>
        <v/>
      </c>
      <c r="D2833">
        <f>IF(Skills!C18=1,60+Inputs!$B$25+Inputs!$B$29,IF(Skills!C18=2,90+Inputs!$B$26+Inputs!$B$29,IF(Skills!C18=3,120+Inputs!$B$27+Inputs!$B$29,MAX(0,(Inputs!$B$3-100)*3)+Inputs!$B$28+Inputs!$B$29)))</f>
        <v/>
      </c>
      <c r="E2833">
        <f>INDEX(FactorTable!$B$2:$Y$301, MATCH(ROUND(MIN(300,MAX(1,D2833)),0), FactorTable!$A$2:$A$301,0), Skills!M18+1)</f>
        <v/>
      </c>
      <c r="F2833">
        <f>IF(Skills!N18=TRUE,(Skills!L18/10)*(E2833/1000),Skills!L18/10)+Skills!O18</f>
        <v/>
      </c>
      <c r="G2833">
        <f>Skills!G18*IF(Skills!H18&gt;0,Skills!I18/Skills!H18,1)</f>
        <v/>
      </c>
      <c r="H2833">
        <f>1-(1-Skills!J18/100)^Skills!K18</f>
        <v/>
      </c>
      <c r="I2833" t="inlineStr">
        <is>
          <t>1</t>
        </is>
      </c>
      <c r="J2833" t="inlineStr"/>
      <c r="K2833" t="inlineStr"/>
      <c r="L2833" t="inlineStr"/>
      <c r="M2833" t="inlineStr"/>
      <c r="N2833" t="inlineStr"/>
      <c r="O2833">
        <f>(1-Summary!$B$11)*T2833+Summary!$B$11*V2833</f>
        <v/>
      </c>
      <c r="P2833">
        <f>IF(B2854=0,0,O2833/B2854)</f>
        <v/>
      </c>
      <c r="Q2833">
        <f>IFERROR(1/(IF(Inputs!$B$38="pvp",15,MAX(0.1,Skills!D18-IF(Skills!E18=TRUE,2.0,0)))*(1-IF(AND(ArtifactsInput!$M$27,Inputs!$B$4="Chapter Hunt"),CHOOSE(ArtifactsInput!$N$27+1,20,24,28,32,36,40),0)/100)),0)</f>
        <v/>
      </c>
      <c r="R2833">
        <f>IF(AND(Inputs!$B$38&lt;&gt;"pvp",Inputs!$B$43&gt;0),IF(Inputs!$B$43&lt;=0,0,(INT(Inputs!$B$43/(IF(Inputs!$B$38="pvp",15,MAX(0.1,Skills!D18-IF(Skills!E18=TRUE,2.0,0)))*(1-IF(AND(ArtifactsInput!$M$27,Inputs!$B$4="Chapter Hunt"),CHOOSE(ArtifactsInput!$N$27+1,20,24,28,32,36,40),0)/100)))+1)),0)</f>
        <v/>
      </c>
      <c r="S2833">
        <f>IFERROR(O2833/N2833,0)</f>
        <v/>
      </c>
      <c r="T2833" t="n">
        <v>0</v>
      </c>
      <c r="V2833" t="n">
        <v>0</v>
      </c>
    </row>
    <row r="2834">
      <c r="A2834">
        <f>Skills!A19</f>
        <v/>
      </c>
      <c r="B2834">
        <f>Skills!B19</f>
        <v/>
      </c>
      <c r="C2834">
        <f>TRUE</f>
        <v/>
      </c>
      <c r="D2834">
        <f>IF(Skills!C19=1,60+Inputs!$B$25+Inputs!$B$29,IF(Skills!C19=2,90+Inputs!$B$26+Inputs!$B$29,IF(Skills!C19=3,120+Inputs!$B$27+Inputs!$B$29,MAX(0,(Inputs!$B$3-100)*3)+Inputs!$B$28+Inputs!$B$29)))</f>
        <v/>
      </c>
      <c r="E2834">
        <f>INDEX(FactorTable!$B$2:$Y$301, MATCH(ROUND(MIN(300,MAX(1,D2834)),0), FactorTable!$A$2:$A$301,0), Skills!M19+1)</f>
        <v/>
      </c>
      <c r="F2834">
        <f>IF(Skills!N19=TRUE,(Skills!L19/10)*(E2834/1000),Skills!L19/10)+Skills!O19</f>
        <v/>
      </c>
      <c r="G2834">
        <f>Skills!G19*IF(Skills!H19&gt;0,Skills!I19/Skills!H19,1)</f>
        <v/>
      </c>
      <c r="H2834">
        <f>1-(1-Skills!J19/100)^Skills!K19</f>
        <v/>
      </c>
      <c r="I2834" t="inlineStr">
        <is>
          <t>1</t>
        </is>
      </c>
      <c r="J2834" t="inlineStr"/>
      <c r="K2834" t="inlineStr"/>
      <c r="L2834" t="inlineStr"/>
      <c r="M2834" t="inlineStr"/>
      <c r="N2834" t="inlineStr"/>
      <c r="O2834">
        <f>(1-Summary!$B$11)*T2834+Summary!$B$11*V2834</f>
        <v/>
      </c>
      <c r="P2834">
        <f>IF(B2854=0,0,O2834/B2854)</f>
        <v/>
      </c>
      <c r="Q2834">
        <f>IFERROR(1/(IF(Inputs!$B$38="pvp",15,MAX(0.1,Skills!D19-IF(Skills!E19=TRUE,2.0,0)))*(1-IF(AND(ArtifactsInput!$M$27,Inputs!$B$4="Chapter Hunt"),CHOOSE(ArtifactsInput!$N$27+1,20,24,28,32,36,40),0)/100)),0)</f>
        <v/>
      </c>
      <c r="R2834">
        <f>IF(AND(Inputs!$B$38&lt;&gt;"pvp",Inputs!$B$43&gt;0),IF(Inputs!$B$43&lt;=0,0,(INT(Inputs!$B$43/(IF(Inputs!$B$38="pvp",15,MAX(0.1,Skills!D19-IF(Skills!E19=TRUE,2.0,0)))*(1-IF(AND(ArtifactsInput!$M$27,Inputs!$B$4="Chapter Hunt"),CHOOSE(ArtifactsInput!$N$27+1,20,24,28,32,36,40),0)/100)))+1)),0)</f>
        <v/>
      </c>
      <c r="S2834">
        <f>IFERROR(O2834/N2834,0)</f>
        <v/>
      </c>
      <c r="T2834" t="n">
        <v>0</v>
      </c>
      <c r="V2834" t="n">
        <v>0</v>
      </c>
    </row>
    <row r="2835">
      <c r="A2835">
        <f>Skills!A20</f>
        <v/>
      </c>
      <c r="B2835">
        <f>Skills!B20</f>
        <v/>
      </c>
      <c r="C2835">
        <f>Inputs!$B$3&gt;=33</f>
        <v/>
      </c>
      <c r="D2835">
        <f>IF(Skills!C20=1,60+Inputs!$B$25+Inputs!$B$29,IF(Skills!C20=2,90+Inputs!$B$26+Inputs!$B$29,IF(Skills!C20=3,120+Inputs!$B$27+Inputs!$B$29,MAX(0,(Inputs!$B$3-100)*3)+Inputs!$B$28+Inputs!$B$29)))</f>
        <v/>
      </c>
      <c r="E2835">
        <f>INDEX(FactorTable!$B$2:$Y$301, MATCH(ROUND(MIN(300,MAX(1,D2835)),0), FactorTable!$A$2:$A$301,0), Skills!M20+1)</f>
        <v/>
      </c>
      <c r="F2835">
        <f>IF(Skills!N20=TRUE,(Skills!L20/10)*(E2835/1000),Skills!L20/10)+Skills!O20</f>
        <v/>
      </c>
      <c r="G2835">
        <f>Skills!G20*IF(Skills!H20&gt;0,Skills!I20/Skills!H20,1)</f>
        <v/>
      </c>
      <c r="H2835">
        <f>1-(1-Skills!J20/100)^Skills!K20</f>
        <v/>
      </c>
      <c r="I2835" t="inlineStr">
        <is>
          <t>1</t>
        </is>
      </c>
      <c r="J2835" t="inlineStr"/>
      <c r="K2835" t="inlineStr"/>
      <c r="L2835" t="inlineStr"/>
      <c r="M2835" t="inlineStr"/>
      <c r="N2835" t="inlineStr"/>
      <c r="O2835">
        <f>(1-Summary!$B$11)*T2835+Summary!$B$11*V2835</f>
        <v/>
      </c>
      <c r="P2835">
        <f>IF(B2854=0,0,O2835/B2854)</f>
        <v/>
      </c>
      <c r="Q2835" t="n">
        <v>0</v>
      </c>
      <c r="R2835" t="n">
        <v>0</v>
      </c>
      <c r="S2835">
        <f>IFERROR(O2835/N2835,0)</f>
        <v/>
      </c>
      <c r="T2835" t="n">
        <v>0</v>
      </c>
      <c r="V2835" t="n">
        <v>0</v>
      </c>
    </row>
    <row r="2836">
      <c r="A2836">
        <f>Skills!A21</f>
        <v/>
      </c>
      <c r="B2836">
        <f>Skills!B21</f>
        <v/>
      </c>
      <c r="C2836">
        <f>Inputs!$B$3&gt;=38</f>
        <v/>
      </c>
      <c r="D2836">
        <f>IF(Skills!C21=1,60+Inputs!$B$25+Inputs!$B$29,IF(Skills!C21=2,90+Inputs!$B$26+Inputs!$B$29,IF(Skills!C21=3,120+Inputs!$B$27+Inputs!$B$29,MAX(0,(Inputs!$B$3-100)*3)+Inputs!$B$28+Inputs!$B$29)))</f>
        <v/>
      </c>
      <c r="E2836">
        <f>INDEX(FactorTable!$B$2:$Y$301, MATCH(ROUND(MIN(300,MAX(1,D2836)),0), FactorTable!$A$2:$A$301,0), Skills!M21+1)</f>
        <v/>
      </c>
      <c r="F2836">
        <f>IF(Skills!N21=TRUE,(Skills!L21/10)*(E2836/1000),Skills!L21/10)+Skills!O21</f>
        <v/>
      </c>
      <c r="G2836">
        <f>Skills!G21*IF(Skills!H21&gt;0,Skills!I21/Skills!H21,1)</f>
        <v/>
      </c>
      <c r="H2836">
        <f>1-(1-Skills!J21/100)^Skills!K21</f>
        <v/>
      </c>
      <c r="I2836" t="inlineStr">
        <is>
          <t>1</t>
        </is>
      </c>
      <c r="J2836" t="inlineStr"/>
      <c r="K2836" t="inlineStr"/>
      <c r="L2836" t="inlineStr"/>
      <c r="M2836" t="inlineStr"/>
      <c r="N2836" t="inlineStr"/>
      <c r="O2836">
        <f>(1-Summary!$B$11)*T2836+Summary!$B$11*V2836</f>
        <v/>
      </c>
      <c r="P2836">
        <f>IF(B2854=0,0,O2836/B2854)</f>
        <v/>
      </c>
      <c r="Q2836" t="n">
        <v>0</v>
      </c>
      <c r="R2836" t="n">
        <v>0</v>
      </c>
      <c r="S2836">
        <f>IFERROR(O2836/N2836,0)</f>
        <v/>
      </c>
      <c r="T2836" t="n">
        <v>0</v>
      </c>
      <c r="V2836" t="n">
        <v>0</v>
      </c>
    </row>
    <row r="2837">
      <c r="A2837">
        <f>Skills!A22</f>
        <v/>
      </c>
      <c r="B2837">
        <f>Skills!B22</f>
        <v/>
      </c>
      <c r="C2837">
        <f>Inputs!$B$3&gt;=43</f>
        <v/>
      </c>
      <c r="D2837">
        <f>IF(Skills!C22=1,60+Inputs!$B$25+Inputs!$B$29,IF(Skills!C22=2,90+Inputs!$B$26+Inputs!$B$29,IF(Skills!C22=3,120+Inputs!$B$27+Inputs!$B$29,MAX(0,(Inputs!$B$3-100)*3)+Inputs!$B$28+Inputs!$B$29)))</f>
        <v/>
      </c>
      <c r="E2837">
        <f>INDEX(FactorTable!$B$2:$Y$301, MATCH(ROUND(MIN(300,MAX(1,D2837)),0), FactorTable!$A$2:$A$301,0), Skills!M22+1)</f>
        <v/>
      </c>
      <c r="F2837">
        <f>IF(Skills!N22=TRUE,(Skills!L22/10)*(E2837/1000),Skills!L22/10)+Skills!O22</f>
        <v/>
      </c>
      <c r="G2837">
        <f>Skills!G22*IF(Skills!H22&gt;0,Skills!I22/Skills!H22,1)</f>
        <v/>
      </c>
      <c r="H2837">
        <f>1-(1-Skills!J22/100)^Skills!K22</f>
        <v/>
      </c>
      <c r="I2837" t="inlineStr">
        <is>
          <t>1</t>
        </is>
      </c>
      <c r="J2837" t="inlineStr"/>
      <c r="K2837" t="inlineStr"/>
      <c r="L2837" t="inlineStr"/>
      <c r="M2837" t="inlineStr"/>
      <c r="N2837" t="inlineStr"/>
      <c r="O2837">
        <f>(1-Summary!$B$11)*T2837+Summary!$B$11*V2837</f>
        <v/>
      </c>
      <c r="P2837">
        <f>IF(B2854=0,0,O2837/B2854)</f>
        <v/>
      </c>
      <c r="Q2837" t="n">
        <v>0</v>
      </c>
      <c r="R2837" t="n">
        <v>0</v>
      </c>
      <c r="S2837">
        <f>IFERROR(O2837/N2837,0)</f>
        <v/>
      </c>
      <c r="T2837" t="n">
        <v>0</v>
      </c>
      <c r="V2837" t="n">
        <v>0</v>
      </c>
    </row>
    <row r="2838">
      <c r="A2838">
        <f>Skills!A23</f>
        <v/>
      </c>
      <c r="B2838">
        <f>Skills!B23</f>
        <v/>
      </c>
      <c r="C2838">
        <f>Inputs!$B$3&gt;=120</f>
        <v/>
      </c>
      <c r="D2838">
        <f>IF(Skills!C23=1,60+Inputs!$B$25+Inputs!$B$29,IF(Skills!C23=2,90+Inputs!$B$26+Inputs!$B$29,IF(Skills!C23=3,120+Inputs!$B$27+Inputs!$B$29,MAX(0,(Inputs!$B$3-100)*3)+Inputs!$B$28+Inputs!$B$29)))</f>
        <v/>
      </c>
      <c r="E2838">
        <f>INDEX(FactorTable!$B$2:$Y$301, MATCH(ROUND(MIN(300,MAX(1,D2838)),0), FactorTable!$A$2:$A$301,0), Skills!M23+1)</f>
        <v/>
      </c>
      <c r="F2838">
        <f>IF(Skills!N23=TRUE,(Skills!L23/10)*(E2838/1000),Skills!L23/10)+Skills!O23</f>
        <v/>
      </c>
      <c r="G2838">
        <f>Skills!G23*IF(Skills!H23&gt;0,Skills!I23/Skills!H23,1)</f>
        <v/>
      </c>
      <c r="H2838">
        <f>1-(1-Skills!J23/100)^Skills!K23</f>
        <v/>
      </c>
      <c r="I2838" t="inlineStr">
        <is>
          <t>1</t>
        </is>
      </c>
      <c r="J2838" t="inlineStr"/>
      <c r="K2838" t="inlineStr"/>
      <c r="L2838" t="inlineStr"/>
      <c r="M2838" t="inlineStr"/>
      <c r="N2838" t="inlineStr"/>
      <c r="O2838">
        <f>(1-Summary!$B$11)*T2838+Summary!$B$11*V2838</f>
        <v/>
      </c>
      <c r="P2838">
        <f>IF(B2854=0,0,O2838/B2854)</f>
        <v/>
      </c>
      <c r="Q2838" t="n">
        <v>0</v>
      </c>
      <c r="R2838" t="n">
        <v>0</v>
      </c>
      <c r="S2838">
        <f>IFERROR(O2838/N2838,0)</f>
        <v/>
      </c>
      <c r="T2838" t="n">
        <v>0</v>
      </c>
      <c r="V2838" t="n">
        <v>0</v>
      </c>
    </row>
    <row r="2839">
      <c r="A2839">
        <f>Skills!A24</f>
        <v/>
      </c>
      <c r="B2839">
        <f>Skills!B24</f>
        <v/>
      </c>
      <c r="C2839">
        <f>Inputs!$B$3&gt;=120</f>
        <v/>
      </c>
      <c r="D2839">
        <f>IF(Skills!C24=1,60+Inputs!$B$25+Inputs!$B$29,IF(Skills!C24=2,90+Inputs!$B$26+Inputs!$B$29,IF(Skills!C24=3,120+Inputs!$B$27+Inputs!$B$29,MAX(0,(Inputs!$B$3-100)*3)+Inputs!$B$28+Inputs!$B$29)))</f>
        <v/>
      </c>
      <c r="E2839">
        <f>INDEX(FactorTable!$B$2:$Y$301, MATCH(ROUND(MIN(300,MAX(1,D2839)),0), FactorTable!$A$2:$A$301,0), Skills!M24+1)</f>
        <v/>
      </c>
      <c r="F2839">
        <f>IF(Skills!N24=TRUE,(Skills!L24/10)*(E2839/1000),Skills!L24/10)+Skills!O24</f>
        <v/>
      </c>
      <c r="G2839">
        <f>Skills!G24*IF(Skills!H24&gt;0,Skills!I24/Skills!H24,1)</f>
        <v/>
      </c>
      <c r="H2839">
        <f>1-(1-Skills!J24/100)^Skills!K24</f>
        <v/>
      </c>
      <c r="I2839" t="inlineStr">
        <is>
          <t>1</t>
        </is>
      </c>
      <c r="J2839" t="inlineStr"/>
      <c r="K2839" t="inlineStr"/>
      <c r="L2839" t="inlineStr"/>
      <c r="M2839" t="inlineStr"/>
      <c r="N2839" t="inlineStr"/>
      <c r="O2839">
        <f>(1-Summary!$B$11)*T2839+Summary!$B$11*V2839</f>
        <v/>
      </c>
      <c r="P2839">
        <f>IF(B2854=0,0,O2839/B2854)</f>
        <v/>
      </c>
      <c r="Q2839" t="n">
        <v>0</v>
      </c>
      <c r="R2839" t="n">
        <v>0</v>
      </c>
      <c r="S2839">
        <f>IFERROR(O2839/N2839,0)</f>
        <v/>
      </c>
      <c r="T2839" t="n">
        <v>0</v>
      </c>
      <c r="V2839" t="n">
        <v>0</v>
      </c>
    </row>
    <row r="2840">
      <c r="A2840">
        <f>Skills!A25</f>
        <v/>
      </c>
      <c r="B2840">
        <f>Skills!B25</f>
        <v/>
      </c>
      <c r="C2840">
        <f>Inputs!$B$3&gt;=125</f>
        <v/>
      </c>
      <c r="D2840">
        <f>IF(Skills!C25=1,60+Inputs!$B$25+Inputs!$B$29,IF(Skills!C25=2,90+Inputs!$B$26+Inputs!$B$29,IF(Skills!C25=3,120+Inputs!$B$27+Inputs!$B$29,MAX(0,(Inputs!$B$3-100)*3)+Inputs!$B$28+Inputs!$B$29)))</f>
        <v/>
      </c>
      <c r="E2840">
        <f>INDEX(FactorTable!$B$2:$Y$301, MATCH(ROUND(MIN(300,MAX(1,D2840)),0), FactorTable!$A$2:$A$301,0), Skills!M25+1)</f>
        <v/>
      </c>
      <c r="F2840">
        <f>IF(Skills!N25=TRUE,(Skills!L25/10)*(E2840/1000),Skills!L25/10)+Skills!O25</f>
        <v/>
      </c>
      <c r="G2840">
        <f>Skills!G25*IF(Skills!H25&gt;0,Skills!I25/Skills!H25,1)</f>
        <v/>
      </c>
      <c r="H2840">
        <f>1-(1-Skills!J25/100)^Skills!K25</f>
        <v/>
      </c>
      <c r="I2840" t="inlineStr">
        <is>
          <t>1</t>
        </is>
      </c>
      <c r="J2840" t="inlineStr"/>
      <c r="K2840" t="inlineStr"/>
      <c r="L2840" t="inlineStr"/>
      <c r="M2840" t="inlineStr"/>
      <c r="N2840" t="inlineStr"/>
      <c r="O2840">
        <f>(1-Summary!$B$11)*T2840+Summary!$B$11*V2840</f>
        <v/>
      </c>
      <c r="P2840">
        <f>IF(B2854=0,0,O2840/B2854)</f>
        <v/>
      </c>
      <c r="Q2840" t="n">
        <v>0</v>
      </c>
      <c r="R2840" t="n">
        <v>0</v>
      </c>
      <c r="S2840">
        <f>IFERROR(O2840/N2840,0)</f>
        <v/>
      </c>
      <c r="T2840" t="n">
        <v>0</v>
      </c>
      <c r="V2840" t="n">
        <v>0</v>
      </c>
    </row>
    <row r="2841">
      <c r="A2841">
        <f>Skills!A26</f>
        <v/>
      </c>
      <c r="B2841">
        <f>Skills!B26</f>
        <v/>
      </c>
      <c r="C2841">
        <f>Inputs!$B$3&gt;=72</f>
        <v/>
      </c>
      <c r="D2841">
        <f>IF(Skills!C26=1,60+Inputs!$B$25+Inputs!$B$29,IF(Skills!C26=2,90+Inputs!$B$26+Inputs!$B$29,IF(Skills!C26=3,120+Inputs!$B$27+Inputs!$B$29,MAX(0,(Inputs!$B$3-100)*3)+Inputs!$B$28+Inputs!$B$29)))</f>
        <v/>
      </c>
      <c r="E2841">
        <f>INDEX(FactorTable!$B$2:$Y$301, MATCH(ROUND(MIN(300,MAX(1,D2841)),0), FactorTable!$A$2:$A$301,0), Skills!M26+1)</f>
        <v/>
      </c>
      <c r="F2841">
        <f>IF(Skills!N26=TRUE,(Skills!L26/10)*(E2841/1000),Skills!L26/10)+Skills!O26</f>
        <v/>
      </c>
      <c r="G2841">
        <f>Skills!G26*IF(Skills!H26&gt;0,Skills!I26/Skills!H26,1)</f>
        <v/>
      </c>
      <c r="H2841">
        <f>1-(1-Skills!J26/100)^Skills!K26</f>
        <v/>
      </c>
      <c r="I2841" t="inlineStr">
        <is>
          <t>1</t>
        </is>
      </c>
      <c r="J2841" t="inlineStr"/>
      <c r="K2841" t="inlineStr"/>
      <c r="L2841" t="inlineStr"/>
      <c r="M2841" t="inlineStr"/>
      <c r="N2841" t="inlineStr"/>
      <c r="O2841">
        <f>(1-Summary!$B$11)*T2841+Summary!$B$11*V2841</f>
        <v/>
      </c>
      <c r="P2841">
        <f>IF(B2854=0,0,O2841/B2854)</f>
        <v/>
      </c>
      <c r="Q2841" t="n">
        <v>0</v>
      </c>
      <c r="R2841" t="n">
        <v>0</v>
      </c>
      <c r="S2841">
        <f>IFERROR(O2841/N2841,0)</f>
        <v/>
      </c>
      <c r="T2841" t="n">
        <v>0</v>
      </c>
      <c r="V2841" t="n">
        <v>0</v>
      </c>
    </row>
    <row r="2843">
      <c r="A2843" t="inlineStr">
        <is>
          <t>Attack% Bucket Multiplier</t>
        </is>
      </c>
      <c r="B2843">
        <f>(1+(((C2828=TRUE)*F2828*IF(Inputs!$B$3&gt;=110,7,5))+((C2830=TRUE)*F2830*IF(AND(Inputs!$B$38&lt;&gt;"pvp",Inputs!$B$43&gt;0),(((R2830-1)*(Skills!T15*(1+(Inputs!$B$34+(ArtifactsInput!$M$7-ArtifactsInput!$M$7)*CHOOSE(ArtifactsInput!$N$7+1,6,7.2,8.4,9.6,10.8,12))/100))+MIN((Skills!T15*(1+(Inputs!$B$34+(ArtifactsInput!$M$7-ArtifactsInput!$M$7)*CHOOSE(ArtifactsInput!$N$7+1,6,7.2,8.4,9.6,10.8,12))/100)),MAX(0,Inputs!$B$43-((R2830-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44">
      <c r="A2844" t="inlineStr">
        <is>
          <t>Global Crit Rate Bonus %</t>
        </is>
      </c>
      <c r="B2844" t="n">
        <v>0</v>
      </c>
    </row>
    <row r="2845">
      <c r="A2845" t="inlineStr">
        <is>
          <t>Attack Speed Buff Bonus %</t>
        </is>
      </c>
      <c r="B2845">
        <f>((C2834=TRUE)*F2834*IF(AND(Inputs!$B$38&lt;&gt;"pvp",Inputs!$B$43&gt;0),(((R2834-1)*(Skills!T19*(1+(Inputs!$B$34+(ArtifactsInput!$M$7-ArtifactsInput!$M$7)*CHOOSE(ArtifactsInput!$N$7+1,6,7.2,8.4,9.6,10.8,12))/100))+MIN((Skills!T19*(1+(Inputs!$B$34+(ArtifactsInput!$M$7-ArtifactsInput!$M$7)*CHOOSE(ArtifactsInput!$N$7+1,6,7.2,8.4,9.6,10.8,12))/100)),MAX(0,Inputs!$B$43-((R2834-1)*Skills!D19))))/Inputs!$B$43),IF(Inputs!$B$38="pvp",MIN((Skills!T19*(1+(Inputs!$B$34+(ArtifactsInput!$M$7-ArtifactsInput!$M$7)*CHOOSE(ArtifactsInput!$N$7+1,6,7.2,8.4,9.6,10.8,12))/100)),15)/15,(Skills!T19*(1+(Inputs!$B$34+(ArtifactsInput!$M$7-ArtifactsInput!$M$7)*CHOOSE(ArtifactsInput!$N$7+1,6,7.2,8.4,9.6,10.8,12))/100))/Skills!D19)))</f>
        <v/>
      </c>
    </row>
    <row r="2846">
      <c r="A2846" t="inlineStr">
        <is>
          <t>Actions Per Second</t>
        </is>
      </c>
      <c r="B2846">
        <f>1+MIN(150,150*(1-(1-(Inputs!$B$11+((C2835=TRUE)*(F2835-Calc!F20)))/150)*(1-B2845/150)))/100</f>
        <v/>
      </c>
    </row>
    <row r="2847">
      <c r="A2847" t="inlineStr">
        <is>
          <t>Skill + Buff Cast Rate</t>
        </is>
      </c>
      <c r="B2847">
        <f>IF(AND(Inputs!$B$38&lt;&gt;"pvp",Inputs!$B$43&gt;0),SUMPRODUCT((Skills!E2:E26=TRUE)*(C2817:C2841=TRUE)*R2817:R2841*Skills!F2:F26)/Inputs!$B$43,SUMPRODUCT((Skills!E2:E26=TRUE)*(C2817:C2841=TRUE)*Q2817:Q2841*Skills!F2:F26))</f>
        <v/>
      </c>
    </row>
    <row r="2848">
      <c r="A2848" t="inlineStr">
        <is>
          <t>Raging Blow Casts Per Second</t>
        </is>
      </c>
      <c r="B2848">
        <f>MAX(0,B2846-B2847)</f>
        <v/>
      </c>
    </row>
    <row r="2849">
      <c r="A2849" t="inlineStr">
        <is>
          <t>Global Critical Damage Bonus % (Enrage)</t>
        </is>
      </c>
      <c r="B2849">
        <f>((C2833=TRUE)*F2833*IF(AND(Inputs!$B$38&lt;&gt;"pvp",Inputs!$B$43&gt;0),(((R2833-1)*(Skills!T18*(1+(Inputs!$B$34+(ArtifactsInput!$M$7-ArtifactsInput!$M$7)*CHOOSE(ArtifactsInput!$N$7+1,6,7.2,8.4,9.6,10.8,12))/100))+MIN((Skills!T18*(1+(Inputs!$B$34+(ArtifactsInput!$M$7-ArtifactsInput!$M$7)*CHOOSE(ArtifactsInput!$N$7+1,6,7.2,8.4,9.6,10.8,12))/100)),MAX(0,Inputs!$B$43-((R2833-1)*Skills!D18))))/Inputs!$B$43),IF(Inputs!$B$38="pvp",MIN((Skills!T18*(1+(Inputs!$B$34+(ArtifactsInput!$M$7-ArtifactsInput!$M$7)*CHOOSE(ArtifactsInput!$N$7+1,6,7.2,8.4,9.6,10.8,12))/100)),15)/15,(Skills!T18*(1+(Inputs!$B$34+(ArtifactsInput!$M$7-ArtifactsInput!$M$7)*CHOOSE(ArtifactsInput!$N$7+1,6,7.2,8.4,9.6,10.8,12))/100))/Skills!D18)))</f>
        <v/>
      </c>
    </row>
    <row r="2850">
      <c r="A2850" t="inlineStr">
        <is>
          <t>Global Final Damage Bonus % (Enrage + Combo Synergy)</t>
        </is>
      </c>
      <c r="B2850">
        <f>((C2832=TRUE)*F2832*IF(AND(Inputs!$B$38&lt;&gt;"pvp",Inputs!$B$43&gt;0),(((R2832-1)*(Skills!T17*(1+(Inputs!$B$34+(ArtifactsInput!$M$7-ArtifactsInput!$M$7)*CHOOSE(ArtifactsInput!$N$7+1,6,7.2,8.4,9.6,10.8,12))/100))+MIN((Skills!T17*(1+(Inputs!$B$34+(ArtifactsInput!$M$7-ArtifactsInput!$M$7)*CHOOSE(ArtifactsInput!$N$7+1,6,7.2,8.4,9.6,10.8,12))/100)),MAX(0,Inputs!$B$43-((R2832-1)*Skills!D17))))/Inputs!$B$43),IF(Inputs!$B$38="pvp",MIN((Skills!T17*(1+(Inputs!$B$34+(ArtifactsInput!$M$7-ArtifactsInput!$M$7)*CHOOSE(ArtifactsInput!$N$7+1,6,7.2,8.4,9.6,10.8,12))/100)),15)/15,(Skills!T17*(1+(Inputs!$B$34+(ArtifactsInput!$M$7-ArtifactsInput!$M$7)*CHOOSE(ArtifactsInput!$N$7+1,6,7.2,8.4,9.6,10.8,12))/100))/Skills!D17)))+((C2829=TRUE)*F2829*IF(Inputs!$B$3&gt;=110,7,5))</f>
        <v/>
      </c>
    </row>
    <row r="2851">
      <c r="A2851" t="inlineStr">
        <is>
          <t>Buff-Casting Startup Delay (s, fixed-duration only)</t>
        </is>
      </c>
      <c r="B2851">
        <f>IF(AND(Inputs!$B$38&lt;&gt;"pvp",Inputs!$B$43&gt;0),SUMPRODUCT((Skills!T2:T26&gt;0)*(Skills!E2:E26=TRUE)*(C2817:C2841=TRUE))/B2846,0)</f>
        <v/>
      </c>
    </row>
    <row r="2852">
      <c r="A2852" t="inlineStr">
        <is>
          <t>Boss-Only Total DPS (this block's swept value)</t>
        </is>
      </c>
      <c r="B2852">
        <f>SUM(T2817:T2841)</f>
        <v/>
      </c>
    </row>
    <row r="2853">
      <c r="A2853" t="inlineStr">
        <is>
          <t>Normal-Only Total DPS (this block's swept value)</t>
        </is>
      </c>
      <c r="B2853">
        <f>SUM(V2817:V2841)</f>
        <v/>
      </c>
    </row>
    <row r="2854">
      <c r="A2854" s="6" t="inlineStr">
        <is>
          <t>TOTAL DPS</t>
        </is>
      </c>
      <c r="B2854" s="6">
        <f>SUM(O2817:O2841)</f>
        <v/>
      </c>
    </row>
    <row r="2857">
      <c r="A2857" s="6" t="inlineStr">
        <is>
          <t>Stat: CDR = 2.5s</t>
        </is>
      </c>
    </row>
    <row r="2858">
      <c r="A2858" s="5" t="inlineStr">
        <is>
          <t>Key</t>
        </is>
      </c>
      <c r="B2858" s="5" t="inlineStr">
        <is>
          <t>Name</t>
        </is>
      </c>
      <c r="C2858" s="5" t="inlineStr">
        <is>
          <t>Unlocked</t>
        </is>
      </c>
      <c r="D2858" s="5" t="inlineStr">
        <is>
          <t>InputLevel</t>
        </is>
      </c>
      <c r="E2858" s="5" t="inlineStr">
        <is>
          <t>Factor</t>
        </is>
      </c>
      <c r="F2858" s="5" t="inlineStr">
        <is>
          <t>CoefficientPercent</t>
        </is>
      </c>
      <c r="G2858" s="5" t="inlineStr">
        <is>
          <t>EffectiveHits</t>
        </is>
      </c>
      <c r="H2858" s="5" t="inlineStr">
        <is>
          <t>ProcProbability</t>
        </is>
      </c>
      <c r="I2858" s="5" t="inlineStr">
        <is>
          <t>MapleHeroMultiplier</t>
        </is>
      </c>
      <c r="J2858" s="5" t="inlineStr">
        <is>
          <t>BaseDamage</t>
        </is>
      </c>
      <c r="K2858" s="5" t="inlineStr">
        <is>
          <t>BaseHitDamage</t>
        </is>
      </c>
      <c r="L2858" s="5" t="inlineStr">
        <is>
          <t>NonCritAvg</t>
        </is>
      </c>
      <c r="M2858" s="5" t="inlineStr">
        <is>
          <t>CritAvg</t>
        </is>
      </c>
      <c r="N2858" s="5" t="inlineStr">
        <is>
          <t>ExpectedDamage(perHit)</t>
        </is>
      </c>
      <c r="O2858" s="5" t="inlineStr">
        <is>
          <t>DPS</t>
        </is>
      </c>
      <c r="P2858" s="5" t="inlineStr">
        <is>
          <t>% of Total</t>
        </is>
      </c>
      <c r="Q2858" s="5" t="inlineStr">
        <is>
          <t>InvCooldown</t>
        </is>
      </c>
      <c r="R2858" s="5" t="inlineStr">
        <is>
          <t>CastsInFight</t>
        </is>
      </c>
      <c r="S2858" s="5" t="inlineStr">
        <is>
          <t>HitRate(perSec)</t>
        </is>
      </c>
      <c r="U2858" t="inlineStr">
        <is>
          <t>helpers</t>
        </is>
      </c>
    </row>
    <row r="2859">
      <c r="A2859">
        <f>Skills!A2</f>
        <v/>
      </c>
      <c r="B2859">
        <f>Skills!B2</f>
        <v/>
      </c>
      <c r="C2859">
        <f>Inputs!$B$3&gt;=100</f>
        <v/>
      </c>
      <c r="D2859" t="inlineStr"/>
      <c r="E2859" t="inlineStr"/>
      <c r="F2859">
        <f>U2861+Skills!O2</f>
        <v/>
      </c>
      <c r="G2859">
        <f>Skills!G2*IF(Skills!H2&gt;0,Skills!I2/Skills!H2,1)</f>
        <v/>
      </c>
      <c r="H2859">
        <f>1-(1-Skills!J2/100)^Skills!K2</f>
        <v/>
      </c>
      <c r="I2859" t="inlineStr">
        <is>
          <t>1</t>
        </is>
      </c>
      <c r="J2859">
        <f>((Inputs!$B$6*(1+Inputs!$B$7/100))+(((Inputs!$B$12*(1+Inputs!$B$13/100))-(Inputs!$B$12*(1+Inputs!$B$13/100)))+0.25*(Inputs!$B$14-Inputs!$B$14))*(1+Inputs!$B$7/100))*(F2859/100)</f>
        <v/>
      </c>
      <c r="K2859">
        <f>J2859*(1+((Inputs!$B$12*(1+Inputs!$B$13/100))*0.01+Inputs!$B$14*0.0025)/100)*(1+Inputs!$B$15/100)*(1+Inputs!$B$16/100)*(5000/(6000+Inputs!$B$42*(1-(100*(1-(1-(Inputs!$B$19+0)/100)*(1-CHOOSE(ArtifactsInput!$N$40+1,5,6,7,8,9,10)/100)^(ArtifactsInput!$M$40-ArtifactsInput!$M$40)))/100)))*(1+(Inputs!$B$24+((C2882=TRUE)*(F2882-Calc!F25))+B2892)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2878=TRUE)*(F2878-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2880=TRUE)*(F2880-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2870=TRUE)*F2870*IF(Inputs!$B$3&gt;=110,7,5))+((C2872=TRUE)*F2872*IF(AND(Inputs!$B$38&lt;&gt;"pvp",Inputs!$B$43&gt;0),(((R2872-1)*(Skills!T15*(1+(Inputs!$B$34+(ArtifactsInput!$M$7-ArtifactsInput!$M$7)*CHOOSE(ArtifactsInput!$N$7+1,6,7.2,8.4,9.6,10.8,12))/100))+MIN((Skills!T15*(1+(Inputs!$B$34+(ArtifactsInput!$M$7-ArtifactsInput!$M$7)*CHOOSE(ArtifactsInput!$N$7+1,6,7.2,8.4,9.6,10.8,12))/100)),MAX(0,Inputs!$B$43-((R2872-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Hunt"),CHOOSE(ArtifactsInput!$N$35+1,15,18,21,24,27,30)*(1-EXP(-(0.2*B2888)*5)),0)+IF(AND(ArtifactsInput!$M$22,Inputs!$B$4&lt;&gt;"Chapter Hunt"),CHOOSE(ArtifactsInput!$N$22+1,10,12,14,16,18,20)*((0*(((0.15*B2888*5))^0/1)+1*(((0.15*B2888*5))^1/1)+2*(((0.15*B2888*5))^2/2)+3*(((0.15*B2888*5))^3/6)+4*(((0.15*B2888*5))^4/24)+5*(((0.15*B2888*5))^5/120))/((((0.15*B2888*5))^0/1)+(((0.15*B2888*5))^1/1)+(((0.15*B2888*5))^2/2)+(((0.15*B2888*5))^3/6)+(((0.15*B2888*5))^4/24)+(((0.15*B2888*5))^5/120))),0)))/100)*I2859)</f>
        <v/>
      </c>
      <c r="L2859">
        <f>K2859*(MIN(Inputs!$B$22+((C2879=TRUE)*(F2879-Calc!F22)),(Inputs!$B$23+((C2881=TRUE)*(F2881-Calc!F24))+(IF(ArtifactsInput!$M$15,CHOOSE(ArtifactsInput!$N$15+1,25,30,35,40,45,50)/100*(Inputs!$B$11-Inputs!$B$11),0))))/100+(Inputs!$B$23+((C2881=TRUE)*(F2881-Calc!F24))+(IF(ArtifactsInput!$M$15,CHOOSE(ArtifactsInput!$N$15+1,25,30,35,40,45,50)/100*(Inputs!$B$11-Inputs!$B$11),0)))/100)/2</f>
        <v/>
      </c>
      <c r="M2859">
        <f>L2859*(1+(Inputs!$B$10+0+B2891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9">
        <f>L2859*(1-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2859*(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9">
        <f>(1-Summary!$B$11)*T2859+Summary!$B$11*V2859</f>
        <v/>
      </c>
      <c r="P2859">
        <f>IF(B2896=0,0,O2859/B2896)</f>
        <v/>
      </c>
      <c r="Q2859" t="n">
        <v>0</v>
      </c>
      <c r="R2859" t="n">
        <v>0</v>
      </c>
      <c r="S2859">
        <f>IFERROR(O2859/N2859,0)</f>
        <v/>
      </c>
      <c r="T2859">
        <f>IF(C2859,(Skills!G2*N2859*B2890)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2859*(1-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2859*(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2859*(1-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2859*(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59">
        <f>MAX(0,(Inputs!$B$3-100)*3)+Inputs!$B$28+Inputs!$B$29</f>
        <v/>
      </c>
      <c r="V2859">
        <f>IF(C2859,(Skills!G2*N2859*B2890)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0">
      <c r="A2860">
        <f>Skills!A3</f>
        <v/>
      </c>
      <c r="B2860">
        <f>Skills!B3</f>
        <v/>
      </c>
      <c r="C2860">
        <f>Inputs!$B$3&gt;=50</f>
        <v/>
      </c>
      <c r="D2860">
        <f>IF(Skills!C3=1,60+Inputs!$B$25+Inputs!$B$29,IF(Skills!C3=2,90+Inputs!$B$26+Inputs!$B$29,IF(Skills!C3=3,120+Inputs!$B$27+Inputs!$B$29,MAX(0,(Inputs!$B$3-100)*3)+Inputs!$B$28+Inputs!$B$29)))</f>
        <v/>
      </c>
      <c r="E2860">
        <f>INDEX(FactorTable!$B$2:$Y$301, MATCH(ROUND(MIN(300,MAX(1,D2860)),0), FactorTable!$A$2:$A$301,0), Skills!M3+1)</f>
        <v/>
      </c>
      <c r="F2860">
        <f>IF(Skills!N3=TRUE,(Skills!L3/10)*(E2860/1000),Skills!L3/10)+Skills!O3</f>
        <v/>
      </c>
      <c r="G2860" t="inlineStr"/>
      <c r="H2860" t="inlineStr"/>
      <c r="I2860" t="inlineStr">
        <is>
          <t>1</t>
        </is>
      </c>
      <c r="J2860" t="inlineStr"/>
      <c r="K2860" t="inlineStr"/>
      <c r="L2860" t="inlineStr"/>
      <c r="M2860" t="inlineStr"/>
      <c r="N2860" t="inlineStr"/>
      <c r="O2860" t="inlineStr"/>
      <c r="P2860" t="inlineStr"/>
      <c r="Q2860" t="inlineStr"/>
      <c r="R2860" t="inlineStr"/>
      <c r="S2860" t="inlineStr"/>
      <c r="U2860">
        <f>INDEX(FactorTable!$B$2:$Y$301, MATCH(ROUND(MIN(300,MAX(1,U2859)),0), FactorTable!$A$2:$A$301,0), 22)</f>
        <v/>
      </c>
    </row>
    <row r="2861">
      <c r="A2861">
        <f>Skills!A4</f>
        <v/>
      </c>
      <c r="B2861">
        <f>Skills!B4</f>
        <v/>
      </c>
      <c r="C2861">
        <f>Inputs!$B$3&gt;=105</f>
        <v/>
      </c>
      <c r="D2861">
        <f>IF(Skills!C4=1,60+Inputs!$B$25+Inputs!$B$29,IF(Skills!C4=2,90+Inputs!$B$26+Inputs!$B$29,IF(Skills!C4=3,120+Inputs!$B$27+Inputs!$B$29,MAX(0,(Inputs!$B$3-100)*3)+Inputs!$B$28+Inputs!$B$29)))</f>
        <v/>
      </c>
      <c r="E2861">
        <f>INDEX(FactorTable!$B$2:$Y$301, MATCH(ROUND(MIN(300,MAX(1,D2861)),0), FactorTable!$A$2:$A$301,0), Skills!M4+1)</f>
        <v/>
      </c>
      <c r="F2861">
        <f>IF(Skills!N4=TRUE,(Skills!L4/10)*(E2861/1000),Skills!L4/10)+Skills!O4</f>
        <v/>
      </c>
      <c r="G2861" t="inlineStr"/>
      <c r="H2861" t="inlineStr"/>
      <c r="I2861" t="inlineStr">
        <is>
          <t>1</t>
        </is>
      </c>
      <c r="J2861" t="inlineStr"/>
      <c r="K2861" t="inlineStr"/>
      <c r="L2861" t="inlineStr"/>
      <c r="M2861" t="inlineStr"/>
      <c r="N2861" t="inlineStr"/>
      <c r="O2861" t="inlineStr"/>
      <c r="P2861" t="inlineStr"/>
      <c r="Q2861" t="inlineStr"/>
      <c r="R2861" t="inlineStr"/>
      <c r="S2861" t="inlineStr"/>
      <c r="U2861">
        <f>290*U2860/1000</f>
        <v/>
      </c>
    </row>
    <row r="2862">
      <c r="A2862">
        <f>Skills!A5</f>
        <v/>
      </c>
      <c r="B2862">
        <f>Skills!B5</f>
        <v/>
      </c>
      <c r="C2862">
        <f>Inputs!$B$3&gt;=103</f>
        <v/>
      </c>
      <c r="D2862">
        <f>IF(Skills!C5=1,60+Inputs!$B$25+Inputs!$B$29,IF(Skills!C5=2,90+Inputs!$B$26+Inputs!$B$29,IF(Skills!C5=3,120+Inputs!$B$27+Inputs!$B$29,MAX(0,(Inputs!$B$3-100)*3)+Inputs!$B$28+Inputs!$B$29)))</f>
        <v/>
      </c>
      <c r="E2862">
        <f>INDEX(FactorTable!$B$2:$Y$301, MATCH(ROUND(MIN(300,MAX(1,D2862)),0), FactorTable!$A$2:$A$301,0), Skills!M5+1)</f>
        <v/>
      </c>
      <c r="F2862">
        <f>IF(Skills!N5=TRUE,(Skills!L5/10)*(E2862/1000),Skills!L5/10)+Skills!O5</f>
        <v/>
      </c>
      <c r="G2862">
        <f>Skills!G5*IF(Skills!H5&gt;0,Skills!I5/Skills!H5,1)</f>
        <v/>
      </c>
      <c r="H2862">
        <f>1-(1-Skills!J5/100)^Skills!K5</f>
        <v/>
      </c>
      <c r="I2862" t="inlineStr">
        <is>
          <t>1</t>
        </is>
      </c>
      <c r="J2862">
        <f>((Inputs!$B$6*(1+Inputs!$B$7/100))+(((Inputs!$B$12*(1+Inputs!$B$13/100))-(Inputs!$B$12*(1+Inputs!$B$13/100)))+0.25*(Inputs!$B$14-Inputs!$B$14))*(1+Inputs!$B$7/100))*(F2862/100)</f>
        <v/>
      </c>
      <c r="K2862">
        <f>J2862*(1+((Inputs!$B$12*(1+Inputs!$B$13/100))*0.01+Inputs!$B$14*0.0025)/100)*(1+Inputs!$B$15/100)*(1+Inputs!$B$16/100)*(5000/(6000+Inputs!$B$42*(1-(100*(1-(1-(Inputs!$B$19+0)/100)*(1-CHOOSE(ArtifactsInput!$N$40+1,5,6,7,8,9,10)/100)^(ArtifactsInput!$M$40-ArtifactsInput!$M$40)))/100)))*(1+(Inputs!$B$24+((C2882=TRUE)*(F2882-Calc!F25))+B2892)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2878=TRUE)*(F2878-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2880=TRUE)*(F2880-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2870=TRUE)*F2870*IF(Inputs!$B$3&gt;=110,7,5))+((C2872=TRUE)*F2872*IF(AND(Inputs!$B$38&lt;&gt;"pvp",Inputs!$B$43&gt;0),(((R2872-1)*(Skills!T15*(1+(Inputs!$B$34+(ArtifactsInput!$M$7-ArtifactsInput!$M$7)*CHOOSE(ArtifactsInput!$N$7+1,6,7.2,8.4,9.6,10.8,12))/100))+MIN((Skills!T15*(1+(Inputs!$B$34+(ArtifactsInput!$M$7-ArtifactsInput!$M$7)*CHOOSE(ArtifactsInput!$N$7+1,6,7.2,8.4,9.6,10.8,12))/100)),MAX(0,Inputs!$B$43-((R2872-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Hunt"),CHOOSE(ArtifactsInput!$N$35+1,15,18,21,24,27,30)*(1-EXP(-(0.2*B2888)*5)),0)+IF(AND(ArtifactsInput!$M$22,Inputs!$B$4&lt;&gt;"Chapter Hunt"),CHOOSE(ArtifactsInput!$N$22+1,10,12,14,16,18,20)*((0*(((0.15*B2888*5))^0/1)+1*(((0.15*B2888*5))^1/1)+2*(((0.15*B2888*5))^2/2)+3*(((0.15*B2888*5))^3/6)+4*(((0.15*B2888*5))^4/24)+5*(((0.15*B2888*5))^5/120))/((((0.15*B2888*5))^0/1)+(((0.15*B2888*5))^1/1)+(((0.15*B2888*5))^2/2)+(((0.15*B2888*5))^3/6)+(((0.15*B2888*5))^4/24)+(((0.15*B2888*5))^5/120))),0)))/100)*I2862)</f>
        <v/>
      </c>
      <c r="L2862">
        <f>K2862*(MIN(Inputs!$B$22+((C2879=TRUE)*(F2879-Calc!F22)),(Inputs!$B$23+((C2881=TRUE)*(F2881-Calc!F24))+(IF(ArtifactsInput!$M$15,CHOOSE(ArtifactsInput!$N$15+1,25,30,35,40,45,50)/100*(Inputs!$B$11-Inputs!$B$11),0))))/100+(Inputs!$B$23+((C2881=TRUE)*(F2881-Calc!F24))+(IF(ArtifactsInput!$M$15,CHOOSE(ArtifactsInput!$N$15+1,25,30,35,40,45,50)/100*(Inputs!$B$11-Inputs!$B$11),0)))/100)/2</f>
        <v/>
      </c>
      <c r="M2862">
        <f>L2862*(1+(Inputs!$B$10+0+B2891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2">
        <f>L2862*(1-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2862*(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2">
        <f>(1-Summary!$B$11)*T2862+Summary!$B$11*V2862</f>
        <v/>
      </c>
      <c r="P2862">
        <f>IF(B2896=0,0,O2862/B2896)</f>
        <v/>
      </c>
      <c r="Q2862">
        <f>IFERROR(1/(IF(Inputs!$B$38="pvp",15,MAX(0.1,Skills!D5-IF(Skills!E5=TRUE,2.5,0)))*(1-IF(AND(ArtifactsInput!$M$27,Inputs!$B$4="Chapter Hunt"),CHOOSE(ArtifactsInput!$N$27+1,20,24,28,32,36,40),0)/100)),0)</f>
        <v/>
      </c>
      <c r="R2862">
        <f>IF(AND(Inputs!$B$38&lt;&gt;"pvp",Inputs!$B$43&gt;0),IF(MAX(0,Inputs!$B$43-B2893)&lt;=0,0,(INT(MAX(0,Inputs!$B$43-B2893)/(IF(Inputs!$B$38="pvp",15,MAX(0.1,Skills!D5-IF(Skills!E5=TRUE,2.5,0)))*(1-IF(AND(ArtifactsInput!$M$27,Inputs!$B$4="Chapter Hunt"),CHOOSE(ArtifactsInput!$N$27+1,20,24,28,32,36,40),0)/100)))+1)),0)</f>
        <v/>
      </c>
      <c r="S2862">
        <f>IFERROR(O2862/N2862,0)</f>
        <v/>
      </c>
      <c r="T2862">
        <f>IF(C2862,(H2862*N2862*IF(AND(Inputs!$B$38&lt;&gt;"pvp",Inputs!$B$43&gt;0),((Skills!G5*((R2862-1)*IF(Skills!H5&gt;0,Skills!I5/Skills!H5,1)+IF(Skills!H5&gt;0,MIN(Skills!I5,MAX(0,MAX(0,Inputs!$B$43-B2893)-((R2862-1)*(IF(Inputs!$B$38="pvp",15,MAX(0.1,Skills!D5-IF(Skills!E5=TRUE,2.5,0)))*(1-IF(AND(ArtifactsInput!$M$27,Inputs!$B$4="Chapter Hunt"),CHOOSE(ArtifactsInput!$N$27+1,20,24,28,32,36,40),0)/100)))))/Skills!H5,1)))/Inputs!$B$43),G2862*Q2862)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2862*(1-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2862*(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2862*(1-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2862*(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62">
        <f>IF(C2862,(H2862*N2862*IF(AND(Inputs!$B$38&lt;&gt;"pvp",Inputs!$B$43&gt;0),((Skills!G5*((R2862-1)*IF(Skills!H5&gt;0,Skills!I5/Skills!H5,1)+IF(Skills!H5&gt;0,MIN(Skills!I5,MAX(0,MAX(0,Inputs!$B$43-B2893)-((R2862-1)*(IF(Inputs!$B$38="pvp",15,MAX(0.1,Skills!D5-IF(Skills!E5=TRUE,2.5,0)))*(1-IF(AND(ArtifactsInput!$M$27,Inputs!$B$4="Chapter Hunt"),CHOOSE(ArtifactsInput!$N$27+1,20,24,28,32,36,40),0)/100)))))/Skills!H5,1)))/Inputs!$B$43),G2862*Q2862)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3">
      <c r="A2863">
        <f>Skills!A6</f>
        <v/>
      </c>
      <c r="B2863">
        <f>Skills!B6</f>
        <v/>
      </c>
      <c r="C2863">
        <f>Inputs!$B$3&gt;=103</f>
        <v/>
      </c>
      <c r="D2863">
        <f>IF(Skills!C6=1,60+Inputs!$B$25+Inputs!$B$29,IF(Skills!C6=2,90+Inputs!$B$26+Inputs!$B$29,IF(Skills!C6=3,120+Inputs!$B$27+Inputs!$B$29,MAX(0,(Inputs!$B$3-100)*3)+Inputs!$B$28+Inputs!$B$29)))</f>
        <v/>
      </c>
      <c r="E2863">
        <f>INDEX(FactorTable!$B$2:$Y$301, MATCH(ROUND(MIN(300,MAX(1,D2863)),0), FactorTable!$A$2:$A$301,0), Skills!M6+1)</f>
        <v/>
      </c>
      <c r="F2863">
        <f>IF(Skills!N6=TRUE,(Skills!L6/10)*(E2863/1000),Skills!L6/10)+Skills!O6</f>
        <v/>
      </c>
      <c r="G2863">
        <f>Skills!G6*IF(Skills!H6&gt;0,Skills!I6/Skills!H6,1)</f>
        <v/>
      </c>
      <c r="H2863">
        <f>1-(1-Skills!J6/100)^Skills!K6</f>
        <v/>
      </c>
      <c r="I2863" t="inlineStr">
        <is>
          <t>1</t>
        </is>
      </c>
      <c r="J2863">
        <f>((Inputs!$B$6*(1+Inputs!$B$7/100))+(((Inputs!$B$12*(1+Inputs!$B$13/100))-(Inputs!$B$12*(1+Inputs!$B$13/100)))+0.25*(Inputs!$B$14-Inputs!$B$14))*(1+Inputs!$B$7/100))*(F2863/100)</f>
        <v/>
      </c>
      <c r="K2863">
        <f>J2863*(1+((Inputs!$B$12*(1+Inputs!$B$13/100))*0.01+Inputs!$B$14*0.0025)/100)*(1+Inputs!$B$15/100)*(1+Inputs!$B$16/100)*(5000/(6000+Inputs!$B$42*(1-(100*(1-(1-(Inputs!$B$19+0)/100)*(1-CHOOSE(ArtifactsInput!$N$40+1,5,6,7,8,9,10)/100)^(ArtifactsInput!$M$40-ArtifactsInput!$M$40)))/100)))*(1+(Inputs!$B$24+((C2882=TRUE)*(F2882-Calc!F25))+B2892)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2878=TRUE)*(F2878-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2880=TRUE)*(F2880-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2870=TRUE)*F2870*IF(Inputs!$B$3&gt;=110,7,5))+((C2872=TRUE)*F2872*IF(AND(Inputs!$B$38&lt;&gt;"pvp",Inputs!$B$43&gt;0),(((R2872-1)*(Skills!T15*(1+(Inputs!$B$34+(ArtifactsInput!$M$7-ArtifactsInput!$M$7)*CHOOSE(ArtifactsInput!$N$7+1,6,7.2,8.4,9.6,10.8,12))/100))+MIN((Skills!T15*(1+(Inputs!$B$34+(ArtifactsInput!$M$7-ArtifactsInput!$M$7)*CHOOSE(ArtifactsInput!$N$7+1,6,7.2,8.4,9.6,10.8,12))/100)),MAX(0,Inputs!$B$43-((R2872-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Hunt"),CHOOSE(ArtifactsInput!$N$35+1,15,18,21,24,27,30)*(1-EXP(-(0.2*B2888)*5)),0)+IF(AND(ArtifactsInput!$M$22,Inputs!$B$4&lt;&gt;"Chapter Hunt"),CHOOSE(ArtifactsInput!$N$22+1,10,12,14,16,18,20)*((0*(((0.15*B2888*5))^0/1)+1*(((0.15*B2888*5))^1/1)+2*(((0.15*B2888*5))^2/2)+3*(((0.15*B2888*5))^3/6)+4*(((0.15*B2888*5))^4/24)+5*(((0.15*B2888*5))^5/120))/((((0.15*B2888*5))^0/1)+(((0.15*B2888*5))^1/1)+(((0.15*B2888*5))^2/2)+(((0.15*B2888*5))^3/6)+(((0.15*B2888*5))^4/24)+(((0.15*B2888*5))^5/120))),0)))/100)*I2863)</f>
        <v/>
      </c>
      <c r="L2863">
        <f>K2863*(MIN(Inputs!$B$22+((C2879=TRUE)*(F2879-Calc!F22)),(Inputs!$B$23+((C2881=TRUE)*(F2881-Calc!F24))+(IF(ArtifactsInput!$M$15,CHOOSE(ArtifactsInput!$N$15+1,25,30,35,40,45,50)/100*(Inputs!$B$11-Inputs!$B$11),0))))/100+(Inputs!$B$23+((C2881=TRUE)*(F2881-Calc!F24))+(IF(ArtifactsInput!$M$15,CHOOSE(ArtifactsInput!$N$15+1,25,30,35,40,45,50)/100*(Inputs!$B$11-Inputs!$B$11),0)))/100)/2</f>
        <v/>
      </c>
      <c r="M2863">
        <f>L2863*(1+(Inputs!$B$10+0+B2891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3">
        <f>L2863*(1-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2863*(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3">
        <f>(1-Summary!$B$11)*T2863+Summary!$B$11*V2863</f>
        <v/>
      </c>
      <c r="P2863">
        <f>IF(B2896=0,0,O2863/B2896)</f>
        <v/>
      </c>
      <c r="Q2863">
        <f>IFERROR(1/(IF(Inputs!$B$38="pvp",15,MAX(0.1,Skills!D6-IF(Skills!E6=TRUE,2.5,0)))*(1-IF(AND(ArtifactsInput!$M$27,Inputs!$B$4="Chapter Hunt"),CHOOSE(ArtifactsInput!$N$27+1,20,24,28,32,36,40),0)/100)),0)</f>
        <v/>
      </c>
      <c r="R2863">
        <f>IF(AND(Inputs!$B$38&lt;&gt;"pvp",Inputs!$B$43&gt;0),IF(MAX(0,Inputs!$B$43-B2893)&lt;=0,0,(INT(MAX(0,Inputs!$B$43-B2893)/(IF(Inputs!$B$38="pvp",15,MAX(0.1,Skills!D6-IF(Skills!E6=TRUE,2.5,0)))*(1-IF(AND(ArtifactsInput!$M$27,Inputs!$B$4="Chapter Hunt"),CHOOSE(ArtifactsInput!$N$27+1,20,24,28,32,36,40),0)/100)))+1)),0)</f>
        <v/>
      </c>
      <c r="S2863">
        <f>IFERROR(O2863/N2863,0)</f>
        <v/>
      </c>
      <c r="T2863">
        <f>IF(C2863,(H2863*N2863*IF(AND(Inputs!$B$38&lt;&gt;"pvp",Inputs!$B$43&gt;0),((Skills!G6*((R2863-1)*IF(Skills!H6&gt;0,Skills!I6/Skills!H6,1)+IF(Skills!H6&gt;0,MIN(Skills!I6,MAX(0,MAX(0,Inputs!$B$43-B2893)-((R2863-1)*(IF(Inputs!$B$38="pvp",15,MAX(0.1,Skills!D6-IF(Skills!E6=TRUE,2.5,0)))*(1-IF(AND(ArtifactsInput!$M$27,Inputs!$B$4="Chapter Hunt"),CHOOSE(ArtifactsInput!$N$27+1,20,24,28,32,36,40),0)/100)))))/Skills!H6,1)))/Inputs!$B$43),G2863*Q2863)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2863*(1-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2863*(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2863*(1-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2863*(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63">
        <f>IF(C2863,(H2863*N2863*IF(AND(Inputs!$B$38&lt;&gt;"pvp",Inputs!$B$43&gt;0),((Skills!G6*((R2863-1)*IF(Skills!H6&gt;0,Skills!I6/Skills!H6,1)+IF(Skills!H6&gt;0,MIN(Skills!I6,MAX(0,MAX(0,Inputs!$B$43-B2893)-((R2863-1)*(IF(Inputs!$B$38="pvp",15,MAX(0.1,Skills!D6-IF(Skills!E6=TRUE,2.5,0)))*(1-IF(AND(ArtifactsInput!$M$27,Inputs!$B$4="Chapter Hunt"),CHOOSE(ArtifactsInput!$N$27+1,20,24,28,32,36,40),0)/100)))))/Skills!H6,1)))/Inputs!$B$43),G2863*Q2863)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4">
      <c r="A2864">
        <f>Skills!A7</f>
        <v/>
      </c>
      <c r="B2864">
        <f>Skills!B7</f>
        <v/>
      </c>
      <c r="C2864">
        <f>Inputs!$B$3&gt;=107</f>
        <v/>
      </c>
      <c r="D2864">
        <f>IF(Skills!C7=1,60+Inputs!$B$25+Inputs!$B$29,IF(Skills!C7=2,90+Inputs!$B$26+Inputs!$B$29,IF(Skills!C7=3,120+Inputs!$B$27+Inputs!$B$29,MAX(0,(Inputs!$B$3-100)*3)+Inputs!$B$28+Inputs!$B$29)))</f>
        <v/>
      </c>
      <c r="E2864">
        <f>INDEX(FactorTable!$B$2:$Y$301, MATCH(ROUND(MIN(300,MAX(1,D2864)),0), FactorTable!$A$2:$A$301,0), Skills!M7+1)</f>
        <v/>
      </c>
      <c r="F2864">
        <f>IF(Skills!N7=TRUE,(Skills!L7/10)*(E2864/1000),Skills!L7/10)+Skills!O7</f>
        <v/>
      </c>
      <c r="G2864">
        <f>Skills!G7*IF(Skills!H7&gt;0,Skills!I7/Skills!H7,1)</f>
        <v/>
      </c>
      <c r="H2864">
        <f>1-(1-Skills!J7/100)^Skills!K7</f>
        <v/>
      </c>
      <c r="I2864" t="inlineStr">
        <is>
          <t>1</t>
        </is>
      </c>
      <c r="J2864">
        <f>((Inputs!$B$6*(1+Inputs!$B$7/100))+(((Inputs!$B$12*(1+Inputs!$B$13/100))-(Inputs!$B$12*(1+Inputs!$B$13/100)))+0.25*(Inputs!$B$14-Inputs!$B$14))*(1+Inputs!$B$7/100))*(F2864/100)</f>
        <v/>
      </c>
      <c r="K2864">
        <f>J2864*(1+((Inputs!$B$12*(1+Inputs!$B$13/100))*0.01+Inputs!$B$14*0.0025)/100)*(1+Inputs!$B$15/100)*(1+Inputs!$B$16/100)*(5000/(6000+Inputs!$B$42*(1-(100*(1-(1-(Inputs!$B$19+0)/100)*(1-CHOOSE(ArtifactsInput!$N$40+1,5,6,7,8,9,10)/100)^(ArtifactsInput!$M$40-ArtifactsInput!$M$40)))/100)))*(1+(Inputs!$B$24+((C2882=TRUE)*(F2882-Calc!F25))+B2892)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2878=TRUE)*(F2878-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2880=TRUE)*(F2880-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2870=TRUE)*F2870*IF(Inputs!$B$3&gt;=110,7,5))+((C2872=TRUE)*F2872*IF(AND(Inputs!$B$38&lt;&gt;"pvp",Inputs!$B$43&gt;0),(((R2872-1)*(Skills!T15*(1+(Inputs!$B$34+(ArtifactsInput!$M$7-ArtifactsInput!$M$7)*CHOOSE(ArtifactsInput!$N$7+1,6,7.2,8.4,9.6,10.8,12))/100))+MIN((Skills!T15*(1+(Inputs!$B$34+(ArtifactsInput!$M$7-ArtifactsInput!$M$7)*CHOOSE(ArtifactsInput!$N$7+1,6,7.2,8.4,9.6,10.8,12))/100)),MAX(0,Inputs!$B$43-((R2872-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Hunt"),CHOOSE(ArtifactsInput!$N$35+1,15,18,21,24,27,30)*(1-EXP(-(0.2*B2888)*5)),0)+IF(AND(ArtifactsInput!$M$22,Inputs!$B$4&lt;&gt;"Chapter Hunt"),CHOOSE(ArtifactsInput!$N$22+1,10,12,14,16,18,20)*((0*(((0.15*B2888*5))^0/1)+1*(((0.15*B2888*5))^1/1)+2*(((0.15*B2888*5))^2/2)+3*(((0.15*B2888*5))^3/6)+4*(((0.15*B2888*5))^4/24)+5*(((0.15*B2888*5))^5/120))/((((0.15*B2888*5))^0/1)+(((0.15*B2888*5))^1/1)+(((0.15*B2888*5))^2/2)+(((0.15*B2888*5))^3/6)+(((0.15*B2888*5))^4/24)+(((0.15*B2888*5))^5/120))),0)))/100)*I2864)</f>
        <v/>
      </c>
      <c r="L2864">
        <f>K2864*(MIN(Inputs!$B$22+((C2879=TRUE)*(F2879-Calc!F22)),(Inputs!$B$23+((C2881=TRUE)*(F2881-Calc!F24))+(IF(ArtifactsInput!$M$15,CHOOSE(ArtifactsInput!$N$15+1,25,30,35,40,45,50)/100*(Inputs!$B$11-Inputs!$B$11),0))))/100+(Inputs!$B$23+((C2881=TRUE)*(F2881-Calc!F24))+(IF(ArtifactsInput!$M$15,CHOOSE(ArtifactsInput!$N$15+1,25,30,35,40,45,50)/100*(Inputs!$B$11-Inputs!$B$11),0)))/100)/2</f>
        <v/>
      </c>
      <c r="M2864">
        <f>L2864*(1+(Inputs!$B$10+0+B2891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4">
        <f>L2864*(1-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2864*(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4">
        <f>(1-Summary!$B$11)*T2864+Summary!$B$11*V2864</f>
        <v/>
      </c>
      <c r="P2864">
        <f>IF(B2896=0,0,O2864/B2896)</f>
        <v/>
      </c>
      <c r="Q2864">
        <f>IFERROR(1/(IF(Inputs!$B$38="pvp",15,MAX(0.1,Skills!D7-IF(Skills!E7=TRUE,2.5,0)))*(1-IF(AND(ArtifactsInput!$M$27,Inputs!$B$4="Chapter Hunt"),CHOOSE(ArtifactsInput!$N$27+1,20,24,28,32,36,40),0)/100)),0)</f>
        <v/>
      </c>
      <c r="R2864">
        <f>IF(AND(Inputs!$B$38&lt;&gt;"pvp",Inputs!$B$43&gt;0),IF(MAX(0,Inputs!$B$43-B2893)&lt;=0,0,(INT(MAX(0,Inputs!$B$43-B2893)/(IF(Inputs!$B$38="pvp",15,MAX(0.1,Skills!D7-IF(Skills!E7=TRUE,2.5,0)))*(1-IF(AND(ArtifactsInput!$M$27,Inputs!$B$4="Chapter Hunt"),CHOOSE(ArtifactsInput!$N$27+1,20,24,28,32,36,40),0)/100)))+1)),0)</f>
        <v/>
      </c>
      <c r="S2864">
        <f>IFERROR(O2864/N2864,0)</f>
        <v/>
      </c>
      <c r="T2864">
        <f>IF(C2864,(H2864*N2864*IF(AND(Inputs!$B$38&lt;&gt;"pvp",Inputs!$B$43&gt;0),((Skills!G7*((R2864-1)*IF(Skills!H7&gt;0,Skills!I7/Skills!H7,1)+IF(Skills!H7&gt;0,MIN(Skills!I7,MAX(0,MAX(0,Inputs!$B$43-B2893)-((R2864-1)*(IF(Inputs!$B$38="pvp",15,MAX(0.1,Skills!D7-IF(Skills!E7=TRUE,2.5,0)))*(1-IF(AND(ArtifactsInput!$M$27,Inputs!$B$4="Chapter Hunt"),CHOOSE(ArtifactsInput!$N$27+1,20,24,28,32,36,40),0)/100)))))/Skills!H7,1)))/Inputs!$B$43),G2864*Q2864)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2864*(1-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2864*(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2864*(1-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2864*(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64">
        <f>IF(C2864,(H2864*N2864*IF(AND(Inputs!$B$38&lt;&gt;"pvp",Inputs!$B$43&gt;0),((Skills!G7*((R2864-1)*IF(Skills!H7&gt;0,Skills!I7/Skills!H7,1)+IF(Skills!H7&gt;0,MIN(Skills!I7,MAX(0,MAX(0,Inputs!$B$43-B2893)-((R2864-1)*(IF(Inputs!$B$38="pvp",15,MAX(0.1,Skills!D7-IF(Skills!E7=TRUE,2.5,0)))*(1-IF(AND(ArtifactsInput!$M$27,Inputs!$B$4="Chapter Hunt"),CHOOSE(ArtifactsInput!$N$27+1,20,24,28,32,36,40),0)/100)))))/Skills!H7,1)))/Inputs!$B$43),G2864*Q2864)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5">
      <c r="A2865">
        <f>Skills!A8</f>
        <v/>
      </c>
      <c r="B2865">
        <f>Skills!B8</f>
        <v/>
      </c>
      <c r="C2865">
        <f>Inputs!$B$3&gt;=117</f>
        <v/>
      </c>
      <c r="D2865">
        <f>IF(Skills!C8=1,60+Inputs!$B$25+Inputs!$B$29,IF(Skills!C8=2,90+Inputs!$B$26+Inputs!$B$29,IF(Skills!C8=3,120+Inputs!$B$27+Inputs!$B$29,MAX(0,(Inputs!$B$3-100)*3)+Inputs!$B$28+Inputs!$B$29)))</f>
        <v/>
      </c>
      <c r="E2865">
        <f>INDEX(FactorTable!$B$2:$Y$301, MATCH(ROUND(MIN(300,MAX(1,D2865)),0), FactorTable!$A$2:$A$301,0), Skills!M8+1)</f>
        <v/>
      </c>
      <c r="F2865">
        <f>IF(Skills!N8=TRUE,(Skills!L8/10)*(E2865/1000),Skills!L8/10)+Skills!O8</f>
        <v/>
      </c>
      <c r="G2865">
        <f>Skills!G8*IF(Skills!H8&gt;0,Skills!I8/Skills!H8,1)</f>
        <v/>
      </c>
      <c r="H2865">
        <f>1-(1-Skills!J8/100)^Skills!K8</f>
        <v/>
      </c>
      <c r="I2865" t="inlineStr">
        <is>
          <t>1</t>
        </is>
      </c>
      <c r="J2865">
        <f>((Inputs!$B$6*(1+Inputs!$B$7/100))+(((Inputs!$B$12*(1+Inputs!$B$13/100))-(Inputs!$B$12*(1+Inputs!$B$13/100)))+0.25*(Inputs!$B$14-Inputs!$B$14))*(1+Inputs!$B$7/100))*(F2865/100)</f>
        <v/>
      </c>
      <c r="K2865">
        <f>J2865*(1+((Inputs!$B$12*(1+Inputs!$B$13/100))*0.01+Inputs!$B$14*0.0025)/100)*(1+Inputs!$B$15/100)*(1+Inputs!$B$16/100)*(5000/(6000+Inputs!$B$42*(1-(100*(1-(1-(Inputs!$B$19+0)/100)*(1-CHOOSE(ArtifactsInput!$N$40+1,5,6,7,8,9,10)/100)^(ArtifactsInput!$M$40-ArtifactsInput!$M$40)))/100)))*(1+(Inputs!$B$24+((C2882=TRUE)*(F2882-Calc!F25))+B2892)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2878=TRUE)*(F2878-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2880=TRUE)*(F2880-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2870=TRUE)*F2870*IF(Inputs!$B$3&gt;=110,7,5))+((C2872=TRUE)*F2872*IF(AND(Inputs!$B$38&lt;&gt;"pvp",Inputs!$B$43&gt;0),(((R2872-1)*(Skills!T15*(1+(Inputs!$B$34+(ArtifactsInput!$M$7-ArtifactsInput!$M$7)*CHOOSE(ArtifactsInput!$N$7+1,6,7.2,8.4,9.6,10.8,12))/100))+MIN((Skills!T15*(1+(Inputs!$B$34+(ArtifactsInput!$M$7-ArtifactsInput!$M$7)*CHOOSE(ArtifactsInput!$N$7+1,6,7.2,8.4,9.6,10.8,12))/100)),MAX(0,Inputs!$B$43-((R2872-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Hunt"),CHOOSE(ArtifactsInput!$N$35+1,15,18,21,24,27,30)*(1-EXP(-(0.2*B2888)*5)),0)+IF(AND(ArtifactsInput!$M$22,Inputs!$B$4&lt;&gt;"Chapter Hunt"),CHOOSE(ArtifactsInput!$N$22+1,10,12,14,16,18,20)*((0*(((0.15*B2888*5))^0/1)+1*(((0.15*B2888*5))^1/1)+2*(((0.15*B2888*5))^2/2)+3*(((0.15*B2888*5))^3/6)+4*(((0.15*B2888*5))^4/24)+5*(((0.15*B2888*5))^5/120))/((((0.15*B2888*5))^0/1)+(((0.15*B2888*5))^1/1)+(((0.15*B2888*5))^2/2)+(((0.15*B2888*5))^3/6)+(((0.15*B2888*5))^4/24)+(((0.15*B2888*5))^5/120))),0)))/100)*I2865)</f>
        <v/>
      </c>
      <c r="L2865">
        <f>K2865*(MIN(Inputs!$B$22+((C2879=TRUE)*(F2879-Calc!F22)),(Inputs!$B$23+((C2881=TRUE)*(F2881-Calc!F24))+(IF(ArtifactsInput!$M$15,CHOOSE(ArtifactsInput!$N$15+1,25,30,35,40,45,50)/100*(Inputs!$B$11-Inputs!$B$11),0))))/100+(Inputs!$B$23+((C2881=TRUE)*(F2881-Calc!F24))+(IF(ArtifactsInput!$M$15,CHOOSE(ArtifactsInput!$N$15+1,25,30,35,40,45,50)/100*(Inputs!$B$11-Inputs!$B$11),0)))/100)/2</f>
        <v/>
      </c>
      <c r="M2865">
        <f>L2865*(1+(Inputs!$B$10+0+B2891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5">
        <f>L2865*(1-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2865*(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5">
        <f>(1-Summary!$B$11)*T2865+Summary!$B$11*V2865</f>
        <v/>
      </c>
      <c r="P2865">
        <f>IF(B2896=0,0,O2865/B2896)</f>
        <v/>
      </c>
      <c r="Q2865">
        <f>IFERROR(1/(IF(Inputs!$B$38="pvp",15,MAX(0.1,Skills!D8-IF(Skills!E8=TRUE,2.5,0)))*(1-IF(AND(ArtifactsInput!$M$27,Inputs!$B$4="Chapter Hunt"),CHOOSE(ArtifactsInput!$N$27+1,20,24,28,32,36,40),0)/100)),0)</f>
        <v/>
      </c>
      <c r="R2865">
        <f>IF(AND(Inputs!$B$38&lt;&gt;"pvp",Inputs!$B$43&gt;0),IF(MAX(0,Inputs!$B$43-B2893)&lt;=0,0,(INT(MAX(0,Inputs!$B$43-B2893)/(IF(Inputs!$B$38="pvp",15,MAX(0.1,Skills!D8-IF(Skills!E8=TRUE,2.5,0)))*(1-IF(AND(ArtifactsInput!$M$27,Inputs!$B$4="Chapter Hunt"),CHOOSE(ArtifactsInput!$N$27+1,20,24,28,32,36,40),0)/100)))+1)),0)</f>
        <v/>
      </c>
      <c r="S2865">
        <f>IFERROR(O2865/N2865,0)</f>
        <v/>
      </c>
      <c r="T2865">
        <f>IF(C2865,(H2865*N2865*IF(AND(Inputs!$B$38&lt;&gt;"pvp",Inputs!$B$43&gt;0),((Skills!G8*((R2865-1)*IF(Skills!H8&gt;0,Skills!I8/Skills!H8,1)+IF(Skills!H8&gt;0,MIN(Skills!I8,MAX(0,MAX(0,Inputs!$B$43-B2893)-((R2865-1)*(IF(Inputs!$B$38="pvp",15,MAX(0.1,Skills!D8-IF(Skills!E8=TRUE,2.5,0)))*(1-IF(AND(ArtifactsInput!$M$27,Inputs!$B$4="Chapter Hunt"),CHOOSE(ArtifactsInput!$N$27+1,20,24,28,32,36,40),0)/100)))))/Skills!H8,1)))/Inputs!$B$43),G2865*Q2865)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2865*(1-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2865*(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2865*(1-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2865*(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65">
        <f>IF(C2865,(H2865*N2865*IF(AND(Inputs!$B$38&lt;&gt;"pvp",Inputs!$B$43&gt;0),((Skills!G8*((R2865-1)*IF(Skills!H8&gt;0,Skills!I8/Skills!H8,1)+IF(Skills!H8&gt;0,MIN(Skills!I8,MAX(0,MAX(0,Inputs!$B$43-B2893)-((R2865-1)*(IF(Inputs!$B$38="pvp",15,MAX(0.1,Skills!D8-IF(Skills!E8=TRUE,2.5,0)))*(1-IF(AND(ArtifactsInput!$M$27,Inputs!$B$4="Chapter Hunt"),CHOOSE(ArtifactsInput!$N$27+1,20,24,28,32,36,40),0)/100)))))/Skills!H8,1)))/Inputs!$B$43),G2865*Q2865)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6">
      <c r="A2866">
        <f>Skills!A9</f>
        <v/>
      </c>
      <c r="B2866">
        <f>Skills!B9</f>
        <v/>
      </c>
      <c r="C2866">
        <f>Inputs!$B$3&gt;=69</f>
        <v/>
      </c>
      <c r="D2866">
        <f>IF(Skills!C9=1,60+Inputs!$B$25+Inputs!$B$29,IF(Skills!C9=2,90+Inputs!$B$26+Inputs!$B$29,IF(Skills!C9=3,120+Inputs!$B$27+Inputs!$B$29,MAX(0,(Inputs!$B$3-100)*3)+Inputs!$B$28+Inputs!$B$29)))</f>
        <v/>
      </c>
      <c r="E2866">
        <f>INDEX(FactorTable!$B$2:$Y$301, MATCH(ROUND(MIN(300,MAX(1,D2866)),0), FactorTable!$A$2:$A$301,0), Skills!M9+1)</f>
        <v/>
      </c>
      <c r="F2866">
        <f>IF(Skills!N9=TRUE,(Skills!L9/10)*(E2866/1000),Skills!L9/10)+Skills!O9</f>
        <v/>
      </c>
      <c r="G2866">
        <f>Skills!G9*IF(Skills!H9&gt;0,Skills!I9/Skills!H9,1)</f>
        <v/>
      </c>
      <c r="H2866">
        <f>1-(1-Skills!J9/100)^Skills!K9</f>
        <v/>
      </c>
      <c r="I2866" t="inlineStr">
        <is>
          <t>1</t>
        </is>
      </c>
      <c r="J2866">
        <f>((Inputs!$B$6*(1+Inputs!$B$7/100))+(((Inputs!$B$12*(1+Inputs!$B$13/100))-(Inputs!$B$12*(1+Inputs!$B$13/100)))+0.25*(Inputs!$B$14-Inputs!$B$14))*(1+Inputs!$B$7/100))*(F2866/100)</f>
        <v/>
      </c>
      <c r="K2866">
        <f>J2866*(1+((Inputs!$B$12*(1+Inputs!$B$13/100))*0.01+Inputs!$B$14*0.0025)/100)*(1+Inputs!$B$15/100)*(1+Inputs!$B$16/100)*(5000/(6000+Inputs!$B$42*(1-(100*(1-(1-(Inputs!$B$19+0)/100)*(1-CHOOSE(ArtifactsInput!$N$40+1,5,6,7,8,9,10)/100)^(ArtifactsInput!$M$40-ArtifactsInput!$M$40)))/100)))*(1+(Inputs!$B$24+((C2882=TRUE)*(F2882-Calc!F25))+B2892)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2869=TRUE,F2869,0)/100)*(1+IF(Skills!A9="ENHANCED_RAGING_BLOW",IF(Inputs!$B$3&gt;=134,MAX(0,IF(Inputs!$B$3&gt;=110,7,5)-5)*50,0),0)/100)*(1+(IF(Skills!A9="RAGING_BLOW",Inputs!$B$17+((C2878=TRUE)*(F2878-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2880=TRUE)*(F2880-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2870=TRUE)*F2870*IF(Inputs!$B$3&gt;=110,7,5))+((C2872=TRUE)*F2872*IF(AND(Inputs!$B$38&lt;&gt;"pvp",Inputs!$B$43&gt;0),(((R2872-1)*(Skills!T15*(1+(Inputs!$B$34+(ArtifactsInput!$M$7-ArtifactsInput!$M$7)*CHOOSE(ArtifactsInput!$N$7+1,6,7.2,8.4,9.6,10.8,12))/100))+MIN((Skills!T15*(1+(Inputs!$B$34+(ArtifactsInput!$M$7-ArtifactsInput!$M$7)*CHOOSE(ArtifactsInput!$N$7+1,6,7.2,8.4,9.6,10.8,12))/100)),MAX(0,Inputs!$B$43-((R2872-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Hunt"),CHOOSE(ArtifactsInput!$N$35+1,15,18,21,24,27,30)*(1-EXP(-(0.2*B2888)*5)),0)+IF(AND(ArtifactsInput!$M$22,Inputs!$B$4&lt;&gt;"Chapter Hunt"),CHOOSE(ArtifactsInput!$N$22+1,10,12,14,16,18,20)*((0*(((0.15*B2888*5))^0/1)+1*(((0.15*B2888*5))^1/1)+2*(((0.15*B2888*5))^2/2)+3*(((0.15*B2888*5))^3/6)+4*(((0.15*B2888*5))^4/24)+5*(((0.15*B2888*5))^5/120))/((((0.15*B2888*5))^0/1)+(((0.15*B2888*5))^1/1)+(((0.15*B2888*5))^2/2)+(((0.15*B2888*5))^3/6)+(((0.15*B2888*5))^4/24)+(((0.15*B2888*5))^5/120))),0)))/100)*I2866)</f>
        <v/>
      </c>
      <c r="L2866">
        <f>K2866*(MIN(Inputs!$B$22+((C2879=TRUE)*(F2879-Calc!F22)),(Inputs!$B$23+((C2881=TRUE)*(F2881-Calc!F24))+(IF(ArtifactsInput!$M$15,CHOOSE(ArtifactsInput!$N$15+1,25,30,35,40,45,50)/100*(Inputs!$B$11-Inputs!$B$11),0))))/100+(Inputs!$B$23+((C2881=TRUE)*(F2881-Calc!F24))+(IF(ArtifactsInput!$M$15,CHOOSE(ArtifactsInput!$N$15+1,25,30,35,40,45,50)/100*(Inputs!$B$11-Inputs!$B$11),0)))/100)/2</f>
        <v/>
      </c>
      <c r="M2866">
        <f>L2866*(1+(Inputs!$B$10+0+B2891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6">
        <f>L2866*(1-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2866*(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6">
        <f>(1-Summary!$B$11)*T2866+Summary!$B$11*V2866</f>
        <v/>
      </c>
      <c r="P2866">
        <f>IF(B2896=0,0,O2866/B2896)</f>
        <v/>
      </c>
      <c r="Q2866">
        <f>IFERROR(1/(IF(Inputs!$B$38="pvp",15,MAX(0.1,Skills!D9-IF(Skills!E9=TRUE,2.5,0)))*(1-IF(AND(ArtifactsInput!$M$27,Inputs!$B$4="Chapter Hunt"),CHOOSE(ArtifactsInput!$N$27+1,20,24,28,32,36,40),0)/100)),0)</f>
        <v/>
      </c>
      <c r="R2866">
        <f>IF(AND(Inputs!$B$38&lt;&gt;"pvp",Inputs!$B$43&gt;0),IF(MAX(0,Inputs!$B$43-B2893)&lt;=0,0,(INT(MAX(0,Inputs!$B$43-B2893)/(IF(Inputs!$B$38="pvp",15,MAX(0.1,Skills!D9-IF(Skills!E9=TRUE,2.5,0)))*(1-IF(AND(ArtifactsInput!$M$27,Inputs!$B$4="Chapter Hunt"),CHOOSE(ArtifactsInput!$N$27+1,20,24,28,32,36,40),0)/100)))+1)),0)</f>
        <v/>
      </c>
      <c r="S2866">
        <f>IFERROR(O2866/N2866,0)</f>
        <v/>
      </c>
      <c r="T2866">
        <f>IF(C2866,(H2866*N2866*IF(AND(Inputs!$B$38&lt;&gt;"pvp",Inputs!$B$43&gt;0),((Skills!G9*((R2866-1)*IF(Skills!H9&gt;0,Skills!I9/Skills!H9,1)+IF(Skills!H9&gt;0,MIN(Skills!I9,MAX(0,MAX(0,Inputs!$B$43-B2893)-((R2866-1)*(IF(Inputs!$B$38="pvp",15,MAX(0.1,Skills!D9-IF(Skills!E9=TRUE,2.5,0)))*(1-IF(AND(ArtifactsInput!$M$27,Inputs!$B$4="Chapter Hunt"),CHOOSE(ArtifactsInput!$N$27+1,20,24,28,32,36,40),0)/100)))))/Skills!H9,1)))/Inputs!$B$43),G2866*Q2866)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2866*(1-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2866*(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2866*(1-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2866*(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66">
        <f>IF(C2866,(H2866*N2866*IF(AND(Inputs!$B$38&lt;&gt;"pvp",Inputs!$B$43&gt;0),((Skills!G9*((R2866-1)*IF(Skills!H9&gt;0,Skills!I9/Skills!H9,1)+IF(Skills!H9&gt;0,MIN(Skills!I9,MAX(0,MAX(0,Inputs!$B$43-B2893)-((R2866-1)*(IF(Inputs!$B$38="pvp",15,MAX(0.1,Skills!D9-IF(Skills!E9=TRUE,2.5,0)))*(1-IF(AND(ArtifactsInput!$M$27,Inputs!$B$4="Chapter Hunt"),CHOOSE(ArtifactsInput!$N$27+1,20,24,28,32,36,40),0)/100)))))/Skills!H9,1)))/Inputs!$B$43),G2866*Q2866)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7">
      <c r="A2867">
        <f>Skills!A10</f>
        <v/>
      </c>
      <c r="B2867">
        <f>Skills!B10</f>
        <v/>
      </c>
      <c r="C2867">
        <f>Inputs!$B$3&gt;=63</f>
        <v/>
      </c>
      <c r="D2867">
        <f>IF(Skills!C10=1,60+Inputs!$B$25+Inputs!$B$29,IF(Skills!C10=2,90+Inputs!$B$26+Inputs!$B$29,IF(Skills!C10=3,120+Inputs!$B$27+Inputs!$B$29,MAX(0,(Inputs!$B$3-100)*3)+Inputs!$B$28+Inputs!$B$29)))</f>
        <v/>
      </c>
      <c r="E2867">
        <f>INDEX(FactorTable!$B$2:$Y$301, MATCH(ROUND(MIN(300,MAX(1,D2867)),0), FactorTable!$A$2:$A$301,0), Skills!M10+1)</f>
        <v/>
      </c>
      <c r="F2867">
        <f>IF(Skills!N10=TRUE,(Skills!L10/10)*(E2867/1000),Skills!L10/10)+Skills!O10</f>
        <v/>
      </c>
      <c r="G2867">
        <f>Skills!G10*IF(Skills!H10&gt;0,Skills!I10/Skills!H10,1)</f>
        <v/>
      </c>
      <c r="H2867">
        <f>1-(1-Skills!J10/100)^Skills!K10</f>
        <v/>
      </c>
      <c r="I2867" t="inlineStr">
        <is>
          <t>1</t>
        </is>
      </c>
      <c r="J2867">
        <f>((Inputs!$B$6*(1+Inputs!$B$7/100))+(((Inputs!$B$12*(1+Inputs!$B$13/100))-(Inputs!$B$12*(1+Inputs!$B$13/100)))+0.25*(Inputs!$B$14-Inputs!$B$14))*(1+Inputs!$B$7/100))*(F2867/100)</f>
        <v/>
      </c>
      <c r="K2867">
        <f>J2867*(1+((Inputs!$B$12*(1+Inputs!$B$13/100))*0.01+Inputs!$B$14*0.0025)/100)*(1+Inputs!$B$15/100)*(1+Inputs!$B$16/100)*(5000/(6000+Inputs!$B$42*(1-(100*(1-(1-(Inputs!$B$19+0)/100)*(1-CHOOSE(ArtifactsInput!$N$40+1,5,6,7,8,9,10)/100)^(ArtifactsInput!$M$40-ArtifactsInput!$M$40)))/100)))*(1+(Inputs!$B$24+((C2882=TRUE)*(F2882-Calc!F25))+B2892)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2869=TRUE,F2869,0)/100)*(1+IF(Skills!A10="ENHANCED_RAGING_BLOW",IF(Inputs!$B$3&gt;=134,MAX(0,IF(Inputs!$B$3&gt;=110,7,5)-5)*50,0),0)/100)*(1+(IF(Skills!A10="RAGING_BLOW",Inputs!$B$17+((C2878=TRUE)*(F2878-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2880=TRUE)*(F2880-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2870=TRUE)*F2870*IF(Inputs!$B$3&gt;=110,7,5))+((C2872=TRUE)*F2872*IF(AND(Inputs!$B$38&lt;&gt;"pvp",Inputs!$B$43&gt;0),(((R2872-1)*(Skills!T15*(1+(Inputs!$B$34+(ArtifactsInput!$M$7-ArtifactsInput!$M$7)*CHOOSE(ArtifactsInput!$N$7+1,6,7.2,8.4,9.6,10.8,12))/100))+MIN((Skills!T15*(1+(Inputs!$B$34+(ArtifactsInput!$M$7-ArtifactsInput!$M$7)*CHOOSE(ArtifactsInput!$N$7+1,6,7.2,8.4,9.6,10.8,12))/100)),MAX(0,Inputs!$B$43-((R2872-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Hunt"),CHOOSE(ArtifactsInput!$N$35+1,15,18,21,24,27,30)*(1-EXP(-(0.2*B2888)*5)),0)+IF(AND(ArtifactsInput!$M$22,Inputs!$B$4&lt;&gt;"Chapter Hunt"),CHOOSE(ArtifactsInput!$N$22+1,10,12,14,16,18,20)*((0*(((0.15*B2888*5))^0/1)+1*(((0.15*B2888*5))^1/1)+2*(((0.15*B2888*5))^2/2)+3*(((0.15*B2888*5))^3/6)+4*(((0.15*B2888*5))^4/24)+5*(((0.15*B2888*5))^5/120))/((((0.15*B2888*5))^0/1)+(((0.15*B2888*5))^1/1)+(((0.15*B2888*5))^2/2)+(((0.15*B2888*5))^3/6)+(((0.15*B2888*5))^4/24)+(((0.15*B2888*5))^5/120))),0)))/100)*I2867)</f>
        <v/>
      </c>
      <c r="L2867">
        <f>K2867*(MIN(Inputs!$B$22+((C2879=TRUE)*(F2879-Calc!F22)),(Inputs!$B$23+((C2881=TRUE)*(F2881-Calc!F24))+(IF(ArtifactsInput!$M$15,CHOOSE(ArtifactsInput!$N$15+1,25,30,35,40,45,50)/100*(Inputs!$B$11-Inputs!$B$11),0))))/100+(Inputs!$B$23+((C2881=TRUE)*(F2881-Calc!F24))+(IF(ArtifactsInput!$M$15,CHOOSE(ArtifactsInput!$N$15+1,25,30,35,40,45,50)/100*(Inputs!$B$11-Inputs!$B$11),0)))/100)/2</f>
        <v/>
      </c>
      <c r="M2867">
        <f>L2867*(1+(Inputs!$B$10+0+B2891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7">
        <f>L2867*(1-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2867*(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7">
        <f>(1-Summary!$B$11)*T2867+Summary!$B$11*V2867</f>
        <v/>
      </c>
      <c r="P2867">
        <f>IF(B2896=0,0,O2867/B2896)</f>
        <v/>
      </c>
      <c r="Q2867">
        <f>IFERROR(1/(IF(Inputs!$B$38="pvp",15,MAX(0.1,Skills!D10-IF(Skills!E10=TRUE,2.5,0)))*(1-IF(AND(ArtifactsInput!$M$27,Inputs!$B$4="Chapter Hunt"),CHOOSE(ArtifactsInput!$N$27+1,20,24,28,32,36,40),0)/100)),0)</f>
        <v/>
      </c>
      <c r="R2867">
        <f>IF(AND(Inputs!$B$38&lt;&gt;"pvp",Inputs!$B$43&gt;0),IF(MAX(0,Inputs!$B$43-B2893)&lt;=0,0,(INT(MAX(0,Inputs!$B$43-B2893)/(IF(Inputs!$B$38="pvp",15,MAX(0.1,Skills!D10-IF(Skills!E10=TRUE,2.5,0)))*(1-IF(AND(ArtifactsInput!$M$27,Inputs!$B$4="Chapter Hunt"),CHOOSE(ArtifactsInput!$N$27+1,20,24,28,32,36,40),0)/100)))+1)),0)</f>
        <v/>
      </c>
      <c r="S2867">
        <f>IFERROR(O2867/N2867,0)</f>
        <v/>
      </c>
      <c r="T2867">
        <f>IF(C2867,(H2867*N2867*IF(AND(Inputs!$B$38&lt;&gt;"pvp",Inputs!$B$43&gt;0),((Skills!G10*((R2867-1)*IF(Skills!H10&gt;0,Skills!I10/Skills!H10,1)+IF(Skills!H10&gt;0,MIN(Skills!I10,MAX(0,MAX(0,Inputs!$B$43-B2893)-((R2867-1)*(IF(Inputs!$B$38="pvp",15,MAX(0.1,Skills!D10-IF(Skills!E10=TRUE,2.5,0)))*(1-IF(AND(ArtifactsInput!$M$27,Inputs!$B$4="Chapter Hunt"),CHOOSE(ArtifactsInput!$N$27+1,20,24,28,32,36,40),0)/100)))))/Skills!H10,1)))/Inputs!$B$43),G2867*Q2867)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2867*(1-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2867*(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2867*(1-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2867*(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67">
        <f>IF(C2867,(H2867*N2867*IF(AND(Inputs!$B$38&lt;&gt;"pvp",Inputs!$B$43&gt;0),((Skills!G10*((R2867-1)*IF(Skills!H10&gt;0,Skills!I10/Skills!H10,1)+IF(Skills!H10&gt;0,MIN(Skills!I10,MAX(0,MAX(0,Inputs!$B$43-B2893)-((R2867-1)*(IF(Inputs!$B$38="pvp",15,MAX(0.1,Skills!D10-IF(Skills!E10=TRUE,2.5,0)))*(1-IF(AND(ArtifactsInput!$M$27,Inputs!$B$4="Chapter Hunt"),CHOOSE(ArtifactsInput!$N$27+1,20,24,28,32,36,40),0)/100)))))/Skills!H10,1)))/Inputs!$B$43),G2867*Q2867)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8">
      <c r="A2868">
        <f>Skills!A11</f>
        <v/>
      </c>
      <c r="B2868">
        <f>Skills!B11</f>
        <v/>
      </c>
      <c r="C2868">
        <f>Inputs!$B$3&gt;=35</f>
        <v/>
      </c>
      <c r="D2868">
        <f>IF(Skills!C11=1,60+Inputs!$B$25+Inputs!$B$29,IF(Skills!C11=2,90+Inputs!$B$26+Inputs!$B$29,IF(Skills!C11=3,120+Inputs!$B$27+Inputs!$B$29,MAX(0,(Inputs!$B$3-100)*3)+Inputs!$B$28+Inputs!$B$29)))</f>
        <v/>
      </c>
      <c r="E2868">
        <f>INDEX(FactorTable!$B$2:$Y$301, MATCH(ROUND(MIN(300,MAX(1,D2868)),0), FactorTable!$A$2:$A$301,0), Skills!M11+1)</f>
        <v/>
      </c>
      <c r="F2868">
        <f>IF(Skills!N11=TRUE,(Skills!L11/10)*(E2868/1000),Skills!L11/10)+Skills!O11</f>
        <v/>
      </c>
      <c r="G2868">
        <f>Skills!G11*IF(Skills!H11&gt;0,Skills!I11/Skills!H11,1)</f>
        <v/>
      </c>
      <c r="H2868">
        <f>1-(1-Skills!J11/100)^Skills!K11</f>
        <v/>
      </c>
      <c r="I2868" t="inlineStr">
        <is>
          <t>1</t>
        </is>
      </c>
      <c r="J2868">
        <f>((Inputs!$B$6*(1+Inputs!$B$7/100))+(((Inputs!$B$12*(1+Inputs!$B$13/100))-(Inputs!$B$12*(1+Inputs!$B$13/100)))+0.25*(Inputs!$B$14-Inputs!$B$14))*(1+Inputs!$B$7/100))*(F2868/100)</f>
        <v/>
      </c>
      <c r="K2868">
        <f>J2868*(1+((Inputs!$B$12*(1+Inputs!$B$13/100))*0.01+Inputs!$B$14*0.0025)/100)*(1+Inputs!$B$15/100)*(1+Inputs!$B$16/100)*(5000/(6000+Inputs!$B$42*(1-(100*(1-(1-(Inputs!$B$19+0)/100)*(1-CHOOSE(ArtifactsInput!$N$40+1,5,6,7,8,9,10)/100)^(ArtifactsInput!$M$40-ArtifactsInput!$M$40)))/100)))*(1+(Inputs!$B$24+((C2882=TRUE)*(F2882-Calc!F25))+B2892)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2869=TRUE,F2869,0)/100)*(1+IF(Skills!A11="ENHANCED_RAGING_BLOW",IF(Inputs!$B$3&gt;=134,MAX(0,IF(Inputs!$B$3&gt;=110,7,5)-5)*50,0),0)/100)*(1+(IF(Skills!A11="RAGING_BLOW",Inputs!$B$17+((C2878=TRUE)*(F2878-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2880=TRUE)*(F2880-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2870=TRUE)*F2870*IF(Inputs!$B$3&gt;=110,7,5))+((C2872=TRUE)*F2872*IF(AND(Inputs!$B$38&lt;&gt;"pvp",Inputs!$B$43&gt;0),(((R2872-1)*(Skills!T15*(1+(Inputs!$B$34+(ArtifactsInput!$M$7-ArtifactsInput!$M$7)*CHOOSE(ArtifactsInput!$N$7+1,6,7.2,8.4,9.6,10.8,12))/100))+MIN((Skills!T15*(1+(Inputs!$B$34+(ArtifactsInput!$M$7-ArtifactsInput!$M$7)*CHOOSE(ArtifactsInput!$N$7+1,6,7.2,8.4,9.6,10.8,12))/100)),MAX(0,Inputs!$B$43-((R2872-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Hunt"),CHOOSE(ArtifactsInput!$N$35+1,15,18,21,24,27,30)*(1-EXP(-(0.2*B2888)*5)),0)+IF(AND(ArtifactsInput!$M$22,Inputs!$B$4&lt;&gt;"Chapter Hunt"),CHOOSE(ArtifactsInput!$N$22+1,10,12,14,16,18,20)*((0*(((0.15*B2888*5))^0/1)+1*(((0.15*B2888*5))^1/1)+2*(((0.15*B2888*5))^2/2)+3*(((0.15*B2888*5))^3/6)+4*(((0.15*B2888*5))^4/24)+5*(((0.15*B2888*5))^5/120))/((((0.15*B2888*5))^0/1)+(((0.15*B2888*5))^1/1)+(((0.15*B2888*5))^2/2)+(((0.15*B2888*5))^3/6)+(((0.15*B2888*5))^4/24)+(((0.15*B2888*5))^5/120))),0)))/100)*I2868)</f>
        <v/>
      </c>
      <c r="L2868">
        <f>K2868*(MIN(Inputs!$B$22+((C2879=TRUE)*(F2879-Calc!F22)),(Inputs!$B$23+((C2881=TRUE)*(F2881-Calc!F24))+(IF(ArtifactsInput!$M$15,CHOOSE(ArtifactsInput!$N$15+1,25,30,35,40,45,50)/100*(Inputs!$B$11-Inputs!$B$11),0))))/100+(Inputs!$B$23+((C2881=TRUE)*(F2881-Calc!F24))+(IF(ArtifactsInput!$M$15,CHOOSE(ArtifactsInput!$N$15+1,25,30,35,40,45,50)/100*(Inputs!$B$11-Inputs!$B$11),0)))/100)/2</f>
        <v/>
      </c>
      <c r="M2868">
        <f>L2868*(1+(Inputs!$B$10+0+B2891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8">
        <f>L2868*(1-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2868*(MIN((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8">
        <f>(1-Summary!$B$11)*T2868+Summary!$B$11*V2868</f>
        <v/>
      </c>
      <c r="P2868">
        <f>IF(B2896=0,0,O2868/B2896)</f>
        <v/>
      </c>
      <c r="Q2868">
        <f>IFERROR(1/(IF(Inputs!$B$38="pvp",15,MAX(0.1,Skills!D11-IF(Skills!E11=TRUE,2.5,0)))*(1-IF(AND(ArtifactsInput!$M$27,Inputs!$B$4="Chapter Hunt"),CHOOSE(ArtifactsInput!$N$27+1,20,24,28,32,36,40),0)/100)),0)</f>
        <v/>
      </c>
      <c r="R2868">
        <f>IF(AND(Inputs!$B$38&lt;&gt;"pvp",Inputs!$B$43&gt;0),IF(MAX(0,Inputs!$B$43-B2893)&lt;=0,0,(INT(MAX(0,Inputs!$B$43-B2893)/(IF(Inputs!$B$38="pvp",15,MAX(0.1,Skills!D11-IF(Skills!E11=TRUE,2.5,0)))*(1-IF(AND(ArtifactsInput!$M$27,Inputs!$B$4="Chapter Hunt"),CHOOSE(ArtifactsInput!$N$27+1,20,24,28,32,36,40),0)/100)))+1)),0)</f>
        <v/>
      </c>
      <c r="S2868">
        <f>IFERROR(O2868/N2868,0)</f>
        <v/>
      </c>
      <c r="T2868">
        <f>IF(C2868,(H2868*N2868*IF(AND(Inputs!$B$38&lt;&gt;"pvp",Inputs!$B$43&gt;0),((Skills!G11*((R2868-1)*IF(Skills!H11&gt;0,Skills!I11/Skills!H11,1)+IF(Skills!H11&gt;0,MIN(Skills!I11,MAX(0,MAX(0,Inputs!$B$43-B2893)-((R2868-1)*(IF(Inputs!$B$38="pvp",15,MAX(0.1,Skills!D11-IF(Skills!E11=TRUE,2.5,0)))*(1-IF(AND(ArtifactsInput!$M$27,Inputs!$B$4="Chapter Hunt"),CHOOSE(ArtifactsInput!$N$27+1,20,24,28,32,36,40),0)/100)))))/Skills!H11,1)))/Inputs!$B$43),G2868*Q2868)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2868*(1-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2868*(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2868*(1-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2868*(MIN(100,(Inputs!$B$9+((C2883=TRUE)*(F2883-Calc!F26))+B2886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68">
        <f>IF(C2868,(H2868*N2868*IF(AND(Inputs!$B$38&lt;&gt;"pvp",Inputs!$B$43&gt;0),((Skills!G11*((R2868-1)*IF(Skills!H11&gt;0,Skills!I11/Skills!H11,1)+IF(Skills!H11&gt;0,MIN(Skills!I11,MAX(0,MAX(0,Inputs!$B$43-B2893)-((R2868-1)*(IF(Inputs!$B$38="pvp",15,MAX(0.1,Skills!D11-IF(Skills!E11=TRUE,2.5,0)))*(1-IF(AND(ArtifactsInput!$M$27,Inputs!$B$4="Chapter Hunt"),CHOOSE(ArtifactsInput!$N$27+1,20,24,28,32,36,40),0)/100)))))/Skills!H11,1)))/Inputs!$B$43),G2868*Q2868)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9">
      <c r="A2869">
        <f>Skills!A12</f>
        <v/>
      </c>
      <c r="B2869">
        <f>Skills!B12</f>
        <v/>
      </c>
      <c r="C2869">
        <f>Inputs!$B$3&gt;=100</f>
        <v/>
      </c>
      <c r="D2869">
        <f>IF(Skills!C12=1,60+Inputs!$B$25+Inputs!$B$29,IF(Skills!C12=2,90+Inputs!$B$26+Inputs!$B$29,IF(Skills!C12=3,120+Inputs!$B$27+Inputs!$B$29,MAX(0,(Inputs!$B$3-100)*3)+Inputs!$B$28+Inputs!$B$29)))</f>
        <v/>
      </c>
      <c r="E2869">
        <f>INDEX(FactorTable!$B$2:$Y$301, MATCH(ROUND(MIN(300,MAX(1,D2869)),0), FactorTable!$A$2:$A$301,0), Skills!M12+1)</f>
        <v/>
      </c>
      <c r="F2869">
        <f>IF(Skills!N12=TRUE,(Skills!L12/10)*(E2869/1000),Skills!L12/10)+Skills!O12</f>
        <v/>
      </c>
      <c r="G2869" t="inlineStr"/>
      <c r="H2869" t="inlineStr"/>
      <c r="I2869" t="inlineStr">
        <is>
          <t>1</t>
        </is>
      </c>
      <c r="J2869" t="inlineStr"/>
      <c r="K2869" t="inlineStr"/>
      <c r="L2869" t="inlineStr"/>
      <c r="M2869" t="inlineStr"/>
      <c r="N2869" t="inlineStr"/>
      <c r="O2869" t="inlineStr"/>
      <c r="P2869" t="inlineStr"/>
      <c r="Q2869" t="inlineStr"/>
      <c r="R2869" t="inlineStr"/>
      <c r="S2869" t="inlineStr"/>
    </row>
    <row r="2870">
      <c r="A2870">
        <f>Skills!A13</f>
        <v/>
      </c>
      <c r="B2870">
        <f>Skills!B13</f>
        <v/>
      </c>
      <c r="C2870">
        <f>Inputs!$B$3&gt;=45</f>
        <v/>
      </c>
      <c r="D2870">
        <f>IF(Skills!C13=1,60+Inputs!$B$25+Inputs!$B$29,IF(Skills!C13=2,90+Inputs!$B$26+Inputs!$B$29,IF(Skills!C13=3,120+Inputs!$B$27+Inputs!$B$29,MAX(0,(Inputs!$B$3-100)*3)+Inputs!$B$28+Inputs!$B$29)))</f>
        <v/>
      </c>
      <c r="E2870">
        <f>INDEX(FactorTable!$B$2:$Y$301, MATCH(ROUND(MIN(300,MAX(1,D2870)),0), FactorTable!$A$2:$A$301,0), Skills!M13+1)</f>
        <v/>
      </c>
      <c r="F2870">
        <f>IF(Skills!N13=TRUE,(Skills!L13/10)*(E2870/1000),Skills!L13/10)+Skills!O13</f>
        <v/>
      </c>
      <c r="G2870">
        <f>Skills!G13*IF(Skills!H13&gt;0,Skills!I13/Skills!H13,1)</f>
        <v/>
      </c>
      <c r="H2870">
        <f>1-(1-Skills!J13/100)^Skills!K13</f>
        <v/>
      </c>
      <c r="I2870" t="inlineStr">
        <is>
          <t>1</t>
        </is>
      </c>
      <c r="J2870" t="inlineStr"/>
      <c r="K2870" t="inlineStr"/>
      <c r="L2870" t="inlineStr"/>
      <c r="M2870" t="inlineStr"/>
      <c r="N2870" t="inlineStr"/>
      <c r="O2870">
        <f>(1-Summary!$B$11)*T2870+Summary!$B$11*V2870</f>
        <v/>
      </c>
      <c r="P2870">
        <f>IF(B2896=0,0,O2870/B2896)</f>
        <v/>
      </c>
      <c r="Q2870" t="n">
        <v>0</v>
      </c>
      <c r="R2870" t="n">
        <v>0</v>
      </c>
      <c r="S2870">
        <f>IFERROR(O2870/N2870,0)</f>
        <v/>
      </c>
      <c r="T2870" t="n">
        <v>0</v>
      </c>
      <c r="V2870" t="n">
        <v>0</v>
      </c>
    </row>
    <row r="2871">
      <c r="A2871">
        <f>Skills!A14</f>
        <v/>
      </c>
      <c r="B2871">
        <f>Skills!B14</f>
        <v/>
      </c>
      <c r="C2871">
        <f>Inputs!$B$3&gt;=75</f>
        <v/>
      </c>
      <c r="D2871">
        <f>IF(Skills!C14=1,60+Inputs!$B$25+Inputs!$B$29,IF(Skills!C14=2,90+Inputs!$B$26+Inputs!$B$29,IF(Skills!C14=3,120+Inputs!$B$27+Inputs!$B$29,MAX(0,(Inputs!$B$3-100)*3)+Inputs!$B$28+Inputs!$B$29)))</f>
        <v/>
      </c>
      <c r="E2871">
        <f>INDEX(FactorTable!$B$2:$Y$301, MATCH(ROUND(MIN(300,MAX(1,D2871)),0), FactorTable!$A$2:$A$301,0), Skills!M14+1)</f>
        <v/>
      </c>
      <c r="F2871">
        <f>IF(Skills!N14=TRUE,(Skills!L14/10)*(E2871/1000),Skills!L14/10)+Skills!O14</f>
        <v/>
      </c>
      <c r="G2871">
        <f>Skills!G14*IF(Skills!H14&gt;0,Skills!I14/Skills!H14,1)</f>
        <v/>
      </c>
      <c r="H2871">
        <f>1-(1-Skills!J14/100)^Skills!K14</f>
        <v/>
      </c>
      <c r="I2871" t="inlineStr">
        <is>
          <t>1</t>
        </is>
      </c>
      <c r="J2871" t="inlineStr"/>
      <c r="K2871" t="inlineStr"/>
      <c r="L2871" t="inlineStr"/>
      <c r="M2871" t="inlineStr"/>
      <c r="N2871" t="inlineStr"/>
      <c r="O2871">
        <f>(1-Summary!$B$11)*T2871+Summary!$B$11*V2871</f>
        <v/>
      </c>
      <c r="P2871">
        <f>IF(B2896=0,0,O2871/B2896)</f>
        <v/>
      </c>
      <c r="Q2871" t="n">
        <v>0</v>
      </c>
      <c r="R2871" t="n">
        <v>0</v>
      </c>
      <c r="S2871">
        <f>IFERROR(O2871/N2871,0)</f>
        <v/>
      </c>
      <c r="T2871" t="n">
        <v>0</v>
      </c>
      <c r="V2871" t="n">
        <v>0</v>
      </c>
    </row>
    <row r="2872">
      <c r="A2872">
        <f>Skills!A15</f>
        <v/>
      </c>
      <c r="B2872">
        <f>Skills!B15</f>
        <v/>
      </c>
      <c r="C2872">
        <f>Inputs!$B$3&gt;=40</f>
        <v/>
      </c>
      <c r="D2872">
        <f>IF(Skills!C15=1,60+Inputs!$B$25+Inputs!$B$29,IF(Skills!C15=2,90+Inputs!$B$26+Inputs!$B$29,IF(Skills!C15=3,120+Inputs!$B$27+Inputs!$B$29,MAX(0,(Inputs!$B$3-100)*3)+Inputs!$B$28+Inputs!$B$29)))</f>
        <v/>
      </c>
      <c r="E2872">
        <f>INDEX(FactorTable!$B$2:$Y$301, MATCH(ROUND(MIN(300,MAX(1,D2872)),0), FactorTable!$A$2:$A$301,0), Skills!M15+1)</f>
        <v/>
      </c>
      <c r="F2872">
        <f>IF(Skills!N15=TRUE,(Skills!L15/10)*(E2872/1000),Skills!L15/10)+Skills!O15</f>
        <v/>
      </c>
      <c r="G2872">
        <f>Skills!G15*IF(Skills!H15&gt;0,Skills!I15/Skills!H15,1)</f>
        <v/>
      </c>
      <c r="H2872">
        <f>1-(1-Skills!J15/100)^Skills!K15</f>
        <v/>
      </c>
      <c r="I2872" t="inlineStr">
        <is>
          <t>1</t>
        </is>
      </c>
      <c r="J2872" t="inlineStr"/>
      <c r="K2872" t="inlineStr"/>
      <c r="L2872" t="inlineStr"/>
      <c r="M2872" t="inlineStr"/>
      <c r="N2872" t="inlineStr"/>
      <c r="O2872">
        <f>(1-Summary!$B$11)*T2872+Summary!$B$11*V2872</f>
        <v/>
      </c>
      <c r="P2872">
        <f>IF(B2896=0,0,O2872/B2896)</f>
        <v/>
      </c>
      <c r="Q2872">
        <f>IFERROR(1/(IF(Inputs!$B$38="pvp",15,MAX(0.1,Skills!D15-IF(Skills!E15=TRUE,2.5,0)))*(1-IF(AND(ArtifactsInput!$M$27,Inputs!$B$4="Chapter Hunt"),CHOOSE(ArtifactsInput!$N$27+1,20,24,28,32,36,40),0)/100)),0)</f>
        <v/>
      </c>
      <c r="R2872">
        <f>IF(AND(Inputs!$B$38&lt;&gt;"pvp",Inputs!$B$43&gt;0),IF(Inputs!$B$43&lt;=0,0,(INT(Inputs!$B$43/(IF(Inputs!$B$38="pvp",15,MAX(0.1,Skills!D15-IF(Skills!E15=TRUE,2.5,0)))*(1-IF(AND(ArtifactsInput!$M$27,Inputs!$B$4="Chapter Hunt"),CHOOSE(ArtifactsInput!$N$27+1,20,24,28,32,36,40),0)/100)))+1)),0)</f>
        <v/>
      </c>
      <c r="S2872">
        <f>IFERROR(O2872/N2872,0)</f>
        <v/>
      </c>
      <c r="T2872" t="n">
        <v>0</v>
      </c>
      <c r="V2872" t="n">
        <v>0</v>
      </c>
    </row>
    <row r="2873">
      <c r="A2873">
        <f>Skills!A16</f>
        <v/>
      </c>
      <c r="B2873">
        <f>Skills!B16</f>
        <v/>
      </c>
      <c r="C2873">
        <f>Inputs!$B$3&gt;=66</f>
        <v/>
      </c>
      <c r="D2873">
        <f>IF(Skills!C16=1,60+Inputs!$B$25+Inputs!$B$29,IF(Skills!C16=2,90+Inputs!$B$26+Inputs!$B$29,IF(Skills!C16=3,120+Inputs!$B$27+Inputs!$B$29,MAX(0,(Inputs!$B$3-100)*3)+Inputs!$B$28+Inputs!$B$29)))</f>
        <v/>
      </c>
      <c r="E2873">
        <f>INDEX(FactorTable!$B$2:$Y$301, MATCH(ROUND(MIN(300,MAX(1,D2873)),0), FactorTable!$A$2:$A$301,0), Skills!M16+1)</f>
        <v/>
      </c>
      <c r="F2873">
        <f>IF(Skills!N16=TRUE,(Skills!L16/10)*(E2873/1000),Skills!L16/10)+Skills!O16</f>
        <v/>
      </c>
      <c r="G2873">
        <f>Skills!G16*IF(Skills!H16&gt;0,Skills!I16/Skills!H16,1)</f>
        <v/>
      </c>
      <c r="H2873">
        <f>1-(1-Skills!J16/100)^Skills!K16</f>
        <v/>
      </c>
      <c r="I2873" t="inlineStr">
        <is>
          <t>1</t>
        </is>
      </c>
      <c r="J2873" t="inlineStr"/>
      <c r="K2873" t="inlineStr"/>
      <c r="L2873" t="inlineStr"/>
      <c r="M2873" t="inlineStr"/>
      <c r="N2873" t="inlineStr"/>
      <c r="O2873">
        <f>(1-Summary!$B$11)*T2873+Summary!$B$11*V2873</f>
        <v/>
      </c>
      <c r="P2873">
        <f>IF(B2896=0,0,O2873/B2896)</f>
        <v/>
      </c>
      <c r="Q2873">
        <f>IFERROR(1/(IF(Inputs!$B$38="pvp",15,MAX(0.1,Skills!D16-IF(Skills!E16=TRUE,2.5,0)))*(1-IF(AND(ArtifactsInput!$M$27,Inputs!$B$4="Chapter Hunt"),CHOOSE(ArtifactsInput!$N$27+1,20,24,28,32,36,40),0)/100)),0)</f>
        <v/>
      </c>
      <c r="R2873">
        <f>IF(AND(Inputs!$B$38&lt;&gt;"pvp",Inputs!$B$43&gt;0),IF(Inputs!$B$43&lt;=0,0,(INT(Inputs!$B$43/(IF(Inputs!$B$38="pvp",15,MAX(0.1,Skills!D16-IF(Skills!E16=TRUE,2.5,0)))*(1-IF(AND(ArtifactsInput!$M$27,Inputs!$B$4="Chapter Hunt"),CHOOSE(ArtifactsInput!$N$27+1,20,24,28,32,36,40),0)/100)))+1)),0)</f>
        <v/>
      </c>
      <c r="S2873">
        <f>IFERROR(O2873/N2873,0)</f>
        <v/>
      </c>
      <c r="T2873" t="n">
        <v>0</v>
      </c>
      <c r="V2873" t="n">
        <v>0</v>
      </c>
    </row>
    <row r="2874">
      <c r="A2874">
        <f>Skills!A17</f>
        <v/>
      </c>
      <c r="B2874">
        <f>Skills!B17</f>
        <v/>
      </c>
      <c r="C2874">
        <f>Inputs!$B$3&gt;=115</f>
        <v/>
      </c>
      <c r="D2874">
        <f>IF(Skills!C17=1,60+Inputs!$B$25+Inputs!$B$29,IF(Skills!C17=2,90+Inputs!$B$26+Inputs!$B$29,IF(Skills!C17=3,120+Inputs!$B$27+Inputs!$B$29,MAX(0,(Inputs!$B$3-100)*3)+Inputs!$B$28+Inputs!$B$29)))</f>
        <v/>
      </c>
      <c r="E2874">
        <f>INDEX(FactorTable!$B$2:$Y$301, MATCH(ROUND(MIN(300,MAX(1,D2874)),0), FactorTable!$A$2:$A$301,0), Skills!M17+1)</f>
        <v/>
      </c>
      <c r="F2874">
        <f>IF(Skills!N17=TRUE,(Skills!L17/10)*(E2874/1000),Skills!L17/10)+Skills!O17</f>
        <v/>
      </c>
      <c r="G2874">
        <f>Skills!G17*IF(Skills!H17&gt;0,Skills!I17/Skills!H17,1)</f>
        <v/>
      </c>
      <c r="H2874">
        <f>1-(1-Skills!J17/100)^Skills!K17</f>
        <v/>
      </c>
      <c r="I2874" t="inlineStr">
        <is>
          <t>1</t>
        </is>
      </c>
      <c r="J2874" t="inlineStr"/>
      <c r="K2874" t="inlineStr"/>
      <c r="L2874" t="inlineStr"/>
      <c r="M2874" t="inlineStr"/>
      <c r="N2874" t="inlineStr"/>
      <c r="O2874">
        <f>(1-Summary!$B$11)*T2874+Summary!$B$11*V2874</f>
        <v/>
      </c>
      <c r="P2874">
        <f>IF(B2896=0,0,O2874/B2896)</f>
        <v/>
      </c>
      <c r="Q2874">
        <f>IFERROR(1/(IF(Inputs!$B$38="pvp",15,MAX(0.1,Skills!D17-IF(Skills!E17=TRUE,2.5,0)))*(1-IF(AND(ArtifactsInput!$M$27,Inputs!$B$4="Chapter Hunt"),CHOOSE(ArtifactsInput!$N$27+1,20,24,28,32,36,40),0)/100)),0)</f>
        <v/>
      </c>
      <c r="R2874">
        <f>IF(AND(Inputs!$B$38&lt;&gt;"pvp",Inputs!$B$43&gt;0),IF(Inputs!$B$43&lt;=0,0,(INT(Inputs!$B$43/(IF(Inputs!$B$38="pvp",15,MAX(0.1,Skills!D17-IF(Skills!E17=TRUE,2.5,0)))*(1-IF(AND(ArtifactsInput!$M$27,Inputs!$B$4="Chapter Hunt"),CHOOSE(ArtifactsInput!$N$27+1,20,24,28,32,36,40),0)/100)))+1)),0)</f>
        <v/>
      </c>
      <c r="S2874">
        <f>IFERROR(O2874/N2874,0)</f>
        <v/>
      </c>
      <c r="T2874" t="n">
        <v>0</v>
      </c>
      <c r="V2874" t="n">
        <v>0</v>
      </c>
    </row>
    <row r="2875">
      <c r="A2875">
        <f>Skills!A18</f>
        <v/>
      </c>
      <c r="B2875">
        <f>Skills!B18</f>
        <v/>
      </c>
      <c r="C2875">
        <f>Inputs!$B$3&gt;=115</f>
        <v/>
      </c>
      <c r="D2875">
        <f>IF(Skills!C18=1,60+Inputs!$B$25+Inputs!$B$29,IF(Skills!C18=2,90+Inputs!$B$26+Inputs!$B$29,IF(Skills!C18=3,120+Inputs!$B$27+Inputs!$B$29,MAX(0,(Inputs!$B$3-100)*3)+Inputs!$B$28+Inputs!$B$29)))</f>
        <v/>
      </c>
      <c r="E2875">
        <f>INDEX(FactorTable!$B$2:$Y$301, MATCH(ROUND(MIN(300,MAX(1,D2875)),0), FactorTable!$A$2:$A$301,0), Skills!M18+1)</f>
        <v/>
      </c>
      <c r="F2875">
        <f>IF(Skills!N18=TRUE,(Skills!L18/10)*(E2875/1000),Skills!L18/10)+Skills!O18</f>
        <v/>
      </c>
      <c r="G2875">
        <f>Skills!G18*IF(Skills!H18&gt;0,Skills!I18/Skills!H18,1)</f>
        <v/>
      </c>
      <c r="H2875">
        <f>1-(1-Skills!J18/100)^Skills!K18</f>
        <v/>
      </c>
      <c r="I2875" t="inlineStr">
        <is>
          <t>1</t>
        </is>
      </c>
      <c r="J2875" t="inlineStr"/>
      <c r="K2875" t="inlineStr"/>
      <c r="L2875" t="inlineStr"/>
      <c r="M2875" t="inlineStr"/>
      <c r="N2875" t="inlineStr"/>
      <c r="O2875">
        <f>(1-Summary!$B$11)*T2875+Summary!$B$11*V2875</f>
        <v/>
      </c>
      <c r="P2875">
        <f>IF(B2896=0,0,O2875/B2896)</f>
        <v/>
      </c>
      <c r="Q2875">
        <f>IFERROR(1/(IF(Inputs!$B$38="pvp",15,MAX(0.1,Skills!D18-IF(Skills!E18=TRUE,2.5,0)))*(1-IF(AND(ArtifactsInput!$M$27,Inputs!$B$4="Chapter Hunt"),CHOOSE(ArtifactsInput!$N$27+1,20,24,28,32,36,40),0)/100)),0)</f>
        <v/>
      </c>
      <c r="R2875">
        <f>IF(AND(Inputs!$B$38&lt;&gt;"pvp",Inputs!$B$43&gt;0),IF(Inputs!$B$43&lt;=0,0,(INT(Inputs!$B$43/(IF(Inputs!$B$38="pvp",15,MAX(0.1,Skills!D18-IF(Skills!E18=TRUE,2.5,0)))*(1-IF(AND(ArtifactsInput!$M$27,Inputs!$B$4="Chapter Hunt"),CHOOSE(ArtifactsInput!$N$27+1,20,24,28,32,36,40),0)/100)))+1)),0)</f>
        <v/>
      </c>
      <c r="S2875">
        <f>IFERROR(O2875/N2875,0)</f>
        <v/>
      </c>
      <c r="T2875" t="n">
        <v>0</v>
      </c>
      <c r="V2875" t="n">
        <v>0</v>
      </c>
    </row>
    <row r="2876">
      <c r="A2876">
        <f>Skills!A19</f>
        <v/>
      </c>
      <c r="B2876">
        <f>Skills!B19</f>
        <v/>
      </c>
      <c r="C2876">
        <f>TRUE</f>
        <v/>
      </c>
      <c r="D2876">
        <f>IF(Skills!C19=1,60+Inputs!$B$25+Inputs!$B$29,IF(Skills!C19=2,90+Inputs!$B$26+Inputs!$B$29,IF(Skills!C19=3,120+Inputs!$B$27+Inputs!$B$29,MAX(0,(Inputs!$B$3-100)*3)+Inputs!$B$28+Inputs!$B$29)))</f>
        <v/>
      </c>
      <c r="E2876">
        <f>INDEX(FactorTable!$B$2:$Y$301, MATCH(ROUND(MIN(300,MAX(1,D2876)),0), FactorTable!$A$2:$A$301,0), Skills!M19+1)</f>
        <v/>
      </c>
      <c r="F2876">
        <f>IF(Skills!N19=TRUE,(Skills!L19/10)*(E2876/1000),Skills!L19/10)+Skills!O19</f>
        <v/>
      </c>
      <c r="G2876">
        <f>Skills!G19*IF(Skills!H19&gt;0,Skills!I19/Skills!H19,1)</f>
        <v/>
      </c>
      <c r="H2876">
        <f>1-(1-Skills!J19/100)^Skills!K19</f>
        <v/>
      </c>
      <c r="I2876" t="inlineStr">
        <is>
          <t>1</t>
        </is>
      </c>
      <c r="J2876" t="inlineStr"/>
      <c r="K2876" t="inlineStr"/>
      <c r="L2876" t="inlineStr"/>
      <c r="M2876" t="inlineStr"/>
      <c r="N2876" t="inlineStr"/>
      <c r="O2876">
        <f>(1-Summary!$B$11)*T2876+Summary!$B$11*V2876</f>
        <v/>
      </c>
      <c r="P2876">
        <f>IF(B2896=0,0,O2876/B2896)</f>
        <v/>
      </c>
      <c r="Q2876">
        <f>IFERROR(1/(IF(Inputs!$B$38="pvp",15,MAX(0.1,Skills!D19-IF(Skills!E19=TRUE,2.5,0)))*(1-IF(AND(ArtifactsInput!$M$27,Inputs!$B$4="Chapter Hunt"),CHOOSE(ArtifactsInput!$N$27+1,20,24,28,32,36,40),0)/100)),0)</f>
        <v/>
      </c>
      <c r="R2876">
        <f>IF(AND(Inputs!$B$38&lt;&gt;"pvp",Inputs!$B$43&gt;0),IF(Inputs!$B$43&lt;=0,0,(INT(Inputs!$B$43/(IF(Inputs!$B$38="pvp",15,MAX(0.1,Skills!D19-IF(Skills!E19=TRUE,2.5,0)))*(1-IF(AND(ArtifactsInput!$M$27,Inputs!$B$4="Chapter Hunt"),CHOOSE(ArtifactsInput!$N$27+1,20,24,28,32,36,40),0)/100)))+1)),0)</f>
        <v/>
      </c>
      <c r="S2876">
        <f>IFERROR(O2876/N2876,0)</f>
        <v/>
      </c>
      <c r="T2876" t="n">
        <v>0</v>
      </c>
      <c r="V2876" t="n">
        <v>0</v>
      </c>
    </row>
    <row r="2877">
      <c r="A2877">
        <f>Skills!A20</f>
        <v/>
      </c>
      <c r="B2877">
        <f>Skills!B20</f>
        <v/>
      </c>
      <c r="C2877">
        <f>Inputs!$B$3&gt;=33</f>
        <v/>
      </c>
      <c r="D2877">
        <f>IF(Skills!C20=1,60+Inputs!$B$25+Inputs!$B$29,IF(Skills!C20=2,90+Inputs!$B$26+Inputs!$B$29,IF(Skills!C20=3,120+Inputs!$B$27+Inputs!$B$29,MAX(0,(Inputs!$B$3-100)*3)+Inputs!$B$28+Inputs!$B$29)))</f>
        <v/>
      </c>
      <c r="E2877">
        <f>INDEX(FactorTable!$B$2:$Y$301, MATCH(ROUND(MIN(300,MAX(1,D2877)),0), FactorTable!$A$2:$A$301,0), Skills!M20+1)</f>
        <v/>
      </c>
      <c r="F2877">
        <f>IF(Skills!N20=TRUE,(Skills!L20/10)*(E2877/1000),Skills!L20/10)+Skills!O20</f>
        <v/>
      </c>
      <c r="G2877">
        <f>Skills!G20*IF(Skills!H20&gt;0,Skills!I20/Skills!H20,1)</f>
        <v/>
      </c>
      <c r="H2877">
        <f>1-(1-Skills!J20/100)^Skills!K20</f>
        <v/>
      </c>
      <c r="I2877" t="inlineStr">
        <is>
          <t>1</t>
        </is>
      </c>
      <c r="J2877" t="inlineStr"/>
      <c r="K2877" t="inlineStr"/>
      <c r="L2877" t="inlineStr"/>
      <c r="M2877" t="inlineStr"/>
      <c r="N2877" t="inlineStr"/>
      <c r="O2877">
        <f>(1-Summary!$B$11)*T2877+Summary!$B$11*V2877</f>
        <v/>
      </c>
      <c r="P2877">
        <f>IF(B2896=0,0,O2877/B2896)</f>
        <v/>
      </c>
      <c r="Q2877" t="n">
        <v>0</v>
      </c>
      <c r="R2877" t="n">
        <v>0</v>
      </c>
      <c r="S2877">
        <f>IFERROR(O2877/N2877,0)</f>
        <v/>
      </c>
      <c r="T2877" t="n">
        <v>0</v>
      </c>
      <c r="V2877" t="n">
        <v>0</v>
      </c>
    </row>
    <row r="2878">
      <c r="A2878">
        <f>Skills!A21</f>
        <v/>
      </c>
      <c r="B2878">
        <f>Skills!B21</f>
        <v/>
      </c>
      <c r="C2878">
        <f>Inputs!$B$3&gt;=38</f>
        <v/>
      </c>
      <c r="D2878">
        <f>IF(Skills!C21=1,60+Inputs!$B$25+Inputs!$B$29,IF(Skills!C21=2,90+Inputs!$B$26+Inputs!$B$29,IF(Skills!C21=3,120+Inputs!$B$27+Inputs!$B$29,MAX(0,(Inputs!$B$3-100)*3)+Inputs!$B$28+Inputs!$B$29)))</f>
        <v/>
      </c>
      <c r="E2878">
        <f>INDEX(FactorTable!$B$2:$Y$301, MATCH(ROUND(MIN(300,MAX(1,D2878)),0), FactorTable!$A$2:$A$301,0), Skills!M21+1)</f>
        <v/>
      </c>
      <c r="F2878">
        <f>IF(Skills!N21=TRUE,(Skills!L21/10)*(E2878/1000),Skills!L21/10)+Skills!O21</f>
        <v/>
      </c>
      <c r="G2878">
        <f>Skills!G21*IF(Skills!H21&gt;0,Skills!I21/Skills!H21,1)</f>
        <v/>
      </c>
      <c r="H2878">
        <f>1-(1-Skills!J21/100)^Skills!K21</f>
        <v/>
      </c>
      <c r="I2878" t="inlineStr">
        <is>
          <t>1</t>
        </is>
      </c>
      <c r="J2878" t="inlineStr"/>
      <c r="K2878" t="inlineStr"/>
      <c r="L2878" t="inlineStr"/>
      <c r="M2878" t="inlineStr"/>
      <c r="N2878" t="inlineStr"/>
      <c r="O2878">
        <f>(1-Summary!$B$11)*T2878+Summary!$B$11*V2878</f>
        <v/>
      </c>
      <c r="P2878">
        <f>IF(B2896=0,0,O2878/B2896)</f>
        <v/>
      </c>
      <c r="Q2878" t="n">
        <v>0</v>
      </c>
      <c r="R2878" t="n">
        <v>0</v>
      </c>
      <c r="S2878">
        <f>IFERROR(O2878/N2878,0)</f>
        <v/>
      </c>
      <c r="T2878" t="n">
        <v>0</v>
      </c>
      <c r="V2878" t="n">
        <v>0</v>
      </c>
    </row>
    <row r="2879">
      <c r="A2879">
        <f>Skills!A22</f>
        <v/>
      </c>
      <c r="B2879">
        <f>Skills!B22</f>
        <v/>
      </c>
      <c r="C2879">
        <f>Inputs!$B$3&gt;=43</f>
        <v/>
      </c>
      <c r="D2879">
        <f>IF(Skills!C22=1,60+Inputs!$B$25+Inputs!$B$29,IF(Skills!C22=2,90+Inputs!$B$26+Inputs!$B$29,IF(Skills!C22=3,120+Inputs!$B$27+Inputs!$B$29,MAX(0,(Inputs!$B$3-100)*3)+Inputs!$B$28+Inputs!$B$29)))</f>
        <v/>
      </c>
      <c r="E2879">
        <f>INDEX(FactorTable!$B$2:$Y$301, MATCH(ROUND(MIN(300,MAX(1,D2879)),0), FactorTable!$A$2:$A$301,0), Skills!M22+1)</f>
        <v/>
      </c>
      <c r="F2879">
        <f>IF(Skills!N22=TRUE,(Skills!L22/10)*(E2879/1000),Skills!L22/10)+Skills!O22</f>
        <v/>
      </c>
      <c r="G2879">
        <f>Skills!G22*IF(Skills!H22&gt;0,Skills!I22/Skills!H22,1)</f>
        <v/>
      </c>
      <c r="H2879">
        <f>1-(1-Skills!J22/100)^Skills!K22</f>
        <v/>
      </c>
      <c r="I2879" t="inlineStr">
        <is>
          <t>1</t>
        </is>
      </c>
      <c r="J2879" t="inlineStr"/>
      <c r="K2879" t="inlineStr"/>
      <c r="L2879" t="inlineStr"/>
      <c r="M2879" t="inlineStr"/>
      <c r="N2879" t="inlineStr"/>
      <c r="O2879">
        <f>(1-Summary!$B$11)*T2879+Summary!$B$11*V2879</f>
        <v/>
      </c>
      <c r="P2879">
        <f>IF(B2896=0,0,O2879/B2896)</f>
        <v/>
      </c>
      <c r="Q2879" t="n">
        <v>0</v>
      </c>
      <c r="R2879" t="n">
        <v>0</v>
      </c>
      <c r="S2879">
        <f>IFERROR(O2879/N2879,0)</f>
        <v/>
      </c>
      <c r="T2879" t="n">
        <v>0</v>
      </c>
      <c r="V2879" t="n">
        <v>0</v>
      </c>
    </row>
    <row r="2880">
      <c r="A2880">
        <f>Skills!A23</f>
        <v/>
      </c>
      <c r="B2880">
        <f>Skills!B23</f>
        <v/>
      </c>
      <c r="C2880">
        <f>Inputs!$B$3&gt;=120</f>
        <v/>
      </c>
      <c r="D2880">
        <f>IF(Skills!C23=1,60+Inputs!$B$25+Inputs!$B$29,IF(Skills!C23=2,90+Inputs!$B$26+Inputs!$B$29,IF(Skills!C23=3,120+Inputs!$B$27+Inputs!$B$29,MAX(0,(Inputs!$B$3-100)*3)+Inputs!$B$28+Inputs!$B$29)))</f>
        <v/>
      </c>
      <c r="E2880">
        <f>INDEX(FactorTable!$B$2:$Y$301, MATCH(ROUND(MIN(300,MAX(1,D2880)),0), FactorTable!$A$2:$A$301,0), Skills!M23+1)</f>
        <v/>
      </c>
      <c r="F2880">
        <f>IF(Skills!N23=TRUE,(Skills!L23/10)*(E2880/1000),Skills!L23/10)+Skills!O23</f>
        <v/>
      </c>
      <c r="G2880">
        <f>Skills!G23*IF(Skills!H23&gt;0,Skills!I23/Skills!H23,1)</f>
        <v/>
      </c>
      <c r="H2880">
        <f>1-(1-Skills!J23/100)^Skills!K23</f>
        <v/>
      </c>
      <c r="I2880" t="inlineStr">
        <is>
          <t>1</t>
        </is>
      </c>
      <c r="J2880" t="inlineStr"/>
      <c r="K2880" t="inlineStr"/>
      <c r="L2880" t="inlineStr"/>
      <c r="M2880" t="inlineStr"/>
      <c r="N2880" t="inlineStr"/>
      <c r="O2880">
        <f>(1-Summary!$B$11)*T2880+Summary!$B$11*V2880</f>
        <v/>
      </c>
      <c r="P2880">
        <f>IF(B2896=0,0,O2880/B2896)</f>
        <v/>
      </c>
      <c r="Q2880" t="n">
        <v>0</v>
      </c>
      <c r="R2880" t="n">
        <v>0</v>
      </c>
      <c r="S2880">
        <f>IFERROR(O2880/N2880,0)</f>
        <v/>
      </c>
      <c r="T2880" t="n">
        <v>0</v>
      </c>
      <c r="V2880" t="n">
        <v>0</v>
      </c>
    </row>
    <row r="2881">
      <c r="A2881">
        <f>Skills!A24</f>
        <v/>
      </c>
      <c r="B2881">
        <f>Skills!B24</f>
        <v/>
      </c>
      <c r="C2881">
        <f>Inputs!$B$3&gt;=120</f>
        <v/>
      </c>
      <c r="D2881">
        <f>IF(Skills!C24=1,60+Inputs!$B$25+Inputs!$B$29,IF(Skills!C24=2,90+Inputs!$B$26+Inputs!$B$29,IF(Skills!C24=3,120+Inputs!$B$27+Inputs!$B$29,MAX(0,(Inputs!$B$3-100)*3)+Inputs!$B$28+Inputs!$B$29)))</f>
        <v/>
      </c>
      <c r="E2881">
        <f>INDEX(FactorTable!$B$2:$Y$301, MATCH(ROUND(MIN(300,MAX(1,D2881)),0), FactorTable!$A$2:$A$301,0), Skills!M24+1)</f>
        <v/>
      </c>
      <c r="F2881">
        <f>IF(Skills!N24=TRUE,(Skills!L24/10)*(E2881/1000),Skills!L24/10)+Skills!O24</f>
        <v/>
      </c>
      <c r="G2881">
        <f>Skills!G24*IF(Skills!H24&gt;0,Skills!I24/Skills!H24,1)</f>
        <v/>
      </c>
      <c r="H2881">
        <f>1-(1-Skills!J24/100)^Skills!K24</f>
        <v/>
      </c>
      <c r="I2881" t="inlineStr">
        <is>
          <t>1</t>
        </is>
      </c>
      <c r="J2881" t="inlineStr"/>
      <c r="K2881" t="inlineStr"/>
      <c r="L2881" t="inlineStr"/>
      <c r="M2881" t="inlineStr"/>
      <c r="N2881" t="inlineStr"/>
      <c r="O2881">
        <f>(1-Summary!$B$11)*T2881+Summary!$B$11*V2881</f>
        <v/>
      </c>
      <c r="P2881">
        <f>IF(B2896=0,0,O2881/B2896)</f>
        <v/>
      </c>
      <c r="Q2881" t="n">
        <v>0</v>
      </c>
      <c r="R2881" t="n">
        <v>0</v>
      </c>
      <c r="S2881">
        <f>IFERROR(O2881/N2881,0)</f>
        <v/>
      </c>
      <c r="T2881" t="n">
        <v>0</v>
      </c>
      <c r="V2881" t="n">
        <v>0</v>
      </c>
    </row>
    <row r="2882">
      <c r="A2882">
        <f>Skills!A25</f>
        <v/>
      </c>
      <c r="B2882">
        <f>Skills!B25</f>
        <v/>
      </c>
      <c r="C2882">
        <f>Inputs!$B$3&gt;=125</f>
        <v/>
      </c>
      <c r="D2882">
        <f>IF(Skills!C25=1,60+Inputs!$B$25+Inputs!$B$29,IF(Skills!C25=2,90+Inputs!$B$26+Inputs!$B$29,IF(Skills!C25=3,120+Inputs!$B$27+Inputs!$B$29,MAX(0,(Inputs!$B$3-100)*3)+Inputs!$B$28+Inputs!$B$29)))</f>
        <v/>
      </c>
      <c r="E2882">
        <f>INDEX(FactorTable!$B$2:$Y$301, MATCH(ROUND(MIN(300,MAX(1,D2882)),0), FactorTable!$A$2:$A$301,0), Skills!M25+1)</f>
        <v/>
      </c>
      <c r="F2882">
        <f>IF(Skills!N25=TRUE,(Skills!L25/10)*(E2882/1000),Skills!L25/10)+Skills!O25</f>
        <v/>
      </c>
      <c r="G2882">
        <f>Skills!G25*IF(Skills!H25&gt;0,Skills!I25/Skills!H25,1)</f>
        <v/>
      </c>
      <c r="H2882">
        <f>1-(1-Skills!J25/100)^Skills!K25</f>
        <v/>
      </c>
      <c r="I2882" t="inlineStr">
        <is>
          <t>1</t>
        </is>
      </c>
      <c r="J2882" t="inlineStr"/>
      <c r="K2882" t="inlineStr"/>
      <c r="L2882" t="inlineStr"/>
      <c r="M2882" t="inlineStr"/>
      <c r="N2882" t="inlineStr"/>
      <c r="O2882">
        <f>(1-Summary!$B$11)*T2882+Summary!$B$11*V2882</f>
        <v/>
      </c>
      <c r="P2882">
        <f>IF(B2896=0,0,O2882/B2896)</f>
        <v/>
      </c>
      <c r="Q2882" t="n">
        <v>0</v>
      </c>
      <c r="R2882" t="n">
        <v>0</v>
      </c>
      <c r="S2882">
        <f>IFERROR(O2882/N2882,0)</f>
        <v/>
      </c>
      <c r="T2882" t="n">
        <v>0</v>
      </c>
      <c r="V2882" t="n">
        <v>0</v>
      </c>
    </row>
    <row r="2883">
      <c r="A2883">
        <f>Skills!A26</f>
        <v/>
      </c>
      <c r="B2883">
        <f>Skills!B26</f>
        <v/>
      </c>
      <c r="C2883">
        <f>Inputs!$B$3&gt;=72</f>
        <v/>
      </c>
      <c r="D2883">
        <f>IF(Skills!C26=1,60+Inputs!$B$25+Inputs!$B$29,IF(Skills!C26=2,90+Inputs!$B$26+Inputs!$B$29,IF(Skills!C26=3,120+Inputs!$B$27+Inputs!$B$29,MAX(0,(Inputs!$B$3-100)*3)+Inputs!$B$28+Inputs!$B$29)))</f>
        <v/>
      </c>
      <c r="E2883">
        <f>INDEX(FactorTable!$B$2:$Y$301, MATCH(ROUND(MIN(300,MAX(1,D2883)),0), FactorTable!$A$2:$A$301,0), Skills!M26+1)</f>
        <v/>
      </c>
      <c r="F2883">
        <f>IF(Skills!N26=TRUE,(Skills!L26/10)*(E2883/1000),Skills!L26/10)+Skills!O26</f>
        <v/>
      </c>
      <c r="G2883">
        <f>Skills!G26*IF(Skills!H26&gt;0,Skills!I26/Skills!H26,1)</f>
        <v/>
      </c>
      <c r="H2883">
        <f>1-(1-Skills!J26/100)^Skills!K26</f>
        <v/>
      </c>
      <c r="I2883" t="inlineStr">
        <is>
          <t>1</t>
        </is>
      </c>
      <c r="J2883" t="inlineStr"/>
      <c r="K2883" t="inlineStr"/>
      <c r="L2883" t="inlineStr"/>
      <c r="M2883" t="inlineStr"/>
      <c r="N2883" t="inlineStr"/>
      <c r="O2883">
        <f>(1-Summary!$B$11)*T2883+Summary!$B$11*V2883</f>
        <v/>
      </c>
      <c r="P2883">
        <f>IF(B2896=0,0,O2883/B2896)</f>
        <v/>
      </c>
      <c r="Q2883" t="n">
        <v>0</v>
      </c>
      <c r="R2883" t="n">
        <v>0</v>
      </c>
      <c r="S2883">
        <f>IFERROR(O2883/N2883,0)</f>
        <v/>
      </c>
      <c r="T2883" t="n">
        <v>0</v>
      </c>
      <c r="V2883" t="n">
        <v>0</v>
      </c>
    </row>
    <row r="2885">
      <c r="A2885" t="inlineStr">
        <is>
          <t>Attack% Bucket Multiplier</t>
        </is>
      </c>
      <c r="B2885">
        <f>(1+(((C2870=TRUE)*F2870*IF(Inputs!$B$3&gt;=110,7,5))+((C2872=TRUE)*F2872*IF(AND(Inputs!$B$38&lt;&gt;"pvp",Inputs!$B$43&gt;0),(((R2872-1)*(Skills!T15*(1+(Inputs!$B$34+(ArtifactsInput!$M$7-ArtifactsInput!$M$7)*CHOOSE(ArtifactsInput!$N$7+1,6,7.2,8.4,9.6,10.8,12))/100))+MIN((Skills!T15*(1+(Inputs!$B$34+(ArtifactsInput!$M$7-ArtifactsInput!$M$7)*CHOOSE(ArtifactsInput!$N$7+1,6,7.2,8.4,9.6,10.8,12))/100)),MAX(0,Inputs!$B$43-((R2872-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86">
      <c r="A2886" t="inlineStr">
        <is>
          <t>Global Crit Rate Bonus %</t>
        </is>
      </c>
      <c r="B2886" t="n">
        <v>0</v>
      </c>
    </row>
    <row r="2887">
      <c r="A2887" t="inlineStr">
        <is>
          <t>Attack Speed Buff Bonus %</t>
        </is>
      </c>
      <c r="B2887">
        <f>((C2876=TRUE)*F2876*IF(AND(Inputs!$B$38&lt;&gt;"pvp",Inputs!$B$43&gt;0),(((R2876-1)*(Skills!T19*(1+(Inputs!$B$34+(ArtifactsInput!$M$7-ArtifactsInput!$M$7)*CHOOSE(ArtifactsInput!$N$7+1,6,7.2,8.4,9.6,10.8,12))/100))+MIN((Skills!T19*(1+(Inputs!$B$34+(ArtifactsInput!$M$7-ArtifactsInput!$M$7)*CHOOSE(ArtifactsInput!$N$7+1,6,7.2,8.4,9.6,10.8,12))/100)),MAX(0,Inputs!$B$43-((R2876-1)*Skills!D19))))/Inputs!$B$43),IF(Inputs!$B$38="pvp",MIN((Skills!T19*(1+(Inputs!$B$34+(ArtifactsInput!$M$7-ArtifactsInput!$M$7)*CHOOSE(ArtifactsInput!$N$7+1,6,7.2,8.4,9.6,10.8,12))/100)),15)/15,(Skills!T19*(1+(Inputs!$B$34+(ArtifactsInput!$M$7-ArtifactsInput!$M$7)*CHOOSE(ArtifactsInput!$N$7+1,6,7.2,8.4,9.6,10.8,12))/100))/Skills!D19)))</f>
        <v/>
      </c>
    </row>
    <row r="2888">
      <c r="A2888" t="inlineStr">
        <is>
          <t>Actions Per Second</t>
        </is>
      </c>
      <c r="B2888">
        <f>1+MIN(150,150*(1-(1-(Inputs!$B$11+((C2877=TRUE)*(F2877-Calc!F20)))/150)*(1-B2887/150)))/100</f>
        <v/>
      </c>
    </row>
    <row r="2889">
      <c r="A2889" t="inlineStr">
        <is>
          <t>Skill + Buff Cast Rate</t>
        </is>
      </c>
      <c r="B2889">
        <f>IF(AND(Inputs!$B$38&lt;&gt;"pvp",Inputs!$B$43&gt;0),SUMPRODUCT((Skills!E2:E26=TRUE)*(C2859:C2883=TRUE)*R2859:R2883*Skills!F2:F26)/Inputs!$B$43,SUMPRODUCT((Skills!E2:E26=TRUE)*(C2859:C2883=TRUE)*Q2859:Q2883*Skills!F2:F26))</f>
        <v/>
      </c>
    </row>
    <row r="2890">
      <c r="A2890" t="inlineStr">
        <is>
          <t>Raging Blow Casts Per Second</t>
        </is>
      </c>
      <c r="B2890">
        <f>MAX(0,B2888-B2889)</f>
        <v/>
      </c>
    </row>
    <row r="2891">
      <c r="A2891" t="inlineStr">
        <is>
          <t>Global Critical Damage Bonus % (Enrage)</t>
        </is>
      </c>
      <c r="B2891">
        <f>((C2875=TRUE)*F2875*IF(AND(Inputs!$B$38&lt;&gt;"pvp",Inputs!$B$43&gt;0),(((R2875-1)*(Skills!T18*(1+(Inputs!$B$34+(ArtifactsInput!$M$7-ArtifactsInput!$M$7)*CHOOSE(ArtifactsInput!$N$7+1,6,7.2,8.4,9.6,10.8,12))/100))+MIN((Skills!T18*(1+(Inputs!$B$34+(ArtifactsInput!$M$7-ArtifactsInput!$M$7)*CHOOSE(ArtifactsInput!$N$7+1,6,7.2,8.4,9.6,10.8,12))/100)),MAX(0,Inputs!$B$43-((R2875-1)*Skills!D18))))/Inputs!$B$43),IF(Inputs!$B$38="pvp",MIN((Skills!T18*(1+(Inputs!$B$34+(ArtifactsInput!$M$7-ArtifactsInput!$M$7)*CHOOSE(ArtifactsInput!$N$7+1,6,7.2,8.4,9.6,10.8,12))/100)),15)/15,(Skills!T18*(1+(Inputs!$B$34+(ArtifactsInput!$M$7-ArtifactsInput!$M$7)*CHOOSE(ArtifactsInput!$N$7+1,6,7.2,8.4,9.6,10.8,12))/100))/Skills!D18)))</f>
        <v/>
      </c>
    </row>
    <row r="2892">
      <c r="A2892" t="inlineStr">
        <is>
          <t>Global Final Damage Bonus % (Enrage + Combo Synergy)</t>
        </is>
      </c>
      <c r="B2892">
        <f>((C2874=TRUE)*F2874*IF(AND(Inputs!$B$38&lt;&gt;"pvp",Inputs!$B$43&gt;0),(((R2874-1)*(Skills!T17*(1+(Inputs!$B$34+(ArtifactsInput!$M$7-ArtifactsInput!$M$7)*CHOOSE(ArtifactsInput!$N$7+1,6,7.2,8.4,9.6,10.8,12))/100))+MIN((Skills!T17*(1+(Inputs!$B$34+(ArtifactsInput!$M$7-ArtifactsInput!$M$7)*CHOOSE(ArtifactsInput!$N$7+1,6,7.2,8.4,9.6,10.8,12))/100)),MAX(0,Inputs!$B$43-((R2874-1)*Skills!D17))))/Inputs!$B$43),IF(Inputs!$B$38="pvp",MIN((Skills!T17*(1+(Inputs!$B$34+(ArtifactsInput!$M$7-ArtifactsInput!$M$7)*CHOOSE(ArtifactsInput!$N$7+1,6,7.2,8.4,9.6,10.8,12))/100)),15)/15,(Skills!T17*(1+(Inputs!$B$34+(ArtifactsInput!$M$7-ArtifactsInput!$M$7)*CHOOSE(ArtifactsInput!$N$7+1,6,7.2,8.4,9.6,10.8,12))/100))/Skills!D17)))+((C2871=TRUE)*F2871*IF(Inputs!$B$3&gt;=110,7,5))</f>
        <v/>
      </c>
    </row>
    <row r="2893">
      <c r="A2893" t="inlineStr">
        <is>
          <t>Buff-Casting Startup Delay (s, fixed-duration only)</t>
        </is>
      </c>
      <c r="B2893">
        <f>IF(AND(Inputs!$B$38&lt;&gt;"pvp",Inputs!$B$43&gt;0),SUMPRODUCT((Skills!T2:T26&gt;0)*(Skills!E2:E26=TRUE)*(C2859:C2883=TRUE))/B2888,0)</f>
        <v/>
      </c>
    </row>
    <row r="2894">
      <c r="A2894" t="inlineStr">
        <is>
          <t>Boss-Only Total DPS (this block's swept value)</t>
        </is>
      </c>
      <c r="B2894">
        <f>SUM(T2859:T2883)</f>
        <v/>
      </c>
    </row>
    <row r="2895">
      <c r="A2895" t="inlineStr">
        <is>
          <t>Normal-Only Total DPS (this block's swept value)</t>
        </is>
      </c>
      <c r="B2895">
        <f>SUM(V2859:V2883)</f>
        <v/>
      </c>
    </row>
    <row r="2896">
      <c r="A2896" s="6" t="inlineStr">
        <is>
          <t>TOTAL DPS</t>
        </is>
      </c>
      <c r="B2896" s="6">
        <f>SUM(O2859:O2883)</f>
        <v/>
      </c>
    </row>
    <row r="2899">
      <c r="A2899" s="6" t="inlineStr">
        <is>
          <t>Stat: CDR = 3.0s</t>
        </is>
      </c>
    </row>
    <row r="2900">
      <c r="A2900" s="5" t="inlineStr">
        <is>
          <t>Key</t>
        </is>
      </c>
      <c r="B2900" s="5" t="inlineStr">
        <is>
          <t>Name</t>
        </is>
      </c>
      <c r="C2900" s="5" t="inlineStr">
        <is>
          <t>Unlocked</t>
        </is>
      </c>
      <c r="D2900" s="5" t="inlineStr">
        <is>
          <t>InputLevel</t>
        </is>
      </c>
      <c r="E2900" s="5" t="inlineStr">
        <is>
          <t>Factor</t>
        </is>
      </c>
      <c r="F2900" s="5" t="inlineStr">
        <is>
          <t>CoefficientPercent</t>
        </is>
      </c>
      <c r="G2900" s="5" t="inlineStr">
        <is>
          <t>EffectiveHits</t>
        </is>
      </c>
      <c r="H2900" s="5" t="inlineStr">
        <is>
          <t>ProcProbability</t>
        </is>
      </c>
      <c r="I2900" s="5" t="inlineStr">
        <is>
          <t>MapleHeroMultiplier</t>
        </is>
      </c>
      <c r="J2900" s="5" t="inlineStr">
        <is>
          <t>BaseDamage</t>
        </is>
      </c>
      <c r="K2900" s="5" t="inlineStr">
        <is>
          <t>BaseHitDamage</t>
        </is>
      </c>
      <c r="L2900" s="5" t="inlineStr">
        <is>
          <t>NonCritAvg</t>
        </is>
      </c>
      <c r="M2900" s="5" t="inlineStr">
        <is>
          <t>CritAvg</t>
        </is>
      </c>
      <c r="N2900" s="5" t="inlineStr">
        <is>
          <t>ExpectedDamage(perHit)</t>
        </is>
      </c>
      <c r="O2900" s="5" t="inlineStr">
        <is>
          <t>DPS</t>
        </is>
      </c>
      <c r="P2900" s="5" t="inlineStr">
        <is>
          <t>% of Total</t>
        </is>
      </c>
      <c r="Q2900" s="5" t="inlineStr">
        <is>
          <t>InvCooldown</t>
        </is>
      </c>
      <c r="R2900" s="5" t="inlineStr">
        <is>
          <t>CastsInFight</t>
        </is>
      </c>
      <c r="S2900" s="5" t="inlineStr">
        <is>
          <t>HitRate(perSec)</t>
        </is>
      </c>
      <c r="U2900" t="inlineStr">
        <is>
          <t>helpers</t>
        </is>
      </c>
    </row>
    <row r="2901">
      <c r="A2901">
        <f>Skills!A2</f>
        <v/>
      </c>
      <c r="B2901">
        <f>Skills!B2</f>
        <v/>
      </c>
      <c r="C2901">
        <f>Inputs!$B$3&gt;=100</f>
        <v/>
      </c>
      <c r="D2901" t="inlineStr"/>
      <c r="E2901" t="inlineStr"/>
      <c r="F2901">
        <f>U2903+Skills!O2</f>
        <v/>
      </c>
      <c r="G2901">
        <f>Skills!G2*IF(Skills!H2&gt;0,Skills!I2/Skills!H2,1)</f>
        <v/>
      </c>
      <c r="H2901">
        <f>1-(1-Skills!J2/100)^Skills!K2</f>
        <v/>
      </c>
      <c r="I2901" t="inlineStr">
        <is>
          <t>1</t>
        </is>
      </c>
      <c r="J2901">
        <f>((Inputs!$B$6*(1+Inputs!$B$7/100))+(((Inputs!$B$12*(1+Inputs!$B$13/100))-(Inputs!$B$12*(1+Inputs!$B$13/100)))+0.25*(Inputs!$B$14-Inputs!$B$14))*(1+Inputs!$B$7/100))*(F2901/100)</f>
        <v/>
      </c>
      <c r="K2901">
        <f>J2901*(1+((Inputs!$B$12*(1+Inputs!$B$13/100))*0.01+Inputs!$B$14*0.0025)/100)*(1+Inputs!$B$15/100)*(1+Inputs!$B$16/100)*(5000/(6000+Inputs!$B$42*(1-(100*(1-(1-(Inputs!$B$19+0)/100)*(1-CHOOSE(ArtifactsInput!$N$40+1,5,6,7,8,9,10)/100)^(ArtifactsInput!$M$40-ArtifactsInput!$M$40)))/100)))*(1+(Inputs!$B$24+((C2924=TRUE)*(F2924-Calc!F25))+B2934)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2920=TRUE)*(F2920-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2922=TRUE)*(F2922-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2912=TRUE)*F2912*IF(Inputs!$B$3&gt;=110,7,5))+((C2914=TRUE)*F2914*IF(AND(Inputs!$B$38&lt;&gt;"pvp",Inputs!$B$43&gt;0),(((R2914-1)*(Skills!T15*(1+(Inputs!$B$34+(ArtifactsInput!$M$7-ArtifactsInput!$M$7)*CHOOSE(ArtifactsInput!$N$7+1,6,7.2,8.4,9.6,10.8,12))/100))+MIN((Skills!T15*(1+(Inputs!$B$34+(ArtifactsInput!$M$7-ArtifactsInput!$M$7)*CHOOSE(ArtifactsInput!$N$7+1,6,7.2,8.4,9.6,10.8,12))/100)),MAX(0,Inputs!$B$43-((R2914-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Hunt"),CHOOSE(ArtifactsInput!$N$35+1,15,18,21,24,27,30)*(1-EXP(-(0.2*B2930)*5)),0)+IF(AND(ArtifactsInput!$M$22,Inputs!$B$4&lt;&gt;"Chapter Hunt"),CHOOSE(ArtifactsInput!$N$22+1,10,12,14,16,18,20)*((0*(((0.15*B2930*5))^0/1)+1*(((0.15*B2930*5))^1/1)+2*(((0.15*B2930*5))^2/2)+3*(((0.15*B2930*5))^3/6)+4*(((0.15*B2930*5))^4/24)+5*(((0.15*B2930*5))^5/120))/((((0.15*B2930*5))^0/1)+(((0.15*B2930*5))^1/1)+(((0.15*B2930*5))^2/2)+(((0.15*B2930*5))^3/6)+(((0.15*B2930*5))^4/24)+(((0.15*B2930*5))^5/120))),0)))/100)*I2901)</f>
        <v/>
      </c>
      <c r="L2901">
        <f>K2901*(MIN(Inputs!$B$22+((C2921=TRUE)*(F2921-Calc!F22)),(Inputs!$B$23+((C2923=TRUE)*(F2923-Calc!F24))+(IF(ArtifactsInput!$M$15,CHOOSE(ArtifactsInput!$N$15+1,25,30,35,40,45,50)/100*(Inputs!$B$11-Inputs!$B$11),0))))/100+(Inputs!$B$23+((C2923=TRUE)*(F2923-Calc!F24))+(IF(ArtifactsInput!$M$15,CHOOSE(ArtifactsInput!$N$15+1,25,30,35,40,45,50)/100*(Inputs!$B$11-Inputs!$B$11),0)))/100)/2</f>
        <v/>
      </c>
      <c r="M2901">
        <f>L2901*(1+(Inputs!$B$10+0+B2933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1">
        <f>L2901*(1-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2901*(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1">
        <f>(1-Summary!$B$11)*T2901+Summary!$B$11*V2901</f>
        <v/>
      </c>
      <c r="P2901">
        <f>IF(B2938=0,0,O2901/B2938)</f>
        <v/>
      </c>
      <c r="Q2901" t="n">
        <v>0</v>
      </c>
      <c r="R2901" t="n">
        <v>0</v>
      </c>
      <c r="S2901">
        <f>IFERROR(O2901/N2901,0)</f>
        <v/>
      </c>
      <c r="T2901">
        <f>IF(C2901,(Skills!G2*N2901*B2932)*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2901*(1-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2901*(1-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01">
        <f>MAX(0,(Inputs!$B$3-100)*3)+Inputs!$B$28+Inputs!$B$29</f>
        <v/>
      </c>
      <c r="V2901">
        <f>IF(C2901,(Skills!G2*N2901*B2932)*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2">
      <c r="A2902">
        <f>Skills!A3</f>
        <v/>
      </c>
      <c r="B2902">
        <f>Skills!B3</f>
        <v/>
      </c>
      <c r="C2902">
        <f>Inputs!$B$3&gt;=50</f>
        <v/>
      </c>
      <c r="D2902">
        <f>IF(Skills!C3=1,60+Inputs!$B$25+Inputs!$B$29,IF(Skills!C3=2,90+Inputs!$B$26+Inputs!$B$29,IF(Skills!C3=3,120+Inputs!$B$27+Inputs!$B$29,MAX(0,(Inputs!$B$3-100)*3)+Inputs!$B$28+Inputs!$B$29)))</f>
        <v/>
      </c>
      <c r="E2902">
        <f>INDEX(FactorTable!$B$2:$Y$301, MATCH(ROUND(MIN(300,MAX(1,D2902)),0), FactorTable!$A$2:$A$301,0), Skills!M3+1)</f>
        <v/>
      </c>
      <c r="F2902">
        <f>IF(Skills!N3=TRUE,(Skills!L3/10)*(E2902/1000),Skills!L3/10)+Skills!O3</f>
        <v/>
      </c>
      <c r="G2902" t="inlineStr"/>
      <c r="H2902" t="inlineStr"/>
      <c r="I2902" t="inlineStr">
        <is>
          <t>1</t>
        </is>
      </c>
      <c r="J2902" t="inlineStr"/>
      <c r="K2902" t="inlineStr"/>
      <c r="L2902" t="inlineStr"/>
      <c r="M2902" t="inlineStr"/>
      <c r="N2902" t="inlineStr"/>
      <c r="O2902" t="inlineStr"/>
      <c r="P2902" t="inlineStr"/>
      <c r="Q2902" t="inlineStr"/>
      <c r="R2902" t="inlineStr"/>
      <c r="S2902" t="inlineStr"/>
      <c r="U2902">
        <f>INDEX(FactorTable!$B$2:$Y$301, MATCH(ROUND(MIN(300,MAX(1,U2901)),0), FactorTable!$A$2:$A$301,0), 22)</f>
        <v/>
      </c>
    </row>
    <row r="2903">
      <c r="A2903">
        <f>Skills!A4</f>
        <v/>
      </c>
      <c r="B2903">
        <f>Skills!B4</f>
        <v/>
      </c>
      <c r="C2903">
        <f>Inputs!$B$3&gt;=105</f>
        <v/>
      </c>
      <c r="D2903">
        <f>IF(Skills!C4=1,60+Inputs!$B$25+Inputs!$B$29,IF(Skills!C4=2,90+Inputs!$B$26+Inputs!$B$29,IF(Skills!C4=3,120+Inputs!$B$27+Inputs!$B$29,MAX(0,(Inputs!$B$3-100)*3)+Inputs!$B$28+Inputs!$B$29)))</f>
        <v/>
      </c>
      <c r="E2903">
        <f>INDEX(FactorTable!$B$2:$Y$301, MATCH(ROUND(MIN(300,MAX(1,D2903)),0), FactorTable!$A$2:$A$301,0), Skills!M4+1)</f>
        <v/>
      </c>
      <c r="F2903">
        <f>IF(Skills!N4=TRUE,(Skills!L4/10)*(E2903/1000),Skills!L4/10)+Skills!O4</f>
        <v/>
      </c>
      <c r="G2903" t="inlineStr"/>
      <c r="H2903" t="inlineStr"/>
      <c r="I2903" t="inlineStr">
        <is>
          <t>1</t>
        </is>
      </c>
      <c r="J2903" t="inlineStr"/>
      <c r="K2903" t="inlineStr"/>
      <c r="L2903" t="inlineStr"/>
      <c r="M2903" t="inlineStr"/>
      <c r="N2903" t="inlineStr"/>
      <c r="O2903" t="inlineStr"/>
      <c r="P2903" t="inlineStr"/>
      <c r="Q2903" t="inlineStr"/>
      <c r="R2903" t="inlineStr"/>
      <c r="S2903" t="inlineStr"/>
      <c r="U2903">
        <f>290*U2902/1000</f>
        <v/>
      </c>
    </row>
    <row r="2904">
      <c r="A2904">
        <f>Skills!A5</f>
        <v/>
      </c>
      <c r="B2904">
        <f>Skills!B5</f>
        <v/>
      </c>
      <c r="C2904">
        <f>Inputs!$B$3&gt;=103</f>
        <v/>
      </c>
      <c r="D2904">
        <f>IF(Skills!C5=1,60+Inputs!$B$25+Inputs!$B$29,IF(Skills!C5=2,90+Inputs!$B$26+Inputs!$B$29,IF(Skills!C5=3,120+Inputs!$B$27+Inputs!$B$29,MAX(0,(Inputs!$B$3-100)*3)+Inputs!$B$28+Inputs!$B$29)))</f>
        <v/>
      </c>
      <c r="E2904">
        <f>INDEX(FactorTable!$B$2:$Y$301, MATCH(ROUND(MIN(300,MAX(1,D2904)),0), FactorTable!$A$2:$A$301,0), Skills!M5+1)</f>
        <v/>
      </c>
      <c r="F2904">
        <f>IF(Skills!N5=TRUE,(Skills!L5/10)*(E2904/1000),Skills!L5/10)+Skills!O5</f>
        <v/>
      </c>
      <c r="G2904">
        <f>Skills!G5*IF(Skills!H5&gt;0,Skills!I5/Skills!H5,1)</f>
        <v/>
      </c>
      <c r="H2904">
        <f>1-(1-Skills!J5/100)^Skills!K5</f>
        <v/>
      </c>
      <c r="I2904" t="inlineStr">
        <is>
          <t>1</t>
        </is>
      </c>
      <c r="J2904">
        <f>((Inputs!$B$6*(1+Inputs!$B$7/100))+(((Inputs!$B$12*(1+Inputs!$B$13/100))-(Inputs!$B$12*(1+Inputs!$B$13/100)))+0.25*(Inputs!$B$14-Inputs!$B$14))*(1+Inputs!$B$7/100))*(F2904/100)</f>
        <v/>
      </c>
      <c r="K2904">
        <f>J2904*(1+((Inputs!$B$12*(1+Inputs!$B$13/100))*0.01+Inputs!$B$14*0.0025)/100)*(1+Inputs!$B$15/100)*(1+Inputs!$B$16/100)*(5000/(6000+Inputs!$B$42*(1-(100*(1-(1-(Inputs!$B$19+0)/100)*(1-CHOOSE(ArtifactsInput!$N$40+1,5,6,7,8,9,10)/100)^(ArtifactsInput!$M$40-ArtifactsInput!$M$40)))/100)))*(1+(Inputs!$B$24+((C2924=TRUE)*(F2924-Calc!F25))+B2934)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2920=TRUE)*(F2920-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2922=TRUE)*(F2922-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2912=TRUE)*F2912*IF(Inputs!$B$3&gt;=110,7,5))+((C2914=TRUE)*F2914*IF(AND(Inputs!$B$38&lt;&gt;"pvp",Inputs!$B$43&gt;0),(((R2914-1)*(Skills!T15*(1+(Inputs!$B$34+(ArtifactsInput!$M$7-ArtifactsInput!$M$7)*CHOOSE(ArtifactsInput!$N$7+1,6,7.2,8.4,9.6,10.8,12))/100))+MIN((Skills!T15*(1+(Inputs!$B$34+(ArtifactsInput!$M$7-ArtifactsInput!$M$7)*CHOOSE(ArtifactsInput!$N$7+1,6,7.2,8.4,9.6,10.8,12))/100)),MAX(0,Inputs!$B$43-((R2914-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Hunt"),CHOOSE(ArtifactsInput!$N$35+1,15,18,21,24,27,30)*(1-EXP(-(0.2*B2930)*5)),0)+IF(AND(ArtifactsInput!$M$22,Inputs!$B$4&lt;&gt;"Chapter Hunt"),CHOOSE(ArtifactsInput!$N$22+1,10,12,14,16,18,20)*((0*(((0.15*B2930*5))^0/1)+1*(((0.15*B2930*5))^1/1)+2*(((0.15*B2930*5))^2/2)+3*(((0.15*B2930*5))^3/6)+4*(((0.15*B2930*5))^4/24)+5*(((0.15*B2930*5))^5/120))/((((0.15*B2930*5))^0/1)+(((0.15*B2930*5))^1/1)+(((0.15*B2930*5))^2/2)+(((0.15*B2930*5))^3/6)+(((0.15*B2930*5))^4/24)+(((0.15*B2930*5))^5/120))),0)))/100)*I2904)</f>
        <v/>
      </c>
      <c r="L2904">
        <f>K2904*(MIN(Inputs!$B$22+((C2921=TRUE)*(F2921-Calc!F22)),(Inputs!$B$23+((C2923=TRUE)*(F2923-Calc!F24))+(IF(ArtifactsInput!$M$15,CHOOSE(ArtifactsInput!$N$15+1,25,30,35,40,45,50)/100*(Inputs!$B$11-Inputs!$B$11),0))))/100+(Inputs!$B$23+((C2923=TRUE)*(F2923-Calc!F24))+(IF(ArtifactsInput!$M$15,CHOOSE(ArtifactsInput!$N$15+1,25,30,35,40,45,50)/100*(Inputs!$B$11-Inputs!$B$11),0)))/100)/2</f>
        <v/>
      </c>
      <c r="M2904">
        <f>L2904*(1+(Inputs!$B$10+0+B2933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4">
        <f>L2904*(1-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2904*(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4">
        <f>(1-Summary!$B$11)*T2904+Summary!$B$11*V2904</f>
        <v/>
      </c>
      <c r="P2904">
        <f>IF(B2938=0,0,O2904/B2938)</f>
        <v/>
      </c>
      <c r="Q2904">
        <f>IFERROR(1/(IF(Inputs!$B$38="pvp",15,MAX(0.1,Skills!D5-IF(Skills!E5=TRUE,3.0,0)))*(1-IF(AND(ArtifactsInput!$M$27,Inputs!$B$4="Chapter Hunt"),CHOOSE(ArtifactsInput!$N$27+1,20,24,28,32,36,40),0)/100)),0)</f>
        <v/>
      </c>
      <c r="R2904">
        <f>IF(AND(Inputs!$B$38&lt;&gt;"pvp",Inputs!$B$43&gt;0),IF(MAX(0,Inputs!$B$43-B2935)&lt;=0,0,(INT(MAX(0,Inputs!$B$43-B2935)/(IF(Inputs!$B$38="pvp",15,MAX(0.1,Skills!D5-IF(Skills!E5=TRUE,3.0,0)))*(1-IF(AND(ArtifactsInput!$M$27,Inputs!$B$4="Chapter Hunt"),CHOOSE(ArtifactsInput!$N$27+1,20,24,28,32,36,40),0)/100)))+1)),0)</f>
        <v/>
      </c>
      <c r="S2904">
        <f>IFERROR(O2904/N2904,0)</f>
        <v/>
      </c>
      <c r="T2904">
        <f>IF(C2904,(H2904*N2904*IF(AND(Inputs!$B$38&lt;&gt;"pvp",Inputs!$B$43&gt;0),((Skills!G5*((R2904-1)*IF(Skills!H5&gt;0,Skills!I5/Skills!H5,1)+IF(Skills!H5&gt;0,MIN(Skills!I5,MAX(0,MAX(0,Inputs!$B$43-B2935)-((R2904-1)*(IF(Inputs!$B$38="pvp",15,MAX(0.1,Skills!D5-IF(Skills!E5=TRUE,3.0,0)))*(1-IF(AND(ArtifactsInput!$M$27,Inputs!$B$4="Chapter Hunt"),CHOOSE(ArtifactsInput!$N$27+1,20,24,28,32,36,40),0)/100)))))/Skills!H5,1)))/Inputs!$B$43),G2904*Q2904))*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2904*(1-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2904*(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2904*(1-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2904*(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04">
        <f>IF(C2904,(H2904*N2904*IF(AND(Inputs!$B$38&lt;&gt;"pvp",Inputs!$B$43&gt;0),((Skills!G5*((R2904-1)*IF(Skills!H5&gt;0,Skills!I5/Skills!H5,1)+IF(Skills!H5&gt;0,MIN(Skills!I5,MAX(0,MAX(0,Inputs!$B$43-B2935)-((R2904-1)*(IF(Inputs!$B$38="pvp",15,MAX(0.1,Skills!D5-IF(Skills!E5=TRUE,3.0,0)))*(1-IF(AND(ArtifactsInput!$M$27,Inputs!$B$4="Chapter Hunt"),CHOOSE(ArtifactsInput!$N$27+1,20,24,28,32,36,40),0)/100)))))/Skills!H5,1)))/Inputs!$B$43),G2904*Q2904))*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5">
      <c r="A2905">
        <f>Skills!A6</f>
        <v/>
      </c>
      <c r="B2905">
        <f>Skills!B6</f>
        <v/>
      </c>
      <c r="C2905">
        <f>Inputs!$B$3&gt;=103</f>
        <v/>
      </c>
      <c r="D2905">
        <f>IF(Skills!C6=1,60+Inputs!$B$25+Inputs!$B$29,IF(Skills!C6=2,90+Inputs!$B$26+Inputs!$B$29,IF(Skills!C6=3,120+Inputs!$B$27+Inputs!$B$29,MAX(0,(Inputs!$B$3-100)*3)+Inputs!$B$28+Inputs!$B$29)))</f>
        <v/>
      </c>
      <c r="E2905">
        <f>INDEX(FactorTable!$B$2:$Y$301, MATCH(ROUND(MIN(300,MAX(1,D2905)),0), FactorTable!$A$2:$A$301,0), Skills!M6+1)</f>
        <v/>
      </c>
      <c r="F2905">
        <f>IF(Skills!N6=TRUE,(Skills!L6/10)*(E2905/1000),Skills!L6/10)+Skills!O6</f>
        <v/>
      </c>
      <c r="G2905">
        <f>Skills!G6*IF(Skills!H6&gt;0,Skills!I6/Skills!H6,1)</f>
        <v/>
      </c>
      <c r="H2905">
        <f>1-(1-Skills!J6/100)^Skills!K6</f>
        <v/>
      </c>
      <c r="I2905" t="inlineStr">
        <is>
          <t>1</t>
        </is>
      </c>
      <c r="J2905">
        <f>((Inputs!$B$6*(1+Inputs!$B$7/100))+(((Inputs!$B$12*(1+Inputs!$B$13/100))-(Inputs!$B$12*(1+Inputs!$B$13/100)))+0.25*(Inputs!$B$14-Inputs!$B$14))*(1+Inputs!$B$7/100))*(F2905/100)</f>
        <v/>
      </c>
      <c r="K2905">
        <f>J2905*(1+((Inputs!$B$12*(1+Inputs!$B$13/100))*0.01+Inputs!$B$14*0.0025)/100)*(1+Inputs!$B$15/100)*(1+Inputs!$B$16/100)*(5000/(6000+Inputs!$B$42*(1-(100*(1-(1-(Inputs!$B$19+0)/100)*(1-CHOOSE(ArtifactsInput!$N$40+1,5,6,7,8,9,10)/100)^(ArtifactsInput!$M$40-ArtifactsInput!$M$40)))/100)))*(1+(Inputs!$B$24+((C2924=TRUE)*(F2924-Calc!F25))+B2934)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2920=TRUE)*(F2920-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2922=TRUE)*(F2922-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2912=TRUE)*F2912*IF(Inputs!$B$3&gt;=110,7,5))+((C2914=TRUE)*F2914*IF(AND(Inputs!$B$38&lt;&gt;"pvp",Inputs!$B$43&gt;0),(((R2914-1)*(Skills!T15*(1+(Inputs!$B$34+(ArtifactsInput!$M$7-ArtifactsInput!$M$7)*CHOOSE(ArtifactsInput!$N$7+1,6,7.2,8.4,9.6,10.8,12))/100))+MIN((Skills!T15*(1+(Inputs!$B$34+(ArtifactsInput!$M$7-ArtifactsInput!$M$7)*CHOOSE(ArtifactsInput!$N$7+1,6,7.2,8.4,9.6,10.8,12))/100)),MAX(0,Inputs!$B$43-((R2914-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Hunt"),CHOOSE(ArtifactsInput!$N$35+1,15,18,21,24,27,30)*(1-EXP(-(0.2*B2930)*5)),0)+IF(AND(ArtifactsInput!$M$22,Inputs!$B$4&lt;&gt;"Chapter Hunt"),CHOOSE(ArtifactsInput!$N$22+1,10,12,14,16,18,20)*((0*(((0.15*B2930*5))^0/1)+1*(((0.15*B2930*5))^1/1)+2*(((0.15*B2930*5))^2/2)+3*(((0.15*B2930*5))^3/6)+4*(((0.15*B2930*5))^4/24)+5*(((0.15*B2930*5))^5/120))/((((0.15*B2930*5))^0/1)+(((0.15*B2930*5))^1/1)+(((0.15*B2930*5))^2/2)+(((0.15*B2930*5))^3/6)+(((0.15*B2930*5))^4/24)+(((0.15*B2930*5))^5/120))),0)))/100)*I2905)</f>
        <v/>
      </c>
      <c r="L2905">
        <f>K2905*(MIN(Inputs!$B$22+((C2921=TRUE)*(F2921-Calc!F22)),(Inputs!$B$23+((C2923=TRUE)*(F2923-Calc!F24))+(IF(ArtifactsInput!$M$15,CHOOSE(ArtifactsInput!$N$15+1,25,30,35,40,45,50)/100*(Inputs!$B$11-Inputs!$B$11),0))))/100+(Inputs!$B$23+((C2923=TRUE)*(F2923-Calc!F24))+(IF(ArtifactsInput!$M$15,CHOOSE(ArtifactsInput!$N$15+1,25,30,35,40,45,50)/100*(Inputs!$B$11-Inputs!$B$11),0)))/100)/2</f>
        <v/>
      </c>
      <c r="M2905">
        <f>L2905*(1+(Inputs!$B$10+0+B2933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5">
        <f>L2905*(1-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2905*(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5">
        <f>(1-Summary!$B$11)*T2905+Summary!$B$11*V2905</f>
        <v/>
      </c>
      <c r="P2905">
        <f>IF(B2938=0,0,O2905/B2938)</f>
        <v/>
      </c>
      <c r="Q2905">
        <f>IFERROR(1/(IF(Inputs!$B$38="pvp",15,MAX(0.1,Skills!D6-IF(Skills!E6=TRUE,3.0,0)))*(1-IF(AND(ArtifactsInput!$M$27,Inputs!$B$4="Chapter Hunt"),CHOOSE(ArtifactsInput!$N$27+1,20,24,28,32,36,40),0)/100)),0)</f>
        <v/>
      </c>
      <c r="R2905">
        <f>IF(AND(Inputs!$B$38&lt;&gt;"pvp",Inputs!$B$43&gt;0),IF(MAX(0,Inputs!$B$43-B2935)&lt;=0,0,(INT(MAX(0,Inputs!$B$43-B2935)/(IF(Inputs!$B$38="pvp",15,MAX(0.1,Skills!D6-IF(Skills!E6=TRUE,3.0,0)))*(1-IF(AND(ArtifactsInput!$M$27,Inputs!$B$4="Chapter Hunt"),CHOOSE(ArtifactsInput!$N$27+1,20,24,28,32,36,40),0)/100)))+1)),0)</f>
        <v/>
      </c>
      <c r="S2905">
        <f>IFERROR(O2905/N2905,0)</f>
        <v/>
      </c>
      <c r="T2905">
        <f>IF(C2905,(H2905*N2905*IF(AND(Inputs!$B$38&lt;&gt;"pvp",Inputs!$B$43&gt;0),((Skills!G6*((R2905-1)*IF(Skills!H6&gt;0,Skills!I6/Skills!H6,1)+IF(Skills!H6&gt;0,MIN(Skills!I6,MAX(0,MAX(0,Inputs!$B$43-B2935)-((R2905-1)*(IF(Inputs!$B$38="pvp",15,MAX(0.1,Skills!D6-IF(Skills!E6=TRUE,3.0,0)))*(1-IF(AND(ArtifactsInput!$M$27,Inputs!$B$4="Chapter Hunt"),CHOOSE(ArtifactsInput!$N$27+1,20,24,28,32,36,40),0)/100)))))/Skills!H6,1)))/Inputs!$B$43),G2905*Q2905))*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2905*(1-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2905*(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2905*(1-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2905*(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05">
        <f>IF(C2905,(H2905*N2905*IF(AND(Inputs!$B$38&lt;&gt;"pvp",Inputs!$B$43&gt;0),((Skills!G6*((R2905-1)*IF(Skills!H6&gt;0,Skills!I6/Skills!H6,1)+IF(Skills!H6&gt;0,MIN(Skills!I6,MAX(0,MAX(0,Inputs!$B$43-B2935)-((R2905-1)*(IF(Inputs!$B$38="pvp",15,MAX(0.1,Skills!D6-IF(Skills!E6=TRUE,3.0,0)))*(1-IF(AND(ArtifactsInput!$M$27,Inputs!$B$4="Chapter Hunt"),CHOOSE(ArtifactsInput!$N$27+1,20,24,28,32,36,40),0)/100)))))/Skills!H6,1)))/Inputs!$B$43),G2905*Q2905))*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6">
      <c r="A2906">
        <f>Skills!A7</f>
        <v/>
      </c>
      <c r="B2906">
        <f>Skills!B7</f>
        <v/>
      </c>
      <c r="C2906">
        <f>Inputs!$B$3&gt;=107</f>
        <v/>
      </c>
      <c r="D2906">
        <f>IF(Skills!C7=1,60+Inputs!$B$25+Inputs!$B$29,IF(Skills!C7=2,90+Inputs!$B$26+Inputs!$B$29,IF(Skills!C7=3,120+Inputs!$B$27+Inputs!$B$29,MAX(0,(Inputs!$B$3-100)*3)+Inputs!$B$28+Inputs!$B$29)))</f>
        <v/>
      </c>
      <c r="E2906">
        <f>INDEX(FactorTable!$B$2:$Y$301, MATCH(ROUND(MIN(300,MAX(1,D2906)),0), FactorTable!$A$2:$A$301,0), Skills!M7+1)</f>
        <v/>
      </c>
      <c r="F2906">
        <f>IF(Skills!N7=TRUE,(Skills!L7/10)*(E2906/1000),Skills!L7/10)+Skills!O7</f>
        <v/>
      </c>
      <c r="G2906">
        <f>Skills!G7*IF(Skills!H7&gt;0,Skills!I7/Skills!H7,1)</f>
        <v/>
      </c>
      <c r="H2906">
        <f>1-(1-Skills!J7/100)^Skills!K7</f>
        <v/>
      </c>
      <c r="I2906" t="inlineStr">
        <is>
          <t>1</t>
        </is>
      </c>
      <c r="J2906">
        <f>((Inputs!$B$6*(1+Inputs!$B$7/100))+(((Inputs!$B$12*(1+Inputs!$B$13/100))-(Inputs!$B$12*(1+Inputs!$B$13/100)))+0.25*(Inputs!$B$14-Inputs!$B$14))*(1+Inputs!$B$7/100))*(F2906/100)</f>
        <v/>
      </c>
      <c r="K2906">
        <f>J2906*(1+((Inputs!$B$12*(1+Inputs!$B$13/100))*0.01+Inputs!$B$14*0.0025)/100)*(1+Inputs!$B$15/100)*(1+Inputs!$B$16/100)*(5000/(6000+Inputs!$B$42*(1-(100*(1-(1-(Inputs!$B$19+0)/100)*(1-CHOOSE(ArtifactsInput!$N$40+1,5,6,7,8,9,10)/100)^(ArtifactsInput!$M$40-ArtifactsInput!$M$40)))/100)))*(1+(Inputs!$B$24+((C2924=TRUE)*(F2924-Calc!F25))+B2934)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2920=TRUE)*(F2920-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2922=TRUE)*(F2922-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2912=TRUE)*F2912*IF(Inputs!$B$3&gt;=110,7,5))+((C2914=TRUE)*F2914*IF(AND(Inputs!$B$38&lt;&gt;"pvp",Inputs!$B$43&gt;0),(((R2914-1)*(Skills!T15*(1+(Inputs!$B$34+(ArtifactsInput!$M$7-ArtifactsInput!$M$7)*CHOOSE(ArtifactsInput!$N$7+1,6,7.2,8.4,9.6,10.8,12))/100))+MIN((Skills!T15*(1+(Inputs!$B$34+(ArtifactsInput!$M$7-ArtifactsInput!$M$7)*CHOOSE(ArtifactsInput!$N$7+1,6,7.2,8.4,9.6,10.8,12))/100)),MAX(0,Inputs!$B$43-((R2914-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Hunt"),CHOOSE(ArtifactsInput!$N$35+1,15,18,21,24,27,30)*(1-EXP(-(0.2*B2930)*5)),0)+IF(AND(ArtifactsInput!$M$22,Inputs!$B$4&lt;&gt;"Chapter Hunt"),CHOOSE(ArtifactsInput!$N$22+1,10,12,14,16,18,20)*((0*(((0.15*B2930*5))^0/1)+1*(((0.15*B2930*5))^1/1)+2*(((0.15*B2930*5))^2/2)+3*(((0.15*B2930*5))^3/6)+4*(((0.15*B2930*5))^4/24)+5*(((0.15*B2930*5))^5/120))/((((0.15*B2930*5))^0/1)+(((0.15*B2930*5))^1/1)+(((0.15*B2930*5))^2/2)+(((0.15*B2930*5))^3/6)+(((0.15*B2930*5))^4/24)+(((0.15*B2930*5))^5/120))),0)))/100)*I2906)</f>
        <v/>
      </c>
      <c r="L2906">
        <f>K2906*(MIN(Inputs!$B$22+((C2921=TRUE)*(F2921-Calc!F22)),(Inputs!$B$23+((C2923=TRUE)*(F2923-Calc!F24))+(IF(ArtifactsInput!$M$15,CHOOSE(ArtifactsInput!$N$15+1,25,30,35,40,45,50)/100*(Inputs!$B$11-Inputs!$B$11),0))))/100+(Inputs!$B$23+((C2923=TRUE)*(F2923-Calc!F24))+(IF(ArtifactsInput!$M$15,CHOOSE(ArtifactsInput!$N$15+1,25,30,35,40,45,50)/100*(Inputs!$B$11-Inputs!$B$11),0)))/100)/2</f>
        <v/>
      </c>
      <c r="M2906">
        <f>L2906*(1+(Inputs!$B$10+0+B2933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6">
        <f>L2906*(1-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2906*(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6">
        <f>(1-Summary!$B$11)*T2906+Summary!$B$11*V2906</f>
        <v/>
      </c>
      <c r="P2906">
        <f>IF(B2938=0,0,O2906/B2938)</f>
        <v/>
      </c>
      <c r="Q2906">
        <f>IFERROR(1/(IF(Inputs!$B$38="pvp",15,MAX(0.1,Skills!D7-IF(Skills!E7=TRUE,3.0,0)))*(1-IF(AND(ArtifactsInput!$M$27,Inputs!$B$4="Chapter Hunt"),CHOOSE(ArtifactsInput!$N$27+1,20,24,28,32,36,40),0)/100)),0)</f>
        <v/>
      </c>
      <c r="R2906">
        <f>IF(AND(Inputs!$B$38&lt;&gt;"pvp",Inputs!$B$43&gt;0),IF(MAX(0,Inputs!$B$43-B2935)&lt;=0,0,(INT(MAX(0,Inputs!$B$43-B2935)/(IF(Inputs!$B$38="pvp",15,MAX(0.1,Skills!D7-IF(Skills!E7=TRUE,3.0,0)))*(1-IF(AND(ArtifactsInput!$M$27,Inputs!$B$4="Chapter Hunt"),CHOOSE(ArtifactsInput!$N$27+1,20,24,28,32,36,40),0)/100)))+1)),0)</f>
        <v/>
      </c>
      <c r="S2906">
        <f>IFERROR(O2906/N2906,0)</f>
        <v/>
      </c>
      <c r="T2906">
        <f>IF(C2906,(H2906*N2906*IF(AND(Inputs!$B$38&lt;&gt;"pvp",Inputs!$B$43&gt;0),((Skills!G7*((R2906-1)*IF(Skills!H7&gt;0,Skills!I7/Skills!H7,1)+IF(Skills!H7&gt;0,MIN(Skills!I7,MAX(0,MAX(0,Inputs!$B$43-B2935)-((R2906-1)*(IF(Inputs!$B$38="pvp",15,MAX(0.1,Skills!D7-IF(Skills!E7=TRUE,3.0,0)))*(1-IF(AND(ArtifactsInput!$M$27,Inputs!$B$4="Chapter Hunt"),CHOOSE(ArtifactsInput!$N$27+1,20,24,28,32,36,40),0)/100)))))/Skills!H7,1)))/Inputs!$B$43),G2906*Q2906))*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2906*(1-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2906*(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2906*(1-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2906*(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06">
        <f>IF(C2906,(H2906*N2906*IF(AND(Inputs!$B$38&lt;&gt;"pvp",Inputs!$B$43&gt;0),((Skills!G7*((R2906-1)*IF(Skills!H7&gt;0,Skills!I7/Skills!H7,1)+IF(Skills!H7&gt;0,MIN(Skills!I7,MAX(0,MAX(0,Inputs!$B$43-B2935)-((R2906-1)*(IF(Inputs!$B$38="pvp",15,MAX(0.1,Skills!D7-IF(Skills!E7=TRUE,3.0,0)))*(1-IF(AND(ArtifactsInput!$M$27,Inputs!$B$4="Chapter Hunt"),CHOOSE(ArtifactsInput!$N$27+1,20,24,28,32,36,40),0)/100)))))/Skills!H7,1)))/Inputs!$B$43),G2906*Q2906))*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7">
      <c r="A2907">
        <f>Skills!A8</f>
        <v/>
      </c>
      <c r="B2907">
        <f>Skills!B8</f>
        <v/>
      </c>
      <c r="C2907">
        <f>Inputs!$B$3&gt;=117</f>
        <v/>
      </c>
      <c r="D2907">
        <f>IF(Skills!C8=1,60+Inputs!$B$25+Inputs!$B$29,IF(Skills!C8=2,90+Inputs!$B$26+Inputs!$B$29,IF(Skills!C8=3,120+Inputs!$B$27+Inputs!$B$29,MAX(0,(Inputs!$B$3-100)*3)+Inputs!$B$28+Inputs!$B$29)))</f>
        <v/>
      </c>
      <c r="E2907">
        <f>INDEX(FactorTable!$B$2:$Y$301, MATCH(ROUND(MIN(300,MAX(1,D2907)),0), FactorTable!$A$2:$A$301,0), Skills!M8+1)</f>
        <v/>
      </c>
      <c r="F2907">
        <f>IF(Skills!N8=TRUE,(Skills!L8/10)*(E2907/1000),Skills!L8/10)+Skills!O8</f>
        <v/>
      </c>
      <c r="G2907">
        <f>Skills!G8*IF(Skills!H8&gt;0,Skills!I8/Skills!H8,1)</f>
        <v/>
      </c>
      <c r="H2907">
        <f>1-(1-Skills!J8/100)^Skills!K8</f>
        <v/>
      </c>
      <c r="I2907" t="inlineStr">
        <is>
          <t>1</t>
        </is>
      </c>
      <c r="J2907">
        <f>((Inputs!$B$6*(1+Inputs!$B$7/100))+(((Inputs!$B$12*(1+Inputs!$B$13/100))-(Inputs!$B$12*(1+Inputs!$B$13/100)))+0.25*(Inputs!$B$14-Inputs!$B$14))*(1+Inputs!$B$7/100))*(F2907/100)</f>
        <v/>
      </c>
      <c r="K2907">
        <f>J2907*(1+((Inputs!$B$12*(1+Inputs!$B$13/100))*0.01+Inputs!$B$14*0.0025)/100)*(1+Inputs!$B$15/100)*(1+Inputs!$B$16/100)*(5000/(6000+Inputs!$B$42*(1-(100*(1-(1-(Inputs!$B$19+0)/100)*(1-CHOOSE(ArtifactsInput!$N$40+1,5,6,7,8,9,10)/100)^(ArtifactsInput!$M$40-ArtifactsInput!$M$40)))/100)))*(1+(Inputs!$B$24+((C2924=TRUE)*(F2924-Calc!F25))+B2934)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2920=TRUE)*(F2920-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2922=TRUE)*(F2922-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2912=TRUE)*F2912*IF(Inputs!$B$3&gt;=110,7,5))+((C2914=TRUE)*F2914*IF(AND(Inputs!$B$38&lt;&gt;"pvp",Inputs!$B$43&gt;0),(((R2914-1)*(Skills!T15*(1+(Inputs!$B$34+(ArtifactsInput!$M$7-ArtifactsInput!$M$7)*CHOOSE(ArtifactsInput!$N$7+1,6,7.2,8.4,9.6,10.8,12))/100))+MIN((Skills!T15*(1+(Inputs!$B$34+(ArtifactsInput!$M$7-ArtifactsInput!$M$7)*CHOOSE(ArtifactsInput!$N$7+1,6,7.2,8.4,9.6,10.8,12))/100)),MAX(0,Inputs!$B$43-((R2914-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Hunt"),CHOOSE(ArtifactsInput!$N$35+1,15,18,21,24,27,30)*(1-EXP(-(0.2*B2930)*5)),0)+IF(AND(ArtifactsInput!$M$22,Inputs!$B$4&lt;&gt;"Chapter Hunt"),CHOOSE(ArtifactsInput!$N$22+1,10,12,14,16,18,20)*((0*(((0.15*B2930*5))^0/1)+1*(((0.15*B2930*5))^1/1)+2*(((0.15*B2930*5))^2/2)+3*(((0.15*B2930*5))^3/6)+4*(((0.15*B2930*5))^4/24)+5*(((0.15*B2930*5))^5/120))/((((0.15*B2930*5))^0/1)+(((0.15*B2930*5))^1/1)+(((0.15*B2930*5))^2/2)+(((0.15*B2930*5))^3/6)+(((0.15*B2930*5))^4/24)+(((0.15*B2930*5))^5/120))),0)))/100)*I2907)</f>
        <v/>
      </c>
      <c r="L2907">
        <f>K2907*(MIN(Inputs!$B$22+((C2921=TRUE)*(F2921-Calc!F22)),(Inputs!$B$23+((C2923=TRUE)*(F2923-Calc!F24))+(IF(ArtifactsInput!$M$15,CHOOSE(ArtifactsInput!$N$15+1,25,30,35,40,45,50)/100*(Inputs!$B$11-Inputs!$B$11),0))))/100+(Inputs!$B$23+((C2923=TRUE)*(F2923-Calc!F24))+(IF(ArtifactsInput!$M$15,CHOOSE(ArtifactsInput!$N$15+1,25,30,35,40,45,50)/100*(Inputs!$B$11-Inputs!$B$11),0)))/100)/2</f>
        <v/>
      </c>
      <c r="M2907">
        <f>L2907*(1+(Inputs!$B$10+0+B2933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7">
        <f>L2907*(1-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2907*(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7">
        <f>(1-Summary!$B$11)*T2907+Summary!$B$11*V2907</f>
        <v/>
      </c>
      <c r="P2907">
        <f>IF(B2938=0,0,O2907/B2938)</f>
        <v/>
      </c>
      <c r="Q2907">
        <f>IFERROR(1/(IF(Inputs!$B$38="pvp",15,MAX(0.1,Skills!D8-IF(Skills!E8=TRUE,3.0,0)))*(1-IF(AND(ArtifactsInput!$M$27,Inputs!$B$4="Chapter Hunt"),CHOOSE(ArtifactsInput!$N$27+1,20,24,28,32,36,40),0)/100)),0)</f>
        <v/>
      </c>
      <c r="R2907">
        <f>IF(AND(Inputs!$B$38&lt;&gt;"pvp",Inputs!$B$43&gt;0),IF(MAX(0,Inputs!$B$43-B2935)&lt;=0,0,(INT(MAX(0,Inputs!$B$43-B2935)/(IF(Inputs!$B$38="pvp",15,MAX(0.1,Skills!D8-IF(Skills!E8=TRUE,3.0,0)))*(1-IF(AND(ArtifactsInput!$M$27,Inputs!$B$4="Chapter Hunt"),CHOOSE(ArtifactsInput!$N$27+1,20,24,28,32,36,40),0)/100)))+1)),0)</f>
        <v/>
      </c>
      <c r="S2907">
        <f>IFERROR(O2907/N2907,0)</f>
        <v/>
      </c>
      <c r="T2907">
        <f>IF(C2907,(H2907*N2907*IF(AND(Inputs!$B$38&lt;&gt;"pvp",Inputs!$B$43&gt;0),((Skills!G8*((R2907-1)*IF(Skills!H8&gt;0,Skills!I8/Skills!H8,1)+IF(Skills!H8&gt;0,MIN(Skills!I8,MAX(0,MAX(0,Inputs!$B$43-B2935)-((R2907-1)*(IF(Inputs!$B$38="pvp",15,MAX(0.1,Skills!D8-IF(Skills!E8=TRUE,3.0,0)))*(1-IF(AND(ArtifactsInput!$M$27,Inputs!$B$4="Chapter Hunt"),CHOOSE(ArtifactsInput!$N$27+1,20,24,28,32,36,40),0)/100)))))/Skills!H8,1)))/Inputs!$B$43),G2907*Q2907))*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2907*(1-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2907*(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2907*(1-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2907*(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07">
        <f>IF(C2907,(H2907*N2907*IF(AND(Inputs!$B$38&lt;&gt;"pvp",Inputs!$B$43&gt;0),((Skills!G8*((R2907-1)*IF(Skills!H8&gt;0,Skills!I8/Skills!H8,1)+IF(Skills!H8&gt;0,MIN(Skills!I8,MAX(0,MAX(0,Inputs!$B$43-B2935)-((R2907-1)*(IF(Inputs!$B$38="pvp",15,MAX(0.1,Skills!D8-IF(Skills!E8=TRUE,3.0,0)))*(1-IF(AND(ArtifactsInput!$M$27,Inputs!$B$4="Chapter Hunt"),CHOOSE(ArtifactsInput!$N$27+1,20,24,28,32,36,40),0)/100)))))/Skills!H8,1)))/Inputs!$B$43),G2907*Q2907))*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8">
      <c r="A2908">
        <f>Skills!A9</f>
        <v/>
      </c>
      <c r="B2908">
        <f>Skills!B9</f>
        <v/>
      </c>
      <c r="C2908">
        <f>Inputs!$B$3&gt;=69</f>
        <v/>
      </c>
      <c r="D2908">
        <f>IF(Skills!C9=1,60+Inputs!$B$25+Inputs!$B$29,IF(Skills!C9=2,90+Inputs!$B$26+Inputs!$B$29,IF(Skills!C9=3,120+Inputs!$B$27+Inputs!$B$29,MAX(0,(Inputs!$B$3-100)*3)+Inputs!$B$28+Inputs!$B$29)))</f>
        <v/>
      </c>
      <c r="E2908">
        <f>INDEX(FactorTable!$B$2:$Y$301, MATCH(ROUND(MIN(300,MAX(1,D2908)),0), FactorTable!$A$2:$A$301,0), Skills!M9+1)</f>
        <v/>
      </c>
      <c r="F2908">
        <f>IF(Skills!N9=TRUE,(Skills!L9/10)*(E2908/1000),Skills!L9/10)+Skills!O9</f>
        <v/>
      </c>
      <c r="G2908">
        <f>Skills!G9*IF(Skills!H9&gt;0,Skills!I9/Skills!H9,1)</f>
        <v/>
      </c>
      <c r="H2908">
        <f>1-(1-Skills!J9/100)^Skills!K9</f>
        <v/>
      </c>
      <c r="I2908" t="inlineStr">
        <is>
          <t>1</t>
        </is>
      </c>
      <c r="J2908">
        <f>((Inputs!$B$6*(1+Inputs!$B$7/100))+(((Inputs!$B$12*(1+Inputs!$B$13/100))-(Inputs!$B$12*(1+Inputs!$B$13/100)))+0.25*(Inputs!$B$14-Inputs!$B$14))*(1+Inputs!$B$7/100))*(F2908/100)</f>
        <v/>
      </c>
      <c r="K2908">
        <f>J2908*(1+((Inputs!$B$12*(1+Inputs!$B$13/100))*0.01+Inputs!$B$14*0.0025)/100)*(1+Inputs!$B$15/100)*(1+Inputs!$B$16/100)*(5000/(6000+Inputs!$B$42*(1-(100*(1-(1-(Inputs!$B$19+0)/100)*(1-CHOOSE(ArtifactsInput!$N$40+1,5,6,7,8,9,10)/100)^(ArtifactsInput!$M$40-ArtifactsInput!$M$40)))/100)))*(1+(Inputs!$B$24+((C2924=TRUE)*(F2924-Calc!F25))+B2934)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2911=TRUE,F2911,0)/100)*(1+IF(Skills!A9="ENHANCED_RAGING_BLOW",IF(Inputs!$B$3&gt;=134,MAX(0,IF(Inputs!$B$3&gt;=110,7,5)-5)*50,0),0)/100)*(1+(IF(Skills!A9="RAGING_BLOW",Inputs!$B$17+((C2920=TRUE)*(F2920-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2922=TRUE)*(F2922-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2912=TRUE)*F2912*IF(Inputs!$B$3&gt;=110,7,5))+((C2914=TRUE)*F2914*IF(AND(Inputs!$B$38&lt;&gt;"pvp",Inputs!$B$43&gt;0),(((R2914-1)*(Skills!T15*(1+(Inputs!$B$34+(ArtifactsInput!$M$7-ArtifactsInput!$M$7)*CHOOSE(ArtifactsInput!$N$7+1,6,7.2,8.4,9.6,10.8,12))/100))+MIN((Skills!T15*(1+(Inputs!$B$34+(ArtifactsInput!$M$7-ArtifactsInput!$M$7)*CHOOSE(ArtifactsInput!$N$7+1,6,7.2,8.4,9.6,10.8,12))/100)),MAX(0,Inputs!$B$43-((R2914-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Hunt"),CHOOSE(ArtifactsInput!$N$35+1,15,18,21,24,27,30)*(1-EXP(-(0.2*B2930)*5)),0)+IF(AND(ArtifactsInput!$M$22,Inputs!$B$4&lt;&gt;"Chapter Hunt"),CHOOSE(ArtifactsInput!$N$22+1,10,12,14,16,18,20)*((0*(((0.15*B2930*5))^0/1)+1*(((0.15*B2930*5))^1/1)+2*(((0.15*B2930*5))^2/2)+3*(((0.15*B2930*5))^3/6)+4*(((0.15*B2930*5))^4/24)+5*(((0.15*B2930*5))^5/120))/((((0.15*B2930*5))^0/1)+(((0.15*B2930*5))^1/1)+(((0.15*B2930*5))^2/2)+(((0.15*B2930*5))^3/6)+(((0.15*B2930*5))^4/24)+(((0.15*B2930*5))^5/120))),0)))/100)*I2908)</f>
        <v/>
      </c>
      <c r="L2908">
        <f>K2908*(MIN(Inputs!$B$22+((C2921=TRUE)*(F2921-Calc!F22)),(Inputs!$B$23+((C2923=TRUE)*(F2923-Calc!F24))+(IF(ArtifactsInput!$M$15,CHOOSE(ArtifactsInput!$N$15+1,25,30,35,40,45,50)/100*(Inputs!$B$11-Inputs!$B$11),0))))/100+(Inputs!$B$23+((C2923=TRUE)*(F2923-Calc!F24))+(IF(ArtifactsInput!$M$15,CHOOSE(ArtifactsInput!$N$15+1,25,30,35,40,45,50)/100*(Inputs!$B$11-Inputs!$B$11),0)))/100)/2</f>
        <v/>
      </c>
      <c r="M2908">
        <f>L2908*(1+(Inputs!$B$10+0+B2933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8">
        <f>L2908*(1-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2908*(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8">
        <f>(1-Summary!$B$11)*T2908+Summary!$B$11*V2908</f>
        <v/>
      </c>
      <c r="P2908">
        <f>IF(B2938=0,0,O2908/B2938)</f>
        <v/>
      </c>
      <c r="Q2908">
        <f>IFERROR(1/(IF(Inputs!$B$38="pvp",15,MAX(0.1,Skills!D9-IF(Skills!E9=TRUE,3.0,0)))*(1-IF(AND(ArtifactsInput!$M$27,Inputs!$B$4="Chapter Hunt"),CHOOSE(ArtifactsInput!$N$27+1,20,24,28,32,36,40),0)/100)),0)</f>
        <v/>
      </c>
      <c r="R2908">
        <f>IF(AND(Inputs!$B$38&lt;&gt;"pvp",Inputs!$B$43&gt;0),IF(MAX(0,Inputs!$B$43-B2935)&lt;=0,0,(INT(MAX(0,Inputs!$B$43-B2935)/(IF(Inputs!$B$38="pvp",15,MAX(0.1,Skills!D9-IF(Skills!E9=TRUE,3.0,0)))*(1-IF(AND(ArtifactsInput!$M$27,Inputs!$B$4="Chapter Hunt"),CHOOSE(ArtifactsInput!$N$27+1,20,24,28,32,36,40),0)/100)))+1)),0)</f>
        <v/>
      </c>
      <c r="S2908">
        <f>IFERROR(O2908/N2908,0)</f>
        <v/>
      </c>
      <c r="T2908">
        <f>IF(C2908,(H2908*N2908*IF(AND(Inputs!$B$38&lt;&gt;"pvp",Inputs!$B$43&gt;0),((Skills!G9*((R2908-1)*IF(Skills!H9&gt;0,Skills!I9/Skills!H9,1)+IF(Skills!H9&gt;0,MIN(Skills!I9,MAX(0,MAX(0,Inputs!$B$43-B2935)-((R2908-1)*(IF(Inputs!$B$38="pvp",15,MAX(0.1,Skills!D9-IF(Skills!E9=TRUE,3.0,0)))*(1-IF(AND(ArtifactsInput!$M$27,Inputs!$B$4="Chapter Hunt"),CHOOSE(ArtifactsInput!$N$27+1,20,24,28,32,36,40),0)/100)))))/Skills!H9,1)))/Inputs!$B$43),G2908*Q2908))*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2908*(1-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2908*(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2908*(1-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2908*(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08">
        <f>IF(C2908,(H2908*N2908*IF(AND(Inputs!$B$38&lt;&gt;"pvp",Inputs!$B$43&gt;0),((Skills!G9*((R2908-1)*IF(Skills!H9&gt;0,Skills!I9/Skills!H9,1)+IF(Skills!H9&gt;0,MIN(Skills!I9,MAX(0,MAX(0,Inputs!$B$43-B2935)-((R2908-1)*(IF(Inputs!$B$38="pvp",15,MAX(0.1,Skills!D9-IF(Skills!E9=TRUE,3.0,0)))*(1-IF(AND(ArtifactsInput!$M$27,Inputs!$B$4="Chapter Hunt"),CHOOSE(ArtifactsInput!$N$27+1,20,24,28,32,36,40),0)/100)))))/Skills!H9,1)))/Inputs!$B$43),G2908*Q2908))*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9">
      <c r="A2909">
        <f>Skills!A10</f>
        <v/>
      </c>
      <c r="B2909">
        <f>Skills!B10</f>
        <v/>
      </c>
      <c r="C2909">
        <f>Inputs!$B$3&gt;=63</f>
        <v/>
      </c>
      <c r="D2909">
        <f>IF(Skills!C10=1,60+Inputs!$B$25+Inputs!$B$29,IF(Skills!C10=2,90+Inputs!$B$26+Inputs!$B$29,IF(Skills!C10=3,120+Inputs!$B$27+Inputs!$B$29,MAX(0,(Inputs!$B$3-100)*3)+Inputs!$B$28+Inputs!$B$29)))</f>
        <v/>
      </c>
      <c r="E2909">
        <f>INDEX(FactorTable!$B$2:$Y$301, MATCH(ROUND(MIN(300,MAX(1,D2909)),0), FactorTable!$A$2:$A$301,0), Skills!M10+1)</f>
        <v/>
      </c>
      <c r="F2909">
        <f>IF(Skills!N10=TRUE,(Skills!L10/10)*(E2909/1000),Skills!L10/10)+Skills!O10</f>
        <v/>
      </c>
      <c r="G2909">
        <f>Skills!G10*IF(Skills!H10&gt;0,Skills!I10/Skills!H10,1)</f>
        <v/>
      </c>
      <c r="H2909">
        <f>1-(1-Skills!J10/100)^Skills!K10</f>
        <v/>
      </c>
      <c r="I2909" t="inlineStr">
        <is>
          <t>1</t>
        </is>
      </c>
      <c r="J2909">
        <f>((Inputs!$B$6*(1+Inputs!$B$7/100))+(((Inputs!$B$12*(1+Inputs!$B$13/100))-(Inputs!$B$12*(1+Inputs!$B$13/100)))+0.25*(Inputs!$B$14-Inputs!$B$14))*(1+Inputs!$B$7/100))*(F2909/100)</f>
        <v/>
      </c>
      <c r="K2909">
        <f>J2909*(1+((Inputs!$B$12*(1+Inputs!$B$13/100))*0.01+Inputs!$B$14*0.0025)/100)*(1+Inputs!$B$15/100)*(1+Inputs!$B$16/100)*(5000/(6000+Inputs!$B$42*(1-(100*(1-(1-(Inputs!$B$19+0)/100)*(1-CHOOSE(ArtifactsInput!$N$40+1,5,6,7,8,9,10)/100)^(ArtifactsInput!$M$40-ArtifactsInput!$M$40)))/100)))*(1+(Inputs!$B$24+((C2924=TRUE)*(F2924-Calc!F25))+B2934)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2911=TRUE,F2911,0)/100)*(1+IF(Skills!A10="ENHANCED_RAGING_BLOW",IF(Inputs!$B$3&gt;=134,MAX(0,IF(Inputs!$B$3&gt;=110,7,5)-5)*50,0),0)/100)*(1+(IF(Skills!A10="RAGING_BLOW",Inputs!$B$17+((C2920=TRUE)*(F2920-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2922=TRUE)*(F2922-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2912=TRUE)*F2912*IF(Inputs!$B$3&gt;=110,7,5))+((C2914=TRUE)*F2914*IF(AND(Inputs!$B$38&lt;&gt;"pvp",Inputs!$B$43&gt;0),(((R2914-1)*(Skills!T15*(1+(Inputs!$B$34+(ArtifactsInput!$M$7-ArtifactsInput!$M$7)*CHOOSE(ArtifactsInput!$N$7+1,6,7.2,8.4,9.6,10.8,12))/100))+MIN((Skills!T15*(1+(Inputs!$B$34+(ArtifactsInput!$M$7-ArtifactsInput!$M$7)*CHOOSE(ArtifactsInput!$N$7+1,6,7.2,8.4,9.6,10.8,12))/100)),MAX(0,Inputs!$B$43-((R2914-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Hunt"),CHOOSE(ArtifactsInput!$N$35+1,15,18,21,24,27,30)*(1-EXP(-(0.2*B2930)*5)),0)+IF(AND(ArtifactsInput!$M$22,Inputs!$B$4&lt;&gt;"Chapter Hunt"),CHOOSE(ArtifactsInput!$N$22+1,10,12,14,16,18,20)*((0*(((0.15*B2930*5))^0/1)+1*(((0.15*B2930*5))^1/1)+2*(((0.15*B2930*5))^2/2)+3*(((0.15*B2930*5))^3/6)+4*(((0.15*B2930*5))^4/24)+5*(((0.15*B2930*5))^5/120))/((((0.15*B2930*5))^0/1)+(((0.15*B2930*5))^1/1)+(((0.15*B2930*5))^2/2)+(((0.15*B2930*5))^3/6)+(((0.15*B2930*5))^4/24)+(((0.15*B2930*5))^5/120))),0)))/100)*I2909)</f>
        <v/>
      </c>
      <c r="L2909">
        <f>K2909*(MIN(Inputs!$B$22+((C2921=TRUE)*(F2921-Calc!F22)),(Inputs!$B$23+((C2923=TRUE)*(F2923-Calc!F24))+(IF(ArtifactsInput!$M$15,CHOOSE(ArtifactsInput!$N$15+1,25,30,35,40,45,50)/100*(Inputs!$B$11-Inputs!$B$11),0))))/100+(Inputs!$B$23+((C2923=TRUE)*(F2923-Calc!F24))+(IF(ArtifactsInput!$M$15,CHOOSE(ArtifactsInput!$N$15+1,25,30,35,40,45,50)/100*(Inputs!$B$11-Inputs!$B$11),0)))/100)/2</f>
        <v/>
      </c>
      <c r="M2909">
        <f>L2909*(1+(Inputs!$B$10+0+B2933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9">
        <f>L2909*(1-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2909*(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9">
        <f>(1-Summary!$B$11)*T2909+Summary!$B$11*V2909</f>
        <v/>
      </c>
      <c r="P2909">
        <f>IF(B2938=0,0,O2909/B2938)</f>
        <v/>
      </c>
      <c r="Q2909">
        <f>IFERROR(1/(IF(Inputs!$B$38="pvp",15,MAX(0.1,Skills!D10-IF(Skills!E10=TRUE,3.0,0)))*(1-IF(AND(ArtifactsInput!$M$27,Inputs!$B$4="Chapter Hunt"),CHOOSE(ArtifactsInput!$N$27+1,20,24,28,32,36,40),0)/100)),0)</f>
        <v/>
      </c>
      <c r="R2909">
        <f>IF(AND(Inputs!$B$38&lt;&gt;"pvp",Inputs!$B$43&gt;0),IF(MAX(0,Inputs!$B$43-B2935)&lt;=0,0,(INT(MAX(0,Inputs!$B$43-B2935)/(IF(Inputs!$B$38="pvp",15,MAX(0.1,Skills!D10-IF(Skills!E10=TRUE,3.0,0)))*(1-IF(AND(ArtifactsInput!$M$27,Inputs!$B$4="Chapter Hunt"),CHOOSE(ArtifactsInput!$N$27+1,20,24,28,32,36,40),0)/100)))+1)),0)</f>
        <v/>
      </c>
      <c r="S2909">
        <f>IFERROR(O2909/N2909,0)</f>
        <v/>
      </c>
      <c r="T2909">
        <f>IF(C2909,(H2909*N2909*IF(AND(Inputs!$B$38&lt;&gt;"pvp",Inputs!$B$43&gt;0),((Skills!G10*((R2909-1)*IF(Skills!H10&gt;0,Skills!I10/Skills!H10,1)+IF(Skills!H10&gt;0,MIN(Skills!I10,MAX(0,MAX(0,Inputs!$B$43-B2935)-((R2909-1)*(IF(Inputs!$B$38="pvp",15,MAX(0.1,Skills!D10-IF(Skills!E10=TRUE,3.0,0)))*(1-IF(AND(ArtifactsInput!$M$27,Inputs!$B$4="Chapter Hunt"),CHOOSE(ArtifactsInput!$N$27+1,20,24,28,32,36,40),0)/100)))))/Skills!H10,1)))/Inputs!$B$43),G2909*Q2909))*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2909*(1-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2909*(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2909*(1-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2909*(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09">
        <f>IF(C2909,(H2909*N2909*IF(AND(Inputs!$B$38&lt;&gt;"pvp",Inputs!$B$43&gt;0),((Skills!G10*((R2909-1)*IF(Skills!H10&gt;0,Skills!I10/Skills!H10,1)+IF(Skills!H10&gt;0,MIN(Skills!I10,MAX(0,MAX(0,Inputs!$B$43-B2935)-((R2909-1)*(IF(Inputs!$B$38="pvp",15,MAX(0.1,Skills!D10-IF(Skills!E10=TRUE,3.0,0)))*(1-IF(AND(ArtifactsInput!$M$27,Inputs!$B$4="Chapter Hunt"),CHOOSE(ArtifactsInput!$N$27+1,20,24,28,32,36,40),0)/100)))))/Skills!H10,1)))/Inputs!$B$43),G2909*Q2909))*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10">
      <c r="A2910">
        <f>Skills!A11</f>
        <v/>
      </c>
      <c r="B2910">
        <f>Skills!B11</f>
        <v/>
      </c>
      <c r="C2910">
        <f>Inputs!$B$3&gt;=35</f>
        <v/>
      </c>
      <c r="D2910">
        <f>IF(Skills!C11=1,60+Inputs!$B$25+Inputs!$B$29,IF(Skills!C11=2,90+Inputs!$B$26+Inputs!$B$29,IF(Skills!C11=3,120+Inputs!$B$27+Inputs!$B$29,MAX(0,(Inputs!$B$3-100)*3)+Inputs!$B$28+Inputs!$B$29)))</f>
        <v/>
      </c>
      <c r="E2910">
        <f>INDEX(FactorTable!$B$2:$Y$301, MATCH(ROUND(MIN(300,MAX(1,D2910)),0), FactorTable!$A$2:$A$301,0), Skills!M11+1)</f>
        <v/>
      </c>
      <c r="F2910">
        <f>IF(Skills!N11=TRUE,(Skills!L11/10)*(E2910/1000),Skills!L11/10)+Skills!O11</f>
        <v/>
      </c>
      <c r="G2910">
        <f>Skills!G11*IF(Skills!H11&gt;0,Skills!I11/Skills!H11,1)</f>
        <v/>
      </c>
      <c r="H2910">
        <f>1-(1-Skills!J11/100)^Skills!K11</f>
        <v/>
      </c>
      <c r="I2910" t="inlineStr">
        <is>
          <t>1</t>
        </is>
      </c>
      <c r="J2910">
        <f>((Inputs!$B$6*(1+Inputs!$B$7/100))+(((Inputs!$B$12*(1+Inputs!$B$13/100))-(Inputs!$B$12*(1+Inputs!$B$13/100)))+0.25*(Inputs!$B$14-Inputs!$B$14))*(1+Inputs!$B$7/100))*(F2910/100)</f>
        <v/>
      </c>
      <c r="K2910">
        <f>J2910*(1+((Inputs!$B$12*(1+Inputs!$B$13/100))*0.01+Inputs!$B$14*0.0025)/100)*(1+Inputs!$B$15/100)*(1+Inputs!$B$16/100)*(5000/(6000+Inputs!$B$42*(1-(100*(1-(1-(Inputs!$B$19+0)/100)*(1-CHOOSE(ArtifactsInput!$N$40+1,5,6,7,8,9,10)/100)^(ArtifactsInput!$M$40-ArtifactsInput!$M$40)))/100)))*(1+(Inputs!$B$24+((C2924=TRUE)*(F2924-Calc!F25))+B2934)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2911=TRUE,F2911,0)/100)*(1+IF(Skills!A11="ENHANCED_RAGING_BLOW",IF(Inputs!$B$3&gt;=134,MAX(0,IF(Inputs!$B$3&gt;=110,7,5)-5)*50,0),0)/100)*(1+(IF(Skills!A11="RAGING_BLOW",Inputs!$B$17+((C2920=TRUE)*(F2920-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2922=TRUE)*(F2922-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2912=TRUE)*F2912*IF(Inputs!$B$3&gt;=110,7,5))+((C2914=TRUE)*F2914*IF(AND(Inputs!$B$38&lt;&gt;"pvp",Inputs!$B$43&gt;0),(((R2914-1)*(Skills!T15*(1+(Inputs!$B$34+(ArtifactsInput!$M$7-ArtifactsInput!$M$7)*CHOOSE(ArtifactsInput!$N$7+1,6,7.2,8.4,9.6,10.8,12))/100))+MIN((Skills!T15*(1+(Inputs!$B$34+(ArtifactsInput!$M$7-ArtifactsInput!$M$7)*CHOOSE(ArtifactsInput!$N$7+1,6,7.2,8.4,9.6,10.8,12))/100)),MAX(0,Inputs!$B$43-((R2914-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Hunt"),CHOOSE(ArtifactsInput!$N$35+1,15,18,21,24,27,30)*(1-EXP(-(0.2*B2930)*5)),0)+IF(AND(ArtifactsInput!$M$22,Inputs!$B$4&lt;&gt;"Chapter Hunt"),CHOOSE(ArtifactsInput!$N$22+1,10,12,14,16,18,20)*((0*(((0.15*B2930*5))^0/1)+1*(((0.15*B2930*5))^1/1)+2*(((0.15*B2930*5))^2/2)+3*(((0.15*B2930*5))^3/6)+4*(((0.15*B2930*5))^4/24)+5*(((0.15*B2930*5))^5/120))/((((0.15*B2930*5))^0/1)+(((0.15*B2930*5))^1/1)+(((0.15*B2930*5))^2/2)+(((0.15*B2930*5))^3/6)+(((0.15*B2930*5))^4/24)+(((0.15*B2930*5))^5/120))),0)))/100)*I2910)</f>
        <v/>
      </c>
      <c r="L2910">
        <f>K2910*(MIN(Inputs!$B$22+((C2921=TRUE)*(F2921-Calc!F22)),(Inputs!$B$23+((C2923=TRUE)*(F2923-Calc!F24))+(IF(ArtifactsInput!$M$15,CHOOSE(ArtifactsInput!$N$15+1,25,30,35,40,45,50)/100*(Inputs!$B$11-Inputs!$B$11),0))))/100+(Inputs!$B$23+((C2923=TRUE)*(F2923-Calc!F24))+(IF(ArtifactsInput!$M$15,CHOOSE(ArtifactsInput!$N$15+1,25,30,35,40,45,50)/100*(Inputs!$B$11-Inputs!$B$11),0)))/100)/2</f>
        <v/>
      </c>
      <c r="M2910">
        <f>L2910*(1+(Inputs!$B$10+0+B2933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10">
        <f>L2910*(1-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2910*(MIN((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10">
        <f>(1-Summary!$B$11)*T2910+Summary!$B$11*V2910</f>
        <v/>
      </c>
      <c r="P2910">
        <f>IF(B2938=0,0,O2910/B2938)</f>
        <v/>
      </c>
      <c r="Q2910">
        <f>IFERROR(1/(IF(Inputs!$B$38="pvp",15,MAX(0.1,Skills!D11-IF(Skills!E11=TRUE,3.0,0)))*(1-IF(AND(ArtifactsInput!$M$27,Inputs!$B$4="Chapter Hunt"),CHOOSE(ArtifactsInput!$N$27+1,20,24,28,32,36,40),0)/100)),0)</f>
        <v/>
      </c>
      <c r="R2910">
        <f>IF(AND(Inputs!$B$38&lt;&gt;"pvp",Inputs!$B$43&gt;0),IF(MAX(0,Inputs!$B$43-B2935)&lt;=0,0,(INT(MAX(0,Inputs!$B$43-B2935)/(IF(Inputs!$B$38="pvp",15,MAX(0.1,Skills!D11-IF(Skills!E11=TRUE,3.0,0)))*(1-IF(AND(ArtifactsInput!$M$27,Inputs!$B$4="Chapter Hunt"),CHOOSE(ArtifactsInput!$N$27+1,20,24,28,32,36,40),0)/100)))+1)),0)</f>
        <v/>
      </c>
      <c r="S2910">
        <f>IFERROR(O2910/N2910,0)</f>
        <v/>
      </c>
      <c r="T2910">
        <f>IF(C2910,(H2910*N2910*IF(AND(Inputs!$B$38&lt;&gt;"pvp",Inputs!$B$43&gt;0),((Skills!G11*((R2910-1)*IF(Skills!H11&gt;0,Skills!I11/Skills!H11,1)+IF(Skills!H11&gt;0,MIN(Skills!I11,MAX(0,MAX(0,Inputs!$B$43-B2935)-((R2910-1)*(IF(Inputs!$B$38="pvp",15,MAX(0.1,Skills!D11-IF(Skills!E11=TRUE,3.0,0)))*(1-IF(AND(ArtifactsInput!$M$27,Inputs!$B$4="Chapter Hunt"),CHOOSE(ArtifactsInput!$N$27+1,20,24,28,32,36,40),0)/100)))))/Skills!H11,1)))/Inputs!$B$43),G2910*Q2910))*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2910*(1-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2910*(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2910*(1-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2910*(MIN(100,(Inputs!$B$9+((C2925=TRUE)*(F2925-Calc!F26))+B2928+(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10">
        <f>IF(C2910,(H2910*N2910*IF(AND(Inputs!$B$38&lt;&gt;"pvp",Inputs!$B$43&gt;0),((Skills!G11*((R2910-1)*IF(Skills!H11&gt;0,Skills!I11/Skills!H11,1)+IF(Skills!H11&gt;0,MIN(Skills!I11,MAX(0,MAX(0,Inputs!$B$43-B2935)-((R2910-1)*(IF(Inputs!$B$38="pvp",15,MAX(0.1,Skills!D11-IF(Skills!E11=TRUE,3.0,0)))*(1-IF(AND(ArtifactsInput!$M$27,Inputs!$B$4="Chapter Hunt"),CHOOSE(ArtifactsInput!$N$27+1,20,24,28,32,36,40),0)/100)))))/Skills!H11,1)))/Inputs!$B$43),G2910*Q2910))*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11">
      <c r="A2911">
        <f>Skills!A12</f>
        <v/>
      </c>
      <c r="B2911">
        <f>Skills!B12</f>
        <v/>
      </c>
      <c r="C2911">
        <f>Inputs!$B$3&gt;=100</f>
        <v/>
      </c>
      <c r="D2911">
        <f>IF(Skills!C12=1,60+Inputs!$B$25+Inputs!$B$29,IF(Skills!C12=2,90+Inputs!$B$26+Inputs!$B$29,IF(Skills!C12=3,120+Inputs!$B$27+Inputs!$B$29,MAX(0,(Inputs!$B$3-100)*3)+Inputs!$B$28+Inputs!$B$29)))</f>
        <v/>
      </c>
      <c r="E2911">
        <f>INDEX(FactorTable!$B$2:$Y$301, MATCH(ROUND(MIN(300,MAX(1,D2911)),0), FactorTable!$A$2:$A$301,0), Skills!M12+1)</f>
        <v/>
      </c>
      <c r="F2911">
        <f>IF(Skills!N12=TRUE,(Skills!L12/10)*(E2911/1000),Skills!L12/10)+Skills!O12</f>
        <v/>
      </c>
      <c r="G2911" t="inlineStr"/>
      <c r="H2911" t="inlineStr"/>
      <c r="I2911" t="inlineStr">
        <is>
          <t>1</t>
        </is>
      </c>
      <c r="J2911" t="inlineStr"/>
      <c r="K2911" t="inlineStr"/>
      <c r="L2911" t="inlineStr"/>
      <c r="M2911" t="inlineStr"/>
      <c r="N2911" t="inlineStr"/>
      <c r="O2911" t="inlineStr"/>
      <c r="P2911" t="inlineStr"/>
      <c r="Q2911" t="inlineStr"/>
      <c r="R2911" t="inlineStr"/>
      <c r="S2911" t="inlineStr"/>
    </row>
    <row r="2912">
      <c r="A2912">
        <f>Skills!A13</f>
        <v/>
      </c>
      <c r="B2912">
        <f>Skills!B13</f>
        <v/>
      </c>
      <c r="C2912">
        <f>Inputs!$B$3&gt;=45</f>
        <v/>
      </c>
      <c r="D2912">
        <f>IF(Skills!C13=1,60+Inputs!$B$25+Inputs!$B$29,IF(Skills!C13=2,90+Inputs!$B$26+Inputs!$B$29,IF(Skills!C13=3,120+Inputs!$B$27+Inputs!$B$29,MAX(0,(Inputs!$B$3-100)*3)+Inputs!$B$28+Inputs!$B$29)))</f>
        <v/>
      </c>
      <c r="E2912">
        <f>INDEX(FactorTable!$B$2:$Y$301, MATCH(ROUND(MIN(300,MAX(1,D2912)),0), FactorTable!$A$2:$A$301,0), Skills!M13+1)</f>
        <v/>
      </c>
      <c r="F2912">
        <f>IF(Skills!N13=TRUE,(Skills!L13/10)*(E2912/1000),Skills!L13/10)+Skills!O13</f>
        <v/>
      </c>
      <c r="G2912">
        <f>Skills!G13*IF(Skills!H13&gt;0,Skills!I13/Skills!H13,1)</f>
        <v/>
      </c>
      <c r="H2912">
        <f>1-(1-Skills!J13/100)^Skills!K13</f>
        <v/>
      </c>
      <c r="I2912" t="inlineStr">
        <is>
          <t>1</t>
        </is>
      </c>
      <c r="J2912" t="inlineStr"/>
      <c r="K2912" t="inlineStr"/>
      <c r="L2912" t="inlineStr"/>
      <c r="M2912" t="inlineStr"/>
      <c r="N2912" t="inlineStr"/>
      <c r="O2912">
        <f>(1-Summary!$B$11)*T2912+Summary!$B$11*V2912</f>
        <v/>
      </c>
      <c r="P2912">
        <f>IF(B2938=0,0,O2912/B2938)</f>
        <v/>
      </c>
      <c r="Q2912" t="n">
        <v>0</v>
      </c>
      <c r="R2912" t="n">
        <v>0</v>
      </c>
      <c r="S2912">
        <f>IFERROR(O2912/N2912,0)</f>
        <v/>
      </c>
      <c r="T2912" t="n">
        <v>0</v>
      </c>
      <c r="V2912" t="n">
        <v>0</v>
      </c>
    </row>
    <row r="2913">
      <c r="A2913">
        <f>Skills!A14</f>
        <v/>
      </c>
      <c r="B2913">
        <f>Skills!B14</f>
        <v/>
      </c>
      <c r="C2913">
        <f>Inputs!$B$3&gt;=75</f>
        <v/>
      </c>
      <c r="D2913">
        <f>IF(Skills!C14=1,60+Inputs!$B$25+Inputs!$B$29,IF(Skills!C14=2,90+Inputs!$B$26+Inputs!$B$29,IF(Skills!C14=3,120+Inputs!$B$27+Inputs!$B$29,MAX(0,(Inputs!$B$3-100)*3)+Inputs!$B$28+Inputs!$B$29)))</f>
        <v/>
      </c>
      <c r="E2913">
        <f>INDEX(FactorTable!$B$2:$Y$301, MATCH(ROUND(MIN(300,MAX(1,D2913)),0), FactorTable!$A$2:$A$301,0), Skills!M14+1)</f>
        <v/>
      </c>
      <c r="F2913">
        <f>IF(Skills!N14=TRUE,(Skills!L14/10)*(E2913/1000),Skills!L14/10)+Skills!O14</f>
        <v/>
      </c>
      <c r="G2913">
        <f>Skills!G14*IF(Skills!H14&gt;0,Skills!I14/Skills!H14,1)</f>
        <v/>
      </c>
      <c r="H2913">
        <f>1-(1-Skills!J14/100)^Skills!K14</f>
        <v/>
      </c>
      <c r="I2913" t="inlineStr">
        <is>
          <t>1</t>
        </is>
      </c>
      <c r="J2913" t="inlineStr"/>
      <c r="K2913" t="inlineStr"/>
      <c r="L2913" t="inlineStr"/>
      <c r="M2913" t="inlineStr"/>
      <c r="N2913" t="inlineStr"/>
      <c r="O2913">
        <f>(1-Summary!$B$11)*T2913+Summary!$B$11*V2913</f>
        <v/>
      </c>
      <c r="P2913">
        <f>IF(B2938=0,0,O2913/B2938)</f>
        <v/>
      </c>
      <c r="Q2913" t="n">
        <v>0</v>
      </c>
      <c r="R2913" t="n">
        <v>0</v>
      </c>
      <c r="S2913">
        <f>IFERROR(O2913/N2913,0)</f>
        <v/>
      </c>
      <c r="T2913" t="n">
        <v>0</v>
      </c>
      <c r="V2913" t="n">
        <v>0</v>
      </c>
    </row>
    <row r="2914">
      <c r="A2914">
        <f>Skills!A15</f>
        <v/>
      </c>
      <c r="B2914">
        <f>Skills!B15</f>
        <v/>
      </c>
      <c r="C2914">
        <f>Inputs!$B$3&gt;=40</f>
        <v/>
      </c>
      <c r="D2914">
        <f>IF(Skills!C15=1,60+Inputs!$B$25+Inputs!$B$29,IF(Skills!C15=2,90+Inputs!$B$26+Inputs!$B$29,IF(Skills!C15=3,120+Inputs!$B$27+Inputs!$B$29,MAX(0,(Inputs!$B$3-100)*3)+Inputs!$B$28+Inputs!$B$29)))</f>
        <v/>
      </c>
      <c r="E2914">
        <f>INDEX(FactorTable!$B$2:$Y$301, MATCH(ROUND(MIN(300,MAX(1,D2914)),0), FactorTable!$A$2:$A$301,0), Skills!M15+1)</f>
        <v/>
      </c>
      <c r="F2914">
        <f>IF(Skills!N15=TRUE,(Skills!L15/10)*(E2914/1000),Skills!L15/10)+Skills!O15</f>
        <v/>
      </c>
      <c r="G2914">
        <f>Skills!G15*IF(Skills!H15&gt;0,Skills!I15/Skills!H15,1)</f>
        <v/>
      </c>
      <c r="H2914">
        <f>1-(1-Skills!J15/100)^Skills!K15</f>
        <v/>
      </c>
      <c r="I2914" t="inlineStr">
        <is>
          <t>1</t>
        </is>
      </c>
      <c r="J2914" t="inlineStr"/>
      <c r="K2914" t="inlineStr"/>
      <c r="L2914" t="inlineStr"/>
      <c r="M2914" t="inlineStr"/>
      <c r="N2914" t="inlineStr"/>
      <c r="O2914">
        <f>(1-Summary!$B$11)*T2914+Summary!$B$11*V2914</f>
        <v/>
      </c>
      <c r="P2914">
        <f>IF(B2938=0,0,O2914/B2938)</f>
        <v/>
      </c>
      <c r="Q2914">
        <f>IFERROR(1/(IF(Inputs!$B$38="pvp",15,MAX(0.1,Skills!D15-IF(Skills!E15=TRUE,3.0,0)))*(1-IF(AND(ArtifactsInput!$M$27,Inputs!$B$4="Chapter Hunt"),CHOOSE(ArtifactsInput!$N$27+1,20,24,28,32,36,40),0)/100)),0)</f>
        <v/>
      </c>
      <c r="R2914">
        <f>IF(AND(Inputs!$B$38&lt;&gt;"pvp",Inputs!$B$43&gt;0),IF(Inputs!$B$43&lt;=0,0,(INT(Inputs!$B$43/(IF(Inputs!$B$38="pvp",15,MAX(0.1,Skills!D15-IF(Skills!E15=TRUE,3.0,0)))*(1-IF(AND(ArtifactsInput!$M$27,Inputs!$B$4="Chapter Hunt"),CHOOSE(ArtifactsInput!$N$27+1,20,24,28,32,36,40),0)/100)))+1)),0)</f>
        <v/>
      </c>
      <c r="S2914">
        <f>IFERROR(O2914/N2914,0)</f>
        <v/>
      </c>
      <c r="T2914" t="n">
        <v>0</v>
      </c>
      <c r="V2914" t="n">
        <v>0</v>
      </c>
    </row>
    <row r="2915">
      <c r="A2915">
        <f>Skills!A16</f>
        <v/>
      </c>
      <c r="B2915">
        <f>Skills!B16</f>
        <v/>
      </c>
      <c r="C2915">
        <f>Inputs!$B$3&gt;=66</f>
        <v/>
      </c>
      <c r="D2915">
        <f>IF(Skills!C16=1,60+Inputs!$B$25+Inputs!$B$29,IF(Skills!C16=2,90+Inputs!$B$26+Inputs!$B$29,IF(Skills!C16=3,120+Inputs!$B$27+Inputs!$B$29,MAX(0,(Inputs!$B$3-100)*3)+Inputs!$B$28+Inputs!$B$29)))</f>
        <v/>
      </c>
      <c r="E2915">
        <f>INDEX(FactorTable!$B$2:$Y$301, MATCH(ROUND(MIN(300,MAX(1,D2915)),0), FactorTable!$A$2:$A$301,0), Skills!M16+1)</f>
        <v/>
      </c>
      <c r="F2915">
        <f>IF(Skills!N16=TRUE,(Skills!L16/10)*(E2915/1000),Skills!L16/10)+Skills!O16</f>
        <v/>
      </c>
      <c r="G2915">
        <f>Skills!G16*IF(Skills!H16&gt;0,Skills!I16/Skills!H16,1)</f>
        <v/>
      </c>
      <c r="H2915">
        <f>1-(1-Skills!J16/100)^Skills!K16</f>
        <v/>
      </c>
      <c r="I2915" t="inlineStr">
        <is>
          <t>1</t>
        </is>
      </c>
      <c r="J2915" t="inlineStr"/>
      <c r="K2915" t="inlineStr"/>
      <c r="L2915" t="inlineStr"/>
      <c r="M2915" t="inlineStr"/>
      <c r="N2915" t="inlineStr"/>
      <c r="O2915">
        <f>(1-Summary!$B$11)*T2915+Summary!$B$11*V2915</f>
        <v/>
      </c>
      <c r="P2915">
        <f>IF(B2938=0,0,O2915/B2938)</f>
        <v/>
      </c>
      <c r="Q2915">
        <f>IFERROR(1/(IF(Inputs!$B$38="pvp",15,MAX(0.1,Skills!D16-IF(Skills!E16=TRUE,3.0,0)))*(1-IF(AND(ArtifactsInput!$M$27,Inputs!$B$4="Chapter Hunt"),CHOOSE(ArtifactsInput!$N$27+1,20,24,28,32,36,40),0)/100)),0)</f>
        <v/>
      </c>
      <c r="R2915">
        <f>IF(AND(Inputs!$B$38&lt;&gt;"pvp",Inputs!$B$43&gt;0),IF(Inputs!$B$43&lt;=0,0,(INT(Inputs!$B$43/(IF(Inputs!$B$38="pvp",15,MAX(0.1,Skills!D16-IF(Skills!E16=TRUE,3.0,0)))*(1-IF(AND(ArtifactsInput!$M$27,Inputs!$B$4="Chapter Hunt"),CHOOSE(ArtifactsInput!$N$27+1,20,24,28,32,36,40),0)/100)))+1)),0)</f>
        <v/>
      </c>
      <c r="S2915">
        <f>IFERROR(O2915/N2915,0)</f>
        <v/>
      </c>
      <c r="T2915" t="n">
        <v>0</v>
      </c>
      <c r="V2915" t="n">
        <v>0</v>
      </c>
    </row>
    <row r="2916">
      <c r="A2916">
        <f>Skills!A17</f>
        <v/>
      </c>
      <c r="B2916">
        <f>Skills!B17</f>
        <v/>
      </c>
      <c r="C2916">
        <f>Inputs!$B$3&gt;=115</f>
        <v/>
      </c>
      <c r="D2916">
        <f>IF(Skills!C17=1,60+Inputs!$B$25+Inputs!$B$29,IF(Skills!C17=2,90+Inputs!$B$26+Inputs!$B$29,IF(Skills!C17=3,120+Inputs!$B$27+Inputs!$B$29,MAX(0,(Inputs!$B$3-100)*3)+Inputs!$B$28+Inputs!$B$29)))</f>
        <v/>
      </c>
      <c r="E2916">
        <f>INDEX(FactorTable!$B$2:$Y$301, MATCH(ROUND(MIN(300,MAX(1,D2916)),0), FactorTable!$A$2:$A$301,0), Skills!M17+1)</f>
        <v/>
      </c>
      <c r="F2916">
        <f>IF(Skills!N17=TRUE,(Skills!L17/10)*(E2916/1000),Skills!L17/10)+Skills!O17</f>
        <v/>
      </c>
      <c r="G2916">
        <f>Skills!G17*IF(Skills!H17&gt;0,Skills!I17/Skills!H17,1)</f>
        <v/>
      </c>
      <c r="H2916">
        <f>1-(1-Skills!J17/100)^Skills!K17</f>
        <v/>
      </c>
      <c r="I2916" t="inlineStr">
        <is>
          <t>1</t>
        </is>
      </c>
      <c r="J2916" t="inlineStr"/>
      <c r="K2916" t="inlineStr"/>
      <c r="L2916" t="inlineStr"/>
      <c r="M2916" t="inlineStr"/>
      <c r="N2916" t="inlineStr"/>
      <c r="O2916">
        <f>(1-Summary!$B$11)*T2916+Summary!$B$11*V2916</f>
        <v/>
      </c>
      <c r="P2916">
        <f>IF(B2938=0,0,O2916/B2938)</f>
        <v/>
      </c>
      <c r="Q2916">
        <f>IFERROR(1/(IF(Inputs!$B$38="pvp",15,MAX(0.1,Skills!D17-IF(Skills!E17=TRUE,3.0,0)))*(1-IF(AND(ArtifactsInput!$M$27,Inputs!$B$4="Chapter Hunt"),CHOOSE(ArtifactsInput!$N$27+1,20,24,28,32,36,40),0)/100)),0)</f>
        <v/>
      </c>
      <c r="R2916">
        <f>IF(AND(Inputs!$B$38&lt;&gt;"pvp",Inputs!$B$43&gt;0),IF(Inputs!$B$43&lt;=0,0,(INT(Inputs!$B$43/(IF(Inputs!$B$38="pvp",15,MAX(0.1,Skills!D17-IF(Skills!E17=TRUE,3.0,0)))*(1-IF(AND(ArtifactsInput!$M$27,Inputs!$B$4="Chapter Hunt"),CHOOSE(ArtifactsInput!$N$27+1,20,24,28,32,36,40),0)/100)))+1)),0)</f>
        <v/>
      </c>
      <c r="S2916">
        <f>IFERROR(O2916/N2916,0)</f>
        <v/>
      </c>
      <c r="T2916" t="n">
        <v>0</v>
      </c>
      <c r="V2916" t="n">
        <v>0</v>
      </c>
    </row>
    <row r="2917">
      <c r="A2917">
        <f>Skills!A18</f>
        <v/>
      </c>
      <c r="B2917">
        <f>Skills!B18</f>
        <v/>
      </c>
      <c r="C2917">
        <f>Inputs!$B$3&gt;=115</f>
        <v/>
      </c>
      <c r="D2917">
        <f>IF(Skills!C18=1,60+Inputs!$B$25+Inputs!$B$29,IF(Skills!C18=2,90+Inputs!$B$26+Inputs!$B$29,IF(Skills!C18=3,120+Inputs!$B$27+Inputs!$B$29,MAX(0,(Inputs!$B$3-100)*3)+Inputs!$B$28+Inputs!$B$29)))</f>
        <v/>
      </c>
      <c r="E2917">
        <f>INDEX(FactorTable!$B$2:$Y$301, MATCH(ROUND(MIN(300,MAX(1,D2917)),0), FactorTable!$A$2:$A$301,0), Skills!M18+1)</f>
        <v/>
      </c>
      <c r="F2917">
        <f>IF(Skills!N18=TRUE,(Skills!L18/10)*(E2917/1000),Skills!L18/10)+Skills!O18</f>
        <v/>
      </c>
      <c r="G2917">
        <f>Skills!G18*IF(Skills!H18&gt;0,Skills!I18/Skills!H18,1)</f>
        <v/>
      </c>
      <c r="H2917">
        <f>1-(1-Skills!J18/100)^Skills!K18</f>
        <v/>
      </c>
      <c r="I2917" t="inlineStr">
        <is>
          <t>1</t>
        </is>
      </c>
      <c r="J2917" t="inlineStr"/>
      <c r="K2917" t="inlineStr"/>
      <c r="L2917" t="inlineStr"/>
      <c r="M2917" t="inlineStr"/>
      <c r="N2917" t="inlineStr"/>
      <c r="O2917">
        <f>(1-Summary!$B$11)*T2917+Summary!$B$11*V2917</f>
        <v/>
      </c>
      <c r="P2917">
        <f>IF(B2938=0,0,O2917/B2938)</f>
        <v/>
      </c>
      <c r="Q2917">
        <f>IFERROR(1/(IF(Inputs!$B$38="pvp",15,MAX(0.1,Skills!D18-IF(Skills!E18=TRUE,3.0,0)))*(1-IF(AND(ArtifactsInput!$M$27,Inputs!$B$4="Chapter Hunt"),CHOOSE(ArtifactsInput!$N$27+1,20,24,28,32,36,40),0)/100)),0)</f>
        <v/>
      </c>
      <c r="R2917">
        <f>IF(AND(Inputs!$B$38&lt;&gt;"pvp",Inputs!$B$43&gt;0),IF(Inputs!$B$43&lt;=0,0,(INT(Inputs!$B$43/(IF(Inputs!$B$38="pvp",15,MAX(0.1,Skills!D18-IF(Skills!E18=TRUE,3.0,0)))*(1-IF(AND(ArtifactsInput!$M$27,Inputs!$B$4="Chapter Hunt"),CHOOSE(ArtifactsInput!$N$27+1,20,24,28,32,36,40),0)/100)))+1)),0)</f>
        <v/>
      </c>
      <c r="S2917">
        <f>IFERROR(O2917/N2917,0)</f>
        <v/>
      </c>
      <c r="T2917" t="n">
        <v>0</v>
      </c>
      <c r="V2917" t="n">
        <v>0</v>
      </c>
    </row>
    <row r="2918">
      <c r="A2918">
        <f>Skills!A19</f>
        <v/>
      </c>
      <c r="B2918">
        <f>Skills!B19</f>
        <v/>
      </c>
      <c r="C2918">
        <f>TRUE</f>
        <v/>
      </c>
      <c r="D2918">
        <f>IF(Skills!C19=1,60+Inputs!$B$25+Inputs!$B$29,IF(Skills!C19=2,90+Inputs!$B$26+Inputs!$B$29,IF(Skills!C19=3,120+Inputs!$B$27+Inputs!$B$29,MAX(0,(Inputs!$B$3-100)*3)+Inputs!$B$28+Inputs!$B$29)))</f>
        <v/>
      </c>
      <c r="E2918">
        <f>INDEX(FactorTable!$B$2:$Y$301, MATCH(ROUND(MIN(300,MAX(1,D2918)),0), FactorTable!$A$2:$A$301,0), Skills!M19+1)</f>
        <v/>
      </c>
      <c r="F2918">
        <f>IF(Skills!N19=TRUE,(Skills!L19/10)*(E2918/1000),Skills!L19/10)+Skills!O19</f>
        <v/>
      </c>
      <c r="G2918">
        <f>Skills!G19*IF(Skills!H19&gt;0,Skills!I19/Skills!H19,1)</f>
        <v/>
      </c>
      <c r="H2918">
        <f>1-(1-Skills!J19/100)^Skills!K19</f>
        <v/>
      </c>
      <c r="I2918" t="inlineStr">
        <is>
          <t>1</t>
        </is>
      </c>
      <c r="J2918" t="inlineStr"/>
      <c r="K2918" t="inlineStr"/>
      <c r="L2918" t="inlineStr"/>
      <c r="M2918" t="inlineStr"/>
      <c r="N2918" t="inlineStr"/>
      <c r="O2918">
        <f>(1-Summary!$B$11)*T2918+Summary!$B$11*V2918</f>
        <v/>
      </c>
      <c r="P2918">
        <f>IF(B2938=0,0,O2918/B2938)</f>
        <v/>
      </c>
      <c r="Q2918">
        <f>IFERROR(1/(IF(Inputs!$B$38="pvp",15,MAX(0.1,Skills!D19-IF(Skills!E19=TRUE,3.0,0)))*(1-IF(AND(ArtifactsInput!$M$27,Inputs!$B$4="Chapter Hunt"),CHOOSE(ArtifactsInput!$N$27+1,20,24,28,32,36,40),0)/100)),0)</f>
        <v/>
      </c>
      <c r="R2918">
        <f>IF(AND(Inputs!$B$38&lt;&gt;"pvp",Inputs!$B$43&gt;0),IF(Inputs!$B$43&lt;=0,0,(INT(Inputs!$B$43/(IF(Inputs!$B$38="pvp",15,MAX(0.1,Skills!D19-IF(Skills!E19=TRUE,3.0,0)))*(1-IF(AND(ArtifactsInput!$M$27,Inputs!$B$4="Chapter Hunt"),CHOOSE(ArtifactsInput!$N$27+1,20,24,28,32,36,40),0)/100)))+1)),0)</f>
        <v/>
      </c>
      <c r="S2918">
        <f>IFERROR(O2918/N2918,0)</f>
        <v/>
      </c>
      <c r="T2918" t="n">
        <v>0</v>
      </c>
      <c r="V2918" t="n">
        <v>0</v>
      </c>
    </row>
    <row r="2919">
      <c r="A2919">
        <f>Skills!A20</f>
        <v/>
      </c>
      <c r="B2919">
        <f>Skills!B20</f>
        <v/>
      </c>
      <c r="C2919">
        <f>Inputs!$B$3&gt;=33</f>
        <v/>
      </c>
      <c r="D2919">
        <f>IF(Skills!C20=1,60+Inputs!$B$25+Inputs!$B$29,IF(Skills!C20=2,90+Inputs!$B$26+Inputs!$B$29,IF(Skills!C20=3,120+Inputs!$B$27+Inputs!$B$29,MAX(0,(Inputs!$B$3-100)*3)+Inputs!$B$28+Inputs!$B$29)))</f>
        <v/>
      </c>
      <c r="E2919">
        <f>INDEX(FactorTable!$B$2:$Y$301, MATCH(ROUND(MIN(300,MAX(1,D2919)),0), FactorTable!$A$2:$A$301,0), Skills!M20+1)</f>
        <v/>
      </c>
      <c r="F2919">
        <f>IF(Skills!N20=TRUE,(Skills!L20/10)*(E2919/1000),Skills!L20/10)+Skills!O20</f>
        <v/>
      </c>
      <c r="G2919">
        <f>Skills!G20*IF(Skills!H20&gt;0,Skills!I20/Skills!H20,1)</f>
        <v/>
      </c>
      <c r="H2919">
        <f>1-(1-Skills!J20/100)^Skills!K20</f>
        <v/>
      </c>
      <c r="I2919" t="inlineStr">
        <is>
          <t>1</t>
        </is>
      </c>
      <c r="J2919" t="inlineStr"/>
      <c r="K2919" t="inlineStr"/>
      <c r="L2919" t="inlineStr"/>
      <c r="M2919" t="inlineStr"/>
      <c r="N2919" t="inlineStr"/>
      <c r="O2919">
        <f>(1-Summary!$B$11)*T2919+Summary!$B$11*V2919</f>
        <v/>
      </c>
      <c r="P2919">
        <f>IF(B2938=0,0,O2919/B2938)</f>
        <v/>
      </c>
      <c r="Q2919" t="n">
        <v>0</v>
      </c>
      <c r="R2919" t="n">
        <v>0</v>
      </c>
      <c r="S2919">
        <f>IFERROR(O2919/N2919,0)</f>
        <v/>
      </c>
      <c r="T2919" t="n">
        <v>0</v>
      </c>
      <c r="V2919" t="n">
        <v>0</v>
      </c>
    </row>
    <row r="2920">
      <c r="A2920">
        <f>Skills!A21</f>
        <v/>
      </c>
      <c r="B2920">
        <f>Skills!B21</f>
        <v/>
      </c>
      <c r="C2920">
        <f>Inputs!$B$3&gt;=38</f>
        <v/>
      </c>
      <c r="D2920">
        <f>IF(Skills!C21=1,60+Inputs!$B$25+Inputs!$B$29,IF(Skills!C21=2,90+Inputs!$B$26+Inputs!$B$29,IF(Skills!C21=3,120+Inputs!$B$27+Inputs!$B$29,MAX(0,(Inputs!$B$3-100)*3)+Inputs!$B$28+Inputs!$B$29)))</f>
        <v/>
      </c>
      <c r="E2920">
        <f>INDEX(FactorTable!$B$2:$Y$301, MATCH(ROUND(MIN(300,MAX(1,D2920)),0), FactorTable!$A$2:$A$301,0), Skills!M21+1)</f>
        <v/>
      </c>
      <c r="F2920">
        <f>IF(Skills!N21=TRUE,(Skills!L21/10)*(E2920/1000),Skills!L21/10)+Skills!O21</f>
        <v/>
      </c>
      <c r="G2920">
        <f>Skills!G21*IF(Skills!H21&gt;0,Skills!I21/Skills!H21,1)</f>
        <v/>
      </c>
      <c r="H2920">
        <f>1-(1-Skills!J21/100)^Skills!K21</f>
        <v/>
      </c>
      <c r="I2920" t="inlineStr">
        <is>
          <t>1</t>
        </is>
      </c>
      <c r="J2920" t="inlineStr"/>
      <c r="K2920" t="inlineStr"/>
      <c r="L2920" t="inlineStr"/>
      <c r="M2920" t="inlineStr"/>
      <c r="N2920" t="inlineStr"/>
      <c r="O2920">
        <f>(1-Summary!$B$11)*T2920+Summary!$B$11*V2920</f>
        <v/>
      </c>
      <c r="P2920">
        <f>IF(B2938=0,0,O2920/B2938)</f>
        <v/>
      </c>
      <c r="Q2920" t="n">
        <v>0</v>
      </c>
      <c r="R2920" t="n">
        <v>0</v>
      </c>
      <c r="S2920">
        <f>IFERROR(O2920/N2920,0)</f>
        <v/>
      </c>
      <c r="T2920" t="n">
        <v>0</v>
      </c>
      <c r="V2920" t="n">
        <v>0</v>
      </c>
    </row>
    <row r="2921">
      <c r="A2921">
        <f>Skills!A22</f>
        <v/>
      </c>
      <c r="B2921">
        <f>Skills!B22</f>
        <v/>
      </c>
      <c r="C2921">
        <f>Inputs!$B$3&gt;=43</f>
        <v/>
      </c>
      <c r="D2921">
        <f>IF(Skills!C22=1,60+Inputs!$B$25+Inputs!$B$29,IF(Skills!C22=2,90+Inputs!$B$26+Inputs!$B$29,IF(Skills!C22=3,120+Inputs!$B$27+Inputs!$B$29,MAX(0,(Inputs!$B$3-100)*3)+Inputs!$B$28+Inputs!$B$29)))</f>
        <v/>
      </c>
      <c r="E2921">
        <f>INDEX(FactorTable!$B$2:$Y$301, MATCH(ROUND(MIN(300,MAX(1,D2921)),0), FactorTable!$A$2:$A$301,0), Skills!M22+1)</f>
        <v/>
      </c>
      <c r="F2921">
        <f>IF(Skills!N22=TRUE,(Skills!L22/10)*(E2921/1000),Skills!L22/10)+Skills!O22</f>
        <v/>
      </c>
      <c r="G2921">
        <f>Skills!G22*IF(Skills!H22&gt;0,Skills!I22/Skills!H22,1)</f>
        <v/>
      </c>
      <c r="H2921">
        <f>1-(1-Skills!J22/100)^Skills!K22</f>
        <v/>
      </c>
      <c r="I2921" t="inlineStr">
        <is>
          <t>1</t>
        </is>
      </c>
      <c r="J2921" t="inlineStr"/>
      <c r="K2921" t="inlineStr"/>
      <c r="L2921" t="inlineStr"/>
      <c r="M2921" t="inlineStr"/>
      <c r="N2921" t="inlineStr"/>
      <c r="O2921">
        <f>(1-Summary!$B$11)*T2921+Summary!$B$11*V2921</f>
        <v/>
      </c>
      <c r="P2921">
        <f>IF(B2938=0,0,O2921/B2938)</f>
        <v/>
      </c>
      <c r="Q2921" t="n">
        <v>0</v>
      </c>
      <c r="R2921" t="n">
        <v>0</v>
      </c>
      <c r="S2921">
        <f>IFERROR(O2921/N2921,0)</f>
        <v/>
      </c>
      <c r="T2921" t="n">
        <v>0</v>
      </c>
      <c r="V2921" t="n">
        <v>0</v>
      </c>
    </row>
    <row r="2922">
      <c r="A2922">
        <f>Skills!A23</f>
        <v/>
      </c>
      <c r="B2922">
        <f>Skills!B23</f>
        <v/>
      </c>
      <c r="C2922">
        <f>Inputs!$B$3&gt;=120</f>
        <v/>
      </c>
      <c r="D2922">
        <f>IF(Skills!C23=1,60+Inputs!$B$25+Inputs!$B$29,IF(Skills!C23=2,90+Inputs!$B$26+Inputs!$B$29,IF(Skills!C23=3,120+Inputs!$B$27+Inputs!$B$29,MAX(0,(Inputs!$B$3-100)*3)+Inputs!$B$28+Inputs!$B$29)))</f>
        <v/>
      </c>
      <c r="E2922">
        <f>INDEX(FactorTable!$B$2:$Y$301, MATCH(ROUND(MIN(300,MAX(1,D2922)),0), FactorTable!$A$2:$A$301,0), Skills!M23+1)</f>
        <v/>
      </c>
      <c r="F2922">
        <f>IF(Skills!N23=TRUE,(Skills!L23/10)*(E2922/1000),Skills!L23/10)+Skills!O23</f>
        <v/>
      </c>
      <c r="G2922">
        <f>Skills!G23*IF(Skills!H23&gt;0,Skills!I23/Skills!H23,1)</f>
        <v/>
      </c>
      <c r="H2922">
        <f>1-(1-Skills!J23/100)^Skills!K23</f>
        <v/>
      </c>
      <c r="I2922" t="inlineStr">
        <is>
          <t>1</t>
        </is>
      </c>
      <c r="J2922" t="inlineStr"/>
      <c r="K2922" t="inlineStr"/>
      <c r="L2922" t="inlineStr"/>
      <c r="M2922" t="inlineStr"/>
      <c r="N2922" t="inlineStr"/>
      <c r="O2922">
        <f>(1-Summary!$B$11)*T2922+Summary!$B$11*V2922</f>
        <v/>
      </c>
      <c r="P2922">
        <f>IF(B2938=0,0,O2922/B2938)</f>
        <v/>
      </c>
      <c r="Q2922" t="n">
        <v>0</v>
      </c>
      <c r="R2922" t="n">
        <v>0</v>
      </c>
      <c r="S2922">
        <f>IFERROR(O2922/N2922,0)</f>
        <v/>
      </c>
      <c r="T2922" t="n">
        <v>0</v>
      </c>
      <c r="V2922" t="n">
        <v>0</v>
      </c>
    </row>
    <row r="2923">
      <c r="A2923">
        <f>Skills!A24</f>
        <v/>
      </c>
      <c r="B2923">
        <f>Skills!B24</f>
        <v/>
      </c>
      <c r="C2923">
        <f>Inputs!$B$3&gt;=120</f>
        <v/>
      </c>
      <c r="D2923">
        <f>IF(Skills!C24=1,60+Inputs!$B$25+Inputs!$B$29,IF(Skills!C24=2,90+Inputs!$B$26+Inputs!$B$29,IF(Skills!C24=3,120+Inputs!$B$27+Inputs!$B$29,MAX(0,(Inputs!$B$3-100)*3)+Inputs!$B$28+Inputs!$B$29)))</f>
        <v/>
      </c>
      <c r="E2923">
        <f>INDEX(FactorTable!$B$2:$Y$301, MATCH(ROUND(MIN(300,MAX(1,D2923)),0), FactorTable!$A$2:$A$301,0), Skills!M24+1)</f>
        <v/>
      </c>
      <c r="F2923">
        <f>IF(Skills!N24=TRUE,(Skills!L24/10)*(E2923/1000),Skills!L24/10)+Skills!O24</f>
        <v/>
      </c>
      <c r="G2923">
        <f>Skills!G24*IF(Skills!H24&gt;0,Skills!I24/Skills!H24,1)</f>
        <v/>
      </c>
      <c r="H2923">
        <f>1-(1-Skills!J24/100)^Skills!K24</f>
        <v/>
      </c>
      <c r="I2923" t="inlineStr">
        <is>
          <t>1</t>
        </is>
      </c>
      <c r="J2923" t="inlineStr"/>
      <c r="K2923" t="inlineStr"/>
      <c r="L2923" t="inlineStr"/>
      <c r="M2923" t="inlineStr"/>
      <c r="N2923" t="inlineStr"/>
      <c r="O2923">
        <f>(1-Summary!$B$11)*T2923+Summary!$B$11*V2923</f>
        <v/>
      </c>
      <c r="P2923">
        <f>IF(B2938=0,0,O2923/B2938)</f>
        <v/>
      </c>
      <c r="Q2923" t="n">
        <v>0</v>
      </c>
      <c r="R2923" t="n">
        <v>0</v>
      </c>
      <c r="S2923">
        <f>IFERROR(O2923/N2923,0)</f>
        <v/>
      </c>
      <c r="T2923" t="n">
        <v>0</v>
      </c>
      <c r="V2923" t="n">
        <v>0</v>
      </c>
    </row>
    <row r="2924">
      <c r="A2924">
        <f>Skills!A25</f>
        <v/>
      </c>
      <c r="B2924">
        <f>Skills!B25</f>
        <v/>
      </c>
      <c r="C2924">
        <f>Inputs!$B$3&gt;=125</f>
        <v/>
      </c>
      <c r="D2924">
        <f>IF(Skills!C25=1,60+Inputs!$B$25+Inputs!$B$29,IF(Skills!C25=2,90+Inputs!$B$26+Inputs!$B$29,IF(Skills!C25=3,120+Inputs!$B$27+Inputs!$B$29,MAX(0,(Inputs!$B$3-100)*3)+Inputs!$B$28+Inputs!$B$29)))</f>
        <v/>
      </c>
      <c r="E2924">
        <f>INDEX(FactorTable!$B$2:$Y$301, MATCH(ROUND(MIN(300,MAX(1,D2924)),0), FactorTable!$A$2:$A$301,0), Skills!M25+1)</f>
        <v/>
      </c>
      <c r="F2924">
        <f>IF(Skills!N25=TRUE,(Skills!L25/10)*(E2924/1000),Skills!L25/10)+Skills!O25</f>
        <v/>
      </c>
      <c r="G2924">
        <f>Skills!G25*IF(Skills!H25&gt;0,Skills!I25/Skills!H25,1)</f>
        <v/>
      </c>
      <c r="H2924">
        <f>1-(1-Skills!J25/100)^Skills!K25</f>
        <v/>
      </c>
      <c r="I2924" t="inlineStr">
        <is>
          <t>1</t>
        </is>
      </c>
      <c r="J2924" t="inlineStr"/>
      <c r="K2924" t="inlineStr"/>
      <c r="L2924" t="inlineStr"/>
      <c r="M2924" t="inlineStr"/>
      <c r="N2924" t="inlineStr"/>
      <c r="O2924">
        <f>(1-Summary!$B$11)*T2924+Summary!$B$11*V2924</f>
        <v/>
      </c>
      <c r="P2924">
        <f>IF(B2938=0,0,O2924/B2938)</f>
        <v/>
      </c>
      <c r="Q2924" t="n">
        <v>0</v>
      </c>
      <c r="R2924" t="n">
        <v>0</v>
      </c>
      <c r="S2924">
        <f>IFERROR(O2924/N2924,0)</f>
        <v/>
      </c>
      <c r="T2924" t="n">
        <v>0</v>
      </c>
      <c r="V2924" t="n">
        <v>0</v>
      </c>
    </row>
    <row r="2925">
      <c r="A2925">
        <f>Skills!A26</f>
        <v/>
      </c>
      <c r="B2925">
        <f>Skills!B26</f>
        <v/>
      </c>
      <c r="C2925">
        <f>Inputs!$B$3&gt;=72</f>
        <v/>
      </c>
      <c r="D2925">
        <f>IF(Skills!C26=1,60+Inputs!$B$25+Inputs!$B$29,IF(Skills!C26=2,90+Inputs!$B$26+Inputs!$B$29,IF(Skills!C26=3,120+Inputs!$B$27+Inputs!$B$29,MAX(0,(Inputs!$B$3-100)*3)+Inputs!$B$28+Inputs!$B$29)))</f>
        <v/>
      </c>
      <c r="E2925">
        <f>INDEX(FactorTable!$B$2:$Y$301, MATCH(ROUND(MIN(300,MAX(1,D2925)),0), FactorTable!$A$2:$A$301,0), Skills!M26+1)</f>
        <v/>
      </c>
      <c r="F2925">
        <f>IF(Skills!N26=TRUE,(Skills!L26/10)*(E2925/1000),Skills!L26/10)+Skills!O26</f>
        <v/>
      </c>
      <c r="G2925">
        <f>Skills!G26*IF(Skills!H26&gt;0,Skills!I26/Skills!H26,1)</f>
        <v/>
      </c>
      <c r="H2925">
        <f>1-(1-Skills!J26/100)^Skills!K26</f>
        <v/>
      </c>
      <c r="I2925" t="inlineStr">
        <is>
          <t>1</t>
        </is>
      </c>
      <c r="J2925" t="inlineStr"/>
      <c r="K2925" t="inlineStr"/>
      <c r="L2925" t="inlineStr"/>
      <c r="M2925" t="inlineStr"/>
      <c r="N2925" t="inlineStr"/>
      <c r="O2925">
        <f>(1-Summary!$B$11)*T2925+Summary!$B$11*V2925</f>
        <v/>
      </c>
      <c r="P2925">
        <f>IF(B2938=0,0,O2925/B2938)</f>
        <v/>
      </c>
      <c r="Q2925" t="n">
        <v>0</v>
      </c>
      <c r="R2925" t="n">
        <v>0</v>
      </c>
      <c r="S2925">
        <f>IFERROR(O2925/N2925,0)</f>
        <v/>
      </c>
      <c r="T2925" t="n">
        <v>0</v>
      </c>
      <c r="V2925" t="n">
        <v>0</v>
      </c>
    </row>
    <row r="2927">
      <c r="A2927" t="inlineStr">
        <is>
          <t>Attack% Bucket Multiplier</t>
        </is>
      </c>
      <c r="B2927">
        <f>(1+(((C2912=TRUE)*F2912*IF(Inputs!$B$3&gt;=110,7,5))+((C2914=TRUE)*F2914*IF(AND(Inputs!$B$38&lt;&gt;"pvp",Inputs!$B$43&gt;0),(((R2914-1)*(Skills!T15*(1+(Inputs!$B$34+(ArtifactsInput!$M$7-ArtifactsInput!$M$7)*CHOOSE(ArtifactsInput!$N$7+1,6,7.2,8.4,9.6,10.8,12))/100))+MIN((Skills!T15*(1+(Inputs!$B$34+(ArtifactsInput!$M$7-ArtifactsInput!$M$7)*CHOOSE(ArtifactsInput!$N$7+1,6,7.2,8.4,9.6,10.8,12))/100)),MAX(0,Inputs!$B$43-((R2914-1)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28">
      <c r="A2928" t="inlineStr">
        <is>
          <t>Global Crit Rate Bonus %</t>
        </is>
      </c>
      <c r="B2928" t="n">
        <v>0</v>
      </c>
    </row>
    <row r="2929">
      <c r="A2929" t="inlineStr">
        <is>
          <t>Attack Speed Buff Bonus %</t>
        </is>
      </c>
      <c r="B2929">
        <f>((C2918=TRUE)*F2918*IF(AND(Inputs!$B$38&lt;&gt;"pvp",Inputs!$B$43&gt;0),(((R2918-1)*(Skills!T19*(1+(Inputs!$B$34+(ArtifactsInput!$M$7-ArtifactsInput!$M$7)*CHOOSE(ArtifactsInput!$N$7+1,6,7.2,8.4,9.6,10.8,12))/100))+MIN((Skills!T19*(1+(Inputs!$B$34+(ArtifactsInput!$M$7-ArtifactsInput!$M$7)*CHOOSE(ArtifactsInput!$N$7+1,6,7.2,8.4,9.6,10.8,12))/100)),MAX(0,Inputs!$B$43-((R2918-1)*Skills!D19))))/Inputs!$B$43),IF(Inputs!$B$38="pvp",MIN((Skills!T19*(1+(Inputs!$B$34+(ArtifactsInput!$M$7-ArtifactsInput!$M$7)*CHOOSE(ArtifactsInput!$N$7+1,6,7.2,8.4,9.6,10.8,12))/100)),15)/15,(Skills!T19*(1+(Inputs!$B$34+(ArtifactsInput!$M$7-ArtifactsInput!$M$7)*CHOOSE(ArtifactsInput!$N$7+1,6,7.2,8.4,9.6,10.8,12))/100))/Skills!D19)))</f>
        <v/>
      </c>
    </row>
    <row r="2930">
      <c r="A2930" t="inlineStr">
        <is>
          <t>Actions Per Second</t>
        </is>
      </c>
      <c r="B2930">
        <f>1+MIN(150,150*(1-(1-(Inputs!$B$11+((C2919=TRUE)*(F2919-Calc!F20)))/150)*(1-B2929/150)))/100</f>
        <v/>
      </c>
    </row>
    <row r="2931">
      <c r="A2931" t="inlineStr">
        <is>
          <t>Skill + Buff Cast Rate</t>
        </is>
      </c>
      <c r="B2931">
        <f>IF(AND(Inputs!$B$38&lt;&gt;"pvp",Inputs!$B$43&gt;0),SUMPRODUCT((Skills!E2:E26=TRUE)*(C2901:C2925=TRUE)*R2901:R2925*Skills!F2:F26)/Inputs!$B$43,SUMPRODUCT((Skills!E2:E26=TRUE)*(C2901:C2925=TRUE)*Q2901:Q2925*Skills!F2:F26))</f>
        <v/>
      </c>
    </row>
    <row r="2932">
      <c r="A2932" t="inlineStr">
        <is>
          <t>Raging Blow Casts Per Second</t>
        </is>
      </c>
      <c r="B2932">
        <f>MAX(0,B2930-B2931)</f>
        <v/>
      </c>
    </row>
    <row r="2933">
      <c r="A2933" t="inlineStr">
        <is>
          <t>Global Critical Damage Bonus % (Enrage)</t>
        </is>
      </c>
      <c r="B2933">
        <f>((C2917=TRUE)*F2917*IF(AND(Inputs!$B$38&lt;&gt;"pvp",Inputs!$B$43&gt;0),(((R2917-1)*(Skills!T18*(1+(Inputs!$B$34+(ArtifactsInput!$M$7-ArtifactsInput!$M$7)*CHOOSE(ArtifactsInput!$N$7+1,6,7.2,8.4,9.6,10.8,12))/100))+MIN((Skills!T18*(1+(Inputs!$B$34+(ArtifactsInput!$M$7-ArtifactsInput!$M$7)*CHOOSE(ArtifactsInput!$N$7+1,6,7.2,8.4,9.6,10.8,12))/100)),MAX(0,Inputs!$B$43-((R2917-1)*Skills!D18))))/Inputs!$B$43),IF(Inputs!$B$38="pvp",MIN((Skills!T18*(1+(Inputs!$B$34+(ArtifactsInput!$M$7-ArtifactsInput!$M$7)*CHOOSE(ArtifactsInput!$N$7+1,6,7.2,8.4,9.6,10.8,12))/100)),15)/15,(Skills!T18*(1+(Inputs!$B$34+(ArtifactsInput!$M$7-ArtifactsInput!$M$7)*CHOOSE(ArtifactsInput!$N$7+1,6,7.2,8.4,9.6,10.8,12))/100))/Skills!D18)))</f>
        <v/>
      </c>
    </row>
    <row r="2934">
      <c r="A2934" t="inlineStr">
        <is>
          <t>Global Final Damage Bonus % (Enrage + Combo Synergy)</t>
        </is>
      </c>
      <c r="B2934">
        <f>((C2916=TRUE)*F2916*IF(AND(Inputs!$B$38&lt;&gt;"pvp",Inputs!$B$43&gt;0),(((R2916-1)*(Skills!T17*(1+(Inputs!$B$34+(ArtifactsInput!$M$7-ArtifactsInput!$M$7)*CHOOSE(ArtifactsInput!$N$7+1,6,7.2,8.4,9.6,10.8,12))/100))+MIN((Skills!T17*(1+(Inputs!$B$34+(ArtifactsInput!$M$7-ArtifactsInput!$M$7)*CHOOSE(ArtifactsInput!$N$7+1,6,7.2,8.4,9.6,10.8,12))/100)),MAX(0,Inputs!$B$43-((R2916-1)*Skills!D17))))/Inputs!$B$43),IF(Inputs!$B$38="pvp",MIN((Skills!T17*(1+(Inputs!$B$34+(ArtifactsInput!$M$7-ArtifactsInput!$M$7)*CHOOSE(ArtifactsInput!$N$7+1,6,7.2,8.4,9.6,10.8,12))/100)),15)/15,(Skills!T17*(1+(Inputs!$B$34+(ArtifactsInput!$M$7-ArtifactsInput!$M$7)*CHOOSE(ArtifactsInput!$N$7+1,6,7.2,8.4,9.6,10.8,12))/100))/Skills!D17)))+((C2913=TRUE)*F2913*IF(Inputs!$B$3&gt;=110,7,5))</f>
        <v/>
      </c>
    </row>
    <row r="2935">
      <c r="A2935" t="inlineStr">
        <is>
          <t>Buff-Casting Startup Delay (s, fixed-duration only)</t>
        </is>
      </c>
      <c r="B2935">
        <f>IF(AND(Inputs!$B$38&lt;&gt;"pvp",Inputs!$B$43&gt;0),SUMPRODUCT((Skills!T2:T26&gt;0)*(Skills!E2:E26=TRUE)*(C2901:C2925=TRUE))/B2930,0)</f>
        <v/>
      </c>
    </row>
    <row r="2936">
      <c r="A2936" t="inlineStr">
        <is>
          <t>Boss-Only Total DPS (this block's swept value)</t>
        </is>
      </c>
      <c r="B2936">
        <f>SUM(T2901:T2925)</f>
        <v/>
      </c>
    </row>
    <row r="2937">
      <c r="A2937" t="inlineStr">
        <is>
          <t>Normal-Only Total DPS (this block's swept value)</t>
        </is>
      </c>
      <c r="B2937">
        <f>SUM(V2901:V2925)</f>
        <v/>
      </c>
    </row>
    <row r="2938">
      <c r="A2938" s="6" t="inlineStr">
        <is>
          <t>TOTAL DPS</t>
        </is>
      </c>
      <c r="B2938" s="6">
        <f>SUM(O2901:O2925)</f>
        <v/>
      </c>
    </row>
    <row r="2941">
      <c r="A2941" s="6" t="inlineStr">
        <is>
          <t>Stat: CDR = 3.5s</t>
        </is>
      </c>
    </row>
    <row r="2942">
      <c r="A2942" s="5" t="inlineStr">
        <is>
          <t>Key</t>
        </is>
      </c>
      <c r="B2942" s="5" t="inlineStr">
        <is>
          <t>Name</t>
        </is>
      </c>
      <c r="C2942" s="5" t="inlineStr">
        <is>
          <t>Unlocked</t>
        </is>
      </c>
      <c r="D2942" s="5" t="inlineStr">
        <is>
          <t>InputLevel</t>
        </is>
      </c>
      <c r="E2942" s="5" t="inlineStr">
        <is>
          <t>Factor</t>
        </is>
      </c>
      <c r="F2942" s="5" t="inlineStr">
        <is>
          <t>CoefficientPercent</t>
        </is>
      </c>
      <c r="G2942" s="5" t="inlineStr">
        <is>
          <t>EffectiveHits</t>
        </is>
      </c>
      <c r="H2942" s="5" t="inlineStr">
        <is>
          <t>ProcProbability</t>
        </is>
      </c>
      <c r="I2942" s="5" t="inlineStr">
        <is>
          <t>MapleHeroMultiplier</t>
        </is>
      </c>
      <c r="J2942" s="5" t="inlineStr">
        <is>
          <t>BaseDamage</t>
        </is>
      </c>
      <c r="K2942" s="5" t="inlineStr">
        <is>
          <t>BaseHitDamage</t>
        </is>
      </c>
      <c r="L2942" s="5" t="inlineStr">
        <is>
          <t>NonCritAvg</t>
        </is>
      </c>
      <c r="M2942" s="5" t="inlineStr">
        <is>
          <t>CritAvg</t>
        </is>
      </c>
      <c r="N2942" s="5" t="inlineStr">
        <is>
          <t>ExpectedDamage(perHit)</t>
        </is>
      </c>
      <c r="O2942" s="5" t="inlineStr">
        <is>
          <t>DPS</t>
        </is>
      </c>
      <c r="P2942" s="5" t="inlineStr">
        <is>
          <t>% of Total</t>
        </is>
      </c>
      <c r="Q2942" s="5" t="inlineStr">
        <is>
          <t>InvCooldown</t>
        </is>
      </c>
      <c r="R2942" s="5" t="inlineStr">
        <is>
          <t>CastsInFight</t>
        </is>
      </c>
      <c r="S2942" s="5" t="inlineStr">
        <is>
          <t>HitRate(perSec)</t>
        </is>
      </c>
      <c r="U2942" t="inlineStr">
        <is>
          <t>helpers</t>
        </is>
      </c>
    </row>
    <row r="2943">
      <c r="A2943">
        <f>Skills!A2</f>
        <v/>
      </c>
      <c r="B2943">
        <f>Skills!B2</f>
        <v/>
      </c>
      <c r="C2943">
        <f>Inputs!$B$3&gt;=100</f>
        <v/>
      </c>
      <c r="D2943" t="inlineStr"/>
      <c r="E2943" t="inlineStr"/>
      <c r="F2943">
        <f>U2945+Skills!O2</f>
        <v/>
      </c>
      <c r="G2943">
        <f>Skills!G2*IF(Skills!H2&gt;0,Skills!I2/Skills!H2,1)</f>
        <v/>
      </c>
      <c r="H2943">
        <f>1-(1-Skills!J2/100)^Skills!K2</f>
        <v/>
      </c>
      <c r="I2943" t="inlineStr">
        <is>
          <t>1</t>
        </is>
      </c>
      <c r="J2943">
        <f>((Inputs!$B$6*(1+Inputs!$B$7/100))+(((Inputs!$B$12*(1+Inputs!$B$13/100))-(Inputs!$B$12*(1+Inputs!$B$13/100)))+0.25*(Inputs!$B$14-Inputs!$B$14))*(1+Inputs!$B$7/100))*(F2943/100)</f>
        <v/>
      </c>
      <c r="K2943">
        <f>J2943*(1+((Inputs!$B$12*(1+Inputs!$B$13/100))*0.01+Inputs!$B$14*0.0025)/100)*(1+Inputs!$B$15/100)*(1+Inputs!$B$16/100)*(5000/(6000+Inputs!$B$42*(1-(100*(1-(1-(Inputs!$B$19+0)/100)*(1-CHOOSE(ArtifactsInput!$N$40+1,5,6,7,8,9,10)/100)^(ArtifactsInput!$M$40-ArtifactsInput!$M$40)))/100)))*(1+(Inputs!$B$24+((C2966=TRUE)*(F2966-Calc!F25))+B2976)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2962=TRUE)*(F2962-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2964=TRUE)*(F2964-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2954=TRUE)*F2954*IF(Inputs!$B$3&gt;=110,7,5))+((C2956=TRUE)*F2956*IF(AND(Inputs!$B$38&lt;&gt;"pvp",Inputs!$B$43&gt;0),(((R2956-1)*(Skills!T15*(1+(Inputs!$B$34+(ArtifactsInput!$M$7-ArtifactsInput!$M$7)*CHOOSE(ArtifactsInput!$N$7+1,6,7.2,8.4,9.6,10.8,12))/100))+MIN((Skills!T15*(1+(Inputs!$B$34+(ArtifactsInput!$M$7-ArtifactsInput!$M$7)*CHOOSE(ArtifactsInput!$N$7+1,6,7.2,8.4,9.6,10.8,12))/100)),MAX(0,Inputs!$B$43-((R2956-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Hunt"),CHOOSE(ArtifactsInput!$N$35+1,15,18,21,24,27,30)*(1-EXP(-(0.2*B2972)*5)),0)+IF(AND(ArtifactsInput!$M$22,Inputs!$B$4&lt;&gt;"Chapter Hunt"),CHOOSE(ArtifactsInput!$N$22+1,10,12,14,16,18,20)*((0*(((0.15*B2972*5))^0/1)+1*(((0.15*B2972*5))^1/1)+2*(((0.15*B2972*5))^2/2)+3*(((0.15*B2972*5))^3/6)+4*(((0.15*B2972*5))^4/24)+5*(((0.15*B2972*5))^5/120))/((((0.15*B2972*5))^0/1)+(((0.15*B2972*5))^1/1)+(((0.15*B2972*5))^2/2)+(((0.15*B2972*5))^3/6)+(((0.15*B2972*5))^4/24)+(((0.15*B2972*5))^5/120))),0)))/100)*I2943)</f>
        <v/>
      </c>
      <c r="L2943">
        <f>K2943*(MIN(Inputs!$B$22+((C2963=TRUE)*(F2963-Calc!F22)),(Inputs!$B$23+((C2965=TRUE)*(F2965-Calc!F24))+(IF(ArtifactsInput!$M$15,CHOOSE(ArtifactsInput!$N$15+1,25,30,35,40,45,50)/100*(Inputs!$B$11-Inputs!$B$11),0))))/100+(Inputs!$B$23+((C2965=TRUE)*(F2965-Calc!F24))+(IF(ArtifactsInput!$M$15,CHOOSE(ArtifactsInput!$N$15+1,25,30,35,40,45,50)/100*(Inputs!$B$11-Inputs!$B$11),0)))/100)/2</f>
        <v/>
      </c>
      <c r="M2943">
        <f>L2943*(1+(Inputs!$B$10+0+B2975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3">
        <f>L2943*(1-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2943*(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3">
        <f>(1-Summary!$B$11)*T2943+Summary!$B$11*V2943</f>
        <v/>
      </c>
      <c r="P2943">
        <f>IF(B2980=0,0,O2943/B2980)</f>
        <v/>
      </c>
      <c r="Q2943" t="n">
        <v>0</v>
      </c>
      <c r="R2943" t="n">
        <v>0</v>
      </c>
      <c r="S2943">
        <f>IFERROR(O2943/N2943,0)</f>
        <v/>
      </c>
      <c r="T2943">
        <f>IF(C2943,(Skills!G2*N2943*B2974)*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2943*(1-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2943*(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2943*(1-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2943*(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43">
        <f>MAX(0,(Inputs!$B$3-100)*3)+Inputs!$B$28+Inputs!$B$29</f>
        <v/>
      </c>
      <c r="V2943">
        <f>IF(C2943,(Skills!G2*N2943*B2974)*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4">
      <c r="A2944">
        <f>Skills!A3</f>
        <v/>
      </c>
      <c r="B2944">
        <f>Skills!B3</f>
        <v/>
      </c>
      <c r="C2944">
        <f>Inputs!$B$3&gt;=50</f>
        <v/>
      </c>
      <c r="D2944">
        <f>IF(Skills!C3=1,60+Inputs!$B$25+Inputs!$B$29,IF(Skills!C3=2,90+Inputs!$B$26+Inputs!$B$29,IF(Skills!C3=3,120+Inputs!$B$27+Inputs!$B$29,MAX(0,(Inputs!$B$3-100)*3)+Inputs!$B$28+Inputs!$B$29)))</f>
        <v/>
      </c>
      <c r="E2944">
        <f>INDEX(FactorTable!$B$2:$Y$301, MATCH(ROUND(MIN(300,MAX(1,D2944)),0), FactorTable!$A$2:$A$301,0), Skills!M3+1)</f>
        <v/>
      </c>
      <c r="F2944">
        <f>IF(Skills!N3=TRUE,(Skills!L3/10)*(E2944/1000),Skills!L3/10)+Skills!O3</f>
        <v/>
      </c>
      <c r="G2944" t="inlineStr"/>
      <c r="H2944" t="inlineStr"/>
      <c r="I2944" t="inlineStr">
        <is>
          <t>1</t>
        </is>
      </c>
      <c r="J2944" t="inlineStr"/>
      <c r="K2944" t="inlineStr"/>
      <c r="L2944" t="inlineStr"/>
      <c r="M2944" t="inlineStr"/>
      <c r="N2944" t="inlineStr"/>
      <c r="O2944" t="inlineStr"/>
      <c r="P2944" t="inlineStr"/>
      <c r="Q2944" t="inlineStr"/>
      <c r="R2944" t="inlineStr"/>
      <c r="S2944" t="inlineStr"/>
      <c r="U2944">
        <f>INDEX(FactorTable!$B$2:$Y$301, MATCH(ROUND(MIN(300,MAX(1,U2943)),0), FactorTable!$A$2:$A$301,0), 22)</f>
        <v/>
      </c>
    </row>
    <row r="2945">
      <c r="A2945">
        <f>Skills!A4</f>
        <v/>
      </c>
      <c r="B2945">
        <f>Skills!B4</f>
        <v/>
      </c>
      <c r="C2945">
        <f>Inputs!$B$3&gt;=105</f>
        <v/>
      </c>
      <c r="D2945">
        <f>IF(Skills!C4=1,60+Inputs!$B$25+Inputs!$B$29,IF(Skills!C4=2,90+Inputs!$B$26+Inputs!$B$29,IF(Skills!C4=3,120+Inputs!$B$27+Inputs!$B$29,MAX(0,(Inputs!$B$3-100)*3)+Inputs!$B$28+Inputs!$B$29)))</f>
        <v/>
      </c>
      <c r="E2945">
        <f>INDEX(FactorTable!$B$2:$Y$301, MATCH(ROUND(MIN(300,MAX(1,D2945)),0), FactorTable!$A$2:$A$301,0), Skills!M4+1)</f>
        <v/>
      </c>
      <c r="F2945">
        <f>IF(Skills!N4=TRUE,(Skills!L4/10)*(E2945/1000),Skills!L4/10)+Skills!O4</f>
        <v/>
      </c>
      <c r="G2945" t="inlineStr"/>
      <c r="H2945" t="inlineStr"/>
      <c r="I2945" t="inlineStr">
        <is>
          <t>1</t>
        </is>
      </c>
      <c r="J2945" t="inlineStr"/>
      <c r="K2945" t="inlineStr"/>
      <c r="L2945" t="inlineStr"/>
      <c r="M2945" t="inlineStr"/>
      <c r="N2945" t="inlineStr"/>
      <c r="O2945" t="inlineStr"/>
      <c r="P2945" t="inlineStr"/>
      <c r="Q2945" t="inlineStr"/>
      <c r="R2945" t="inlineStr"/>
      <c r="S2945" t="inlineStr"/>
      <c r="U2945">
        <f>290*U2944/1000</f>
        <v/>
      </c>
    </row>
    <row r="2946">
      <c r="A2946">
        <f>Skills!A5</f>
        <v/>
      </c>
      <c r="B2946">
        <f>Skills!B5</f>
        <v/>
      </c>
      <c r="C2946">
        <f>Inputs!$B$3&gt;=103</f>
        <v/>
      </c>
      <c r="D2946">
        <f>IF(Skills!C5=1,60+Inputs!$B$25+Inputs!$B$29,IF(Skills!C5=2,90+Inputs!$B$26+Inputs!$B$29,IF(Skills!C5=3,120+Inputs!$B$27+Inputs!$B$29,MAX(0,(Inputs!$B$3-100)*3)+Inputs!$B$28+Inputs!$B$29)))</f>
        <v/>
      </c>
      <c r="E2946">
        <f>INDEX(FactorTable!$B$2:$Y$301, MATCH(ROUND(MIN(300,MAX(1,D2946)),0), FactorTable!$A$2:$A$301,0), Skills!M5+1)</f>
        <v/>
      </c>
      <c r="F2946">
        <f>IF(Skills!N5=TRUE,(Skills!L5/10)*(E2946/1000),Skills!L5/10)+Skills!O5</f>
        <v/>
      </c>
      <c r="G2946">
        <f>Skills!G5*IF(Skills!H5&gt;0,Skills!I5/Skills!H5,1)</f>
        <v/>
      </c>
      <c r="H2946">
        <f>1-(1-Skills!J5/100)^Skills!K5</f>
        <v/>
      </c>
      <c r="I2946" t="inlineStr">
        <is>
          <t>1</t>
        </is>
      </c>
      <c r="J2946">
        <f>((Inputs!$B$6*(1+Inputs!$B$7/100))+(((Inputs!$B$12*(1+Inputs!$B$13/100))-(Inputs!$B$12*(1+Inputs!$B$13/100)))+0.25*(Inputs!$B$14-Inputs!$B$14))*(1+Inputs!$B$7/100))*(F2946/100)</f>
        <v/>
      </c>
      <c r="K2946">
        <f>J2946*(1+((Inputs!$B$12*(1+Inputs!$B$13/100))*0.01+Inputs!$B$14*0.0025)/100)*(1+Inputs!$B$15/100)*(1+Inputs!$B$16/100)*(5000/(6000+Inputs!$B$42*(1-(100*(1-(1-(Inputs!$B$19+0)/100)*(1-CHOOSE(ArtifactsInput!$N$40+1,5,6,7,8,9,10)/100)^(ArtifactsInput!$M$40-ArtifactsInput!$M$40)))/100)))*(1+(Inputs!$B$24+((C2966=TRUE)*(F2966-Calc!F25))+B2976)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2962=TRUE)*(F2962-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2964=TRUE)*(F2964-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2954=TRUE)*F2954*IF(Inputs!$B$3&gt;=110,7,5))+((C2956=TRUE)*F2956*IF(AND(Inputs!$B$38&lt;&gt;"pvp",Inputs!$B$43&gt;0),(((R2956-1)*(Skills!T15*(1+(Inputs!$B$34+(ArtifactsInput!$M$7-ArtifactsInput!$M$7)*CHOOSE(ArtifactsInput!$N$7+1,6,7.2,8.4,9.6,10.8,12))/100))+MIN((Skills!T15*(1+(Inputs!$B$34+(ArtifactsInput!$M$7-ArtifactsInput!$M$7)*CHOOSE(ArtifactsInput!$N$7+1,6,7.2,8.4,9.6,10.8,12))/100)),MAX(0,Inputs!$B$43-((R2956-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Hunt"),CHOOSE(ArtifactsInput!$N$35+1,15,18,21,24,27,30)*(1-EXP(-(0.2*B2972)*5)),0)+IF(AND(ArtifactsInput!$M$22,Inputs!$B$4&lt;&gt;"Chapter Hunt"),CHOOSE(ArtifactsInput!$N$22+1,10,12,14,16,18,20)*((0*(((0.15*B2972*5))^0/1)+1*(((0.15*B2972*5))^1/1)+2*(((0.15*B2972*5))^2/2)+3*(((0.15*B2972*5))^3/6)+4*(((0.15*B2972*5))^4/24)+5*(((0.15*B2972*5))^5/120))/((((0.15*B2972*5))^0/1)+(((0.15*B2972*5))^1/1)+(((0.15*B2972*5))^2/2)+(((0.15*B2972*5))^3/6)+(((0.15*B2972*5))^4/24)+(((0.15*B2972*5))^5/120))),0)))/100)*I2946)</f>
        <v/>
      </c>
      <c r="L2946">
        <f>K2946*(MIN(Inputs!$B$22+((C2963=TRUE)*(F2963-Calc!F22)),(Inputs!$B$23+((C2965=TRUE)*(F2965-Calc!F24))+(IF(ArtifactsInput!$M$15,CHOOSE(ArtifactsInput!$N$15+1,25,30,35,40,45,50)/100*(Inputs!$B$11-Inputs!$B$11),0))))/100+(Inputs!$B$23+((C2965=TRUE)*(F2965-Calc!F24))+(IF(ArtifactsInput!$M$15,CHOOSE(ArtifactsInput!$N$15+1,25,30,35,40,45,50)/100*(Inputs!$B$11-Inputs!$B$11),0)))/100)/2</f>
        <v/>
      </c>
      <c r="M2946">
        <f>L2946*(1+(Inputs!$B$10+0+B2975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6">
        <f>L2946*(1-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2946*(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6">
        <f>(1-Summary!$B$11)*T2946+Summary!$B$11*V2946</f>
        <v/>
      </c>
      <c r="P2946">
        <f>IF(B2980=0,0,O2946/B2980)</f>
        <v/>
      </c>
      <c r="Q2946">
        <f>IFERROR(1/(IF(Inputs!$B$38="pvp",15,MAX(0.1,Skills!D5-IF(Skills!E5=TRUE,3.5,0)))*(1-IF(AND(ArtifactsInput!$M$27,Inputs!$B$4="Chapter Hunt"),CHOOSE(ArtifactsInput!$N$27+1,20,24,28,32,36,40),0)/100)),0)</f>
        <v/>
      </c>
      <c r="R2946">
        <f>IF(AND(Inputs!$B$38&lt;&gt;"pvp",Inputs!$B$43&gt;0),IF(MAX(0,Inputs!$B$43-B2977)&lt;=0,0,(INT(MAX(0,Inputs!$B$43-B2977)/(IF(Inputs!$B$38="pvp",15,MAX(0.1,Skills!D5-IF(Skills!E5=TRUE,3.5,0)))*(1-IF(AND(ArtifactsInput!$M$27,Inputs!$B$4="Chapter Hunt"),CHOOSE(ArtifactsInput!$N$27+1,20,24,28,32,36,40),0)/100)))+1)),0)</f>
        <v/>
      </c>
      <c r="S2946">
        <f>IFERROR(O2946/N2946,0)</f>
        <v/>
      </c>
      <c r="T2946">
        <f>IF(C2946,(H2946*N2946*IF(AND(Inputs!$B$38&lt;&gt;"pvp",Inputs!$B$43&gt;0),((Skills!G5*((R2946-1)*IF(Skills!H5&gt;0,Skills!I5/Skills!H5,1)+IF(Skills!H5&gt;0,MIN(Skills!I5,MAX(0,MAX(0,Inputs!$B$43-B2977)-((R2946-1)*(IF(Inputs!$B$38="pvp",15,MAX(0.1,Skills!D5-IF(Skills!E5=TRUE,3.5,0)))*(1-IF(AND(ArtifactsInput!$M$27,Inputs!$B$4="Chapter Hunt"),CHOOSE(ArtifactsInput!$N$27+1,20,24,28,32,36,40),0)/100)))))/Skills!H5,1)))/Inputs!$B$43),G2946*Q2946))*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2946*(1-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2946*(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2946*(1-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2946*(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6">
        <f>IF(C2946,(H2946*N2946*IF(AND(Inputs!$B$38&lt;&gt;"pvp",Inputs!$B$43&gt;0),((Skills!G5*((R2946-1)*IF(Skills!H5&gt;0,Skills!I5/Skills!H5,1)+IF(Skills!H5&gt;0,MIN(Skills!I5,MAX(0,MAX(0,Inputs!$B$43-B2977)-((R2946-1)*(IF(Inputs!$B$38="pvp",15,MAX(0.1,Skills!D5-IF(Skills!E5=TRUE,3.5,0)))*(1-IF(AND(ArtifactsInput!$M$27,Inputs!$B$4="Chapter Hunt"),CHOOSE(ArtifactsInput!$N$27+1,20,24,28,32,36,40),0)/100)))))/Skills!H5,1)))/Inputs!$B$43),G2946*Q2946))*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7">
      <c r="A2947">
        <f>Skills!A6</f>
        <v/>
      </c>
      <c r="B2947">
        <f>Skills!B6</f>
        <v/>
      </c>
      <c r="C2947">
        <f>Inputs!$B$3&gt;=103</f>
        <v/>
      </c>
      <c r="D2947">
        <f>IF(Skills!C6=1,60+Inputs!$B$25+Inputs!$B$29,IF(Skills!C6=2,90+Inputs!$B$26+Inputs!$B$29,IF(Skills!C6=3,120+Inputs!$B$27+Inputs!$B$29,MAX(0,(Inputs!$B$3-100)*3)+Inputs!$B$28+Inputs!$B$29)))</f>
        <v/>
      </c>
      <c r="E2947">
        <f>INDEX(FactorTable!$B$2:$Y$301, MATCH(ROUND(MIN(300,MAX(1,D2947)),0), FactorTable!$A$2:$A$301,0), Skills!M6+1)</f>
        <v/>
      </c>
      <c r="F2947">
        <f>IF(Skills!N6=TRUE,(Skills!L6/10)*(E2947/1000),Skills!L6/10)+Skills!O6</f>
        <v/>
      </c>
      <c r="G2947">
        <f>Skills!G6*IF(Skills!H6&gt;0,Skills!I6/Skills!H6,1)</f>
        <v/>
      </c>
      <c r="H2947">
        <f>1-(1-Skills!J6/100)^Skills!K6</f>
        <v/>
      </c>
      <c r="I2947" t="inlineStr">
        <is>
          <t>1</t>
        </is>
      </c>
      <c r="J2947">
        <f>((Inputs!$B$6*(1+Inputs!$B$7/100))+(((Inputs!$B$12*(1+Inputs!$B$13/100))-(Inputs!$B$12*(1+Inputs!$B$13/100)))+0.25*(Inputs!$B$14-Inputs!$B$14))*(1+Inputs!$B$7/100))*(F2947/100)</f>
        <v/>
      </c>
      <c r="K2947">
        <f>J2947*(1+((Inputs!$B$12*(1+Inputs!$B$13/100))*0.01+Inputs!$B$14*0.0025)/100)*(1+Inputs!$B$15/100)*(1+Inputs!$B$16/100)*(5000/(6000+Inputs!$B$42*(1-(100*(1-(1-(Inputs!$B$19+0)/100)*(1-CHOOSE(ArtifactsInput!$N$40+1,5,6,7,8,9,10)/100)^(ArtifactsInput!$M$40-ArtifactsInput!$M$40)))/100)))*(1+(Inputs!$B$24+((C2966=TRUE)*(F2966-Calc!F25))+B2976)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2962=TRUE)*(F2962-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2964=TRUE)*(F2964-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2954=TRUE)*F2954*IF(Inputs!$B$3&gt;=110,7,5))+((C2956=TRUE)*F2956*IF(AND(Inputs!$B$38&lt;&gt;"pvp",Inputs!$B$43&gt;0),(((R2956-1)*(Skills!T15*(1+(Inputs!$B$34+(ArtifactsInput!$M$7-ArtifactsInput!$M$7)*CHOOSE(ArtifactsInput!$N$7+1,6,7.2,8.4,9.6,10.8,12))/100))+MIN((Skills!T15*(1+(Inputs!$B$34+(ArtifactsInput!$M$7-ArtifactsInput!$M$7)*CHOOSE(ArtifactsInput!$N$7+1,6,7.2,8.4,9.6,10.8,12))/100)),MAX(0,Inputs!$B$43-((R2956-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Hunt"),CHOOSE(ArtifactsInput!$N$35+1,15,18,21,24,27,30)*(1-EXP(-(0.2*B2972)*5)),0)+IF(AND(ArtifactsInput!$M$22,Inputs!$B$4&lt;&gt;"Chapter Hunt"),CHOOSE(ArtifactsInput!$N$22+1,10,12,14,16,18,20)*((0*(((0.15*B2972*5))^0/1)+1*(((0.15*B2972*5))^1/1)+2*(((0.15*B2972*5))^2/2)+3*(((0.15*B2972*5))^3/6)+4*(((0.15*B2972*5))^4/24)+5*(((0.15*B2972*5))^5/120))/((((0.15*B2972*5))^0/1)+(((0.15*B2972*5))^1/1)+(((0.15*B2972*5))^2/2)+(((0.15*B2972*5))^3/6)+(((0.15*B2972*5))^4/24)+(((0.15*B2972*5))^5/120))),0)))/100)*I2947)</f>
        <v/>
      </c>
      <c r="L2947">
        <f>K2947*(MIN(Inputs!$B$22+((C2963=TRUE)*(F2963-Calc!F22)),(Inputs!$B$23+((C2965=TRUE)*(F2965-Calc!F24))+(IF(ArtifactsInput!$M$15,CHOOSE(ArtifactsInput!$N$15+1,25,30,35,40,45,50)/100*(Inputs!$B$11-Inputs!$B$11),0))))/100+(Inputs!$B$23+((C2965=TRUE)*(F2965-Calc!F24))+(IF(ArtifactsInput!$M$15,CHOOSE(ArtifactsInput!$N$15+1,25,30,35,40,45,50)/100*(Inputs!$B$11-Inputs!$B$11),0)))/100)/2</f>
        <v/>
      </c>
      <c r="M2947">
        <f>L2947*(1+(Inputs!$B$10+0+B2975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7">
        <f>L2947*(1-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2947*(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7">
        <f>(1-Summary!$B$11)*T2947+Summary!$B$11*V2947</f>
        <v/>
      </c>
      <c r="P2947">
        <f>IF(B2980=0,0,O2947/B2980)</f>
        <v/>
      </c>
      <c r="Q2947">
        <f>IFERROR(1/(IF(Inputs!$B$38="pvp",15,MAX(0.1,Skills!D6-IF(Skills!E6=TRUE,3.5,0)))*(1-IF(AND(ArtifactsInput!$M$27,Inputs!$B$4="Chapter Hunt"),CHOOSE(ArtifactsInput!$N$27+1,20,24,28,32,36,40),0)/100)),0)</f>
        <v/>
      </c>
      <c r="R2947">
        <f>IF(AND(Inputs!$B$38&lt;&gt;"pvp",Inputs!$B$43&gt;0),IF(MAX(0,Inputs!$B$43-B2977)&lt;=0,0,(INT(MAX(0,Inputs!$B$43-B2977)/(IF(Inputs!$B$38="pvp",15,MAX(0.1,Skills!D6-IF(Skills!E6=TRUE,3.5,0)))*(1-IF(AND(ArtifactsInput!$M$27,Inputs!$B$4="Chapter Hunt"),CHOOSE(ArtifactsInput!$N$27+1,20,24,28,32,36,40),0)/100)))+1)),0)</f>
        <v/>
      </c>
      <c r="S2947">
        <f>IFERROR(O2947/N2947,0)</f>
        <v/>
      </c>
      <c r="T2947">
        <f>IF(C2947,(H2947*N2947*IF(AND(Inputs!$B$38&lt;&gt;"pvp",Inputs!$B$43&gt;0),((Skills!G6*((R2947-1)*IF(Skills!H6&gt;0,Skills!I6/Skills!H6,1)+IF(Skills!H6&gt;0,MIN(Skills!I6,MAX(0,MAX(0,Inputs!$B$43-B2977)-((R2947-1)*(IF(Inputs!$B$38="pvp",15,MAX(0.1,Skills!D6-IF(Skills!E6=TRUE,3.5,0)))*(1-IF(AND(ArtifactsInput!$M$27,Inputs!$B$4="Chapter Hunt"),CHOOSE(ArtifactsInput!$N$27+1,20,24,28,32,36,40),0)/100)))))/Skills!H6,1)))/Inputs!$B$43),G2947*Q2947))*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2947*(1-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2947*(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2947*(1-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2947*(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7">
        <f>IF(C2947,(H2947*N2947*IF(AND(Inputs!$B$38&lt;&gt;"pvp",Inputs!$B$43&gt;0),((Skills!G6*((R2947-1)*IF(Skills!H6&gt;0,Skills!I6/Skills!H6,1)+IF(Skills!H6&gt;0,MIN(Skills!I6,MAX(0,MAX(0,Inputs!$B$43-B2977)-((R2947-1)*(IF(Inputs!$B$38="pvp",15,MAX(0.1,Skills!D6-IF(Skills!E6=TRUE,3.5,0)))*(1-IF(AND(ArtifactsInput!$M$27,Inputs!$B$4="Chapter Hunt"),CHOOSE(ArtifactsInput!$N$27+1,20,24,28,32,36,40),0)/100)))))/Skills!H6,1)))/Inputs!$B$43),G2947*Q2947))*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8">
      <c r="A2948">
        <f>Skills!A7</f>
        <v/>
      </c>
      <c r="B2948">
        <f>Skills!B7</f>
        <v/>
      </c>
      <c r="C2948">
        <f>Inputs!$B$3&gt;=107</f>
        <v/>
      </c>
      <c r="D2948">
        <f>IF(Skills!C7=1,60+Inputs!$B$25+Inputs!$B$29,IF(Skills!C7=2,90+Inputs!$B$26+Inputs!$B$29,IF(Skills!C7=3,120+Inputs!$B$27+Inputs!$B$29,MAX(0,(Inputs!$B$3-100)*3)+Inputs!$B$28+Inputs!$B$29)))</f>
        <v/>
      </c>
      <c r="E2948">
        <f>INDEX(FactorTable!$B$2:$Y$301, MATCH(ROUND(MIN(300,MAX(1,D2948)),0), FactorTable!$A$2:$A$301,0), Skills!M7+1)</f>
        <v/>
      </c>
      <c r="F2948">
        <f>IF(Skills!N7=TRUE,(Skills!L7/10)*(E2948/1000),Skills!L7/10)+Skills!O7</f>
        <v/>
      </c>
      <c r="G2948">
        <f>Skills!G7*IF(Skills!H7&gt;0,Skills!I7/Skills!H7,1)</f>
        <v/>
      </c>
      <c r="H2948">
        <f>1-(1-Skills!J7/100)^Skills!K7</f>
        <v/>
      </c>
      <c r="I2948" t="inlineStr">
        <is>
          <t>1</t>
        </is>
      </c>
      <c r="J2948">
        <f>((Inputs!$B$6*(1+Inputs!$B$7/100))+(((Inputs!$B$12*(1+Inputs!$B$13/100))-(Inputs!$B$12*(1+Inputs!$B$13/100)))+0.25*(Inputs!$B$14-Inputs!$B$14))*(1+Inputs!$B$7/100))*(F2948/100)</f>
        <v/>
      </c>
      <c r="K2948">
        <f>J2948*(1+((Inputs!$B$12*(1+Inputs!$B$13/100))*0.01+Inputs!$B$14*0.0025)/100)*(1+Inputs!$B$15/100)*(1+Inputs!$B$16/100)*(5000/(6000+Inputs!$B$42*(1-(100*(1-(1-(Inputs!$B$19+0)/100)*(1-CHOOSE(ArtifactsInput!$N$40+1,5,6,7,8,9,10)/100)^(ArtifactsInput!$M$40-ArtifactsInput!$M$40)))/100)))*(1+(Inputs!$B$24+((C2966=TRUE)*(F2966-Calc!F25))+B2976)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2962=TRUE)*(F2962-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2964=TRUE)*(F2964-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2954=TRUE)*F2954*IF(Inputs!$B$3&gt;=110,7,5))+((C2956=TRUE)*F2956*IF(AND(Inputs!$B$38&lt;&gt;"pvp",Inputs!$B$43&gt;0),(((R2956-1)*(Skills!T15*(1+(Inputs!$B$34+(ArtifactsInput!$M$7-ArtifactsInput!$M$7)*CHOOSE(ArtifactsInput!$N$7+1,6,7.2,8.4,9.6,10.8,12))/100))+MIN((Skills!T15*(1+(Inputs!$B$34+(ArtifactsInput!$M$7-ArtifactsInput!$M$7)*CHOOSE(ArtifactsInput!$N$7+1,6,7.2,8.4,9.6,10.8,12))/100)),MAX(0,Inputs!$B$43-((R2956-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Hunt"),CHOOSE(ArtifactsInput!$N$35+1,15,18,21,24,27,30)*(1-EXP(-(0.2*B2972)*5)),0)+IF(AND(ArtifactsInput!$M$22,Inputs!$B$4&lt;&gt;"Chapter Hunt"),CHOOSE(ArtifactsInput!$N$22+1,10,12,14,16,18,20)*((0*(((0.15*B2972*5))^0/1)+1*(((0.15*B2972*5))^1/1)+2*(((0.15*B2972*5))^2/2)+3*(((0.15*B2972*5))^3/6)+4*(((0.15*B2972*5))^4/24)+5*(((0.15*B2972*5))^5/120))/((((0.15*B2972*5))^0/1)+(((0.15*B2972*5))^1/1)+(((0.15*B2972*5))^2/2)+(((0.15*B2972*5))^3/6)+(((0.15*B2972*5))^4/24)+(((0.15*B2972*5))^5/120))),0)))/100)*I2948)</f>
        <v/>
      </c>
      <c r="L2948">
        <f>K2948*(MIN(Inputs!$B$22+((C2963=TRUE)*(F2963-Calc!F22)),(Inputs!$B$23+((C2965=TRUE)*(F2965-Calc!F24))+(IF(ArtifactsInput!$M$15,CHOOSE(ArtifactsInput!$N$15+1,25,30,35,40,45,50)/100*(Inputs!$B$11-Inputs!$B$11),0))))/100+(Inputs!$B$23+((C2965=TRUE)*(F2965-Calc!F24))+(IF(ArtifactsInput!$M$15,CHOOSE(ArtifactsInput!$N$15+1,25,30,35,40,45,50)/100*(Inputs!$B$11-Inputs!$B$11),0)))/100)/2</f>
        <v/>
      </c>
      <c r="M2948">
        <f>L2948*(1+(Inputs!$B$10+0+B2975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8">
        <f>L2948*(1-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2948*(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8">
        <f>(1-Summary!$B$11)*T2948+Summary!$B$11*V2948</f>
        <v/>
      </c>
      <c r="P2948">
        <f>IF(B2980=0,0,O2948/B2980)</f>
        <v/>
      </c>
      <c r="Q2948">
        <f>IFERROR(1/(IF(Inputs!$B$38="pvp",15,MAX(0.1,Skills!D7-IF(Skills!E7=TRUE,3.5,0)))*(1-IF(AND(ArtifactsInput!$M$27,Inputs!$B$4="Chapter Hunt"),CHOOSE(ArtifactsInput!$N$27+1,20,24,28,32,36,40),0)/100)),0)</f>
        <v/>
      </c>
      <c r="R2948">
        <f>IF(AND(Inputs!$B$38&lt;&gt;"pvp",Inputs!$B$43&gt;0),IF(MAX(0,Inputs!$B$43-B2977)&lt;=0,0,(INT(MAX(0,Inputs!$B$43-B2977)/(IF(Inputs!$B$38="pvp",15,MAX(0.1,Skills!D7-IF(Skills!E7=TRUE,3.5,0)))*(1-IF(AND(ArtifactsInput!$M$27,Inputs!$B$4="Chapter Hunt"),CHOOSE(ArtifactsInput!$N$27+1,20,24,28,32,36,40),0)/100)))+1)),0)</f>
        <v/>
      </c>
      <c r="S2948">
        <f>IFERROR(O2948/N2948,0)</f>
        <v/>
      </c>
      <c r="T2948">
        <f>IF(C2948,(H2948*N2948*IF(AND(Inputs!$B$38&lt;&gt;"pvp",Inputs!$B$43&gt;0),((Skills!G7*((R2948-1)*IF(Skills!H7&gt;0,Skills!I7/Skills!H7,1)+IF(Skills!H7&gt;0,MIN(Skills!I7,MAX(0,MAX(0,Inputs!$B$43-B2977)-((R2948-1)*(IF(Inputs!$B$38="pvp",15,MAX(0.1,Skills!D7-IF(Skills!E7=TRUE,3.5,0)))*(1-IF(AND(ArtifactsInput!$M$27,Inputs!$B$4="Chapter Hunt"),CHOOSE(ArtifactsInput!$N$27+1,20,24,28,32,36,40),0)/100)))))/Skills!H7,1)))/Inputs!$B$43),G2948*Q2948))*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2948*(1-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2948*(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2948*(1-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2948*(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8">
        <f>IF(C2948,(H2948*N2948*IF(AND(Inputs!$B$38&lt;&gt;"pvp",Inputs!$B$43&gt;0),((Skills!G7*((R2948-1)*IF(Skills!H7&gt;0,Skills!I7/Skills!H7,1)+IF(Skills!H7&gt;0,MIN(Skills!I7,MAX(0,MAX(0,Inputs!$B$43-B2977)-((R2948-1)*(IF(Inputs!$B$38="pvp",15,MAX(0.1,Skills!D7-IF(Skills!E7=TRUE,3.5,0)))*(1-IF(AND(ArtifactsInput!$M$27,Inputs!$B$4="Chapter Hunt"),CHOOSE(ArtifactsInput!$N$27+1,20,24,28,32,36,40),0)/100)))))/Skills!H7,1)))/Inputs!$B$43),G2948*Q2948))*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9">
      <c r="A2949">
        <f>Skills!A8</f>
        <v/>
      </c>
      <c r="B2949">
        <f>Skills!B8</f>
        <v/>
      </c>
      <c r="C2949">
        <f>Inputs!$B$3&gt;=117</f>
        <v/>
      </c>
      <c r="D2949">
        <f>IF(Skills!C8=1,60+Inputs!$B$25+Inputs!$B$29,IF(Skills!C8=2,90+Inputs!$B$26+Inputs!$B$29,IF(Skills!C8=3,120+Inputs!$B$27+Inputs!$B$29,MAX(0,(Inputs!$B$3-100)*3)+Inputs!$B$28+Inputs!$B$29)))</f>
        <v/>
      </c>
      <c r="E2949">
        <f>INDEX(FactorTable!$B$2:$Y$301, MATCH(ROUND(MIN(300,MAX(1,D2949)),0), FactorTable!$A$2:$A$301,0), Skills!M8+1)</f>
        <v/>
      </c>
      <c r="F2949">
        <f>IF(Skills!N8=TRUE,(Skills!L8/10)*(E2949/1000),Skills!L8/10)+Skills!O8</f>
        <v/>
      </c>
      <c r="G2949">
        <f>Skills!G8*IF(Skills!H8&gt;0,Skills!I8/Skills!H8,1)</f>
        <v/>
      </c>
      <c r="H2949">
        <f>1-(1-Skills!J8/100)^Skills!K8</f>
        <v/>
      </c>
      <c r="I2949" t="inlineStr">
        <is>
          <t>1</t>
        </is>
      </c>
      <c r="J2949">
        <f>((Inputs!$B$6*(1+Inputs!$B$7/100))+(((Inputs!$B$12*(1+Inputs!$B$13/100))-(Inputs!$B$12*(1+Inputs!$B$13/100)))+0.25*(Inputs!$B$14-Inputs!$B$14))*(1+Inputs!$B$7/100))*(F2949/100)</f>
        <v/>
      </c>
      <c r="K2949">
        <f>J2949*(1+((Inputs!$B$12*(1+Inputs!$B$13/100))*0.01+Inputs!$B$14*0.0025)/100)*(1+Inputs!$B$15/100)*(1+Inputs!$B$16/100)*(5000/(6000+Inputs!$B$42*(1-(100*(1-(1-(Inputs!$B$19+0)/100)*(1-CHOOSE(ArtifactsInput!$N$40+1,5,6,7,8,9,10)/100)^(ArtifactsInput!$M$40-ArtifactsInput!$M$40)))/100)))*(1+(Inputs!$B$24+((C2966=TRUE)*(F2966-Calc!F25))+B2976)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2962=TRUE)*(F2962-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2964=TRUE)*(F2964-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2954=TRUE)*F2954*IF(Inputs!$B$3&gt;=110,7,5))+((C2956=TRUE)*F2956*IF(AND(Inputs!$B$38&lt;&gt;"pvp",Inputs!$B$43&gt;0),(((R2956-1)*(Skills!T15*(1+(Inputs!$B$34+(ArtifactsInput!$M$7-ArtifactsInput!$M$7)*CHOOSE(ArtifactsInput!$N$7+1,6,7.2,8.4,9.6,10.8,12))/100))+MIN((Skills!T15*(1+(Inputs!$B$34+(ArtifactsInput!$M$7-ArtifactsInput!$M$7)*CHOOSE(ArtifactsInput!$N$7+1,6,7.2,8.4,9.6,10.8,12))/100)),MAX(0,Inputs!$B$43-((R2956-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Hunt"),CHOOSE(ArtifactsInput!$N$35+1,15,18,21,24,27,30)*(1-EXP(-(0.2*B2972)*5)),0)+IF(AND(ArtifactsInput!$M$22,Inputs!$B$4&lt;&gt;"Chapter Hunt"),CHOOSE(ArtifactsInput!$N$22+1,10,12,14,16,18,20)*((0*(((0.15*B2972*5))^0/1)+1*(((0.15*B2972*5))^1/1)+2*(((0.15*B2972*5))^2/2)+3*(((0.15*B2972*5))^3/6)+4*(((0.15*B2972*5))^4/24)+5*(((0.15*B2972*5))^5/120))/((((0.15*B2972*5))^0/1)+(((0.15*B2972*5))^1/1)+(((0.15*B2972*5))^2/2)+(((0.15*B2972*5))^3/6)+(((0.15*B2972*5))^4/24)+(((0.15*B2972*5))^5/120))),0)))/100)*I2949)</f>
        <v/>
      </c>
      <c r="L2949">
        <f>K2949*(MIN(Inputs!$B$22+((C2963=TRUE)*(F2963-Calc!F22)),(Inputs!$B$23+((C2965=TRUE)*(F2965-Calc!F24))+(IF(ArtifactsInput!$M$15,CHOOSE(ArtifactsInput!$N$15+1,25,30,35,40,45,50)/100*(Inputs!$B$11-Inputs!$B$11),0))))/100+(Inputs!$B$23+((C2965=TRUE)*(F2965-Calc!F24))+(IF(ArtifactsInput!$M$15,CHOOSE(ArtifactsInput!$N$15+1,25,30,35,40,45,50)/100*(Inputs!$B$11-Inputs!$B$11),0)))/100)/2</f>
        <v/>
      </c>
      <c r="M2949">
        <f>L2949*(1+(Inputs!$B$10+0+B2975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9">
        <f>L2949*(1-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2949*(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9">
        <f>(1-Summary!$B$11)*T2949+Summary!$B$11*V2949</f>
        <v/>
      </c>
      <c r="P2949">
        <f>IF(B2980=0,0,O2949/B2980)</f>
        <v/>
      </c>
      <c r="Q2949">
        <f>IFERROR(1/(IF(Inputs!$B$38="pvp",15,MAX(0.1,Skills!D8-IF(Skills!E8=TRUE,3.5,0)))*(1-IF(AND(ArtifactsInput!$M$27,Inputs!$B$4="Chapter Hunt"),CHOOSE(ArtifactsInput!$N$27+1,20,24,28,32,36,40),0)/100)),0)</f>
        <v/>
      </c>
      <c r="R2949">
        <f>IF(AND(Inputs!$B$38&lt;&gt;"pvp",Inputs!$B$43&gt;0),IF(MAX(0,Inputs!$B$43-B2977)&lt;=0,0,(INT(MAX(0,Inputs!$B$43-B2977)/(IF(Inputs!$B$38="pvp",15,MAX(0.1,Skills!D8-IF(Skills!E8=TRUE,3.5,0)))*(1-IF(AND(ArtifactsInput!$M$27,Inputs!$B$4="Chapter Hunt"),CHOOSE(ArtifactsInput!$N$27+1,20,24,28,32,36,40),0)/100)))+1)),0)</f>
        <v/>
      </c>
      <c r="S2949">
        <f>IFERROR(O2949/N2949,0)</f>
        <v/>
      </c>
      <c r="T2949">
        <f>IF(C2949,(H2949*N2949*IF(AND(Inputs!$B$38&lt;&gt;"pvp",Inputs!$B$43&gt;0),((Skills!G8*((R2949-1)*IF(Skills!H8&gt;0,Skills!I8/Skills!H8,1)+IF(Skills!H8&gt;0,MIN(Skills!I8,MAX(0,MAX(0,Inputs!$B$43-B2977)-((R2949-1)*(IF(Inputs!$B$38="pvp",15,MAX(0.1,Skills!D8-IF(Skills!E8=TRUE,3.5,0)))*(1-IF(AND(ArtifactsInput!$M$27,Inputs!$B$4="Chapter Hunt"),CHOOSE(ArtifactsInput!$N$27+1,20,24,28,32,36,40),0)/100)))))/Skills!H8,1)))/Inputs!$B$43),G2949*Q2949))*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2949*(1-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2949*(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2949*(1-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2949*(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49">
        <f>IF(C2949,(H2949*N2949*IF(AND(Inputs!$B$38&lt;&gt;"pvp",Inputs!$B$43&gt;0),((Skills!G8*((R2949-1)*IF(Skills!H8&gt;0,Skills!I8/Skills!H8,1)+IF(Skills!H8&gt;0,MIN(Skills!I8,MAX(0,MAX(0,Inputs!$B$43-B2977)-((R2949-1)*(IF(Inputs!$B$38="pvp",15,MAX(0.1,Skills!D8-IF(Skills!E8=TRUE,3.5,0)))*(1-IF(AND(ArtifactsInput!$M$27,Inputs!$B$4="Chapter Hunt"),CHOOSE(ArtifactsInput!$N$27+1,20,24,28,32,36,40),0)/100)))))/Skills!H8,1)))/Inputs!$B$43),G2949*Q2949))*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0">
      <c r="A2950">
        <f>Skills!A9</f>
        <v/>
      </c>
      <c r="B2950">
        <f>Skills!B9</f>
        <v/>
      </c>
      <c r="C2950">
        <f>Inputs!$B$3&gt;=69</f>
        <v/>
      </c>
      <c r="D2950">
        <f>IF(Skills!C9=1,60+Inputs!$B$25+Inputs!$B$29,IF(Skills!C9=2,90+Inputs!$B$26+Inputs!$B$29,IF(Skills!C9=3,120+Inputs!$B$27+Inputs!$B$29,MAX(0,(Inputs!$B$3-100)*3)+Inputs!$B$28+Inputs!$B$29)))</f>
        <v/>
      </c>
      <c r="E2950">
        <f>INDEX(FactorTable!$B$2:$Y$301, MATCH(ROUND(MIN(300,MAX(1,D2950)),0), FactorTable!$A$2:$A$301,0), Skills!M9+1)</f>
        <v/>
      </c>
      <c r="F2950">
        <f>IF(Skills!N9=TRUE,(Skills!L9/10)*(E2950/1000),Skills!L9/10)+Skills!O9</f>
        <v/>
      </c>
      <c r="G2950">
        <f>Skills!G9*IF(Skills!H9&gt;0,Skills!I9/Skills!H9,1)</f>
        <v/>
      </c>
      <c r="H2950">
        <f>1-(1-Skills!J9/100)^Skills!K9</f>
        <v/>
      </c>
      <c r="I2950" t="inlineStr">
        <is>
          <t>1</t>
        </is>
      </c>
      <c r="J2950">
        <f>((Inputs!$B$6*(1+Inputs!$B$7/100))+(((Inputs!$B$12*(1+Inputs!$B$13/100))-(Inputs!$B$12*(1+Inputs!$B$13/100)))+0.25*(Inputs!$B$14-Inputs!$B$14))*(1+Inputs!$B$7/100))*(F2950/100)</f>
        <v/>
      </c>
      <c r="K2950">
        <f>J2950*(1+((Inputs!$B$12*(1+Inputs!$B$13/100))*0.01+Inputs!$B$14*0.0025)/100)*(1+Inputs!$B$15/100)*(1+Inputs!$B$16/100)*(5000/(6000+Inputs!$B$42*(1-(100*(1-(1-(Inputs!$B$19+0)/100)*(1-CHOOSE(ArtifactsInput!$N$40+1,5,6,7,8,9,10)/100)^(ArtifactsInput!$M$40-ArtifactsInput!$M$40)))/100)))*(1+(Inputs!$B$24+((C2966=TRUE)*(F2966-Calc!F25))+B2976)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2953=TRUE,F2953,0)/100)*(1+IF(Skills!A9="ENHANCED_RAGING_BLOW",IF(Inputs!$B$3&gt;=134,MAX(0,IF(Inputs!$B$3&gt;=110,7,5)-5)*50,0),0)/100)*(1+(IF(Skills!A9="RAGING_BLOW",Inputs!$B$17+((C2962=TRUE)*(F2962-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2964=TRUE)*(F2964-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2954=TRUE)*F2954*IF(Inputs!$B$3&gt;=110,7,5))+((C2956=TRUE)*F2956*IF(AND(Inputs!$B$38&lt;&gt;"pvp",Inputs!$B$43&gt;0),(((R2956-1)*(Skills!T15*(1+(Inputs!$B$34+(ArtifactsInput!$M$7-ArtifactsInput!$M$7)*CHOOSE(ArtifactsInput!$N$7+1,6,7.2,8.4,9.6,10.8,12))/100))+MIN((Skills!T15*(1+(Inputs!$B$34+(ArtifactsInput!$M$7-ArtifactsInput!$M$7)*CHOOSE(ArtifactsInput!$N$7+1,6,7.2,8.4,9.6,10.8,12))/100)),MAX(0,Inputs!$B$43-((R2956-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Hunt"),CHOOSE(ArtifactsInput!$N$35+1,15,18,21,24,27,30)*(1-EXP(-(0.2*B2972)*5)),0)+IF(AND(ArtifactsInput!$M$22,Inputs!$B$4&lt;&gt;"Chapter Hunt"),CHOOSE(ArtifactsInput!$N$22+1,10,12,14,16,18,20)*((0*(((0.15*B2972*5))^0/1)+1*(((0.15*B2972*5))^1/1)+2*(((0.15*B2972*5))^2/2)+3*(((0.15*B2972*5))^3/6)+4*(((0.15*B2972*5))^4/24)+5*(((0.15*B2972*5))^5/120))/((((0.15*B2972*5))^0/1)+(((0.15*B2972*5))^1/1)+(((0.15*B2972*5))^2/2)+(((0.15*B2972*5))^3/6)+(((0.15*B2972*5))^4/24)+(((0.15*B2972*5))^5/120))),0)))/100)*I2950)</f>
        <v/>
      </c>
      <c r="L2950">
        <f>K2950*(MIN(Inputs!$B$22+((C2963=TRUE)*(F2963-Calc!F22)),(Inputs!$B$23+((C2965=TRUE)*(F2965-Calc!F24))+(IF(ArtifactsInput!$M$15,CHOOSE(ArtifactsInput!$N$15+1,25,30,35,40,45,50)/100*(Inputs!$B$11-Inputs!$B$11),0))))/100+(Inputs!$B$23+((C2965=TRUE)*(F2965-Calc!F24))+(IF(ArtifactsInput!$M$15,CHOOSE(ArtifactsInput!$N$15+1,25,30,35,40,45,50)/100*(Inputs!$B$11-Inputs!$B$11),0)))/100)/2</f>
        <v/>
      </c>
      <c r="M2950">
        <f>L2950*(1+(Inputs!$B$10+0+B2975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0">
        <f>L2950*(1-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2950*(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0">
        <f>(1-Summary!$B$11)*T2950+Summary!$B$11*V2950</f>
        <v/>
      </c>
      <c r="P2950">
        <f>IF(B2980=0,0,O2950/B2980)</f>
        <v/>
      </c>
      <c r="Q2950">
        <f>IFERROR(1/(IF(Inputs!$B$38="pvp",15,MAX(0.1,Skills!D9-IF(Skills!E9=TRUE,3.5,0)))*(1-IF(AND(ArtifactsInput!$M$27,Inputs!$B$4="Chapter Hunt"),CHOOSE(ArtifactsInput!$N$27+1,20,24,28,32,36,40),0)/100)),0)</f>
        <v/>
      </c>
      <c r="R2950">
        <f>IF(AND(Inputs!$B$38&lt;&gt;"pvp",Inputs!$B$43&gt;0),IF(MAX(0,Inputs!$B$43-B2977)&lt;=0,0,(INT(MAX(0,Inputs!$B$43-B2977)/(IF(Inputs!$B$38="pvp",15,MAX(0.1,Skills!D9-IF(Skills!E9=TRUE,3.5,0)))*(1-IF(AND(ArtifactsInput!$M$27,Inputs!$B$4="Chapter Hunt"),CHOOSE(ArtifactsInput!$N$27+1,20,24,28,32,36,40),0)/100)))+1)),0)</f>
        <v/>
      </c>
      <c r="S2950">
        <f>IFERROR(O2950/N2950,0)</f>
        <v/>
      </c>
      <c r="T2950">
        <f>IF(C2950,(H2950*N2950*IF(AND(Inputs!$B$38&lt;&gt;"pvp",Inputs!$B$43&gt;0),((Skills!G9*((R2950-1)*IF(Skills!H9&gt;0,Skills!I9/Skills!H9,1)+IF(Skills!H9&gt;0,MIN(Skills!I9,MAX(0,MAX(0,Inputs!$B$43-B2977)-((R2950-1)*(IF(Inputs!$B$38="pvp",15,MAX(0.1,Skills!D9-IF(Skills!E9=TRUE,3.5,0)))*(1-IF(AND(ArtifactsInput!$M$27,Inputs!$B$4="Chapter Hunt"),CHOOSE(ArtifactsInput!$N$27+1,20,24,28,32,36,40),0)/100)))))/Skills!H9,1)))/Inputs!$B$43),G2950*Q2950))*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2950*(1-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2950*(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2950*(1-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2950*(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50">
        <f>IF(C2950,(H2950*N2950*IF(AND(Inputs!$B$38&lt;&gt;"pvp",Inputs!$B$43&gt;0),((Skills!G9*((R2950-1)*IF(Skills!H9&gt;0,Skills!I9/Skills!H9,1)+IF(Skills!H9&gt;0,MIN(Skills!I9,MAX(0,MAX(0,Inputs!$B$43-B2977)-((R2950-1)*(IF(Inputs!$B$38="pvp",15,MAX(0.1,Skills!D9-IF(Skills!E9=TRUE,3.5,0)))*(1-IF(AND(ArtifactsInput!$M$27,Inputs!$B$4="Chapter Hunt"),CHOOSE(ArtifactsInput!$N$27+1,20,24,28,32,36,40),0)/100)))))/Skills!H9,1)))/Inputs!$B$43),G2950*Q2950))*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1">
      <c r="A2951">
        <f>Skills!A10</f>
        <v/>
      </c>
      <c r="B2951">
        <f>Skills!B10</f>
        <v/>
      </c>
      <c r="C2951">
        <f>Inputs!$B$3&gt;=63</f>
        <v/>
      </c>
      <c r="D2951">
        <f>IF(Skills!C10=1,60+Inputs!$B$25+Inputs!$B$29,IF(Skills!C10=2,90+Inputs!$B$26+Inputs!$B$29,IF(Skills!C10=3,120+Inputs!$B$27+Inputs!$B$29,MAX(0,(Inputs!$B$3-100)*3)+Inputs!$B$28+Inputs!$B$29)))</f>
        <v/>
      </c>
      <c r="E2951">
        <f>INDEX(FactorTable!$B$2:$Y$301, MATCH(ROUND(MIN(300,MAX(1,D2951)),0), FactorTable!$A$2:$A$301,0), Skills!M10+1)</f>
        <v/>
      </c>
      <c r="F2951">
        <f>IF(Skills!N10=TRUE,(Skills!L10/10)*(E2951/1000),Skills!L10/10)+Skills!O10</f>
        <v/>
      </c>
      <c r="G2951">
        <f>Skills!G10*IF(Skills!H10&gt;0,Skills!I10/Skills!H10,1)</f>
        <v/>
      </c>
      <c r="H2951">
        <f>1-(1-Skills!J10/100)^Skills!K10</f>
        <v/>
      </c>
      <c r="I2951" t="inlineStr">
        <is>
          <t>1</t>
        </is>
      </c>
      <c r="J2951">
        <f>((Inputs!$B$6*(1+Inputs!$B$7/100))+(((Inputs!$B$12*(1+Inputs!$B$13/100))-(Inputs!$B$12*(1+Inputs!$B$13/100)))+0.25*(Inputs!$B$14-Inputs!$B$14))*(1+Inputs!$B$7/100))*(F2951/100)</f>
        <v/>
      </c>
      <c r="K2951">
        <f>J2951*(1+((Inputs!$B$12*(1+Inputs!$B$13/100))*0.01+Inputs!$B$14*0.0025)/100)*(1+Inputs!$B$15/100)*(1+Inputs!$B$16/100)*(5000/(6000+Inputs!$B$42*(1-(100*(1-(1-(Inputs!$B$19+0)/100)*(1-CHOOSE(ArtifactsInput!$N$40+1,5,6,7,8,9,10)/100)^(ArtifactsInput!$M$40-ArtifactsInput!$M$40)))/100)))*(1+(Inputs!$B$24+((C2966=TRUE)*(F2966-Calc!F25))+B2976)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2953=TRUE,F2953,0)/100)*(1+IF(Skills!A10="ENHANCED_RAGING_BLOW",IF(Inputs!$B$3&gt;=134,MAX(0,IF(Inputs!$B$3&gt;=110,7,5)-5)*50,0),0)/100)*(1+(IF(Skills!A10="RAGING_BLOW",Inputs!$B$17+((C2962=TRUE)*(F2962-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2964=TRUE)*(F2964-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2954=TRUE)*F2954*IF(Inputs!$B$3&gt;=110,7,5))+((C2956=TRUE)*F2956*IF(AND(Inputs!$B$38&lt;&gt;"pvp",Inputs!$B$43&gt;0),(((R2956-1)*(Skills!T15*(1+(Inputs!$B$34+(ArtifactsInput!$M$7-ArtifactsInput!$M$7)*CHOOSE(ArtifactsInput!$N$7+1,6,7.2,8.4,9.6,10.8,12))/100))+MIN((Skills!T15*(1+(Inputs!$B$34+(ArtifactsInput!$M$7-ArtifactsInput!$M$7)*CHOOSE(ArtifactsInput!$N$7+1,6,7.2,8.4,9.6,10.8,12))/100)),MAX(0,Inputs!$B$43-((R2956-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Hunt"),CHOOSE(ArtifactsInput!$N$35+1,15,18,21,24,27,30)*(1-EXP(-(0.2*B2972)*5)),0)+IF(AND(ArtifactsInput!$M$22,Inputs!$B$4&lt;&gt;"Chapter Hunt"),CHOOSE(ArtifactsInput!$N$22+1,10,12,14,16,18,20)*((0*(((0.15*B2972*5))^0/1)+1*(((0.15*B2972*5))^1/1)+2*(((0.15*B2972*5))^2/2)+3*(((0.15*B2972*5))^3/6)+4*(((0.15*B2972*5))^4/24)+5*(((0.15*B2972*5))^5/120))/((((0.15*B2972*5))^0/1)+(((0.15*B2972*5))^1/1)+(((0.15*B2972*5))^2/2)+(((0.15*B2972*5))^3/6)+(((0.15*B2972*5))^4/24)+(((0.15*B2972*5))^5/120))),0)))/100)*I2951)</f>
        <v/>
      </c>
      <c r="L2951">
        <f>K2951*(MIN(Inputs!$B$22+((C2963=TRUE)*(F2963-Calc!F22)),(Inputs!$B$23+((C2965=TRUE)*(F2965-Calc!F24))+(IF(ArtifactsInput!$M$15,CHOOSE(ArtifactsInput!$N$15+1,25,30,35,40,45,50)/100*(Inputs!$B$11-Inputs!$B$11),0))))/100+(Inputs!$B$23+((C2965=TRUE)*(F2965-Calc!F24))+(IF(ArtifactsInput!$M$15,CHOOSE(ArtifactsInput!$N$15+1,25,30,35,40,45,50)/100*(Inputs!$B$11-Inputs!$B$11),0)))/100)/2</f>
        <v/>
      </c>
      <c r="M2951">
        <f>L2951*(1+(Inputs!$B$10+0+B2975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1">
        <f>L2951*(1-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2951*(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1">
        <f>(1-Summary!$B$11)*T2951+Summary!$B$11*V2951</f>
        <v/>
      </c>
      <c r="P2951">
        <f>IF(B2980=0,0,O2951/B2980)</f>
        <v/>
      </c>
      <c r="Q2951">
        <f>IFERROR(1/(IF(Inputs!$B$38="pvp",15,MAX(0.1,Skills!D10-IF(Skills!E10=TRUE,3.5,0)))*(1-IF(AND(ArtifactsInput!$M$27,Inputs!$B$4="Chapter Hunt"),CHOOSE(ArtifactsInput!$N$27+1,20,24,28,32,36,40),0)/100)),0)</f>
        <v/>
      </c>
      <c r="R2951">
        <f>IF(AND(Inputs!$B$38&lt;&gt;"pvp",Inputs!$B$43&gt;0),IF(MAX(0,Inputs!$B$43-B2977)&lt;=0,0,(INT(MAX(0,Inputs!$B$43-B2977)/(IF(Inputs!$B$38="pvp",15,MAX(0.1,Skills!D10-IF(Skills!E10=TRUE,3.5,0)))*(1-IF(AND(ArtifactsInput!$M$27,Inputs!$B$4="Chapter Hunt"),CHOOSE(ArtifactsInput!$N$27+1,20,24,28,32,36,40),0)/100)))+1)),0)</f>
        <v/>
      </c>
      <c r="S2951">
        <f>IFERROR(O2951/N2951,0)</f>
        <v/>
      </c>
      <c r="T2951">
        <f>IF(C2951,(H2951*N2951*IF(AND(Inputs!$B$38&lt;&gt;"pvp",Inputs!$B$43&gt;0),((Skills!G10*((R2951-1)*IF(Skills!H10&gt;0,Skills!I10/Skills!H10,1)+IF(Skills!H10&gt;0,MIN(Skills!I10,MAX(0,MAX(0,Inputs!$B$43-B2977)-((R2951-1)*(IF(Inputs!$B$38="pvp",15,MAX(0.1,Skills!D10-IF(Skills!E10=TRUE,3.5,0)))*(1-IF(AND(ArtifactsInput!$M$27,Inputs!$B$4="Chapter Hunt"),CHOOSE(ArtifactsInput!$N$27+1,20,24,28,32,36,40),0)/100)))))/Skills!H10,1)))/Inputs!$B$43),G2951*Q2951))*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2951*(1-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2951*(1-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51">
        <f>IF(C2951,(H2951*N2951*IF(AND(Inputs!$B$38&lt;&gt;"pvp",Inputs!$B$43&gt;0),((Skills!G10*((R2951-1)*IF(Skills!H10&gt;0,Skills!I10/Skills!H10,1)+IF(Skills!H10&gt;0,MIN(Skills!I10,MAX(0,MAX(0,Inputs!$B$43-B2977)-((R2951-1)*(IF(Inputs!$B$38="pvp",15,MAX(0.1,Skills!D10-IF(Skills!E10=TRUE,3.5,0)))*(1-IF(AND(ArtifactsInput!$M$27,Inputs!$B$4="Chapter Hunt"),CHOOSE(ArtifactsInput!$N$27+1,20,24,28,32,36,40),0)/100)))))/Skills!H10,1)))/Inputs!$B$43),G2951*Q2951))*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2">
      <c r="A2952">
        <f>Skills!A11</f>
        <v/>
      </c>
      <c r="B2952">
        <f>Skills!B11</f>
        <v/>
      </c>
      <c r="C2952">
        <f>Inputs!$B$3&gt;=35</f>
        <v/>
      </c>
      <c r="D2952">
        <f>IF(Skills!C11=1,60+Inputs!$B$25+Inputs!$B$29,IF(Skills!C11=2,90+Inputs!$B$26+Inputs!$B$29,IF(Skills!C11=3,120+Inputs!$B$27+Inputs!$B$29,MAX(0,(Inputs!$B$3-100)*3)+Inputs!$B$28+Inputs!$B$29)))</f>
        <v/>
      </c>
      <c r="E2952">
        <f>INDEX(FactorTable!$B$2:$Y$301, MATCH(ROUND(MIN(300,MAX(1,D2952)),0), FactorTable!$A$2:$A$301,0), Skills!M11+1)</f>
        <v/>
      </c>
      <c r="F2952">
        <f>IF(Skills!N11=TRUE,(Skills!L11/10)*(E2952/1000),Skills!L11/10)+Skills!O11</f>
        <v/>
      </c>
      <c r="G2952">
        <f>Skills!G11*IF(Skills!H11&gt;0,Skills!I11/Skills!H11,1)</f>
        <v/>
      </c>
      <c r="H2952">
        <f>1-(1-Skills!J11/100)^Skills!K11</f>
        <v/>
      </c>
      <c r="I2952" t="inlineStr">
        <is>
          <t>1</t>
        </is>
      </c>
      <c r="J2952">
        <f>((Inputs!$B$6*(1+Inputs!$B$7/100))+(((Inputs!$B$12*(1+Inputs!$B$13/100))-(Inputs!$B$12*(1+Inputs!$B$13/100)))+0.25*(Inputs!$B$14-Inputs!$B$14))*(1+Inputs!$B$7/100))*(F2952/100)</f>
        <v/>
      </c>
      <c r="K2952">
        <f>J2952*(1+((Inputs!$B$12*(1+Inputs!$B$13/100))*0.01+Inputs!$B$14*0.0025)/100)*(1+Inputs!$B$15/100)*(1+Inputs!$B$16/100)*(5000/(6000+Inputs!$B$42*(1-(100*(1-(1-(Inputs!$B$19+0)/100)*(1-CHOOSE(ArtifactsInput!$N$40+1,5,6,7,8,9,10)/100)^(ArtifactsInput!$M$40-ArtifactsInput!$M$40)))/100)))*(1+(Inputs!$B$24+((C2966=TRUE)*(F2966-Calc!F25))+B2976)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2953=TRUE,F2953,0)/100)*(1+IF(Skills!A11="ENHANCED_RAGING_BLOW",IF(Inputs!$B$3&gt;=134,MAX(0,IF(Inputs!$B$3&gt;=110,7,5)-5)*50,0),0)/100)*(1+(IF(Skills!A11="RAGING_BLOW",Inputs!$B$17+((C2962=TRUE)*(F2962-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2964=TRUE)*(F2964-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2954=TRUE)*F2954*IF(Inputs!$B$3&gt;=110,7,5))+((C2956=TRUE)*F2956*IF(AND(Inputs!$B$38&lt;&gt;"pvp",Inputs!$B$43&gt;0),(((R2956-1)*(Skills!T15*(1+(Inputs!$B$34+(ArtifactsInput!$M$7-ArtifactsInput!$M$7)*CHOOSE(ArtifactsInput!$N$7+1,6,7.2,8.4,9.6,10.8,12))/100))+MIN((Skills!T15*(1+(Inputs!$B$34+(ArtifactsInput!$M$7-ArtifactsInput!$M$7)*CHOOSE(ArtifactsInput!$N$7+1,6,7.2,8.4,9.6,10.8,12))/100)),MAX(0,Inputs!$B$43-((R2956-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Hunt"),CHOOSE(ArtifactsInput!$N$35+1,15,18,21,24,27,30)*(1-EXP(-(0.2*B2972)*5)),0)+IF(AND(ArtifactsInput!$M$22,Inputs!$B$4&lt;&gt;"Chapter Hunt"),CHOOSE(ArtifactsInput!$N$22+1,10,12,14,16,18,20)*((0*(((0.15*B2972*5))^0/1)+1*(((0.15*B2972*5))^1/1)+2*(((0.15*B2972*5))^2/2)+3*(((0.15*B2972*5))^3/6)+4*(((0.15*B2972*5))^4/24)+5*(((0.15*B2972*5))^5/120))/((((0.15*B2972*5))^0/1)+(((0.15*B2972*5))^1/1)+(((0.15*B2972*5))^2/2)+(((0.15*B2972*5))^3/6)+(((0.15*B2972*5))^4/24)+(((0.15*B2972*5))^5/120))),0)))/100)*I2952)</f>
        <v/>
      </c>
      <c r="L2952">
        <f>K2952*(MIN(Inputs!$B$22+((C2963=TRUE)*(F2963-Calc!F22)),(Inputs!$B$23+((C2965=TRUE)*(F2965-Calc!F24))+(IF(ArtifactsInput!$M$15,CHOOSE(ArtifactsInput!$N$15+1,25,30,35,40,45,50)/100*(Inputs!$B$11-Inputs!$B$11),0))))/100+(Inputs!$B$23+((C2965=TRUE)*(F2965-Calc!F24))+(IF(ArtifactsInput!$M$15,CHOOSE(ArtifactsInput!$N$15+1,25,30,35,40,45,50)/100*(Inputs!$B$11-Inputs!$B$11),0)))/100)/2</f>
        <v/>
      </c>
      <c r="M2952">
        <f>L2952*(1+(Inputs!$B$10+0+B2975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2">
        <f>L2952*(1-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2952*(MIN((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2">
        <f>(1-Summary!$B$11)*T2952+Summary!$B$11*V2952</f>
        <v/>
      </c>
      <c r="P2952">
        <f>IF(B2980=0,0,O2952/B2980)</f>
        <v/>
      </c>
      <c r="Q2952">
        <f>IFERROR(1/(IF(Inputs!$B$38="pvp",15,MAX(0.1,Skills!D11-IF(Skills!E11=TRUE,3.5,0)))*(1-IF(AND(ArtifactsInput!$M$27,Inputs!$B$4="Chapter Hunt"),CHOOSE(ArtifactsInput!$N$27+1,20,24,28,32,36,40),0)/100)),0)</f>
        <v/>
      </c>
      <c r="R2952">
        <f>IF(AND(Inputs!$B$38&lt;&gt;"pvp",Inputs!$B$43&gt;0),IF(MAX(0,Inputs!$B$43-B2977)&lt;=0,0,(INT(MAX(0,Inputs!$B$43-B2977)/(IF(Inputs!$B$38="pvp",15,MAX(0.1,Skills!D11-IF(Skills!E11=TRUE,3.5,0)))*(1-IF(AND(ArtifactsInput!$M$27,Inputs!$B$4="Chapter Hunt"),CHOOSE(ArtifactsInput!$N$27+1,20,24,28,32,36,40),0)/100)))+1)),0)</f>
        <v/>
      </c>
      <c r="S2952">
        <f>IFERROR(O2952/N2952,0)</f>
        <v/>
      </c>
      <c r="T2952">
        <f>IF(C2952,(H2952*N2952*IF(AND(Inputs!$B$38&lt;&gt;"pvp",Inputs!$B$43&gt;0),((Skills!G11*((R2952-1)*IF(Skills!H11&gt;0,Skills!I11/Skills!H11,1)+IF(Skills!H11&gt;0,MIN(Skills!I11,MAX(0,MAX(0,Inputs!$B$43-B2977)-((R2952-1)*(IF(Inputs!$B$38="pvp",15,MAX(0.1,Skills!D11-IF(Skills!E11=TRUE,3.5,0)))*(1-IF(AND(ArtifactsInput!$M$27,Inputs!$B$4="Chapter Hunt"),CHOOSE(ArtifactsInput!$N$27+1,20,24,28,32,36,40),0)/100)))))/Skills!H11,1)))/Inputs!$B$43),G2952*Q2952))*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2952*(1-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2952*(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2952*(1-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2952*(MIN(100,(Inputs!$B$9+((C2967=TRUE)*(F2967-Calc!F26))+B2970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52">
        <f>IF(C2952,(H2952*N2952*IF(AND(Inputs!$B$38&lt;&gt;"pvp",Inputs!$B$43&gt;0),((Skills!G11*((R2952-1)*IF(Skills!H11&gt;0,Skills!I11/Skills!H11,1)+IF(Skills!H11&gt;0,MIN(Skills!I11,MAX(0,MAX(0,Inputs!$B$43-B2977)-((R2952-1)*(IF(Inputs!$B$38="pvp",15,MAX(0.1,Skills!D11-IF(Skills!E11=TRUE,3.5,0)))*(1-IF(AND(ArtifactsInput!$M$27,Inputs!$B$4="Chapter Hunt"),CHOOSE(ArtifactsInput!$N$27+1,20,24,28,32,36,40),0)/100)))))/Skills!H11,1)))/Inputs!$B$43),G2952*Q2952))*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3">
      <c r="A2953">
        <f>Skills!A12</f>
        <v/>
      </c>
      <c r="B2953">
        <f>Skills!B12</f>
        <v/>
      </c>
      <c r="C2953">
        <f>Inputs!$B$3&gt;=100</f>
        <v/>
      </c>
      <c r="D2953">
        <f>IF(Skills!C12=1,60+Inputs!$B$25+Inputs!$B$29,IF(Skills!C12=2,90+Inputs!$B$26+Inputs!$B$29,IF(Skills!C12=3,120+Inputs!$B$27+Inputs!$B$29,MAX(0,(Inputs!$B$3-100)*3)+Inputs!$B$28+Inputs!$B$29)))</f>
        <v/>
      </c>
      <c r="E2953">
        <f>INDEX(FactorTable!$B$2:$Y$301, MATCH(ROUND(MIN(300,MAX(1,D2953)),0), FactorTable!$A$2:$A$301,0), Skills!M12+1)</f>
        <v/>
      </c>
      <c r="F2953">
        <f>IF(Skills!N12=TRUE,(Skills!L12/10)*(E2953/1000),Skills!L12/10)+Skills!O12</f>
        <v/>
      </c>
      <c r="G2953" t="inlineStr"/>
      <c r="H2953" t="inlineStr"/>
      <c r="I2953" t="inlineStr">
        <is>
          <t>1</t>
        </is>
      </c>
      <c r="J2953" t="inlineStr"/>
      <c r="K2953" t="inlineStr"/>
      <c r="L2953" t="inlineStr"/>
      <c r="M2953" t="inlineStr"/>
      <c r="N2953" t="inlineStr"/>
      <c r="O2953" t="inlineStr"/>
      <c r="P2953" t="inlineStr"/>
      <c r="Q2953" t="inlineStr"/>
      <c r="R2953" t="inlineStr"/>
      <c r="S2953" t="inlineStr"/>
    </row>
    <row r="2954">
      <c r="A2954">
        <f>Skills!A13</f>
        <v/>
      </c>
      <c r="B2954">
        <f>Skills!B13</f>
        <v/>
      </c>
      <c r="C2954">
        <f>Inputs!$B$3&gt;=45</f>
        <v/>
      </c>
      <c r="D2954">
        <f>IF(Skills!C13=1,60+Inputs!$B$25+Inputs!$B$29,IF(Skills!C13=2,90+Inputs!$B$26+Inputs!$B$29,IF(Skills!C13=3,120+Inputs!$B$27+Inputs!$B$29,MAX(0,(Inputs!$B$3-100)*3)+Inputs!$B$28+Inputs!$B$29)))</f>
        <v/>
      </c>
      <c r="E2954">
        <f>INDEX(FactorTable!$B$2:$Y$301, MATCH(ROUND(MIN(300,MAX(1,D2954)),0), FactorTable!$A$2:$A$301,0), Skills!M13+1)</f>
        <v/>
      </c>
      <c r="F2954">
        <f>IF(Skills!N13=TRUE,(Skills!L13/10)*(E2954/1000),Skills!L13/10)+Skills!O13</f>
        <v/>
      </c>
      <c r="G2954">
        <f>Skills!G13*IF(Skills!H13&gt;0,Skills!I13/Skills!H13,1)</f>
        <v/>
      </c>
      <c r="H2954">
        <f>1-(1-Skills!J13/100)^Skills!K13</f>
        <v/>
      </c>
      <c r="I2954" t="inlineStr">
        <is>
          <t>1</t>
        </is>
      </c>
      <c r="J2954" t="inlineStr"/>
      <c r="K2954" t="inlineStr"/>
      <c r="L2954" t="inlineStr"/>
      <c r="M2954" t="inlineStr"/>
      <c r="N2954" t="inlineStr"/>
      <c r="O2954">
        <f>(1-Summary!$B$11)*T2954+Summary!$B$11*V2954</f>
        <v/>
      </c>
      <c r="P2954">
        <f>IF(B2980=0,0,O2954/B2980)</f>
        <v/>
      </c>
      <c r="Q2954" t="n">
        <v>0</v>
      </c>
      <c r="R2954" t="n">
        <v>0</v>
      </c>
      <c r="S2954">
        <f>IFERROR(O2954/N2954,0)</f>
        <v/>
      </c>
      <c r="T2954" t="n">
        <v>0</v>
      </c>
      <c r="V2954" t="n">
        <v>0</v>
      </c>
    </row>
    <row r="2955">
      <c r="A2955">
        <f>Skills!A14</f>
        <v/>
      </c>
      <c r="B2955">
        <f>Skills!B14</f>
        <v/>
      </c>
      <c r="C2955">
        <f>Inputs!$B$3&gt;=75</f>
        <v/>
      </c>
      <c r="D2955">
        <f>IF(Skills!C14=1,60+Inputs!$B$25+Inputs!$B$29,IF(Skills!C14=2,90+Inputs!$B$26+Inputs!$B$29,IF(Skills!C14=3,120+Inputs!$B$27+Inputs!$B$29,MAX(0,(Inputs!$B$3-100)*3)+Inputs!$B$28+Inputs!$B$29)))</f>
        <v/>
      </c>
      <c r="E2955">
        <f>INDEX(FactorTable!$B$2:$Y$301, MATCH(ROUND(MIN(300,MAX(1,D2955)),0), FactorTable!$A$2:$A$301,0), Skills!M14+1)</f>
        <v/>
      </c>
      <c r="F2955">
        <f>IF(Skills!N14=TRUE,(Skills!L14/10)*(E2955/1000),Skills!L14/10)+Skills!O14</f>
        <v/>
      </c>
      <c r="G2955">
        <f>Skills!G14*IF(Skills!H14&gt;0,Skills!I14/Skills!H14,1)</f>
        <v/>
      </c>
      <c r="H2955">
        <f>1-(1-Skills!J14/100)^Skills!K14</f>
        <v/>
      </c>
      <c r="I2955" t="inlineStr">
        <is>
          <t>1</t>
        </is>
      </c>
      <c r="J2955" t="inlineStr"/>
      <c r="K2955" t="inlineStr"/>
      <c r="L2955" t="inlineStr"/>
      <c r="M2955" t="inlineStr"/>
      <c r="N2955" t="inlineStr"/>
      <c r="O2955">
        <f>(1-Summary!$B$11)*T2955+Summary!$B$11*V2955</f>
        <v/>
      </c>
      <c r="P2955">
        <f>IF(B2980=0,0,O2955/B2980)</f>
        <v/>
      </c>
      <c r="Q2955" t="n">
        <v>0</v>
      </c>
      <c r="R2955" t="n">
        <v>0</v>
      </c>
      <c r="S2955">
        <f>IFERROR(O2955/N2955,0)</f>
        <v/>
      </c>
      <c r="T2955" t="n">
        <v>0</v>
      </c>
      <c r="V2955" t="n">
        <v>0</v>
      </c>
    </row>
    <row r="2956">
      <c r="A2956">
        <f>Skills!A15</f>
        <v/>
      </c>
      <c r="B2956">
        <f>Skills!B15</f>
        <v/>
      </c>
      <c r="C2956">
        <f>Inputs!$B$3&gt;=40</f>
        <v/>
      </c>
      <c r="D2956">
        <f>IF(Skills!C15=1,60+Inputs!$B$25+Inputs!$B$29,IF(Skills!C15=2,90+Inputs!$B$26+Inputs!$B$29,IF(Skills!C15=3,120+Inputs!$B$27+Inputs!$B$29,MAX(0,(Inputs!$B$3-100)*3)+Inputs!$B$28+Inputs!$B$29)))</f>
        <v/>
      </c>
      <c r="E2956">
        <f>INDEX(FactorTable!$B$2:$Y$301, MATCH(ROUND(MIN(300,MAX(1,D2956)),0), FactorTable!$A$2:$A$301,0), Skills!M15+1)</f>
        <v/>
      </c>
      <c r="F2956">
        <f>IF(Skills!N15=TRUE,(Skills!L15/10)*(E2956/1000),Skills!L15/10)+Skills!O15</f>
        <v/>
      </c>
      <c r="G2956">
        <f>Skills!G15*IF(Skills!H15&gt;0,Skills!I15/Skills!H15,1)</f>
        <v/>
      </c>
      <c r="H2956">
        <f>1-(1-Skills!J15/100)^Skills!K15</f>
        <v/>
      </c>
      <c r="I2956" t="inlineStr">
        <is>
          <t>1</t>
        </is>
      </c>
      <c r="J2956" t="inlineStr"/>
      <c r="K2956" t="inlineStr"/>
      <c r="L2956" t="inlineStr"/>
      <c r="M2956" t="inlineStr"/>
      <c r="N2956" t="inlineStr"/>
      <c r="O2956">
        <f>(1-Summary!$B$11)*T2956+Summary!$B$11*V2956</f>
        <v/>
      </c>
      <c r="P2956">
        <f>IF(B2980=0,0,O2956/B2980)</f>
        <v/>
      </c>
      <c r="Q2956">
        <f>IFERROR(1/(IF(Inputs!$B$38="pvp",15,MAX(0.1,Skills!D15-IF(Skills!E15=TRUE,3.5,0)))*(1-IF(AND(ArtifactsInput!$M$27,Inputs!$B$4="Chapter Hunt"),CHOOSE(ArtifactsInput!$N$27+1,20,24,28,32,36,40),0)/100)),0)</f>
        <v/>
      </c>
      <c r="R2956">
        <f>IF(AND(Inputs!$B$38&lt;&gt;"pvp",Inputs!$B$43&gt;0),IF(Inputs!$B$43&lt;=0,0,(INT(Inputs!$B$43/(IF(Inputs!$B$38="pvp",15,MAX(0.1,Skills!D15-IF(Skills!E15=TRUE,3.5,0)))*(1-IF(AND(ArtifactsInput!$M$27,Inputs!$B$4="Chapter Hunt"),CHOOSE(ArtifactsInput!$N$27+1,20,24,28,32,36,40),0)/100)))+1)),0)</f>
        <v/>
      </c>
      <c r="S2956">
        <f>IFERROR(O2956/N2956,0)</f>
        <v/>
      </c>
      <c r="T2956" t="n">
        <v>0</v>
      </c>
      <c r="V2956" t="n">
        <v>0</v>
      </c>
    </row>
    <row r="2957">
      <c r="A2957">
        <f>Skills!A16</f>
        <v/>
      </c>
      <c r="B2957">
        <f>Skills!B16</f>
        <v/>
      </c>
      <c r="C2957">
        <f>Inputs!$B$3&gt;=66</f>
        <v/>
      </c>
      <c r="D2957">
        <f>IF(Skills!C16=1,60+Inputs!$B$25+Inputs!$B$29,IF(Skills!C16=2,90+Inputs!$B$26+Inputs!$B$29,IF(Skills!C16=3,120+Inputs!$B$27+Inputs!$B$29,MAX(0,(Inputs!$B$3-100)*3)+Inputs!$B$28+Inputs!$B$29)))</f>
        <v/>
      </c>
      <c r="E2957">
        <f>INDEX(FactorTable!$B$2:$Y$301, MATCH(ROUND(MIN(300,MAX(1,D2957)),0), FactorTable!$A$2:$A$301,0), Skills!M16+1)</f>
        <v/>
      </c>
      <c r="F2957">
        <f>IF(Skills!N16=TRUE,(Skills!L16/10)*(E2957/1000),Skills!L16/10)+Skills!O16</f>
        <v/>
      </c>
      <c r="G2957">
        <f>Skills!G16*IF(Skills!H16&gt;0,Skills!I16/Skills!H16,1)</f>
        <v/>
      </c>
      <c r="H2957">
        <f>1-(1-Skills!J16/100)^Skills!K16</f>
        <v/>
      </c>
      <c r="I2957" t="inlineStr">
        <is>
          <t>1</t>
        </is>
      </c>
      <c r="J2957" t="inlineStr"/>
      <c r="K2957" t="inlineStr"/>
      <c r="L2957" t="inlineStr"/>
      <c r="M2957" t="inlineStr"/>
      <c r="N2957" t="inlineStr"/>
      <c r="O2957">
        <f>(1-Summary!$B$11)*T2957+Summary!$B$11*V2957</f>
        <v/>
      </c>
      <c r="P2957">
        <f>IF(B2980=0,0,O2957/B2980)</f>
        <v/>
      </c>
      <c r="Q2957">
        <f>IFERROR(1/(IF(Inputs!$B$38="pvp",15,MAX(0.1,Skills!D16-IF(Skills!E16=TRUE,3.5,0)))*(1-IF(AND(ArtifactsInput!$M$27,Inputs!$B$4="Chapter Hunt"),CHOOSE(ArtifactsInput!$N$27+1,20,24,28,32,36,40),0)/100)),0)</f>
        <v/>
      </c>
      <c r="R2957">
        <f>IF(AND(Inputs!$B$38&lt;&gt;"pvp",Inputs!$B$43&gt;0),IF(Inputs!$B$43&lt;=0,0,(INT(Inputs!$B$43/(IF(Inputs!$B$38="pvp",15,MAX(0.1,Skills!D16-IF(Skills!E16=TRUE,3.5,0)))*(1-IF(AND(ArtifactsInput!$M$27,Inputs!$B$4="Chapter Hunt"),CHOOSE(ArtifactsInput!$N$27+1,20,24,28,32,36,40),0)/100)))+1)),0)</f>
        <v/>
      </c>
      <c r="S2957">
        <f>IFERROR(O2957/N2957,0)</f>
        <v/>
      </c>
      <c r="T2957" t="n">
        <v>0</v>
      </c>
      <c r="V2957" t="n">
        <v>0</v>
      </c>
    </row>
    <row r="2958">
      <c r="A2958">
        <f>Skills!A17</f>
        <v/>
      </c>
      <c r="B2958">
        <f>Skills!B17</f>
        <v/>
      </c>
      <c r="C2958">
        <f>Inputs!$B$3&gt;=115</f>
        <v/>
      </c>
      <c r="D2958">
        <f>IF(Skills!C17=1,60+Inputs!$B$25+Inputs!$B$29,IF(Skills!C17=2,90+Inputs!$B$26+Inputs!$B$29,IF(Skills!C17=3,120+Inputs!$B$27+Inputs!$B$29,MAX(0,(Inputs!$B$3-100)*3)+Inputs!$B$28+Inputs!$B$29)))</f>
        <v/>
      </c>
      <c r="E2958">
        <f>INDEX(FactorTable!$B$2:$Y$301, MATCH(ROUND(MIN(300,MAX(1,D2958)),0), FactorTable!$A$2:$A$301,0), Skills!M17+1)</f>
        <v/>
      </c>
      <c r="F2958">
        <f>IF(Skills!N17=TRUE,(Skills!L17/10)*(E2958/1000),Skills!L17/10)+Skills!O17</f>
        <v/>
      </c>
      <c r="G2958">
        <f>Skills!G17*IF(Skills!H17&gt;0,Skills!I17/Skills!H17,1)</f>
        <v/>
      </c>
      <c r="H2958">
        <f>1-(1-Skills!J17/100)^Skills!K17</f>
        <v/>
      </c>
      <c r="I2958" t="inlineStr">
        <is>
          <t>1</t>
        </is>
      </c>
      <c r="J2958" t="inlineStr"/>
      <c r="K2958" t="inlineStr"/>
      <c r="L2958" t="inlineStr"/>
      <c r="M2958" t="inlineStr"/>
      <c r="N2958" t="inlineStr"/>
      <c r="O2958">
        <f>(1-Summary!$B$11)*T2958+Summary!$B$11*V2958</f>
        <v/>
      </c>
      <c r="P2958">
        <f>IF(B2980=0,0,O2958/B2980)</f>
        <v/>
      </c>
      <c r="Q2958">
        <f>IFERROR(1/(IF(Inputs!$B$38="pvp",15,MAX(0.1,Skills!D17-IF(Skills!E17=TRUE,3.5,0)))*(1-IF(AND(ArtifactsInput!$M$27,Inputs!$B$4="Chapter Hunt"),CHOOSE(ArtifactsInput!$N$27+1,20,24,28,32,36,40),0)/100)),0)</f>
        <v/>
      </c>
      <c r="R2958">
        <f>IF(AND(Inputs!$B$38&lt;&gt;"pvp",Inputs!$B$43&gt;0),IF(Inputs!$B$43&lt;=0,0,(INT(Inputs!$B$43/(IF(Inputs!$B$38="pvp",15,MAX(0.1,Skills!D17-IF(Skills!E17=TRUE,3.5,0)))*(1-IF(AND(ArtifactsInput!$M$27,Inputs!$B$4="Chapter Hunt"),CHOOSE(ArtifactsInput!$N$27+1,20,24,28,32,36,40),0)/100)))+1)),0)</f>
        <v/>
      </c>
      <c r="S2958">
        <f>IFERROR(O2958/N2958,0)</f>
        <v/>
      </c>
      <c r="T2958" t="n">
        <v>0</v>
      </c>
      <c r="V2958" t="n">
        <v>0</v>
      </c>
    </row>
    <row r="2959">
      <c r="A2959">
        <f>Skills!A18</f>
        <v/>
      </c>
      <c r="B2959">
        <f>Skills!B18</f>
        <v/>
      </c>
      <c r="C2959">
        <f>Inputs!$B$3&gt;=115</f>
        <v/>
      </c>
      <c r="D2959">
        <f>IF(Skills!C18=1,60+Inputs!$B$25+Inputs!$B$29,IF(Skills!C18=2,90+Inputs!$B$26+Inputs!$B$29,IF(Skills!C18=3,120+Inputs!$B$27+Inputs!$B$29,MAX(0,(Inputs!$B$3-100)*3)+Inputs!$B$28+Inputs!$B$29)))</f>
        <v/>
      </c>
      <c r="E2959">
        <f>INDEX(FactorTable!$B$2:$Y$301, MATCH(ROUND(MIN(300,MAX(1,D2959)),0), FactorTable!$A$2:$A$301,0), Skills!M18+1)</f>
        <v/>
      </c>
      <c r="F2959">
        <f>IF(Skills!N18=TRUE,(Skills!L18/10)*(E2959/1000),Skills!L18/10)+Skills!O18</f>
        <v/>
      </c>
      <c r="G2959">
        <f>Skills!G18*IF(Skills!H18&gt;0,Skills!I18/Skills!H18,1)</f>
        <v/>
      </c>
      <c r="H2959">
        <f>1-(1-Skills!J18/100)^Skills!K18</f>
        <v/>
      </c>
      <c r="I2959" t="inlineStr">
        <is>
          <t>1</t>
        </is>
      </c>
      <c r="J2959" t="inlineStr"/>
      <c r="K2959" t="inlineStr"/>
      <c r="L2959" t="inlineStr"/>
      <c r="M2959" t="inlineStr"/>
      <c r="N2959" t="inlineStr"/>
      <c r="O2959">
        <f>(1-Summary!$B$11)*T2959+Summary!$B$11*V2959</f>
        <v/>
      </c>
      <c r="P2959">
        <f>IF(B2980=0,0,O2959/B2980)</f>
        <v/>
      </c>
      <c r="Q2959">
        <f>IFERROR(1/(IF(Inputs!$B$38="pvp",15,MAX(0.1,Skills!D18-IF(Skills!E18=TRUE,3.5,0)))*(1-IF(AND(ArtifactsInput!$M$27,Inputs!$B$4="Chapter Hunt"),CHOOSE(ArtifactsInput!$N$27+1,20,24,28,32,36,40),0)/100)),0)</f>
        <v/>
      </c>
      <c r="R2959">
        <f>IF(AND(Inputs!$B$38&lt;&gt;"pvp",Inputs!$B$43&gt;0),IF(Inputs!$B$43&lt;=0,0,(INT(Inputs!$B$43/(IF(Inputs!$B$38="pvp",15,MAX(0.1,Skills!D18-IF(Skills!E18=TRUE,3.5,0)))*(1-IF(AND(ArtifactsInput!$M$27,Inputs!$B$4="Chapter Hunt"),CHOOSE(ArtifactsInput!$N$27+1,20,24,28,32,36,40),0)/100)))+1)),0)</f>
        <v/>
      </c>
      <c r="S2959">
        <f>IFERROR(O2959/N2959,0)</f>
        <v/>
      </c>
      <c r="T2959" t="n">
        <v>0</v>
      </c>
      <c r="V2959" t="n">
        <v>0</v>
      </c>
    </row>
    <row r="2960">
      <c r="A2960">
        <f>Skills!A19</f>
        <v/>
      </c>
      <c r="B2960">
        <f>Skills!B19</f>
        <v/>
      </c>
      <c r="C2960">
        <f>TRUE</f>
        <v/>
      </c>
      <c r="D2960">
        <f>IF(Skills!C19=1,60+Inputs!$B$25+Inputs!$B$29,IF(Skills!C19=2,90+Inputs!$B$26+Inputs!$B$29,IF(Skills!C19=3,120+Inputs!$B$27+Inputs!$B$29,MAX(0,(Inputs!$B$3-100)*3)+Inputs!$B$28+Inputs!$B$29)))</f>
        <v/>
      </c>
      <c r="E2960">
        <f>INDEX(FactorTable!$B$2:$Y$301, MATCH(ROUND(MIN(300,MAX(1,D2960)),0), FactorTable!$A$2:$A$301,0), Skills!M19+1)</f>
        <v/>
      </c>
      <c r="F2960">
        <f>IF(Skills!N19=TRUE,(Skills!L19/10)*(E2960/1000),Skills!L19/10)+Skills!O19</f>
        <v/>
      </c>
      <c r="G2960">
        <f>Skills!G19*IF(Skills!H19&gt;0,Skills!I19/Skills!H19,1)</f>
        <v/>
      </c>
      <c r="H2960">
        <f>1-(1-Skills!J19/100)^Skills!K19</f>
        <v/>
      </c>
      <c r="I2960" t="inlineStr">
        <is>
          <t>1</t>
        </is>
      </c>
      <c r="J2960" t="inlineStr"/>
      <c r="K2960" t="inlineStr"/>
      <c r="L2960" t="inlineStr"/>
      <c r="M2960" t="inlineStr"/>
      <c r="N2960" t="inlineStr"/>
      <c r="O2960">
        <f>(1-Summary!$B$11)*T2960+Summary!$B$11*V2960</f>
        <v/>
      </c>
      <c r="P2960">
        <f>IF(B2980=0,0,O2960/B2980)</f>
        <v/>
      </c>
      <c r="Q2960">
        <f>IFERROR(1/(IF(Inputs!$B$38="pvp",15,MAX(0.1,Skills!D19-IF(Skills!E19=TRUE,3.5,0)))*(1-IF(AND(ArtifactsInput!$M$27,Inputs!$B$4="Chapter Hunt"),CHOOSE(ArtifactsInput!$N$27+1,20,24,28,32,36,40),0)/100)),0)</f>
        <v/>
      </c>
      <c r="R2960">
        <f>IF(AND(Inputs!$B$38&lt;&gt;"pvp",Inputs!$B$43&gt;0),IF(Inputs!$B$43&lt;=0,0,(INT(Inputs!$B$43/(IF(Inputs!$B$38="pvp",15,MAX(0.1,Skills!D19-IF(Skills!E19=TRUE,3.5,0)))*(1-IF(AND(ArtifactsInput!$M$27,Inputs!$B$4="Chapter Hunt"),CHOOSE(ArtifactsInput!$N$27+1,20,24,28,32,36,40),0)/100)))+1)),0)</f>
        <v/>
      </c>
      <c r="S2960">
        <f>IFERROR(O2960/N2960,0)</f>
        <v/>
      </c>
      <c r="T2960" t="n">
        <v>0</v>
      </c>
      <c r="V2960" t="n">
        <v>0</v>
      </c>
    </row>
    <row r="2961">
      <c r="A2961">
        <f>Skills!A20</f>
        <v/>
      </c>
      <c r="B2961">
        <f>Skills!B20</f>
        <v/>
      </c>
      <c r="C2961">
        <f>Inputs!$B$3&gt;=33</f>
        <v/>
      </c>
      <c r="D2961">
        <f>IF(Skills!C20=1,60+Inputs!$B$25+Inputs!$B$29,IF(Skills!C20=2,90+Inputs!$B$26+Inputs!$B$29,IF(Skills!C20=3,120+Inputs!$B$27+Inputs!$B$29,MAX(0,(Inputs!$B$3-100)*3)+Inputs!$B$28+Inputs!$B$29)))</f>
        <v/>
      </c>
      <c r="E2961">
        <f>INDEX(FactorTable!$B$2:$Y$301, MATCH(ROUND(MIN(300,MAX(1,D2961)),0), FactorTable!$A$2:$A$301,0), Skills!M20+1)</f>
        <v/>
      </c>
      <c r="F2961">
        <f>IF(Skills!N20=TRUE,(Skills!L20/10)*(E2961/1000),Skills!L20/10)+Skills!O20</f>
        <v/>
      </c>
      <c r="G2961">
        <f>Skills!G20*IF(Skills!H20&gt;0,Skills!I20/Skills!H20,1)</f>
        <v/>
      </c>
      <c r="H2961">
        <f>1-(1-Skills!J20/100)^Skills!K20</f>
        <v/>
      </c>
      <c r="I2961" t="inlineStr">
        <is>
          <t>1</t>
        </is>
      </c>
      <c r="J2961" t="inlineStr"/>
      <c r="K2961" t="inlineStr"/>
      <c r="L2961" t="inlineStr"/>
      <c r="M2961" t="inlineStr"/>
      <c r="N2961" t="inlineStr"/>
      <c r="O2961">
        <f>(1-Summary!$B$11)*T2961+Summary!$B$11*V2961</f>
        <v/>
      </c>
      <c r="P2961">
        <f>IF(B2980=0,0,O2961/B2980)</f>
        <v/>
      </c>
      <c r="Q2961" t="n">
        <v>0</v>
      </c>
      <c r="R2961" t="n">
        <v>0</v>
      </c>
      <c r="S2961">
        <f>IFERROR(O2961/N2961,0)</f>
        <v/>
      </c>
      <c r="T2961" t="n">
        <v>0</v>
      </c>
      <c r="V2961" t="n">
        <v>0</v>
      </c>
    </row>
    <row r="2962">
      <c r="A2962">
        <f>Skills!A21</f>
        <v/>
      </c>
      <c r="B2962">
        <f>Skills!B21</f>
        <v/>
      </c>
      <c r="C2962">
        <f>Inputs!$B$3&gt;=38</f>
        <v/>
      </c>
      <c r="D2962">
        <f>IF(Skills!C21=1,60+Inputs!$B$25+Inputs!$B$29,IF(Skills!C21=2,90+Inputs!$B$26+Inputs!$B$29,IF(Skills!C21=3,120+Inputs!$B$27+Inputs!$B$29,MAX(0,(Inputs!$B$3-100)*3)+Inputs!$B$28+Inputs!$B$29)))</f>
        <v/>
      </c>
      <c r="E2962">
        <f>INDEX(FactorTable!$B$2:$Y$301, MATCH(ROUND(MIN(300,MAX(1,D2962)),0), FactorTable!$A$2:$A$301,0), Skills!M21+1)</f>
        <v/>
      </c>
      <c r="F2962">
        <f>IF(Skills!N21=TRUE,(Skills!L21/10)*(E2962/1000),Skills!L21/10)+Skills!O21</f>
        <v/>
      </c>
      <c r="G2962">
        <f>Skills!G21*IF(Skills!H21&gt;0,Skills!I21/Skills!H21,1)</f>
        <v/>
      </c>
      <c r="H2962">
        <f>1-(1-Skills!J21/100)^Skills!K21</f>
        <v/>
      </c>
      <c r="I2962" t="inlineStr">
        <is>
          <t>1</t>
        </is>
      </c>
      <c r="J2962" t="inlineStr"/>
      <c r="K2962" t="inlineStr"/>
      <c r="L2962" t="inlineStr"/>
      <c r="M2962" t="inlineStr"/>
      <c r="N2962" t="inlineStr"/>
      <c r="O2962">
        <f>(1-Summary!$B$11)*T2962+Summary!$B$11*V2962</f>
        <v/>
      </c>
      <c r="P2962">
        <f>IF(B2980=0,0,O2962/B2980)</f>
        <v/>
      </c>
      <c r="Q2962" t="n">
        <v>0</v>
      </c>
      <c r="R2962" t="n">
        <v>0</v>
      </c>
      <c r="S2962">
        <f>IFERROR(O2962/N2962,0)</f>
        <v/>
      </c>
      <c r="T2962" t="n">
        <v>0</v>
      </c>
      <c r="V2962" t="n">
        <v>0</v>
      </c>
    </row>
    <row r="2963">
      <c r="A2963">
        <f>Skills!A22</f>
        <v/>
      </c>
      <c r="B2963">
        <f>Skills!B22</f>
        <v/>
      </c>
      <c r="C2963">
        <f>Inputs!$B$3&gt;=43</f>
        <v/>
      </c>
      <c r="D2963">
        <f>IF(Skills!C22=1,60+Inputs!$B$25+Inputs!$B$29,IF(Skills!C22=2,90+Inputs!$B$26+Inputs!$B$29,IF(Skills!C22=3,120+Inputs!$B$27+Inputs!$B$29,MAX(0,(Inputs!$B$3-100)*3)+Inputs!$B$28+Inputs!$B$29)))</f>
        <v/>
      </c>
      <c r="E2963">
        <f>INDEX(FactorTable!$B$2:$Y$301, MATCH(ROUND(MIN(300,MAX(1,D2963)),0), FactorTable!$A$2:$A$301,0), Skills!M22+1)</f>
        <v/>
      </c>
      <c r="F2963">
        <f>IF(Skills!N22=TRUE,(Skills!L22/10)*(E2963/1000),Skills!L22/10)+Skills!O22</f>
        <v/>
      </c>
      <c r="G2963">
        <f>Skills!G22*IF(Skills!H22&gt;0,Skills!I22/Skills!H22,1)</f>
        <v/>
      </c>
      <c r="H2963">
        <f>1-(1-Skills!J22/100)^Skills!K22</f>
        <v/>
      </c>
      <c r="I2963" t="inlineStr">
        <is>
          <t>1</t>
        </is>
      </c>
      <c r="J2963" t="inlineStr"/>
      <c r="K2963" t="inlineStr"/>
      <c r="L2963" t="inlineStr"/>
      <c r="M2963" t="inlineStr"/>
      <c r="N2963" t="inlineStr"/>
      <c r="O2963">
        <f>(1-Summary!$B$11)*T2963+Summary!$B$11*V2963</f>
        <v/>
      </c>
      <c r="P2963">
        <f>IF(B2980=0,0,O2963/B2980)</f>
        <v/>
      </c>
      <c r="Q2963" t="n">
        <v>0</v>
      </c>
      <c r="R2963" t="n">
        <v>0</v>
      </c>
      <c r="S2963">
        <f>IFERROR(O2963/N2963,0)</f>
        <v/>
      </c>
      <c r="T2963" t="n">
        <v>0</v>
      </c>
      <c r="V2963" t="n">
        <v>0</v>
      </c>
    </row>
    <row r="2964">
      <c r="A2964">
        <f>Skills!A23</f>
        <v/>
      </c>
      <c r="B2964">
        <f>Skills!B23</f>
        <v/>
      </c>
      <c r="C2964">
        <f>Inputs!$B$3&gt;=120</f>
        <v/>
      </c>
      <c r="D2964">
        <f>IF(Skills!C23=1,60+Inputs!$B$25+Inputs!$B$29,IF(Skills!C23=2,90+Inputs!$B$26+Inputs!$B$29,IF(Skills!C23=3,120+Inputs!$B$27+Inputs!$B$29,MAX(0,(Inputs!$B$3-100)*3)+Inputs!$B$28+Inputs!$B$29)))</f>
        <v/>
      </c>
      <c r="E2964">
        <f>INDEX(FactorTable!$B$2:$Y$301, MATCH(ROUND(MIN(300,MAX(1,D2964)),0), FactorTable!$A$2:$A$301,0), Skills!M23+1)</f>
        <v/>
      </c>
      <c r="F2964">
        <f>IF(Skills!N23=TRUE,(Skills!L23/10)*(E2964/1000),Skills!L23/10)+Skills!O23</f>
        <v/>
      </c>
      <c r="G2964">
        <f>Skills!G23*IF(Skills!H23&gt;0,Skills!I23/Skills!H23,1)</f>
        <v/>
      </c>
      <c r="H2964">
        <f>1-(1-Skills!J23/100)^Skills!K23</f>
        <v/>
      </c>
      <c r="I2964" t="inlineStr">
        <is>
          <t>1</t>
        </is>
      </c>
      <c r="J2964" t="inlineStr"/>
      <c r="K2964" t="inlineStr"/>
      <c r="L2964" t="inlineStr"/>
      <c r="M2964" t="inlineStr"/>
      <c r="N2964" t="inlineStr"/>
      <c r="O2964">
        <f>(1-Summary!$B$11)*T2964+Summary!$B$11*V2964</f>
        <v/>
      </c>
      <c r="P2964">
        <f>IF(B2980=0,0,O2964/B2980)</f>
        <v/>
      </c>
      <c r="Q2964" t="n">
        <v>0</v>
      </c>
      <c r="R2964" t="n">
        <v>0</v>
      </c>
      <c r="S2964">
        <f>IFERROR(O2964/N2964,0)</f>
        <v/>
      </c>
      <c r="T2964" t="n">
        <v>0</v>
      </c>
      <c r="V2964" t="n">
        <v>0</v>
      </c>
    </row>
    <row r="2965">
      <c r="A2965">
        <f>Skills!A24</f>
        <v/>
      </c>
      <c r="B2965">
        <f>Skills!B24</f>
        <v/>
      </c>
      <c r="C2965">
        <f>Inputs!$B$3&gt;=120</f>
        <v/>
      </c>
      <c r="D2965">
        <f>IF(Skills!C24=1,60+Inputs!$B$25+Inputs!$B$29,IF(Skills!C24=2,90+Inputs!$B$26+Inputs!$B$29,IF(Skills!C24=3,120+Inputs!$B$27+Inputs!$B$29,MAX(0,(Inputs!$B$3-100)*3)+Inputs!$B$28+Inputs!$B$29)))</f>
        <v/>
      </c>
      <c r="E2965">
        <f>INDEX(FactorTable!$B$2:$Y$301, MATCH(ROUND(MIN(300,MAX(1,D2965)),0), FactorTable!$A$2:$A$301,0), Skills!M24+1)</f>
        <v/>
      </c>
      <c r="F2965">
        <f>IF(Skills!N24=TRUE,(Skills!L24/10)*(E2965/1000),Skills!L24/10)+Skills!O24</f>
        <v/>
      </c>
      <c r="G2965">
        <f>Skills!G24*IF(Skills!H24&gt;0,Skills!I24/Skills!H24,1)</f>
        <v/>
      </c>
      <c r="H2965">
        <f>1-(1-Skills!J24/100)^Skills!K24</f>
        <v/>
      </c>
      <c r="I2965" t="inlineStr">
        <is>
          <t>1</t>
        </is>
      </c>
      <c r="J2965" t="inlineStr"/>
      <c r="K2965" t="inlineStr"/>
      <c r="L2965" t="inlineStr"/>
      <c r="M2965" t="inlineStr"/>
      <c r="N2965" t="inlineStr"/>
      <c r="O2965">
        <f>(1-Summary!$B$11)*T2965+Summary!$B$11*V2965</f>
        <v/>
      </c>
      <c r="P2965">
        <f>IF(B2980=0,0,O2965/B2980)</f>
        <v/>
      </c>
      <c r="Q2965" t="n">
        <v>0</v>
      </c>
      <c r="R2965" t="n">
        <v>0</v>
      </c>
      <c r="S2965">
        <f>IFERROR(O2965/N2965,0)</f>
        <v/>
      </c>
      <c r="T2965" t="n">
        <v>0</v>
      </c>
      <c r="V2965" t="n">
        <v>0</v>
      </c>
    </row>
    <row r="2966">
      <c r="A2966">
        <f>Skills!A25</f>
        <v/>
      </c>
      <c r="B2966">
        <f>Skills!B25</f>
        <v/>
      </c>
      <c r="C2966">
        <f>Inputs!$B$3&gt;=125</f>
        <v/>
      </c>
      <c r="D2966">
        <f>IF(Skills!C25=1,60+Inputs!$B$25+Inputs!$B$29,IF(Skills!C25=2,90+Inputs!$B$26+Inputs!$B$29,IF(Skills!C25=3,120+Inputs!$B$27+Inputs!$B$29,MAX(0,(Inputs!$B$3-100)*3)+Inputs!$B$28+Inputs!$B$29)))</f>
        <v/>
      </c>
      <c r="E2966">
        <f>INDEX(FactorTable!$B$2:$Y$301, MATCH(ROUND(MIN(300,MAX(1,D2966)),0), FactorTable!$A$2:$A$301,0), Skills!M25+1)</f>
        <v/>
      </c>
      <c r="F2966">
        <f>IF(Skills!N25=TRUE,(Skills!L25/10)*(E2966/1000),Skills!L25/10)+Skills!O25</f>
        <v/>
      </c>
      <c r="G2966">
        <f>Skills!G25*IF(Skills!H25&gt;0,Skills!I25/Skills!H25,1)</f>
        <v/>
      </c>
      <c r="H2966">
        <f>1-(1-Skills!J25/100)^Skills!K25</f>
        <v/>
      </c>
      <c r="I2966" t="inlineStr">
        <is>
          <t>1</t>
        </is>
      </c>
      <c r="J2966" t="inlineStr"/>
      <c r="K2966" t="inlineStr"/>
      <c r="L2966" t="inlineStr"/>
      <c r="M2966" t="inlineStr"/>
      <c r="N2966" t="inlineStr"/>
      <c r="O2966">
        <f>(1-Summary!$B$11)*T2966+Summary!$B$11*V2966</f>
        <v/>
      </c>
      <c r="P2966">
        <f>IF(B2980=0,0,O2966/B2980)</f>
        <v/>
      </c>
      <c r="Q2966" t="n">
        <v>0</v>
      </c>
      <c r="R2966" t="n">
        <v>0</v>
      </c>
      <c r="S2966">
        <f>IFERROR(O2966/N2966,0)</f>
        <v/>
      </c>
      <c r="T2966" t="n">
        <v>0</v>
      </c>
      <c r="V2966" t="n">
        <v>0</v>
      </c>
    </row>
    <row r="2967">
      <c r="A2967">
        <f>Skills!A26</f>
        <v/>
      </c>
      <c r="B2967">
        <f>Skills!B26</f>
        <v/>
      </c>
      <c r="C2967">
        <f>Inputs!$B$3&gt;=72</f>
        <v/>
      </c>
      <c r="D2967">
        <f>IF(Skills!C26=1,60+Inputs!$B$25+Inputs!$B$29,IF(Skills!C26=2,90+Inputs!$B$26+Inputs!$B$29,IF(Skills!C26=3,120+Inputs!$B$27+Inputs!$B$29,MAX(0,(Inputs!$B$3-100)*3)+Inputs!$B$28+Inputs!$B$29)))</f>
        <v/>
      </c>
      <c r="E2967">
        <f>INDEX(FactorTable!$B$2:$Y$301, MATCH(ROUND(MIN(300,MAX(1,D2967)),0), FactorTable!$A$2:$A$301,0), Skills!M26+1)</f>
        <v/>
      </c>
      <c r="F2967">
        <f>IF(Skills!N26=TRUE,(Skills!L26/10)*(E2967/1000),Skills!L26/10)+Skills!O26</f>
        <v/>
      </c>
      <c r="G2967">
        <f>Skills!G26*IF(Skills!H26&gt;0,Skills!I26/Skills!H26,1)</f>
        <v/>
      </c>
      <c r="H2967">
        <f>1-(1-Skills!J26/100)^Skills!K26</f>
        <v/>
      </c>
      <c r="I2967" t="inlineStr">
        <is>
          <t>1</t>
        </is>
      </c>
      <c r="J2967" t="inlineStr"/>
      <c r="K2967" t="inlineStr"/>
      <c r="L2967" t="inlineStr"/>
      <c r="M2967" t="inlineStr"/>
      <c r="N2967" t="inlineStr"/>
      <c r="O2967">
        <f>(1-Summary!$B$11)*T2967+Summary!$B$11*V2967</f>
        <v/>
      </c>
      <c r="P2967">
        <f>IF(B2980=0,0,O2967/B2980)</f>
        <v/>
      </c>
      <c r="Q2967" t="n">
        <v>0</v>
      </c>
      <c r="R2967" t="n">
        <v>0</v>
      </c>
      <c r="S2967">
        <f>IFERROR(O2967/N2967,0)</f>
        <v/>
      </c>
      <c r="T2967" t="n">
        <v>0</v>
      </c>
      <c r="V2967" t="n">
        <v>0</v>
      </c>
    </row>
    <row r="2969">
      <c r="A2969" t="inlineStr">
        <is>
          <t>Attack% Bucket Multiplier</t>
        </is>
      </c>
      <c r="B2969">
        <f>(1+(((C2954=TRUE)*F2954*IF(Inputs!$B$3&gt;=110,7,5))+((C2956=TRUE)*F2956*IF(AND(Inputs!$B$38&lt;&gt;"pvp",Inputs!$B$43&gt;0),(((R2956-1)*(Skills!T15*(1+(Inputs!$B$34+(ArtifactsInput!$M$7-ArtifactsInput!$M$7)*CHOOSE(ArtifactsInput!$N$7+1,6,7.2,8.4,9.6,10.8,12))/100))+MIN((Skills!T15*(1+(Inputs!$B$34+(ArtifactsInput!$M$7-ArtifactsInput!$M$7)*CHOOSE(ArtifactsInput!$N$7+1,6,7.2,8.4,9.6,10.8,12))/100)),MAX(0,Inputs!$B$43-((R2956-1)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70">
      <c r="A2970" t="inlineStr">
        <is>
          <t>Global Crit Rate Bonus %</t>
        </is>
      </c>
      <c r="B2970" t="n">
        <v>0</v>
      </c>
    </row>
    <row r="2971">
      <c r="A2971" t="inlineStr">
        <is>
          <t>Attack Speed Buff Bonus %</t>
        </is>
      </c>
      <c r="B2971">
        <f>((C2960=TRUE)*F2960*IF(AND(Inputs!$B$38&lt;&gt;"pvp",Inputs!$B$43&gt;0),(((R2960-1)*(Skills!T19*(1+(Inputs!$B$34+(ArtifactsInput!$M$7-ArtifactsInput!$M$7)*CHOOSE(ArtifactsInput!$N$7+1,6,7.2,8.4,9.6,10.8,12))/100))+MIN((Skills!T19*(1+(Inputs!$B$34+(ArtifactsInput!$M$7-ArtifactsInput!$M$7)*CHOOSE(ArtifactsInput!$N$7+1,6,7.2,8.4,9.6,10.8,12))/100)),MAX(0,Inputs!$B$43-((R2960-1)*Skills!D19))))/Inputs!$B$43),IF(Inputs!$B$38="pvp",MIN((Skills!T19*(1+(Inputs!$B$34+(ArtifactsInput!$M$7-ArtifactsInput!$M$7)*CHOOSE(ArtifactsInput!$N$7+1,6,7.2,8.4,9.6,10.8,12))/100)),15)/15,(Skills!T19*(1+(Inputs!$B$34+(ArtifactsInput!$M$7-ArtifactsInput!$M$7)*CHOOSE(ArtifactsInput!$N$7+1,6,7.2,8.4,9.6,10.8,12))/100))/Skills!D19)))</f>
        <v/>
      </c>
    </row>
    <row r="2972">
      <c r="A2972" t="inlineStr">
        <is>
          <t>Actions Per Second</t>
        </is>
      </c>
      <c r="B2972">
        <f>1+MIN(150,150*(1-(1-(Inputs!$B$11+((C2961=TRUE)*(F2961-Calc!F20)))/150)*(1-B2971/150)))/100</f>
        <v/>
      </c>
    </row>
    <row r="2973">
      <c r="A2973" t="inlineStr">
        <is>
          <t>Skill + Buff Cast Rate</t>
        </is>
      </c>
      <c r="B2973">
        <f>IF(AND(Inputs!$B$38&lt;&gt;"pvp",Inputs!$B$43&gt;0),SUMPRODUCT((Skills!E2:E26=TRUE)*(C2943:C2967=TRUE)*R2943:R2967*Skills!F2:F26)/Inputs!$B$43,SUMPRODUCT((Skills!E2:E26=TRUE)*(C2943:C2967=TRUE)*Q2943:Q2967*Skills!F2:F26))</f>
        <v/>
      </c>
    </row>
    <row r="2974">
      <c r="A2974" t="inlineStr">
        <is>
          <t>Raging Blow Casts Per Second</t>
        </is>
      </c>
      <c r="B2974">
        <f>MAX(0,B2972-B2973)</f>
        <v/>
      </c>
    </row>
    <row r="2975">
      <c r="A2975" t="inlineStr">
        <is>
          <t>Global Critical Damage Bonus % (Enrage)</t>
        </is>
      </c>
      <c r="B2975">
        <f>((C2959=TRUE)*F2959*IF(AND(Inputs!$B$38&lt;&gt;"pvp",Inputs!$B$43&gt;0),(((R2959-1)*(Skills!T18*(1+(Inputs!$B$34+(ArtifactsInput!$M$7-ArtifactsInput!$M$7)*CHOOSE(ArtifactsInput!$N$7+1,6,7.2,8.4,9.6,10.8,12))/100))+MIN((Skills!T18*(1+(Inputs!$B$34+(ArtifactsInput!$M$7-ArtifactsInput!$M$7)*CHOOSE(ArtifactsInput!$N$7+1,6,7.2,8.4,9.6,10.8,12))/100)),MAX(0,Inputs!$B$43-((R2959-1)*Skills!D18))))/Inputs!$B$43),IF(Inputs!$B$38="pvp",MIN((Skills!T18*(1+(Inputs!$B$34+(ArtifactsInput!$M$7-ArtifactsInput!$M$7)*CHOOSE(ArtifactsInput!$N$7+1,6,7.2,8.4,9.6,10.8,12))/100)),15)/15,(Skills!T18*(1+(Inputs!$B$34+(ArtifactsInput!$M$7-ArtifactsInput!$M$7)*CHOOSE(ArtifactsInput!$N$7+1,6,7.2,8.4,9.6,10.8,12))/100))/Skills!D18)))</f>
        <v/>
      </c>
    </row>
    <row r="2976">
      <c r="A2976" t="inlineStr">
        <is>
          <t>Global Final Damage Bonus % (Enrage + Combo Synergy)</t>
        </is>
      </c>
      <c r="B2976">
        <f>((C2958=TRUE)*F2958*IF(AND(Inputs!$B$38&lt;&gt;"pvp",Inputs!$B$43&gt;0),(((R2958-1)*(Skills!T17*(1+(Inputs!$B$34+(ArtifactsInput!$M$7-ArtifactsInput!$M$7)*CHOOSE(ArtifactsInput!$N$7+1,6,7.2,8.4,9.6,10.8,12))/100))+MIN((Skills!T17*(1+(Inputs!$B$34+(ArtifactsInput!$M$7-ArtifactsInput!$M$7)*CHOOSE(ArtifactsInput!$N$7+1,6,7.2,8.4,9.6,10.8,12))/100)),MAX(0,Inputs!$B$43-((R2958-1)*Skills!D17))))/Inputs!$B$43),IF(Inputs!$B$38="pvp",MIN((Skills!T17*(1+(Inputs!$B$34+(ArtifactsInput!$M$7-ArtifactsInput!$M$7)*CHOOSE(ArtifactsInput!$N$7+1,6,7.2,8.4,9.6,10.8,12))/100)),15)/15,(Skills!T17*(1+(Inputs!$B$34+(ArtifactsInput!$M$7-ArtifactsInput!$M$7)*CHOOSE(ArtifactsInput!$N$7+1,6,7.2,8.4,9.6,10.8,12))/100))/Skills!D17)))+((C2955=TRUE)*F2955*IF(Inputs!$B$3&gt;=110,7,5))</f>
        <v/>
      </c>
    </row>
    <row r="2977">
      <c r="A2977" t="inlineStr">
        <is>
          <t>Buff-Casting Startup Delay (s, fixed-duration only)</t>
        </is>
      </c>
      <c r="B2977">
        <f>IF(AND(Inputs!$B$38&lt;&gt;"pvp",Inputs!$B$43&gt;0),SUMPRODUCT((Skills!T2:T26&gt;0)*(Skills!E2:E26=TRUE)*(C2943:C2967=TRUE))/B2972,0)</f>
        <v/>
      </c>
    </row>
    <row r="2978">
      <c r="A2978" t="inlineStr">
        <is>
          <t>Boss-Only Total DPS (this block's swept value)</t>
        </is>
      </c>
      <c r="B2978">
        <f>SUM(T2943:T2967)</f>
        <v/>
      </c>
    </row>
    <row r="2979">
      <c r="A2979" t="inlineStr">
        <is>
          <t>Normal-Only Total DPS (this block's swept value)</t>
        </is>
      </c>
      <c r="B2979">
        <f>SUM(V2943:V2967)</f>
        <v/>
      </c>
    </row>
    <row r="2980">
      <c r="A2980" s="6" t="inlineStr">
        <is>
          <t>TOTAL DPS</t>
        </is>
      </c>
      <c r="B2980" s="6">
        <f>SUM(O2943:O2967)</f>
        <v/>
      </c>
    </row>
    <row r="2983">
      <c r="A2983" s="6" t="inlineStr">
        <is>
          <t>Stat: CDR = 4.0s</t>
        </is>
      </c>
    </row>
    <row r="2984">
      <c r="A2984" s="5" t="inlineStr">
        <is>
          <t>Key</t>
        </is>
      </c>
      <c r="B2984" s="5" t="inlineStr">
        <is>
          <t>Name</t>
        </is>
      </c>
      <c r="C2984" s="5" t="inlineStr">
        <is>
          <t>Unlocked</t>
        </is>
      </c>
      <c r="D2984" s="5" t="inlineStr">
        <is>
          <t>InputLevel</t>
        </is>
      </c>
      <c r="E2984" s="5" t="inlineStr">
        <is>
          <t>Factor</t>
        </is>
      </c>
      <c r="F2984" s="5" t="inlineStr">
        <is>
          <t>CoefficientPercent</t>
        </is>
      </c>
      <c r="G2984" s="5" t="inlineStr">
        <is>
          <t>EffectiveHits</t>
        </is>
      </c>
      <c r="H2984" s="5" t="inlineStr">
        <is>
          <t>ProcProbability</t>
        </is>
      </c>
      <c r="I2984" s="5" t="inlineStr">
        <is>
          <t>MapleHeroMultiplier</t>
        </is>
      </c>
      <c r="J2984" s="5" t="inlineStr">
        <is>
          <t>BaseDamage</t>
        </is>
      </c>
      <c r="K2984" s="5" t="inlineStr">
        <is>
          <t>BaseHitDamage</t>
        </is>
      </c>
      <c r="L2984" s="5" t="inlineStr">
        <is>
          <t>NonCritAvg</t>
        </is>
      </c>
      <c r="M2984" s="5" t="inlineStr">
        <is>
          <t>CritAvg</t>
        </is>
      </c>
      <c r="N2984" s="5" t="inlineStr">
        <is>
          <t>ExpectedDamage(perHit)</t>
        </is>
      </c>
      <c r="O2984" s="5" t="inlineStr">
        <is>
          <t>DPS</t>
        </is>
      </c>
      <c r="P2984" s="5" t="inlineStr">
        <is>
          <t>% of Total</t>
        </is>
      </c>
      <c r="Q2984" s="5" t="inlineStr">
        <is>
          <t>InvCooldown</t>
        </is>
      </c>
      <c r="R2984" s="5" t="inlineStr">
        <is>
          <t>CastsInFight</t>
        </is>
      </c>
      <c r="S2984" s="5" t="inlineStr">
        <is>
          <t>HitRate(perSec)</t>
        </is>
      </c>
      <c r="U2984" t="inlineStr">
        <is>
          <t>helpers</t>
        </is>
      </c>
    </row>
    <row r="2985">
      <c r="A2985">
        <f>Skills!A2</f>
        <v/>
      </c>
      <c r="B2985">
        <f>Skills!B2</f>
        <v/>
      </c>
      <c r="C2985">
        <f>Inputs!$B$3&gt;=100</f>
        <v/>
      </c>
      <c r="D2985" t="inlineStr"/>
      <c r="E2985" t="inlineStr"/>
      <c r="F2985">
        <f>U2987+Skills!O2</f>
        <v/>
      </c>
      <c r="G2985">
        <f>Skills!G2*IF(Skills!H2&gt;0,Skills!I2/Skills!H2,1)</f>
        <v/>
      </c>
      <c r="H2985">
        <f>1-(1-Skills!J2/100)^Skills!K2</f>
        <v/>
      </c>
      <c r="I2985" t="inlineStr">
        <is>
          <t>1</t>
        </is>
      </c>
      <c r="J2985">
        <f>((Inputs!$B$6*(1+Inputs!$B$7/100))+(((Inputs!$B$12*(1+Inputs!$B$13/100))-(Inputs!$B$12*(1+Inputs!$B$13/100)))+0.25*(Inputs!$B$14-Inputs!$B$14))*(1+Inputs!$B$7/100))*(F2985/100)</f>
        <v/>
      </c>
      <c r="K2985">
        <f>J2985*(1+((Inputs!$B$12*(1+Inputs!$B$13/100))*0.01+Inputs!$B$14*0.0025)/100)*(1+Inputs!$B$15/100)*(1+Inputs!$B$16/100)*(5000/(6000+Inputs!$B$42*(1-(100*(1-(1-(Inputs!$B$19+0)/100)*(1-CHOOSE(ArtifactsInput!$N$40+1,5,6,7,8,9,10)/100)^(ArtifactsInput!$M$40-ArtifactsInput!$M$40)))/100)))*(1+(Inputs!$B$24+((C3008=TRUE)*(F3008-Calc!F25))+B3018)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3004=TRUE)*(F3004-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3006=TRUE)*(F3006-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2996=TRUE)*F2996*IF(Inputs!$B$3&gt;=110,7,5))+((C2998=TRUE)*F2998*IF(AND(Inputs!$B$38&lt;&gt;"pvp",Inputs!$B$43&gt;0),(((R2998-1)*(Skills!T15*(1+(Inputs!$B$34+(ArtifactsInput!$M$7-ArtifactsInput!$M$7)*CHOOSE(ArtifactsInput!$N$7+1,6,7.2,8.4,9.6,10.8,12))/100))+MIN((Skills!T15*(1+(Inputs!$B$34+(ArtifactsInput!$M$7-ArtifactsInput!$M$7)*CHOOSE(ArtifactsInput!$N$7+1,6,7.2,8.4,9.6,10.8,12))/100)),MAX(0,Inputs!$B$43-((R2998-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Hunt"),CHOOSE(ArtifactsInput!$N$35+1,15,18,21,24,27,30)*(1-EXP(-(0.2*B3014)*5)),0)+IF(AND(ArtifactsInput!$M$22,Inputs!$B$4&lt;&gt;"Chapter Hunt"),CHOOSE(ArtifactsInput!$N$22+1,10,12,14,16,18,20)*((0*(((0.15*B3014*5))^0/1)+1*(((0.15*B3014*5))^1/1)+2*(((0.15*B3014*5))^2/2)+3*(((0.15*B3014*5))^3/6)+4*(((0.15*B3014*5))^4/24)+5*(((0.15*B3014*5))^5/120))/((((0.15*B3014*5))^0/1)+(((0.15*B3014*5))^1/1)+(((0.15*B3014*5))^2/2)+(((0.15*B3014*5))^3/6)+(((0.15*B3014*5))^4/24)+(((0.15*B3014*5))^5/120))),0)))/100)*I2985)</f>
        <v/>
      </c>
      <c r="L2985">
        <f>K2985*(MIN(Inputs!$B$22+((C3005=TRUE)*(F3005-Calc!F22)),(Inputs!$B$23+((C3007=TRUE)*(F3007-Calc!F24))+(IF(ArtifactsInput!$M$15,CHOOSE(ArtifactsInput!$N$15+1,25,30,35,40,45,50)/100*(Inputs!$B$11-Inputs!$B$11),0))))/100+(Inputs!$B$23+((C3007=TRUE)*(F3007-Calc!F24))+(IF(ArtifactsInput!$M$15,CHOOSE(ArtifactsInput!$N$15+1,25,30,35,40,45,50)/100*(Inputs!$B$11-Inputs!$B$11),0)))/100)/2</f>
        <v/>
      </c>
      <c r="M2985">
        <f>L2985*(1+(Inputs!$B$10+0+B3017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85">
        <f>L2985*(1-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2985*(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85">
        <f>(1-Summary!$B$11)*T2985+Summary!$B$11*V2985</f>
        <v/>
      </c>
      <c r="P2985">
        <f>IF(B3022=0,0,O2985/B3022)</f>
        <v/>
      </c>
      <c r="Q2985" t="n">
        <v>0</v>
      </c>
      <c r="R2985" t="n">
        <v>0</v>
      </c>
      <c r="S2985">
        <f>IFERROR(O2985/N2985,0)</f>
        <v/>
      </c>
      <c r="T2985">
        <f>IF(C2985,(Skills!G2*N2985*B3016)*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2985*(1-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2985*(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2985*(1-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2985*(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85">
        <f>MAX(0,(Inputs!$B$3-100)*3)+Inputs!$B$28+Inputs!$B$29</f>
        <v/>
      </c>
      <c r="V2985">
        <f>IF(C2985,(Skills!G2*N2985*B3016)*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86">
      <c r="A2986">
        <f>Skills!A3</f>
        <v/>
      </c>
      <c r="B2986">
        <f>Skills!B3</f>
        <v/>
      </c>
      <c r="C2986">
        <f>Inputs!$B$3&gt;=50</f>
        <v/>
      </c>
      <c r="D2986">
        <f>IF(Skills!C3=1,60+Inputs!$B$25+Inputs!$B$29,IF(Skills!C3=2,90+Inputs!$B$26+Inputs!$B$29,IF(Skills!C3=3,120+Inputs!$B$27+Inputs!$B$29,MAX(0,(Inputs!$B$3-100)*3)+Inputs!$B$28+Inputs!$B$29)))</f>
        <v/>
      </c>
      <c r="E2986">
        <f>INDEX(FactorTable!$B$2:$Y$301, MATCH(ROUND(MIN(300,MAX(1,D2986)),0), FactorTable!$A$2:$A$301,0), Skills!M3+1)</f>
        <v/>
      </c>
      <c r="F2986">
        <f>IF(Skills!N3=TRUE,(Skills!L3/10)*(E2986/1000),Skills!L3/10)+Skills!O3</f>
        <v/>
      </c>
      <c r="G2986" t="inlineStr"/>
      <c r="H2986" t="inlineStr"/>
      <c r="I2986" t="inlineStr">
        <is>
          <t>1</t>
        </is>
      </c>
      <c r="J2986" t="inlineStr"/>
      <c r="K2986" t="inlineStr"/>
      <c r="L2986" t="inlineStr"/>
      <c r="M2986" t="inlineStr"/>
      <c r="N2986" t="inlineStr"/>
      <c r="O2986" t="inlineStr"/>
      <c r="P2986" t="inlineStr"/>
      <c r="Q2986" t="inlineStr"/>
      <c r="R2986" t="inlineStr"/>
      <c r="S2986" t="inlineStr"/>
      <c r="U2986">
        <f>INDEX(FactorTable!$B$2:$Y$301, MATCH(ROUND(MIN(300,MAX(1,U2985)),0), FactorTable!$A$2:$A$301,0), 22)</f>
        <v/>
      </c>
    </row>
    <row r="2987">
      <c r="A2987">
        <f>Skills!A4</f>
        <v/>
      </c>
      <c r="B2987">
        <f>Skills!B4</f>
        <v/>
      </c>
      <c r="C2987">
        <f>Inputs!$B$3&gt;=105</f>
        <v/>
      </c>
      <c r="D2987">
        <f>IF(Skills!C4=1,60+Inputs!$B$25+Inputs!$B$29,IF(Skills!C4=2,90+Inputs!$B$26+Inputs!$B$29,IF(Skills!C4=3,120+Inputs!$B$27+Inputs!$B$29,MAX(0,(Inputs!$B$3-100)*3)+Inputs!$B$28+Inputs!$B$29)))</f>
        <v/>
      </c>
      <c r="E2987">
        <f>INDEX(FactorTable!$B$2:$Y$301, MATCH(ROUND(MIN(300,MAX(1,D2987)),0), FactorTable!$A$2:$A$301,0), Skills!M4+1)</f>
        <v/>
      </c>
      <c r="F2987">
        <f>IF(Skills!N4=TRUE,(Skills!L4/10)*(E2987/1000),Skills!L4/10)+Skills!O4</f>
        <v/>
      </c>
      <c r="G2987" t="inlineStr"/>
      <c r="H2987" t="inlineStr"/>
      <c r="I2987" t="inlineStr">
        <is>
          <t>1</t>
        </is>
      </c>
      <c r="J2987" t="inlineStr"/>
      <c r="K2987" t="inlineStr"/>
      <c r="L2987" t="inlineStr"/>
      <c r="M2987" t="inlineStr"/>
      <c r="N2987" t="inlineStr"/>
      <c r="O2987" t="inlineStr"/>
      <c r="P2987" t="inlineStr"/>
      <c r="Q2987" t="inlineStr"/>
      <c r="R2987" t="inlineStr"/>
      <c r="S2987" t="inlineStr"/>
      <c r="U2987">
        <f>290*U2986/1000</f>
        <v/>
      </c>
    </row>
    <row r="2988">
      <c r="A2988">
        <f>Skills!A5</f>
        <v/>
      </c>
      <c r="B2988">
        <f>Skills!B5</f>
        <v/>
      </c>
      <c r="C2988">
        <f>Inputs!$B$3&gt;=103</f>
        <v/>
      </c>
      <c r="D2988">
        <f>IF(Skills!C5=1,60+Inputs!$B$25+Inputs!$B$29,IF(Skills!C5=2,90+Inputs!$B$26+Inputs!$B$29,IF(Skills!C5=3,120+Inputs!$B$27+Inputs!$B$29,MAX(0,(Inputs!$B$3-100)*3)+Inputs!$B$28+Inputs!$B$29)))</f>
        <v/>
      </c>
      <c r="E2988">
        <f>INDEX(FactorTable!$B$2:$Y$301, MATCH(ROUND(MIN(300,MAX(1,D2988)),0), FactorTable!$A$2:$A$301,0), Skills!M5+1)</f>
        <v/>
      </c>
      <c r="F2988">
        <f>IF(Skills!N5=TRUE,(Skills!L5/10)*(E2988/1000),Skills!L5/10)+Skills!O5</f>
        <v/>
      </c>
      <c r="G2988">
        <f>Skills!G5*IF(Skills!H5&gt;0,Skills!I5/Skills!H5,1)</f>
        <v/>
      </c>
      <c r="H2988">
        <f>1-(1-Skills!J5/100)^Skills!K5</f>
        <v/>
      </c>
      <c r="I2988" t="inlineStr">
        <is>
          <t>1</t>
        </is>
      </c>
      <c r="J2988">
        <f>((Inputs!$B$6*(1+Inputs!$B$7/100))+(((Inputs!$B$12*(1+Inputs!$B$13/100))-(Inputs!$B$12*(1+Inputs!$B$13/100)))+0.25*(Inputs!$B$14-Inputs!$B$14))*(1+Inputs!$B$7/100))*(F2988/100)</f>
        <v/>
      </c>
      <c r="K2988">
        <f>J2988*(1+((Inputs!$B$12*(1+Inputs!$B$13/100))*0.01+Inputs!$B$14*0.0025)/100)*(1+Inputs!$B$15/100)*(1+Inputs!$B$16/100)*(5000/(6000+Inputs!$B$42*(1-(100*(1-(1-(Inputs!$B$19+0)/100)*(1-CHOOSE(ArtifactsInput!$N$40+1,5,6,7,8,9,10)/100)^(ArtifactsInput!$M$40-ArtifactsInput!$M$40)))/100)))*(1+(Inputs!$B$24+((C3008=TRUE)*(F3008-Calc!F25))+B3018)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3004=TRUE)*(F3004-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3006=TRUE)*(F3006-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2996=TRUE)*F2996*IF(Inputs!$B$3&gt;=110,7,5))+((C2998=TRUE)*F2998*IF(AND(Inputs!$B$38&lt;&gt;"pvp",Inputs!$B$43&gt;0),(((R2998-1)*(Skills!T15*(1+(Inputs!$B$34+(ArtifactsInput!$M$7-ArtifactsInput!$M$7)*CHOOSE(ArtifactsInput!$N$7+1,6,7.2,8.4,9.6,10.8,12))/100))+MIN((Skills!T15*(1+(Inputs!$B$34+(ArtifactsInput!$M$7-ArtifactsInput!$M$7)*CHOOSE(ArtifactsInput!$N$7+1,6,7.2,8.4,9.6,10.8,12))/100)),MAX(0,Inputs!$B$43-((R2998-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Hunt"),CHOOSE(ArtifactsInput!$N$35+1,15,18,21,24,27,30)*(1-EXP(-(0.2*B3014)*5)),0)+IF(AND(ArtifactsInput!$M$22,Inputs!$B$4&lt;&gt;"Chapter Hunt"),CHOOSE(ArtifactsInput!$N$22+1,10,12,14,16,18,20)*((0*(((0.15*B3014*5))^0/1)+1*(((0.15*B3014*5))^1/1)+2*(((0.15*B3014*5))^2/2)+3*(((0.15*B3014*5))^3/6)+4*(((0.15*B3014*5))^4/24)+5*(((0.15*B3014*5))^5/120))/((((0.15*B3014*5))^0/1)+(((0.15*B3014*5))^1/1)+(((0.15*B3014*5))^2/2)+(((0.15*B3014*5))^3/6)+(((0.15*B3014*5))^4/24)+(((0.15*B3014*5))^5/120))),0)))/100)*I2988)</f>
        <v/>
      </c>
      <c r="L2988">
        <f>K2988*(MIN(Inputs!$B$22+((C3005=TRUE)*(F3005-Calc!F22)),(Inputs!$B$23+((C3007=TRUE)*(F3007-Calc!F24))+(IF(ArtifactsInput!$M$15,CHOOSE(ArtifactsInput!$N$15+1,25,30,35,40,45,50)/100*(Inputs!$B$11-Inputs!$B$11),0))))/100+(Inputs!$B$23+((C3007=TRUE)*(F3007-Calc!F24))+(IF(ArtifactsInput!$M$15,CHOOSE(ArtifactsInput!$N$15+1,25,30,35,40,45,50)/100*(Inputs!$B$11-Inputs!$B$11),0)))/100)/2</f>
        <v/>
      </c>
      <c r="M2988">
        <f>L2988*(1+(Inputs!$B$10+0+B3017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88">
        <f>L2988*(1-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2988*(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88">
        <f>(1-Summary!$B$11)*T2988+Summary!$B$11*V2988</f>
        <v/>
      </c>
      <c r="P2988">
        <f>IF(B3022=0,0,O2988/B3022)</f>
        <v/>
      </c>
      <c r="Q2988">
        <f>IFERROR(1/(IF(Inputs!$B$38="pvp",15,MAX(0.1,Skills!D5-IF(Skills!E5=TRUE,4.0,0)))*(1-IF(AND(ArtifactsInput!$M$27,Inputs!$B$4="Chapter Hunt"),CHOOSE(ArtifactsInput!$N$27+1,20,24,28,32,36,40),0)/100)),0)</f>
        <v/>
      </c>
      <c r="R2988">
        <f>IF(AND(Inputs!$B$38&lt;&gt;"pvp",Inputs!$B$43&gt;0),IF(MAX(0,Inputs!$B$43-B3019)&lt;=0,0,(INT(MAX(0,Inputs!$B$43-B3019)/(IF(Inputs!$B$38="pvp",15,MAX(0.1,Skills!D5-IF(Skills!E5=TRUE,4.0,0)))*(1-IF(AND(ArtifactsInput!$M$27,Inputs!$B$4="Chapter Hunt"),CHOOSE(ArtifactsInput!$N$27+1,20,24,28,32,36,40),0)/100)))+1)),0)</f>
        <v/>
      </c>
      <c r="S2988">
        <f>IFERROR(O2988/N2988,0)</f>
        <v/>
      </c>
      <c r="T2988">
        <f>IF(C2988,(H2988*N2988*IF(AND(Inputs!$B$38&lt;&gt;"pvp",Inputs!$B$43&gt;0),((Skills!G5*((R2988-1)*IF(Skills!H5&gt;0,Skills!I5/Skills!H5,1)+IF(Skills!H5&gt;0,MIN(Skills!I5,MAX(0,MAX(0,Inputs!$B$43-B3019)-((R2988-1)*(IF(Inputs!$B$38="pvp",15,MAX(0.1,Skills!D5-IF(Skills!E5=TRUE,4.0,0)))*(1-IF(AND(ArtifactsInput!$M$27,Inputs!$B$4="Chapter Hunt"),CHOOSE(ArtifactsInput!$N$27+1,20,24,28,32,36,40),0)/100)))))/Skills!H5,1)))/Inputs!$B$43),G2988*Q2988))*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2988*(1-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2988*(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2988*(1-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2988*(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88">
        <f>IF(C2988,(H2988*N2988*IF(AND(Inputs!$B$38&lt;&gt;"pvp",Inputs!$B$43&gt;0),((Skills!G5*((R2988-1)*IF(Skills!H5&gt;0,Skills!I5/Skills!H5,1)+IF(Skills!H5&gt;0,MIN(Skills!I5,MAX(0,MAX(0,Inputs!$B$43-B3019)-((R2988-1)*(IF(Inputs!$B$38="pvp",15,MAX(0.1,Skills!D5-IF(Skills!E5=TRUE,4.0,0)))*(1-IF(AND(ArtifactsInput!$M$27,Inputs!$B$4="Chapter Hunt"),CHOOSE(ArtifactsInput!$N$27+1,20,24,28,32,36,40),0)/100)))))/Skills!H5,1)))/Inputs!$B$43),G2988*Q2988))*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89">
      <c r="A2989">
        <f>Skills!A6</f>
        <v/>
      </c>
      <c r="B2989">
        <f>Skills!B6</f>
        <v/>
      </c>
      <c r="C2989">
        <f>Inputs!$B$3&gt;=103</f>
        <v/>
      </c>
      <c r="D2989">
        <f>IF(Skills!C6=1,60+Inputs!$B$25+Inputs!$B$29,IF(Skills!C6=2,90+Inputs!$B$26+Inputs!$B$29,IF(Skills!C6=3,120+Inputs!$B$27+Inputs!$B$29,MAX(0,(Inputs!$B$3-100)*3)+Inputs!$B$28+Inputs!$B$29)))</f>
        <v/>
      </c>
      <c r="E2989">
        <f>INDEX(FactorTable!$B$2:$Y$301, MATCH(ROUND(MIN(300,MAX(1,D2989)),0), FactorTable!$A$2:$A$301,0), Skills!M6+1)</f>
        <v/>
      </c>
      <c r="F2989">
        <f>IF(Skills!N6=TRUE,(Skills!L6/10)*(E2989/1000),Skills!L6/10)+Skills!O6</f>
        <v/>
      </c>
      <c r="G2989">
        <f>Skills!G6*IF(Skills!H6&gt;0,Skills!I6/Skills!H6,1)</f>
        <v/>
      </c>
      <c r="H2989">
        <f>1-(1-Skills!J6/100)^Skills!K6</f>
        <v/>
      </c>
      <c r="I2989" t="inlineStr">
        <is>
          <t>1</t>
        </is>
      </c>
      <c r="J2989">
        <f>((Inputs!$B$6*(1+Inputs!$B$7/100))+(((Inputs!$B$12*(1+Inputs!$B$13/100))-(Inputs!$B$12*(1+Inputs!$B$13/100)))+0.25*(Inputs!$B$14-Inputs!$B$14))*(1+Inputs!$B$7/100))*(F2989/100)</f>
        <v/>
      </c>
      <c r="K2989">
        <f>J2989*(1+((Inputs!$B$12*(1+Inputs!$B$13/100))*0.01+Inputs!$B$14*0.0025)/100)*(1+Inputs!$B$15/100)*(1+Inputs!$B$16/100)*(5000/(6000+Inputs!$B$42*(1-(100*(1-(1-(Inputs!$B$19+0)/100)*(1-CHOOSE(ArtifactsInput!$N$40+1,5,6,7,8,9,10)/100)^(ArtifactsInput!$M$40-ArtifactsInput!$M$40)))/100)))*(1+(Inputs!$B$24+((C3008=TRUE)*(F3008-Calc!F25))+B3018)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3004=TRUE)*(F3004-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3006=TRUE)*(F3006-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2996=TRUE)*F2996*IF(Inputs!$B$3&gt;=110,7,5))+((C2998=TRUE)*F2998*IF(AND(Inputs!$B$38&lt;&gt;"pvp",Inputs!$B$43&gt;0),(((R2998-1)*(Skills!T15*(1+(Inputs!$B$34+(ArtifactsInput!$M$7-ArtifactsInput!$M$7)*CHOOSE(ArtifactsInput!$N$7+1,6,7.2,8.4,9.6,10.8,12))/100))+MIN((Skills!T15*(1+(Inputs!$B$34+(ArtifactsInput!$M$7-ArtifactsInput!$M$7)*CHOOSE(ArtifactsInput!$N$7+1,6,7.2,8.4,9.6,10.8,12))/100)),MAX(0,Inputs!$B$43-((R2998-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Hunt"),CHOOSE(ArtifactsInput!$N$35+1,15,18,21,24,27,30)*(1-EXP(-(0.2*B3014)*5)),0)+IF(AND(ArtifactsInput!$M$22,Inputs!$B$4&lt;&gt;"Chapter Hunt"),CHOOSE(ArtifactsInput!$N$22+1,10,12,14,16,18,20)*((0*(((0.15*B3014*5))^0/1)+1*(((0.15*B3014*5))^1/1)+2*(((0.15*B3014*5))^2/2)+3*(((0.15*B3014*5))^3/6)+4*(((0.15*B3014*5))^4/24)+5*(((0.15*B3014*5))^5/120))/((((0.15*B3014*5))^0/1)+(((0.15*B3014*5))^1/1)+(((0.15*B3014*5))^2/2)+(((0.15*B3014*5))^3/6)+(((0.15*B3014*5))^4/24)+(((0.15*B3014*5))^5/120))),0)))/100)*I2989)</f>
        <v/>
      </c>
      <c r="L2989">
        <f>K2989*(MIN(Inputs!$B$22+((C3005=TRUE)*(F3005-Calc!F22)),(Inputs!$B$23+((C3007=TRUE)*(F3007-Calc!F24))+(IF(ArtifactsInput!$M$15,CHOOSE(ArtifactsInput!$N$15+1,25,30,35,40,45,50)/100*(Inputs!$B$11-Inputs!$B$11),0))))/100+(Inputs!$B$23+((C3007=TRUE)*(F3007-Calc!F24))+(IF(ArtifactsInput!$M$15,CHOOSE(ArtifactsInput!$N$15+1,25,30,35,40,45,50)/100*(Inputs!$B$11-Inputs!$B$11),0)))/100)/2</f>
        <v/>
      </c>
      <c r="M2989">
        <f>L2989*(1+(Inputs!$B$10+0+B3017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89">
        <f>L2989*(1-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2989*(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89">
        <f>(1-Summary!$B$11)*T2989+Summary!$B$11*V2989</f>
        <v/>
      </c>
      <c r="P2989">
        <f>IF(B3022=0,0,O2989/B3022)</f>
        <v/>
      </c>
      <c r="Q2989">
        <f>IFERROR(1/(IF(Inputs!$B$38="pvp",15,MAX(0.1,Skills!D6-IF(Skills!E6=TRUE,4.0,0)))*(1-IF(AND(ArtifactsInput!$M$27,Inputs!$B$4="Chapter Hunt"),CHOOSE(ArtifactsInput!$N$27+1,20,24,28,32,36,40),0)/100)),0)</f>
        <v/>
      </c>
      <c r="R2989">
        <f>IF(AND(Inputs!$B$38&lt;&gt;"pvp",Inputs!$B$43&gt;0),IF(MAX(0,Inputs!$B$43-B3019)&lt;=0,0,(INT(MAX(0,Inputs!$B$43-B3019)/(IF(Inputs!$B$38="pvp",15,MAX(0.1,Skills!D6-IF(Skills!E6=TRUE,4.0,0)))*(1-IF(AND(ArtifactsInput!$M$27,Inputs!$B$4="Chapter Hunt"),CHOOSE(ArtifactsInput!$N$27+1,20,24,28,32,36,40),0)/100)))+1)),0)</f>
        <v/>
      </c>
      <c r="S2989">
        <f>IFERROR(O2989/N2989,0)</f>
        <v/>
      </c>
      <c r="T2989">
        <f>IF(C2989,(H2989*N2989*IF(AND(Inputs!$B$38&lt;&gt;"pvp",Inputs!$B$43&gt;0),((Skills!G6*((R2989-1)*IF(Skills!H6&gt;0,Skills!I6/Skills!H6,1)+IF(Skills!H6&gt;0,MIN(Skills!I6,MAX(0,MAX(0,Inputs!$B$43-B3019)-((R2989-1)*(IF(Inputs!$B$38="pvp",15,MAX(0.1,Skills!D6-IF(Skills!E6=TRUE,4.0,0)))*(1-IF(AND(ArtifactsInput!$M$27,Inputs!$B$4="Chapter Hunt"),CHOOSE(ArtifactsInput!$N$27+1,20,24,28,32,36,40),0)/100)))))/Skills!H6,1)))/Inputs!$B$43),G2989*Q2989))*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2989*(1-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2989*(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2989*(1-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2989*(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89">
        <f>IF(C2989,(H2989*N2989*IF(AND(Inputs!$B$38&lt;&gt;"pvp",Inputs!$B$43&gt;0),((Skills!G6*((R2989-1)*IF(Skills!H6&gt;0,Skills!I6/Skills!H6,1)+IF(Skills!H6&gt;0,MIN(Skills!I6,MAX(0,MAX(0,Inputs!$B$43-B3019)-((R2989-1)*(IF(Inputs!$B$38="pvp",15,MAX(0.1,Skills!D6-IF(Skills!E6=TRUE,4.0,0)))*(1-IF(AND(ArtifactsInput!$M$27,Inputs!$B$4="Chapter Hunt"),CHOOSE(ArtifactsInput!$N$27+1,20,24,28,32,36,40),0)/100)))))/Skills!H6,1)))/Inputs!$B$43),G2989*Q2989))*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0">
      <c r="A2990">
        <f>Skills!A7</f>
        <v/>
      </c>
      <c r="B2990">
        <f>Skills!B7</f>
        <v/>
      </c>
      <c r="C2990">
        <f>Inputs!$B$3&gt;=107</f>
        <v/>
      </c>
      <c r="D2990">
        <f>IF(Skills!C7=1,60+Inputs!$B$25+Inputs!$B$29,IF(Skills!C7=2,90+Inputs!$B$26+Inputs!$B$29,IF(Skills!C7=3,120+Inputs!$B$27+Inputs!$B$29,MAX(0,(Inputs!$B$3-100)*3)+Inputs!$B$28+Inputs!$B$29)))</f>
        <v/>
      </c>
      <c r="E2990">
        <f>INDEX(FactorTable!$B$2:$Y$301, MATCH(ROUND(MIN(300,MAX(1,D2990)),0), FactorTable!$A$2:$A$301,0), Skills!M7+1)</f>
        <v/>
      </c>
      <c r="F2990">
        <f>IF(Skills!N7=TRUE,(Skills!L7/10)*(E2990/1000),Skills!L7/10)+Skills!O7</f>
        <v/>
      </c>
      <c r="G2990">
        <f>Skills!G7*IF(Skills!H7&gt;0,Skills!I7/Skills!H7,1)</f>
        <v/>
      </c>
      <c r="H2990">
        <f>1-(1-Skills!J7/100)^Skills!K7</f>
        <v/>
      </c>
      <c r="I2990" t="inlineStr">
        <is>
          <t>1</t>
        </is>
      </c>
      <c r="J2990">
        <f>((Inputs!$B$6*(1+Inputs!$B$7/100))+(((Inputs!$B$12*(1+Inputs!$B$13/100))-(Inputs!$B$12*(1+Inputs!$B$13/100)))+0.25*(Inputs!$B$14-Inputs!$B$14))*(1+Inputs!$B$7/100))*(F2990/100)</f>
        <v/>
      </c>
      <c r="K2990">
        <f>J2990*(1+((Inputs!$B$12*(1+Inputs!$B$13/100))*0.01+Inputs!$B$14*0.0025)/100)*(1+Inputs!$B$15/100)*(1+Inputs!$B$16/100)*(5000/(6000+Inputs!$B$42*(1-(100*(1-(1-(Inputs!$B$19+0)/100)*(1-CHOOSE(ArtifactsInput!$N$40+1,5,6,7,8,9,10)/100)^(ArtifactsInput!$M$40-ArtifactsInput!$M$40)))/100)))*(1+(Inputs!$B$24+((C3008=TRUE)*(F3008-Calc!F25))+B3018)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3004=TRUE)*(F3004-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3006=TRUE)*(F3006-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2996=TRUE)*F2996*IF(Inputs!$B$3&gt;=110,7,5))+((C2998=TRUE)*F2998*IF(AND(Inputs!$B$38&lt;&gt;"pvp",Inputs!$B$43&gt;0),(((R2998-1)*(Skills!T15*(1+(Inputs!$B$34+(ArtifactsInput!$M$7-ArtifactsInput!$M$7)*CHOOSE(ArtifactsInput!$N$7+1,6,7.2,8.4,9.6,10.8,12))/100))+MIN((Skills!T15*(1+(Inputs!$B$34+(ArtifactsInput!$M$7-ArtifactsInput!$M$7)*CHOOSE(ArtifactsInput!$N$7+1,6,7.2,8.4,9.6,10.8,12))/100)),MAX(0,Inputs!$B$43-((R2998-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Hunt"),CHOOSE(ArtifactsInput!$N$35+1,15,18,21,24,27,30)*(1-EXP(-(0.2*B3014)*5)),0)+IF(AND(ArtifactsInput!$M$22,Inputs!$B$4&lt;&gt;"Chapter Hunt"),CHOOSE(ArtifactsInput!$N$22+1,10,12,14,16,18,20)*((0*(((0.15*B3014*5))^0/1)+1*(((0.15*B3014*5))^1/1)+2*(((0.15*B3014*5))^2/2)+3*(((0.15*B3014*5))^3/6)+4*(((0.15*B3014*5))^4/24)+5*(((0.15*B3014*5))^5/120))/((((0.15*B3014*5))^0/1)+(((0.15*B3014*5))^1/1)+(((0.15*B3014*5))^2/2)+(((0.15*B3014*5))^3/6)+(((0.15*B3014*5))^4/24)+(((0.15*B3014*5))^5/120))),0)))/100)*I2990)</f>
        <v/>
      </c>
      <c r="L2990">
        <f>K2990*(MIN(Inputs!$B$22+((C3005=TRUE)*(F3005-Calc!F22)),(Inputs!$B$23+((C3007=TRUE)*(F3007-Calc!F24))+(IF(ArtifactsInput!$M$15,CHOOSE(ArtifactsInput!$N$15+1,25,30,35,40,45,50)/100*(Inputs!$B$11-Inputs!$B$11),0))))/100+(Inputs!$B$23+((C3007=TRUE)*(F3007-Calc!F24))+(IF(ArtifactsInput!$M$15,CHOOSE(ArtifactsInput!$N$15+1,25,30,35,40,45,50)/100*(Inputs!$B$11-Inputs!$B$11),0)))/100)/2</f>
        <v/>
      </c>
      <c r="M2990">
        <f>L2990*(1+(Inputs!$B$10+0+B3017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0">
        <f>L2990*(1-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2990*(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0">
        <f>(1-Summary!$B$11)*T2990+Summary!$B$11*V2990</f>
        <v/>
      </c>
      <c r="P2990">
        <f>IF(B3022=0,0,O2990/B3022)</f>
        <v/>
      </c>
      <c r="Q2990">
        <f>IFERROR(1/(IF(Inputs!$B$38="pvp",15,MAX(0.1,Skills!D7-IF(Skills!E7=TRUE,4.0,0)))*(1-IF(AND(ArtifactsInput!$M$27,Inputs!$B$4="Chapter Hunt"),CHOOSE(ArtifactsInput!$N$27+1,20,24,28,32,36,40),0)/100)),0)</f>
        <v/>
      </c>
      <c r="R2990">
        <f>IF(AND(Inputs!$B$38&lt;&gt;"pvp",Inputs!$B$43&gt;0),IF(MAX(0,Inputs!$B$43-B3019)&lt;=0,0,(INT(MAX(0,Inputs!$B$43-B3019)/(IF(Inputs!$B$38="pvp",15,MAX(0.1,Skills!D7-IF(Skills!E7=TRUE,4.0,0)))*(1-IF(AND(ArtifactsInput!$M$27,Inputs!$B$4="Chapter Hunt"),CHOOSE(ArtifactsInput!$N$27+1,20,24,28,32,36,40),0)/100)))+1)),0)</f>
        <v/>
      </c>
      <c r="S2990">
        <f>IFERROR(O2990/N2990,0)</f>
        <v/>
      </c>
      <c r="T2990">
        <f>IF(C2990,(H2990*N2990*IF(AND(Inputs!$B$38&lt;&gt;"pvp",Inputs!$B$43&gt;0),((Skills!G7*((R2990-1)*IF(Skills!H7&gt;0,Skills!I7/Skills!H7,1)+IF(Skills!H7&gt;0,MIN(Skills!I7,MAX(0,MAX(0,Inputs!$B$43-B3019)-((R2990-1)*(IF(Inputs!$B$38="pvp",15,MAX(0.1,Skills!D7-IF(Skills!E7=TRUE,4.0,0)))*(1-IF(AND(ArtifactsInput!$M$27,Inputs!$B$4="Chapter Hunt"),CHOOSE(ArtifactsInput!$N$27+1,20,24,28,32,36,40),0)/100)))))/Skills!H7,1)))/Inputs!$B$43),G2990*Q2990))*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2990*(1-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2990*(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2990*(1-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2990*(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0">
        <f>IF(C2990,(H2990*N2990*IF(AND(Inputs!$B$38&lt;&gt;"pvp",Inputs!$B$43&gt;0),((Skills!G7*((R2990-1)*IF(Skills!H7&gt;0,Skills!I7/Skills!H7,1)+IF(Skills!H7&gt;0,MIN(Skills!I7,MAX(0,MAX(0,Inputs!$B$43-B3019)-((R2990-1)*(IF(Inputs!$B$38="pvp",15,MAX(0.1,Skills!D7-IF(Skills!E7=TRUE,4.0,0)))*(1-IF(AND(ArtifactsInput!$M$27,Inputs!$B$4="Chapter Hunt"),CHOOSE(ArtifactsInput!$N$27+1,20,24,28,32,36,40),0)/100)))))/Skills!H7,1)))/Inputs!$B$43),G2990*Q2990))*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1">
      <c r="A2991">
        <f>Skills!A8</f>
        <v/>
      </c>
      <c r="B2991">
        <f>Skills!B8</f>
        <v/>
      </c>
      <c r="C2991">
        <f>Inputs!$B$3&gt;=117</f>
        <v/>
      </c>
      <c r="D2991">
        <f>IF(Skills!C8=1,60+Inputs!$B$25+Inputs!$B$29,IF(Skills!C8=2,90+Inputs!$B$26+Inputs!$B$29,IF(Skills!C8=3,120+Inputs!$B$27+Inputs!$B$29,MAX(0,(Inputs!$B$3-100)*3)+Inputs!$B$28+Inputs!$B$29)))</f>
        <v/>
      </c>
      <c r="E2991">
        <f>INDEX(FactorTable!$B$2:$Y$301, MATCH(ROUND(MIN(300,MAX(1,D2991)),0), FactorTable!$A$2:$A$301,0), Skills!M8+1)</f>
        <v/>
      </c>
      <c r="F2991">
        <f>IF(Skills!N8=TRUE,(Skills!L8/10)*(E2991/1000),Skills!L8/10)+Skills!O8</f>
        <v/>
      </c>
      <c r="G2991">
        <f>Skills!G8*IF(Skills!H8&gt;0,Skills!I8/Skills!H8,1)</f>
        <v/>
      </c>
      <c r="H2991">
        <f>1-(1-Skills!J8/100)^Skills!K8</f>
        <v/>
      </c>
      <c r="I2991" t="inlineStr">
        <is>
          <t>1</t>
        </is>
      </c>
      <c r="J2991">
        <f>((Inputs!$B$6*(1+Inputs!$B$7/100))+(((Inputs!$B$12*(1+Inputs!$B$13/100))-(Inputs!$B$12*(1+Inputs!$B$13/100)))+0.25*(Inputs!$B$14-Inputs!$B$14))*(1+Inputs!$B$7/100))*(F2991/100)</f>
        <v/>
      </c>
      <c r="K2991">
        <f>J2991*(1+((Inputs!$B$12*(1+Inputs!$B$13/100))*0.01+Inputs!$B$14*0.0025)/100)*(1+Inputs!$B$15/100)*(1+Inputs!$B$16/100)*(5000/(6000+Inputs!$B$42*(1-(100*(1-(1-(Inputs!$B$19+0)/100)*(1-CHOOSE(ArtifactsInput!$N$40+1,5,6,7,8,9,10)/100)^(ArtifactsInput!$M$40-ArtifactsInput!$M$40)))/100)))*(1+(Inputs!$B$24+((C3008=TRUE)*(F3008-Calc!F25))+B3018)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3004=TRUE)*(F3004-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3006=TRUE)*(F3006-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2996=TRUE)*F2996*IF(Inputs!$B$3&gt;=110,7,5))+((C2998=TRUE)*F2998*IF(AND(Inputs!$B$38&lt;&gt;"pvp",Inputs!$B$43&gt;0),(((R2998-1)*(Skills!T15*(1+(Inputs!$B$34+(ArtifactsInput!$M$7-ArtifactsInput!$M$7)*CHOOSE(ArtifactsInput!$N$7+1,6,7.2,8.4,9.6,10.8,12))/100))+MIN((Skills!T15*(1+(Inputs!$B$34+(ArtifactsInput!$M$7-ArtifactsInput!$M$7)*CHOOSE(ArtifactsInput!$N$7+1,6,7.2,8.4,9.6,10.8,12))/100)),MAX(0,Inputs!$B$43-((R2998-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Hunt"),CHOOSE(ArtifactsInput!$N$35+1,15,18,21,24,27,30)*(1-EXP(-(0.2*B3014)*5)),0)+IF(AND(ArtifactsInput!$M$22,Inputs!$B$4&lt;&gt;"Chapter Hunt"),CHOOSE(ArtifactsInput!$N$22+1,10,12,14,16,18,20)*((0*(((0.15*B3014*5))^0/1)+1*(((0.15*B3014*5))^1/1)+2*(((0.15*B3014*5))^2/2)+3*(((0.15*B3014*5))^3/6)+4*(((0.15*B3014*5))^4/24)+5*(((0.15*B3014*5))^5/120))/((((0.15*B3014*5))^0/1)+(((0.15*B3014*5))^1/1)+(((0.15*B3014*5))^2/2)+(((0.15*B3014*5))^3/6)+(((0.15*B3014*5))^4/24)+(((0.15*B3014*5))^5/120))),0)))/100)*I2991)</f>
        <v/>
      </c>
      <c r="L2991">
        <f>K2991*(MIN(Inputs!$B$22+((C3005=TRUE)*(F3005-Calc!F22)),(Inputs!$B$23+((C3007=TRUE)*(F3007-Calc!F24))+(IF(ArtifactsInput!$M$15,CHOOSE(ArtifactsInput!$N$15+1,25,30,35,40,45,50)/100*(Inputs!$B$11-Inputs!$B$11),0))))/100+(Inputs!$B$23+((C3007=TRUE)*(F3007-Calc!F24))+(IF(ArtifactsInput!$M$15,CHOOSE(ArtifactsInput!$N$15+1,25,30,35,40,45,50)/100*(Inputs!$B$11-Inputs!$B$11),0)))/100)/2</f>
        <v/>
      </c>
      <c r="M2991">
        <f>L2991*(1+(Inputs!$B$10+0+B3017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1">
        <f>L2991*(1-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2991*(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1">
        <f>(1-Summary!$B$11)*T2991+Summary!$B$11*V2991</f>
        <v/>
      </c>
      <c r="P2991">
        <f>IF(B3022=0,0,O2991/B3022)</f>
        <v/>
      </c>
      <c r="Q2991">
        <f>IFERROR(1/(IF(Inputs!$B$38="pvp",15,MAX(0.1,Skills!D8-IF(Skills!E8=TRUE,4.0,0)))*(1-IF(AND(ArtifactsInput!$M$27,Inputs!$B$4="Chapter Hunt"),CHOOSE(ArtifactsInput!$N$27+1,20,24,28,32,36,40),0)/100)),0)</f>
        <v/>
      </c>
      <c r="R2991">
        <f>IF(AND(Inputs!$B$38&lt;&gt;"pvp",Inputs!$B$43&gt;0),IF(MAX(0,Inputs!$B$43-B3019)&lt;=0,0,(INT(MAX(0,Inputs!$B$43-B3019)/(IF(Inputs!$B$38="pvp",15,MAX(0.1,Skills!D8-IF(Skills!E8=TRUE,4.0,0)))*(1-IF(AND(ArtifactsInput!$M$27,Inputs!$B$4="Chapter Hunt"),CHOOSE(ArtifactsInput!$N$27+1,20,24,28,32,36,40),0)/100)))+1)),0)</f>
        <v/>
      </c>
      <c r="S2991">
        <f>IFERROR(O2991/N2991,0)</f>
        <v/>
      </c>
      <c r="T2991">
        <f>IF(C2991,(H2991*N2991*IF(AND(Inputs!$B$38&lt;&gt;"pvp",Inputs!$B$43&gt;0),((Skills!G8*((R2991-1)*IF(Skills!H8&gt;0,Skills!I8/Skills!H8,1)+IF(Skills!H8&gt;0,MIN(Skills!I8,MAX(0,MAX(0,Inputs!$B$43-B3019)-((R2991-1)*(IF(Inputs!$B$38="pvp",15,MAX(0.1,Skills!D8-IF(Skills!E8=TRUE,4.0,0)))*(1-IF(AND(ArtifactsInput!$M$27,Inputs!$B$4="Chapter Hunt"),CHOOSE(ArtifactsInput!$N$27+1,20,24,28,32,36,40),0)/100)))))/Skills!H8,1)))/Inputs!$B$43),G2991*Q2991))*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2991*(1-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2991*(1-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1">
        <f>IF(C2991,(H2991*N2991*IF(AND(Inputs!$B$38&lt;&gt;"pvp",Inputs!$B$43&gt;0),((Skills!G8*((R2991-1)*IF(Skills!H8&gt;0,Skills!I8/Skills!H8,1)+IF(Skills!H8&gt;0,MIN(Skills!I8,MAX(0,MAX(0,Inputs!$B$43-B3019)-((R2991-1)*(IF(Inputs!$B$38="pvp",15,MAX(0.1,Skills!D8-IF(Skills!E8=TRUE,4.0,0)))*(1-IF(AND(ArtifactsInput!$M$27,Inputs!$B$4="Chapter Hunt"),CHOOSE(ArtifactsInput!$N$27+1,20,24,28,32,36,40),0)/100)))))/Skills!H8,1)))/Inputs!$B$43),G2991*Q2991))*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2">
      <c r="A2992">
        <f>Skills!A9</f>
        <v/>
      </c>
      <c r="B2992">
        <f>Skills!B9</f>
        <v/>
      </c>
      <c r="C2992">
        <f>Inputs!$B$3&gt;=69</f>
        <v/>
      </c>
      <c r="D2992">
        <f>IF(Skills!C9=1,60+Inputs!$B$25+Inputs!$B$29,IF(Skills!C9=2,90+Inputs!$B$26+Inputs!$B$29,IF(Skills!C9=3,120+Inputs!$B$27+Inputs!$B$29,MAX(0,(Inputs!$B$3-100)*3)+Inputs!$B$28+Inputs!$B$29)))</f>
        <v/>
      </c>
      <c r="E2992">
        <f>INDEX(FactorTable!$B$2:$Y$301, MATCH(ROUND(MIN(300,MAX(1,D2992)),0), FactorTable!$A$2:$A$301,0), Skills!M9+1)</f>
        <v/>
      </c>
      <c r="F2992">
        <f>IF(Skills!N9=TRUE,(Skills!L9/10)*(E2992/1000),Skills!L9/10)+Skills!O9</f>
        <v/>
      </c>
      <c r="G2992">
        <f>Skills!G9*IF(Skills!H9&gt;0,Skills!I9/Skills!H9,1)</f>
        <v/>
      </c>
      <c r="H2992">
        <f>1-(1-Skills!J9/100)^Skills!K9</f>
        <v/>
      </c>
      <c r="I2992" t="inlineStr">
        <is>
          <t>1</t>
        </is>
      </c>
      <c r="J2992">
        <f>((Inputs!$B$6*(1+Inputs!$B$7/100))+(((Inputs!$B$12*(1+Inputs!$B$13/100))-(Inputs!$B$12*(1+Inputs!$B$13/100)))+0.25*(Inputs!$B$14-Inputs!$B$14))*(1+Inputs!$B$7/100))*(F2992/100)</f>
        <v/>
      </c>
      <c r="K2992">
        <f>J2992*(1+((Inputs!$B$12*(1+Inputs!$B$13/100))*0.01+Inputs!$B$14*0.0025)/100)*(1+Inputs!$B$15/100)*(1+Inputs!$B$16/100)*(5000/(6000+Inputs!$B$42*(1-(100*(1-(1-(Inputs!$B$19+0)/100)*(1-CHOOSE(ArtifactsInput!$N$40+1,5,6,7,8,9,10)/100)^(ArtifactsInput!$M$40-ArtifactsInput!$M$40)))/100)))*(1+(Inputs!$B$24+((C3008=TRUE)*(F3008-Calc!F25))+B3018)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2995=TRUE,F2995,0)/100)*(1+IF(Skills!A9="ENHANCED_RAGING_BLOW",IF(Inputs!$B$3&gt;=134,MAX(0,IF(Inputs!$B$3&gt;=110,7,5)-5)*50,0),0)/100)*(1+(IF(Skills!A9="RAGING_BLOW",Inputs!$B$17+((C3004=TRUE)*(F3004-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3006=TRUE)*(F3006-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2996=TRUE)*F2996*IF(Inputs!$B$3&gt;=110,7,5))+((C2998=TRUE)*F2998*IF(AND(Inputs!$B$38&lt;&gt;"pvp",Inputs!$B$43&gt;0),(((R2998-1)*(Skills!T15*(1+(Inputs!$B$34+(ArtifactsInput!$M$7-ArtifactsInput!$M$7)*CHOOSE(ArtifactsInput!$N$7+1,6,7.2,8.4,9.6,10.8,12))/100))+MIN((Skills!T15*(1+(Inputs!$B$34+(ArtifactsInput!$M$7-ArtifactsInput!$M$7)*CHOOSE(ArtifactsInput!$N$7+1,6,7.2,8.4,9.6,10.8,12))/100)),MAX(0,Inputs!$B$43-((R2998-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Hunt"),CHOOSE(ArtifactsInput!$N$35+1,15,18,21,24,27,30)*(1-EXP(-(0.2*B3014)*5)),0)+IF(AND(ArtifactsInput!$M$22,Inputs!$B$4&lt;&gt;"Chapter Hunt"),CHOOSE(ArtifactsInput!$N$22+1,10,12,14,16,18,20)*((0*(((0.15*B3014*5))^0/1)+1*(((0.15*B3014*5))^1/1)+2*(((0.15*B3014*5))^2/2)+3*(((0.15*B3014*5))^3/6)+4*(((0.15*B3014*5))^4/24)+5*(((0.15*B3014*5))^5/120))/((((0.15*B3014*5))^0/1)+(((0.15*B3014*5))^1/1)+(((0.15*B3014*5))^2/2)+(((0.15*B3014*5))^3/6)+(((0.15*B3014*5))^4/24)+(((0.15*B3014*5))^5/120))),0)))/100)*I2992)</f>
        <v/>
      </c>
      <c r="L2992">
        <f>K2992*(MIN(Inputs!$B$22+((C3005=TRUE)*(F3005-Calc!F22)),(Inputs!$B$23+((C3007=TRUE)*(F3007-Calc!F24))+(IF(ArtifactsInput!$M$15,CHOOSE(ArtifactsInput!$N$15+1,25,30,35,40,45,50)/100*(Inputs!$B$11-Inputs!$B$11),0))))/100+(Inputs!$B$23+((C3007=TRUE)*(F3007-Calc!F24))+(IF(ArtifactsInput!$M$15,CHOOSE(ArtifactsInput!$N$15+1,25,30,35,40,45,50)/100*(Inputs!$B$11-Inputs!$B$11),0)))/100)/2</f>
        <v/>
      </c>
      <c r="M2992">
        <f>L2992*(1+(Inputs!$B$10+0+B3017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2">
        <f>L2992*(1-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2992*(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2">
        <f>(1-Summary!$B$11)*T2992+Summary!$B$11*V2992</f>
        <v/>
      </c>
      <c r="P2992">
        <f>IF(B3022=0,0,O2992/B3022)</f>
        <v/>
      </c>
      <c r="Q2992">
        <f>IFERROR(1/(IF(Inputs!$B$38="pvp",15,MAX(0.1,Skills!D9-IF(Skills!E9=TRUE,4.0,0)))*(1-IF(AND(ArtifactsInput!$M$27,Inputs!$B$4="Chapter Hunt"),CHOOSE(ArtifactsInput!$N$27+1,20,24,28,32,36,40),0)/100)),0)</f>
        <v/>
      </c>
      <c r="R2992">
        <f>IF(AND(Inputs!$B$38&lt;&gt;"pvp",Inputs!$B$43&gt;0),IF(MAX(0,Inputs!$B$43-B3019)&lt;=0,0,(INT(MAX(0,Inputs!$B$43-B3019)/(IF(Inputs!$B$38="pvp",15,MAX(0.1,Skills!D9-IF(Skills!E9=TRUE,4.0,0)))*(1-IF(AND(ArtifactsInput!$M$27,Inputs!$B$4="Chapter Hunt"),CHOOSE(ArtifactsInput!$N$27+1,20,24,28,32,36,40),0)/100)))+1)),0)</f>
        <v/>
      </c>
      <c r="S2992">
        <f>IFERROR(O2992/N2992,0)</f>
        <v/>
      </c>
      <c r="T2992">
        <f>IF(C2992,(H2992*N2992*IF(AND(Inputs!$B$38&lt;&gt;"pvp",Inputs!$B$43&gt;0),((Skills!G9*((R2992-1)*IF(Skills!H9&gt;0,Skills!I9/Skills!H9,1)+IF(Skills!H9&gt;0,MIN(Skills!I9,MAX(0,MAX(0,Inputs!$B$43-B3019)-((R2992-1)*(IF(Inputs!$B$38="pvp",15,MAX(0.1,Skills!D9-IF(Skills!E9=TRUE,4.0,0)))*(1-IF(AND(ArtifactsInput!$M$27,Inputs!$B$4="Chapter Hunt"),CHOOSE(ArtifactsInput!$N$27+1,20,24,28,32,36,40),0)/100)))))/Skills!H9,1)))/Inputs!$B$43),G2992*Q2992))*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2992*(1-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2992*(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2992*(1-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2992*(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2">
        <f>IF(C2992,(H2992*N2992*IF(AND(Inputs!$B$38&lt;&gt;"pvp",Inputs!$B$43&gt;0),((Skills!G9*((R2992-1)*IF(Skills!H9&gt;0,Skills!I9/Skills!H9,1)+IF(Skills!H9&gt;0,MIN(Skills!I9,MAX(0,MAX(0,Inputs!$B$43-B3019)-((R2992-1)*(IF(Inputs!$B$38="pvp",15,MAX(0.1,Skills!D9-IF(Skills!E9=TRUE,4.0,0)))*(1-IF(AND(ArtifactsInput!$M$27,Inputs!$B$4="Chapter Hunt"),CHOOSE(ArtifactsInput!$N$27+1,20,24,28,32,36,40),0)/100)))))/Skills!H9,1)))/Inputs!$B$43),G2992*Q2992))*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3">
      <c r="A2993">
        <f>Skills!A10</f>
        <v/>
      </c>
      <c r="B2993">
        <f>Skills!B10</f>
        <v/>
      </c>
      <c r="C2993">
        <f>Inputs!$B$3&gt;=63</f>
        <v/>
      </c>
      <c r="D2993">
        <f>IF(Skills!C10=1,60+Inputs!$B$25+Inputs!$B$29,IF(Skills!C10=2,90+Inputs!$B$26+Inputs!$B$29,IF(Skills!C10=3,120+Inputs!$B$27+Inputs!$B$29,MAX(0,(Inputs!$B$3-100)*3)+Inputs!$B$28+Inputs!$B$29)))</f>
        <v/>
      </c>
      <c r="E2993">
        <f>INDEX(FactorTable!$B$2:$Y$301, MATCH(ROUND(MIN(300,MAX(1,D2993)),0), FactorTable!$A$2:$A$301,0), Skills!M10+1)</f>
        <v/>
      </c>
      <c r="F2993">
        <f>IF(Skills!N10=TRUE,(Skills!L10/10)*(E2993/1000),Skills!L10/10)+Skills!O10</f>
        <v/>
      </c>
      <c r="G2993">
        <f>Skills!G10*IF(Skills!H10&gt;0,Skills!I10/Skills!H10,1)</f>
        <v/>
      </c>
      <c r="H2993">
        <f>1-(1-Skills!J10/100)^Skills!K10</f>
        <v/>
      </c>
      <c r="I2993" t="inlineStr">
        <is>
          <t>1</t>
        </is>
      </c>
      <c r="J2993">
        <f>((Inputs!$B$6*(1+Inputs!$B$7/100))+(((Inputs!$B$12*(1+Inputs!$B$13/100))-(Inputs!$B$12*(1+Inputs!$B$13/100)))+0.25*(Inputs!$B$14-Inputs!$B$14))*(1+Inputs!$B$7/100))*(F2993/100)</f>
        <v/>
      </c>
      <c r="K2993">
        <f>J2993*(1+((Inputs!$B$12*(1+Inputs!$B$13/100))*0.01+Inputs!$B$14*0.0025)/100)*(1+Inputs!$B$15/100)*(1+Inputs!$B$16/100)*(5000/(6000+Inputs!$B$42*(1-(100*(1-(1-(Inputs!$B$19+0)/100)*(1-CHOOSE(ArtifactsInput!$N$40+1,5,6,7,8,9,10)/100)^(ArtifactsInput!$M$40-ArtifactsInput!$M$40)))/100)))*(1+(Inputs!$B$24+((C3008=TRUE)*(F3008-Calc!F25))+B3018)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2995=TRUE,F2995,0)/100)*(1+IF(Skills!A10="ENHANCED_RAGING_BLOW",IF(Inputs!$B$3&gt;=134,MAX(0,IF(Inputs!$B$3&gt;=110,7,5)-5)*50,0),0)/100)*(1+(IF(Skills!A10="RAGING_BLOW",Inputs!$B$17+((C3004=TRUE)*(F3004-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3006=TRUE)*(F3006-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2996=TRUE)*F2996*IF(Inputs!$B$3&gt;=110,7,5))+((C2998=TRUE)*F2998*IF(AND(Inputs!$B$38&lt;&gt;"pvp",Inputs!$B$43&gt;0),(((R2998-1)*(Skills!T15*(1+(Inputs!$B$34+(ArtifactsInput!$M$7-ArtifactsInput!$M$7)*CHOOSE(ArtifactsInput!$N$7+1,6,7.2,8.4,9.6,10.8,12))/100))+MIN((Skills!T15*(1+(Inputs!$B$34+(ArtifactsInput!$M$7-ArtifactsInput!$M$7)*CHOOSE(ArtifactsInput!$N$7+1,6,7.2,8.4,9.6,10.8,12))/100)),MAX(0,Inputs!$B$43-((R2998-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Hunt"),CHOOSE(ArtifactsInput!$N$35+1,15,18,21,24,27,30)*(1-EXP(-(0.2*B3014)*5)),0)+IF(AND(ArtifactsInput!$M$22,Inputs!$B$4&lt;&gt;"Chapter Hunt"),CHOOSE(ArtifactsInput!$N$22+1,10,12,14,16,18,20)*((0*(((0.15*B3014*5))^0/1)+1*(((0.15*B3014*5))^1/1)+2*(((0.15*B3014*5))^2/2)+3*(((0.15*B3014*5))^3/6)+4*(((0.15*B3014*5))^4/24)+5*(((0.15*B3014*5))^5/120))/((((0.15*B3014*5))^0/1)+(((0.15*B3014*5))^1/1)+(((0.15*B3014*5))^2/2)+(((0.15*B3014*5))^3/6)+(((0.15*B3014*5))^4/24)+(((0.15*B3014*5))^5/120))),0)))/100)*I2993)</f>
        <v/>
      </c>
      <c r="L2993">
        <f>K2993*(MIN(Inputs!$B$22+((C3005=TRUE)*(F3005-Calc!F22)),(Inputs!$B$23+((C3007=TRUE)*(F3007-Calc!F24))+(IF(ArtifactsInput!$M$15,CHOOSE(ArtifactsInput!$N$15+1,25,30,35,40,45,50)/100*(Inputs!$B$11-Inputs!$B$11),0))))/100+(Inputs!$B$23+((C3007=TRUE)*(F3007-Calc!F24))+(IF(ArtifactsInput!$M$15,CHOOSE(ArtifactsInput!$N$15+1,25,30,35,40,45,50)/100*(Inputs!$B$11-Inputs!$B$11),0)))/100)/2</f>
        <v/>
      </c>
      <c r="M2993">
        <f>L2993*(1+(Inputs!$B$10+0+B3017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3">
        <f>L2993*(1-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2993*(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3">
        <f>(1-Summary!$B$11)*T2993+Summary!$B$11*V2993</f>
        <v/>
      </c>
      <c r="P2993">
        <f>IF(B3022=0,0,O2993/B3022)</f>
        <v/>
      </c>
      <c r="Q2993">
        <f>IFERROR(1/(IF(Inputs!$B$38="pvp",15,MAX(0.1,Skills!D10-IF(Skills!E10=TRUE,4.0,0)))*(1-IF(AND(ArtifactsInput!$M$27,Inputs!$B$4="Chapter Hunt"),CHOOSE(ArtifactsInput!$N$27+1,20,24,28,32,36,40),0)/100)),0)</f>
        <v/>
      </c>
      <c r="R2993">
        <f>IF(AND(Inputs!$B$38&lt;&gt;"pvp",Inputs!$B$43&gt;0),IF(MAX(0,Inputs!$B$43-B3019)&lt;=0,0,(INT(MAX(0,Inputs!$B$43-B3019)/(IF(Inputs!$B$38="pvp",15,MAX(0.1,Skills!D10-IF(Skills!E10=TRUE,4.0,0)))*(1-IF(AND(ArtifactsInput!$M$27,Inputs!$B$4="Chapter Hunt"),CHOOSE(ArtifactsInput!$N$27+1,20,24,28,32,36,40),0)/100)))+1)),0)</f>
        <v/>
      </c>
      <c r="S2993">
        <f>IFERROR(O2993/N2993,0)</f>
        <v/>
      </c>
      <c r="T2993">
        <f>IF(C2993,(H2993*N2993*IF(AND(Inputs!$B$38&lt;&gt;"pvp",Inputs!$B$43&gt;0),((Skills!G10*((R2993-1)*IF(Skills!H10&gt;0,Skills!I10/Skills!H10,1)+IF(Skills!H10&gt;0,MIN(Skills!I10,MAX(0,MAX(0,Inputs!$B$43-B3019)-((R2993-1)*(IF(Inputs!$B$38="pvp",15,MAX(0.1,Skills!D10-IF(Skills!E10=TRUE,4.0,0)))*(1-IF(AND(ArtifactsInput!$M$27,Inputs!$B$4="Chapter Hunt"),CHOOSE(ArtifactsInput!$N$27+1,20,24,28,32,36,40),0)/100)))))/Skills!H10,1)))/Inputs!$B$43),G2993*Q2993))*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2993*(1-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2993*(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2993*(1-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2993*(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3">
        <f>IF(C2993,(H2993*N2993*IF(AND(Inputs!$B$38&lt;&gt;"pvp",Inputs!$B$43&gt;0),((Skills!G10*((R2993-1)*IF(Skills!H10&gt;0,Skills!I10/Skills!H10,1)+IF(Skills!H10&gt;0,MIN(Skills!I10,MAX(0,MAX(0,Inputs!$B$43-B3019)-((R2993-1)*(IF(Inputs!$B$38="pvp",15,MAX(0.1,Skills!D10-IF(Skills!E10=TRUE,4.0,0)))*(1-IF(AND(ArtifactsInput!$M$27,Inputs!$B$4="Chapter Hunt"),CHOOSE(ArtifactsInput!$N$27+1,20,24,28,32,36,40),0)/100)))))/Skills!H10,1)))/Inputs!$B$43),G2993*Q2993))*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4">
      <c r="A2994">
        <f>Skills!A11</f>
        <v/>
      </c>
      <c r="B2994">
        <f>Skills!B11</f>
        <v/>
      </c>
      <c r="C2994">
        <f>Inputs!$B$3&gt;=35</f>
        <v/>
      </c>
      <c r="D2994">
        <f>IF(Skills!C11=1,60+Inputs!$B$25+Inputs!$B$29,IF(Skills!C11=2,90+Inputs!$B$26+Inputs!$B$29,IF(Skills!C11=3,120+Inputs!$B$27+Inputs!$B$29,MAX(0,(Inputs!$B$3-100)*3)+Inputs!$B$28+Inputs!$B$29)))</f>
        <v/>
      </c>
      <c r="E2994">
        <f>INDEX(FactorTable!$B$2:$Y$301, MATCH(ROUND(MIN(300,MAX(1,D2994)),0), FactorTable!$A$2:$A$301,0), Skills!M11+1)</f>
        <v/>
      </c>
      <c r="F2994">
        <f>IF(Skills!N11=TRUE,(Skills!L11/10)*(E2994/1000),Skills!L11/10)+Skills!O11</f>
        <v/>
      </c>
      <c r="G2994">
        <f>Skills!G11*IF(Skills!H11&gt;0,Skills!I11/Skills!H11,1)</f>
        <v/>
      </c>
      <c r="H2994">
        <f>1-(1-Skills!J11/100)^Skills!K11</f>
        <v/>
      </c>
      <c r="I2994" t="inlineStr">
        <is>
          <t>1</t>
        </is>
      </c>
      <c r="J2994">
        <f>((Inputs!$B$6*(1+Inputs!$B$7/100))+(((Inputs!$B$12*(1+Inputs!$B$13/100))-(Inputs!$B$12*(1+Inputs!$B$13/100)))+0.25*(Inputs!$B$14-Inputs!$B$14))*(1+Inputs!$B$7/100))*(F2994/100)</f>
        <v/>
      </c>
      <c r="K2994">
        <f>J2994*(1+((Inputs!$B$12*(1+Inputs!$B$13/100))*0.01+Inputs!$B$14*0.0025)/100)*(1+Inputs!$B$15/100)*(1+Inputs!$B$16/100)*(5000/(6000+Inputs!$B$42*(1-(100*(1-(1-(Inputs!$B$19+0)/100)*(1-CHOOSE(ArtifactsInput!$N$40+1,5,6,7,8,9,10)/100)^(ArtifactsInput!$M$40-ArtifactsInput!$M$40)))/100)))*(1+(Inputs!$B$24+((C3008=TRUE)*(F3008-Calc!F25))+B3018)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2995=TRUE,F2995,0)/100)*(1+IF(Skills!A11="ENHANCED_RAGING_BLOW",IF(Inputs!$B$3&gt;=134,MAX(0,IF(Inputs!$B$3&gt;=110,7,5)-5)*50,0),0)/100)*(1+(IF(Skills!A11="RAGING_BLOW",Inputs!$B$17+((C3004=TRUE)*(F3004-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3006=TRUE)*(F3006-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2996=TRUE)*F2996*IF(Inputs!$B$3&gt;=110,7,5))+((C2998=TRUE)*F2998*IF(AND(Inputs!$B$38&lt;&gt;"pvp",Inputs!$B$43&gt;0),(((R2998-1)*(Skills!T15*(1+(Inputs!$B$34+(ArtifactsInput!$M$7-ArtifactsInput!$M$7)*CHOOSE(ArtifactsInput!$N$7+1,6,7.2,8.4,9.6,10.8,12))/100))+MIN((Skills!T15*(1+(Inputs!$B$34+(ArtifactsInput!$M$7-ArtifactsInput!$M$7)*CHOOSE(ArtifactsInput!$N$7+1,6,7.2,8.4,9.6,10.8,12))/100)),MAX(0,Inputs!$B$43-((R2998-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Hunt"),CHOOSE(ArtifactsInput!$N$35+1,15,18,21,24,27,30)*(1-EXP(-(0.2*B3014)*5)),0)+IF(AND(ArtifactsInput!$M$22,Inputs!$B$4&lt;&gt;"Chapter Hunt"),CHOOSE(ArtifactsInput!$N$22+1,10,12,14,16,18,20)*((0*(((0.15*B3014*5))^0/1)+1*(((0.15*B3014*5))^1/1)+2*(((0.15*B3014*5))^2/2)+3*(((0.15*B3014*5))^3/6)+4*(((0.15*B3014*5))^4/24)+5*(((0.15*B3014*5))^5/120))/((((0.15*B3014*5))^0/1)+(((0.15*B3014*5))^1/1)+(((0.15*B3014*5))^2/2)+(((0.15*B3014*5))^3/6)+(((0.15*B3014*5))^4/24)+(((0.15*B3014*5))^5/120))),0)))/100)*I2994)</f>
        <v/>
      </c>
      <c r="L2994">
        <f>K2994*(MIN(Inputs!$B$22+((C3005=TRUE)*(F3005-Calc!F22)),(Inputs!$B$23+((C3007=TRUE)*(F3007-Calc!F24))+(IF(ArtifactsInput!$M$15,CHOOSE(ArtifactsInput!$N$15+1,25,30,35,40,45,50)/100*(Inputs!$B$11-Inputs!$B$11),0))))/100+(Inputs!$B$23+((C3007=TRUE)*(F3007-Calc!F24))+(IF(ArtifactsInput!$M$15,CHOOSE(ArtifactsInput!$N$15+1,25,30,35,40,45,50)/100*(Inputs!$B$11-Inputs!$B$11),0)))/100)/2</f>
        <v/>
      </c>
      <c r="M2994">
        <f>L2994*(1+(Inputs!$B$10+0+B3017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4">
        <f>L2994*(1-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2994*(MIN((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4">
        <f>(1-Summary!$B$11)*T2994+Summary!$B$11*V2994</f>
        <v/>
      </c>
      <c r="P2994">
        <f>IF(B3022=0,0,O2994/B3022)</f>
        <v/>
      </c>
      <c r="Q2994">
        <f>IFERROR(1/(IF(Inputs!$B$38="pvp",15,MAX(0.1,Skills!D11-IF(Skills!E11=TRUE,4.0,0)))*(1-IF(AND(ArtifactsInput!$M$27,Inputs!$B$4="Chapter Hunt"),CHOOSE(ArtifactsInput!$N$27+1,20,24,28,32,36,40),0)/100)),0)</f>
        <v/>
      </c>
      <c r="R2994">
        <f>IF(AND(Inputs!$B$38&lt;&gt;"pvp",Inputs!$B$43&gt;0),IF(MAX(0,Inputs!$B$43-B3019)&lt;=0,0,(INT(MAX(0,Inputs!$B$43-B3019)/(IF(Inputs!$B$38="pvp",15,MAX(0.1,Skills!D11-IF(Skills!E11=TRUE,4.0,0)))*(1-IF(AND(ArtifactsInput!$M$27,Inputs!$B$4="Chapter Hunt"),CHOOSE(ArtifactsInput!$N$27+1,20,24,28,32,36,40),0)/100)))+1)),0)</f>
        <v/>
      </c>
      <c r="S2994">
        <f>IFERROR(O2994/N2994,0)</f>
        <v/>
      </c>
      <c r="T2994">
        <f>IF(C2994,(H2994*N2994*IF(AND(Inputs!$B$38&lt;&gt;"pvp",Inputs!$B$43&gt;0),((Skills!G11*((R2994-1)*IF(Skills!H11&gt;0,Skills!I11/Skills!H11,1)+IF(Skills!H11&gt;0,MIN(Skills!I11,MAX(0,MAX(0,Inputs!$B$43-B3019)-((R2994-1)*(IF(Inputs!$B$38="pvp",15,MAX(0.1,Skills!D11-IF(Skills!E11=TRUE,4.0,0)))*(1-IF(AND(ArtifactsInput!$M$27,Inputs!$B$4="Chapter Hunt"),CHOOSE(ArtifactsInput!$N$27+1,20,24,28,32,36,40),0)/100)))))/Skills!H11,1)))/Inputs!$B$43),G2994*Q2994))*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2994*(1-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2994*(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2994*(1-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2994*(MIN(100,(Inputs!$B$9+((C3009=TRUE)*(F3009-Calc!F26))+B3012+(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94">
        <f>IF(C2994,(H2994*N2994*IF(AND(Inputs!$B$38&lt;&gt;"pvp",Inputs!$B$43&gt;0),((Skills!G11*((R2994-1)*IF(Skills!H11&gt;0,Skills!I11/Skills!H11,1)+IF(Skills!H11&gt;0,MIN(Skills!I11,MAX(0,MAX(0,Inputs!$B$43-B3019)-((R2994-1)*(IF(Inputs!$B$38="pvp",15,MAX(0.1,Skills!D11-IF(Skills!E11=TRUE,4.0,0)))*(1-IF(AND(ArtifactsInput!$M$27,Inputs!$B$4="Chapter Hunt"),CHOOSE(ArtifactsInput!$N$27+1,20,24,28,32,36,40),0)/100)))))/Skills!H11,1)))/Inputs!$B$43),G2994*Q2994))*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5">
      <c r="A2995">
        <f>Skills!A12</f>
        <v/>
      </c>
      <c r="B2995">
        <f>Skills!B12</f>
        <v/>
      </c>
      <c r="C2995">
        <f>Inputs!$B$3&gt;=100</f>
        <v/>
      </c>
      <c r="D2995">
        <f>IF(Skills!C12=1,60+Inputs!$B$25+Inputs!$B$29,IF(Skills!C12=2,90+Inputs!$B$26+Inputs!$B$29,IF(Skills!C12=3,120+Inputs!$B$27+Inputs!$B$29,MAX(0,(Inputs!$B$3-100)*3)+Inputs!$B$28+Inputs!$B$29)))</f>
        <v/>
      </c>
      <c r="E2995">
        <f>INDEX(FactorTable!$B$2:$Y$301, MATCH(ROUND(MIN(300,MAX(1,D2995)),0), FactorTable!$A$2:$A$301,0), Skills!M12+1)</f>
        <v/>
      </c>
      <c r="F2995">
        <f>IF(Skills!N12=TRUE,(Skills!L12/10)*(E2995/1000),Skills!L12/10)+Skills!O12</f>
        <v/>
      </c>
      <c r="G2995" t="inlineStr"/>
      <c r="H2995" t="inlineStr"/>
      <c r="I2995" t="inlineStr">
        <is>
          <t>1</t>
        </is>
      </c>
      <c r="J2995" t="inlineStr"/>
      <c r="K2995" t="inlineStr"/>
      <c r="L2995" t="inlineStr"/>
      <c r="M2995" t="inlineStr"/>
      <c r="N2995" t="inlineStr"/>
      <c r="O2995" t="inlineStr"/>
      <c r="P2995" t="inlineStr"/>
      <c r="Q2995" t="inlineStr"/>
      <c r="R2995" t="inlineStr"/>
      <c r="S2995" t="inlineStr"/>
    </row>
    <row r="2996">
      <c r="A2996">
        <f>Skills!A13</f>
        <v/>
      </c>
      <c r="B2996">
        <f>Skills!B13</f>
        <v/>
      </c>
      <c r="C2996">
        <f>Inputs!$B$3&gt;=45</f>
        <v/>
      </c>
      <c r="D2996">
        <f>IF(Skills!C13=1,60+Inputs!$B$25+Inputs!$B$29,IF(Skills!C13=2,90+Inputs!$B$26+Inputs!$B$29,IF(Skills!C13=3,120+Inputs!$B$27+Inputs!$B$29,MAX(0,(Inputs!$B$3-100)*3)+Inputs!$B$28+Inputs!$B$29)))</f>
        <v/>
      </c>
      <c r="E2996">
        <f>INDEX(FactorTable!$B$2:$Y$301, MATCH(ROUND(MIN(300,MAX(1,D2996)),0), FactorTable!$A$2:$A$301,0), Skills!M13+1)</f>
        <v/>
      </c>
      <c r="F2996">
        <f>IF(Skills!N13=TRUE,(Skills!L13/10)*(E2996/1000),Skills!L13/10)+Skills!O13</f>
        <v/>
      </c>
      <c r="G2996">
        <f>Skills!G13*IF(Skills!H13&gt;0,Skills!I13/Skills!H13,1)</f>
        <v/>
      </c>
      <c r="H2996">
        <f>1-(1-Skills!J13/100)^Skills!K13</f>
        <v/>
      </c>
      <c r="I2996" t="inlineStr">
        <is>
          <t>1</t>
        </is>
      </c>
      <c r="J2996" t="inlineStr"/>
      <c r="K2996" t="inlineStr"/>
      <c r="L2996" t="inlineStr"/>
      <c r="M2996" t="inlineStr"/>
      <c r="N2996" t="inlineStr"/>
      <c r="O2996">
        <f>(1-Summary!$B$11)*T2996+Summary!$B$11*V2996</f>
        <v/>
      </c>
      <c r="P2996">
        <f>IF(B3022=0,0,O2996/B3022)</f>
        <v/>
      </c>
      <c r="Q2996" t="n">
        <v>0</v>
      </c>
      <c r="R2996" t="n">
        <v>0</v>
      </c>
      <c r="S2996">
        <f>IFERROR(O2996/N2996,0)</f>
        <v/>
      </c>
      <c r="T2996" t="n">
        <v>0</v>
      </c>
      <c r="V2996" t="n">
        <v>0</v>
      </c>
    </row>
    <row r="2997">
      <c r="A2997">
        <f>Skills!A14</f>
        <v/>
      </c>
      <c r="B2997">
        <f>Skills!B14</f>
        <v/>
      </c>
      <c r="C2997">
        <f>Inputs!$B$3&gt;=75</f>
        <v/>
      </c>
      <c r="D2997">
        <f>IF(Skills!C14=1,60+Inputs!$B$25+Inputs!$B$29,IF(Skills!C14=2,90+Inputs!$B$26+Inputs!$B$29,IF(Skills!C14=3,120+Inputs!$B$27+Inputs!$B$29,MAX(0,(Inputs!$B$3-100)*3)+Inputs!$B$28+Inputs!$B$29)))</f>
        <v/>
      </c>
      <c r="E2997">
        <f>INDEX(FactorTable!$B$2:$Y$301, MATCH(ROUND(MIN(300,MAX(1,D2997)),0), FactorTable!$A$2:$A$301,0), Skills!M14+1)</f>
        <v/>
      </c>
      <c r="F2997">
        <f>IF(Skills!N14=TRUE,(Skills!L14/10)*(E2997/1000),Skills!L14/10)+Skills!O14</f>
        <v/>
      </c>
      <c r="G2997">
        <f>Skills!G14*IF(Skills!H14&gt;0,Skills!I14/Skills!H14,1)</f>
        <v/>
      </c>
      <c r="H2997">
        <f>1-(1-Skills!J14/100)^Skills!K14</f>
        <v/>
      </c>
      <c r="I2997" t="inlineStr">
        <is>
          <t>1</t>
        </is>
      </c>
      <c r="J2997" t="inlineStr"/>
      <c r="K2997" t="inlineStr"/>
      <c r="L2997" t="inlineStr"/>
      <c r="M2997" t="inlineStr"/>
      <c r="N2997" t="inlineStr"/>
      <c r="O2997">
        <f>(1-Summary!$B$11)*T2997+Summary!$B$11*V2997</f>
        <v/>
      </c>
      <c r="P2997">
        <f>IF(B3022=0,0,O2997/B3022)</f>
        <v/>
      </c>
      <c r="Q2997" t="n">
        <v>0</v>
      </c>
      <c r="R2997" t="n">
        <v>0</v>
      </c>
      <c r="S2997">
        <f>IFERROR(O2997/N2997,0)</f>
        <v/>
      </c>
      <c r="T2997" t="n">
        <v>0</v>
      </c>
      <c r="V2997" t="n">
        <v>0</v>
      </c>
    </row>
    <row r="2998">
      <c r="A2998">
        <f>Skills!A15</f>
        <v/>
      </c>
      <c r="B2998">
        <f>Skills!B15</f>
        <v/>
      </c>
      <c r="C2998">
        <f>Inputs!$B$3&gt;=40</f>
        <v/>
      </c>
      <c r="D2998">
        <f>IF(Skills!C15=1,60+Inputs!$B$25+Inputs!$B$29,IF(Skills!C15=2,90+Inputs!$B$26+Inputs!$B$29,IF(Skills!C15=3,120+Inputs!$B$27+Inputs!$B$29,MAX(0,(Inputs!$B$3-100)*3)+Inputs!$B$28+Inputs!$B$29)))</f>
        <v/>
      </c>
      <c r="E2998">
        <f>INDEX(FactorTable!$B$2:$Y$301, MATCH(ROUND(MIN(300,MAX(1,D2998)),0), FactorTable!$A$2:$A$301,0), Skills!M15+1)</f>
        <v/>
      </c>
      <c r="F2998">
        <f>IF(Skills!N15=TRUE,(Skills!L15/10)*(E2998/1000),Skills!L15/10)+Skills!O15</f>
        <v/>
      </c>
      <c r="G2998">
        <f>Skills!G15*IF(Skills!H15&gt;0,Skills!I15/Skills!H15,1)</f>
        <v/>
      </c>
      <c r="H2998">
        <f>1-(1-Skills!J15/100)^Skills!K15</f>
        <v/>
      </c>
      <c r="I2998" t="inlineStr">
        <is>
          <t>1</t>
        </is>
      </c>
      <c r="J2998" t="inlineStr"/>
      <c r="K2998" t="inlineStr"/>
      <c r="L2998" t="inlineStr"/>
      <c r="M2998" t="inlineStr"/>
      <c r="N2998" t="inlineStr"/>
      <c r="O2998">
        <f>(1-Summary!$B$11)*T2998+Summary!$B$11*V2998</f>
        <v/>
      </c>
      <c r="P2998">
        <f>IF(B3022=0,0,O2998/B3022)</f>
        <v/>
      </c>
      <c r="Q2998">
        <f>IFERROR(1/(IF(Inputs!$B$38="pvp",15,MAX(0.1,Skills!D15-IF(Skills!E15=TRUE,4.0,0)))*(1-IF(AND(ArtifactsInput!$M$27,Inputs!$B$4="Chapter Hunt"),CHOOSE(ArtifactsInput!$N$27+1,20,24,28,32,36,40),0)/100)),0)</f>
        <v/>
      </c>
      <c r="R2998">
        <f>IF(AND(Inputs!$B$38&lt;&gt;"pvp",Inputs!$B$43&gt;0),IF(Inputs!$B$43&lt;=0,0,(INT(Inputs!$B$43/(IF(Inputs!$B$38="pvp",15,MAX(0.1,Skills!D15-IF(Skills!E15=TRUE,4.0,0)))*(1-IF(AND(ArtifactsInput!$M$27,Inputs!$B$4="Chapter Hunt"),CHOOSE(ArtifactsInput!$N$27+1,20,24,28,32,36,40),0)/100)))+1)),0)</f>
        <v/>
      </c>
      <c r="S2998">
        <f>IFERROR(O2998/N2998,0)</f>
        <v/>
      </c>
      <c r="T2998" t="n">
        <v>0</v>
      </c>
      <c r="V2998" t="n">
        <v>0</v>
      </c>
    </row>
    <row r="2999">
      <c r="A2999">
        <f>Skills!A16</f>
        <v/>
      </c>
      <c r="B2999">
        <f>Skills!B16</f>
        <v/>
      </c>
      <c r="C2999">
        <f>Inputs!$B$3&gt;=66</f>
        <v/>
      </c>
      <c r="D2999">
        <f>IF(Skills!C16=1,60+Inputs!$B$25+Inputs!$B$29,IF(Skills!C16=2,90+Inputs!$B$26+Inputs!$B$29,IF(Skills!C16=3,120+Inputs!$B$27+Inputs!$B$29,MAX(0,(Inputs!$B$3-100)*3)+Inputs!$B$28+Inputs!$B$29)))</f>
        <v/>
      </c>
      <c r="E2999">
        <f>INDEX(FactorTable!$B$2:$Y$301, MATCH(ROUND(MIN(300,MAX(1,D2999)),0), FactorTable!$A$2:$A$301,0), Skills!M16+1)</f>
        <v/>
      </c>
      <c r="F2999">
        <f>IF(Skills!N16=TRUE,(Skills!L16/10)*(E2999/1000),Skills!L16/10)+Skills!O16</f>
        <v/>
      </c>
      <c r="G2999">
        <f>Skills!G16*IF(Skills!H16&gt;0,Skills!I16/Skills!H16,1)</f>
        <v/>
      </c>
      <c r="H2999">
        <f>1-(1-Skills!J16/100)^Skills!K16</f>
        <v/>
      </c>
      <c r="I2999" t="inlineStr">
        <is>
          <t>1</t>
        </is>
      </c>
      <c r="J2999" t="inlineStr"/>
      <c r="K2999" t="inlineStr"/>
      <c r="L2999" t="inlineStr"/>
      <c r="M2999" t="inlineStr"/>
      <c r="N2999" t="inlineStr"/>
      <c r="O2999">
        <f>(1-Summary!$B$11)*T2999+Summary!$B$11*V2999</f>
        <v/>
      </c>
      <c r="P2999">
        <f>IF(B3022=0,0,O2999/B3022)</f>
        <v/>
      </c>
      <c r="Q2999">
        <f>IFERROR(1/(IF(Inputs!$B$38="pvp",15,MAX(0.1,Skills!D16-IF(Skills!E16=TRUE,4.0,0)))*(1-IF(AND(ArtifactsInput!$M$27,Inputs!$B$4="Chapter Hunt"),CHOOSE(ArtifactsInput!$N$27+1,20,24,28,32,36,40),0)/100)),0)</f>
        <v/>
      </c>
      <c r="R2999">
        <f>IF(AND(Inputs!$B$38&lt;&gt;"pvp",Inputs!$B$43&gt;0),IF(Inputs!$B$43&lt;=0,0,(INT(Inputs!$B$43/(IF(Inputs!$B$38="pvp",15,MAX(0.1,Skills!D16-IF(Skills!E16=TRUE,4.0,0)))*(1-IF(AND(ArtifactsInput!$M$27,Inputs!$B$4="Chapter Hunt"),CHOOSE(ArtifactsInput!$N$27+1,20,24,28,32,36,40),0)/100)))+1)),0)</f>
        <v/>
      </c>
      <c r="S2999">
        <f>IFERROR(O2999/N2999,0)</f>
        <v/>
      </c>
      <c r="T2999" t="n">
        <v>0</v>
      </c>
      <c r="V2999" t="n">
        <v>0</v>
      </c>
    </row>
    <row r="3000">
      <c r="A3000">
        <f>Skills!A17</f>
        <v/>
      </c>
      <c r="B3000">
        <f>Skills!B17</f>
        <v/>
      </c>
      <c r="C3000">
        <f>Inputs!$B$3&gt;=115</f>
        <v/>
      </c>
      <c r="D3000">
        <f>IF(Skills!C17=1,60+Inputs!$B$25+Inputs!$B$29,IF(Skills!C17=2,90+Inputs!$B$26+Inputs!$B$29,IF(Skills!C17=3,120+Inputs!$B$27+Inputs!$B$29,MAX(0,(Inputs!$B$3-100)*3)+Inputs!$B$28+Inputs!$B$29)))</f>
        <v/>
      </c>
      <c r="E3000">
        <f>INDEX(FactorTable!$B$2:$Y$301, MATCH(ROUND(MIN(300,MAX(1,D3000)),0), FactorTable!$A$2:$A$301,0), Skills!M17+1)</f>
        <v/>
      </c>
      <c r="F3000">
        <f>IF(Skills!N17=TRUE,(Skills!L17/10)*(E3000/1000),Skills!L17/10)+Skills!O17</f>
        <v/>
      </c>
      <c r="G3000">
        <f>Skills!G17*IF(Skills!H17&gt;0,Skills!I17/Skills!H17,1)</f>
        <v/>
      </c>
      <c r="H3000">
        <f>1-(1-Skills!J17/100)^Skills!K17</f>
        <v/>
      </c>
      <c r="I3000" t="inlineStr">
        <is>
          <t>1</t>
        </is>
      </c>
      <c r="J3000" t="inlineStr"/>
      <c r="K3000" t="inlineStr"/>
      <c r="L3000" t="inlineStr"/>
      <c r="M3000" t="inlineStr"/>
      <c r="N3000" t="inlineStr"/>
      <c r="O3000">
        <f>(1-Summary!$B$11)*T3000+Summary!$B$11*V3000</f>
        <v/>
      </c>
      <c r="P3000">
        <f>IF(B3022=0,0,O3000/B3022)</f>
        <v/>
      </c>
      <c r="Q3000">
        <f>IFERROR(1/(IF(Inputs!$B$38="pvp",15,MAX(0.1,Skills!D17-IF(Skills!E17=TRUE,4.0,0)))*(1-IF(AND(ArtifactsInput!$M$27,Inputs!$B$4="Chapter Hunt"),CHOOSE(ArtifactsInput!$N$27+1,20,24,28,32,36,40),0)/100)),0)</f>
        <v/>
      </c>
      <c r="R3000">
        <f>IF(AND(Inputs!$B$38&lt;&gt;"pvp",Inputs!$B$43&gt;0),IF(Inputs!$B$43&lt;=0,0,(INT(Inputs!$B$43/(IF(Inputs!$B$38="pvp",15,MAX(0.1,Skills!D17-IF(Skills!E17=TRUE,4.0,0)))*(1-IF(AND(ArtifactsInput!$M$27,Inputs!$B$4="Chapter Hunt"),CHOOSE(ArtifactsInput!$N$27+1,20,24,28,32,36,40),0)/100)))+1)),0)</f>
        <v/>
      </c>
      <c r="S3000">
        <f>IFERROR(O3000/N3000,0)</f>
        <v/>
      </c>
      <c r="T3000" t="n">
        <v>0</v>
      </c>
      <c r="V3000" t="n">
        <v>0</v>
      </c>
    </row>
    <row r="3001">
      <c r="A3001">
        <f>Skills!A18</f>
        <v/>
      </c>
      <c r="B3001">
        <f>Skills!B18</f>
        <v/>
      </c>
      <c r="C3001">
        <f>Inputs!$B$3&gt;=115</f>
        <v/>
      </c>
      <c r="D3001">
        <f>IF(Skills!C18=1,60+Inputs!$B$25+Inputs!$B$29,IF(Skills!C18=2,90+Inputs!$B$26+Inputs!$B$29,IF(Skills!C18=3,120+Inputs!$B$27+Inputs!$B$29,MAX(0,(Inputs!$B$3-100)*3)+Inputs!$B$28+Inputs!$B$29)))</f>
        <v/>
      </c>
      <c r="E3001">
        <f>INDEX(FactorTable!$B$2:$Y$301, MATCH(ROUND(MIN(300,MAX(1,D3001)),0), FactorTable!$A$2:$A$301,0), Skills!M18+1)</f>
        <v/>
      </c>
      <c r="F3001">
        <f>IF(Skills!N18=TRUE,(Skills!L18/10)*(E3001/1000),Skills!L18/10)+Skills!O18</f>
        <v/>
      </c>
      <c r="G3001">
        <f>Skills!G18*IF(Skills!H18&gt;0,Skills!I18/Skills!H18,1)</f>
        <v/>
      </c>
      <c r="H3001">
        <f>1-(1-Skills!J18/100)^Skills!K18</f>
        <v/>
      </c>
      <c r="I3001" t="inlineStr">
        <is>
          <t>1</t>
        </is>
      </c>
      <c r="J3001" t="inlineStr"/>
      <c r="K3001" t="inlineStr"/>
      <c r="L3001" t="inlineStr"/>
      <c r="M3001" t="inlineStr"/>
      <c r="N3001" t="inlineStr"/>
      <c r="O3001">
        <f>(1-Summary!$B$11)*T3001+Summary!$B$11*V3001</f>
        <v/>
      </c>
      <c r="P3001">
        <f>IF(B3022=0,0,O3001/B3022)</f>
        <v/>
      </c>
      <c r="Q3001">
        <f>IFERROR(1/(IF(Inputs!$B$38="pvp",15,MAX(0.1,Skills!D18-IF(Skills!E18=TRUE,4.0,0)))*(1-IF(AND(ArtifactsInput!$M$27,Inputs!$B$4="Chapter Hunt"),CHOOSE(ArtifactsInput!$N$27+1,20,24,28,32,36,40),0)/100)),0)</f>
        <v/>
      </c>
      <c r="R3001">
        <f>IF(AND(Inputs!$B$38&lt;&gt;"pvp",Inputs!$B$43&gt;0),IF(Inputs!$B$43&lt;=0,0,(INT(Inputs!$B$43/(IF(Inputs!$B$38="pvp",15,MAX(0.1,Skills!D18-IF(Skills!E18=TRUE,4.0,0)))*(1-IF(AND(ArtifactsInput!$M$27,Inputs!$B$4="Chapter Hunt"),CHOOSE(ArtifactsInput!$N$27+1,20,24,28,32,36,40),0)/100)))+1)),0)</f>
        <v/>
      </c>
      <c r="S3001">
        <f>IFERROR(O3001/N3001,0)</f>
        <v/>
      </c>
      <c r="T3001" t="n">
        <v>0</v>
      </c>
      <c r="V3001" t="n">
        <v>0</v>
      </c>
    </row>
    <row r="3002">
      <c r="A3002">
        <f>Skills!A19</f>
        <v/>
      </c>
      <c r="B3002">
        <f>Skills!B19</f>
        <v/>
      </c>
      <c r="C3002">
        <f>TRUE</f>
        <v/>
      </c>
      <c r="D3002">
        <f>IF(Skills!C19=1,60+Inputs!$B$25+Inputs!$B$29,IF(Skills!C19=2,90+Inputs!$B$26+Inputs!$B$29,IF(Skills!C19=3,120+Inputs!$B$27+Inputs!$B$29,MAX(0,(Inputs!$B$3-100)*3)+Inputs!$B$28+Inputs!$B$29)))</f>
        <v/>
      </c>
      <c r="E3002">
        <f>INDEX(FactorTable!$B$2:$Y$301, MATCH(ROUND(MIN(300,MAX(1,D3002)),0), FactorTable!$A$2:$A$301,0), Skills!M19+1)</f>
        <v/>
      </c>
      <c r="F3002">
        <f>IF(Skills!N19=TRUE,(Skills!L19/10)*(E3002/1000),Skills!L19/10)+Skills!O19</f>
        <v/>
      </c>
      <c r="G3002">
        <f>Skills!G19*IF(Skills!H19&gt;0,Skills!I19/Skills!H19,1)</f>
        <v/>
      </c>
      <c r="H3002">
        <f>1-(1-Skills!J19/100)^Skills!K19</f>
        <v/>
      </c>
      <c r="I3002" t="inlineStr">
        <is>
          <t>1</t>
        </is>
      </c>
      <c r="J3002" t="inlineStr"/>
      <c r="K3002" t="inlineStr"/>
      <c r="L3002" t="inlineStr"/>
      <c r="M3002" t="inlineStr"/>
      <c r="N3002" t="inlineStr"/>
      <c r="O3002">
        <f>(1-Summary!$B$11)*T3002+Summary!$B$11*V3002</f>
        <v/>
      </c>
      <c r="P3002">
        <f>IF(B3022=0,0,O3002/B3022)</f>
        <v/>
      </c>
      <c r="Q3002">
        <f>IFERROR(1/(IF(Inputs!$B$38="pvp",15,MAX(0.1,Skills!D19-IF(Skills!E19=TRUE,4.0,0)))*(1-IF(AND(ArtifactsInput!$M$27,Inputs!$B$4="Chapter Hunt"),CHOOSE(ArtifactsInput!$N$27+1,20,24,28,32,36,40),0)/100)),0)</f>
        <v/>
      </c>
      <c r="R3002">
        <f>IF(AND(Inputs!$B$38&lt;&gt;"pvp",Inputs!$B$43&gt;0),IF(Inputs!$B$43&lt;=0,0,(INT(Inputs!$B$43/(IF(Inputs!$B$38="pvp",15,MAX(0.1,Skills!D19-IF(Skills!E19=TRUE,4.0,0)))*(1-IF(AND(ArtifactsInput!$M$27,Inputs!$B$4="Chapter Hunt"),CHOOSE(ArtifactsInput!$N$27+1,20,24,28,32,36,40),0)/100)))+1)),0)</f>
        <v/>
      </c>
      <c r="S3002">
        <f>IFERROR(O3002/N3002,0)</f>
        <v/>
      </c>
      <c r="T3002" t="n">
        <v>0</v>
      </c>
      <c r="V3002" t="n">
        <v>0</v>
      </c>
    </row>
    <row r="3003">
      <c r="A3003">
        <f>Skills!A20</f>
        <v/>
      </c>
      <c r="B3003">
        <f>Skills!B20</f>
        <v/>
      </c>
      <c r="C3003">
        <f>Inputs!$B$3&gt;=33</f>
        <v/>
      </c>
      <c r="D3003">
        <f>IF(Skills!C20=1,60+Inputs!$B$25+Inputs!$B$29,IF(Skills!C20=2,90+Inputs!$B$26+Inputs!$B$29,IF(Skills!C20=3,120+Inputs!$B$27+Inputs!$B$29,MAX(0,(Inputs!$B$3-100)*3)+Inputs!$B$28+Inputs!$B$29)))</f>
        <v/>
      </c>
      <c r="E3003">
        <f>INDEX(FactorTable!$B$2:$Y$301, MATCH(ROUND(MIN(300,MAX(1,D3003)),0), FactorTable!$A$2:$A$301,0), Skills!M20+1)</f>
        <v/>
      </c>
      <c r="F3003">
        <f>IF(Skills!N20=TRUE,(Skills!L20/10)*(E3003/1000),Skills!L20/10)+Skills!O20</f>
        <v/>
      </c>
      <c r="G3003">
        <f>Skills!G20*IF(Skills!H20&gt;0,Skills!I20/Skills!H20,1)</f>
        <v/>
      </c>
      <c r="H3003">
        <f>1-(1-Skills!J20/100)^Skills!K20</f>
        <v/>
      </c>
      <c r="I3003" t="inlineStr">
        <is>
          <t>1</t>
        </is>
      </c>
      <c r="J3003" t="inlineStr"/>
      <c r="K3003" t="inlineStr"/>
      <c r="L3003" t="inlineStr"/>
      <c r="M3003" t="inlineStr"/>
      <c r="N3003" t="inlineStr"/>
      <c r="O3003">
        <f>(1-Summary!$B$11)*T3003+Summary!$B$11*V3003</f>
        <v/>
      </c>
      <c r="P3003">
        <f>IF(B3022=0,0,O3003/B3022)</f>
        <v/>
      </c>
      <c r="Q3003" t="n">
        <v>0</v>
      </c>
      <c r="R3003" t="n">
        <v>0</v>
      </c>
      <c r="S3003">
        <f>IFERROR(O3003/N3003,0)</f>
        <v/>
      </c>
      <c r="T3003" t="n">
        <v>0</v>
      </c>
      <c r="V3003" t="n">
        <v>0</v>
      </c>
    </row>
    <row r="3004">
      <c r="A3004">
        <f>Skills!A21</f>
        <v/>
      </c>
      <c r="B3004">
        <f>Skills!B21</f>
        <v/>
      </c>
      <c r="C3004">
        <f>Inputs!$B$3&gt;=38</f>
        <v/>
      </c>
      <c r="D3004">
        <f>IF(Skills!C21=1,60+Inputs!$B$25+Inputs!$B$29,IF(Skills!C21=2,90+Inputs!$B$26+Inputs!$B$29,IF(Skills!C21=3,120+Inputs!$B$27+Inputs!$B$29,MAX(0,(Inputs!$B$3-100)*3)+Inputs!$B$28+Inputs!$B$29)))</f>
        <v/>
      </c>
      <c r="E3004">
        <f>INDEX(FactorTable!$B$2:$Y$301, MATCH(ROUND(MIN(300,MAX(1,D3004)),0), FactorTable!$A$2:$A$301,0), Skills!M21+1)</f>
        <v/>
      </c>
      <c r="F3004">
        <f>IF(Skills!N21=TRUE,(Skills!L21/10)*(E3004/1000),Skills!L21/10)+Skills!O21</f>
        <v/>
      </c>
      <c r="G3004">
        <f>Skills!G21*IF(Skills!H21&gt;0,Skills!I21/Skills!H21,1)</f>
        <v/>
      </c>
      <c r="H3004">
        <f>1-(1-Skills!J21/100)^Skills!K21</f>
        <v/>
      </c>
      <c r="I3004" t="inlineStr">
        <is>
          <t>1</t>
        </is>
      </c>
      <c r="J3004" t="inlineStr"/>
      <c r="K3004" t="inlineStr"/>
      <c r="L3004" t="inlineStr"/>
      <c r="M3004" t="inlineStr"/>
      <c r="N3004" t="inlineStr"/>
      <c r="O3004">
        <f>(1-Summary!$B$11)*T3004+Summary!$B$11*V3004</f>
        <v/>
      </c>
      <c r="P3004">
        <f>IF(B3022=0,0,O3004/B3022)</f>
        <v/>
      </c>
      <c r="Q3004" t="n">
        <v>0</v>
      </c>
      <c r="R3004" t="n">
        <v>0</v>
      </c>
      <c r="S3004">
        <f>IFERROR(O3004/N3004,0)</f>
        <v/>
      </c>
      <c r="T3004" t="n">
        <v>0</v>
      </c>
      <c r="V3004" t="n">
        <v>0</v>
      </c>
    </row>
    <row r="3005">
      <c r="A3005">
        <f>Skills!A22</f>
        <v/>
      </c>
      <c r="B3005">
        <f>Skills!B22</f>
        <v/>
      </c>
      <c r="C3005">
        <f>Inputs!$B$3&gt;=43</f>
        <v/>
      </c>
      <c r="D3005">
        <f>IF(Skills!C22=1,60+Inputs!$B$25+Inputs!$B$29,IF(Skills!C22=2,90+Inputs!$B$26+Inputs!$B$29,IF(Skills!C22=3,120+Inputs!$B$27+Inputs!$B$29,MAX(0,(Inputs!$B$3-100)*3)+Inputs!$B$28+Inputs!$B$29)))</f>
        <v/>
      </c>
      <c r="E3005">
        <f>INDEX(FactorTable!$B$2:$Y$301, MATCH(ROUND(MIN(300,MAX(1,D3005)),0), FactorTable!$A$2:$A$301,0), Skills!M22+1)</f>
        <v/>
      </c>
      <c r="F3005">
        <f>IF(Skills!N22=TRUE,(Skills!L22/10)*(E3005/1000),Skills!L22/10)+Skills!O22</f>
        <v/>
      </c>
      <c r="G3005">
        <f>Skills!G22*IF(Skills!H22&gt;0,Skills!I22/Skills!H22,1)</f>
        <v/>
      </c>
      <c r="H3005">
        <f>1-(1-Skills!J22/100)^Skills!K22</f>
        <v/>
      </c>
      <c r="I3005" t="inlineStr">
        <is>
          <t>1</t>
        </is>
      </c>
      <c r="J3005" t="inlineStr"/>
      <c r="K3005" t="inlineStr"/>
      <c r="L3005" t="inlineStr"/>
      <c r="M3005" t="inlineStr"/>
      <c r="N3005" t="inlineStr"/>
      <c r="O3005">
        <f>(1-Summary!$B$11)*T3005+Summary!$B$11*V3005</f>
        <v/>
      </c>
      <c r="P3005">
        <f>IF(B3022=0,0,O3005/B3022)</f>
        <v/>
      </c>
      <c r="Q3005" t="n">
        <v>0</v>
      </c>
      <c r="R3005" t="n">
        <v>0</v>
      </c>
      <c r="S3005">
        <f>IFERROR(O3005/N3005,0)</f>
        <v/>
      </c>
      <c r="T3005" t="n">
        <v>0</v>
      </c>
      <c r="V3005" t="n">
        <v>0</v>
      </c>
    </row>
    <row r="3006">
      <c r="A3006">
        <f>Skills!A23</f>
        <v/>
      </c>
      <c r="B3006">
        <f>Skills!B23</f>
        <v/>
      </c>
      <c r="C3006">
        <f>Inputs!$B$3&gt;=120</f>
        <v/>
      </c>
      <c r="D3006">
        <f>IF(Skills!C23=1,60+Inputs!$B$25+Inputs!$B$29,IF(Skills!C23=2,90+Inputs!$B$26+Inputs!$B$29,IF(Skills!C23=3,120+Inputs!$B$27+Inputs!$B$29,MAX(0,(Inputs!$B$3-100)*3)+Inputs!$B$28+Inputs!$B$29)))</f>
        <v/>
      </c>
      <c r="E3006">
        <f>INDEX(FactorTable!$B$2:$Y$301, MATCH(ROUND(MIN(300,MAX(1,D3006)),0), FactorTable!$A$2:$A$301,0), Skills!M23+1)</f>
        <v/>
      </c>
      <c r="F3006">
        <f>IF(Skills!N23=TRUE,(Skills!L23/10)*(E3006/1000),Skills!L23/10)+Skills!O23</f>
        <v/>
      </c>
      <c r="G3006">
        <f>Skills!G23*IF(Skills!H23&gt;0,Skills!I23/Skills!H23,1)</f>
        <v/>
      </c>
      <c r="H3006">
        <f>1-(1-Skills!J23/100)^Skills!K23</f>
        <v/>
      </c>
      <c r="I3006" t="inlineStr">
        <is>
          <t>1</t>
        </is>
      </c>
      <c r="J3006" t="inlineStr"/>
      <c r="K3006" t="inlineStr"/>
      <c r="L3006" t="inlineStr"/>
      <c r="M3006" t="inlineStr"/>
      <c r="N3006" t="inlineStr"/>
      <c r="O3006">
        <f>(1-Summary!$B$11)*T3006+Summary!$B$11*V3006</f>
        <v/>
      </c>
      <c r="P3006">
        <f>IF(B3022=0,0,O3006/B3022)</f>
        <v/>
      </c>
      <c r="Q3006" t="n">
        <v>0</v>
      </c>
      <c r="R3006" t="n">
        <v>0</v>
      </c>
      <c r="S3006">
        <f>IFERROR(O3006/N3006,0)</f>
        <v/>
      </c>
      <c r="T3006" t="n">
        <v>0</v>
      </c>
      <c r="V3006" t="n">
        <v>0</v>
      </c>
    </row>
    <row r="3007">
      <c r="A3007">
        <f>Skills!A24</f>
        <v/>
      </c>
      <c r="B3007">
        <f>Skills!B24</f>
        <v/>
      </c>
      <c r="C3007">
        <f>Inputs!$B$3&gt;=120</f>
        <v/>
      </c>
      <c r="D3007">
        <f>IF(Skills!C24=1,60+Inputs!$B$25+Inputs!$B$29,IF(Skills!C24=2,90+Inputs!$B$26+Inputs!$B$29,IF(Skills!C24=3,120+Inputs!$B$27+Inputs!$B$29,MAX(0,(Inputs!$B$3-100)*3)+Inputs!$B$28+Inputs!$B$29)))</f>
        <v/>
      </c>
      <c r="E3007">
        <f>INDEX(FactorTable!$B$2:$Y$301, MATCH(ROUND(MIN(300,MAX(1,D3007)),0), FactorTable!$A$2:$A$301,0), Skills!M24+1)</f>
        <v/>
      </c>
      <c r="F3007">
        <f>IF(Skills!N24=TRUE,(Skills!L24/10)*(E3007/1000),Skills!L24/10)+Skills!O24</f>
        <v/>
      </c>
      <c r="G3007">
        <f>Skills!G24*IF(Skills!H24&gt;0,Skills!I24/Skills!H24,1)</f>
        <v/>
      </c>
      <c r="H3007">
        <f>1-(1-Skills!J24/100)^Skills!K24</f>
        <v/>
      </c>
      <c r="I3007" t="inlineStr">
        <is>
          <t>1</t>
        </is>
      </c>
      <c r="J3007" t="inlineStr"/>
      <c r="K3007" t="inlineStr"/>
      <c r="L3007" t="inlineStr"/>
      <c r="M3007" t="inlineStr"/>
      <c r="N3007" t="inlineStr"/>
      <c r="O3007">
        <f>(1-Summary!$B$11)*T3007+Summary!$B$11*V3007</f>
        <v/>
      </c>
      <c r="P3007">
        <f>IF(B3022=0,0,O3007/B3022)</f>
        <v/>
      </c>
      <c r="Q3007" t="n">
        <v>0</v>
      </c>
      <c r="R3007" t="n">
        <v>0</v>
      </c>
      <c r="S3007">
        <f>IFERROR(O3007/N3007,0)</f>
        <v/>
      </c>
      <c r="T3007" t="n">
        <v>0</v>
      </c>
      <c r="V3007" t="n">
        <v>0</v>
      </c>
    </row>
    <row r="3008">
      <c r="A3008">
        <f>Skills!A25</f>
        <v/>
      </c>
      <c r="B3008">
        <f>Skills!B25</f>
        <v/>
      </c>
      <c r="C3008">
        <f>Inputs!$B$3&gt;=125</f>
        <v/>
      </c>
      <c r="D3008">
        <f>IF(Skills!C25=1,60+Inputs!$B$25+Inputs!$B$29,IF(Skills!C25=2,90+Inputs!$B$26+Inputs!$B$29,IF(Skills!C25=3,120+Inputs!$B$27+Inputs!$B$29,MAX(0,(Inputs!$B$3-100)*3)+Inputs!$B$28+Inputs!$B$29)))</f>
        <v/>
      </c>
      <c r="E3008">
        <f>INDEX(FactorTable!$B$2:$Y$301, MATCH(ROUND(MIN(300,MAX(1,D3008)),0), FactorTable!$A$2:$A$301,0), Skills!M25+1)</f>
        <v/>
      </c>
      <c r="F3008">
        <f>IF(Skills!N25=TRUE,(Skills!L25/10)*(E3008/1000),Skills!L25/10)+Skills!O25</f>
        <v/>
      </c>
      <c r="G3008">
        <f>Skills!G25*IF(Skills!H25&gt;0,Skills!I25/Skills!H25,1)</f>
        <v/>
      </c>
      <c r="H3008">
        <f>1-(1-Skills!J25/100)^Skills!K25</f>
        <v/>
      </c>
      <c r="I3008" t="inlineStr">
        <is>
          <t>1</t>
        </is>
      </c>
      <c r="J3008" t="inlineStr"/>
      <c r="K3008" t="inlineStr"/>
      <c r="L3008" t="inlineStr"/>
      <c r="M3008" t="inlineStr"/>
      <c r="N3008" t="inlineStr"/>
      <c r="O3008">
        <f>(1-Summary!$B$11)*T3008+Summary!$B$11*V3008</f>
        <v/>
      </c>
      <c r="P3008">
        <f>IF(B3022=0,0,O3008/B3022)</f>
        <v/>
      </c>
      <c r="Q3008" t="n">
        <v>0</v>
      </c>
      <c r="R3008" t="n">
        <v>0</v>
      </c>
      <c r="S3008">
        <f>IFERROR(O3008/N3008,0)</f>
        <v/>
      </c>
      <c r="T3008" t="n">
        <v>0</v>
      </c>
      <c r="V3008" t="n">
        <v>0</v>
      </c>
    </row>
    <row r="3009">
      <c r="A3009">
        <f>Skills!A26</f>
        <v/>
      </c>
      <c r="B3009">
        <f>Skills!B26</f>
        <v/>
      </c>
      <c r="C3009">
        <f>Inputs!$B$3&gt;=72</f>
        <v/>
      </c>
      <c r="D3009">
        <f>IF(Skills!C26=1,60+Inputs!$B$25+Inputs!$B$29,IF(Skills!C26=2,90+Inputs!$B$26+Inputs!$B$29,IF(Skills!C26=3,120+Inputs!$B$27+Inputs!$B$29,MAX(0,(Inputs!$B$3-100)*3)+Inputs!$B$28+Inputs!$B$29)))</f>
        <v/>
      </c>
      <c r="E3009">
        <f>INDEX(FactorTable!$B$2:$Y$301, MATCH(ROUND(MIN(300,MAX(1,D3009)),0), FactorTable!$A$2:$A$301,0), Skills!M26+1)</f>
        <v/>
      </c>
      <c r="F3009">
        <f>IF(Skills!N26=TRUE,(Skills!L26/10)*(E3009/1000),Skills!L26/10)+Skills!O26</f>
        <v/>
      </c>
      <c r="G3009">
        <f>Skills!G26*IF(Skills!H26&gt;0,Skills!I26/Skills!H26,1)</f>
        <v/>
      </c>
      <c r="H3009">
        <f>1-(1-Skills!J26/100)^Skills!K26</f>
        <v/>
      </c>
      <c r="I3009" t="inlineStr">
        <is>
          <t>1</t>
        </is>
      </c>
      <c r="J3009" t="inlineStr"/>
      <c r="K3009" t="inlineStr"/>
      <c r="L3009" t="inlineStr"/>
      <c r="M3009" t="inlineStr"/>
      <c r="N3009" t="inlineStr"/>
      <c r="O3009">
        <f>(1-Summary!$B$11)*T3009+Summary!$B$11*V3009</f>
        <v/>
      </c>
      <c r="P3009">
        <f>IF(B3022=0,0,O3009/B3022)</f>
        <v/>
      </c>
      <c r="Q3009" t="n">
        <v>0</v>
      </c>
      <c r="R3009" t="n">
        <v>0</v>
      </c>
      <c r="S3009">
        <f>IFERROR(O3009/N3009,0)</f>
        <v/>
      </c>
      <c r="T3009" t="n">
        <v>0</v>
      </c>
      <c r="V3009" t="n">
        <v>0</v>
      </c>
    </row>
    <row r="3011">
      <c r="A3011" t="inlineStr">
        <is>
          <t>Attack% Bucket Multiplier</t>
        </is>
      </c>
      <c r="B3011">
        <f>(1+(((C2996=TRUE)*F2996*IF(Inputs!$B$3&gt;=110,7,5))+((C2998=TRUE)*F2998*IF(AND(Inputs!$B$38&lt;&gt;"pvp",Inputs!$B$43&gt;0),(((R2998-1)*(Skills!T15*(1+(Inputs!$B$34+(ArtifactsInput!$M$7-ArtifactsInput!$M$7)*CHOOSE(ArtifactsInput!$N$7+1,6,7.2,8.4,9.6,10.8,12))/100))+MIN((Skills!T15*(1+(Inputs!$B$34+(ArtifactsInput!$M$7-ArtifactsInput!$M$7)*CHOOSE(ArtifactsInput!$N$7+1,6,7.2,8.4,9.6,10.8,12))/100)),MAX(0,Inputs!$B$43-((R2998-1)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012">
      <c r="A3012" t="inlineStr">
        <is>
          <t>Global Crit Rate Bonus %</t>
        </is>
      </c>
      <c r="B3012" t="n">
        <v>0</v>
      </c>
    </row>
    <row r="3013">
      <c r="A3013" t="inlineStr">
        <is>
          <t>Attack Speed Buff Bonus %</t>
        </is>
      </c>
      <c r="B3013">
        <f>((C3002=TRUE)*F3002*IF(AND(Inputs!$B$38&lt;&gt;"pvp",Inputs!$B$43&gt;0),(((R3002-1)*(Skills!T19*(1+(Inputs!$B$34+(ArtifactsInput!$M$7-ArtifactsInput!$M$7)*CHOOSE(ArtifactsInput!$N$7+1,6,7.2,8.4,9.6,10.8,12))/100))+MIN((Skills!T19*(1+(Inputs!$B$34+(ArtifactsInput!$M$7-ArtifactsInput!$M$7)*CHOOSE(ArtifactsInput!$N$7+1,6,7.2,8.4,9.6,10.8,12))/100)),MAX(0,Inputs!$B$43-((R3002-1)*Skills!D19))))/Inputs!$B$43),IF(Inputs!$B$38="pvp",MIN((Skills!T19*(1+(Inputs!$B$34+(ArtifactsInput!$M$7-ArtifactsInput!$M$7)*CHOOSE(ArtifactsInput!$N$7+1,6,7.2,8.4,9.6,10.8,12))/100)),15)/15,(Skills!T19*(1+(Inputs!$B$34+(ArtifactsInput!$M$7-ArtifactsInput!$M$7)*CHOOSE(ArtifactsInput!$N$7+1,6,7.2,8.4,9.6,10.8,12))/100))/Skills!D19)))</f>
        <v/>
      </c>
    </row>
    <row r="3014">
      <c r="A3014" t="inlineStr">
        <is>
          <t>Actions Per Second</t>
        </is>
      </c>
      <c r="B3014">
        <f>1+MIN(150,150*(1-(1-(Inputs!$B$11+((C3003=TRUE)*(F3003-Calc!F20)))/150)*(1-B3013/150)))/100</f>
        <v/>
      </c>
    </row>
    <row r="3015">
      <c r="A3015" t="inlineStr">
        <is>
          <t>Skill + Buff Cast Rate</t>
        </is>
      </c>
      <c r="B3015">
        <f>IF(AND(Inputs!$B$38&lt;&gt;"pvp",Inputs!$B$43&gt;0),SUMPRODUCT((Skills!E2:E26=TRUE)*(C2985:C3009=TRUE)*R2985:R3009*Skills!F2:F26)/Inputs!$B$43,SUMPRODUCT((Skills!E2:E26=TRUE)*(C2985:C3009=TRUE)*Q2985:Q3009*Skills!F2:F26))</f>
        <v/>
      </c>
    </row>
    <row r="3016">
      <c r="A3016" t="inlineStr">
        <is>
          <t>Raging Blow Casts Per Second</t>
        </is>
      </c>
      <c r="B3016">
        <f>MAX(0,B3014-B3015)</f>
        <v/>
      </c>
    </row>
    <row r="3017">
      <c r="A3017" t="inlineStr">
        <is>
          <t>Global Critical Damage Bonus % (Enrage)</t>
        </is>
      </c>
      <c r="B3017">
        <f>((C3001=TRUE)*F3001*IF(AND(Inputs!$B$38&lt;&gt;"pvp",Inputs!$B$43&gt;0),(((R3001-1)*(Skills!T18*(1+(Inputs!$B$34+(ArtifactsInput!$M$7-ArtifactsInput!$M$7)*CHOOSE(ArtifactsInput!$N$7+1,6,7.2,8.4,9.6,10.8,12))/100))+MIN((Skills!T18*(1+(Inputs!$B$34+(ArtifactsInput!$M$7-ArtifactsInput!$M$7)*CHOOSE(ArtifactsInput!$N$7+1,6,7.2,8.4,9.6,10.8,12))/100)),MAX(0,Inputs!$B$43-((R3001-1)*Skills!D18))))/Inputs!$B$43),IF(Inputs!$B$38="pvp",MIN((Skills!T18*(1+(Inputs!$B$34+(ArtifactsInput!$M$7-ArtifactsInput!$M$7)*CHOOSE(ArtifactsInput!$N$7+1,6,7.2,8.4,9.6,10.8,12))/100)),15)/15,(Skills!T18*(1+(Inputs!$B$34+(ArtifactsInput!$M$7-ArtifactsInput!$M$7)*CHOOSE(ArtifactsInput!$N$7+1,6,7.2,8.4,9.6,10.8,12))/100))/Skills!D18)))</f>
        <v/>
      </c>
    </row>
    <row r="3018">
      <c r="A3018" t="inlineStr">
        <is>
          <t>Global Final Damage Bonus % (Enrage + Combo Synergy)</t>
        </is>
      </c>
      <c r="B3018">
        <f>((C3000=TRUE)*F3000*IF(AND(Inputs!$B$38&lt;&gt;"pvp",Inputs!$B$43&gt;0),(((R3000-1)*(Skills!T17*(1+(Inputs!$B$34+(ArtifactsInput!$M$7-ArtifactsInput!$M$7)*CHOOSE(ArtifactsInput!$N$7+1,6,7.2,8.4,9.6,10.8,12))/100))+MIN((Skills!T17*(1+(Inputs!$B$34+(ArtifactsInput!$M$7-ArtifactsInput!$M$7)*CHOOSE(ArtifactsInput!$N$7+1,6,7.2,8.4,9.6,10.8,12))/100)),MAX(0,Inputs!$B$43-((R3000-1)*Skills!D17))))/Inputs!$B$43),IF(Inputs!$B$38="pvp",MIN((Skills!T17*(1+(Inputs!$B$34+(ArtifactsInput!$M$7-ArtifactsInput!$M$7)*CHOOSE(ArtifactsInput!$N$7+1,6,7.2,8.4,9.6,10.8,12))/100)),15)/15,(Skills!T17*(1+(Inputs!$B$34+(ArtifactsInput!$M$7-ArtifactsInput!$M$7)*CHOOSE(ArtifactsInput!$N$7+1,6,7.2,8.4,9.6,10.8,12))/100))/Skills!D17)))+((C2997=TRUE)*F2997*IF(Inputs!$B$3&gt;=110,7,5))</f>
        <v/>
      </c>
    </row>
    <row r="3019">
      <c r="A3019" t="inlineStr">
        <is>
          <t>Buff-Casting Startup Delay (s, fixed-duration only)</t>
        </is>
      </c>
      <c r="B3019">
        <f>IF(AND(Inputs!$B$38&lt;&gt;"pvp",Inputs!$B$43&gt;0),SUMPRODUCT((Skills!T2:T26&gt;0)*(Skills!E2:E26=TRUE)*(C2985:C3009=TRUE))/B3014,0)</f>
        <v/>
      </c>
    </row>
    <row r="3020">
      <c r="A3020" t="inlineStr">
        <is>
          <t>Boss-Only Total DPS (this block's swept value)</t>
        </is>
      </c>
      <c r="B3020">
        <f>SUM(T2985:T3009)</f>
        <v/>
      </c>
    </row>
    <row r="3021">
      <c r="A3021" t="inlineStr">
        <is>
          <t>Normal-Only Total DPS (this block's swept value)</t>
        </is>
      </c>
      <c r="B3021">
        <f>SUM(V2985:V3009)</f>
        <v/>
      </c>
    </row>
    <row r="3022">
      <c r="A3022" s="6" t="inlineStr">
        <is>
          <t>TOTAL DPS</t>
        </is>
      </c>
      <c r="B3022" s="6">
        <f>SUM(O2985:O3009)</f>
        <v/>
      </c>
    </row>
    <row r="3025">
      <c r="A3025" s="6" t="inlineStr">
        <is>
          <t>Stat: CDR = 4.5s</t>
        </is>
      </c>
    </row>
    <row r="3026">
      <c r="A3026" s="5" t="inlineStr">
        <is>
          <t>Key</t>
        </is>
      </c>
      <c r="B3026" s="5" t="inlineStr">
        <is>
          <t>Name</t>
        </is>
      </c>
      <c r="C3026" s="5" t="inlineStr">
        <is>
          <t>Unlocked</t>
        </is>
      </c>
      <c r="D3026" s="5" t="inlineStr">
        <is>
          <t>InputLevel</t>
        </is>
      </c>
      <c r="E3026" s="5" t="inlineStr">
        <is>
          <t>Factor</t>
        </is>
      </c>
      <c r="F3026" s="5" t="inlineStr">
        <is>
          <t>CoefficientPercent</t>
        </is>
      </c>
      <c r="G3026" s="5" t="inlineStr">
        <is>
          <t>EffectiveHits</t>
        </is>
      </c>
      <c r="H3026" s="5" t="inlineStr">
        <is>
          <t>ProcProbability</t>
        </is>
      </c>
      <c r="I3026" s="5" t="inlineStr">
        <is>
          <t>MapleHeroMultiplier</t>
        </is>
      </c>
      <c r="J3026" s="5" t="inlineStr">
        <is>
          <t>BaseDamage</t>
        </is>
      </c>
      <c r="K3026" s="5" t="inlineStr">
        <is>
          <t>BaseHitDamage</t>
        </is>
      </c>
      <c r="L3026" s="5" t="inlineStr">
        <is>
          <t>NonCritAvg</t>
        </is>
      </c>
      <c r="M3026" s="5" t="inlineStr">
        <is>
          <t>CritAvg</t>
        </is>
      </c>
      <c r="N3026" s="5" t="inlineStr">
        <is>
          <t>ExpectedDamage(perHit)</t>
        </is>
      </c>
      <c r="O3026" s="5" t="inlineStr">
        <is>
          <t>DPS</t>
        </is>
      </c>
      <c r="P3026" s="5" t="inlineStr">
        <is>
          <t>% of Total</t>
        </is>
      </c>
      <c r="Q3026" s="5" t="inlineStr">
        <is>
          <t>InvCooldown</t>
        </is>
      </c>
      <c r="R3026" s="5" t="inlineStr">
        <is>
          <t>CastsInFight</t>
        </is>
      </c>
      <c r="S3026" s="5" t="inlineStr">
        <is>
          <t>HitRate(perSec)</t>
        </is>
      </c>
      <c r="U3026" t="inlineStr">
        <is>
          <t>helpers</t>
        </is>
      </c>
    </row>
    <row r="3027">
      <c r="A3027">
        <f>Skills!A2</f>
        <v/>
      </c>
      <c r="B3027">
        <f>Skills!B2</f>
        <v/>
      </c>
      <c r="C3027">
        <f>Inputs!$B$3&gt;=100</f>
        <v/>
      </c>
      <c r="D3027" t="inlineStr"/>
      <c r="E3027" t="inlineStr"/>
      <c r="F3027">
        <f>U3029+Skills!O2</f>
        <v/>
      </c>
      <c r="G3027">
        <f>Skills!G2*IF(Skills!H2&gt;0,Skills!I2/Skills!H2,1)</f>
        <v/>
      </c>
      <c r="H3027">
        <f>1-(1-Skills!J2/100)^Skills!K2</f>
        <v/>
      </c>
      <c r="I3027" t="inlineStr">
        <is>
          <t>1</t>
        </is>
      </c>
      <c r="J3027">
        <f>((Inputs!$B$6*(1+Inputs!$B$7/100))+(((Inputs!$B$12*(1+Inputs!$B$13/100))-(Inputs!$B$12*(1+Inputs!$B$13/100)))+0.25*(Inputs!$B$14-Inputs!$B$14))*(1+Inputs!$B$7/100))*(F3027/100)</f>
        <v/>
      </c>
      <c r="K3027">
        <f>J3027*(1+((Inputs!$B$12*(1+Inputs!$B$13/100))*0.01+Inputs!$B$14*0.0025)/100)*(1+Inputs!$B$15/100)*(1+Inputs!$B$16/100)*(5000/(6000+Inputs!$B$42*(1-(100*(1-(1-(Inputs!$B$19+0)/100)*(1-CHOOSE(ArtifactsInput!$N$40+1,5,6,7,8,9,10)/100)^(ArtifactsInput!$M$40-ArtifactsInput!$M$40)))/100)))*(1+(Inputs!$B$24+((C3050=TRUE)*(F3050-Calc!F25))+B3060)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3046=TRUE)*(F3046-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3048=TRUE)*(F3048-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3038=TRUE)*F3038*IF(Inputs!$B$3&gt;=110,7,5))+((C3040=TRUE)*F3040*IF(AND(Inputs!$B$38&lt;&gt;"pvp",Inputs!$B$43&gt;0),(((R3040-1)*(Skills!T15*(1+(Inputs!$B$34+(ArtifactsInput!$M$7-ArtifactsInput!$M$7)*CHOOSE(ArtifactsInput!$N$7+1,6,7.2,8.4,9.6,10.8,12))/100))+MIN((Skills!T15*(1+(Inputs!$B$34+(ArtifactsInput!$M$7-ArtifactsInput!$M$7)*CHOOSE(ArtifactsInput!$N$7+1,6,7.2,8.4,9.6,10.8,12))/100)),MAX(0,Inputs!$B$43-((R3040-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Hunt"),CHOOSE(ArtifactsInput!$N$35+1,15,18,21,24,27,30)*(1-EXP(-(0.2*B3056)*5)),0)+IF(AND(ArtifactsInput!$M$22,Inputs!$B$4&lt;&gt;"Chapter Hunt"),CHOOSE(ArtifactsInput!$N$22+1,10,12,14,16,18,20)*((0*(((0.15*B3056*5))^0/1)+1*(((0.15*B3056*5))^1/1)+2*(((0.15*B3056*5))^2/2)+3*(((0.15*B3056*5))^3/6)+4*(((0.15*B3056*5))^4/24)+5*(((0.15*B3056*5))^5/120))/((((0.15*B3056*5))^0/1)+(((0.15*B3056*5))^1/1)+(((0.15*B3056*5))^2/2)+(((0.15*B3056*5))^3/6)+(((0.15*B3056*5))^4/24)+(((0.15*B3056*5))^5/120))),0)))/100)*I3027)</f>
        <v/>
      </c>
      <c r="L3027">
        <f>K3027*(MIN(Inputs!$B$22+((C3047=TRUE)*(F3047-Calc!F22)),(Inputs!$B$23+((C3049=TRUE)*(F3049-Calc!F24))+(IF(ArtifactsInput!$M$15,CHOOSE(ArtifactsInput!$N$15+1,25,30,35,40,45,50)/100*(Inputs!$B$11-Inputs!$B$11),0))))/100+(Inputs!$B$23+((C3049=TRUE)*(F3049-Calc!F24))+(IF(ArtifactsInput!$M$15,CHOOSE(ArtifactsInput!$N$15+1,25,30,35,40,45,50)/100*(Inputs!$B$11-Inputs!$B$11),0)))/100)/2</f>
        <v/>
      </c>
      <c r="M3027">
        <f>L3027*(1+(Inputs!$B$10+0+B3059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27">
        <f>L3027*(1-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3027*(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27">
        <f>(1-Summary!$B$11)*T3027+Summary!$B$11*V3027</f>
        <v/>
      </c>
      <c r="P3027">
        <f>IF(B3064=0,0,O3027/B3064)</f>
        <v/>
      </c>
      <c r="Q3027" t="n">
        <v>0</v>
      </c>
      <c r="R3027" t="n">
        <v>0</v>
      </c>
      <c r="S3027">
        <f>IFERROR(O3027/N3027,0)</f>
        <v/>
      </c>
      <c r="T3027">
        <f>IF(C3027,(Skills!G2*N3027*B3058)*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3027*(1-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3027*(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3027*(1-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3027*(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27">
        <f>MAX(0,(Inputs!$B$3-100)*3)+Inputs!$B$28+Inputs!$B$29</f>
        <v/>
      </c>
      <c r="V3027">
        <f>IF(C3027,(Skills!G2*N3027*B3058)*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28">
      <c r="A3028">
        <f>Skills!A3</f>
        <v/>
      </c>
      <c r="B3028">
        <f>Skills!B3</f>
        <v/>
      </c>
      <c r="C3028">
        <f>Inputs!$B$3&gt;=50</f>
        <v/>
      </c>
      <c r="D3028">
        <f>IF(Skills!C3=1,60+Inputs!$B$25+Inputs!$B$29,IF(Skills!C3=2,90+Inputs!$B$26+Inputs!$B$29,IF(Skills!C3=3,120+Inputs!$B$27+Inputs!$B$29,MAX(0,(Inputs!$B$3-100)*3)+Inputs!$B$28+Inputs!$B$29)))</f>
        <v/>
      </c>
      <c r="E3028">
        <f>INDEX(FactorTable!$B$2:$Y$301, MATCH(ROUND(MIN(300,MAX(1,D3028)),0), FactorTable!$A$2:$A$301,0), Skills!M3+1)</f>
        <v/>
      </c>
      <c r="F3028">
        <f>IF(Skills!N3=TRUE,(Skills!L3/10)*(E3028/1000),Skills!L3/10)+Skills!O3</f>
        <v/>
      </c>
      <c r="G3028" t="inlineStr"/>
      <c r="H3028" t="inlineStr"/>
      <c r="I3028" t="inlineStr">
        <is>
          <t>1</t>
        </is>
      </c>
      <c r="J3028" t="inlineStr"/>
      <c r="K3028" t="inlineStr"/>
      <c r="L3028" t="inlineStr"/>
      <c r="M3028" t="inlineStr"/>
      <c r="N3028" t="inlineStr"/>
      <c r="O3028" t="inlineStr"/>
      <c r="P3028" t="inlineStr"/>
      <c r="Q3028" t="inlineStr"/>
      <c r="R3028" t="inlineStr"/>
      <c r="S3028" t="inlineStr"/>
      <c r="U3028">
        <f>INDEX(FactorTable!$B$2:$Y$301, MATCH(ROUND(MIN(300,MAX(1,U3027)),0), FactorTable!$A$2:$A$301,0), 22)</f>
        <v/>
      </c>
    </row>
    <row r="3029">
      <c r="A3029">
        <f>Skills!A4</f>
        <v/>
      </c>
      <c r="B3029">
        <f>Skills!B4</f>
        <v/>
      </c>
      <c r="C3029">
        <f>Inputs!$B$3&gt;=105</f>
        <v/>
      </c>
      <c r="D3029">
        <f>IF(Skills!C4=1,60+Inputs!$B$25+Inputs!$B$29,IF(Skills!C4=2,90+Inputs!$B$26+Inputs!$B$29,IF(Skills!C4=3,120+Inputs!$B$27+Inputs!$B$29,MAX(0,(Inputs!$B$3-100)*3)+Inputs!$B$28+Inputs!$B$29)))</f>
        <v/>
      </c>
      <c r="E3029">
        <f>INDEX(FactorTable!$B$2:$Y$301, MATCH(ROUND(MIN(300,MAX(1,D3029)),0), FactorTable!$A$2:$A$301,0), Skills!M4+1)</f>
        <v/>
      </c>
      <c r="F3029">
        <f>IF(Skills!N4=TRUE,(Skills!L4/10)*(E3029/1000),Skills!L4/10)+Skills!O4</f>
        <v/>
      </c>
      <c r="G3029" t="inlineStr"/>
      <c r="H3029" t="inlineStr"/>
      <c r="I3029" t="inlineStr">
        <is>
          <t>1</t>
        </is>
      </c>
      <c r="J3029" t="inlineStr"/>
      <c r="K3029" t="inlineStr"/>
      <c r="L3029" t="inlineStr"/>
      <c r="M3029" t="inlineStr"/>
      <c r="N3029" t="inlineStr"/>
      <c r="O3029" t="inlineStr"/>
      <c r="P3029" t="inlineStr"/>
      <c r="Q3029" t="inlineStr"/>
      <c r="R3029" t="inlineStr"/>
      <c r="S3029" t="inlineStr"/>
      <c r="U3029">
        <f>290*U3028/1000</f>
        <v/>
      </c>
    </row>
    <row r="3030">
      <c r="A3030">
        <f>Skills!A5</f>
        <v/>
      </c>
      <c r="B3030">
        <f>Skills!B5</f>
        <v/>
      </c>
      <c r="C3030">
        <f>Inputs!$B$3&gt;=103</f>
        <v/>
      </c>
      <c r="D3030">
        <f>IF(Skills!C5=1,60+Inputs!$B$25+Inputs!$B$29,IF(Skills!C5=2,90+Inputs!$B$26+Inputs!$B$29,IF(Skills!C5=3,120+Inputs!$B$27+Inputs!$B$29,MAX(0,(Inputs!$B$3-100)*3)+Inputs!$B$28+Inputs!$B$29)))</f>
        <v/>
      </c>
      <c r="E3030">
        <f>INDEX(FactorTable!$B$2:$Y$301, MATCH(ROUND(MIN(300,MAX(1,D3030)),0), FactorTable!$A$2:$A$301,0), Skills!M5+1)</f>
        <v/>
      </c>
      <c r="F3030">
        <f>IF(Skills!N5=TRUE,(Skills!L5/10)*(E3030/1000),Skills!L5/10)+Skills!O5</f>
        <v/>
      </c>
      <c r="G3030">
        <f>Skills!G5*IF(Skills!H5&gt;0,Skills!I5/Skills!H5,1)</f>
        <v/>
      </c>
      <c r="H3030">
        <f>1-(1-Skills!J5/100)^Skills!K5</f>
        <v/>
      </c>
      <c r="I3030" t="inlineStr">
        <is>
          <t>1</t>
        </is>
      </c>
      <c r="J3030">
        <f>((Inputs!$B$6*(1+Inputs!$B$7/100))+(((Inputs!$B$12*(1+Inputs!$B$13/100))-(Inputs!$B$12*(1+Inputs!$B$13/100)))+0.25*(Inputs!$B$14-Inputs!$B$14))*(1+Inputs!$B$7/100))*(F3030/100)</f>
        <v/>
      </c>
      <c r="K3030">
        <f>J3030*(1+((Inputs!$B$12*(1+Inputs!$B$13/100))*0.01+Inputs!$B$14*0.0025)/100)*(1+Inputs!$B$15/100)*(1+Inputs!$B$16/100)*(5000/(6000+Inputs!$B$42*(1-(100*(1-(1-(Inputs!$B$19+0)/100)*(1-CHOOSE(ArtifactsInput!$N$40+1,5,6,7,8,9,10)/100)^(ArtifactsInput!$M$40-ArtifactsInput!$M$40)))/100)))*(1+(Inputs!$B$24+((C3050=TRUE)*(F3050-Calc!F25))+B3060)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3046=TRUE)*(F3046-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3048=TRUE)*(F3048-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3038=TRUE)*F3038*IF(Inputs!$B$3&gt;=110,7,5))+((C3040=TRUE)*F3040*IF(AND(Inputs!$B$38&lt;&gt;"pvp",Inputs!$B$43&gt;0),(((R3040-1)*(Skills!T15*(1+(Inputs!$B$34+(ArtifactsInput!$M$7-ArtifactsInput!$M$7)*CHOOSE(ArtifactsInput!$N$7+1,6,7.2,8.4,9.6,10.8,12))/100))+MIN((Skills!T15*(1+(Inputs!$B$34+(ArtifactsInput!$M$7-ArtifactsInput!$M$7)*CHOOSE(ArtifactsInput!$N$7+1,6,7.2,8.4,9.6,10.8,12))/100)),MAX(0,Inputs!$B$43-((R3040-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Hunt"),CHOOSE(ArtifactsInput!$N$35+1,15,18,21,24,27,30)*(1-EXP(-(0.2*B3056)*5)),0)+IF(AND(ArtifactsInput!$M$22,Inputs!$B$4&lt;&gt;"Chapter Hunt"),CHOOSE(ArtifactsInput!$N$22+1,10,12,14,16,18,20)*((0*(((0.15*B3056*5))^0/1)+1*(((0.15*B3056*5))^1/1)+2*(((0.15*B3056*5))^2/2)+3*(((0.15*B3056*5))^3/6)+4*(((0.15*B3056*5))^4/24)+5*(((0.15*B3056*5))^5/120))/((((0.15*B3056*5))^0/1)+(((0.15*B3056*5))^1/1)+(((0.15*B3056*5))^2/2)+(((0.15*B3056*5))^3/6)+(((0.15*B3056*5))^4/24)+(((0.15*B3056*5))^5/120))),0)))/100)*I3030)</f>
        <v/>
      </c>
      <c r="L3030">
        <f>K3030*(MIN(Inputs!$B$22+((C3047=TRUE)*(F3047-Calc!F22)),(Inputs!$B$23+((C3049=TRUE)*(F3049-Calc!F24))+(IF(ArtifactsInput!$M$15,CHOOSE(ArtifactsInput!$N$15+1,25,30,35,40,45,50)/100*(Inputs!$B$11-Inputs!$B$11),0))))/100+(Inputs!$B$23+((C3049=TRUE)*(F3049-Calc!F24))+(IF(ArtifactsInput!$M$15,CHOOSE(ArtifactsInput!$N$15+1,25,30,35,40,45,50)/100*(Inputs!$B$11-Inputs!$B$11),0)))/100)/2</f>
        <v/>
      </c>
      <c r="M3030">
        <f>L3030*(1+(Inputs!$B$10+0+B3059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0">
        <f>L3030*(1-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3030*(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0">
        <f>(1-Summary!$B$11)*T3030+Summary!$B$11*V3030</f>
        <v/>
      </c>
      <c r="P3030">
        <f>IF(B3064=0,0,O3030/B3064)</f>
        <v/>
      </c>
      <c r="Q3030">
        <f>IFERROR(1/(IF(Inputs!$B$38="pvp",15,MAX(0.1,Skills!D5-IF(Skills!E5=TRUE,4.5,0)))*(1-IF(AND(ArtifactsInput!$M$27,Inputs!$B$4="Chapter Hunt"),CHOOSE(ArtifactsInput!$N$27+1,20,24,28,32,36,40),0)/100)),0)</f>
        <v/>
      </c>
      <c r="R3030">
        <f>IF(AND(Inputs!$B$38&lt;&gt;"pvp",Inputs!$B$43&gt;0),IF(MAX(0,Inputs!$B$43-B3061)&lt;=0,0,(INT(MAX(0,Inputs!$B$43-B3061)/(IF(Inputs!$B$38="pvp",15,MAX(0.1,Skills!D5-IF(Skills!E5=TRUE,4.5,0)))*(1-IF(AND(ArtifactsInput!$M$27,Inputs!$B$4="Chapter Hunt"),CHOOSE(ArtifactsInput!$N$27+1,20,24,28,32,36,40),0)/100)))+1)),0)</f>
        <v/>
      </c>
      <c r="S3030">
        <f>IFERROR(O3030/N3030,0)</f>
        <v/>
      </c>
      <c r="T3030">
        <f>IF(C3030,(H3030*N3030*IF(AND(Inputs!$B$38&lt;&gt;"pvp",Inputs!$B$43&gt;0),((Skills!G5*((R3030-1)*IF(Skills!H5&gt;0,Skills!I5/Skills!H5,1)+IF(Skills!H5&gt;0,MIN(Skills!I5,MAX(0,MAX(0,Inputs!$B$43-B3061)-((R3030-1)*(IF(Inputs!$B$38="pvp",15,MAX(0.1,Skills!D5-IF(Skills!E5=TRUE,4.5,0)))*(1-IF(AND(ArtifactsInput!$M$27,Inputs!$B$4="Chapter Hunt"),CHOOSE(ArtifactsInput!$N$27+1,20,24,28,32,36,40),0)/100)))))/Skills!H5,1)))/Inputs!$B$43),G3030*Q3030))*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3030*(1-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3030*(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3030*(1-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3030*(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0">
        <f>IF(C3030,(H3030*N3030*IF(AND(Inputs!$B$38&lt;&gt;"pvp",Inputs!$B$43&gt;0),((Skills!G5*((R3030-1)*IF(Skills!H5&gt;0,Skills!I5/Skills!H5,1)+IF(Skills!H5&gt;0,MIN(Skills!I5,MAX(0,MAX(0,Inputs!$B$43-B3061)-((R3030-1)*(IF(Inputs!$B$38="pvp",15,MAX(0.1,Skills!D5-IF(Skills!E5=TRUE,4.5,0)))*(1-IF(AND(ArtifactsInput!$M$27,Inputs!$B$4="Chapter Hunt"),CHOOSE(ArtifactsInput!$N$27+1,20,24,28,32,36,40),0)/100)))))/Skills!H5,1)))/Inputs!$B$43),G3030*Q3030))*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1">
      <c r="A3031">
        <f>Skills!A6</f>
        <v/>
      </c>
      <c r="B3031">
        <f>Skills!B6</f>
        <v/>
      </c>
      <c r="C3031">
        <f>Inputs!$B$3&gt;=103</f>
        <v/>
      </c>
      <c r="D3031">
        <f>IF(Skills!C6=1,60+Inputs!$B$25+Inputs!$B$29,IF(Skills!C6=2,90+Inputs!$B$26+Inputs!$B$29,IF(Skills!C6=3,120+Inputs!$B$27+Inputs!$B$29,MAX(0,(Inputs!$B$3-100)*3)+Inputs!$B$28+Inputs!$B$29)))</f>
        <v/>
      </c>
      <c r="E3031">
        <f>INDEX(FactorTable!$B$2:$Y$301, MATCH(ROUND(MIN(300,MAX(1,D3031)),0), FactorTable!$A$2:$A$301,0), Skills!M6+1)</f>
        <v/>
      </c>
      <c r="F3031">
        <f>IF(Skills!N6=TRUE,(Skills!L6/10)*(E3031/1000),Skills!L6/10)+Skills!O6</f>
        <v/>
      </c>
      <c r="G3031">
        <f>Skills!G6*IF(Skills!H6&gt;0,Skills!I6/Skills!H6,1)</f>
        <v/>
      </c>
      <c r="H3031">
        <f>1-(1-Skills!J6/100)^Skills!K6</f>
        <v/>
      </c>
      <c r="I3031" t="inlineStr">
        <is>
          <t>1</t>
        </is>
      </c>
      <c r="J3031">
        <f>((Inputs!$B$6*(1+Inputs!$B$7/100))+(((Inputs!$B$12*(1+Inputs!$B$13/100))-(Inputs!$B$12*(1+Inputs!$B$13/100)))+0.25*(Inputs!$B$14-Inputs!$B$14))*(1+Inputs!$B$7/100))*(F3031/100)</f>
        <v/>
      </c>
      <c r="K3031">
        <f>J3031*(1+((Inputs!$B$12*(1+Inputs!$B$13/100))*0.01+Inputs!$B$14*0.0025)/100)*(1+Inputs!$B$15/100)*(1+Inputs!$B$16/100)*(5000/(6000+Inputs!$B$42*(1-(100*(1-(1-(Inputs!$B$19+0)/100)*(1-CHOOSE(ArtifactsInput!$N$40+1,5,6,7,8,9,10)/100)^(ArtifactsInput!$M$40-ArtifactsInput!$M$40)))/100)))*(1+(Inputs!$B$24+((C3050=TRUE)*(F3050-Calc!F25))+B3060)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3046=TRUE)*(F3046-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3048=TRUE)*(F3048-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3038=TRUE)*F3038*IF(Inputs!$B$3&gt;=110,7,5))+((C3040=TRUE)*F3040*IF(AND(Inputs!$B$38&lt;&gt;"pvp",Inputs!$B$43&gt;0),(((R3040-1)*(Skills!T15*(1+(Inputs!$B$34+(ArtifactsInput!$M$7-ArtifactsInput!$M$7)*CHOOSE(ArtifactsInput!$N$7+1,6,7.2,8.4,9.6,10.8,12))/100))+MIN((Skills!T15*(1+(Inputs!$B$34+(ArtifactsInput!$M$7-ArtifactsInput!$M$7)*CHOOSE(ArtifactsInput!$N$7+1,6,7.2,8.4,9.6,10.8,12))/100)),MAX(0,Inputs!$B$43-((R3040-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Hunt"),CHOOSE(ArtifactsInput!$N$35+1,15,18,21,24,27,30)*(1-EXP(-(0.2*B3056)*5)),0)+IF(AND(ArtifactsInput!$M$22,Inputs!$B$4&lt;&gt;"Chapter Hunt"),CHOOSE(ArtifactsInput!$N$22+1,10,12,14,16,18,20)*((0*(((0.15*B3056*5))^0/1)+1*(((0.15*B3056*5))^1/1)+2*(((0.15*B3056*5))^2/2)+3*(((0.15*B3056*5))^3/6)+4*(((0.15*B3056*5))^4/24)+5*(((0.15*B3056*5))^5/120))/((((0.15*B3056*5))^0/1)+(((0.15*B3056*5))^1/1)+(((0.15*B3056*5))^2/2)+(((0.15*B3056*5))^3/6)+(((0.15*B3056*5))^4/24)+(((0.15*B3056*5))^5/120))),0)))/100)*I3031)</f>
        <v/>
      </c>
      <c r="L3031">
        <f>K3031*(MIN(Inputs!$B$22+((C3047=TRUE)*(F3047-Calc!F22)),(Inputs!$B$23+((C3049=TRUE)*(F3049-Calc!F24))+(IF(ArtifactsInput!$M$15,CHOOSE(ArtifactsInput!$N$15+1,25,30,35,40,45,50)/100*(Inputs!$B$11-Inputs!$B$11),0))))/100+(Inputs!$B$23+((C3049=TRUE)*(F3049-Calc!F24))+(IF(ArtifactsInput!$M$15,CHOOSE(ArtifactsInput!$N$15+1,25,30,35,40,45,50)/100*(Inputs!$B$11-Inputs!$B$11),0)))/100)/2</f>
        <v/>
      </c>
      <c r="M3031">
        <f>L3031*(1+(Inputs!$B$10+0+B3059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1">
        <f>L3031*(1-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3031*(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1">
        <f>(1-Summary!$B$11)*T3031+Summary!$B$11*V3031</f>
        <v/>
      </c>
      <c r="P3031">
        <f>IF(B3064=0,0,O3031/B3064)</f>
        <v/>
      </c>
      <c r="Q3031">
        <f>IFERROR(1/(IF(Inputs!$B$38="pvp",15,MAX(0.1,Skills!D6-IF(Skills!E6=TRUE,4.5,0)))*(1-IF(AND(ArtifactsInput!$M$27,Inputs!$B$4="Chapter Hunt"),CHOOSE(ArtifactsInput!$N$27+1,20,24,28,32,36,40),0)/100)),0)</f>
        <v/>
      </c>
      <c r="R3031">
        <f>IF(AND(Inputs!$B$38&lt;&gt;"pvp",Inputs!$B$43&gt;0),IF(MAX(0,Inputs!$B$43-B3061)&lt;=0,0,(INT(MAX(0,Inputs!$B$43-B3061)/(IF(Inputs!$B$38="pvp",15,MAX(0.1,Skills!D6-IF(Skills!E6=TRUE,4.5,0)))*(1-IF(AND(ArtifactsInput!$M$27,Inputs!$B$4="Chapter Hunt"),CHOOSE(ArtifactsInput!$N$27+1,20,24,28,32,36,40),0)/100)))+1)),0)</f>
        <v/>
      </c>
      <c r="S3031">
        <f>IFERROR(O3031/N3031,0)</f>
        <v/>
      </c>
      <c r="T3031">
        <f>IF(C3031,(H3031*N3031*IF(AND(Inputs!$B$38&lt;&gt;"pvp",Inputs!$B$43&gt;0),((Skills!G6*((R3031-1)*IF(Skills!H6&gt;0,Skills!I6/Skills!H6,1)+IF(Skills!H6&gt;0,MIN(Skills!I6,MAX(0,MAX(0,Inputs!$B$43-B3061)-((R3031-1)*(IF(Inputs!$B$38="pvp",15,MAX(0.1,Skills!D6-IF(Skills!E6=TRUE,4.5,0)))*(1-IF(AND(ArtifactsInput!$M$27,Inputs!$B$4="Chapter Hunt"),CHOOSE(ArtifactsInput!$N$27+1,20,24,28,32,36,40),0)/100)))))/Skills!H6,1)))/Inputs!$B$43),G3031*Q3031))*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3031*(1-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3031*(1-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1">
        <f>IF(C3031,(H3031*N3031*IF(AND(Inputs!$B$38&lt;&gt;"pvp",Inputs!$B$43&gt;0),((Skills!G6*((R3031-1)*IF(Skills!H6&gt;0,Skills!I6/Skills!H6,1)+IF(Skills!H6&gt;0,MIN(Skills!I6,MAX(0,MAX(0,Inputs!$B$43-B3061)-((R3031-1)*(IF(Inputs!$B$38="pvp",15,MAX(0.1,Skills!D6-IF(Skills!E6=TRUE,4.5,0)))*(1-IF(AND(ArtifactsInput!$M$27,Inputs!$B$4="Chapter Hunt"),CHOOSE(ArtifactsInput!$N$27+1,20,24,28,32,36,40),0)/100)))))/Skills!H6,1)))/Inputs!$B$43),G3031*Q3031))*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2">
      <c r="A3032">
        <f>Skills!A7</f>
        <v/>
      </c>
      <c r="B3032">
        <f>Skills!B7</f>
        <v/>
      </c>
      <c r="C3032">
        <f>Inputs!$B$3&gt;=107</f>
        <v/>
      </c>
      <c r="D3032">
        <f>IF(Skills!C7=1,60+Inputs!$B$25+Inputs!$B$29,IF(Skills!C7=2,90+Inputs!$B$26+Inputs!$B$29,IF(Skills!C7=3,120+Inputs!$B$27+Inputs!$B$29,MAX(0,(Inputs!$B$3-100)*3)+Inputs!$B$28+Inputs!$B$29)))</f>
        <v/>
      </c>
      <c r="E3032">
        <f>INDEX(FactorTable!$B$2:$Y$301, MATCH(ROUND(MIN(300,MAX(1,D3032)),0), FactorTable!$A$2:$A$301,0), Skills!M7+1)</f>
        <v/>
      </c>
      <c r="F3032">
        <f>IF(Skills!N7=TRUE,(Skills!L7/10)*(E3032/1000),Skills!L7/10)+Skills!O7</f>
        <v/>
      </c>
      <c r="G3032">
        <f>Skills!G7*IF(Skills!H7&gt;0,Skills!I7/Skills!H7,1)</f>
        <v/>
      </c>
      <c r="H3032">
        <f>1-(1-Skills!J7/100)^Skills!K7</f>
        <v/>
      </c>
      <c r="I3032" t="inlineStr">
        <is>
          <t>1</t>
        </is>
      </c>
      <c r="J3032">
        <f>((Inputs!$B$6*(1+Inputs!$B$7/100))+(((Inputs!$B$12*(1+Inputs!$B$13/100))-(Inputs!$B$12*(1+Inputs!$B$13/100)))+0.25*(Inputs!$B$14-Inputs!$B$14))*(1+Inputs!$B$7/100))*(F3032/100)</f>
        <v/>
      </c>
      <c r="K3032">
        <f>J3032*(1+((Inputs!$B$12*(1+Inputs!$B$13/100))*0.01+Inputs!$B$14*0.0025)/100)*(1+Inputs!$B$15/100)*(1+Inputs!$B$16/100)*(5000/(6000+Inputs!$B$42*(1-(100*(1-(1-(Inputs!$B$19+0)/100)*(1-CHOOSE(ArtifactsInput!$N$40+1,5,6,7,8,9,10)/100)^(ArtifactsInput!$M$40-ArtifactsInput!$M$40)))/100)))*(1+(Inputs!$B$24+((C3050=TRUE)*(F3050-Calc!F25))+B3060)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3046=TRUE)*(F3046-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3048=TRUE)*(F3048-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3038=TRUE)*F3038*IF(Inputs!$B$3&gt;=110,7,5))+((C3040=TRUE)*F3040*IF(AND(Inputs!$B$38&lt;&gt;"pvp",Inputs!$B$43&gt;0),(((R3040-1)*(Skills!T15*(1+(Inputs!$B$34+(ArtifactsInput!$M$7-ArtifactsInput!$M$7)*CHOOSE(ArtifactsInput!$N$7+1,6,7.2,8.4,9.6,10.8,12))/100))+MIN((Skills!T15*(1+(Inputs!$B$34+(ArtifactsInput!$M$7-ArtifactsInput!$M$7)*CHOOSE(ArtifactsInput!$N$7+1,6,7.2,8.4,9.6,10.8,12))/100)),MAX(0,Inputs!$B$43-((R3040-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Hunt"),CHOOSE(ArtifactsInput!$N$35+1,15,18,21,24,27,30)*(1-EXP(-(0.2*B3056)*5)),0)+IF(AND(ArtifactsInput!$M$22,Inputs!$B$4&lt;&gt;"Chapter Hunt"),CHOOSE(ArtifactsInput!$N$22+1,10,12,14,16,18,20)*((0*(((0.15*B3056*5))^0/1)+1*(((0.15*B3056*5))^1/1)+2*(((0.15*B3056*5))^2/2)+3*(((0.15*B3056*5))^3/6)+4*(((0.15*B3056*5))^4/24)+5*(((0.15*B3056*5))^5/120))/((((0.15*B3056*5))^0/1)+(((0.15*B3056*5))^1/1)+(((0.15*B3056*5))^2/2)+(((0.15*B3056*5))^3/6)+(((0.15*B3056*5))^4/24)+(((0.15*B3056*5))^5/120))),0)))/100)*I3032)</f>
        <v/>
      </c>
      <c r="L3032">
        <f>K3032*(MIN(Inputs!$B$22+((C3047=TRUE)*(F3047-Calc!F22)),(Inputs!$B$23+((C3049=TRUE)*(F3049-Calc!F24))+(IF(ArtifactsInput!$M$15,CHOOSE(ArtifactsInput!$N$15+1,25,30,35,40,45,50)/100*(Inputs!$B$11-Inputs!$B$11),0))))/100+(Inputs!$B$23+((C3049=TRUE)*(F3049-Calc!F24))+(IF(ArtifactsInput!$M$15,CHOOSE(ArtifactsInput!$N$15+1,25,30,35,40,45,50)/100*(Inputs!$B$11-Inputs!$B$11),0)))/100)/2</f>
        <v/>
      </c>
      <c r="M3032">
        <f>L3032*(1+(Inputs!$B$10+0+B3059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2">
        <f>L3032*(1-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3032*(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2">
        <f>(1-Summary!$B$11)*T3032+Summary!$B$11*V3032</f>
        <v/>
      </c>
      <c r="P3032">
        <f>IF(B3064=0,0,O3032/B3064)</f>
        <v/>
      </c>
      <c r="Q3032">
        <f>IFERROR(1/(IF(Inputs!$B$38="pvp",15,MAX(0.1,Skills!D7-IF(Skills!E7=TRUE,4.5,0)))*(1-IF(AND(ArtifactsInput!$M$27,Inputs!$B$4="Chapter Hunt"),CHOOSE(ArtifactsInput!$N$27+1,20,24,28,32,36,40),0)/100)),0)</f>
        <v/>
      </c>
      <c r="R3032">
        <f>IF(AND(Inputs!$B$38&lt;&gt;"pvp",Inputs!$B$43&gt;0),IF(MAX(0,Inputs!$B$43-B3061)&lt;=0,0,(INT(MAX(0,Inputs!$B$43-B3061)/(IF(Inputs!$B$38="pvp",15,MAX(0.1,Skills!D7-IF(Skills!E7=TRUE,4.5,0)))*(1-IF(AND(ArtifactsInput!$M$27,Inputs!$B$4="Chapter Hunt"),CHOOSE(ArtifactsInput!$N$27+1,20,24,28,32,36,40),0)/100)))+1)),0)</f>
        <v/>
      </c>
      <c r="S3032">
        <f>IFERROR(O3032/N3032,0)</f>
        <v/>
      </c>
      <c r="T3032">
        <f>IF(C3032,(H3032*N3032*IF(AND(Inputs!$B$38&lt;&gt;"pvp",Inputs!$B$43&gt;0),((Skills!G7*((R3032-1)*IF(Skills!H7&gt;0,Skills!I7/Skills!H7,1)+IF(Skills!H7&gt;0,MIN(Skills!I7,MAX(0,MAX(0,Inputs!$B$43-B3061)-((R3032-1)*(IF(Inputs!$B$38="pvp",15,MAX(0.1,Skills!D7-IF(Skills!E7=TRUE,4.5,0)))*(1-IF(AND(ArtifactsInput!$M$27,Inputs!$B$4="Chapter Hunt"),CHOOSE(ArtifactsInput!$N$27+1,20,24,28,32,36,40),0)/100)))))/Skills!H7,1)))/Inputs!$B$43),G3032*Q3032))*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3032*(1-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3032*(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3032*(1-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3032*(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2">
        <f>IF(C3032,(H3032*N3032*IF(AND(Inputs!$B$38&lt;&gt;"pvp",Inputs!$B$43&gt;0),((Skills!G7*((R3032-1)*IF(Skills!H7&gt;0,Skills!I7/Skills!H7,1)+IF(Skills!H7&gt;0,MIN(Skills!I7,MAX(0,MAX(0,Inputs!$B$43-B3061)-((R3032-1)*(IF(Inputs!$B$38="pvp",15,MAX(0.1,Skills!D7-IF(Skills!E7=TRUE,4.5,0)))*(1-IF(AND(ArtifactsInput!$M$27,Inputs!$B$4="Chapter Hunt"),CHOOSE(ArtifactsInput!$N$27+1,20,24,28,32,36,40),0)/100)))))/Skills!H7,1)))/Inputs!$B$43),G3032*Q3032))*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3">
      <c r="A3033">
        <f>Skills!A8</f>
        <v/>
      </c>
      <c r="B3033">
        <f>Skills!B8</f>
        <v/>
      </c>
      <c r="C3033">
        <f>Inputs!$B$3&gt;=117</f>
        <v/>
      </c>
      <c r="D3033">
        <f>IF(Skills!C8=1,60+Inputs!$B$25+Inputs!$B$29,IF(Skills!C8=2,90+Inputs!$B$26+Inputs!$B$29,IF(Skills!C8=3,120+Inputs!$B$27+Inputs!$B$29,MAX(0,(Inputs!$B$3-100)*3)+Inputs!$B$28+Inputs!$B$29)))</f>
        <v/>
      </c>
      <c r="E3033">
        <f>INDEX(FactorTable!$B$2:$Y$301, MATCH(ROUND(MIN(300,MAX(1,D3033)),0), FactorTable!$A$2:$A$301,0), Skills!M8+1)</f>
        <v/>
      </c>
      <c r="F3033">
        <f>IF(Skills!N8=TRUE,(Skills!L8/10)*(E3033/1000),Skills!L8/10)+Skills!O8</f>
        <v/>
      </c>
      <c r="G3033">
        <f>Skills!G8*IF(Skills!H8&gt;0,Skills!I8/Skills!H8,1)</f>
        <v/>
      </c>
      <c r="H3033">
        <f>1-(1-Skills!J8/100)^Skills!K8</f>
        <v/>
      </c>
      <c r="I3033" t="inlineStr">
        <is>
          <t>1</t>
        </is>
      </c>
      <c r="J3033">
        <f>((Inputs!$B$6*(1+Inputs!$B$7/100))+(((Inputs!$B$12*(1+Inputs!$B$13/100))-(Inputs!$B$12*(1+Inputs!$B$13/100)))+0.25*(Inputs!$B$14-Inputs!$B$14))*(1+Inputs!$B$7/100))*(F3033/100)</f>
        <v/>
      </c>
      <c r="K3033">
        <f>J3033*(1+((Inputs!$B$12*(1+Inputs!$B$13/100))*0.01+Inputs!$B$14*0.0025)/100)*(1+Inputs!$B$15/100)*(1+Inputs!$B$16/100)*(5000/(6000+Inputs!$B$42*(1-(100*(1-(1-(Inputs!$B$19+0)/100)*(1-CHOOSE(ArtifactsInput!$N$40+1,5,6,7,8,9,10)/100)^(ArtifactsInput!$M$40-ArtifactsInput!$M$40)))/100)))*(1+(Inputs!$B$24+((C3050=TRUE)*(F3050-Calc!F25))+B3060)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3046=TRUE)*(F3046-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3048=TRUE)*(F3048-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3038=TRUE)*F3038*IF(Inputs!$B$3&gt;=110,7,5))+((C3040=TRUE)*F3040*IF(AND(Inputs!$B$38&lt;&gt;"pvp",Inputs!$B$43&gt;0),(((R3040-1)*(Skills!T15*(1+(Inputs!$B$34+(ArtifactsInput!$M$7-ArtifactsInput!$M$7)*CHOOSE(ArtifactsInput!$N$7+1,6,7.2,8.4,9.6,10.8,12))/100))+MIN((Skills!T15*(1+(Inputs!$B$34+(ArtifactsInput!$M$7-ArtifactsInput!$M$7)*CHOOSE(ArtifactsInput!$N$7+1,6,7.2,8.4,9.6,10.8,12))/100)),MAX(0,Inputs!$B$43-((R3040-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Hunt"),CHOOSE(ArtifactsInput!$N$35+1,15,18,21,24,27,30)*(1-EXP(-(0.2*B3056)*5)),0)+IF(AND(ArtifactsInput!$M$22,Inputs!$B$4&lt;&gt;"Chapter Hunt"),CHOOSE(ArtifactsInput!$N$22+1,10,12,14,16,18,20)*((0*(((0.15*B3056*5))^0/1)+1*(((0.15*B3056*5))^1/1)+2*(((0.15*B3056*5))^2/2)+3*(((0.15*B3056*5))^3/6)+4*(((0.15*B3056*5))^4/24)+5*(((0.15*B3056*5))^5/120))/((((0.15*B3056*5))^0/1)+(((0.15*B3056*5))^1/1)+(((0.15*B3056*5))^2/2)+(((0.15*B3056*5))^3/6)+(((0.15*B3056*5))^4/24)+(((0.15*B3056*5))^5/120))),0)))/100)*I3033)</f>
        <v/>
      </c>
      <c r="L3033">
        <f>K3033*(MIN(Inputs!$B$22+((C3047=TRUE)*(F3047-Calc!F22)),(Inputs!$B$23+((C3049=TRUE)*(F3049-Calc!F24))+(IF(ArtifactsInput!$M$15,CHOOSE(ArtifactsInput!$N$15+1,25,30,35,40,45,50)/100*(Inputs!$B$11-Inputs!$B$11),0))))/100+(Inputs!$B$23+((C3049=TRUE)*(F3049-Calc!F24))+(IF(ArtifactsInput!$M$15,CHOOSE(ArtifactsInput!$N$15+1,25,30,35,40,45,50)/100*(Inputs!$B$11-Inputs!$B$11),0)))/100)/2</f>
        <v/>
      </c>
      <c r="M3033">
        <f>L3033*(1+(Inputs!$B$10+0+B3059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3">
        <f>L3033*(1-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3033*(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3">
        <f>(1-Summary!$B$11)*T3033+Summary!$B$11*V3033</f>
        <v/>
      </c>
      <c r="P3033">
        <f>IF(B3064=0,0,O3033/B3064)</f>
        <v/>
      </c>
      <c r="Q3033">
        <f>IFERROR(1/(IF(Inputs!$B$38="pvp",15,MAX(0.1,Skills!D8-IF(Skills!E8=TRUE,4.5,0)))*(1-IF(AND(ArtifactsInput!$M$27,Inputs!$B$4="Chapter Hunt"),CHOOSE(ArtifactsInput!$N$27+1,20,24,28,32,36,40),0)/100)),0)</f>
        <v/>
      </c>
      <c r="R3033">
        <f>IF(AND(Inputs!$B$38&lt;&gt;"pvp",Inputs!$B$43&gt;0),IF(MAX(0,Inputs!$B$43-B3061)&lt;=0,0,(INT(MAX(0,Inputs!$B$43-B3061)/(IF(Inputs!$B$38="pvp",15,MAX(0.1,Skills!D8-IF(Skills!E8=TRUE,4.5,0)))*(1-IF(AND(ArtifactsInput!$M$27,Inputs!$B$4="Chapter Hunt"),CHOOSE(ArtifactsInput!$N$27+1,20,24,28,32,36,40),0)/100)))+1)),0)</f>
        <v/>
      </c>
      <c r="S3033">
        <f>IFERROR(O3033/N3033,0)</f>
        <v/>
      </c>
      <c r="T3033">
        <f>IF(C3033,(H3033*N3033*IF(AND(Inputs!$B$38&lt;&gt;"pvp",Inputs!$B$43&gt;0),((Skills!G8*((R3033-1)*IF(Skills!H8&gt;0,Skills!I8/Skills!H8,1)+IF(Skills!H8&gt;0,MIN(Skills!I8,MAX(0,MAX(0,Inputs!$B$43-B3061)-((R3033-1)*(IF(Inputs!$B$38="pvp",15,MAX(0.1,Skills!D8-IF(Skills!E8=TRUE,4.5,0)))*(1-IF(AND(ArtifactsInput!$M$27,Inputs!$B$4="Chapter Hunt"),CHOOSE(ArtifactsInput!$N$27+1,20,24,28,32,36,40),0)/100)))))/Skills!H8,1)))/Inputs!$B$43),G3033*Q3033))*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3033*(1-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3033*(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3033*(1-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3033*(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3">
        <f>IF(C3033,(H3033*N3033*IF(AND(Inputs!$B$38&lt;&gt;"pvp",Inputs!$B$43&gt;0),((Skills!G8*((R3033-1)*IF(Skills!H8&gt;0,Skills!I8/Skills!H8,1)+IF(Skills!H8&gt;0,MIN(Skills!I8,MAX(0,MAX(0,Inputs!$B$43-B3061)-((R3033-1)*(IF(Inputs!$B$38="pvp",15,MAX(0.1,Skills!D8-IF(Skills!E8=TRUE,4.5,0)))*(1-IF(AND(ArtifactsInput!$M$27,Inputs!$B$4="Chapter Hunt"),CHOOSE(ArtifactsInput!$N$27+1,20,24,28,32,36,40),0)/100)))))/Skills!H8,1)))/Inputs!$B$43),G3033*Q3033))*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4">
      <c r="A3034">
        <f>Skills!A9</f>
        <v/>
      </c>
      <c r="B3034">
        <f>Skills!B9</f>
        <v/>
      </c>
      <c r="C3034">
        <f>Inputs!$B$3&gt;=69</f>
        <v/>
      </c>
      <c r="D3034">
        <f>IF(Skills!C9=1,60+Inputs!$B$25+Inputs!$B$29,IF(Skills!C9=2,90+Inputs!$B$26+Inputs!$B$29,IF(Skills!C9=3,120+Inputs!$B$27+Inputs!$B$29,MAX(0,(Inputs!$B$3-100)*3)+Inputs!$B$28+Inputs!$B$29)))</f>
        <v/>
      </c>
      <c r="E3034">
        <f>INDEX(FactorTable!$B$2:$Y$301, MATCH(ROUND(MIN(300,MAX(1,D3034)),0), FactorTable!$A$2:$A$301,0), Skills!M9+1)</f>
        <v/>
      </c>
      <c r="F3034">
        <f>IF(Skills!N9=TRUE,(Skills!L9/10)*(E3034/1000),Skills!L9/10)+Skills!O9</f>
        <v/>
      </c>
      <c r="G3034">
        <f>Skills!G9*IF(Skills!H9&gt;0,Skills!I9/Skills!H9,1)</f>
        <v/>
      </c>
      <c r="H3034">
        <f>1-(1-Skills!J9/100)^Skills!K9</f>
        <v/>
      </c>
      <c r="I3034" t="inlineStr">
        <is>
          <t>1</t>
        </is>
      </c>
      <c r="J3034">
        <f>((Inputs!$B$6*(1+Inputs!$B$7/100))+(((Inputs!$B$12*(1+Inputs!$B$13/100))-(Inputs!$B$12*(1+Inputs!$B$13/100)))+0.25*(Inputs!$B$14-Inputs!$B$14))*(1+Inputs!$B$7/100))*(F3034/100)</f>
        <v/>
      </c>
      <c r="K3034">
        <f>J3034*(1+((Inputs!$B$12*(1+Inputs!$B$13/100))*0.01+Inputs!$B$14*0.0025)/100)*(1+Inputs!$B$15/100)*(1+Inputs!$B$16/100)*(5000/(6000+Inputs!$B$42*(1-(100*(1-(1-(Inputs!$B$19+0)/100)*(1-CHOOSE(ArtifactsInput!$N$40+1,5,6,7,8,9,10)/100)^(ArtifactsInput!$M$40-ArtifactsInput!$M$40)))/100)))*(1+(Inputs!$B$24+((C3050=TRUE)*(F3050-Calc!F25))+B3060)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3037=TRUE,F3037,0)/100)*(1+IF(Skills!A9="ENHANCED_RAGING_BLOW",IF(Inputs!$B$3&gt;=134,MAX(0,IF(Inputs!$B$3&gt;=110,7,5)-5)*50,0),0)/100)*(1+(IF(Skills!A9="RAGING_BLOW",Inputs!$B$17+((C3046=TRUE)*(F3046-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3048=TRUE)*(F3048-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3038=TRUE)*F3038*IF(Inputs!$B$3&gt;=110,7,5))+((C3040=TRUE)*F3040*IF(AND(Inputs!$B$38&lt;&gt;"pvp",Inputs!$B$43&gt;0),(((R3040-1)*(Skills!T15*(1+(Inputs!$B$34+(ArtifactsInput!$M$7-ArtifactsInput!$M$7)*CHOOSE(ArtifactsInput!$N$7+1,6,7.2,8.4,9.6,10.8,12))/100))+MIN((Skills!T15*(1+(Inputs!$B$34+(ArtifactsInput!$M$7-ArtifactsInput!$M$7)*CHOOSE(ArtifactsInput!$N$7+1,6,7.2,8.4,9.6,10.8,12))/100)),MAX(0,Inputs!$B$43-((R3040-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Hunt"),CHOOSE(ArtifactsInput!$N$35+1,15,18,21,24,27,30)*(1-EXP(-(0.2*B3056)*5)),0)+IF(AND(ArtifactsInput!$M$22,Inputs!$B$4&lt;&gt;"Chapter Hunt"),CHOOSE(ArtifactsInput!$N$22+1,10,12,14,16,18,20)*((0*(((0.15*B3056*5))^0/1)+1*(((0.15*B3056*5))^1/1)+2*(((0.15*B3056*5))^2/2)+3*(((0.15*B3056*5))^3/6)+4*(((0.15*B3056*5))^4/24)+5*(((0.15*B3056*5))^5/120))/((((0.15*B3056*5))^0/1)+(((0.15*B3056*5))^1/1)+(((0.15*B3056*5))^2/2)+(((0.15*B3056*5))^3/6)+(((0.15*B3056*5))^4/24)+(((0.15*B3056*5))^5/120))),0)))/100)*I3034)</f>
        <v/>
      </c>
      <c r="L3034">
        <f>K3034*(MIN(Inputs!$B$22+((C3047=TRUE)*(F3047-Calc!F22)),(Inputs!$B$23+((C3049=TRUE)*(F3049-Calc!F24))+(IF(ArtifactsInput!$M$15,CHOOSE(ArtifactsInput!$N$15+1,25,30,35,40,45,50)/100*(Inputs!$B$11-Inputs!$B$11),0))))/100+(Inputs!$B$23+((C3049=TRUE)*(F3049-Calc!F24))+(IF(ArtifactsInput!$M$15,CHOOSE(ArtifactsInput!$N$15+1,25,30,35,40,45,50)/100*(Inputs!$B$11-Inputs!$B$11),0)))/100)/2</f>
        <v/>
      </c>
      <c r="M3034">
        <f>L3034*(1+(Inputs!$B$10+0+B3059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4">
        <f>L3034*(1-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3034*(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4">
        <f>(1-Summary!$B$11)*T3034+Summary!$B$11*V3034</f>
        <v/>
      </c>
      <c r="P3034">
        <f>IF(B3064=0,0,O3034/B3064)</f>
        <v/>
      </c>
      <c r="Q3034">
        <f>IFERROR(1/(IF(Inputs!$B$38="pvp",15,MAX(0.1,Skills!D9-IF(Skills!E9=TRUE,4.5,0)))*(1-IF(AND(ArtifactsInput!$M$27,Inputs!$B$4="Chapter Hunt"),CHOOSE(ArtifactsInput!$N$27+1,20,24,28,32,36,40),0)/100)),0)</f>
        <v/>
      </c>
      <c r="R3034">
        <f>IF(AND(Inputs!$B$38&lt;&gt;"pvp",Inputs!$B$43&gt;0),IF(MAX(0,Inputs!$B$43-B3061)&lt;=0,0,(INT(MAX(0,Inputs!$B$43-B3061)/(IF(Inputs!$B$38="pvp",15,MAX(0.1,Skills!D9-IF(Skills!E9=TRUE,4.5,0)))*(1-IF(AND(ArtifactsInput!$M$27,Inputs!$B$4="Chapter Hunt"),CHOOSE(ArtifactsInput!$N$27+1,20,24,28,32,36,40),0)/100)))+1)),0)</f>
        <v/>
      </c>
      <c r="S3034">
        <f>IFERROR(O3034/N3034,0)</f>
        <v/>
      </c>
      <c r="T3034">
        <f>IF(C3034,(H3034*N3034*IF(AND(Inputs!$B$38&lt;&gt;"pvp",Inputs!$B$43&gt;0),((Skills!G9*((R3034-1)*IF(Skills!H9&gt;0,Skills!I9/Skills!H9,1)+IF(Skills!H9&gt;0,MIN(Skills!I9,MAX(0,MAX(0,Inputs!$B$43-B3061)-((R3034-1)*(IF(Inputs!$B$38="pvp",15,MAX(0.1,Skills!D9-IF(Skills!E9=TRUE,4.5,0)))*(1-IF(AND(ArtifactsInput!$M$27,Inputs!$B$4="Chapter Hunt"),CHOOSE(ArtifactsInput!$N$27+1,20,24,28,32,36,40),0)/100)))))/Skills!H9,1)))/Inputs!$B$43),G3034*Q3034))*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3034*(1-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3034*(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3034*(1-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3034*(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4">
        <f>IF(C3034,(H3034*N3034*IF(AND(Inputs!$B$38&lt;&gt;"pvp",Inputs!$B$43&gt;0),((Skills!G9*((R3034-1)*IF(Skills!H9&gt;0,Skills!I9/Skills!H9,1)+IF(Skills!H9&gt;0,MIN(Skills!I9,MAX(0,MAX(0,Inputs!$B$43-B3061)-((R3034-1)*(IF(Inputs!$B$38="pvp",15,MAX(0.1,Skills!D9-IF(Skills!E9=TRUE,4.5,0)))*(1-IF(AND(ArtifactsInput!$M$27,Inputs!$B$4="Chapter Hunt"),CHOOSE(ArtifactsInput!$N$27+1,20,24,28,32,36,40),0)/100)))))/Skills!H9,1)))/Inputs!$B$43),G3034*Q3034))*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5">
      <c r="A3035">
        <f>Skills!A10</f>
        <v/>
      </c>
      <c r="B3035">
        <f>Skills!B10</f>
        <v/>
      </c>
      <c r="C3035">
        <f>Inputs!$B$3&gt;=63</f>
        <v/>
      </c>
      <c r="D3035">
        <f>IF(Skills!C10=1,60+Inputs!$B$25+Inputs!$B$29,IF(Skills!C10=2,90+Inputs!$B$26+Inputs!$B$29,IF(Skills!C10=3,120+Inputs!$B$27+Inputs!$B$29,MAX(0,(Inputs!$B$3-100)*3)+Inputs!$B$28+Inputs!$B$29)))</f>
        <v/>
      </c>
      <c r="E3035">
        <f>INDEX(FactorTable!$B$2:$Y$301, MATCH(ROUND(MIN(300,MAX(1,D3035)),0), FactorTable!$A$2:$A$301,0), Skills!M10+1)</f>
        <v/>
      </c>
      <c r="F3035">
        <f>IF(Skills!N10=TRUE,(Skills!L10/10)*(E3035/1000),Skills!L10/10)+Skills!O10</f>
        <v/>
      </c>
      <c r="G3035">
        <f>Skills!G10*IF(Skills!H10&gt;0,Skills!I10/Skills!H10,1)</f>
        <v/>
      </c>
      <c r="H3035">
        <f>1-(1-Skills!J10/100)^Skills!K10</f>
        <v/>
      </c>
      <c r="I3035" t="inlineStr">
        <is>
          <t>1</t>
        </is>
      </c>
      <c r="J3035">
        <f>((Inputs!$B$6*(1+Inputs!$B$7/100))+(((Inputs!$B$12*(1+Inputs!$B$13/100))-(Inputs!$B$12*(1+Inputs!$B$13/100)))+0.25*(Inputs!$B$14-Inputs!$B$14))*(1+Inputs!$B$7/100))*(F3035/100)</f>
        <v/>
      </c>
      <c r="K3035">
        <f>J3035*(1+((Inputs!$B$12*(1+Inputs!$B$13/100))*0.01+Inputs!$B$14*0.0025)/100)*(1+Inputs!$B$15/100)*(1+Inputs!$B$16/100)*(5000/(6000+Inputs!$B$42*(1-(100*(1-(1-(Inputs!$B$19+0)/100)*(1-CHOOSE(ArtifactsInput!$N$40+1,5,6,7,8,9,10)/100)^(ArtifactsInput!$M$40-ArtifactsInput!$M$40)))/100)))*(1+(Inputs!$B$24+((C3050=TRUE)*(F3050-Calc!F25))+B3060)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3037=TRUE,F3037,0)/100)*(1+IF(Skills!A10="ENHANCED_RAGING_BLOW",IF(Inputs!$B$3&gt;=134,MAX(0,IF(Inputs!$B$3&gt;=110,7,5)-5)*50,0),0)/100)*(1+(IF(Skills!A10="RAGING_BLOW",Inputs!$B$17+((C3046=TRUE)*(F3046-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3048=TRUE)*(F3048-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3038=TRUE)*F3038*IF(Inputs!$B$3&gt;=110,7,5))+((C3040=TRUE)*F3040*IF(AND(Inputs!$B$38&lt;&gt;"pvp",Inputs!$B$43&gt;0),(((R3040-1)*(Skills!T15*(1+(Inputs!$B$34+(ArtifactsInput!$M$7-ArtifactsInput!$M$7)*CHOOSE(ArtifactsInput!$N$7+1,6,7.2,8.4,9.6,10.8,12))/100))+MIN((Skills!T15*(1+(Inputs!$B$34+(ArtifactsInput!$M$7-ArtifactsInput!$M$7)*CHOOSE(ArtifactsInput!$N$7+1,6,7.2,8.4,9.6,10.8,12))/100)),MAX(0,Inputs!$B$43-((R3040-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Hunt"),CHOOSE(ArtifactsInput!$N$35+1,15,18,21,24,27,30)*(1-EXP(-(0.2*B3056)*5)),0)+IF(AND(ArtifactsInput!$M$22,Inputs!$B$4&lt;&gt;"Chapter Hunt"),CHOOSE(ArtifactsInput!$N$22+1,10,12,14,16,18,20)*((0*(((0.15*B3056*5))^0/1)+1*(((0.15*B3056*5))^1/1)+2*(((0.15*B3056*5))^2/2)+3*(((0.15*B3056*5))^3/6)+4*(((0.15*B3056*5))^4/24)+5*(((0.15*B3056*5))^5/120))/((((0.15*B3056*5))^0/1)+(((0.15*B3056*5))^1/1)+(((0.15*B3056*5))^2/2)+(((0.15*B3056*5))^3/6)+(((0.15*B3056*5))^4/24)+(((0.15*B3056*5))^5/120))),0)))/100)*I3035)</f>
        <v/>
      </c>
      <c r="L3035">
        <f>K3035*(MIN(Inputs!$B$22+((C3047=TRUE)*(F3047-Calc!F22)),(Inputs!$B$23+((C3049=TRUE)*(F3049-Calc!F24))+(IF(ArtifactsInput!$M$15,CHOOSE(ArtifactsInput!$N$15+1,25,30,35,40,45,50)/100*(Inputs!$B$11-Inputs!$B$11),0))))/100+(Inputs!$B$23+((C3049=TRUE)*(F3049-Calc!F24))+(IF(ArtifactsInput!$M$15,CHOOSE(ArtifactsInput!$N$15+1,25,30,35,40,45,50)/100*(Inputs!$B$11-Inputs!$B$11),0)))/100)/2</f>
        <v/>
      </c>
      <c r="M3035">
        <f>L3035*(1+(Inputs!$B$10+0+B3059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5">
        <f>L3035*(1-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3035*(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5">
        <f>(1-Summary!$B$11)*T3035+Summary!$B$11*V3035</f>
        <v/>
      </c>
      <c r="P3035">
        <f>IF(B3064=0,0,O3035/B3064)</f>
        <v/>
      </c>
      <c r="Q3035">
        <f>IFERROR(1/(IF(Inputs!$B$38="pvp",15,MAX(0.1,Skills!D10-IF(Skills!E10=TRUE,4.5,0)))*(1-IF(AND(ArtifactsInput!$M$27,Inputs!$B$4="Chapter Hunt"),CHOOSE(ArtifactsInput!$N$27+1,20,24,28,32,36,40),0)/100)),0)</f>
        <v/>
      </c>
      <c r="R3035">
        <f>IF(AND(Inputs!$B$38&lt;&gt;"pvp",Inputs!$B$43&gt;0),IF(MAX(0,Inputs!$B$43-B3061)&lt;=0,0,(INT(MAX(0,Inputs!$B$43-B3061)/(IF(Inputs!$B$38="pvp",15,MAX(0.1,Skills!D10-IF(Skills!E10=TRUE,4.5,0)))*(1-IF(AND(ArtifactsInput!$M$27,Inputs!$B$4="Chapter Hunt"),CHOOSE(ArtifactsInput!$N$27+1,20,24,28,32,36,40),0)/100)))+1)),0)</f>
        <v/>
      </c>
      <c r="S3035">
        <f>IFERROR(O3035/N3035,0)</f>
        <v/>
      </c>
      <c r="T3035">
        <f>IF(C3035,(H3035*N3035*IF(AND(Inputs!$B$38&lt;&gt;"pvp",Inputs!$B$43&gt;0),((Skills!G10*((R3035-1)*IF(Skills!H10&gt;0,Skills!I10/Skills!H10,1)+IF(Skills!H10&gt;0,MIN(Skills!I10,MAX(0,MAX(0,Inputs!$B$43-B3061)-((R3035-1)*(IF(Inputs!$B$38="pvp",15,MAX(0.1,Skills!D10-IF(Skills!E10=TRUE,4.5,0)))*(1-IF(AND(ArtifactsInput!$M$27,Inputs!$B$4="Chapter Hunt"),CHOOSE(ArtifactsInput!$N$27+1,20,24,28,32,36,40),0)/100)))))/Skills!H10,1)))/Inputs!$B$43),G3035*Q3035))*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3035*(1-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3035*(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3035*(1-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3035*(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5">
        <f>IF(C3035,(H3035*N3035*IF(AND(Inputs!$B$38&lt;&gt;"pvp",Inputs!$B$43&gt;0),((Skills!G10*((R3035-1)*IF(Skills!H10&gt;0,Skills!I10/Skills!H10,1)+IF(Skills!H10&gt;0,MIN(Skills!I10,MAX(0,MAX(0,Inputs!$B$43-B3061)-((R3035-1)*(IF(Inputs!$B$38="pvp",15,MAX(0.1,Skills!D10-IF(Skills!E10=TRUE,4.5,0)))*(1-IF(AND(ArtifactsInput!$M$27,Inputs!$B$4="Chapter Hunt"),CHOOSE(ArtifactsInput!$N$27+1,20,24,28,32,36,40),0)/100)))))/Skills!H10,1)))/Inputs!$B$43),G3035*Q3035))*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6">
      <c r="A3036">
        <f>Skills!A11</f>
        <v/>
      </c>
      <c r="B3036">
        <f>Skills!B11</f>
        <v/>
      </c>
      <c r="C3036">
        <f>Inputs!$B$3&gt;=35</f>
        <v/>
      </c>
      <c r="D3036">
        <f>IF(Skills!C11=1,60+Inputs!$B$25+Inputs!$B$29,IF(Skills!C11=2,90+Inputs!$B$26+Inputs!$B$29,IF(Skills!C11=3,120+Inputs!$B$27+Inputs!$B$29,MAX(0,(Inputs!$B$3-100)*3)+Inputs!$B$28+Inputs!$B$29)))</f>
        <v/>
      </c>
      <c r="E3036">
        <f>INDEX(FactorTable!$B$2:$Y$301, MATCH(ROUND(MIN(300,MAX(1,D3036)),0), FactorTable!$A$2:$A$301,0), Skills!M11+1)</f>
        <v/>
      </c>
      <c r="F3036">
        <f>IF(Skills!N11=TRUE,(Skills!L11/10)*(E3036/1000),Skills!L11/10)+Skills!O11</f>
        <v/>
      </c>
      <c r="G3036">
        <f>Skills!G11*IF(Skills!H11&gt;0,Skills!I11/Skills!H11,1)</f>
        <v/>
      </c>
      <c r="H3036">
        <f>1-(1-Skills!J11/100)^Skills!K11</f>
        <v/>
      </c>
      <c r="I3036" t="inlineStr">
        <is>
          <t>1</t>
        </is>
      </c>
      <c r="J3036">
        <f>((Inputs!$B$6*(1+Inputs!$B$7/100))+(((Inputs!$B$12*(1+Inputs!$B$13/100))-(Inputs!$B$12*(1+Inputs!$B$13/100)))+0.25*(Inputs!$B$14-Inputs!$B$14))*(1+Inputs!$B$7/100))*(F3036/100)</f>
        <v/>
      </c>
      <c r="K3036">
        <f>J3036*(1+((Inputs!$B$12*(1+Inputs!$B$13/100))*0.01+Inputs!$B$14*0.0025)/100)*(1+Inputs!$B$15/100)*(1+Inputs!$B$16/100)*(5000/(6000+Inputs!$B$42*(1-(100*(1-(1-(Inputs!$B$19+0)/100)*(1-CHOOSE(ArtifactsInput!$N$40+1,5,6,7,8,9,10)/100)^(ArtifactsInput!$M$40-ArtifactsInput!$M$40)))/100)))*(1+(Inputs!$B$24+((C3050=TRUE)*(F3050-Calc!F25))+B3060)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3037=TRUE,F3037,0)/100)*(1+IF(Skills!A11="ENHANCED_RAGING_BLOW",IF(Inputs!$B$3&gt;=134,MAX(0,IF(Inputs!$B$3&gt;=110,7,5)-5)*50,0),0)/100)*(1+(IF(Skills!A11="RAGING_BLOW",Inputs!$B$17+((C3046=TRUE)*(F3046-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3048=TRUE)*(F3048-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3038=TRUE)*F3038*IF(Inputs!$B$3&gt;=110,7,5))+((C3040=TRUE)*F3040*IF(AND(Inputs!$B$38&lt;&gt;"pvp",Inputs!$B$43&gt;0),(((R3040-1)*(Skills!T15*(1+(Inputs!$B$34+(ArtifactsInput!$M$7-ArtifactsInput!$M$7)*CHOOSE(ArtifactsInput!$N$7+1,6,7.2,8.4,9.6,10.8,12))/100))+MIN((Skills!T15*(1+(Inputs!$B$34+(ArtifactsInput!$M$7-ArtifactsInput!$M$7)*CHOOSE(ArtifactsInput!$N$7+1,6,7.2,8.4,9.6,10.8,12))/100)),MAX(0,Inputs!$B$43-((R3040-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Hunt"),CHOOSE(ArtifactsInput!$N$35+1,15,18,21,24,27,30)*(1-EXP(-(0.2*B3056)*5)),0)+IF(AND(ArtifactsInput!$M$22,Inputs!$B$4&lt;&gt;"Chapter Hunt"),CHOOSE(ArtifactsInput!$N$22+1,10,12,14,16,18,20)*((0*(((0.15*B3056*5))^0/1)+1*(((0.15*B3056*5))^1/1)+2*(((0.15*B3056*5))^2/2)+3*(((0.15*B3056*5))^3/6)+4*(((0.15*B3056*5))^4/24)+5*(((0.15*B3056*5))^5/120))/((((0.15*B3056*5))^0/1)+(((0.15*B3056*5))^1/1)+(((0.15*B3056*5))^2/2)+(((0.15*B3056*5))^3/6)+(((0.15*B3056*5))^4/24)+(((0.15*B3056*5))^5/120))),0)))/100)*I3036)</f>
        <v/>
      </c>
      <c r="L3036">
        <f>K3036*(MIN(Inputs!$B$22+((C3047=TRUE)*(F3047-Calc!F22)),(Inputs!$B$23+((C3049=TRUE)*(F3049-Calc!F24))+(IF(ArtifactsInput!$M$15,CHOOSE(ArtifactsInput!$N$15+1,25,30,35,40,45,50)/100*(Inputs!$B$11-Inputs!$B$11),0))))/100+(Inputs!$B$23+((C3049=TRUE)*(F3049-Calc!F24))+(IF(ArtifactsInput!$M$15,CHOOSE(ArtifactsInput!$N$15+1,25,30,35,40,45,50)/100*(Inputs!$B$11-Inputs!$B$11),0)))/100)/2</f>
        <v/>
      </c>
      <c r="M3036">
        <f>L3036*(1+(Inputs!$B$10+0+B3059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6">
        <f>L3036*(1-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3036*(MIN((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6">
        <f>(1-Summary!$B$11)*T3036+Summary!$B$11*V3036</f>
        <v/>
      </c>
      <c r="P3036">
        <f>IF(B3064=0,0,O3036/B3064)</f>
        <v/>
      </c>
      <c r="Q3036">
        <f>IFERROR(1/(IF(Inputs!$B$38="pvp",15,MAX(0.1,Skills!D11-IF(Skills!E11=TRUE,4.5,0)))*(1-IF(AND(ArtifactsInput!$M$27,Inputs!$B$4="Chapter Hunt"),CHOOSE(ArtifactsInput!$N$27+1,20,24,28,32,36,40),0)/100)),0)</f>
        <v/>
      </c>
      <c r="R3036">
        <f>IF(AND(Inputs!$B$38&lt;&gt;"pvp",Inputs!$B$43&gt;0),IF(MAX(0,Inputs!$B$43-B3061)&lt;=0,0,(INT(MAX(0,Inputs!$B$43-B3061)/(IF(Inputs!$B$38="pvp",15,MAX(0.1,Skills!D11-IF(Skills!E11=TRUE,4.5,0)))*(1-IF(AND(ArtifactsInput!$M$27,Inputs!$B$4="Chapter Hunt"),CHOOSE(ArtifactsInput!$N$27+1,20,24,28,32,36,40),0)/100)))+1)),0)</f>
        <v/>
      </c>
      <c r="S3036">
        <f>IFERROR(O3036/N3036,0)</f>
        <v/>
      </c>
      <c r="T3036">
        <f>IF(C3036,(H3036*N3036*IF(AND(Inputs!$B$38&lt;&gt;"pvp",Inputs!$B$43&gt;0),((Skills!G11*((R3036-1)*IF(Skills!H11&gt;0,Skills!I11/Skills!H11,1)+IF(Skills!H11&gt;0,MIN(Skills!I11,MAX(0,MAX(0,Inputs!$B$43-B3061)-((R3036-1)*(IF(Inputs!$B$38="pvp",15,MAX(0.1,Skills!D11-IF(Skills!E11=TRUE,4.5,0)))*(1-IF(AND(ArtifactsInput!$M$27,Inputs!$B$4="Chapter Hunt"),CHOOSE(ArtifactsInput!$N$27+1,20,24,28,32,36,40),0)/100)))))/Skills!H11,1)))/Inputs!$B$43),G3036*Q3036))*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3036*(1-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3036*(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3036*(1-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3036*(MIN(100,(Inputs!$B$9+((C3051=TRUE)*(F3051-Calc!F26))+B3054+(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6">
        <f>IF(C3036,(H3036*N3036*IF(AND(Inputs!$B$38&lt;&gt;"pvp",Inputs!$B$43&gt;0),((Skills!G11*((R3036-1)*IF(Skills!H11&gt;0,Skills!I11/Skills!H11,1)+IF(Skills!H11&gt;0,MIN(Skills!I11,MAX(0,MAX(0,Inputs!$B$43-B3061)-((R3036-1)*(IF(Inputs!$B$38="pvp",15,MAX(0.1,Skills!D11-IF(Skills!E11=TRUE,4.5,0)))*(1-IF(AND(ArtifactsInput!$M$27,Inputs!$B$4="Chapter Hunt"),CHOOSE(ArtifactsInput!$N$27+1,20,24,28,32,36,40),0)/100)))))/Skills!H11,1)))/Inputs!$B$43),G3036*Q3036))*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7">
      <c r="A3037">
        <f>Skills!A12</f>
        <v/>
      </c>
      <c r="B3037">
        <f>Skills!B12</f>
        <v/>
      </c>
      <c r="C3037">
        <f>Inputs!$B$3&gt;=100</f>
        <v/>
      </c>
      <c r="D3037">
        <f>IF(Skills!C12=1,60+Inputs!$B$25+Inputs!$B$29,IF(Skills!C12=2,90+Inputs!$B$26+Inputs!$B$29,IF(Skills!C12=3,120+Inputs!$B$27+Inputs!$B$29,MAX(0,(Inputs!$B$3-100)*3)+Inputs!$B$28+Inputs!$B$29)))</f>
        <v/>
      </c>
      <c r="E3037">
        <f>INDEX(FactorTable!$B$2:$Y$301, MATCH(ROUND(MIN(300,MAX(1,D3037)),0), FactorTable!$A$2:$A$301,0), Skills!M12+1)</f>
        <v/>
      </c>
      <c r="F3037">
        <f>IF(Skills!N12=TRUE,(Skills!L12/10)*(E3037/1000),Skills!L12/10)+Skills!O12</f>
        <v/>
      </c>
      <c r="G3037" t="inlineStr"/>
      <c r="H3037" t="inlineStr"/>
      <c r="I3037" t="inlineStr">
        <is>
          <t>1</t>
        </is>
      </c>
      <c r="J3037" t="inlineStr"/>
      <c r="K3037" t="inlineStr"/>
      <c r="L3037" t="inlineStr"/>
      <c r="M3037" t="inlineStr"/>
      <c r="N3037" t="inlineStr"/>
      <c r="O3037" t="inlineStr"/>
      <c r="P3037" t="inlineStr"/>
      <c r="Q3037" t="inlineStr"/>
      <c r="R3037" t="inlineStr"/>
      <c r="S3037" t="inlineStr"/>
    </row>
    <row r="3038">
      <c r="A3038">
        <f>Skills!A13</f>
        <v/>
      </c>
      <c r="B3038">
        <f>Skills!B13</f>
        <v/>
      </c>
      <c r="C3038">
        <f>Inputs!$B$3&gt;=45</f>
        <v/>
      </c>
      <c r="D3038">
        <f>IF(Skills!C13=1,60+Inputs!$B$25+Inputs!$B$29,IF(Skills!C13=2,90+Inputs!$B$26+Inputs!$B$29,IF(Skills!C13=3,120+Inputs!$B$27+Inputs!$B$29,MAX(0,(Inputs!$B$3-100)*3)+Inputs!$B$28+Inputs!$B$29)))</f>
        <v/>
      </c>
      <c r="E3038">
        <f>INDEX(FactorTable!$B$2:$Y$301, MATCH(ROUND(MIN(300,MAX(1,D3038)),0), FactorTable!$A$2:$A$301,0), Skills!M13+1)</f>
        <v/>
      </c>
      <c r="F3038">
        <f>IF(Skills!N13=TRUE,(Skills!L13/10)*(E3038/1000),Skills!L13/10)+Skills!O13</f>
        <v/>
      </c>
      <c r="G3038">
        <f>Skills!G13*IF(Skills!H13&gt;0,Skills!I13/Skills!H13,1)</f>
        <v/>
      </c>
      <c r="H3038">
        <f>1-(1-Skills!J13/100)^Skills!K13</f>
        <v/>
      </c>
      <c r="I3038" t="inlineStr">
        <is>
          <t>1</t>
        </is>
      </c>
      <c r="J3038" t="inlineStr"/>
      <c r="K3038" t="inlineStr"/>
      <c r="L3038" t="inlineStr"/>
      <c r="M3038" t="inlineStr"/>
      <c r="N3038" t="inlineStr"/>
      <c r="O3038">
        <f>(1-Summary!$B$11)*T3038+Summary!$B$11*V3038</f>
        <v/>
      </c>
      <c r="P3038">
        <f>IF(B3064=0,0,O3038/B3064)</f>
        <v/>
      </c>
      <c r="Q3038" t="n">
        <v>0</v>
      </c>
      <c r="R3038" t="n">
        <v>0</v>
      </c>
      <c r="S3038">
        <f>IFERROR(O3038/N3038,0)</f>
        <v/>
      </c>
      <c r="T3038" t="n">
        <v>0</v>
      </c>
      <c r="V3038" t="n">
        <v>0</v>
      </c>
    </row>
    <row r="3039">
      <c r="A3039">
        <f>Skills!A14</f>
        <v/>
      </c>
      <c r="B3039">
        <f>Skills!B14</f>
        <v/>
      </c>
      <c r="C3039">
        <f>Inputs!$B$3&gt;=75</f>
        <v/>
      </c>
      <c r="D3039">
        <f>IF(Skills!C14=1,60+Inputs!$B$25+Inputs!$B$29,IF(Skills!C14=2,90+Inputs!$B$26+Inputs!$B$29,IF(Skills!C14=3,120+Inputs!$B$27+Inputs!$B$29,MAX(0,(Inputs!$B$3-100)*3)+Inputs!$B$28+Inputs!$B$29)))</f>
        <v/>
      </c>
      <c r="E3039">
        <f>INDEX(FactorTable!$B$2:$Y$301, MATCH(ROUND(MIN(300,MAX(1,D3039)),0), FactorTable!$A$2:$A$301,0), Skills!M14+1)</f>
        <v/>
      </c>
      <c r="F3039">
        <f>IF(Skills!N14=TRUE,(Skills!L14/10)*(E3039/1000),Skills!L14/10)+Skills!O14</f>
        <v/>
      </c>
      <c r="G3039">
        <f>Skills!G14*IF(Skills!H14&gt;0,Skills!I14/Skills!H14,1)</f>
        <v/>
      </c>
      <c r="H3039">
        <f>1-(1-Skills!J14/100)^Skills!K14</f>
        <v/>
      </c>
      <c r="I3039" t="inlineStr">
        <is>
          <t>1</t>
        </is>
      </c>
      <c r="J3039" t="inlineStr"/>
      <c r="K3039" t="inlineStr"/>
      <c r="L3039" t="inlineStr"/>
      <c r="M3039" t="inlineStr"/>
      <c r="N3039" t="inlineStr"/>
      <c r="O3039">
        <f>(1-Summary!$B$11)*T3039+Summary!$B$11*V3039</f>
        <v/>
      </c>
      <c r="P3039">
        <f>IF(B3064=0,0,O3039/B3064)</f>
        <v/>
      </c>
      <c r="Q3039" t="n">
        <v>0</v>
      </c>
      <c r="R3039" t="n">
        <v>0</v>
      </c>
      <c r="S3039">
        <f>IFERROR(O3039/N3039,0)</f>
        <v/>
      </c>
      <c r="T3039" t="n">
        <v>0</v>
      </c>
      <c r="V3039" t="n">
        <v>0</v>
      </c>
    </row>
    <row r="3040">
      <c r="A3040">
        <f>Skills!A15</f>
        <v/>
      </c>
      <c r="B3040">
        <f>Skills!B15</f>
        <v/>
      </c>
      <c r="C3040">
        <f>Inputs!$B$3&gt;=40</f>
        <v/>
      </c>
      <c r="D3040">
        <f>IF(Skills!C15=1,60+Inputs!$B$25+Inputs!$B$29,IF(Skills!C15=2,90+Inputs!$B$26+Inputs!$B$29,IF(Skills!C15=3,120+Inputs!$B$27+Inputs!$B$29,MAX(0,(Inputs!$B$3-100)*3)+Inputs!$B$28+Inputs!$B$29)))</f>
        <v/>
      </c>
      <c r="E3040">
        <f>INDEX(FactorTable!$B$2:$Y$301, MATCH(ROUND(MIN(300,MAX(1,D3040)),0), FactorTable!$A$2:$A$301,0), Skills!M15+1)</f>
        <v/>
      </c>
      <c r="F3040">
        <f>IF(Skills!N15=TRUE,(Skills!L15/10)*(E3040/1000),Skills!L15/10)+Skills!O15</f>
        <v/>
      </c>
      <c r="G3040">
        <f>Skills!G15*IF(Skills!H15&gt;0,Skills!I15/Skills!H15,1)</f>
        <v/>
      </c>
      <c r="H3040">
        <f>1-(1-Skills!J15/100)^Skills!K15</f>
        <v/>
      </c>
      <c r="I3040" t="inlineStr">
        <is>
          <t>1</t>
        </is>
      </c>
      <c r="J3040" t="inlineStr"/>
      <c r="K3040" t="inlineStr"/>
      <c r="L3040" t="inlineStr"/>
      <c r="M3040" t="inlineStr"/>
      <c r="N3040" t="inlineStr"/>
      <c r="O3040">
        <f>(1-Summary!$B$11)*T3040+Summary!$B$11*V3040</f>
        <v/>
      </c>
      <c r="P3040">
        <f>IF(B3064=0,0,O3040/B3064)</f>
        <v/>
      </c>
      <c r="Q3040">
        <f>IFERROR(1/(IF(Inputs!$B$38="pvp",15,MAX(0.1,Skills!D15-IF(Skills!E15=TRUE,4.5,0)))*(1-IF(AND(ArtifactsInput!$M$27,Inputs!$B$4="Chapter Hunt"),CHOOSE(ArtifactsInput!$N$27+1,20,24,28,32,36,40),0)/100)),0)</f>
        <v/>
      </c>
      <c r="R3040">
        <f>IF(AND(Inputs!$B$38&lt;&gt;"pvp",Inputs!$B$43&gt;0),IF(Inputs!$B$43&lt;=0,0,(INT(Inputs!$B$43/(IF(Inputs!$B$38="pvp",15,MAX(0.1,Skills!D15-IF(Skills!E15=TRUE,4.5,0)))*(1-IF(AND(ArtifactsInput!$M$27,Inputs!$B$4="Chapter Hunt"),CHOOSE(ArtifactsInput!$N$27+1,20,24,28,32,36,40),0)/100)))+1)),0)</f>
        <v/>
      </c>
      <c r="S3040">
        <f>IFERROR(O3040/N3040,0)</f>
        <v/>
      </c>
      <c r="T3040" t="n">
        <v>0</v>
      </c>
      <c r="V3040" t="n">
        <v>0</v>
      </c>
    </row>
    <row r="3041">
      <c r="A3041">
        <f>Skills!A16</f>
        <v/>
      </c>
      <c r="B3041">
        <f>Skills!B16</f>
        <v/>
      </c>
      <c r="C3041">
        <f>Inputs!$B$3&gt;=66</f>
        <v/>
      </c>
      <c r="D3041">
        <f>IF(Skills!C16=1,60+Inputs!$B$25+Inputs!$B$29,IF(Skills!C16=2,90+Inputs!$B$26+Inputs!$B$29,IF(Skills!C16=3,120+Inputs!$B$27+Inputs!$B$29,MAX(0,(Inputs!$B$3-100)*3)+Inputs!$B$28+Inputs!$B$29)))</f>
        <v/>
      </c>
      <c r="E3041">
        <f>INDEX(FactorTable!$B$2:$Y$301, MATCH(ROUND(MIN(300,MAX(1,D3041)),0), FactorTable!$A$2:$A$301,0), Skills!M16+1)</f>
        <v/>
      </c>
      <c r="F3041">
        <f>IF(Skills!N16=TRUE,(Skills!L16/10)*(E3041/1000),Skills!L16/10)+Skills!O16</f>
        <v/>
      </c>
      <c r="G3041">
        <f>Skills!G16*IF(Skills!H16&gt;0,Skills!I16/Skills!H16,1)</f>
        <v/>
      </c>
      <c r="H3041">
        <f>1-(1-Skills!J16/100)^Skills!K16</f>
        <v/>
      </c>
      <c r="I3041" t="inlineStr">
        <is>
          <t>1</t>
        </is>
      </c>
      <c r="J3041" t="inlineStr"/>
      <c r="K3041" t="inlineStr"/>
      <c r="L3041" t="inlineStr"/>
      <c r="M3041" t="inlineStr"/>
      <c r="N3041" t="inlineStr"/>
      <c r="O3041">
        <f>(1-Summary!$B$11)*T3041+Summary!$B$11*V3041</f>
        <v/>
      </c>
      <c r="P3041">
        <f>IF(B3064=0,0,O3041/B3064)</f>
        <v/>
      </c>
      <c r="Q3041">
        <f>IFERROR(1/(IF(Inputs!$B$38="pvp",15,MAX(0.1,Skills!D16-IF(Skills!E16=TRUE,4.5,0)))*(1-IF(AND(ArtifactsInput!$M$27,Inputs!$B$4="Chapter Hunt"),CHOOSE(ArtifactsInput!$N$27+1,20,24,28,32,36,40),0)/100)),0)</f>
        <v/>
      </c>
      <c r="R3041">
        <f>IF(AND(Inputs!$B$38&lt;&gt;"pvp",Inputs!$B$43&gt;0),IF(Inputs!$B$43&lt;=0,0,(INT(Inputs!$B$43/(IF(Inputs!$B$38="pvp",15,MAX(0.1,Skills!D16-IF(Skills!E16=TRUE,4.5,0)))*(1-IF(AND(ArtifactsInput!$M$27,Inputs!$B$4="Chapter Hunt"),CHOOSE(ArtifactsInput!$N$27+1,20,24,28,32,36,40),0)/100)))+1)),0)</f>
        <v/>
      </c>
      <c r="S3041">
        <f>IFERROR(O3041/N3041,0)</f>
        <v/>
      </c>
      <c r="T3041" t="n">
        <v>0</v>
      </c>
      <c r="V3041" t="n">
        <v>0</v>
      </c>
    </row>
    <row r="3042">
      <c r="A3042">
        <f>Skills!A17</f>
        <v/>
      </c>
      <c r="B3042">
        <f>Skills!B17</f>
        <v/>
      </c>
      <c r="C3042">
        <f>Inputs!$B$3&gt;=115</f>
        <v/>
      </c>
      <c r="D3042">
        <f>IF(Skills!C17=1,60+Inputs!$B$25+Inputs!$B$29,IF(Skills!C17=2,90+Inputs!$B$26+Inputs!$B$29,IF(Skills!C17=3,120+Inputs!$B$27+Inputs!$B$29,MAX(0,(Inputs!$B$3-100)*3)+Inputs!$B$28+Inputs!$B$29)))</f>
        <v/>
      </c>
      <c r="E3042">
        <f>INDEX(FactorTable!$B$2:$Y$301, MATCH(ROUND(MIN(300,MAX(1,D3042)),0), FactorTable!$A$2:$A$301,0), Skills!M17+1)</f>
        <v/>
      </c>
      <c r="F3042">
        <f>IF(Skills!N17=TRUE,(Skills!L17/10)*(E3042/1000),Skills!L17/10)+Skills!O17</f>
        <v/>
      </c>
      <c r="G3042">
        <f>Skills!G17*IF(Skills!H17&gt;0,Skills!I17/Skills!H17,1)</f>
        <v/>
      </c>
      <c r="H3042">
        <f>1-(1-Skills!J17/100)^Skills!K17</f>
        <v/>
      </c>
      <c r="I3042" t="inlineStr">
        <is>
          <t>1</t>
        </is>
      </c>
      <c r="J3042" t="inlineStr"/>
      <c r="K3042" t="inlineStr"/>
      <c r="L3042" t="inlineStr"/>
      <c r="M3042" t="inlineStr"/>
      <c r="N3042" t="inlineStr"/>
      <c r="O3042">
        <f>(1-Summary!$B$11)*T3042+Summary!$B$11*V3042</f>
        <v/>
      </c>
      <c r="P3042">
        <f>IF(B3064=0,0,O3042/B3064)</f>
        <v/>
      </c>
      <c r="Q3042">
        <f>IFERROR(1/(IF(Inputs!$B$38="pvp",15,MAX(0.1,Skills!D17-IF(Skills!E17=TRUE,4.5,0)))*(1-IF(AND(ArtifactsInput!$M$27,Inputs!$B$4="Chapter Hunt"),CHOOSE(ArtifactsInput!$N$27+1,20,24,28,32,36,40),0)/100)),0)</f>
        <v/>
      </c>
      <c r="R3042">
        <f>IF(AND(Inputs!$B$38&lt;&gt;"pvp",Inputs!$B$43&gt;0),IF(Inputs!$B$43&lt;=0,0,(INT(Inputs!$B$43/(IF(Inputs!$B$38="pvp",15,MAX(0.1,Skills!D17-IF(Skills!E17=TRUE,4.5,0)))*(1-IF(AND(ArtifactsInput!$M$27,Inputs!$B$4="Chapter Hunt"),CHOOSE(ArtifactsInput!$N$27+1,20,24,28,32,36,40),0)/100)))+1)),0)</f>
        <v/>
      </c>
      <c r="S3042">
        <f>IFERROR(O3042/N3042,0)</f>
        <v/>
      </c>
      <c r="T3042" t="n">
        <v>0</v>
      </c>
      <c r="V3042" t="n">
        <v>0</v>
      </c>
    </row>
    <row r="3043">
      <c r="A3043">
        <f>Skills!A18</f>
        <v/>
      </c>
      <c r="B3043">
        <f>Skills!B18</f>
        <v/>
      </c>
      <c r="C3043">
        <f>Inputs!$B$3&gt;=115</f>
        <v/>
      </c>
      <c r="D3043">
        <f>IF(Skills!C18=1,60+Inputs!$B$25+Inputs!$B$29,IF(Skills!C18=2,90+Inputs!$B$26+Inputs!$B$29,IF(Skills!C18=3,120+Inputs!$B$27+Inputs!$B$29,MAX(0,(Inputs!$B$3-100)*3)+Inputs!$B$28+Inputs!$B$29)))</f>
        <v/>
      </c>
      <c r="E3043">
        <f>INDEX(FactorTable!$B$2:$Y$301, MATCH(ROUND(MIN(300,MAX(1,D3043)),0), FactorTable!$A$2:$A$301,0), Skills!M18+1)</f>
        <v/>
      </c>
      <c r="F3043">
        <f>IF(Skills!N18=TRUE,(Skills!L18/10)*(E3043/1000),Skills!L18/10)+Skills!O18</f>
        <v/>
      </c>
      <c r="G3043">
        <f>Skills!G18*IF(Skills!H18&gt;0,Skills!I18/Skills!H18,1)</f>
        <v/>
      </c>
      <c r="H3043">
        <f>1-(1-Skills!J18/100)^Skills!K18</f>
        <v/>
      </c>
      <c r="I3043" t="inlineStr">
        <is>
          <t>1</t>
        </is>
      </c>
      <c r="J3043" t="inlineStr"/>
      <c r="K3043" t="inlineStr"/>
      <c r="L3043" t="inlineStr"/>
      <c r="M3043" t="inlineStr"/>
      <c r="N3043" t="inlineStr"/>
      <c r="O3043">
        <f>(1-Summary!$B$11)*T3043+Summary!$B$11*V3043</f>
        <v/>
      </c>
      <c r="P3043">
        <f>IF(B3064=0,0,O3043/B3064)</f>
        <v/>
      </c>
      <c r="Q3043">
        <f>IFERROR(1/(IF(Inputs!$B$38="pvp",15,MAX(0.1,Skills!D18-IF(Skills!E18=TRUE,4.5,0)))*(1-IF(AND(ArtifactsInput!$M$27,Inputs!$B$4="Chapter Hunt"),CHOOSE(ArtifactsInput!$N$27+1,20,24,28,32,36,40),0)/100)),0)</f>
        <v/>
      </c>
      <c r="R3043">
        <f>IF(AND(Inputs!$B$38&lt;&gt;"pvp",Inputs!$B$43&gt;0),IF(Inputs!$B$43&lt;=0,0,(INT(Inputs!$B$43/(IF(Inputs!$B$38="pvp",15,MAX(0.1,Skills!D18-IF(Skills!E18=TRUE,4.5,0)))*(1-IF(AND(ArtifactsInput!$M$27,Inputs!$B$4="Chapter Hunt"),CHOOSE(ArtifactsInput!$N$27+1,20,24,28,32,36,40),0)/100)))+1)),0)</f>
        <v/>
      </c>
      <c r="S3043">
        <f>IFERROR(O3043/N3043,0)</f>
        <v/>
      </c>
      <c r="T3043" t="n">
        <v>0</v>
      </c>
      <c r="V3043" t="n">
        <v>0</v>
      </c>
    </row>
    <row r="3044">
      <c r="A3044">
        <f>Skills!A19</f>
        <v/>
      </c>
      <c r="B3044">
        <f>Skills!B19</f>
        <v/>
      </c>
      <c r="C3044">
        <f>TRUE</f>
        <v/>
      </c>
      <c r="D3044">
        <f>IF(Skills!C19=1,60+Inputs!$B$25+Inputs!$B$29,IF(Skills!C19=2,90+Inputs!$B$26+Inputs!$B$29,IF(Skills!C19=3,120+Inputs!$B$27+Inputs!$B$29,MAX(0,(Inputs!$B$3-100)*3)+Inputs!$B$28+Inputs!$B$29)))</f>
        <v/>
      </c>
      <c r="E3044">
        <f>INDEX(FactorTable!$B$2:$Y$301, MATCH(ROUND(MIN(300,MAX(1,D3044)),0), FactorTable!$A$2:$A$301,0), Skills!M19+1)</f>
        <v/>
      </c>
      <c r="F3044">
        <f>IF(Skills!N19=TRUE,(Skills!L19/10)*(E3044/1000),Skills!L19/10)+Skills!O19</f>
        <v/>
      </c>
      <c r="G3044">
        <f>Skills!G19*IF(Skills!H19&gt;0,Skills!I19/Skills!H19,1)</f>
        <v/>
      </c>
      <c r="H3044">
        <f>1-(1-Skills!J19/100)^Skills!K19</f>
        <v/>
      </c>
      <c r="I3044" t="inlineStr">
        <is>
          <t>1</t>
        </is>
      </c>
      <c r="J3044" t="inlineStr"/>
      <c r="K3044" t="inlineStr"/>
      <c r="L3044" t="inlineStr"/>
      <c r="M3044" t="inlineStr"/>
      <c r="N3044" t="inlineStr"/>
      <c r="O3044">
        <f>(1-Summary!$B$11)*T3044+Summary!$B$11*V3044</f>
        <v/>
      </c>
      <c r="P3044">
        <f>IF(B3064=0,0,O3044/B3064)</f>
        <v/>
      </c>
      <c r="Q3044">
        <f>IFERROR(1/(IF(Inputs!$B$38="pvp",15,MAX(0.1,Skills!D19-IF(Skills!E19=TRUE,4.5,0)))*(1-IF(AND(ArtifactsInput!$M$27,Inputs!$B$4="Chapter Hunt"),CHOOSE(ArtifactsInput!$N$27+1,20,24,28,32,36,40),0)/100)),0)</f>
        <v/>
      </c>
      <c r="R3044">
        <f>IF(AND(Inputs!$B$38&lt;&gt;"pvp",Inputs!$B$43&gt;0),IF(Inputs!$B$43&lt;=0,0,(INT(Inputs!$B$43/(IF(Inputs!$B$38="pvp",15,MAX(0.1,Skills!D19-IF(Skills!E19=TRUE,4.5,0)))*(1-IF(AND(ArtifactsInput!$M$27,Inputs!$B$4="Chapter Hunt"),CHOOSE(ArtifactsInput!$N$27+1,20,24,28,32,36,40),0)/100)))+1)),0)</f>
        <v/>
      </c>
      <c r="S3044">
        <f>IFERROR(O3044/N3044,0)</f>
        <v/>
      </c>
      <c r="T3044" t="n">
        <v>0</v>
      </c>
      <c r="V3044" t="n">
        <v>0</v>
      </c>
    </row>
    <row r="3045">
      <c r="A3045">
        <f>Skills!A20</f>
        <v/>
      </c>
      <c r="B3045">
        <f>Skills!B20</f>
        <v/>
      </c>
      <c r="C3045">
        <f>Inputs!$B$3&gt;=33</f>
        <v/>
      </c>
      <c r="D3045">
        <f>IF(Skills!C20=1,60+Inputs!$B$25+Inputs!$B$29,IF(Skills!C20=2,90+Inputs!$B$26+Inputs!$B$29,IF(Skills!C20=3,120+Inputs!$B$27+Inputs!$B$29,MAX(0,(Inputs!$B$3-100)*3)+Inputs!$B$28+Inputs!$B$29)))</f>
        <v/>
      </c>
      <c r="E3045">
        <f>INDEX(FactorTable!$B$2:$Y$301, MATCH(ROUND(MIN(300,MAX(1,D3045)),0), FactorTable!$A$2:$A$301,0), Skills!M20+1)</f>
        <v/>
      </c>
      <c r="F3045">
        <f>IF(Skills!N20=TRUE,(Skills!L20/10)*(E3045/1000),Skills!L20/10)+Skills!O20</f>
        <v/>
      </c>
      <c r="G3045">
        <f>Skills!G20*IF(Skills!H20&gt;0,Skills!I20/Skills!H20,1)</f>
        <v/>
      </c>
      <c r="H3045">
        <f>1-(1-Skills!J20/100)^Skills!K20</f>
        <v/>
      </c>
      <c r="I3045" t="inlineStr">
        <is>
          <t>1</t>
        </is>
      </c>
      <c r="J3045" t="inlineStr"/>
      <c r="K3045" t="inlineStr"/>
      <c r="L3045" t="inlineStr"/>
      <c r="M3045" t="inlineStr"/>
      <c r="N3045" t="inlineStr"/>
      <c r="O3045">
        <f>(1-Summary!$B$11)*T3045+Summary!$B$11*V3045</f>
        <v/>
      </c>
      <c r="P3045">
        <f>IF(B3064=0,0,O3045/B3064)</f>
        <v/>
      </c>
      <c r="Q3045" t="n">
        <v>0</v>
      </c>
      <c r="R3045" t="n">
        <v>0</v>
      </c>
      <c r="S3045">
        <f>IFERROR(O3045/N3045,0)</f>
        <v/>
      </c>
      <c r="T3045" t="n">
        <v>0</v>
      </c>
      <c r="V3045" t="n">
        <v>0</v>
      </c>
    </row>
    <row r="3046">
      <c r="A3046">
        <f>Skills!A21</f>
        <v/>
      </c>
      <c r="B3046">
        <f>Skills!B21</f>
        <v/>
      </c>
      <c r="C3046">
        <f>Inputs!$B$3&gt;=38</f>
        <v/>
      </c>
      <c r="D3046">
        <f>IF(Skills!C21=1,60+Inputs!$B$25+Inputs!$B$29,IF(Skills!C21=2,90+Inputs!$B$26+Inputs!$B$29,IF(Skills!C21=3,120+Inputs!$B$27+Inputs!$B$29,MAX(0,(Inputs!$B$3-100)*3)+Inputs!$B$28+Inputs!$B$29)))</f>
        <v/>
      </c>
      <c r="E3046">
        <f>INDEX(FactorTable!$B$2:$Y$301, MATCH(ROUND(MIN(300,MAX(1,D3046)),0), FactorTable!$A$2:$A$301,0), Skills!M21+1)</f>
        <v/>
      </c>
      <c r="F3046">
        <f>IF(Skills!N21=TRUE,(Skills!L21/10)*(E3046/1000),Skills!L21/10)+Skills!O21</f>
        <v/>
      </c>
      <c r="G3046">
        <f>Skills!G21*IF(Skills!H21&gt;0,Skills!I21/Skills!H21,1)</f>
        <v/>
      </c>
      <c r="H3046">
        <f>1-(1-Skills!J21/100)^Skills!K21</f>
        <v/>
      </c>
      <c r="I3046" t="inlineStr">
        <is>
          <t>1</t>
        </is>
      </c>
      <c r="J3046" t="inlineStr"/>
      <c r="K3046" t="inlineStr"/>
      <c r="L3046" t="inlineStr"/>
      <c r="M3046" t="inlineStr"/>
      <c r="N3046" t="inlineStr"/>
      <c r="O3046">
        <f>(1-Summary!$B$11)*T3046+Summary!$B$11*V3046</f>
        <v/>
      </c>
      <c r="P3046">
        <f>IF(B3064=0,0,O3046/B3064)</f>
        <v/>
      </c>
      <c r="Q3046" t="n">
        <v>0</v>
      </c>
      <c r="R3046" t="n">
        <v>0</v>
      </c>
      <c r="S3046">
        <f>IFERROR(O3046/N3046,0)</f>
        <v/>
      </c>
      <c r="T3046" t="n">
        <v>0</v>
      </c>
      <c r="V3046" t="n">
        <v>0</v>
      </c>
    </row>
    <row r="3047">
      <c r="A3047">
        <f>Skills!A22</f>
        <v/>
      </c>
      <c r="B3047">
        <f>Skills!B22</f>
        <v/>
      </c>
      <c r="C3047">
        <f>Inputs!$B$3&gt;=43</f>
        <v/>
      </c>
      <c r="D3047">
        <f>IF(Skills!C22=1,60+Inputs!$B$25+Inputs!$B$29,IF(Skills!C22=2,90+Inputs!$B$26+Inputs!$B$29,IF(Skills!C22=3,120+Inputs!$B$27+Inputs!$B$29,MAX(0,(Inputs!$B$3-100)*3)+Inputs!$B$28+Inputs!$B$29)))</f>
        <v/>
      </c>
      <c r="E3047">
        <f>INDEX(FactorTable!$B$2:$Y$301, MATCH(ROUND(MIN(300,MAX(1,D3047)),0), FactorTable!$A$2:$A$301,0), Skills!M22+1)</f>
        <v/>
      </c>
      <c r="F3047">
        <f>IF(Skills!N22=TRUE,(Skills!L22/10)*(E3047/1000),Skills!L22/10)+Skills!O22</f>
        <v/>
      </c>
      <c r="G3047">
        <f>Skills!G22*IF(Skills!H22&gt;0,Skills!I22/Skills!H22,1)</f>
        <v/>
      </c>
      <c r="H3047">
        <f>1-(1-Skills!J22/100)^Skills!K22</f>
        <v/>
      </c>
      <c r="I3047" t="inlineStr">
        <is>
          <t>1</t>
        </is>
      </c>
      <c r="J3047" t="inlineStr"/>
      <c r="K3047" t="inlineStr"/>
      <c r="L3047" t="inlineStr"/>
      <c r="M3047" t="inlineStr"/>
      <c r="N3047" t="inlineStr"/>
      <c r="O3047">
        <f>(1-Summary!$B$11)*T3047+Summary!$B$11*V3047</f>
        <v/>
      </c>
      <c r="P3047">
        <f>IF(B3064=0,0,O3047/B3064)</f>
        <v/>
      </c>
      <c r="Q3047" t="n">
        <v>0</v>
      </c>
      <c r="R3047" t="n">
        <v>0</v>
      </c>
      <c r="S3047">
        <f>IFERROR(O3047/N3047,0)</f>
        <v/>
      </c>
      <c r="T3047" t="n">
        <v>0</v>
      </c>
      <c r="V3047" t="n">
        <v>0</v>
      </c>
    </row>
    <row r="3048">
      <c r="A3048">
        <f>Skills!A23</f>
        <v/>
      </c>
      <c r="B3048">
        <f>Skills!B23</f>
        <v/>
      </c>
      <c r="C3048">
        <f>Inputs!$B$3&gt;=120</f>
        <v/>
      </c>
      <c r="D3048">
        <f>IF(Skills!C23=1,60+Inputs!$B$25+Inputs!$B$29,IF(Skills!C23=2,90+Inputs!$B$26+Inputs!$B$29,IF(Skills!C23=3,120+Inputs!$B$27+Inputs!$B$29,MAX(0,(Inputs!$B$3-100)*3)+Inputs!$B$28+Inputs!$B$29)))</f>
        <v/>
      </c>
      <c r="E3048">
        <f>INDEX(FactorTable!$B$2:$Y$301, MATCH(ROUND(MIN(300,MAX(1,D3048)),0), FactorTable!$A$2:$A$301,0), Skills!M23+1)</f>
        <v/>
      </c>
      <c r="F3048">
        <f>IF(Skills!N23=TRUE,(Skills!L23/10)*(E3048/1000),Skills!L23/10)+Skills!O23</f>
        <v/>
      </c>
      <c r="G3048">
        <f>Skills!G23*IF(Skills!H23&gt;0,Skills!I23/Skills!H23,1)</f>
        <v/>
      </c>
      <c r="H3048">
        <f>1-(1-Skills!J23/100)^Skills!K23</f>
        <v/>
      </c>
      <c r="I3048" t="inlineStr">
        <is>
          <t>1</t>
        </is>
      </c>
      <c r="J3048" t="inlineStr"/>
      <c r="K3048" t="inlineStr"/>
      <c r="L3048" t="inlineStr"/>
      <c r="M3048" t="inlineStr"/>
      <c r="N3048" t="inlineStr"/>
      <c r="O3048">
        <f>(1-Summary!$B$11)*T3048+Summary!$B$11*V3048</f>
        <v/>
      </c>
      <c r="P3048">
        <f>IF(B3064=0,0,O3048/B3064)</f>
        <v/>
      </c>
      <c r="Q3048" t="n">
        <v>0</v>
      </c>
      <c r="R3048" t="n">
        <v>0</v>
      </c>
      <c r="S3048">
        <f>IFERROR(O3048/N3048,0)</f>
        <v/>
      </c>
      <c r="T3048" t="n">
        <v>0</v>
      </c>
      <c r="V3048" t="n">
        <v>0</v>
      </c>
    </row>
    <row r="3049">
      <c r="A3049">
        <f>Skills!A24</f>
        <v/>
      </c>
      <c r="B3049">
        <f>Skills!B24</f>
        <v/>
      </c>
      <c r="C3049">
        <f>Inputs!$B$3&gt;=120</f>
        <v/>
      </c>
      <c r="D3049">
        <f>IF(Skills!C24=1,60+Inputs!$B$25+Inputs!$B$29,IF(Skills!C24=2,90+Inputs!$B$26+Inputs!$B$29,IF(Skills!C24=3,120+Inputs!$B$27+Inputs!$B$29,MAX(0,(Inputs!$B$3-100)*3)+Inputs!$B$28+Inputs!$B$29)))</f>
        <v/>
      </c>
      <c r="E3049">
        <f>INDEX(FactorTable!$B$2:$Y$301, MATCH(ROUND(MIN(300,MAX(1,D3049)),0), FactorTable!$A$2:$A$301,0), Skills!M24+1)</f>
        <v/>
      </c>
      <c r="F3049">
        <f>IF(Skills!N24=TRUE,(Skills!L24/10)*(E3049/1000),Skills!L24/10)+Skills!O24</f>
        <v/>
      </c>
      <c r="G3049">
        <f>Skills!G24*IF(Skills!H24&gt;0,Skills!I24/Skills!H24,1)</f>
        <v/>
      </c>
      <c r="H3049">
        <f>1-(1-Skills!J24/100)^Skills!K24</f>
        <v/>
      </c>
      <c r="I3049" t="inlineStr">
        <is>
          <t>1</t>
        </is>
      </c>
      <c r="J3049" t="inlineStr"/>
      <c r="K3049" t="inlineStr"/>
      <c r="L3049" t="inlineStr"/>
      <c r="M3049" t="inlineStr"/>
      <c r="N3049" t="inlineStr"/>
      <c r="O3049">
        <f>(1-Summary!$B$11)*T3049+Summary!$B$11*V3049</f>
        <v/>
      </c>
      <c r="P3049">
        <f>IF(B3064=0,0,O3049/B3064)</f>
        <v/>
      </c>
      <c r="Q3049" t="n">
        <v>0</v>
      </c>
      <c r="R3049" t="n">
        <v>0</v>
      </c>
      <c r="S3049">
        <f>IFERROR(O3049/N3049,0)</f>
        <v/>
      </c>
      <c r="T3049" t="n">
        <v>0</v>
      </c>
      <c r="V3049" t="n">
        <v>0</v>
      </c>
    </row>
    <row r="3050">
      <c r="A3050">
        <f>Skills!A25</f>
        <v/>
      </c>
      <c r="B3050">
        <f>Skills!B25</f>
        <v/>
      </c>
      <c r="C3050">
        <f>Inputs!$B$3&gt;=125</f>
        <v/>
      </c>
      <c r="D3050">
        <f>IF(Skills!C25=1,60+Inputs!$B$25+Inputs!$B$29,IF(Skills!C25=2,90+Inputs!$B$26+Inputs!$B$29,IF(Skills!C25=3,120+Inputs!$B$27+Inputs!$B$29,MAX(0,(Inputs!$B$3-100)*3)+Inputs!$B$28+Inputs!$B$29)))</f>
        <v/>
      </c>
      <c r="E3050">
        <f>INDEX(FactorTable!$B$2:$Y$301, MATCH(ROUND(MIN(300,MAX(1,D3050)),0), FactorTable!$A$2:$A$301,0), Skills!M25+1)</f>
        <v/>
      </c>
      <c r="F3050">
        <f>IF(Skills!N25=TRUE,(Skills!L25/10)*(E3050/1000),Skills!L25/10)+Skills!O25</f>
        <v/>
      </c>
      <c r="G3050">
        <f>Skills!G25*IF(Skills!H25&gt;0,Skills!I25/Skills!H25,1)</f>
        <v/>
      </c>
      <c r="H3050">
        <f>1-(1-Skills!J25/100)^Skills!K25</f>
        <v/>
      </c>
      <c r="I3050" t="inlineStr">
        <is>
          <t>1</t>
        </is>
      </c>
      <c r="J3050" t="inlineStr"/>
      <c r="K3050" t="inlineStr"/>
      <c r="L3050" t="inlineStr"/>
      <c r="M3050" t="inlineStr"/>
      <c r="N3050" t="inlineStr"/>
      <c r="O3050">
        <f>(1-Summary!$B$11)*T3050+Summary!$B$11*V3050</f>
        <v/>
      </c>
      <c r="P3050">
        <f>IF(B3064=0,0,O3050/B3064)</f>
        <v/>
      </c>
      <c r="Q3050" t="n">
        <v>0</v>
      </c>
      <c r="R3050" t="n">
        <v>0</v>
      </c>
      <c r="S3050">
        <f>IFERROR(O3050/N3050,0)</f>
        <v/>
      </c>
      <c r="T3050" t="n">
        <v>0</v>
      </c>
      <c r="V3050" t="n">
        <v>0</v>
      </c>
    </row>
    <row r="3051">
      <c r="A3051">
        <f>Skills!A26</f>
        <v/>
      </c>
      <c r="B3051">
        <f>Skills!B26</f>
        <v/>
      </c>
      <c r="C3051">
        <f>Inputs!$B$3&gt;=72</f>
        <v/>
      </c>
      <c r="D3051">
        <f>IF(Skills!C26=1,60+Inputs!$B$25+Inputs!$B$29,IF(Skills!C26=2,90+Inputs!$B$26+Inputs!$B$29,IF(Skills!C26=3,120+Inputs!$B$27+Inputs!$B$29,MAX(0,(Inputs!$B$3-100)*3)+Inputs!$B$28+Inputs!$B$29)))</f>
        <v/>
      </c>
      <c r="E3051">
        <f>INDEX(FactorTable!$B$2:$Y$301, MATCH(ROUND(MIN(300,MAX(1,D3051)),0), FactorTable!$A$2:$A$301,0), Skills!M26+1)</f>
        <v/>
      </c>
      <c r="F3051">
        <f>IF(Skills!N26=TRUE,(Skills!L26/10)*(E3051/1000),Skills!L26/10)+Skills!O26</f>
        <v/>
      </c>
      <c r="G3051">
        <f>Skills!G26*IF(Skills!H26&gt;0,Skills!I26/Skills!H26,1)</f>
        <v/>
      </c>
      <c r="H3051">
        <f>1-(1-Skills!J26/100)^Skills!K26</f>
        <v/>
      </c>
      <c r="I3051" t="inlineStr">
        <is>
          <t>1</t>
        </is>
      </c>
      <c r="J3051" t="inlineStr"/>
      <c r="K3051" t="inlineStr"/>
      <c r="L3051" t="inlineStr"/>
      <c r="M3051" t="inlineStr"/>
      <c r="N3051" t="inlineStr"/>
      <c r="O3051">
        <f>(1-Summary!$B$11)*T3051+Summary!$B$11*V3051</f>
        <v/>
      </c>
      <c r="P3051">
        <f>IF(B3064=0,0,O3051/B3064)</f>
        <v/>
      </c>
      <c r="Q3051" t="n">
        <v>0</v>
      </c>
      <c r="R3051" t="n">
        <v>0</v>
      </c>
      <c r="S3051">
        <f>IFERROR(O3051/N3051,0)</f>
        <v/>
      </c>
      <c r="T3051" t="n">
        <v>0</v>
      </c>
      <c r="V3051" t="n">
        <v>0</v>
      </c>
    </row>
    <row r="3053">
      <c r="A3053" t="inlineStr">
        <is>
          <t>Attack% Bucket Multiplier</t>
        </is>
      </c>
      <c r="B3053">
        <f>(1+(((C3038=TRUE)*F3038*IF(Inputs!$B$3&gt;=110,7,5))+((C3040=TRUE)*F3040*IF(AND(Inputs!$B$38&lt;&gt;"pvp",Inputs!$B$43&gt;0),(((R3040-1)*(Skills!T15*(1+(Inputs!$B$34+(ArtifactsInput!$M$7-ArtifactsInput!$M$7)*CHOOSE(ArtifactsInput!$N$7+1,6,7.2,8.4,9.6,10.8,12))/100))+MIN((Skills!T15*(1+(Inputs!$B$34+(ArtifactsInput!$M$7-ArtifactsInput!$M$7)*CHOOSE(ArtifactsInput!$N$7+1,6,7.2,8.4,9.6,10.8,12))/100)),MAX(0,Inputs!$B$43-((R3040-1)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054">
      <c r="A3054" t="inlineStr">
        <is>
          <t>Global Crit Rate Bonus %</t>
        </is>
      </c>
      <c r="B3054" t="n">
        <v>0</v>
      </c>
    </row>
    <row r="3055">
      <c r="A3055" t="inlineStr">
        <is>
          <t>Attack Speed Buff Bonus %</t>
        </is>
      </c>
      <c r="B3055">
        <f>((C3044=TRUE)*F3044*IF(AND(Inputs!$B$38&lt;&gt;"pvp",Inputs!$B$43&gt;0),(((R3044-1)*(Skills!T19*(1+(Inputs!$B$34+(ArtifactsInput!$M$7-ArtifactsInput!$M$7)*CHOOSE(ArtifactsInput!$N$7+1,6,7.2,8.4,9.6,10.8,12))/100))+MIN((Skills!T19*(1+(Inputs!$B$34+(ArtifactsInput!$M$7-ArtifactsInput!$M$7)*CHOOSE(ArtifactsInput!$N$7+1,6,7.2,8.4,9.6,10.8,12))/100)),MAX(0,Inputs!$B$43-((R3044-1)*Skills!D19))))/Inputs!$B$43),IF(Inputs!$B$38="pvp",MIN((Skills!T19*(1+(Inputs!$B$34+(ArtifactsInput!$M$7-ArtifactsInput!$M$7)*CHOOSE(ArtifactsInput!$N$7+1,6,7.2,8.4,9.6,10.8,12))/100)),15)/15,(Skills!T19*(1+(Inputs!$B$34+(ArtifactsInput!$M$7-ArtifactsInput!$M$7)*CHOOSE(ArtifactsInput!$N$7+1,6,7.2,8.4,9.6,10.8,12))/100))/Skills!D19)))</f>
        <v/>
      </c>
    </row>
    <row r="3056">
      <c r="A3056" t="inlineStr">
        <is>
          <t>Actions Per Second</t>
        </is>
      </c>
      <c r="B3056">
        <f>1+MIN(150,150*(1-(1-(Inputs!$B$11+((C3045=TRUE)*(F3045-Calc!F20)))/150)*(1-B3055/150)))/100</f>
        <v/>
      </c>
    </row>
    <row r="3057">
      <c r="A3057" t="inlineStr">
        <is>
          <t>Skill + Buff Cast Rate</t>
        </is>
      </c>
      <c r="B3057">
        <f>IF(AND(Inputs!$B$38&lt;&gt;"pvp",Inputs!$B$43&gt;0),SUMPRODUCT((Skills!E2:E26=TRUE)*(C3027:C3051=TRUE)*R3027:R3051*Skills!F2:F26)/Inputs!$B$43,SUMPRODUCT((Skills!E2:E26=TRUE)*(C3027:C3051=TRUE)*Q3027:Q3051*Skills!F2:F26))</f>
        <v/>
      </c>
    </row>
    <row r="3058">
      <c r="A3058" t="inlineStr">
        <is>
          <t>Raging Blow Casts Per Second</t>
        </is>
      </c>
      <c r="B3058">
        <f>MAX(0,B3056-B3057)</f>
        <v/>
      </c>
    </row>
    <row r="3059">
      <c r="A3059" t="inlineStr">
        <is>
          <t>Global Critical Damage Bonus % (Enrage)</t>
        </is>
      </c>
      <c r="B3059">
        <f>((C3043=TRUE)*F3043*IF(AND(Inputs!$B$38&lt;&gt;"pvp",Inputs!$B$43&gt;0),(((R3043-1)*(Skills!T18*(1+(Inputs!$B$34+(ArtifactsInput!$M$7-ArtifactsInput!$M$7)*CHOOSE(ArtifactsInput!$N$7+1,6,7.2,8.4,9.6,10.8,12))/100))+MIN((Skills!T18*(1+(Inputs!$B$34+(ArtifactsInput!$M$7-ArtifactsInput!$M$7)*CHOOSE(ArtifactsInput!$N$7+1,6,7.2,8.4,9.6,10.8,12))/100)),MAX(0,Inputs!$B$43-((R3043-1)*Skills!D18))))/Inputs!$B$43),IF(Inputs!$B$38="pvp",MIN((Skills!T18*(1+(Inputs!$B$34+(ArtifactsInput!$M$7-ArtifactsInput!$M$7)*CHOOSE(ArtifactsInput!$N$7+1,6,7.2,8.4,9.6,10.8,12))/100)),15)/15,(Skills!T18*(1+(Inputs!$B$34+(ArtifactsInput!$M$7-ArtifactsInput!$M$7)*CHOOSE(ArtifactsInput!$N$7+1,6,7.2,8.4,9.6,10.8,12))/100))/Skills!D18)))</f>
        <v/>
      </c>
    </row>
    <row r="3060">
      <c r="A3060" t="inlineStr">
        <is>
          <t>Global Final Damage Bonus % (Enrage + Combo Synergy)</t>
        </is>
      </c>
      <c r="B3060">
        <f>((C3042=TRUE)*F3042*IF(AND(Inputs!$B$38&lt;&gt;"pvp",Inputs!$B$43&gt;0),(((R3042-1)*(Skills!T17*(1+(Inputs!$B$34+(ArtifactsInput!$M$7-ArtifactsInput!$M$7)*CHOOSE(ArtifactsInput!$N$7+1,6,7.2,8.4,9.6,10.8,12))/100))+MIN((Skills!T17*(1+(Inputs!$B$34+(ArtifactsInput!$M$7-ArtifactsInput!$M$7)*CHOOSE(ArtifactsInput!$N$7+1,6,7.2,8.4,9.6,10.8,12))/100)),MAX(0,Inputs!$B$43-((R3042-1)*Skills!D17))))/Inputs!$B$43),IF(Inputs!$B$38="pvp",MIN((Skills!T17*(1+(Inputs!$B$34+(ArtifactsInput!$M$7-ArtifactsInput!$M$7)*CHOOSE(ArtifactsInput!$N$7+1,6,7.2,8.4,9.6,10.8,12))/100)),15)/15,(Skills!T17*(1+(Inputs!$B$34+(ArtifactsInput!$M$7-ArtifactsInput!$M$7)*CHOOSE(ArtifactsInput!$N$7+1,6,7.2,8.4,9.6,10.8,12))/100))/Skills!D17)))+((C3039=TRUE)*F3039*IF(Inputs!$B$3&gt;=110,7,5))</f>
        <v/>
      </c>
    </row>
    <row r="3061">
      <c r="A3061" t="inlineStr">
        <is>
          <t>Buff-Casting Startup Delay (s, fixed-duration only)</t>
        </is>
      </c>
      <c r="B3061">
        <f>IF(AND(Inputs!$B$38&lt;&gt;"pvp",Inputs!$B$43&gt;0),SUMPRODUCT((Skills!T2:T26&gt;0)*(Skills!E2:E26=TRUE)*(C3027:C3051=TRUE))/B3056,0)</f>
        <v/>
      </c>
    </row>
    <row r="3062">
      <c r="A3062" t="inlineStr">
        <is>
          <t>Boss-Only Total DPS (this block's swept value)</t>
        </is>
      </c>
      <c r="B3062">
        <f>SUM(T3027:T3051)</f>
        <v/>
      </c>
    </row>
    <row r="3063">
      <c r="A3063" t="inlineStr">
        <is>
          <t>Normal-Only Total DPS (this block's swept value)</t>
        </is>
      </c>
      <c r="B3063">
        <f>SUM(V3027:V3051)</f>
        <v/>
      </c>
    </row>
    <row r="3064">
      <c r="A3064" s="6" t="inlineStr">
        <is>
          <t>TOTAL DPS</t>
        </is>
      </c>
      <c r="B3064" s="6">
        <f>SUM(O3027:O3051)</f>
        <v/>
      </c>
    </row>
    <row r="3067">
      <c r="A3067" s="6" t="inlineStr">
        <is>
          <t>Stat: CDR = 5.0s</t>
        </is>
      </c>
    </row>
    <row r="3068">
      <c r="A3068" s="5" t="inlineStr">
        <is>
          <t>Key</t>
        </is>
      </c>
      <c r="B3068" s="5" t="inlineStr">
        <is>
          <t>Name</t>
        </is>
      </c>
      <c r="C3068" s="5" t="inlineStr">
        <is>
          <t>Unlocked</t>
        </is>
      </c>
      <c r="D3068" s="5" t="inlineStr">
        <is>
          <t>InputLevel</t>
        </is>
      </c>
      <c r="E3068" s="5" t="inlineStr">
        <is>
          <t>Factor</t>
        </is>
      </c>
      <c r="F3068" s="5" t="inlineStr">
        <is>
          <t>CoefficientPercent</t>
        </is>
      </c>
      <c r="G3068" s="5" t="inlineStr">
        <is>
          <t>EffectiveHits</t>
        </is>
      </c>
      <c r="H3068" s="5" t="inlineStr">
        <is>
          <t>ProcProbability</t>
        </is>
      </c>
      <c r="I3068" s="5" t="inlineStr">
        <is>
          <t>MapleHeroMultiplier</t>
        </is>
      </c>
      <c r="J3068" s="5" t="inlineStr">
        <is>
          <t>BaseDamage</t>
        </is>
      </c>
      <c r="K3068" s="5" t="inlineStr">
        <is>
          <t>BaseHitDamage</t>
        </is>
      </c>
      <c r="L3068" s="5" t="inlineStr">
        <is>
          <t>NonCritAvg</t>
        </is>
      </c>
      <c r="M3068" s="5" t="inlineStr">
        <is>
          <t>CritAvg</t>
        </is>
      </c>
      <c r="N3068" s="5" t="inlineStr">
        <is>
          <t>ExpectedDamage(perHit)</t>
        </is>
      </c>
      <c r="O3068" s="5" t="inlineStr">
        <is>
          <t>DPS</t>
        </is>
      </c>
      <c r="P3068" s="5" t="inlineStr">
        <is>
          <t>% of Total</t>
        </is>
      </c>
      <c r="Q3068" s="5" t="inlineStr">
        <is>
          <t>InvCooldown</t>
        </is>
      </c>
      <c r="R3068" s="5" t="inlineStr">
        <is>
          <t>CastsInFight</t>
        </is>
      </c>
      <c r="S3068" s="5" t="inlineStr">
        <is>
          <t>HitRate(perSec)</t>
        </is>
      </c>
      <c r="U3068" t="inlineStr">
        <is>
          <t>helpers</t>
        </is>
      </c>
    </row>
    <row r="3069">
      <c r="A3069">
        <f>Skills!A2</f>
        <v/>
      </c>
      <c r="B3069">
        <f>Skills!B2</f>
        <v/>
      </c>
      <c r="C3069">
        <f>Inputs!$B$3&gt;=100</f>
        <v/>
      </c>
      <c r="D3069" t="inlineStr"/>
      <c r="E3069" t="inlineStr"/>
      <c r="F3069">
        <f>U3071+Skills!O2</f>
        <v/>
      </c>
      <c r="G3069">
        <f>Skills!G2*IF(Skills!H2&gt;0,Skills!I2/Skills!H2,1)</f>
        <v/>
      </c>
      <c r="H3069">
        <f>1-(1-Skills!J2/100)^Skills!K2</f>
        <v/>
      </c>
      <c r="I3069" t="inlineStr">
        <is>
          <t>1</t>
        </is>
      </c>
      <c r="J3069">
        <f>((Inputs!$B$6*(1+Inputs!$B$7/100))+(((Inputs!$B$12*(1+Inputs!$B$13/100))-(Inputs!$B$12*(1+Inputs!$B$13/100)))+0.25*(Inputs!$B$14-Inputs!$B$14))*(1+Inputs!$B$7/100))*(F3069/100)</f>
        <v/>
      </c>
      <c r="K3069">
        <f>J3069*(1+((Inputs!$B$12*(1+Inputs!$B$13/100))*0.01+Inputs!$B$14*0.0025)/100)*(1+Inputs!$B$15/100)*(1+Inputs!$B$16/100)*(5000/(6000+Inputs!$B$42*(1-(100*(1-(1-(Inputs!$B$19+0)/100)*(1-CHOOSE(ArtifactsInput!$N$40+1,5,6,7,8,9,10)/100)^(ArtifactsInput!$M$40-ArtifactsInput!$M$40)))/100)))*(1+(Inputs!$B$24+((C3092=TRUE)*(F3092-Calc!F25))+B3102)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NHANCED_RAGING_BLOW",IF(Inputs!$B$3&gt;=134,MAX(0,IF(Inputs!$B$3&gt;=110,7,5)-5)*50,0),0)/100)*(1+(IF(Skills!A2="RAGING_BLOW",Inputs!$B$17+((C3088=TRUE)*(F3088-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3090=TRUE)*(F3090-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3080=TRUE)*F3080*IF(Inputs!$B$3&gt;=110,7,5))+((C3082=TRUE)*F3082*IF(AND(Inputs!$B$38&lt;&gt;"pvp",Inputs!$B$43&gt;0),(((R3082-1)*(Skills!T15*(1+(Inputs!$B$34+(ArtifactsInput!$M$7-ArtifactsInput!$M$7)*CHOOSE(ArtifactsInput!$N$7+1,6,7.2,8.4,9.6,10.8,12))/100))+MIN((Skills!T15*(1+(Inputs!$B$34+(ArtifactsInput!$M$7-ArtifactsInput!$M$7)*CHOOSE(ArtifactsInput!$N$7+1,6,7.2,8.4,9.6,10.8,12))/100)),MAX(0,Inputs!$B$43-((R3082-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Hunt"),CHOOSE(ArtifactsInput!$N$35+1,15,18,21,24,27,30)*(1-EXP(-(0.2*B3098)*5)),0)+IF(AND(ArtifactsInput!$M$22,Inputs!$B$4&lt;&gt;"Chapter Hunt"),CHOOSE(ArtifactsInput!$N$22+1,10,12,14,16,18,20)*((0*(((0.15*B3098*5))^0/1)+1*(((0.15*B3098*5))^1/1)+2*(((0.15*B3098*5))^2/2)+3*(((0.15*B3098*5))^3/6)+4*(((0.15*B3098*5))^4/24)+5*(((0.15*B3098*5))^5/120))/((((0.15*B3098*5))^0/1)+(((0.15*B3098*5))^1/1)+(((0.15*B3098*5))^2/2)+(((0.15*B3098*5))^3/6)+(((0.15*B3098*5))^4/24)+(((0.15*B3098*5))^5/120))),0)))/100)*I3069)</f>
        <v/>
      </c>
      <c r="L3069">
        <f>K3069*(MIN(Inputs!$B$22+((C3089=TRUE)*(F3089-Calc!F22)),(Inputs!$B$23+((C3091=TRUE)*(F3091-Calc!F24))+(IF(ArtifactsInput!$M$15,CHOOSE(ArtifactsInput!$N$15+1,25,30,35,40,45,50)/100*(Inputs!$B$11-Inputs!$B$11),0))))/100+(Inputs!$B$23+((C3091=TRUE)*(F3091-Calc!F24))+(IF(ArtifactsInput!$M$15,CHOOSE(ArtifactsInput!$N$15+1,25,30,35,40,45,50)/100*(Inputs!$B$11-Inputs!$B$11),0)))/100)/2</f>
        <v/>
      </c>
      <c r="M3069">
        <f>L3069*(1+(Inputs!$B$10+0+B3101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9">
        <f>L3069*(1-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3069*(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9">
        <f>(1-Summary!$B$11)*T3069+Summary!$B$11*V3069</f>
        <v/>
      </c>
      <c r="P3069">
        <f>IF(B3106=0,0,O3069/B3106)</f>
        <v/>
      </c>
      <c r="Q3069" t="n">
        <v>0</v>
      </c>
      <c r="R3069" t="n">
        <v>0</v>
      </c>
      <c r="S3069">
        <f>IFERROR(O3069/N3069,0)</f>
        <v/>
      </c>
      <c r="T3069">
        <f>IF(C3069,(Skills!G2*N3069*B3100)*IF(Inputs!$B$38="pvp",1,1+(Inputs!$B$20+0+Skills!P2+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3069*(1-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3069*(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3069*(1-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3069*(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69">
        <f>MAX(0,(Inputs!$B$3-100)*3)+Inputs!$B$28+Inputs!$B$29</f>
        <v/>
      </c>
      <c r="V3069">
        <f>IF(C3069,(Skills!G2*N3069*B3100)*IF(Inputs!$B$38="pvp",1,(1+(Inputs!$B$21+Skills!Q2+Summary!$B$15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0">
      <c r="A3070">
        <f>Skills!A3</f>
        <v/>
      </c>
      <c r="B3070">
        <f>Skills!B3</f>
        <v/>
      </c>
      <c r="C3070">
        <f>Inputs!$B$3&gt;=50</f>
        <v/>
      </c>
      <c r="D3070">
        <f>IF(Skills!C3=1,60+Inputs!$B$25+Inputs!$B$29,IF(Skills!C3=2,90+Inputs!$B$26+Inputs!$B$29,IF(Skills!C3=3,120+Inputs!$B$27+Inputs!$B$29,MAX(0,(Inputs!$B$3-100)*3)+Inputs!$B$28+Inputs!$B$29)))</f>
        <v/>
      </c>
      <c r="E3070">
        <f>INDEX(FactorTable!$B$2:$Y$301, MATCH(ROUND(MIN(300,MAX(1,D3070)),0), FactorTable!$A$2:$A$301,0), Skills!M3+1)</f>
        <v/>
      </c>
      <c r="F3070">
        <f>IF(Skills!N3=TRUE,(Skills!L3/10)*(E3070/1000),Skills!L3/10)+Skills!O3</f>
        <v/>
      </c>
      <c r="G3070" t="inlineStr"/>
      <c r="H3070" t="inlineStr"/>
      <c r="I3070" t="inlineStr">
        <is>
          <t>1</t>
        </is>
      </c>
      <c r="J3070" t="inlineStr"/>
      <c r="K3070" t="inlineStr"/>
      <c r="L3070" t="inlineStr"/>
      <c r="M3070" t="inlineStr"/>
      <c r="N3070" t="inlineStr"/>
      <c r="O3070" t="inlineStr"/>
      <c r="P3070" t="inlineStr"/>
      <c r="Q3070" t="inlineStr"/>
      <c r="R3070" t="inlineStr"/>
      <c r="S3070" t="inlineStr"/>
      <c r="U3070">
        <f>INDEX(FactorTable!$B$2:$Y$301, MATCH(ROUND(MIN(300,MAX(1,U3069)),0), FactorTable!$A$2:$A$301,0), 22)</f>
        <v/>
      </c>
    </row>
    <row r="3071">
      <c r="A3071">
        <f>Skills!A4</f>
        <v/>
      </c>
      <c r="B3071">
        <f>Skills!B4</f>
        <v/>
      </c>
      <c r="C3071">
        <f>Inputs!$B$3&gt;=105</f>
        <v/>
      </c>
      <c r="D3071">
        <f>IF(Skills!C4=1,60+Inputs!$B$25+Inputs!$B$29,IF(Skills!C4=2,90+Inputs!$B$26+Inputs!$B$29,IF(Skills!C4=3,120+Inputs!$B$27+Inputs!$B$29,MAX(0,(Inputs!$B$3-100)*3)+Inputs!$B$28+Inputs!$B$29)))</f>
        <v/>
      </c>
      <c r="E3071">
        <f>INDEX(FactorTable!$B$2:$Y$301, MATCH(ROUND(MIN(300,MAX(1,D3071)),0), FactorTable!$A$2:$A$301,0), Skills!M4+1)</f>
        <v/>
      </c>
      <c r="F3071">
        <f>IF(Skills!N4=TRUE,(Skills!L4/10)*(E3071/1000),Skills!L4/10)+Skills!O4</f>
        <v/>
      </c>
      <c r="G3071" t="inlineStr"/>
      <c r="H3071" t="inlineStr"/>
      <c r="I3071" t="inlineStr">
        <is>
          <t>1</t>
        </is>
      </c>
      <c r="J3071" t="inlineStr"/>
      <c r="K3071" t="inlineStr"/>
      <c r="L3071" t="inlineStr"/>
      <c r="M3071" t="inlineStr"/>
      <c r="N3071" t="inlineStr"/>
      <c r="O3071" t="inlineStr"/>
      <c r="P3071" t="inlineStr"/>
      <c r="Q3071" t="inlineStr"/>
      <c r="R3071" t="inlineStr"/>
      <c r="S3071" t="inlineStr"/>
      <c r="U3071">
        <f>290*U3070/1000</f>
        <v/>
      </c>
    </row>
    <row r="3072">
      <c r="A3072">
        <f>Skills!A5</f>
        <v/>
      </c>
      <c r="B3072">
        <f>Skills!B5</f>
        <v/>
      </c>
      <c r="C3072">
        <f>Inputs!$B$3&gt;=103</f>
        <v/>
      </c>
      <c r="D3072">
        <f>IF(Skills!C5=1,60+Inputs!$B$25+Inputs!$B$29,IF(Skills!C5=2,90+Inputs!$B$26+Inputs!$B$29,IF(Skills!C5=3,120+Inputs!$B$27+Inputs!$B$29,MAX(0,(Inputs!$B$3-100)*3)+Inputs!$B$28+Inputs!$B$29)))</f>
        <v/>
      </c>
      <c r="E3072">
        <f>INDEX(FactorTable!$B$2:$Y$301, MATCH(ROUND(MIN(300,MAX(1,D3072)),0), FactorTable!$A$2:$A$301,0), Skills!M5+1)</f>
        <v/>
      </c>
      <c r="F3072">
        <f>IF(Skills!N5=TRUE,(Skills!L5/10)*(E3072/1000),Skills!L5/10)+Skills!O5</f>
        <v/>
      </c>
      <c r="G3072">
        <f>Skills!G5*IF(Skills!H5&gt;0,Skills!I5/Skills!H5,1)</f>
        <v/>
      </c>
      <c r="H3072">
        <f>1-(1-Skills!J5/100)^Skills!K5</f>
        <v/>
      </c>
      <c r="I3072" t="inlineStr">
        <is>
          <t>1</t>
        </is>
      </c>
      <c r="J3072">
        <f>((Inputs!$B$6*(1+Inputs!$B$7/100))+(((Inputs!$B$12*(1+Inputs!$B$13/100))-(Inputs!$B$12*(1+Inputs!$B$13/100)))+0.25*(Inputs!$B$14-Inputs!$B$14))*(1+Inputs!$B$7/100))*(F3072/100)</f>
        <v/>
      </c>
      <c r="K3072">
        <f>J3072*(1+((Inputs!$B$12*(1+Inputs!$B$13/100))*0.01+Inputs!$B$14*0.0025)/100)*(1+Inputs!$B$15/100)*(1+Inputs!$B$16/100)*(5000/(6000+Inputs!$B$42*(1-(100*(1-(1-(Inputs!$B$19+0)/100)*(1-CHOOSE(ArtifactsInput!$N$40+1,5,6,7,8,9,10)/100)^(ArtifactsInput!$M$40-ArtifactsInput!$M$40)))/100)))*(1+(Inputs!$B$24+((C3092=TRUE)*(F3092-Calc!F25))+B3102)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ENHANCED_RAGING_BLOW",IF(Inputs!$B$3&gt;=134,MAX(0,IF(Inputs!$B$3&gt;=110,7,5)-5)*50,0),0)/100)*(1+(IF(Skills!A5="RAGING_BLOW",Inputs!$B$17+((C3088=TRUE)*(F3088-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3090=TRUE)*(F3090-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3080=TRUE)*F3080*IF(Inputs!$B$3&gt;=110,7,5))+((C3082=TRUE)*F3082*IF(AND(Inputs!$B$38&lt;&gt;"pvp",Inputs!$B$43&gt;0),(((R3082-1)*(Skills!T15*(1+(Inputs!$B$34+(ArtifactsInput!$M$7-ArtifactsInput!$M$7)*CHOOSE(ArtifactsInput!$N$7+1,6,7.2,8.4,9.6,10.8,12))/100))+MIN((Skills!T15*(1+(Inputs!$B$34+(ArtifactsInput!$M$7-ArtifactsInput!$M$7)*CHOOSE(ArtifactsInput!$N$7+1,6,7.2,8.4,9.6,10.8,12))/100)),MAX(0,Inputs!$B$43-((R3082-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Hunt"),CHOOSE(ArtifactsInput!$N$35+1,15,18,21,24,27,30)*(1-EXP(-(0.2*B3098)*5)),0)+IF(AND(ArtifactsInput!$M$22,Inputs!$B$4&lt;&gt;"Chapter Hunt"),CHOOSE(ArtifactsInput!$N$22+1,10,12,14,16,18,20)*((0*(((0.15*B3098*5))^0/1)+1*(((0.15*B3098*5))^1/1)+2*(((0.15*B3098*5))^2/2)+3*(((0.15*B3098*5))^3/6)+4*(((0.15*B3098*5))^4/24)+5*(((0.15*B3098*5))^5/120))/((((0.15*B3098*5))^0/1)+(((0.15*B3098*5))^1/1)+(((0.15*B3098*5))^2/2)+(((0.15*B3098*5))^3/6)+(((0.15*B3098*5))^4/24)+(((0.15*B3098*5))^5/120))),0)))/100)*I3072)</f>
        <v/>
      </c>
      <c r="L3072">
        <f>K3072*(MIN(Inputs!$B$22+((C3089=TRUE)*(F3089-Calc!F22)),(Inputs!$B$23+((C3091=TRUE)*(F3091-Calc!F24))+(IF(ArtifactsInput!$M$15,CHOOSE(ArtifactsInput!$N$15+1,25,30,35,40,45,50)/100*(Inputs!$B$11-Inputs!$B$11),0))))/100+(Inputs!$B$23+((C3091=TRUE)*(F3091-Calc!F24))+(IF(ArtifactsInput!$M$15,CHOOSE(ArtifactsInput!$N$15+1,25,30,35,40,45,50)/100*(Inputs!$B$11-Inputs!$B$11),0)))/100)/2</f>
        <v/>
      </c>
      <c r="M3072">
        <f>L3072*(1+(Inputs!$B$10+0+B3101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2">
        <f>L3072*(1-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3072*(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2">
        <f>(1-Summary!$B$11)*T3072+Summary!$B$11*V3072</f>
        <v/>
      </c>
      <c r="P3072">
        <f>IF(B3106=0,0,O3072/B3106)</f>
        <v/>
      </c>
      <c r="Q3072">
        <f>IFERROR(1/(IF(Inputs!$B$38="pvp",15,MAX(0.1,Skills!D5-IF(Skills!E5=TRUE,5.0,0)))*(1-IF(AND(ArtifactsInput!$M$27,Inputs!$B$4="Chapter Hunt"),CHOOSE(ArtifactsInput!$N$27+1,20,24,28,32,36,40),0)/100)),0)</f>
        <v/>
      </c>
      <c r="R3072">
        <f>IF(AND(Inputs!$B$38&lt;&gt;"pvp",Inputs!$B$43&gt;0),IF(MAX(0,Inputs!$B$43-B3103)&lt;=0,0,(INT(MAX(0,Inputs!$B$43-B3103)/(IF(Inputs!$B$38="pvp",15,MAX(0.1,Skills!D5-IF(Skills!E5=TRUE,5.0,0)))*(1-IF(AND(ArtifactsInput!$M$27,Inputs!$B$4="Chapter Hunt"),CHOOSE(ArtifactsInput!$N$27+1,20,24,28,32,36,40),0)/100)))+1)),0)</f>
        <v/>
      </c>
      <c r="S3072">
        <f>IFERROR(O3072/N3072,0)</f>
        <v/>
      </c>
      <c r="T3072">
        <f>IF(C3072,(H3072*N3072*IF(AND(Inputs!$B$38&lt;&gt;"pvp",Inputs!$B$43&gt;0),((Skills!G5*((R3072-1)*IF(Skills!H5&gt;0,Skills!I5/Skills!H5,1)+IF(Skills!H5&gt;0,MIN(Skills!I5,MAX(0,MAX(0,Inputs!$B$43-B3103)-((R3072-1)*(IF(Inputs!$B$38="pvp",15,MAX(0.1,Skills!D5-IF(Skills!E5=TRUE,5.0,0)))*(1-IF(AND(ArtifactsInput!$M$27,Inputs!$B$4="Chapter Hunt"),CHOOSE(ArtifactsInput!$N$27+1,20,24,28,32,36,40),0)/100)))))/Skills!H5,1)))/Inputs!$B$43),G3072*Q3072))*IF(Inputs!$B$38="pvp",1,1+(Inputs!$B$20+0+Skills!P5+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3072*(1-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3072*(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3072*(1-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3072*(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72">
        <f>IF(C3072,(H3072*N3072*IF(AND(Inputs!$B$38&lt;&gt;"pvp",Inputs!$B$43&gt;0),((Skills!G5*((R3072-1)*IF(Skills!H5&gt;0,Skills!I5/Skills!H5,1)+IF(Skills!H5&gt;0,MIN(Skills!I5,MAX(0,MAX(0,Inputs!$B$43-B3103)-((R3072-1)*(IF(Inputs!$B$38="pvp",15,MAX(0.1,Skills!D5-IF(Skills!E5=TRUE,5.0,0)))*(1-IF(AND(ArtifactsInput!$M$27,Inputs!$B$4="Chapter Hunt"),CHOOSE(ArtifactsInput!$N$27+1,20,24,28,32,36,40),0)/100)))))/Skills!H5,1)))/Inputs!$B$43),G3072*Q3072))*IF(Inputs!$B$38="pvp",1,(1+(Inputs!$B$21+Skills!Q5+Summary!$B$15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3">
      <c r="A3073">
        <f>Skills!A6</f>
        <v/>
      </c>
      <c r="B3073">
        <f>Skills!B6</f>
        <v/>
      </c>
      <c r="C3073">
        <f>Inputs!$B$3&gt;=103</f>
        <v/>
      </c>
      <c r="D3073">
        <f>IF(Skills!C6=1,60+Inputs!$B$25+Inputs!$B$29,IF(Skills!C6=2,90+Inputs!$B$26+Inputs!$B$29,IF(Skills!C6=3,120+Inputs!$B$27+Inputs!$B$29,MAX(0,(Inputs!$B$3-100)*3)+Inputs!$B$28+Inputs!$B$29)))</f>
        <v/>
      </c>
      <c r="E3073">
        <f>INDEX(FactorTable!$B$2:$Y$301, MATCH(ROUND(MIN(300,MAX(1,D3073)),0), FactorTable!$A$2:$A$301,0), Skills!M6+1)</f>
        <v/>
      </c>
      <c r="F3073">
        <f>IF(Skills!N6=TRUE,(Skills!L6/10)*(E3073/1000),Skills!L6/10)+Skills!O6</f>
        <v/>
      </c>
      <c r="G3073">
        <f>Skills!G6*IF(Skills!H6&gt;0,Skills!I6/Skills!H6,1)</f>
        <v/>
      </c>
      <c r="H3073">
        <f>1-(1-Skills!J6/100)^Skills!K6</f>
        <v/>
      </c>
      <c r="I3073" t="inlineStr">
        <is>
          <t>1</t>
        </is>
      </c>
      <c r="J3073">
        <f>((Inputs!$B$6*(1+Inputs!$B$7/100))+(((Inputs!$B$12*(1+Inputs!$B$13/100))-(Inputs!$B$12*(1+Inputs!$B$13/100)))+0.25*(Inputs!$B$14-Inputs!$B$14))*(1+Inputs!$B$7/100))*(F3073/100)</f>
        <v/>
      </c>
      <c r="K3073">
        <f>J3073*(1+((Inputs!$B$12*(1+Inputs!$B$13/100))*0.01+Inputs!$B$14*0.0025)/100)*(1+Inputs!$B$15/100)*(1+Inputs!$B$16/100)*(5000/(6000+Inputs!$B$42*(1-(100*(1-(1-(Inputs!$B$19+0)/100)*(1-CHOOSE(ArtifactsInput!$N$40+1,5,6,7,8,9,10)/100)^(ArtifactsInput!$M$40-ArtifactsInput!$M$40)))/100)))*(1+(Inputs!$B$24+((C3092=TRUE)*(F3092-Calc!F25))+B3102)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ENHANCED_RAGING_BLOW",IF(Inputs!$B$3&gt;=134,MAX(0,IF(Inputs!$B$3&gt;=110,7,5)-5)*50,0),0)/100)*(1+(IF(Skills!A6="RAGING_BLOW",Inputs!$B$17+((C3088=TRUE)*(F3088-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3090=TRUE)*(F3090-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3080=TRUE)*F3080*IF(Inputs!$B$3&gt;=110,7,5))+((C3082=TRUE)*F3082*IF(AND(Inputs!$B$38&lt;&gt;"pvp",Inputs!$B$43&gt;0),(((R3082-1)*(Skills!T15*(1+(Inputs!$B$34+(ArtifactsInput!$M$7-ArtifactsInput!$M$7)*CHOOSE(ArtifactsInput!$N$7+1,6,7.2,8.4,9.6,10.8,12))/100))+MIN((Skills!T15*(1+(Inputs!$B$34+(ArtifactsInput!$M$7-ArtifactsInput!$M$7)*CHOOSE(ArtifactsInput!$N$7+1,6,7.2,8.4,9.6,10.8,12))/100)),MAX(0,Inputs!$B$43-((R3082-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Hunt"),CHOOSE(ArtifactsInput!$N$35+1,15,18,21,24,27,30)*(1-EXP(-(0.2*B3098)*5)),0)+IF(AND(ArtifactsInput!$M$22,Inputs!$B$4&lt;&gt;"Chapter Hunt"),CHOOSE(ArtifactsInput!$N$22+1,10,12,14,16,18,20)*((0*(((0.15*B3098*5))^0/1)+1*(((0.15*B3098*5))^1/1)+2*(((0.15*B3098*5))^2/2)+3*(((0.15*B3098*5))^3/6)+4*(((0.15*B3098*5))^4/24)+5*(((0.15*B3098*5))^5/120))/((((0.15*B3098*5))^0/1)+(((0.15*B3098*5))^1/1)+(((0.15*B3098*5))^2/2)+(((0.15*B3098*5))^3/6)+(((0.15*B3098*5))^4/24)+(((0.15*B3098*5))^5/120))),0)))/100)*I3073)</f>
        <v/>
      </c>
      <c r="L3073">
        <f>K3073*(MIN(Inputs!$B$22+((C3089=TRUE)*(F3089-Calc!F22)),(Inputs!$B$23+((C3091=TRUE)*(F3091-Calc!F24))+(IF(ArtifactsInput!$M$15,CHOOSE(ArtifactsInput!$N$15+1,25,30,35,40,45,50)/100*(Inputs!$B$11-Inputs!$B$11),0))))/100+(Inputs!$B$23+((C3091=TRUE)*(F3091-Calc!F24))+(IF(ArtifactsInput!$M$15,CHOOSE(ArtifactsInput!$N$15+1,25,30,35,40,45,50)/100*(Inputs!$B$11-Inputs!$B$11),0)))/100)/2</f>
        <v/>
      </c>
      <c r="M3073">
        <f>L3073*(1+(Inputs!$B$10+0+B3101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3">
        <f>L3073*(1-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3073*(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3">
        <f>(1-Summary!$B$11)*T3073+Summary!$B$11*V3073</f>
        <v/>
      </c>
      <c r="P3073">
        <f>IF(B3106=0,0,O3073/B3106)</f>
        <v/>
      </c>
      <c r="Q3073">
        <f>IFERROR(1/(IF(Inputs!$B$38="pvp",15,MAX(0.1,Skills!D6-IF(Skills!E6=TRUE,5.0,0)))*(1-IF(AND(ArtifactsInput!$M$27,Inputs!$B$4="Chapter Hunt"),CHOOSE(ArtifactsInput!$N$27+1,20,24,28,32,36,40),0)/100)),0)</f>
        <v/>
      </c>
      <c r="R3073">
        <f>IF(AND(Inputs!$B$38&lt;&gt;"pvp",Inputs!$B$43&gt;0),IF(MAX(0,Inputs!$B$43-B3103)&lt;=0,0,(INT(MAX(0,Inputs!$B$43-B3103)/(IF(Inputs!$B$38="pvp",15,MAX(0.1,Skills!D6-IF(Skills!E6=TRUE,5.0,0)))*(1-IF(AND(ArtifactsInput!$M$27,Inputs!$B$4="Chapter Hunt"),CHOOSE(ArtifactsInput!$N$27+1,20,24,28,32,36,40),0)/100)))+1)),0)</f>
        <v/>
      </c>
      <c r="S3073">
        <f>IFERROR(O3073/N3073,0)</f>
        <v/>
      </c>
      <c r="T3073">
        <f>IF(C3073,(H3073*N3073*IF(AND(Inputs!$B$38&lt;&gt;"pvp",Inputs!$B$43&gt;0),((Skills!G6*((R3073-1)*IF(Skills!H6&gt;0,Skills!I6/Skills!H6,1)+IF(Skills!H6&gt;0,MIN(Skills!I6,MAX(0,MAX(0,Inputs!$B$43-B3103)-((R3073-1)*(IF(Inputs!$B$38="pvp",15,MAX(0.1,Skills!D6-IF(Skills!E6=TRUE,5.0,0)))*(1-IF(AND(ArtifactsInput!$M$27,Inputs!$B$4="Chapter Hunt"),CHOOSE(ArtifactsInput!$N$27+1,20,24,28,32,36,40),0)/100)))))/Skills!H6,1)))/Inputs!$B$43),G3073*Q3073))*IF(Inputs!$B$38="pvp",1,1+(Inputs!$B$20+0+Skills!P6+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3073*(1-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3073*(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3073*(1-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3073*(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73">
        <f>IF(C3073,(H3073*N3073*IF(AND(Inputs!$B$38&lt;&gt;"pvp",Inputs!$B$43&gt;0),((Skills!G6*((R3073-1)*IF(Skills!H6&gt;0,Skills!I6/Skills!H6,1)+IF(Skills!H6&gt;0,MIN(Skills!I6,MAX(0,MAX(0,Inputs!$B$43-B3103)-((R3073-1)*(IF(Inputs!$B$38="pvp",15,MAX(0.1,Skills!D6-IF(Skills!E6=TRUE,5.0,0)))*(1-IF(AND(ArtifactsInput!$M$27,Inputs!$B$4="Chapter Hunt"),CHOOSE(ArtifactsInput!$N$27+1,20,24,28,32,36,40),0)/100)))))/Skills!H6,1)))/Inputs!$B$43),G3073*Q3073))*IF(Inputs!$B$38="pvp",1,(1+(Inputs!$B$21+Skills!Q6+Summary!$B$15+(IF(ArtifactsInput!$M$33,CHOOSE(ArtifactsInput!$N$33+1,30,36,42,48,54,60)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4">
      <c r="A3074">
        <f>Skills!A7</f>
        <v/>
      </c>
      <c r="B3074">
        <f>Skills!B7</f>
        <v/>
      </c>
      <c r="C3074">
        <f>Inputs!$B$3&gt;=107</f>
        <v/>
      </c>
      <c r="D3074">
        <f>IF(Skills!C7=1,60+Inputs!$B$25+Inputs!$B$29,IF(Skills!C7=2,90+Inputs!$B$26+Inputs!$B$29,IF(Skills!C7=3,120+Inputs!$B$27+Inputs!$B$29,MAX(0,(Inputs!$B$3-100)*3)+Inputs!$B$28+Inputs!$B$29)))</f>
        <v/>
      </c>
      <c r="E3074">
        <f>INDEX(FactorTable!$B$2:$Y$301, MATCH(ROUND(MIN(300,MAX(1,D3074)),0), FactorTable!$A$2:$A$301,0), Skills!M7+1)</f>
        <v/>
      </c>
      <c r="F3074">
        <f>IF(Skills!N7=TRUE,(Skills!L7/10)*(E3074/1000),Skills!L7/10)+Skills!O7</f>
        <v/>
      </c>
      <c r="G3074">
        <f>Skills!G7*IF(Skills!H7&gt;0,Skills!I7/Skills!H7,1)</f>
        <v/>
      </c>
      <c r="H3074">
        <f>1-(1-Skills!J7/100)^Skills!K7</f>
        <v/>
      </c>
      <c r="I3074" t="inlineStr">
        <is>
          <t>1</t>
        </is>
      </c>
      <c r="J3074">
        <f>((Inputs!$B$6*(1+Inputs!$B$7/100))+(((Inputs!$B$12*(1+Inputs!$B$13/100))-(Inputs!$B$12*(1+Inputs!$B$13/100)))+0.25*(Inputs!$B$14-Inputs!$B$14))*(1+Inputs!$B$7/100))*(F3074/100)</f>
        <v/>
      </c>
      <c r="K3074">
        <f>J3074*(1+((Inputs!$B$12*(1+Inputs!$B$13/100))*0.01+Inputs!$B$14*0.0025)/100)*(1+Inputs!$B$15/100)*(1+Inputs!$B$16/100)*(5000/(6000+Inputs!$B$42*(1-(100*(1-(1-(Inputs!$B$19+0)/100)*(1-CHOOSE(ArtifactsInput!$N$40+1,5,6,7,8,9,10)/100)^(ArtifactsInput!$M$40-ArtifactsInput!$M$40)))/100)))*(1+(Inputs!$B$24+((C3092=TRUE)*(F3092-Calc!F25))+B3102)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ENHANCED_RAGING_BLOW",IF(Inputs!$B$3&gt;=134,MAX(0,IF(Inputs!$B$3&gt;=110,7,5)-5)*50,0),0)/100)*(1+(IF(Skills!A7="RAGING_BLOW",Inputs!$B$17+((C3088=TRUE)*(F3088-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3090=TRUE)*(F3090-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3080=TRUE)*F3080*IF(Inputs!$B$3&gt;=110,7,5))+((C3082=TRUE)*F3082*IF(AND(Inputs!$B$38&lt;&gt;"pvp",Inputs!$B$43&gt;0),(((R3082-1)*(Skills!T15*(1+(Inputs!$B$34+(ArtifactsInput!$M$7-ArtifactsInput!$M$7)*CHOOSE(ArtifactsInput!$N$7+1,6,7.2,8.4,9.6,10.8,12))/100))+MIN((Skills!T15*(1+(Inputs!$B$34+(ArtifactsInput!$M$7-ArtifactsInput!$M$7)*CHOOSE(ArtifactsInput!$N$7+1,6,7.2,8.4,9.6,10.8,12))/100)),MAX(0,Inputs!$B$43-((R3082-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Hunt"),CHOOSE(ArtifactsInput!$N$35+1,15,18,21,24,27,30)*(1-EXP(-(0.2*B3098)*5)),0)+IF(AND(ArtifactsInput!$M$22,Inputs!$B$4&lt;&gt;"Chapter Hunt"),CHOOSE(ArtifactsInput!$N$22+1,10,12,14,16,18,20)*((0*(((0.15*B3098*5))^0/1)+1*(((0.15*B3098*5))^1/1)+2*(((0.15*B3098*5))^2/2)+3*(((0.15*B3098*5))^3/6)+4*(((0.15*B3098*5))^4/24)+5*(((0.15*B3098*5))^5/120))/((((0.15*B3098*5))^0/1)+(((0.15*B3098*5))^1/1)+(((0.15*B3098*5))^2/2)+(((0.15*B3098*5))^3/6)+(((0.15*B3098*5))^4/24)+(((0.15*B3098*5))^5/120))),0)))/100)*I3074)</f>
        <v/>
      </c>
      <c r="L3074">
        <f>K3074*(MIN(Inputs!$B$22+((C3089=TRUE)*(F3089-Calc!F22)),(Inputs!$B$23+((C3091=TRUE)*(F3091-Calc!F24))+(IF(ArtifactsInput!$M$15,CHOOSE(ArtifactsInput!$N$15+1,25,30,35,40,45,50)/100*(Inputs!$B$11-Inputs!$B$11),0))))/100+(Inputs!$B$23+((C3091=TRUE)*(F3091-Calc!F24))+(IF(ArtifactsInput!$M$15,CHOOSE(ArtifactsInput!$N$15+1,25,30,35,40,45,50)/100*(Inputs!$B$11-Inputs!$B$11),0)))/100)/2</f>
        <v/>
      </c>
      <c r="M3074">
        <f>L3074*(1+(Inputs!$B$10+0+B3101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4">
        <f>L3074*(1-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3074*(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4">
        <f>(1-Summary!$B$11)*T3074+Summary!$B$11*V3074</f>
        <v/>
      </c>
      <c r="P3074">
        <f>IF(B3106=0,0,O3074/B3106)</f>
        <v/>
      </c>
      <c r="Q3074">
        <f>IFERROR(1/(IF(Inputs!$B$38="pvp",15,MAX(0.1,Skills!D7-IF(Skills!E7=TRUE,5.0,0)))*(1-IF(AND(ArtifactsInput!$M$27,Inputs!$B$4="Chapter Hunt"),CHOOSE(ArtifactsInput!$N$27+1,20,24,28,32,36,40),0)/100)),0)</f>
        <v/>
      </c>
      <c r="R3074">
        <f>IF(AND(Inputs!$B$38&lt;&gt;"pvp",Inputs!$B$43&gt;0),IF(MAX(0,Inputs!$B$43-B3103)&lt;=0,0,(INT(MAX(0,Inputs!$B$43-B3103)/(IF(Inputs!$B$38="pvp",15,MAX(0.1,Skills!D7-IF(Skills!E7=TRUE,5.0,0)))*(1-IF(AND(ArtifactsInput!$M$27,Inputs!$B$4="Chapter Hunt"),CHOOSE(ArtifactsInput!$N$27+1,20,24,28,32,36,40),0)/100)))+1)),0)</f>
        <v/>
      </c>
      <c r="S3074">
        <f>IFERROR(O3074/N3074,0)</f>
        <v/>
      </c>
      <c r="T3074">
        <f>IF(C3074,(H3074*N3074*IF(AND(Inputs!$B$38&lt;&gt;"pvp",Inputs!$B$43&gt;0),((Skills!G7*((R3074-1)*IF(Skills!H7&gt;0,Skills!I7/Skills!H7,1)+IF(Skills!H7&gt;0,MIN(Skills!I7,MAX(0,MAX(0,Inputs!$B$43-B3103)-((R3074-1)*(IF(Inputs!$B$38="pvp",15,MAX(0.1,Skills!D7-IF(Skills!E7=TRUE,5.0,0)))*(1-IF(AND(ArtifactsInput!$M$27,Inputs!$B$4="Chapter Hunt"),CHOOSE(ArtifactsInput!$N$27+1,20,24,28,32,36,40),0)/100)))))/Skills!H7,1)))/Inputs!$B$43),G3074*Q3074))*IF(Inputs!$B$38="pvp",1,1+(Inputs!$B$20+0+Skills!P7+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3074*(1-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3074*(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3074*(1-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3074*(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74">
        <f>IF(C3074,(H3074*N3074*IF(AND(Inputs!$B$38&lt;&gt;"pvp",Inputs!$B$43&gt;0),((Skills!G7*((R3074-1)*IF(Skills!H7&gt;0,Skills!I7/Skills!H7,1)+IF(Skills!H7&gt;0,MIN(Skills!I7,MAX(0,MAX(0,Inputs!$B$43-B3103)-((R3074-1)*(IF(Inputs!$B$38="pvp",15,MAX(0.1,Skills!D7-IF(Skills!E7=TRUE,5.0,0)))*(1-IF(AND(ArtifactsInput!$M$27,Inputs!$B$4="Chapter Hunt"),CHOOSE(ArtifactsInput!$N$27+1,20,24,28,32,36,40),0)/100)))))/Skills!H7,1)))/Inputs!$B$43),G3074*Q3074))*IF(Inputs!$B$38="pvp",1,(1+(Inputs!$B$21+Skills!Q7+Summary!$B$15+(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5">
      <c r="A3075">
        <f>Skills!A8</f>
        <v/>
      </c>
      <c r="B3075">
        <f>Skills!B8</f>
        <v/>
      </c>
      <c r="C3075">
        <f>Inputs!$B$3&gt;=117</f>
        <v/>
      </c>
      <c r="D3075">
        <f>IF(Skills!C8=1,60+Inputs!$B$25+Inputs!$B$29,IF(Skills!C8=2,90+Inputs!$B$26+Inputs!$B$29,IF(Skills!C8=3,120+Inputs!$B$27+Inputs!$B$29,MAX(0,(Inputs!$B$3-100)*3)+Inputs!$B$28+Inputs!$B$29)))</f>
        <v/>
      </c>
      <c r="E3075">
        <f>INDEX(FactorTable!$B$2:$Y$301, MATCH(ROUND(MIN(300,MAX(1,D3075)),0), FactorTable!$A$2:$A$301,0), Skills!M8+1)</f>
        <v/>
      </c>
      <c r="F3075">
        <f>IF(Skills!N8=TRUE,(Skills!L8/10)*(E3075/1000),Skills!L8/10)+Skills!O8</f>
        <v/>
      </c>
      <c r="G3075">
        <f>Skills!G8*IF(Skills!H8&gt;0,Skills!I8/Skills!H8,1)</f>
        <v/>
      </c>
      <c r="H3075">
        <f>1-(1-Skills!J8/100)^Skills!K8</f>
        <v/>
      </c>
      <c r="I3075" t="inlineStr">
        <is>
          <t>1</t>
        </is>
      </c>
      <c r="J3075">
        <f>((Inputs!$B$6*(1+Inputs!$B$7/100))+(((Inputs!$B$12*(1+Inputs!$B$13/100))-(Inputs!$B$12*(1+Inputs!$B$13/100)))+0.25*(Inputs!$B$14-Inputs!$B$14))*(1+Inputs!$B$7/100))*(F3075/100)</f>
        <v/>
      </c>
      <c r="K3075">
        <f>J3075*(1+((Inputs!$B$12*(1+Inputs!$B$13/100))*0.01+Inputs!$B$14*0.0025)/100)*(1+Inputs!$B$15/100)*(1+Inputs!$B$16/100)*(5000/(6000+Inputs!$B$42*(1-(100*(1-(1-(Inputs!$B$19+0)/100)*(1-CHOOSE(ArtifactsInput!$N$40+1,5,6,7,8,9,10)/100)^(ArtifactsInput!$M$40-ArtifactsInput!$M$40)))/100)))*(1+(Inputs!$B$24+((C3092=TRUE)*(F3092-Calc!F25))+B3102)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ENHANCED_RAGING_BLOW",IF(Inputs!$B$3&gt;=134,MAX(0,IF(Inputs!$B$3&gt;=110,7,5)-5)*50,0),0)/100)*(1+(IF(Skills!A8="RAGING_BLOW",Inputs!$B$17+((C3088=TRUE)*(F3088-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3090=TRUE)*(F3090-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3080=TRUE)*F3080*IF(Inputs!$B$3&gt;=110,7,5))+((C3082=TRUE)*F3082*IF(AND(Inputs!$B$38&lt;&gt;"pvp",Inputs!$B$43&gt;0),(((R3082-1)*(Skills!T15*(1+(Inputs!$B$34+(ArtifactsInput!$M$7-ArtifactsInput!$M$7)*CHOOSE(ArtifactsInput!$N$7+1,6,7.2,8.4,9.6,10.8,12))/100))+MIN((Skills!T15*(1+(Inputs!$B$34+(ArtifactsInput!$M$7-ArtifactsInput!$M$7)*CHOOSE(ArtifactsInput!$N$7+1,6,7.2,8.4,9.6,10.8,12))/100)),MAX(0,Inputs!$B$43-((R3082-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Hunt"),CHOOSE(ArtifactsInput!$N$35+1,15,18,21,24,27,30)*(1-EXP(-(0.2*B3098)*5)),0)+IF(AND(ArtifactsInput!$M$22,Inputs!$B$4&lt;&gt;"Chapter Hunt"),CHOOSE(ArtifactsInput!$N$22+1,10,12,14,16,18,20)*((0*(((0.15*B3098*5))^0/1)+1*(((0.15*B3098*5))^1/1)+2*(((0.15*B3098*5))^2/2)+3*(((0.15*B3098*5))^3/6)+4*(((0.15*B3098*5))^4/24)+5*(((0.15*B3098*5))^5/120))/((((0.15*B3098*5))^0/1)+(((0.15*B3098*5))^1/1)+(((0.15*B3098*5))^2/2)+(((0.15*B3098*5))^3/6)+(((0.15*B3098*5))^4/24)+(((0.15*B3098*5))^5/120))),0)))/100)*I3075)</f>
        <v/>
      </c>
      <c r="L3075">
        <f>K3075*(MIN(Inputs!$B$22+((C3089=TRUE)*(F3089-Calc!F22)),(Inputs!$B$23+((C3091=TRUE)*(F3091-Calc!F24))+(IF(ArtifactsInput!$M$15,CHOOSE(ArtifactsInput!$N$15+1,25,30,35,40,45,50)/100*(Inputs!$B$11-Inputs!$B$11),0))))/100+(Inputs!$B$23+((C3091=TRUE)*(F3091-Calc!F24))+(IF(ArtifactsInput!$M$15,CHOOSE(ArtifactsInput!$N$15+1,25,30,35,40,45,50)/100*(Inputs!$B$11-Inputs!$B$11),0)))/100)/2</f>
        <v/>
      </c>
      <c r="M3075">
        <f>L3075*(1+(Inputs!$B$10+0+B3101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5">
        <f>L3075*(1-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3075*(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5">
        <f>(1-Summary!$B$11)*T3075+Summary!$B$11*V3075</f>
        <v/>
      </c>
      <c r="P3075">
        <f>IF(B3106=0,0,O3075/B3106)</f>
        <v/>
      </c>
      <c r="Q3075">
        <f>IFERROR(1/(IF(Inputs!$B$38="pvp",15,MAX(0.1,Skills!D8-IF(Skills!E8=TRUE,5.0,0)))*(1-IF(AND(ArtifactsInput!$M$27,Inputs!$B$4="Chapter Hunt"),CHOOSE(ArtifactsInput!$N$27+1,20,24,28,32,36,40),0)/100)),0)</f>
        <v/>
      </c>
      <c r="R3075">
        <f>IF(AND(Inputs!$B$38&lt;&gt;"pvp",Inputs!$B$43&gt;0),IF(MAX(0,Inputs!$B$43-B3103)&lt;=0,0,(INT(MAX(0,Inputs!$B$43-B3103)/(IF(Inputs!$B$38="pvp",15,MAX(0.1,Skills!D8-IF(Skills!E8=TRUE,5.0,0)))*(1-IF(AND(ArtifactsInput!$M$27,Inputs!$B$4="Chapter Hunt"),CHOOSE(ArtifactsInput!$N$27+1,20,24,28,32,36,40),0)/100)))+1)),0)</f>
        <v/>
      </c>
      <c r="S3075">
        <f>IFERROR(O3075/N3075,0)</f>
        <v/>
      </c>
      <c r="T3075">
        <f>IF(C3075,(H3075*N3075*IF(AND(Inputs!$B$38&lt;&gt;"pvp",Inputs!$B$43&gt;0),((Skills!G8*((R3075-1)*IF(Skills!H8&gt;0,Skills!I8/Skills!H8,1)+IF(Skills!H8&gt;0,MIN(Skills!I8,MAX(0,MAX(0,Inputs!$B$43-B3103)-((R3075-1)*(IF(Inputs!$B$38="pvp",15,MAX(0.1,Skills!D8-IF(Skills!E8=TRUE,5.0,0)))*(1-IF(AND(ArtifactsInput!$M$27,Inputs!$B$4="Chapter Hunt"),CHOOSE(ArtifactsInput!$N$27+1,20,24,28,32,36,40),0)/100)))))/Skills!H8,1)))/Inputs!$B$43),G3075*Q3075))*IF(Inputs!$B$38="pvp",1,1+(Inputs!$B$20+0+Skills!P8+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3075*(1-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3075*(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3075*(1-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3075*(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75">
        <f>IF(C3075,(H3075*N3075*IF(AND(Inputs!$B$38&lt;&gt;"pvp",Inputs!$B$43&gt;0),((Skills!G8*((R3075-1)*IF(Skills!H8&gt;0,Skills!I8/Skills!H8,1)+IF(Skills!H8&gt;0,MIN(Skills!I8,MAX(0,MAX(0,Inputs!$B$43-B3103)-((R3075-1)*(IF(Inputs!$B$38="pvp",15,MAX(0.1,Skills!D8-IF(Skills!E8=TRUE,5.0,0)))*(1-IF(AND(ArtifactsInput!$M$27,Inputs!$B$4="Chapter Hunt"),CHOOSE(ArtifactsInput!$N$27+1,20,24,28,32,36,40),0)/100)))))/Skills!H8,1)))/Inputs!$B$43),G3075*Q3075))*IF(Inputs!$B$38="pvp",1,(1+(Inputs!$B$21+Skills!Q8+Summary!$B$15+(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6">
      <c r="A3076">
        <f>Skills!A9</f>
        <v/>
      </c>
      <c r="B3076">
        <f>Skills!B9</f>
        <v/>
      </c>
      <c r="C3076">
        <f>Inputs!$B$3&gt;=69</f>
        <v/>
      </c>
      <c r="D3076">
        <f>IF(Skills!C9=1,60+Inputs!$B$25+Inputs!$B$29,IF(Skills!C9=2,90+Inputs!$B$26+Inputs!$B$29,IF(Skills!C9=3,120+Inputs!$B$27+Inputs!$B$29,MAX(0,(Inputs!$B$3-100)*3)+Inputs!$B$28+Inputs!$B$29)))</f>
        <v/>
      </c>
      <c r="E3076">
        <f>INDEX(FactorTable!$B$2:$Y$301, MATCH(ROUND(MIN(300,MAX(1,D3076)),0), FactorTable!$A$2:$A$301,0), Skills!M9+1)</f>
        <v/>
      </c>
      <c r="F3076">
        <f>IF(Skills!N9=TRUE,(Skills!L9/10)*(E3076/1000),Skills!L9/10)+Skills!O9</f>
        <v/>
      </c>
      <c r="G3076">
        <f>Skills!G9*IF(Skills!H9&gt;0,Skills!I9/Skills!H9,1)</f>
        <v/>
      </c>
      <c r="H3076">
        <f>1-(1-Skills!J9/100)^Skills!K9</f>
        <v/>
      </c>
      <c r="I3076" t="inlineStr">
        <is>
          <t>1</t>
        </is>
      </c>
      <c r="J3076">
        <f>((Inputs!$B$6*(1+Inputs!$B$7/100))+(((Inputs!$B$12*(1+Inputs!$B$13/100))-(Inputs!$B$12*(1+Inputs!$B$13/100)))+0.25*(Inputs!$B$14-Inputs!$B$14))*(1+Inputs!$B$7/100))*(F3076/100)</f>
        <v/>
      </c>
      <c r="K3076">
        <f>J3076*(1+((Inputs!$B$12*(1+Inputs!$B$13/100))*0.01+Inputs!$B$14*0.0025)/100)*(1+Inputs!$B$15/100)*(1+Inputs!$B$16/100)*(5000/(6000+Inputs!$B$42*(1-(100*(1-(1-(Inputs!$B$19+0)/100)*(1-CHOOSE(ArtifactsInput!$N$40+1,5,6,7,8,9,10)/100)^(ArtifactsInput!$M$40-ArtifactsInput!$M$40)))/100)))*(1+(Inputs!$B$24+((C3092=TRUE)*(F3092-Calc!F25))+B3102)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3079=TRUE,F3079,0)/100)*(1+IF(Skills!A9="ENHANCED_RAGING_BLOW",IF(Inputs!$B$3&gt;=134,MAX(0,IF(Inputs!$B$3&gt;=110,7,5)-5)*50,0),0)/100)*(1+(IF(Skills!A9="RAGING_BLOW",Inputs!$B$17+((C3088=TRUE)*(F3088-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3090=TRUE)*(F3090-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3080=TRUE)*F3080*IF(Inputs!$B$3&gt;=110,7,5))+((C3082=TRUE)*F3082*IF(AND(Inputs!$B$38&lt;&gt;"pvp",Inputs!$B$43&gt;0),(((R3082-1)*(Skills!T15*(1+(Inputs!$B$34+(ArtifactsInput!$M$7-ArtifactsInput!$M$7)*CHOOSE(ArtifactsInput!$N$7+1,6,7.2,8.4,9.6,10.8,12))/100))+MIN((Skills!T15*(1+(Inputs!$B$34+(ArtifactsInput!$M$7-ArtifactsInput!$M$7)*CHOOSE(ArtifactsInput!$N$7+1,6,7.2,8.4,9.6,10.8,12))/100)),MAX(0,Inputs!$B$43-((R3082-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Hunt"),CHOOSE(ArtifactsInput!$N$35+1,15,18,21,24,27,30)*(1-EXP(-(0.2*B3098)*5)),0)+IF(AND(ArtifactsInput!$M$22,Inputs!$B$4&lt;&gt;"Chapter Hunt"),CHOOSE(ArtifactsInput!$N$22+1,10,12,14,16,18,20)*((0*(((0.15*B3098*5))^0/1)+1*(((0.15*B3098*5))^1/1)+2*(((0.15*B3098*5))^2/2)+3*(((0.15*B3098*5))^3/6)+4*(((0.15*B3098*5))^4/24)+5*(((0.15*B3098*5))^5/120))/((((0.15*B3098*5))^0/1)+(((0.15*B3098*5))^1/1)+(((0.15*B3098*5))^2/2)+(((0.15*B3098*5))^3/6)+(((0.15*B3098*5))^4/24)+(((0.15*B3098*5))^5/120))),0)))/100)*I3076)</f>
        <v/>
      </c>
      <c r="L3076">
        <f>K3076*(MIN(Inputs!$B$22+((C3089=TRUE)*(F3089-Calc!F22)),(Inputs!$B$23+((C3091=TRUE)*(F3091-Calc!F24))+(IF(ArtifactsInput!$M$15,CHOOSE(ArtifactsInput!$N$15+1,25,30,35,40,45,50)/100*(Inputs!$B$11-Inputs!$B$11),0))))/100+(Inputs!$B$23+((C3091=TRUE)*(F3091-Calc!F24))+(IF(ArtifactsInput!$M$15,CHOOSE(ArtifactsInput!$N$15+1,25,30,35,40,45,50)/100*(Inputs!$B$11-Inputs!$B$11),0)))/100)/2</f>
        <v/>
      </c>
      <c r="M3076">
        <f>L3076*(1+(Inputs!$B$10+0+B3101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6">
        <f>L3076*(1-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3076*(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6">
        <f>(1-Summary!$B$11)*T3076+Summary!$B$11*V3076</f>
        <v/>
      </c>
      <c r="P3076">
        <f>IF(B3106=0,0,O3076/B3106)</f>
        <v/>
      </c>
      <c r="Q3076">
        <f>IFERROR(1/(IF(Inputs!$B$38="pvp",15,MAX(0.1,Skills!D9-IF(Skills!E9=TRUE,5.0,0)))*(1-IF(AND(ArtifactsInput!$M$27,Inputs!$B$4="Chapter Hunt"),CHOOSE(ArtifactsInput!$N$27+1,20,24,28,32,36,40),0)/100)),0)</f>
        <v/>
      </c>
      <c r="R3076">
        <f>IF(AND(Inputs!$B$38&lt;&gt;"pvp",Inputs!$B$43&gt;0),IF(MAX(0,Inputs!$B$43-B3103)&lt;=0,0,(INT(MAX(0,Inputs!$B$43-B3103)/(IF(Inputs!$B$38="pvp",15,MAX(0.1,Skills!D9-IF(Skills!E9=TRUE,5.0,0)))*(1-IF(AND(ArtifactsInput!$M$27,Inputs!$B$4="Chapter Hunt"),CHOOSE(ArtifactsInput!$N$27+1,20,24,28,32,36,40),0)/100)))+1)),0)</f>
        <v/>
      </c>
      <c r="S3076">
        <f>IFERROR(O3076/N3076,0)</f>
        <v/>
      </c>
      <c r="T3076">
        <f>IF(C3076,(H3076*N3076*IF(AND(Inputs!$B$38&lt;&gt;"pvp",Inputs!$B$43&gt;0),((Skills!G9*((R3076-1)*IF(Skills!H9&gt;0,Skills!I9/Skills!H9,1)+IF(Skills!H9&gt;0,MIN(Skills!I9,MAX(0,MAX(0,Inputs!$B$43-B3103)-((R3076-1)*(IF(Inputs!$B$38="pvp",15,MAX(0.1,Skills!D9-IF(Skills!E9=TRUE,5.0,0)))*(1-IF(AND(ArtifactsInput!$M$27,Inputs!$B$4="Chapter Hunt"),CHOOSE(ArtifactsInput!$N$27+1,20,24,28,32,36,40),0)/100)))))/Skills!H9,1)))/Inputs!$B$43),G3076*Q3076))*IF(Inputs!$B$38="pvp",1,1+(Inputs!$B$20+0+Skills!P9+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3076*(1-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3076*(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3076*(1-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3076*(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76">
        <f>IF(C3076,(H3076*N3076*IF(AND(Inputs!$B$38&lt;&gt;"pvp",Inputs!$B$43&gt;0),((Skills!G9*((R3076-1)*IF(Skills!H9&gt;0,Skills!I9/Skills!H9,1)+IF(Skills!H9&gt;0,MIN(Skills!I9,MAX(0,MAX(0,Inputs!$B$43-B3103)-((R3076-1)*(IF(Inputs!$B$38="pvp",15,MAX(0.1,Skills!D9-IF(Skills!E9=TRUE,5.0,0)))*(1-IF(AND(ArtifactsInput!$M$27,Inputs!$B$4="Chapter Hunt"),CHOOSE(ArtifactsInput!$N$27+1,20,24,28,32,36,40),0)/100)))))/Skills!H9,1)))/Inputs!$B$43),G3076*Q3076))*IF(Inputs!$B$38="pvp",1,(1+(Inputs!$B$21+Skills!Q9+Summary!$B$15+(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7">
      <c r="A3077">
        <f>Skills!A10</f>
        <v/>
      </c>
      <c r="B3077">
        <f>Skills!B10</f>
        <v/>
      </c>
      <c r="C3077">
        <f>Inputs!$B$3&gt;=63</f>
        <v/>
      </c>
      <c r="D3077">
        <f>IF(Skills!C10=1,60+Inputs!$B$25+Inputs!$B$29,IF(Skills!C10=2,90+Inputs!$B$26+Inputs!$B$29,IF(Skills!C10=3,120+Inputs!$B$27+Inputs!$B$29,MAX(0,(Inputs!$B$3-100)*3)+Inputs!$B$28+Inputs!$B$29)))</f>
        <v/>
      </c>
      <c r="E3077">
        <f>INDEX(FactorTable!$B$2:$Y$301, MATCH(ROUND(MIN(300,MAX(1,D3077)),0), FactorTable!$A$2:$A$301,0), Skills!M10+1)</f>
        <v/>
      </c>
      <c r="F3077">
        <f>IF(Skills!N10=TRUE,(Skills!L10/10)*(E3077/1000),Skills!L10/10)+Skills!O10</f>
        <v/>
      </c>
      <c r="G3077">
        <f>Skills!G10*IF(Skills!H10&gt;0,Skills!I10/Skills!H10,1)</f>
        <v/>
      </c>
      <c r="H3077">
        <f>1-(1-Skills!J10/100)^Skills!K10</f>
        <v/>
      </c>
      <c r="I3077" t="inlineStr">
        <is>
          <t>1</t>
        </is>
      </c>
      <c r="J3077">
        <f>((Inputs!$B$6*(1+Inputs!$B$7/100))+(((Inputs!$B$12*(1+Inputs!$B$13/100))-(Inputs!$B$12*(1+Inputs!$B$13/100)))+0.25*(Inputs!$B$14-Inputs!$B$14))*(1+Inputs!$B$7/100))*(F3077/100)</f>
        <v/>
      </c>
      <c r="K3077">
        <f>J3077*(1+((Inputs!$B$12*(1+Inputs!$B$13/100))*0.01+Inputs!$B$14*0.0025)/100)*(1+Inputs!$B$15/100)*(1+Inputs!$B$16/100)*(5000/(6000+Inputs!$B$42*(1-(100*(1-(1-(Inputs!$B$19+0)/100)*(1-CHOOSE(ArtifactsInput!$N$40+1,5,6,7,8,9,10)/100)^(ArtifactsInput!$M$40-ArtifactsInput!$M$40)))/100)))*(1+(Inputs!$B$24+((C3092=TRUE)*(F3092-Calc!F25))+B3102)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3079=TRUE,F3079,0)/100)*(1+IF(Skills!A10="ENHANCED_RAGING_BLOW",IF(Inputs!$B$3&gt;=134,MAX(0,IF(Inputs!$B$3&gt;=110,7,5)-5)*50,0),0)/100)*(1+(IF(Skills!A10="RAGING_BLOW",Inputs!$B$17+((C3088=TRUE)*(F3088-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3090=TRUE)*(F3090-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3080=TRUE)*F3080*IF(Inputs!$B$3&gt;=110,7,5))+((C3082=TRUE)*F3082*IF(AND(Inputs!$B$38&lt;&gt;"pvp",Inputs!$B$43&gt;0),(((R3082-1)*(Skills!T15*(1+(Inputs!$B$34+(ArtifactsInput!$M$7-ArtifactsInput!$M$7)*CHOOSE(ArtifactsInput!$N$7+1,6,7.2,8.4,9.6,10.8,12))/100))+MIN((Skills!T15*(1+(Inputs!$B$34+(ArtifactsInput!$M$7-ArtifactsInput!$M$7)*CHOOSE(ArtifactsInput!$N$7+1,6,7.2,8.4,9.6,10.8,12))/100)),MAX(0,Inputs!$B$43-((R3082-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Hunt"),CHOOSE(ArtifactsInput!$N$35+1,15,18,21,24,27,30)*(1-EXP(-(0.2*B3098)*5)),0)+IF(AND(ArtifactsInput!$M$22,Inputs!$B$4&lt;&gt;"Chapter Hunt"),CHOOSE(ArtifactsInput!$N$22+1,10,12,14,16,18,20)*((0*(((0.15*B3098*5))^0/1)+1*(((0.15*B3098*5))^1/1)+2*(((0.15*B3098*5))^2/2)+3*(((0.15*B3098*5))^3/6)+4*(((0.15*B3098*5))^4/24)+5*(((0.15*B3098*5))^5/120))/((((0.15*B3098*5))^0/1)+(((0.15*B3098*5))^1/1)+(((0.15*B3098*5))^2/2)+(((0.15*B3098*5))^3/6)+(((0.15*B3098*5))^4/24)+(((0.15*B3098*5))^5/120))),0)))/100)*I3077)</f>
        <v/>
      </c>
      <c r="L3077">
        <f>K3077*(MIN(Inputs!$B$22+((C3089=TRUE)*(F3089-Calc!F22)),(Inputs!$B$23+((C3091=TRUE)*(F3091-Calc!F24))+(IF(ArtifactsInput!$M$15,CHOOSE(ArtifactsInput!$N$15+1,25,30,35,40,45,50)/100*(Inputs!$B$11-Inputs!$B$11),0))))/100+(Inputs!$B$23+((C3091=TRUE)*(F3091-Calc!F24))+(IF(ArtifactsInput!$M$15,CHOOSE(ArtifactsInput!$N$15+1,25,30,35,40,45,50)/100*(Inputs!$B$11-Inputs!$B$11),0)))/100)/2</f>
        <v/>
      </c>
      <c r="M3077">
        <f>L3077*(1+(Inputs!$B$10+0+B3101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7">
        <f>L3077*(1-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3077*(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7">
        <f>(1-Summary!$B$11)*T3077+Summary!$B$11*V3077</f>
        <v/>
      </c>
      <c r="P3077">
        <f>IF(B3106=0,0,O3077/B3106)</f>
        <v/>
      </c>
      <c r="Q3077">
        <f>IFERROR(1/(IF(Inputs!$B$38="pvp",15,MAX(0.1,Skills!D10-IF(Skills!E10=TRUE,5.0,0)))*(1-IF(AND(ArtifactsInput!$M$27,Inputs!$B$4="Chapter Hunt"),CHOOSE(ArtifactsInput!$N$27+1,20,24,28,32,36,40),0)/100)),0)</f>
        <v/>
      </c>
      <c r="R3077">
        <f>IF(AND(Inputs!$B$38&lt;&gt;"pvp",Inputs!$B$43&gt;0),IF(MAX(0,Inputs!$B$43-B3103)&lt;=0,0,(INT(MAX(0,Inputs!$B$43-B3103)/(IF(Inputs!$B$38="pvp",15,MAX(0.1,Skills!D10-IF(Skills!E10=TRUE,5.0,0)))*(1-IF(AND(ArtifactsInput!$M$27,Inputs!$B$4="Chapter Hunt"),CHOOSE(ArtifactsInput!$N$27+1,20,24,28,32,36,40),0)/100)))+1)),0)</f>
        <v/>
      </c>
      <c r="S3077">
        <f>IFERROR(O3077/N3077,0)</f>
        <v/>
      </c>
      <c r="T3077">
        <f>IF(C3077,(H3077*N3077*IF(AND(Inputs!$B$38&lt;&gt;"pvp",Inputs!$B$43&gt;0),((Skills!G10*((R3077-1)*IF(Skills!H10&gt;0,Skills!I10/Skills!H10,1)+IF(Skills!H10&gt;0,MIN(Skills!I10,MAX(0,MAX(0,Inputs!$B$43-B3103)-((R3077-1)*(IF(Inputs!$B$38="pvp",15,MAX(0.1,Skills!D10-IF(Skills!E10=TRUE,5.0,0)))*(1-IF(AND(ArtifactsInput!$M$27,Inputs!$B$4="Chapter Hunt"),CHOOSE(ArtifactsInput!$N$27+1,20,24,28,32,36,40),0)/100)))))/Skills!H10,1)))/Inputs!$B$43),G3077*Q3077))*IF(Inputs!$B$38="pvp",1,1+(Inputs!$B$20+0+Skills!P10+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3077*(1-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3077*(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3077*(1-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3077*(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77">
        <f>IF(C3077,(H3077*N3077*IF(AND(Inputs!$B$38&lt;&gt;"pvp",Inputs!$B$43&gt;0),((Skills!G10*((R3077-1)*IF(Skills!H10&gt;0,Skills!I10/Skills!H10,1)+IF(Skills!H10&gt;0,MIN(Skills!I10,MAX(0,MAX(0,Inputs!$B$43-B3103)-((R3077-1)*(IF(Inputs!$B$38="pvp",15,MAX(0.1,Skills!D10-IF(Skills!E10=TRUE,5.0,0)))*(1-IF(AND(ArtifactsInput!$M$27,Inputs!$B$4="Chapter Hunt"),CHOOSE(ArtifactsInput!$N$27+1,20,24,28,32,36,40),0)/100)))))/Skills!H10,1)))/Inputs!$B$43),G3077*Q3077))*IF(Inputs!$B$38="pvp",1,(1+(Inputs!$B$21+Skills!Q10+Summary!$B$15+(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8">
      <c r="A3078">
        <f>Skills!A11</f>
        <v/>
      </c>
      <c r="B3078">
        <f>Skills!B11</f>
        <v/>
      </c>
      <c r="C3078">
        <f>Inputs!$B$3&gt;=35</f>
        <v/>
      </c>
      <c r="D3078">
        <f>IF(Skills!C11=1,60+Inputs!$B$25+Inputs!$B$29,IF(Skills!C11=2,90+Inputs!$B$26+Inputs!$B$29,IF(Skills!C11=3,120+Inputs!$B$27+Inputs!$B$29,MAX(0,(Inputs!$B$3-100)*3)+Inputs!$B$28+Inputs!$B$29)))</f>
        <v/>
      </c>
      <c r="E3078">
        <f>INDEX(FactorTable!$B$2:$Y$301, MATCH(ROUND(MIN(300,MAX(1,D3078)),0), FactorTable!$A$2:$A$301,0), Skills!M11+1)</f>
        <v/>
      </c>
      <c r="F3078">
        <f>IF(Skills!N11=TRUE,(Skills!L11/10)*(E3078/1000),Skills!L11/10)+Skills!O11</f>
        <v/>
      </c>
      <c r="G3078">
        <f>Skills!G11*IF(Skills!H11&gt;0,Skills!I11/Skills!H11,1)</f>
        <v/>
      </c>
      <c r="H3078">
        <f>1-(1-Skills!J11/100)^Skills!K11</f>
        <v/>
      </c>
      <c r="I3078" t="inlineStr">
        <is>
          <t>1</t>
        </is>
      </c>
      <c r="J3078">
        <f>((Inputs!$B$6*(1+Inputs!$B$7/100))+(((Inputs!$B$12*(1+Inputs!$B$13/100))-(Inputs!$B$12*(1+Inputs!$B$13/100)))+0.25*(Inputs!$B$14-Inputs!$B$14))*(1+Inputs!$B$7/100))*(F3078/100)</f>
        <v/>
      </c>
      <c r="K3078">
        <f>J3078*(1+((Inputs!$B$12*(1+Inputs!$B$13/100))*0.01+Inputs!$B$14*0.0025)/100)*(1+Inputs!$B$15/100)*(1+Inputs!$B$16/100)*(5000/(6000+Inputs!$B$42*(1-(100*(1-(1-(Inputs!$B$19+0)/100)*(1-CHOOSE(ArtifactsInput!$N$40+1,5,6,7,8,9,10)/100)^(ArtifactsInput!$M$40-ArtifactsInput!$M$40)))/100)))*(1+(Inputs!$B$24+((C3092=TRUE)*(F3092-Calc!F25))+B3102)/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3079=TRUE,F3079,0)/100)*(1+IF(Skills!A11="ENHANCED_RAGING_BLOW",IF(Inputs!$B$3&gt;=134,MAX(0,IF(Inputs!$B$3&gt;=110,7,5)-5)*50,0),0)/100)*(1+(IF(Skills!A11="RAGING_BLOW",Inputs!$B$17+((C3088=TRUE)*(F3088-Calc!F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C3090=TRUE)*(F3090-Calc!F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(1+(((C3080=TRUE)*F3080*IF(Inputs!$B$3&gt;=110,7,5))+((C3082=TRUE)*F3082*IF(AND(Inputs!$B$38&lt;&gt;"pvp",Inputs!$B$43&gt;0),(((R3082-1)*(Skills!T15*(1+(Inputs!$B$34+(ArtifactsInput!$M$7-ArtifactsInput!$M$7)*CHOOSE(ArtifactsInput!$N$7+1,6,7.2,8.4,9.6,10.8,12))/100))+MIN((Skills!T15*(1+(Inputs!$B$34+(ArtifactsInput!$M$7-ArtifactsInput!$M$7)*CHOOSE(ArtifactsInput!$N$7+1,6,7.2,8.4,9.6,10.8,12))/100)),MAX(0,Inputs!$B$43-((R3082-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IF(AND(ArtifactsInput!$M$35,Inputs!$B$4&lt;&gt;"Chapter Hunt"),CHOOSE(ArtifactsInput!$N$35+1,15,18,21,24,27,30)*(1-EXP(-(0.2*B3098)*5)),0)+IF(AND(ArtifactsInput!$M$22,Inputs!$B$4&lt;&gt;"Chapter Hunt"),CHOOSE(ArtifactsInput!$N$22+1,10,12,14,16,18,20)*((0*(((0.15*B3098*5))^0/1)+1*(((0.15*B3098*5))^1/1)+2*(((0.15*B3098*5))^2/2)+3*(((0.15*B3098*5))^3/6)+4*(((0.15*B3098*5))^4/24)+5*(((0.15*B3098*5))^5/120))/((((0.15*B3098*5))^0/1)+(((0.15*B3098*5))^1/1)+(((0.15*B3098*5))^2/2)+(((0.15*B3098*5))^3/6)+(((0.15*B3098*5))^4/24)+(((0.15*B3098*5))^5/120))),0)))/100)*I3078)</f>
        <v/>
      </c>
      <c r="L3078">
        <f>K3078*(MIN(Inputs!$B$22+((C3089=TRUE)*(F3089-Calc!F22)),(Inputs!$B$23+((C3091=TRUE)*(F3091-Calc!F24))+(IF(ArtifactsInput!$M$15,CHOOSE(ArtifactsInput!$N$15+1,25,30,35,40,45,50)/100*(Inputs!$B$11-Inputs!$B$11),0))))/100+(Inputs!$B$23+((C3091=TRUE)*(F3091-Calc!F24))+(IF(ArtifactsInput!$M$15,CHOOSE(ArtifactsInput!$N$15+1,25,30,35,40,45,50)/100*(Inputs!$B$11-Inputs!$B$11),0)))/100)/2</f>
        <v/>
      </c>
      <c r="M3078">
        <f>L3078*(1+(Inputs!$B$10+0+B3101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8">
        <f>L3078*(1-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3078*(MIN((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8">
        <f>(1-Summary!$B$11)*T3078+Summary!$B$11*V3078</f>
        <v/>
      </c>
      <c r="P3078">
        <f>IF(B3106=0,0,O3078/B3106)</f>
        <v/>
      </c>
      <c r="Q3078">
        <f>IFERROR(1/(IF(Inputs!$B$38="pvp",15,MAX(0.1,Skills!D11-IF(Skills!E11=TRUE,5.0,0)))*(1-IF(AND(ArtifactsInput!$M$27,Inputs!$B$4="Chapter Hunt"),CHOOSE(ArtifactsInput!$N$27+1,20,24,28,32,36,40),0)/100)),0)</f>
        <v/>
      </c>
      <c r="R3078">
        <f>IF(AND(Inputs!$B$38&lt;&gt;"pvp",Inputs!$B$43&gt;0),IF(MAX(0,Inputs!$B$43-B3103)&lt;=0,0,(INT(MAX(0,Inputs!$B$43-B3103)/(IF(Inputs!$B$38="pvp",15,MAX(0.1,Skills!D11-IF(Skills!E11=TRUE,5.0,0)))*(1-IF(AND(ArtifactsInput!$M$27,Inputs!$B$4="Chapter Hunt"),CHOOSE(ArtifactsInput!$N$27+1,20,24,28,32,36,40),0)/100)))+1)),0)</f>
        <v/>
      </c>
      <c r="S3078">
        <f>IFERROR(O3078/N3078,0)</f>
        <v/>
      </c>
      <c r="T3078">
        <f>IF(C3078,(H3078*N3078*IF(AND(Inputs!$B$38&lt;&gt;"pvp",Inputs!$B$43&gt;0),((Skills!G11*((R3078-1)*IF(Skills!H11&gt;0,Skills!I11/Skills!H11,1)+IF(Skills!H11&gt;0,MIN(Skills!I11,MAX(0,MAX(0,Inputs!$B$43-B3103)-((R3078-1)*(IF(Inputs!$B$38="pvp",15,MAX(0.1,Skills!D11-IF(Skills!E11=TRUE,5.0,0)))*(1-IF(AND(ArtifactsInput!$M$27,Inputs!$B$4="Chapter Hunt"),CHOOSE(ArtifactsInput!$N$27+1,20,24,28,32,36,40),0)/100)))))/Skills!H11,1)))/Inputs!$B$43),G3078*Q3078))*IF(Inputs!$B$38="pvp",1,1+(Inputs!$B$20+0+Skills!P11+Summary!$B$15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3078*(1-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3078*(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3078*(1-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3078*(MIN(100,(Inputs!$B$9+((C3093=TRUE)*(F3093-Calc!F26))+B3096+(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78">
        <f>IF(C3078,(H3078*N3078*IF(AND(Inputs!$B$38&lt;&gt;"pvp",Inputs!$B$43&gt;0),((Skills!G11*((R3078-1)*IF(Skills!H11&gt;0,Skills!I11/Skills!H11,1)+IF(Skills!H11&gt;0,MIN(Skills!I11,MAX(0,MAX(0,Inputs!$B$43-B3103)-((R3078-1)*(IF(Inputs!$B$38="pvp",15,MAX(0.1,Skills!D11-IF(Skills!E11=TRUE,5.0,0)))*(1-IF(AND(ArtifactsInput!$M$27,Inputs!$B$4="Chapter Hunt"),CHOOSE(ArtifactsInput!$N$27+1,20,24,28,32,36,40),0)/100)))))/Skills!H11,1)))/Inputs!$B$43),G3078*Q3078))*IF(Inputs!$B$38="pvp",1,(1+(Inputs!$B$21+Skills!Q11+Summary!$B$15+(IF(ArtifactsInput!$M$33,CHOOSE(ArtifactsInput!$N$33+1,30,36,42,48,54,60)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9">
      <c r="A3079">
        <f>Skills!A12</f>
        <v/>
      </c>
      <c r="B3079">
        <f>Skills!B12</f>
        <v/>
      </c>
      <c r="C3079">
        <f>Inputs!$B$3&gt;=100</f>
        <v/>
      </c>
      <c r="D3079">
        <f>IF(Skills!C12=1,60+Inputs!$B$25+Inputs!$B$29,IF(Skills!C12=2,90+Inputs!$B$26+Inputs!$B$29,IF(Skills!C12=3,120+Inputs!$B$27+Inputs!$B$29,MAX(0,(Inputs!$B$3-100)*3)+Inputs!$B$28+Inputs!$B$29)))</f>
        <v/>
      </c>
      <c r="E3079">
        <f>INDEX(FactorTable!$B$2:$Y$301, MATCH(ROUND(MIN(300,MAX(1,D3079)),0), FactorTable!$A$2:$A$301,0), Skills!M12+1)</f>
        <v/>
      </c>
      <c r="F3079">
        <f>IF(Skills!N12=TRUE,(Skills!L12/10)*(E3079/1000),Skills!L12/10)+Skills!O12</f>
        <v/>
      </c>
      <c r="G3079" t="inlineStr"/>
      <c r="H3079" t="inlineStr"/>
      <c r="I3079" t="inlineStr">
        <is>
          <t>1</t>
        </is>
      </c>
      <c r="J3079" t="inlineStr"/>
      <c r="K3079" t="inlineStr"/>
      <c r="L3079" t="inlineStr"/>
      <c r="M3079" t="inlineStr"/>
      <c r="N3079" t="inlineStr"/>
      <c r="O3079" t="inlineStr"/>
      <c r="P3079" t="inlineStr"/>
      <c r="Q3079" t="inlineStr"/>
      <c r="R3079" t="inlineStr"/>
      <c r="S3079" t="inlineStr"/>
    </row>
    <row r="3080">
      <c r="A3080">
        <f>Skills!A13</f>
        <v/>
      </c>
      <c r="B3080">
        <f>Skills!B13</f>
        <v/>
      </c>
      <c r="C3080">
        <f>Inputs!$B$3&gt;=45</f>
        <v/>
      </c>
      <c r="D3080">
        <f>IF(Skills!C13=1,60+Inputs!$B$25+Inputs!$B$29,IF(Skills!C13=2,90+Inputs!$B$26+Inputs!$B$29,IF(Skills!C13=3,120+Inputs!$B$27+Inputs!$B$29,MAX(0,(Inputs!$B$3-100)*3)+Inputs!$B$28+Inputs!$B$29)))</f>
        <v/>
      </c>
      <c r="E3080">
        <f>INDEX(FactorTable!$B$2:$Y$301, MATCH(ROUND(MIN(300,MAX(1,D3080)),0), FactorTable!$A$2:$A$301,0), Skills!M13+1)</f>
        <v/>
      </c>
      <c r="F3080">
        <f>IF(Skills!N13=TRUE,(Skills!L13/10)*(E3080/1000),Skills!L13/10)+Skills!O13</f>
        <v/>
      </c>
      <c r="G3080">
        <f>Skills!G13*IF(Skills!H13&gt;0,Skills!I13/Skills!H13,1)</f>
        <v/>
      </c>
      <c r="H3080">
        <f>1-(1-Skills!J13/100)^Skills!K13</f>
        <v/>
      </c>
      <c r="I3080" t="inlineStr">
        <is>
          <t>1</t>
        </is>
      </c>
      <c r="J3080" t="inlineStr"/>
      <c r="K3080" t="inlineStr"/>
      <c r="L3080" t="inlineStr"/>
      <c r="M3080" t="inlineStr"/>
      <c r="N3080" t="inlineStr"/>
      <c r="O3080">
        <f>(1-Summary!$B$11)*T3080+Summary!$B$11*V3080</f>
        <v/>
      </c>
      <c r="P3080">
        <f>IF(B3106=0,0,O3080/B3106)</f>
        <v/>
      </c>
      <c r="Q3080" t="n">
        <v>0</v>
      </c>
      <c r="R3080" t="n">
        <v>0</v>
      </c>
      <c r="S3080">
        <f>IFERROR(O3080/N3080,0)</f>
        <v/>
      </c>
      <c r="T3080" t="n">
        <v>0</v>
      </c>
      <c r="V3080" t="n">
        <v>0</v>
      </c>
    </row>
    <row r="3081">
      <c r="A3081">
        <f>Skills!A14</f>
        <v/>
      </c>
      <c r="B3081">
        <f>Skills!B14</f>
        <v/>
      </c>
      <c r="C3081">
        <f>Inputs!$B$3&gt;=75</f>
        <v/>
      </c>
      <c r="D3081">
        <f>IF(Skills!C14=1,60+Inputs!$B$25+Inputs!$B$29,IF(Skills!C14=2,90+Inputs!$B$26+Inputs!$B$29,IF(Skills!C14=3,120+Inputs!$B$27+Inputs!$B$29,MAX(0,(Inputs!$B$3-100)*3)+Inputs!$B$28+Inputs!$B$29)))</f>
        <v/>
      </c>
      <c r="E3081">
        <f>INDEX(FactorTable!$B$2:$Y$301, MATCH(ROUND(MIN(300,MAX(1,D3081)),0), FactorTable!$A$2:$A$301,0), Skills!M14+1)</f>
        <v/>
      </c>
      <c r="F3081">
        <f>IF(Skills!N14=TRUE,(Skills!L14/10)*(E3081/1000),Skills!L14/10)+Skills!O14</f>
        <v/>
      </c>
      <c r="G3081">
        <f>Skills!G14*IF(Skills!H14&gt;0,Skills!I14/Skills!H14,1)</f>
        <v/>
      </c>
      <c r="H3081">
        <f>1-(1-Skills!J14/100)^Skills!K14</f>
        <v/>
      </c>
      <c r="I3081" t="inlineStr">
        <is>
          <t>1</t>
        </is>
      </c>
      <c r="J3081" t="inlineStr"/>
      <c r="K3081" t="inlineStr"/>
      <c r="L3081" t="inlineStr"/>
      <c r="M3081" t="inlineStr"/>
      <c r="N3081" t="inlineStr"/>
      <c r="O3081">
        <f>(1-Summary!$B$11)*T3081+Summary!$B$11*V3081</f>
        <v/>
      </c>
      <c r="P3081">
        <f>IF(B3106=0,0,O3081/B3106)</f>
        <v/>
      </c>
      <c r="Q3081" t="n">
        <v>0</v>
      </c>
      <c r="R3081" t="n">
        <v>0</v>
      </c>
      <c r="S3081">
        <f>IFERROR(O3081/N3081,0)</f>
        <v/>
      </c>
      <c r="T3081" t="n">
        <v>0</v>
      </c>
      <c r="V3081" t="n">
        <v>0</v>
      </c>
    </row>
    <row r="3082">
      <c r="A3082">
        <f>Skills!A15</f>
        <v/>
      </c>
      <c r="B3082">
        <f>Skills!B15</f>
        <v/>
      </c>
      <c r="C3082">
        <f>Inputs!$B$3&gt;=40</f>
        <v/>
      </c>
      <c r="D3082">
        <f>IF(Skills!C15=1,60+Inputs!$B$25+Inputs!$B$29,IF(Skills!C15=2,90+Inputs!$B$26+Inputs!$B$29,IF(Skills!C15=3,120+Inputs!$B$27+Inputs!$B$29,MAX(0,(Inputs!$B$3-100)*3)+Inputs!$B$28+Inputs!$B$29)))</f>
        <v/>
      </c>
      <c r="E3082">
        <f>INDEX(FactorTable!$B$2:$Y$301, MATCH(ROUND(MIN(300,MAX(1,D3082)),0), FactorTable!$A$2:$A$301,0), Skills!M15+1)</f>
        <v/>
      </c>
      <c r="F3082">
        <f>IF(Skills!N15=TRUE,(Skills!L15/10)*(E3082/1000),Skills!L15/10)+Skills!O15</f>
        <v/>
      </c>
      <c r="G3082">
        <f>Skills!G15*IF(Skills!H15&gt;0,Skills!I15/Skills!H15,1)</f>
        <v/>
      </c>
      <c r="H3082">
        <f>1-(1-Skills!J15/100)^Skills!K15</f>
        <v/>
      </c>
      <c r="I3082" t="inlineStr">
        <is>
          <t>1</t>
        </is>
      </c>
      <c r="J3082" t="inlineStr"/>
      <c r="K3082" t="inlineStr"/>
      <c r="L3082" t="inlineStr"/>
      <c r="M3082" t="inlineStr"/>
      <c r="N3082" t="inlineStr"/>
      <c r="O3082">
        <f>(1-Summary!$B$11)*T3082+Summary!$B$11*V3082</f>
        <v/>
      </c>
      <c r="P3082">
        <f>IF(B3106=0,0,O3082/B3106)</f>
        <v/>
      </c>
      <c r="Q3082">
        <f>IFERROR(1/(IF(Inputs!$B$38="pvp",15,MAX(0.1,Skills!D15-IF(Skills!E15=TRUE,5.0,0)))*(1-IF(AND(ArtifactsInput!$M$27,Inputs!$B$4="Chapter Hunt"),CHOOSE(ArtifactsInput!$N$27+1,20,24,28,32,36,40),0)/100)),0)</f>
        <v/>
      </c>
      <c r="R3082">
        <f>IF(AND(Inputs!$B$38&lt;&gt;"pvp",Inputs!$B$43&gt;0),IF(Inputs!$B$43&lt;=0,0,(INT(Inputs!$B$43/(IF(Inputs!$B$38="pvp",15,MAX(0.1,Skills!D15-IF(Skills!E15=TRUE,5.0,0)))*(1-IF(AND(ArtifactsInput!$M$27,Inputs!$B$4="Chapter Hunt"),CHOOSE(ArtifactsInput!$N$27+1,20,24,28,32,36,40),0)/100)))+1)),0)</f>
        <v/>
      </c>
      <c r="S3082">
        <f>IFERROR(O3082/N3082,0)</f>
        <v/>
      </c>
      <c r="T3082" t="n">
        <v>0</v>
      </c>
      <c r="V3082" t="n">
        <v>0</v>
      </c>
    </row>
    <row r="3083">
      <c r="A3083">
        <f>Skills!A16</f>
        <v/>
      </c>
      <c r="B3083">
        <f>Skills!B16</f>
        <v/>
      </c>
      <c r="C3083">
        <f>Inputs!$B$3&gt;=66</f>
        <v/>
      </c>
      <c r="D3083">
        <f>IF(Skills!C16=1,60+Inputs!$B$25+Inputs!$B$29,IF(Skills!C16=2,90+Inputs!$B$26+Inputs!$B$29,IF(Skills!C16=3,120+Inputs!$B$27+Inputs!$B$29,MAX(0,(Inputs!$B$3-100)*3)+Inputs!$B$28+Inputs!$B$29)))</f>
        <v/>
      </c>
      <c r="E3083">
        <f>INDEX(FactorTable!$B$2:$Y$301, MATCH(ROUND(MIN(300,MAX(1,D3083)),0), FactorTable!$A$2:$A$301,0), Skills!M16+1)</f>
        <v/>
      </c>
      <c r="F3083">
        <f>IF(Skills!N16=TRUE,(Skills!L16/10)*(E3083/1000),Skills!L16/10)+Skills!O16</f>
        <v/>
      </c>
      <c r="G3083">
        <f>Skills!G16*IF(Skills!H16&gt;0,Skills!I16/Skills!H16,1)</f>
        <v/>
      </c>
      <c r="H3083">
        <f>1-(1-Skills!J16/100)^Skills!K16</f>
        <v/>
      </c>
      <c r="I3083" t="inlineStr">
        <is>
          <t>1</t>
        </is>
      </c>
      <c r="J3083" t="inlineStr"/>
      <c r="K3083" t="inlineStr"/>
      <c r="L3083" t="inlineStr"/>
      <c r="M3083" t="inlineStr"/>
      <c r="N3083" t="inlineStr"/>
      <c r="O3083">
        <f>(1-Summary!$B$11)*T3083+Summary!$B$11*V3083</f>
        <v/>
      </c>
      <c r="P3083">
        <f>IF(B3106=0,0,O3083/B3106)</f>
        <v/>
      </c>
      <c r="Q3083">
        <f>IFERROR(1/(IF(Inputs!$B$38="pvp",15,MAX(0.1,Skills!D16-IF(Skills!E16=TRUE,5.0,0)))*(1-IF(AND(ArtifactsInput!$M$27,Inputs!$B$4="Chapter Hunt"),CHOOSE(ArtifactsInput!$N$27+1,20,24,28,32,36,40),0)/100)),0)</f>
        <v/>
      </c>
      <c r="R3083">
        <f>IF(AND(Inputs!$B$38&lt;&gt;"pvp",Inputs!$B$43&gt;0),IF(Inputs!$B$43&lt;=0,0,(INT(Inputs!$B$43/(IF(Inputs!$B$38="pvp",15,MAX(0.1,Skills!D16-IF(Skills!E16=TRUE,5.0,0)))*(1-IF(AND(ArtifactsInput!$M$27,Inputs!$B$4="Chapter Hunt"),CHOOSE(ArtifactsInput!$N$27+1,20,24,28,32,36,40),0)/100)))+1)),0)</f>
        <v/>
      </c>
      <c r="S3083">
        <f>IFERROR(O3083/N3083,0)</f>
        <v/>
      </c>
      <c r="T3083" t="n">
        <v>0</v>
      </c>
      <c r="V3083" t="n">
        <v>0</v>
      </c>
    </row>
    <row r="3084">
      <c r="A3084">
        <f>Skills!A17</f>
        <v/>
      </c>
      <c r="B3084">
        <f>Skills!B17</f>
        <v/>
      </c>
      <c r="C3084">
        <f>Inputs!$B$3&gt;=115</f>
        <v/>
      </c>
      <c r="D3084">
        <f>IF(Skills!C17=1,60+Inputs!$B$25+Inputs!$B$29,IF(Skills!C17=2,90+Inputs!$B$26+Inputs!$B$29,IF(Skills!C17=3,120+Inputs!$B$27+Inputs!$B$29,MAX(0,(Inputs!$B$3-100)*3)+Inputs!$B$28+Inputs!$B$29)))</f>
        <v/>
      </c>
      <c r="E3084">
        <f>INDEX(FactorTable!$B$2:$Y$301, MATCH(ROUND(MIN(300,MAX(1,D3084)),0), FactorTable!$A$2:$A$301,0), Skills!M17+1)</f>
        <v/>
      </c>
      <c r="F3084">
        <f>IF(Skills!N17=TRUE,(Skills!L17/10)*(E3084/1000),Skills!L17/10)+Skills!O17</f>
        <v/>
      </c>
      <c r="G3084">
        <f>Skills!G17*IF(Skills!H17&gt;0,Skills!I17/Skills!H17,1)</f>
        <v/>
      </c>
      <c r="H3084">
        <f>1-(1-Skills!J17/100)^Skills!K17</f>
        <v/>
      </c>
      <c r="I3084" t="inlineStr">
        <is>
          <t>1</t>
        </is>
      </c>
      <c r="J3084" t="inlineStr"/>
      <c r="K3084" t="inlineStr"/>
      <c r="L3084" t="inlineStr"/>
      <c r="M3084" t="inlineStr"/>
      <c r="N3084" t="inlineStr"/>
      <c r="O3084">
        <f>(1-Summary!$B$11)*T3084+Summary!$B$11*V3084</f>
        <v/>
      </c>
      <c r="P3084">
        <f>IF(B3106=0,0,O3084/B3106)</f>
        <v/>
      </c>
      <c r="Q3084">
        <f>IFERROR(1/(IF(Inputs!$B$38="pvp",15,MAX(0.1,Skills!D17-IF(Skills!E17=TRUE,5.0,0)))*(1-IF(AND(ArtifactsInput!$M$27,Inputs!$B$4="Chapter Hunt"),CHOOSE(ArtifactsInput!$N$27+1,20,24,28,32,36,40),0)/100)),0)</f>
        <v/>
      </c>
      <c r="R3084">
        <f>IF(AND(Inputs!$B$38&lt;&gt;"pvp",Inputs!$B$43&gt;0),IF(Inputs!$B$43&lt;=0,0,(INT(Inputs!$B$43/(IF(Inputs!$B$38="pvp",15,MAX(0.1,Skills!D17-IF(Skills!E17=TRUE,5.0,0)))*(1-IF(AND(ArtifactsInput!$M$27,Inputs!$B$4="Chapter Hunt"),CHOOSE(ArtifactsInput!$N$27+1,20,24,28,32,36,40),0)/100)))+1)),0)</f>
        <v/>
      </c>
      <c r="S3084">
        <f>IFERROR(O3084/N3084,0)</f>
        <v/>
      </c>
      <c r="T3084" t="n">
        <v>0</v>
      </c>
      <c r="V3084" t="n">
        <v>0</v>
      </c>
    </row>
    <row r="3085">
      <c r="A3085">
        <f>Skills!A18</f>
        <v/>
      </c>
      <c r="B3085">
        <f>Skills!B18</f>
        <v/>
      </c>
      <c r="C3085">
        <f>Inputs!$B$3&gt;=115</f>
        <v/>
      </c>
      <c r="D3085">
        <f>IF(Skills!C18=1,60+Inputs!$B$25+Inputs!$B$29,IF(Skills!C18=2,90+Inputs!$B$26+Inputs!$B$29,IF(Skills!C18=3,120+Inputs!$B$27+Inputs!$B$29,MAX(0,(Inputs!$B$3-100)*3)+Inputs!$B$28+Inputs!$B$29)))</f>
        <v/>
      </c>
      <c r="E3085">
        <f>INDEX(FactorTable!$B$2:$Y$301, MATCH(ROUND(MIN(300,MAX(1,D3085)),0), FactorTable!$A$2:$A$301,0), Skills!M18+1)</f>
        <v/>
      </c>
      <c r="F3085">
        <f>IF(Skills!N18=TRUE,(Skills!L18/10)*(E3085/1000),Skills!L18/10)+Skills!O18</f>
        <v/>
      </c>
      <c r="G3085">
        <f>Skills!G18*IF(Skills!H18&gt;0,Skills!I18/Skills!H18,1)</f>
        <v/>
      </c>
      <c r="H3085">
        <f>1-(1-Skills!J18/100)^Skills!K18</f>
        <v/>
      </c>
      <c r="I3085" t="inlineStr">
        <is>
          <t>1</t>
        </is>
      </c>
      <c r="J3085" t="inlineStr"/>
      <c r="K3085" t="inlineStr"/>
      <c r="L3085" t="inlineStr"/>
      <c r="M3085" t="inlineStr"/>
      <c r="N3085" t="inlineStr"/>
      <c r="O3085">
        <f>(1-Summary!$B$11)*T3085+Summary!$B$11*V3085</f>
        <v/>
      </c>
      <c r="P3085">
        <f>IF(B3106=0,0,O3085/B3106)</f>
        <v/>
      </c>
      <c r="Q3085">
        <f>IFERROR(1/(IF(Inputs!$B$38="pvp",15,MAX(0.1,Skills!D18-IF(Skills!E18=TRUE,5.0,0)))*(1-IF(AND(ArtifactsInput!$M$27,Inputs!$B$4="Chapter Hunt"),CHOOSE(ArtifactsInput!$N$27+1,20,24,28,32,36,40),0)/100)),0)</f>
        <v/>
      </c>
      <c r="R3085">
        <f>IF(AND(Inputs!$B$38&lt;&gt;"pvp",Inputs!$B$43&gt;0),IF(Inputs!$B$43&lt;=0,0,(INT(Inputs!$B$43/(IF(Inputs!$B$38="pvp",15,MAX(0.1,Skills!D18-IF(Skills!E18=TRUE,5.0,0)))*(1-IF(AND(ArtifactsInput!$M$27,Inputs!$B$4="Chapter Hunt"),CHOOSE(ArtifactsInput!$N$27+1,20,24,28,32,36,40),0)/100)))+1)),0)</f>
        <v/>
      </c>
      <c r="S3085">
        <f>IFERROR(O3085/N3085,0)</f>
        <v/>
      </c>
      <c r="T3085" t="n">
        <v>0</v>
      </c>
      <c r="V3085" t="n">
        <v>0</v>
      </c>
    </row>
    <row r="3086">
      <c r="A3086">
        <f>Skills!A19</f>
        <v/>
      </c>
      <c r="B3086">
        <f>Skills!B19</f>
        <v/>
      </c>
      <c r="C3086">
        <f>TRUE</f>
        <v/>
      </c>
      <c r="D3086">
        <f>IF(Skills!C19=1,60+Inputs!$B$25+Inputs!$B$29,IF(Skills!C19=2,90+Inputs!$B$26+Inputs!$B$29,IF(Skills!C19=3,120+Inputs!$B$27+Inputs!$B$29,MAX(0,(Inputs!$B$3-100)*3)+Inputs!$B$28+Inputs!$B$29)))</f>
        <v/>
      </c>
      <c r="E3086">
        <f>INDEX(FactorTable!$B$2:$Y$301, MATCH(ROUND(MIN(300,MAX(1,D3086)),0), FactorTable!$A$2:$A$301,0), Skills!M19+1)</f>
        <v/>
      </c>
      <c r="F3086">
        <f>IF(Skills!N19=TRUE,(Skills!L19/10)*(E3086/1000),Skills!L19/10)+Skills!O19</f>
        <v/>
      </c>
      <c r="G3086">
        <f>Skills!G19*IF(Skills!H19&gt;0,Skills!I19/Skills!H19,1)</f>
        <v/>
      </c>
      <c r="H3086">
        <f>1-(1-Skills!J19/100)^Skills!K19</f>
        <v/>
      </c>
      <c r="I3086" t="inlineStr">
        <is>
          <t>1</t>
        </is>
      </c>
      <c r="J3086" t="inlineStr"/>
      <c r="K3086" t="inlineStr"/>
      <c r="L3086" t="inlineStr"/>
      <c r="M3086" t="inlineStr"/>
      <c r="N3086" t="inlineStr"/>
      <c r="O3086">
        <f>(1-Summary!$B$11)*T3086+Summary!$B$11*V3086</f>
        <v/>
      </c>
      <c r="P3086">
        <f>IF(B3106=0,0,O3086/B3106)</f>
        <v/>
      </c>
      <c r="Q3086">
        <f>IFERROR(1/(IF(Inputs!$B$38="pvp",15,MAX(0.1,Skills!D19-IF(Skills!E19=TRUE,5.0,0)))*(1-IF(AND(ArtifactsInput!$M$27,Inputs!$B$4="Chapter Hunt"),CHOOSE(ArtifactsInput!$N$27+1,20,24,28,32,36,40),0)/100)),0)</f>
        <v/>
      </c>
      <c r="R3086">
        <f>IF(AND(Inputs!$B$38&lt;&gt;"pvp",Inputs!$B$43&gt;0),IF(Inputs!$B$43&lt;=0,0,(INT(Inputs!$B$43/(IF(Inputs!$B$38="pvp",15,MAX(0.1,Skills!D19-IF(Skills!E19=TRUE,5.0,0)))*(1-IF(AND(ArtifactsInput!$M$27,Inputs!$B$4="Chapter Hunt"),CHOOSE(ArtifactsInput!$N$27+1,20,24,28,32,36,40),0)/100)))+1)),0)</f>
        <v/>
      </c>
      <c r="S3086">
        <f>IFERROR(O3086/N3086,0)</f>
        <v/>
      </c>
      <c r="T3086" t="n">
        <v>0</v>
      </c>
      <c r="V3086" t="n">
        <v>0</v>
      </c>
    </row>
    <row r="3087">
      <c r="A3087">
        <f>Skills!A20</f>
        <v/>
      </c>
      <c r="B3087">
        <f>Skills!B20</f>
        <v/>
      </c>
      <c r="C3087">
        <f>Inputs!$B$3&gt;=33</f>
        <v/>
      </c>
      <c r="D3087">
        <f>IF(Skills!C20=1,60+Inputs!$B$25+Inputs!$B$29,IF(Skills!C20=2,90+Inputs!$B$26+Inputs!$B$29,IF(Skills!C20=3,120+Inputs!$B$27+Inputs!$B$29,MAX(0,(Inputs!$B$3-100)*3)+Inputs!$B$28+Inputs!$B$29)))</f>
        <v/>
      </c>
      <c r="E3087">
        <f>INDEX(FactorTable!$B$2:$Y$301, MATCH(ROUND(MIN(300,MAX(1,D3087)),0), FactorTable!$A$2:$A$301,0), Skills!M20+1)</f>
        <v/>
      </c>
      <c r="F3087">
        <f>IF(Skills!N20=TRUE,(Skills!L20/10)*(E3087/1000),Skills!L20/10)+Skills!O20</f>
        <v/>
      </c>
      <c r="G3087">
        <f>Skills!G20*IF(Skills!H20&gt;0,Skills!I20/Skills!H20,1)</f>
        <v/>
      </c>
      <c r="H3087">
        <f>1-(1-Skills!J20/100)^Skills!K20</f>
        <v/>
      </c>
      <c r="I3087" t="inlineStr">
        <is>
          <t>1</t>
        </is>
      </c>
      <c r="J3087" t="inlineStr"/>
      <c r="K3087" t="inlineStr"/>
      <c r="L3087" t="inlineStr"/>
      <c r="M3087" t="inlineStr"/>
      <c r="N3087" t="inlineStr"/>
      <c r="O3087">
        <f>(1-Summary!$B$11)*T3087+Summary!$B$11*V3087</f>
        <v/>
      </c>
      <c r="P3087">
        <f>IF(B3106=0,0,O3087/B3106)</f>
        <v/>
      </c>
      <c r="Q3087" t="n">
        <v>0</v>
      </c>
      <c r="R3087" t="n">
        <v>0</v>
      </c>
      <c r="S3087">
        <f>IFERROR(O3087/N3087,0)</f>
        <v/>
      </c>
      <c r="T3087" t="n">
        <v>0</v>
      </c>
      <c r="V3087" t="n">
        <v>0</v>
      </c>
    </row>
    <row r="3088">
      <c r="A3088">
        <f>Skills!A21</f>
        <v/>
      </c>
      <c r="B3088">
        <f>Skills!B21</f>
        <v/>
      </c>
      <c r="C3088">
        <f>Inputs!$B$3&gt;=38</f>
        <v/>
      </c>
      <c r="D3088">
        <f>IF(Skills!C21=1,60+Inputs!$B$25+Inputs!$B$29,IF(Skills!C21=2,90+Inputs!$B$26+Inputs!$B$29,IF(Skills!C21=3,120+Inputs!$B$27+Inputs!$B$29,MAX(0,(Inputs!$B$3-100)*3)+Inputs!$B$28+Inputs!$B$29)))</f>
        <v/>
      </c>
      <c r="E3088">
        <f>INDEX(FactorTable!$B$2:$Y$301, MATCH(ROUND(MIN(300,MAX(1,D3088)),0), FactorTable!$A$2:$A$301,0), Skills!M21+1)</f>
        <v/>
      </c>
      <c r="F3088">
        <f>IF(Skills!N21=TRUE,(Skills!L21/10)*(E3088/1000),Skills!L21/10)+Skills!O21</f>
        <v/>
      </c>
      <c r="G3088">
        <f>Skills!G21*IF(Skills!H21&gt;0,Skills!I21/Skills!H21,1)</f>
        <v/>
      </c>
      <c r="H3088">
        <f>1-(1-Skills!J21/100)^Skills!K21</f>
        <v/>
      </c>
      <c r="I3088" t="inlineStr">
        <is>
          <t>1</t>
        </is>
      </c>
      <c r="J3088" t="inlineStr"/>
      <c r="K3088" t="inlineStr"/>
      <c r="L3088" t="inlineStr"/>
      <c r="M3088" t="inlineStr"/>
      <c r="N3088" t="inlineStr"/>
      <c r="O3088">
        <f>(1-Summary!$B$11)*T3088+Summary!$B$11*V3088</f>
        <v/>
      </c>
      <c r="P3088">
        <f>IF(B3106=0,0,O3088/B3106)</f>
        <v/>
      </c>
      <c r="Q3088" t="n">
        <v>0</v>
      </c>
      <c r="R3088" t="n">
        <v>0</v>
      </c>
      <c r="S3088">
        <f>IFERROR(O3088/N3088,0)</f>
        <v/>
      </c>
      <c r="T3088" t="n">
        <v>0</v>
      </c>
      <c r="V3088" t="n">
        <v>0</v>
      </c>
    </row>
    <row r="3089">
      <c r="A3089">
        <f>Skills!A22</f>
        <v/>
      </c>
      <c r="B3089">
        <f>Skills!B22</f>
        <v/>
      </c>
      <c r="C3089">
        <f>Inputs!$B$3&gt;=43</f>
        <v/>
      </c>
      <c r="D3089">
        <f>IF(Skills!C22=1,60+Inputs!$B$25+Inputs!$B$29,IF(Skills!C22=2,90+Inputs!$B$26+Inputs!$B$29,IF(Skills!C22=3,120+Inputs!$B$27+Inputs!$B$29,MAX(0,(Inputs!$B$3-100)*3)+Inputs!$B$28+Inputs!$B$29)))</f>
        <v/>
      </c>
      <c r="E3089">
        <f>INDEX(FactorTable!$B$2:$Y$301, MATCH(ROUND(MIN(300,MAX(1,D3089)),0), FactorTable!$A$2:$A$301,0), Skills!M22+1)</f>
        <v/>
      </c>
      <c r="F3089">
        <f>IF(Skills!N22=TRUE,(Skills!L22/10)*(E3089/1000),Skills!L22/10)+Skills!O22</f>
        <v/>
      </c>
      <c r="G3089">
        <f>Skills!G22*IF(Skills!H22&gt;0,Skills!I22/Skills!H22,1)</f>
        <v/>
      </c>
      <c r="H3089">
        <f>1-(1-Skills!J22/100)^Skills!K22</f>
        <v/>
      </c>
      <c r="I3089" t="inlineStr">
        <is>
          <t>1</t>
        </is>
      </c>
      <c r="J3089" t="inlineStr"/>
      <c r="K3089" t="inlineStr"/>
      <c r="L3089" t="inlineStr"/>
      <c r="M3089" t="inlineStr"/>
      <c r="N3089" t="inlineStr"/>
      <c r="O3089">
        <f>(1-Summary!$B$11)*T3089+Summary!$B$11*V3089</f>
        <v/>
      </c>
      <c r="P3089">
        <f>IF(B3106=0,0,O3089/B3106)</f>
        <v/>
      </c>
      <c r="Q3089" t="n">
        <v>0</v>
      </c>
      <c r="R3089" t="n">
        <v>0</v>
      </c>
      <c r="S3089">
        <f>IFERROR(O3089/N3089,0)</f>
        <v/>
      </c>
      <c r="T3089" t="n">
        <v>0</v>
      </c>
      <c r="V3089" t="n">
        <v>0</v>
      </c>
    </row>
    <row r="3090">
      <c r="A3090">
        <f>Skills!A23</f>
        <v/>
      </c>
      <c r="B3090">
        <f>Skills!B23</f>
        <v/>
      </c>
      <c r="C3090">
        <f>Inputs!$B$3&gt;=120</f>
        <v/>
      </c>
      <c r="D3090">
        <f>IF(Skills!C23=1,60+Inputs!$B$25+Inputs!$B$29,IF(Skills!C23=2,90+Inputs!$B$26+Inputs!$B$29,IF(Skills!C23=3,120+Inputs!$B$27+Inputs!$B$29,MAX(0,(Inputs!$B$3-100)*3)+Inputs!$B$28+Inputs!$B$29)))</f>
        <v/>
      </c>
      <c r="E3090">
        <f>INDEX(FactorTable!$B$2:$Y$301, MATCH(ROUND(MIN(300,MAX(1,D3090)),0), FactorTable!$A$2:$A$301,0), Skills!M23+1)</f>
        <v/>
      </c>
      <c r="F3090">
        <f>IF(Skills!N23=TRUE,(Skills!L23/10)*(E3090/1000),Skills!L23/10)+Skills!O23</f>
        <v/>
      </c>
      <c r="G3090">
        <f>Skills!G23*IF(Skills!H23&gt;0,Skills!I23/Skills!H23,1)</f>
        <v/>
      </c>
      <c r="H3090">
        <f>1-(1-Skills!J23/100)^Skills!K23</f>
        <v/>
      </c>
      <c r="I3090" t="inlineStr">
        <is>
          <t>1</t>
        </is>
      </c>
      <c r="J3090" t="inlineStr"/>
      <c r="K3090" t="inlineStr"/>
      <c r="L3090" t="inlineStr"/>
      <c r="M3090" t="inlineStr"/>
      <c r="N3090" t="inlineStr"/>
      <c r="O3090">
        <f>(1-Summary!$B$11)*T3090+Summary!$B$11*V3090</f>
        <v/>
      </c>
      <c r="P3090">
        <f>IF(B3106=0,0,O3090/B3106)</f>
        <v/>
      </c>
      <c r="Q3090" t="n">
        <v>0</v>
      </c>
      <c r="R3090" t="n">
        <v>0</v>
      </c>
      <c r="S3090">
        <f>IFERROR(O3090/N3090,0)</f>
        <v/>
      </c>
      <c r="T3090" t="n">
        <v>0</v>
      </c>
      <c r="V3090" t="n">
        <v>0</v>
      </c>
    </row>
    <row r="3091">
      <c r="A3091">
        <f>Skills!A24</f>
        <v/>
      </c>
      <c r="B3091">
        <f>Skills!B24</f>
        <v/>
      </c>
      <c r="C3091">
        <f>Inputs!$B$3&gt;=120</f>
        <v/>
      </c>
      <c r="D3091">
        <f>IF(Skills!C24=1,60+Inputs!$B$25+Inputs!$B$29,IF(Skills!C24=2,90+Inputs!$B$26+Inputs!$B$29,IF(Skills!C24=3,120+Inputs!$B$27+Inputs!$B$29,MAX(0,(Inputs!$B$3-100)*3)+Inputs!$B$28+Inputs!$B$29)))</f>
        <v/>
      </c>
      <c r="E3091">
        <f>INDEX(FactorTable!$B$2:$Y$301, MATCH(ROUND(MIN(300,MAX(1,D3091)),0), FactorTable!$A$2:$A$301,0), Skills!M24+1)</f>
        <v/>
      </c>
      <c r="F3091">
        <f>IF(Skills!N24=TRUE,(Skills!L24/10)*(E3091/1000),Skills!L24/10)+Skills!O24</f>
        <v/>
      </c>
      <c r="G3091">
        <f>Skills!G24*IF(Skills!H24&gt;0,Skills!I24/Skills!H24,1)</f>
        <v/>
      </c>
      <c r="H3091">
        <f>1-(1-Skills!J24/100)^Skills!K24</f>
        <v/>
      </c>
      <c r="I3091" t="inlineStr">
        <is>
          <t>1</t>
        </is>
      </c>
      <c r="J3091" t="inlineStr"/>
      <c r="K3091" t="inlineStr"/>
      <c r="L3091" t="inlineStr"/>
      <c r="M3091" t="inlineStr"/>
      <c r="N3091" t="inlineStr"/>
      <c r="O3091">
        <f>(1-Summary!$B$11)*T3091+Summary!$B$11*V3091</f>
        <v/>
      </c>
      <c r="P3091">
        <f>IF(B3106=0,0,O3091/B3106)</f>
        <v/>
      </c>
      <c r="Q3091" t="n">
        <v>0</v>
      </c>
      <c r="R3091" t="n">
        <v>0</v>
      </c>
      <c r="S3091">
        <f>IFERROR(O3091/N3091,0)</f>
        <v/>
      </c>
      <c r="T3091" t="n">
        <v>0</v>
      </c>
      <c r="V3091" t="n">
        <v>0</v>
      </c>
    </row>
    <row r="3092">
      <c r="A3092">
        <f>Skills!A25</f>
        <v/>
      </c>
      <c r="B3092">
        <f>Skills!B25</f>
        <v/>
      </c>
      <c r="C3092">
        <f>Inputs!$B$3&gt;=125</f>
        <v/>
      </c>
      <c r="D3092">
        <f>IF(Skills!C25=1,60+Inputs!$B$25+Inputs!$B$29,IF(Skills!C25=2,90+Inputs!$B$26+Inputs!$B$29,IF(Skills!C25=3,120+Inputs!$B$27+Inputs!$B$29,MAX(0,(Inputs!$B$3-100)*3)+Inputs!$B$28+Inputs!$B$29)))</f>
        <v/>
      </c>
      <c r="E3092">
        <f>INDEX(FactorTable!$B$2:$Y$301, MATCH(ROUND(MIN(300,MAX(1,D3092)),0), FactorTable!$A$2:$A$301,0), Skills!M25+1)</f>
        <v/>
      </c>
      <c r="F3092">
        <f>IF(Skills!N25=TRUE,(Skills!L25/10)*(E3092/1000),Skills!L25/10)+Skills!O25</f>
        <v/>
      </c>
      <c r="G3092">
        <f>Skills!G25*IF(Skills!H25&gt;0,Skills!I25/Skills!H25,1)</f>
        <v/>
      </c>
      <c r="H3092">
        <f>1-(1-Skills!J25/100)^Skills!K25</f>
        <v/>
      </c>
      <c r="I3092" t="inlineStr">
        <is>
          <t>1</t>
        </is>
      </c>
      <c r="J3092" t="inlineStr"/>
      <c r="K3092" t="inlineStr"/>
      <c r="L3092" t="inlineStr"/>
      <c r="M3092" t="inlineStr"/>
      <c r="N3092" t="inlineStr"/>
      <c r="O3092">
        <f>(1-Summary!$B$11)*T3092+Summary!$B$11*V3092</f>
        <v/>
      </c>
      <c r="P3092">
        <f>IF(B3106=0,0,O3092/B3106)</f>
        <v/>
      </c>
      <c r="Q3092" t="n">
        <v>0</v>
      </c>
      <c r="R3092" t="n">
        <v>0</v>
      </c>
      <c r="S3092">
        <f>IFERROR(O3092/N3092,0)</f>
        <v/>
      </c>
      <c r="T3092" t="n">
        <v>0</v>
      </c>
      <c r="V3092" t="n">
        <v>0</v>
      </c>
    </row>
    <row r="3093">
      <c r="A3093">
        <f>Skills!A26</f>
        <v/>
      </c>
      <c r="B3093">
        <f>Skills!B26</f>
        <v/>
      </c>
      <c r="C3093">
        <f>Inputs!$B$3&gt;=72</f>
        <v/>
      </c>
      <c r="D3093">
        <f>IF(Skills!C26=1,60+Inputs!$B$25+Inputs!$B$29,IF(Skills!C26=2,90+Inputs!$B$26+Inputs!$B$29,IF(Skills!C26=3,120+Inputs!$B$27+Inputs!$B$29,MAX(0,(Inputs!$B$3-100)*3)+Inputs!$B$28+Inputs!$B$29)))</f>
        <v/>
      </c>
      <c r="E3093">
        <f>INDEX(FactorTable!$B$2:$Y$301, MATCH(ROUND(MIN(300,MAX(1,D3093)),0), FactorTable!$A$2:$A$301,0), Skills!M26+1)</f>
        <v/>
      </c>
      <c r="F3093">
        <f>IF(Skills!N26=TRUE,(Skills!L26/10)*(E3093/1000),Skills!L26/10)+Skills!O26</f>
        <v/>
      </c>
      <c r="G3093">
        <f>Skills!G26*IF(Skills!H26&gt;0,Skills!I26/Skills!H26,1)</f>
        <v/>
      </c>
      <c r="H3093">
        <f>1-(1-Skills!J26/100)^Skills!K26</f>
        <v/>
      </c>
      <c r="I3093" t="inlineStr">
        <is>
          <t>1</t>
        </is>
      </c>
      <c r="J3093" t="inlineStr"/>
      <c r="K3093" t="inlineStr"/>
      <c r="L3093" t="inlineStr"/>
      <c r="M3093" t="inlineStr"/>
      <c r="N3093" t="inlineStr"/>
      <c r="O3093">
        <f>(1-Summary!$B$11)*T3093+Summary!$B$11*V3093</f>
        <v/>
      </c>
      <c r="P3093">
        <f>IF(B3106=0,0,O3093/B3106)</f>
        <v/>
      </c>
      <c r="Q3093" t="n">
        <v>0</v>
      </c>
      <c r="R3093" t="n">
        <v>0</v>
      </c>
      <c r="S3093">
        <f>IFERROR(O3093/N3093,0)</f>
        <v/>
      </c>
      <c r="T3093" t="n">
        <v>0</v>
      </c>
      <c r="V3093" t="n">
        <v>0</v>
      </c>
    </row>
    <row r="3095">
      <c r="A3095" t="inlineStr">
        <is>
          <t>Attack% Bucket Multiplier</t>
        </is>
      </c>
      <c r="B3095">
        <f>(1+(((C3080=TRUE)*F3080*IF(Inputs!$B$3&gt;=110,7,5))+((C3082=TRUE)*F3082*IF(AND(Inputs!$B$38&lt;&gt;"pvp",Inputs!$B$43&gt;0),(((R3082-1)*(Skills!T15*(1+(Inputs!$B$34+(ArtifactsInput!$M$7-ArtifactsInput!$M$7)*CHOOSE(ArtifactsInput!$N$7+1,6,7.2,8.4,9.6,10.8,12))/100))+MIN((Skills!T15*(1+(Inputs!$B$34+(ArtifactsInput!$M$7-ArtifactsInput!$M$7)*CHOOSE(ArtifactsInput!$N$7+1,6,7.2,8.4,9.6,10.8,12))/100)),MAX(0,Inputs!$B$43-((R3082-1)*Skills!D15))))/Inputs!$B$43),IF(Inputs!$B$38="pvp",MIN((Skills!T15*(1+(Inputs!$B$34+(ArtifactsInput!$M$7-ArtifactsInput!$M$7)*CHOOSE(ArtifactsInput!$N$7+1,6,7.2,8.4,9.6,10.8,12))/100)),15)/15,(Skills!T15*(1+(Inputs!$B$34+(ArtifactsInput!$M$7-ArtifactsInput!$M$7)*CHOOSE(ArtifactsInput!$N$7+1,6,7.2,8.4,9.6,10.8,12))/100))/Skills!D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096">
      <c r="A3096" t="inlineStr">
        <is>
          <t>Global Crit Rate Bonus %</t>
        </is>
      </c>
      <c r="B3096" t="n">
        <v>0</v>
      </c>
    </row>
    <row r="3097">
      <c r="A3097" t="inlineStr">
        <is>
          <t>Attack Speed Buff Bonus %</t>
        </is>
      </c>
      <c r="B3097">
        <f>((C3086=TRUE)*F3086*IF(AND(Inputs!$B$38&lt;&gt;"pvp",Inputs!$B$43&gt;0),(((R3086-1)*(Skills!T19*(1+(Inputs!$B$34+(ArtifactsInput!$M$7-ArtifactsInput!$M$7)*CHOOSE(ArtifactsInput!$N$7+1,6,7.2,8.4,9.6,10.8,12))/100))+MIN((Skills!T19*(1+(Inputs!$B$34+(ArtifactsInput!$M$7-ArtifactsInput!$M$7)*CHOOSE(ArtifactsInput!$N$7+1,6,7.2,8.4,9.6,10.8,12))/100)),MAX(0,Inputs!$B$43-((R3086-1)*Skills!D19))))/Inputs!$B$43),IF(Inputs!$B$38="pvp",MIN((Skills!T19*(1+(Inputs!$B$34+(ArtifactsInput!$M$7-ArtifactsInput!$M$7)*CHOOSE(ArtifactsInput!$N$7+1,6,7.2,8.4,9.6,10.8,12))/100)),15)/15,(Skills!T19*(1+(Inputs!$B$34+(ArtifactsInput!$M$7-ArtifactsInput!$M$7)*CHOOSE(ArtifactsInput!$N$7+1,6,7.2,8.4,9.6,10.8,12))/100))/Skills!D19)))</f>
        <v/>
      </c>
    </row>
    <row r="3098">
      <c r="A3098" t="inlineStr">
        <is>
          <t>Actions Per Second</t>
        </is>
      </c>
      <c r="B3098">
        <f>1+MIN(150,150*(1-(1-(Inputs!$B$11+((C3087=TRUE)*(F3087-Calc!F20)))/150)*(1-B3097/150)))/100</f>
        <v/>
      </c>
    </row>
    <row r="3099">
      <c r="A3099" t="inlineStr">
        <is>
          <t>Skill + Buff Cast Rate</t>
        </is>
      </c>
      <c r="B3099">
        <f>IF(AND(Inputs!$B$38&lt;&gt;"pvp",Inputs!$B$43&gt;0),SUMPRODUCT((Skills!E2:E26=TRUE)*(C3069:C3093=TRUE)*R3069:R3093*Skills!F2:F26)/Inputs!$B$43,SUMPRODUCT((Skills!E2:E26=TRUE)*(C3069:C3093=TRUE)*Q3069:Q3093*Skills!F2:F26))</f>
        <v/>
      </c>
    </row>
    <row r="3100">
      <c r="A3100" t="inlineStr">
        <is>
          <t>Raging Blow Casts Per Second</t>
        </is>
      </c>
      <c r="B3100">
        <f>MAX(0,B3098-B3099)</f>
        <v/>
      </c>
    </row>
    <row r="3101">
      <c r="A3101" t="inlineStr">
        <is>
          <t>Global Critical Damage Bonus % (Enrage)</t>
        </is>
      </c>
      <c r="B3101">
        <f>((C3085=TRUE)*F3085*IF(AND(Inputs!$B$38&lt;&gt;"pvp",Inputs!$B$43&gt;0),(((R3085-1)*(Skills!T18*(1+(Inputs!$B$34+(ArtifactsInput!$M$7-ArtifactsInput!$M$7)*CHOOSE(ArtifactsInput!$N$7+1,6,7.2,8.4,9.6,10.8,12))/100))+MIN((Skills!T18*(1+(Inputs!$B$34+(ArtifactsInput!$M$7-ArtifactsInput!$M$7)*CHOOSE(ArtifactsInput!$N$7+1,6,7.2,8.4,9.6,10.8,12))/100)),MAX(0,Inputs!$B$43-((R3085-1)*Skills!D18))))/Inputs!$B$43),IF(Inputs!$B$38="pvp",MIN((Skills!T18*(1+(Inputs!$B$34+(ArtifactsInput!$M$7-ArtifactsInput!$M$7)*CHOOSE(ArtifactsInput!$N$7+1,6,7.2,8.4,9.6,10.8,12))/100)),15)/15,(Skills!T18*(1+(Inputs!$B$34+(ArtifactsInput!$M$7-ArtifactsInput!$M$7)*CHOOSE(ArtifactsInput!$N$7+1,6,7.2,8.4,9.6,10.8,12))/100))/Skills!D18)))</f>
        <v/>
      </c>
    </row>
    <row r="3102">
      <c r="A3102" t="inlineStr">
        <is>
          <t>Global Final Damage Bonus % (Enrage + Combo Synergy)</t>
        </is>
      </c>
      <c r="B3102">
        <f>((C3084=TRUE)*F3084*IF(AND(Inputs!$B$38&lt;&gt;"pvp",Inputs!$B$43&gt;0),(((R3084-1)*(Skills!T17*(1+(Inputs!$B$34+(ArtifactsInput!$M$7-ArtifactsInput!$M$7)*CHOOSE(ArtifactsInput!$N$7+1,6,7.2,8.4,9.6,10.8,12))/100))+MIN((Skills!T17*(1+(Inputs!$B$34+(ArtifactsInput!$M$7-ArtifactsInput!$M$7)*CHOOSE(ArtifactsInput!$N$7+1,6,7.2,8.4,9.6,10.8,12))/100)),MAX(0,Inputs!$B$43-((R3084-1)*Skills!D17))))/Inputs!$B$43),IF(Inputs!$B$38="pvp",MIN((Skills!T17*(1+(Inputs!$B$34+(ArtifactsInput!$M$7-ArtifactsInput!$M$7)*CHOOSE(ArtifactsInput!$N$7+1,6,7.2,8.4,9.6,10.8,12))/100)),15)/15,(Skills!T17*(1+(Inputs!$B$34+(ArtifactsInput!$M$7-ArtifactsInput!$M$7)*CHOOSE(ArtifactsInput!$N$7+1,6,7.2,8.4,9.6,10.8,12))/100))/Skills!D17)))+((C3081=TRUE)*F3081*IF(Inputs!$B$3&gt;=110,7,5))</f>
        <v/>
      </c>
    </row>
    <row r="3103">
      <c r="A3103" t="inlineStr">
        <is>
          <t>Buff-Casting Startup Delay (s, fixed-duration only)</t>
        </is>
      </c>
      <c r="B3103">
        <f>IF(AND(Inputs!$B$38&lt;&gt;"pvp",Inputs!$B$43&gt;0),SUMPRODUCT((Skills!T2:T26&gt;0)*(Skills!E2:E26=TRUE)*(C3069:C3093=TRUE))/B3098,0)</f>
        <v/>
      </c>
    </row>
    <row r="3104">
      <c r="A3104" t="inlineStr">
        <is>
          <t>Boss-Only Total DPS (this block's swept value)</t>
        </is>
      </c>
      <c r="B3104">
        <f>SUM(T3069:T3093)</f>
        <v/>
      </c>
    </row>
    <row r="3105">
      <c r="A3105" t="inlineStr">
        <is>
          <t>Normal-Only Total DPS (this block's swept value)</t>
        </is>
      </c>
      <c r="B3105">
        <f>SUM(V3069:V3093)</f>
        <v/>
      </c>
    </row>
    <row r="3106">
      <c r="A3106" s="6" t="inlineStr">
        <is>
          <t>TOTAL DPS</t>
        </is>
      </c>
      <c r="B3106" s="6">
        <f>SUM(O3069:O3093)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Hero — Equipment Compare</t>
        </is>
      </c>
      <c r="Q1" t="inlineStr">
        <is>
          <t>Main Stat (flat)</t>
        </is>
      </c>
      <c r="R1">
        <f>Sensitivity!H5</f>
        <v/>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c r="R2">
        <f>Sensitivity!H6</f>
        <v/>
      </c>
    </row>
    <row r="3">
      <c r="Q3" t="inlineStr">
        <is>
          <t>Attack (flat)</t>
        </is>
      </c>
      <c r="R3">
        <f>Sensitivity!H26</f>
        <v/>
      </c>
    </row>
    <row r="4">
      <c r="B4" s="11" t="inlineStr">
        <is>
          <t>Current Equip</t>
        </is>
      </c>
      <c r="C4" s="12" t="n"/>
      <c r="D4" s="12" t="n"/>
      <c r="E4" s="12" t="n"/>
      <c r="F4" s="12" t="n"/>
      <c r="G4" s="12" t="n"/>
      <c r="I4" s="11" t="inlineStr">
        <is>
          <t>New Equip</t>
        </is>
      </c>
      <c r="J4" s="12" t="n"/>
      <c r="K4" s="12" t="n"/>
      <c r="L4" s="12" t="n"/>
      <c r="M4" s="12" t="n"/>
      <c r="N4" s="12" t="n"/>
      <c r="Q4" t="inlineStr">
        <is>
          <t>Min Damage %</t>
        </is>
      </c>
      <c r="R4">
        <f>Sensitivity!H13</f>
        <v/>
      </c>
    </row>
    <row r="5">
      <c r="A5" s="6" t="inlineStr">
        <is>
          <t>Attack (flat)</t>
        </is>
      </c>
      <c r="B5" s="8" t="inlineStr">
        <is>
          <t>Attack (flat)</t>
        </is>
      </c>
      <c r="C5" s="7" t="n">
        <v>0</v>
      </c>
      <c r="D5">
        <f>C5*Sensitivity!H26</f>
        <v/>
      </c>
      <c r="E5">
        <f>SUMIF($B$5:$B$10,B5,$D$5:$D$10)</f>
        <v/>
      </c>
      <c r="F5">
        <f>TRUE</f>
        <v/>
      </c>
      <c r="G5">
        <f>IF(NOT(F5),1,1+E5/Summary!$B$3)</f>
        <v/>
      </c>
      <c r="I5" s="8" t="inlineStr">
        <is>
          <t>Attack (flat)</t>
        </is>
      </c>
      <c r="J5" s="7" t="n">
        <v>0</v>
      </c>
      <c r="K5">
        <f>J5*Sensitivity!H26</f>
        <v/>
      </c>
      <c r="L5">
        <f>SUMIF($I$5:$I$10,I5,$K$5:$K$10)</f>
        <v/>
      </c>
      <c r="M5">
        <f>TRUE</f>
        <v/>
      </c>
      <c r="N5">
        <f>IF(NOT(M5),1,1+L5/Summary!$B$3)</f>
        <v/>
      </c>
      <c r="Q5" t="inlineStr">
        <is>
          <t>Max Damage %</t>
        </is>
      </c>
      <c r="R5">
        <f>Sensitivity!H14</f>
        <v/>
      </c>
    </row>
    <row r="6">
      <c r="A6" s="6" t="inlineStr">
        <is>
          <t>Line 2</t>
        </is>
      </c>
      <c r="B6" s="7" t="inlineStr">
        <is>
          <t>(none)</t>
        </is>
      </c>
      <c r="C6" s="7" t="n">
        <v>0</v>
      </c>
      <c r="D6">
        <f>IF(B6="(none)",0,C6*(INDEX($R$1:$R$21,MATCH(B6,$Q$1:$Q$21,0))))</f>
        <v/>
      </c>
      <c r="E6">
        <f>SUMIF($B$5:$B$10,B6,$D$5:$D$10)</f>
        <v/>
      </c>
      <c r="F6">
        <f>AND(B6&lt;&gt;"(none)",COUNTIF($B$5:B5,B6)=0)</f>
        <v/>
      </c>
      <c r="G6">
        <f>IF(NOT(F6),1,1+E6/Summary!$B$3)</f>
        <v/>
      </c>
      <c r="I6" s="7" t="inlineStr">
        <is>
          <t>(none)</t>
        </is>
      </c>
      <c r="J6" s="7" t="n">
        <v>0</v>
      </c>
      <c r="K6">
        <f>IF(I6="(none)",0,J6*(INDEX($R$1:$R$21,MATCH(I6,$Q$1:$Q$21,0))))</f>
        <v/>
      </c>
      <c r="L6">
        <f>SUMIF($I$5:$I$10,I6,$K$5:$K$10)</f>
        <v/>
      </c>
      <c r="M6">
        <f>AND(I6&lt;&gt;"(none)",COUNTIF($I$5:I5,I6)=0)</f>
        <v/>
      </c>
      <c r="N6">
        <f>IF(NOT(M6),1,1+L6/Summary!$B$3)</f>
        <v/>
      </c>
      <c r="Q6" t="inlineStr">
        <is>
          <t>Damage %</t>
        </is>
      </c>
      <c r="R6">
        <f>Sensitivity!H8</f>
        <v/>
      </c>
    </row>
    <row r="7">
      <c r="A7" s="6" t="inlineStr">
        <is>
          <t>Line 3</t>
        </is>
      </c>
      <c r="B7" s="7" t="inlineStr">
        <is>
          <t>(none)</t>
        </is>
      </c>
      <c r="C7" s="7" t="n">
        <v>0</v>
      </c>
      <c r="D7">
        <f>IF(B7="(none)",0,C7*(INDEX($R$1:$R$21,MATCH(B7,$Q$1:$Q$21,0))))</f>
        <v/>
      </c>
      <c r="E7">
        <f>SUMIF($B$5:$B$10,B7,$D$5:$D$10)</f>
        <v/>
      </c>
      <c r="F7">
        <f>AND(B7&lt;&gt;"(none)",COUNTIF($B$5:B6,B7)=0)</f>
        <v/>
      </c>
      <c r="G7">
        <f>IF(NOT(F7),1,1+E7/Summary!$B$3)</f>
        <v/>
      </c>
      <c r="I7" s="7" t="inlineStr">
        <is>
          <t>(none)</t>
        </is>
      </c>
      <c r="J7" s="7" t="n">
        <v>0</v>
      </c>
      <c r="K7">
        <f>IF(I7="(none)",0,J7*(INDEX($R$1:$R$21,MATCH(I7,$Q$1:$Q$21,0))))</f>
        <v/>
      </c>
      <c r="L7">
        <f>SUMIF($I$5:$I$10,I7,$K$5:$K$10)</f>
        <v/>
      </c>
      <c r="M7">
        <f>AND(I7&lt;&gt;"(none)",COUNTIF($I$5:I6,I7)=0)</f>
        <v/>
      </c>
      <c r="N7">
        <f>IF(NOT(M7),1,1+L7/Summary!$B$3)</f>
        <v/>
      </c>
      <c r="Q7" t="inlineStr">
        <is>
          <t>Critical Rate %</t>
        </is>
      </c>
      <c r="R7">
        <f>IF(Inputs!$B$9+Summary!$B$14+Artifacts!$B$32&gt;=100,Sensitivity!H16,Sensitivity!H15)</f>
        <v/>
      </c>
    </row>
    <row r="8">
      <c r="A8" s="6" t="inlineStr">
        <is>
          <t>Line 4</t>
        </is>
      </c>
      <c r="B8" s="7" t="inlineStr">
        <is>
          <t>(none)</t>
        </is>
      </c>
      <c r="C8" s="7" t="n">
        <v>0</v>
      </c>
      <c r="D8">
        <f>IF(B8="(none)",0,C8*(INDEX($R$1:$R$21,MATCH(B8,$Q$1:$Q$21,0))))</f>
        <v/>
      </c>
      <c r="E8">
        <f>SUMIF($B$5:$B$10,B8,$D$5:$D$10)</f>
        <v/>
      </c>
      <c r="F8">
        <f>AND(B8&lt;&gt;"(none)",COUNTIF($B$5:B7,B8)=0)</f>
        <v/>
      </c>
      <c r="G8">
        <f>IF(NOT(F8),1,1+E8/Summary!$B$3)</f>
        <v/>
      </c>
      <c r="I8" s="7" t="inlineStr">
        <is>
          <t>(none)</t>
        </is>
      </c>
      <c r="J8" s="7" t="n">
        <v>0</v>
      </c>
      <c r="K8">
        <f>IF(I8="(none)",0,J8*(INDEX($R$1:$R$21,MATCH(I8,$Q$1:$Q$21,0))))</f>
        <v/>
      </c>
      <c r="L8">
        <f>SUMIF($I$5:$I$10,I8,$K$5:$K$10)</f>
        <v/>
      </c>
      <c r="M8">
        <f>AND(I8&lt;&gt;"(none)",COUNTIF($I$5:I7,I8)=0)</f>
        <v/>
      </c>
      <c r="N8">
        <f>IF(NOT(M8),1,1+L8/Summary!$B$3)</f>
        <v/>
      </c>
      <c r="Q8" t="inlineStr">
        <is>
          <t>Critical Damage %</t>
        </is>
      </c>
      <c r="R8">
        <f>Sensitivity!H16</f>
        <v/>
      </c>
    </row>
    <row r="9">
      <c r="A9" s="6" t="inlineStr">
        <is>
          <t>Line 5</t>
        </is>
      </c>
      <c r="B9" s="7" t="inlineStr">
        <is>
          <t>(none)</t>
        </is>
      </c>
      <c r="C9" s="7" t="n">
        <v>0</v>
      </c>
      <c r="D9">
        <f>IF(B9="(none)",0,C9*(INDEX($R$1:$R$21,MATCH(B9,$Q$1:$Q$21,0))))</f>
        <v/>
      </c>
      <c r="E9">
        <f>SUMIF($B$5:$B$10,B9,$D$5:$D$10)</f>
        <v/>
      </c>
      <c r="F9">
        <f>AND(B9&lt;&gt;"(none)",COUNTIF($B$5:B8,B9)=0)</f>
        <v/>
      </c>
      <c r="G9">
        <f>IF(NOT(F9),1,1+E9/Summary!$B$3)</f>
        <v/>
      </c>
      <c r="I9" s="7" t="inlineStr">
        <is>
          <t>(none)</t>
        </is>
      </c>
      <c r="J9" s="7" t="n">
        <v>0</v>
      </c>
      <c r="K9">
        <f>IF(I9="(none)",0,J9*(INDEX($R$1:$R$21,MATCH(I9,$Q$1:$Q$21,0))))</f>
        <v/>
      </c>
      <c r="L9">
        <f>SUMIF($I$5:$I$10,I9,$K$5:$K$10)</f>
        <v/>
      </c>
      <c r="M9">
        <f>AND(I9&lt;&gt;"(none)",COUNTIF($I$5:I8,I9)=0)</f>
        <v/>
      </c>
      <c r="N9">
        <f>IF(NOT(M9),1,1+L9/Summary!$B$3)</f>
        <v/>
      </c>
      <c r="Q9" t="inlineStr">
        <is>
          <t>Boss Monster Damage %</t>
        </is>
      </c>
      <c r="R9">
        <f>Sensitivity!H10</f>
        <v/>
      </c>
    </row>
    <row r="10">
      <c r="A10" s="6" t="inlineStr">
        <is>
          <t>Line 6</t>
        </is>
      </c>
      <c r="B10" s="7" t="inlineStr">
        <is>
          <t>(none)</t>
        </is>
      </c>
      <c r="C10" s="7" t="n">
        <v>0</v>
      </c>
      <c r="D10">
        <f>IF(B10="(none)",0,C10*(INDEX($R$1:$R$21,MATCH(B10,$Q$1:$Q$21,0))))</f>
        <v/>
      </c>
      <c r="E10">
        <f>SUMIF($B$5:$B$10,B10,$D$5:$D$10)</f>
        <v/>
      </c>
      <c r="F10">
        <f>AND(B10&lt;&gt;"(none)",COUNTIF($B$5:B9,B10)=0)</f>
        <v/>
      </c>
      <c r="G10">
        <f>IF(NOT(F10),1,1+E10/Summary!$B$3)</f>
        <v/>
      </c>
      <c r="I10" s="7" t="inlineStr">
        <is>
          <t>(none)</t>
        </is>
      </c>
      <c r="J10" s="7" t="n">
        <v>0</v>
      </c>
      <c r="K10">
        <f>IF(I10="(none)",0,J10*(INDEX($R$1:$R$21,MATCH(I10,$Q$1:$Q$21,0))))</f>
        <v/>
      </c>
      <c r="L10">
        <f>SUMIF($I$5:$I$10,I10,$K$5:$K$10)</f>
        <v/>
      </c>
      <c r="M10">
        <f>AND(I10&lt;&gt;"(none)",COUNTIF($I$5:I9,I10)=0)</f>
        <v/>
      </c>
      <c r="N10">
        <f>IF(NOT(M10),1,1+L10/Summary!$B$3)</f>
        <v/>
      </c>
      <c r="Q10" t="inlineStr">
        <is>
          <t>Normal Monster Damage %</t>
        </is>
      </c>
      <c r="R10">
        <f>Sensitivity!H11</f>
        <v/>
      </c>
    </row>
    <row r="11">
      <c r="Q11" t="inlineStr">
        <is>
          <t>Defense Penetration %</t>
        </is>
      </c>
      <c r="R11">
        <f>Sensitivity!H18</f>
        <v/>
      </c>
    </row>
    <row r="12">
      <c r="A12" s="6" t="inlineStr">
        <is>
          <t>Total DPS Gain</t>
        </is>
      </c>
      <c r="D12">
        <f>Summary!$B$3*(PRODUCT($G$5:$G$10)-1)</f>
        <v/>
      </c>
      <c r="K12">
        <f>Summary!$B$3*(PRODUCT($N$5:$N$10)-1)</f>
        <v/>
      </c>
      <c r="Q12" t="inlineStr">
        <is>
          <t>Defense (flat)</t>
        </is>
      </c>
      <c r="R12">
        <f>0</f>
        <v/>
      </c>
    </row>
    <row r="13">
      <c r="A13" s="6" t="inlineStr">
        <is>
          <t>% of Total DPS</t>
        </is>
      </c>
      <c r="D13" s="13">
        <f>D12/Summary!$B$3*100</f>
        <v/>
      </c>
      <c r="K13" s="13">
        <f>K12/Summary!$B$3*100</f>
        <v/>
      </c>
      <c r="Q13" t="inlineStr">
        <is>
          <t>Skill Level Bonus — 1st Job</t>
        </is>
      </c>
      <c r="R13">
        <f>Sensitivity!H21</f>
        <v/>
      </c>
    </row>
    <row r="14">
      <c r="Q14" t="inlineStr">
        <is>
          <t>Skill Level Bonus — 2nd Job</t>
        </is>
      </c>
      <c r="R14">
        <f>Sensitivity!H22</f>
        <v/>
      </c>
    </row>
    <row r="15">
      <c r="A15" s="9" t="inlineStr">
        <is>
          <t>New vs Current — DPS % Delta</t>
        </is>
      </c>
      <c r="D15" s="14">
        <f>K13-D13</f>
        <v/>
      </c>
      <c r="Q15" t="inlineStr">
        <is>
          <t>Skill Level Bonus — 3rd Job</t>
        </is>
      </c>
      <c r="R15">
        <f>Sensitivity!H23</f>
        <v/>
      </c>
    </row>
    <row r="16">
      <c r="Q16" t="inlineStr">
        <is>
          <t>Skill Level Bonus — 4th Job</t>
        </is>
      </c>
      <c r="R16">
        <f>Sensitivity!H24</f>
        <v/>
      </c>
    </row>
    <row r="17">
      <c r="Q17" t="inlineStr">
        <is>
          <t>Skill Level Bonus — All Skills</t>
        </is>
      </c>
      <c r="R17">
        <f>Sensitivity!H25</f>
        <v/>
      </c>
    </row>
    <row r="18">
      <c r="Q18" t="inlineStr">
        <is>
          <t>Final Damage %</t>
        </is>
      </c>
      <c r="R18">
        <f>Sensitivity!H12</f>
        <v/>
      </c>
    </row>
    <row r="19">
      <c r="Q19" t="inlineStr">
        <is>
          <t>Basic Attack Damage %</t>
        </is>
      </c>
      <c r="R19">
        <f>Sensitivity!H19</f>
        <v/>
      </c>
    </row>
    <row r="20">
      <c r="Q20" t="inlineStr">
        <is>
          <t>Skill Damage %</t>
        </is>
      </c>
      <c r="R20">
        <f>Sensitivity!H20</f>
        <v/>
      </c>
    </row>
    <row r="21">
      <c r="Q21" t="inlineStr">
        <is>
          <t>Attack Speed %</t>
        </is>
      </c>
      <c r="R21">
        <f>Sensitivity!H17</f>
        <v/>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Q1" s="11" t="inlineStr">
        <is>
          <t>SlotList</t>
        </is>
      </c>
    </row>
    <row r="2">
      <c r="A2" t="inlineStr">
        <is>
          <t>ALL</t>
        </is>
      </c>
      <c r="B2" t="inlineStr">
        <is>
          <t>normal</t>
        </is>
      </c>
      <c r="C2" t="n">
        <v>1</v>
      </c>
      <c r="D2" t="inlineStr">
        <is>
          <t>Critical Rate %</t>
        </is>
      </c>
      <c r="E2" t="n">
        <v>3</v>
      </c>
      <c r="F2" t="n">
        <v>2.5</v>
      </c>
      <c r="G2" t="b">
        <v>0</v>
      </c>
      <c r="H2">
        <f>IF(Inputs!$B$9+Summary!$B$14+Artifacts!$B$32&gt;=100,Sensitivity!H16,Sensitivity!H15)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f>Sensitivity!H7</f>
        <v/>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IF(Inputs!$B$9+Summary!$B$14+Artifacts!$B$32&gt;=100,Sensitivity!H16,Sensitivity!H15)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Sensitivity!H7</f>
        <v/>
      </c>
      <c r="Q14" t="inlineStr">
        <is>
          <t>face</t>
        </is>
      </c>
    </row>
    <row r="15">
      <c r="A15" t="inlineStr">
        <is>
          <t>ALL</t>
        </is>
      </c>
      <c r="B15" t="inlineStr">
        <is>
          <t>normal</t>
        </is>
      </c>
      <c r="C15" t="n">
        <v>1</v>
      </c>
      <c r="D15" t="inlineStr">
        <is>
          <t>Dex</t>
        </is>
      </c>
      <c r="E15" t="n">
        <v>50</v>
      </c>
      <c r="F15" t="n">
        <v>9.5</v>
      </c>
      <c r="G15" t="b">
        <v>0</v>
      </c>
      <c r="H15">
        <f>Sensitivity!H7</f>
        <v/>
      </c>
      <c r="J15" t="inlineStr">
        <is>
          <t>Dex %</t>
        </is>
      </c>
      <c r="K15">
        <f>Sensitivity!H7</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IF(Inputs!$B$9+Summary!$B$14+Artifacts!$B$32&gt;=100,Sensitivity!H16,Sensitivity!H15)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Sensitivity!H7</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Sensitivity!H7</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IF(Inputs!$B$9+Summary!$B$14+Artifacts!$B$32&gt;=100,Sensitivity!H16,Sensitivity!H15)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Sensitivity!H7</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Sensitivity!H7</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IF(Inputs!$B$9+Summary!$B$14+Artifacts!$B$32&gt;=100,Sensitivity!H16,Sensitivity!H15)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Sensitivity!H7</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Sensitivity!H7</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IF(Inputs!$B$9+Summary!$B$14+Artifacts!$B$32&gt;=100,Sensitivity!H16,Sensitivity!H15)</f>
        <v/>
      </c>
    </row>
    <row r="67">
      <c r="A67" t="inlineStr">
        <is>
          <t>ALL</t>
        </is>
      </c>
      <c r="B67" t="inlineStr">
        <is>
          <t>rare</t>
        </is>
      </c>
      <c r="C67" t="n">
        <v>2</v>
      </c>
      <c r="D67" t="inlineStr">
        <is>
          <t>Critical Rate %</t>
        </is>
      </c>
      <c r="E67" t="n">
        <v>4.5</v>
      </c>
      <c r="F67" t="n">
        <v>0.6</v>
      </c>
      <c r="G67" t="b">
        <v>1</v>
      </c>
      <c r="H67">
        <f>IF(Inputs!$B$9+Summary!$B$14+Artifacts!$B$32&gt;=100,Sensitivity!H16,Sensitivity!H15)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Sensitivity!H7</f>
        <v/>
      </c>
    </row>
    <row r="79">
      <c r="A79" t="inlineStr">
        <is>
          <t>ALL</t>
        </is>
      </c>
      <c r="B79" t="inlineStr">
        <is>
          <t>rare</t>
        </is>
      </c>
      <c r="C79" t="n">
        <v>2</v>
      </c>
      <c r="D79" t="inlineStr">
        <is>
          <t>Dex %</t>
        </is>
      </c>
      <c r="E79" t="n">
        <v>4.5</v>
      </c>
      <c r="F79" t="n">
        <v>1.08</v>
      </c>
      <c r="G79" t="b">
        <v>1</v>
      </c>
      <c r="H79">
        <f>Sensitivity!H7</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Sensitivity!H7</f>
        <v/>
      </c>
    </row>
    <row r="93">
      <c r="A93" t="inlineStr">
        <is>
          <t>ALL</t>
        </is>
      </c>
      <c r="B93" t="inlineStr">
        <is>
          <t>rare</t>
        </is>
      </c>
      <c r="C93" t="n">
        <v>2</v>
      </c>
      <c r="D93" t="inlineStr">
        <is>
          <t>Dex</t>
        </is>
      </c>
      <c r="E93" t="n">
        <v>100</v>
      </c>
      <c r="F93" t="n">
        <v>2.28</v>
      </c>
      <c r="G93" t="b">
        <v>1</v>
      </c>
      <c r="H93">
        <f>Sensitivity!H7</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IF(Inputs!$B$9+Summary!$B$14+Artifacts!$B$32&gt;=100,Sensitivity!H16,Sensitivity!H15)</f>
        <v/>
      </c>
    </row>
    <row r="99">
      <c r="A99" t="inlineStr">
        <is>
          <t>ALL</t>
        </is>
      </c>
      <c r="B99" t="inlineStr">
        <is>
          <t>rare</t>
        </is>
      </c>
      <c r="C99" t="n">
        <v>3</v>
      </c>
      <c r="D99" t="inlineStr">
        <is>
          <t>Critical Rate %</t>
        </is>
      </c>
      <c r="E99" t="n">
        <v>4.5</v>
      </c>
      <c r="F99" t="n">
        <v>0.2</v>
      </c>
      <c r="G99" t="b">
        <v>1</v>
      </c>
      <c r="H99">
        <f>IF(Inputs!$B$9+Summary!$B$14+Artifacts!$B$32&gt;=100,Sensitivity!H16,Sensitivity!H15)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Sensitivity!H7</f>
        <v/>
      </c>
    </row>
    <row r="111">
      <c r="A111" t="inlineStr">
        <is>
          <t>ALL</t>
        </is>
      </c>
      <c r="B111" t="inlineStr">
        <is>
          <t>rare</t>
        </is>
      </c>
      <c r="C111" t="n">
        <v>3</v>
      </c>
      <c r="D111" t="inlineStr">
        <is>
          <t>Dex %</t>
        </is>
      </c>
      <c r="E111" t="n">
        <v>4.5</v>
      </c>
      <c r="F111" t="n">
        <v>0.36</v>
      </c>
      <c r="G111" t="b">
        <v>1</v>
      </c>
      <c r="H111">
        <f>Sensitivity!H7</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Sensitivity!H7</f>
        <v/>
      </c>
    </row>
    <row r="125">
      <c r="A125" t="inlineStr">
        <is>
          <t>ALL</t>
        </is>
      </c>
      <c r="B125" t="inlineStr">
        <is>
          <t>rare</t>
        </is>
      </c>
      <c r="C125" t="n">
        <v>3</v>
      </c>
      <c r="D125" t="inlineStr">
        <is>
          <t>Dex</t>
        </is>
      </c>
      <c r="E125" t="n">
        <v>100</v>
      </c>
      <c r="F125" t="n">
        <v>0.76</v>
      </c>
      <c r="G125" t="b">
        <v>1</v>
      </c>
      <c r="H125">
        <f>Sensitivity!H7</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IF(Inputs!$B$9+Summary!$B$14+Artifacts!$B$32&gt;=100,Sensitivity!H16,Sensitivity!H15)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Sensitivity!H7</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Sensitivity!H7</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IF(Inputs!$B$9+Summary!$B$14+Artifacts!$B$32&gt;=100,Sensitivity!H16,Sensitivity!H15)</f>
        <v/>
      </c>
    </row>
    <row r="147">
      <c r="A147" t="inlineStr">
        <is>
          <t>ALL</t>
        </is>
      </c>
      <c r="B147" t="inlineStr">
        <is>
          <t>epic</t>
        </is>
      </c>
      <c r="C147" t="n">
        <v>2</v>
      </c>
      <c r="D147" t="inlineStr">
        <is>
          <t>Critical Rate %</t>
        </is>
      </c>
      <c r="E147" t="n">
        <v>6</v>
      </c>
      <c r="F147" t="n">
        <v>0.6</v>
      </c>
      <c r="G147" t="b">
        <v>1</v>
      </c>
      <c r="H147">
        <f>IF(Inputs!$B$9+Summary!$B$14+Artifacts!$B$32&gt;=100,Sensitivity!H16,Sensitivity!H15)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Sensitivity!H7</f>
        <v/>
      </c>
    </row>
    <row r="159">
      <c r="A159" t="inlineStr">
        <is>
          <t>ALL</t>
        </is>
      </c>
      <c r="B159" t="inlineStr">
        <is>
          <t>epic</t>
        </is>
      </c>
      <c r="C159" t="n">
        <v>2</v>
      </c>
      <c r="D159" t="inlineStr">
        <is>
          <t>Dex %</t>
        </is>
      </c>
      <c r="E159" t="n">
        <v>6</v>
      </c>
      <c r="F159" t="n">
        <v>1.08</v>
      </c>
      <c r="G159" t="b">
        <v>1</v>
      </c>
      <c r="H159">
        <f>Sensitivity!H7</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Sensitivity!H7</f>
        <v/>
      </c>
    </row>
    <row r="173">
      <c r="A173" t="inlineStr">
        <is>
          <t>ALL</t>
        </is>
      </c>
      <c r="B173" t="inlineStr">
        <is>
          <t>epic</t>
        </is>
      </c>
      <c r="C173" t="n">
        <v>2</v>
      </c>
      <c r="D173" t="inlineStr">
        <is>
          <t>Dex</t>
        </is>
      </c>
      <c r="E173" t="n">
        <v>200</v>
      </c>
      <c r="F173" t="n">
        <v>2.22</v>
      </c>
      <c r="G173" t="b">
        <v>1</v>
      </c>
      <c r="H173">
        <f>Sensitivity!H7</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IF(Inputs!$B$9+Summary!$B$14+Artifacts!$B$32&gt;=100,Sensitivity!H16,Sensitivity!H15)</f>
        <v/>
      </c>
    </row>
    <row r="179">
      <c r="A179" t="inlineStr">
        <is>
          <t>ALL</t>
        </is>
      </c>
      <c r="B179" t="inlineStr">
        <is>
          <t>epic</t>
        </is>
      </c>
      <c r="C179" t="n">
        <v>3</v>
      </c>
      <c r="D179" t="inlineStr">
        <is>
          <t>Critical Rate %</t>
        </is>
      </c>
      <c r="E179" t="n">
        <v>6</v>
      </c>
      <c r="F179" t="n">
        <v>0.2</v>
      </c>
      <c r="G179" t="b">
        <v>1</v>
      </c>
      <c r="H179">
        <f>IF(Inputs!$B$9+Summary!$B$14+Artifacts!$B$32&gt;=100,Sensitivity!H16,Sensitivity!H15)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Sensitivity!H7</f>
        <v/>
      </c>
    </row>
    <row r="191">
      <c r="A191" t="inlineStr">
        <is>
          <t>ALL</t>
        </is>
      </c>
      <c r="B191" t="inlineStr">
        <is>
          <t>epic</t>
        </is>
      </c>
      <c r="C191" t="n">
        <v>3</v>
      </c>
      <c r="D191" t="inlineStr">
        <is>
          <t>Dex %</t>
        </is>
      </c>
      <c r="E191" t="n">
        <v>6</v>
      </c>
      <c r="F191" t="n">
        <v>0.36</v>
      </c>
      <c r="G191" t="b">
        <v>1</v>
      </c>
      <c r="H191">
        <f>Sensitivity!H7</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Sensitivity!H7</f>
        <v/>
      </c>
    </row>
    <row r="205">
      <c r="A205" t="inlineStr">
        <is>
          <t>ALL</t>
        </is>
      </c>
      <c r="B205" t="inlineStr">
        <is>
          <t>epic</t>
        </is>
      </c>
      <c r="C205" t="n">
        <v>3</v>
      </c>
      <c r="D205" t="inlineStr">
        <is>
          <t>Dex</t>
        </is>
      </c>
      <c r="E205" t="n">
        <v>200</v>
      </c>
      <c r="F205" t="n">
        <v>0.74</v>
      </c>
      <c r="G205" t="b">
        <v>1</v>
      </c>
      <c r="H205">
        <f>Sensitivity!H7</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IF(Inputs!$B$9+Summary!$B$14+Artifacts!$B$32&gt;=100,Sensitivity!H16,Sensitivity!H15)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Sensitivity!H7</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Sensitivity!H7</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IF(Inputs!$B$9+Summary!$B$14+Artifacts!$B$32&gt;=100,Sensitivity!H16,Sensitivity!H15)</f>
        <v/>
      </c>
    </row>
    <row r="227">
      <c r="A227" t="inlineStr">
        <is>
          <t>ALL</t>
        </is>
      </c>
      <c r="B227" t="inlineStr">
        <is>
          <t>unique</t>
        </is>
      </c>
      <c r="C227" t="n">
        <v>2</v>
      </c>
      <c r="D227" t="inlineStr">
        <is>
          <t>Critical Rate %</t>
        </is>
      </c>
      <c r="E227" t="n">
        <v>9</v>
      </c>
      <c r="F227" t="n">
        <v>0.6</v>
      </c>
      <c r="G227" t="b">
        <v>1</v>
      </c>
      <c r="H227">
        <f>IF(Inputs!$B$9+Summary!$B$14+Artifacts!$B$32&gt;=100,Sensitivity!H16,Sensitivity!H15)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Sensitivity!H7</f>
        <v/>
      </c>
    </row>
    <row r="239">
      <c r="A239" t="inlineStr">
        <is>
          <t>ALL</t>
        </is>
      </c>
      <c r="B239" t="inlineStr">
        <is>
          <t>unique</t>
        </is>
      </c>
      <c r="C239" t="n">
        <v>2</v>
      </c>
      <c r="D239" t="inlineStr">
        <is>
          <t>Dex %</t>
        </is>
      </c>
      <c r="E239" t="n">
        <v>9</v>
      </c>
      <c r="F239" t="n">
        <v>1.08</v>
      </c>
      <c r="G239" t="b">
        <v>1</v>
      </c>
      <c r="H239">
        <f>Sensitivity!H7</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Sensitivity!H7</f>
        <v/>
      </c>
    </row>
    <row r="253">
      <c r="A253" t="inlineStr">
        <is>
          <t>ALL</t>
        </is>
      </c>
      <c r="B253" t="inlineStr">
        <is>
          <t>unique</t>
        </is>
      </c>
      <c r="C253" t="n">
        <v>2</v>
      </c>
      <c r="D253" t="inlineStr">
        <is>
          <t>Dex</t>
        </is>
      </c>
      <c r="E253" t="n">
        <v>400</v>
      </c>
      <c r="F253" t="n">
        <v>2.22</v>
      </c>
      <c r="G253" t="b">
        <v>1</v>
      </c>
      <c r="H253">
        <f>Sensitivity!H7</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IF(Inputs!$B$9+Summary!$B$14+Artifacts!$B$32&gt;=100,Sensitivity!H16,Sensitivity!H15)</f>
        <v/>
      </c>
    </row>
    <row r="259">
      <c r="A259" t="inlineStr">
        <is>
          <t>ALL</t>
        </is>
      </c>
      <c r="B259" t="inlineStr">
        <is>
          <t>unique</t>
        </is>
      </c>
      <c r="C259" t="n">
        <v>3</v>
      </c>
      <c r="D259" t="inlineStr">
        <is>
          <t>Critical Rate %</t>
        </is>
      </c>
      <c r="E259" t="n">
        <v>9</v>
      </c>
      <c r="F259" t="n">
        <v>0.2</v>
      </c>
      <c r="G259" t="b">
        <v>1</v>
      </c>
      <c r="H259">
        <f>IF(Inputs!$B$9+Summary!$B$14+Artifacts!$B$32&gt;=100,Sensitivity!H16,Sensitivity!H15)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Sensitivity!H7</f>
        <v/>
      </c>
    </row>
    <row r="271">
      <c r="A271" t="inlineStr">
        <is>
          <t>ALL</t>
        </is>
      </c>
      <c r="B271" t="inlineStr">
        <is>
          <t>unique</t>
        </is>
      </c>
      <c r="C271" t="n">
        <v>3</v>
      </c>
      <c r="D271" t="inlineStr">
        <is>
          <t>Dex %</t>
        </is>
      </c>
      <c r="E271" t="n">
        <v>9</v>
      </c>
      <c r="F271" t="n">
        <v>0.36</v>
      </c>
      <c r="G271" t="b">
        <v>1</v>
      </c>
      <c r="H271">
        <f>Sensitivity!H7</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Sensitivity!H7</f>
        <v/>
      </c>
    </row>
    <row r="285">
      <c r="A285" t="inlineStr">
        <is>
          <t>ALL</t>
        </is>
      </c>
      <c r="B285" t="inlineStr">
        <is>
          <t>unique</t>
        </is>
      </c>
      <c r="C285" t="n">
        <v>3</v>
      </c>
      <c r="D285" t="inlineStr">
        <is>
          <t>Dex</t>
        </is>
      </c>
      <c r="E285" t="n">
        <v>400</v>
      </c>
      <c r="F285" t="n">
        <v>0.74</v>
      </c>
      <c r="G285" t="b">
        <v>1</v>
      </c>
      <c r="H285">
        <f>Sensitivity!H7</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IF(Inputs!$B$9+Summary!$B$14+Artifacts!$B$32&gt;=100,Sensitivity!H16,Sensitivity!H15)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Sensitivity!H7</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Sensitivity!H7</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IF(Inputs!$B$9+Summary!$B$14+Artifacts!$B$32&gt;=100,Sensitivity!H16,Sensitivity!H15)</f>
        <v/>
      </c>
    </row>
    <row r="307">
      <c r="A307" t="inlineStr">
        <is>
          <t>ALL</t>
        </is>
      </c>
      <c r="B307" t="inlineStr">
        <is>
          <t>legendary</t>
        </is>
      </c>
      <c r="C307" t="n">
        <v>2</v>
      </c>
      <c r="D307" t="inlineStr">
        <is>
          <t>Critical Rate %</t>
        </is>
      </c>
      <c r="E307" t="n">
        <v>12</v>
      </c>
      <c r="F307" t="n">
        <v>0.6</v>
      </c>
      <c r="G307" t="b">
        <v>1</v>
      </c>
      <c r="H307">
        <f>IF(Inputs!$B$9+Summary!$B$14+Artifacts!$B$32&gt;=100,Sensitivity!H16,Sensitivity!H15)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Sensitivity!H7</f>
        <v/>
      </c>
    </row>
    <row r="319">
      <c r="A319" t="inlineStr">
        <is>
          <t>ALL</t>
        </is>
      </c>
      <c r="B319" t="inlineStr">
        <is>
          <t>legendary</t>
        </is>
      </c>
      <c r="C319" t="n">
        <v>2</v>
      </c>
      <c r="D319" t="inlineStr">
        <is>
          <t>Dex %</t>
        </is>
      </c>
      <c r="E319" t="n">
        <v>12</v>
      </c>
      <c r="F319" t="n">
        <v>1.08</v>
      </c>
      <c r="G319" t="b">
        <v>1</v>
      </c>
      <c r="H319">
        <f>Sensitivity!H7</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Sensitivity!H7</f>
        <v/>
      </c>
    </row>
    <row r="333">
      <c r="A333" t="inlineStr">
        <is>
          <t>ALL</t>
        </is>
      </c>
      <c r="B333" t="inlineStr">
        <is>
          <t>legendary</t>
        </is>
      </c>
      <c r="C333" t="n">
        <v>2</v>
      </c>
      <c r="D333" t="inlineStr">
        <is>
          <t>Dex</t>
        </is>
      </c>
      <c r="E333" t="n">
        <v>600</v>
      </c>
      <c r="F333" t="n">
        <v>2.22</v>
      </c>
      <c r="G333" t="b">
        <v>1</v>
      </c>
      <c r="H333">
        <f>Sensitivity!H7</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IF(Inputs!$B$9+Summary!$B$14+Artifacts!$B$32&gt;=100,Sensitivity!H16,Sensitivity!H15)</f>
        <v/>
      </c>
    </row>
    <row r="339">
      <c r="A339" t="inlineStr">
        <is>
          <t>ALL</t>
        </is>
      </c>
      <c r="B339" t="inlineStr">
        <is>
          <t>legendary</t>
        </is>
      </c>
      <c r="C339" t="n">
        <v>3</v>
      </c>
      <c r="D339" t="inlineStr">
        <is>
          <t>Critical Rate %</t>
        </is>
      </c>
      <c r="E339" t="n">
        <v>12</v>
      </c>
      <c r="F339" t="n">
        <v>0.2</v>
      </c>
      <c r="G339" t="b">
        <v>1</v>
      </c>
      <c r="H339">
        <f>IF(Inputs!$B$9+Summary!$B$14+Artifacts!$B$32&gt;=100,Sensitivity!H16,Sensitivity!H15)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Sensitivity!H7</f>
        <v/>
      </c>
    </row>
    <row r="351">
      <c r="A351" t="inlineStr">
        <is>
          <t>ALL</t>
        </is>
      </c>
      <c r="B351" t="inlineStr">
        <is>
          <t>legendary</t>
        </is>
      </c>
      <c r="C351" t="n">
        <v>3</v>
      </c>
      <c r="D351" t="inlineStr">
        <is>
          <t>Dex %</t>
        </is>
      </c>
      <c r="E351" t="n">
        <v>12</v>
      </c>
      <c r="F351" t="n">
        <v>0.36</v>
      </c>
      <c r="G351" t="b">
        <v>1</v>
      </c>
      <c r="H351">
        <f>Sensitivity!H7</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Sensitivity!H7</f>
        <v/>
      </c>
    </row>
    <row r="365">
      <c r="A365" t="inlineStr">
        <is>
          <t>ALL</t>
        </is>
      </c>
      <c r="B365" t="inlineStr">
        <is>
          <t>legendary</t>
        </is>
      </c>
      <c r="C365" t="n">
        <v>3</v>
      </c>
      <c r="D365" t="inlineStr">
        <is>
          <t>Dex</t>
        </is>
      </c>
      <c r="E365" t="n">
        <v>600</v>
      </c>
      <c r="F365" t="n">
        <v>0.74</v>
      </c>
      <c r="G365" t="b">
        <v>1</v>
      </c>
      <c r="H365">
        <f>Sensitivity!H7</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IF(Inputs!$B$9+Summary!$B$14+Artifacts!$B$32&gt;=100,Sensitivity!H16,Sensitivity!H15)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Sensitivity!H7</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Sensitivity!H7</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IF(Inputs!$B$9+Summary!$B$14+Artifacts!$B$32&gt;=100,Sensitivity!H16,Sensitivity!H15)</f>
        <v/>
      </c>
    </row>
    <row r="387">
      <c r="A387" t="inlineStr">
        <is>
          <t>ALL</t>
        </is>
      </c>
      <c r="B387" t="inlineStr">
        <is>
          <t>mystic</t>
        </is>
      </c>
      <c r="C387" t="n">
        <v>2</v>
      </c>
      <c r="D387" t="inlineStr">
        <is>
          <t>Critical Rate %</t>
        </is>
      </c>
      <c r="E387" t="n">
        <v>15</v>
      </c>
      <c r="F387" t="n">
        <v>0.6</v>
      </c>
      <c r="G387" t="b">
        <v>1</v>
      </c>
      <c r="H387">
        <f>IF(Inputs!$B$9+Summary!$B$14+Artifacts!$B$32&gt;=100,Sensitivity!H16,Sensitivity!H15)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Sensitivity!H7</f>
        <v/>
      </c>
    </row>
    <row r="399">
      <c r="A399" t="inlineStr">
        <is>
          <t>ALL</t>
        </is>
      </c>
      <c r="B399" t="inlineStr">
        <is>
          <t>mystic</t>
        </is>
      </c>
      <c r="C399" t="n">
        <v>2</v>
      </c>
      <c r="D399" t="inlineStr">
        <is>
          <t>Dex %</t>
        </is>
      </c>
      <c r="E399" t="n">
        <v>15</v>
      </c>
      <c r="F399" t="n">
        <v>1.08</v>
      </c>
      <c r="G399" t="b">
        <v>1</v>
      </c>
      <c r="H399">
        <f>Sensitivity!H7</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Sensitivity!H7</f>
        <v/>
      </c>
    </row>
    <row r="413">
      <c r="A413" t="inlineStr">
        <is>
          <t>ALL</t>
        </is>
      </c>
      <c r="B413" t="inlineStr">
        <is>
          <t>mystic</t>
        </is>
      </c>
      <c r="C413" t="n">
        <v>2</v>
      </c>
      <c r="D413" t="inlineStr">
        <is>
          <t>Dex</t>
        </is>
      </c>
      <c r="E413" t="n">
        <v>1000</v>
      </c>
      <c r="F413" t="n">
        <v>2.22</v>
      </c>
      <c r="G413" t="b">
        <v>1</v>
      </c>
      <c r="H413">
        <f>Sensitivity!H7</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IF(Inputs!$B$9+Summary!$B$14+Artifacts!$B$32&gt;=100,Sensitivity!H16,Sensitivity!H15)</f>
        <v/>
      </c>
    </row>
    <row r="419">
      <c r="A419" t="inlineStr">
        <is>
          <t>ALL</t>
        </is>
      </c>
      <c r="B419" t="inlineStr">
        <is>
          <t>mystic</t>
        </is>
      </c>
      <c r="C419" t="n">
        <v>3</v>
      </c>
      <c r="D419" t="inlineStr">
        <is>
          <t>Critical Rate %</t>
        </is>
      </c>
      <c r="E419" t="n">
        <v>15</v>
      </c>
      <c r="F419" t="n">
        <v>0.2</v>
      </c>
      <c r="G419" t="b">
        <v>1</v>
      </c>
      <c r="H419">
        <f>IF(Inputs!$B$9+Summary!$B$14+Artifacts!$B$32&gt;=100,Sensitivity!H16,Sensitivity!H15)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Sensitivity!H7</f>
        <v/>
      </c>
    </row>
    <row r="431">
      <c r="A431" t="inlineStr">
        <is>
          <t>ALL</t>
        </is>
      </c>
      <c r="B431" t="inlineStr">
        <is>
          <t>mystic</t>
        </is>
      </c>
      <c r="C431" t="n">
        <v>3</v>
      </c>
      <c r="D431" t="inlineStr">
        <is>
          <t>Dex %</t>
        </is>
      </c>
      <c r="E431" t="n">
        <v>15</v>
      </c>
      <c r="F431" t="n">
        <v>0.36</v>
      </c>
      <c r="G431" t="b">
        <v>1</v>
      </c>
      <c r="H431">
        <f>Sensitivity!H7</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Sensitivity!H7</f>
        <v/>
      </c>
    </row>
    <row r="445">
      <c r="A445" t="inlineStr">
        <is>
          <t>ALL</t>
        </is>
      </c>
      <c r="B445" t="inlineStr">
        <is>
          <t>mystic</t>
        </is>
      </c>
      <c r="C445" t="n">
        <v>3</v>
      </c>
      <c r="D445" t="inlineStr">
        <is>
          <t>Dex</t>
        </is>
      </c>
      <c r="E445" t="n">
        <v>1000</v>
      </c>
      <c r="F445" t="n">
        <v>0.74</v>
      </c>
      <c r="G445" t="b">
        <v>1</v>
      </c>
      <c r="H445">
        <f>Sensitivity!H7</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Hero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Rare</t>
        </is>
      </c>
      <c r="D5" s="7" t="inlineStr">
        <is>
          <t>(none)</t>
        </is>
      </c>
      <c r="E5">
        <f>IF($N$5&gt;=1,IF($D$5="Main Stat %",(CHOOSE(MATCH($C$5,{"Rare","Epic","Unique","Legendary","Mystic","Mystic (Prime)"},0),2,3,4.5,7,10,12))*Sensitivity!$H$6,IF($D$5="Damage Taken Decrease %",0,IF($D$5="Defense %",0,IF($D$5="Accuracy",0,IF($D$5="Critical Rate %",(CHOOSE(MATCH($C$5,{"Rare","Epic","Unique","Legendary","Mystic","Mystic (Prime)"},0),2,3,4.5,7,10,12))*Sensitivity!$H$15,IF($D$5="Min Damage Multiplier %",(CHOOSE(MATCH($C$5,{"Rare","Epic","Unique","Legendary","Mystic","Mystic (Prime)"},0),2,3,4.5,7,10,12))*Sensitivity!$H$13,IF($D$5="Max Damage Multiplier %",(CHOOSE(MATCH($C$5,{"Rare","Epic","Unique","Legendary","Mystic","Mystic (Prime)"},0),2,3,4.5,7,10,12))*Sensitivity!$H$14,IF($D$5="Boss Monster Damage %",(CHOOSE(MATCH($C$5,{"Rare","Epic","Unique","Legendary","Mystic","Mystic (Prime)"},0),4,6,9,14,20,24))*Sensitivity!$H$10,IF($D$5="Normal Monster Damage %",(CHOOSE(MATCH($C$5,{"Rare","Epic","Unique","Legendary","Mystic","Mystic (Prime)"},0),4,6,9,14,20,24))*Sensitivity!$H$11,IF($D$5="Status Effect Damage %",0,IF($D$5="Damage %",(CHOOSE(MATCH($C$5,{"Rare","Epic","Unique","Legendary","Mystic","Mystic (Prime)"},0),4,6,9,14,20,24))*Sensitivity!$H$8,IF($D$5="Defense Penetration %",(CHOOSE(MATCH($C$5,{"Rare","Epic","Unique","Legendary","Mystic","Mystic (Prime)"},0),2,3,4.5,7,10,12))*Sensitivity!$H$18,0)))))))))))),0)</f>
        <v/>
      </c>
      <c r="F5" s="7" t="inlineStr">
        <is>
          <t>Rare</t>
        </is>
      </c>
      <c r="G5" s="7" t="inlineStr">
        <is>
          <t>(none)</t>
        </is>
      </c>
      <c r="H5">
        <f>IF($N$5&gt;=2,IF($G$5="Main Stat %",(CHOOSE(MATCH($F$5,{"Rare","Epic","Unique","Legendary","Mystic","Mystic (Prime)"},0),2,3,4.5,7,10,12))*Sensitivity!$H$6,IF($G$5="Damage Taken Decrease %",0,IF($G$5="Defense %",0,IF($G$5="Accuracy",0,IF($G$5="Critical Rate %",(CHOOSE(MATCH($F$5,{"Rare","Epic","Unique","Legendary","Mystic","Mystic (Prime)"},0),2,3,4.5,7,10,12))*Sensitivity!$H$15,IF($G$5="Min Damage Multiplier %",(CHOOSE(MATCH($F$5,{"Rare","Epic","Unique","Legendary","Mystic","Mystic (Prime)"},0),2,3,4.5,7,10,12))*Sensitivity!$H$13,IF($G$5="Max Damage Multiplier %",(CHOOSE(MATCH($F$5,{"Rare","Epic","Unique","Legendary","Mystic","Mystic (Prime)"},0),2,3,4.5,7,10,12))*Sensitivity!$H$14,IF($G$5="Boss Monster Damage %",(CHOOSE(MATCH($F$5,{"Rare","Epic","Unique","Legendary","Mystic","Mystic (Prime)"},0),4,6,9,14,20,24))*Sensitivity!$H$10,IF($G$5="Normal Monster Damage %",(CHOOSE(MATCH($F$5,{"Rare","Epic","Unique","Legendary","Mystic","Mystic (Prime)"},0),4,6,9,14,20,24))*Sensitivity!$H$11,IF($G$5="Status Effect Damage %",0,IF($G$5="Damage %",(CHOOSE(MATCH($F$5,{"Rare","Epic","Unique","Legendary","Mystic","Mystic (Prime)"},0),4,6,9,14,20,24))*Sensitivity!$H$8,IF($G$5="Defense Penetration %",(CHOOSE(MATCH($F$5,{"Rare","Epic","Unique","Legendary","Mystic","Mystic (Prime)"},0),2,3,4.5,7,10,12))*Sensitivity!$H$18,0)))))))))))),0)</f>
        <v/>
      </c>
      <c r="L5">
        <f>Summary!$B$3*((IF(D5="(none)",1,1+(E5+IF(G5=D5,H5,0)+IF(J5=D5,K5,0))/Summary!$B$3))*(IF(OR(G5="(none)",G5=D5),1,1+(H5+IF(D5=G5,E5,0)+IF(J5=G5,K5,0))/Summary!$B$3))*(IF(OR(J5="",J5="(none)",J5=D5,J5=G5),1,1+(K5+IF(D5=J5,E5,0)+IF(G5=J5,H5,0))/Summary!$B$3))-1)</f>
        <v/>
      </c>
      <c r="M5">
        <f>OR(Inputs!$B$47="Charm of the Undead",Inputs!$B$48="Charm of the Undead",Inputs!$B$49="Charm of the Undead",Inputs!$B$50="Charm of the Undead")</f>
        <v/>
      </c>
      <c r="N5">
        <f>IF(B5="Not Unlocked",0,B5)</f>
        <v/>
      </c>
    </row>
    <row r="6">
      <c r="A6" s="6" t="inlineStr">
        <is>
          <t>Pig's Ribbon</t>
        </is>
      </c>
      <c r="B6" s="7" t="n">
        <v>5</v>
      </c>
      <c r="C6" s="7" t="inlineStr">
        <is>
          <t>Rare</t>
        </is>
      </c>
      <c r="D6" s="7" t="inlineStr">
        <is>
          <t>(none)</t>
        </is>
      </c>
      <c r="E6">
        <f>IF($N$6&gt;=1,IF($D$6="Main Stat %",(CHOOSE(MATCH($C$6,{"Rare","Epic","Unique","Legendary","Mystic","Mystic (Prime)"},0),2,3,4.5,7,10,12))*Sensitivity!$H$6,IF($D$6="Damage Taken Decrease %",0,IF($D$6="Defense %",0,IF($D$6="Accuracy",0,IF($D$6="Critical Rate %",(CHOOSE(MATCH($C$6,{"Rare","Epic","Unique","Legendary","Mystic","Mystic (Prime)"},0),2,3,4.5,7,10,12))*Sensitivity!$H$15,IF($D$6="Min Damage Multiplier %",(CHOOSE(MATCH($C$6,{"Rare","Epic","Unique","Legendary","Mystic","Mystic (Prime)"},0),2,3,4.5,7,10,12))*Sensitivity!$H$13,IF($D$6="Max Damage Multiplier %",(CHOOSE(MATCH($C$6,{"Rare","Epic","Unique","Legendary","Mystic","Mystic (Prime)"},0),2,3,4.5,7,10,12))*Sensitivity!$H$14,IF($D$6="Boss Monster Damage %",(CHOOSE(MATCH($C$6,{"Rare","Epic","Unique","Legendary","Mystic","Mystic (Prime)"},0),4,6,9,14,20,24))*Sensitivity!$H$10,IF($D$6="Normal Monster Damage %",(CHOOSE(MATCH($C$6,{"Rare","Epic","Unique","Legendary","Mystic","Mystic (Prime)"},0),4,6,9,14,20,24))*Sensitivity!$H$11,IF($D$6="Status Effect Damage %",0,IF($D$6="Damage %",(CHOOSE(MATCH($C$6,{"Rare","Epic","Unique","Legendary","Mystic","Mystic (Prime)"},0),4,6,9,14,20,24))*Sensitivity!$H$8,IF($D$6="Defense Penetration %",(CHOOSE(MATCH($C$6,{"Rare","Epic","Unique","Legendary","Mystic","Mystic (Prime)"},0),2,3,4.5,7,10,12))*Sensitivity!$H$18,0)))))))))))),0)</f>
        <v/>
      </c>
      <c r="F6" s="7" t="inlineStr">
        <is>
          <t>Rare</t>
        </is>
      </c>
      <c r="G6" s="7" t="inlineStr">
        <is>
          <t>(none)</t>
        </is>
      </c>
      <c r="H6">
        <f>IF($N$6&gt;=2,IF($G$6="Main Stat %",(CHOOSE(MATCH($F$6,{"Rare","Epic","Unique","Legendary","Mystic","Mystic (Prime)"},0),2,3,4.5,7,10,12))*Sensitivity!$H$6,IF($G$6="Damage Taken Decrease %",0,IF($G$6="Defense %",0,IF($G$6="Accuracy",0,IF($G$6="Critical Rate %",(CHOOSE(MATCH($F$6,{"Rare","Epic","Unique","Legendary","Mystic","Mystic (Prime)"},0),2,3,4.5,7,10,12))*Sensitivity!$H$15,IF($G$6="Min Damage Multiplier %",(CHOOSE(MATCH($F$6,{"Rare","Epic","Unique","Legendary","Mystic","Mystic (Prime)"},0),2,3,4.5,7,10,12))*Sensitivity!$H$13,IF($G$6="Max Damage Multiplier %",(CHOOSE(MATCH($F$6,{"Rare","Epic","Unique","Legendary","Mystic","Mystic (Prime)"},0),2,3,4.5,7,10,12))*Sensitivity!$H$14,IF($G$6="Boss Monster Damage %",(CHOOSE(MATCH($F$6,{"Rare","Epic","Unique","Legendary","Mystic","Mystic (Prime)"},0),4,6,9,14,20,24))*Sensitivity!$H$10,IF($G$6="Normal Monster Damage %",(CHOOSE(MATCH($F$6,{"Rare","Epic","Unique","Legendary","Mystic","Mystic (Prime)"},0),4,6,9,14,20,24))*Sensitivity!$H$11,IF($G$6="Status Effect Damage %",0,IF($G$6="Damage %",(CHOOSE(MATCH($F$6,{"Rare","Epic","Unique","Legendary","Mystic","Mystic (Prime)"},0),4,6,9,14,20,24))*Sensitivity!$H$8,IF($G$6="Defense Penetration %",(CHOOSE(MATCH($F$6,{"Rare","Epic","Unique","Legendary","Mystic","Mystic (Prime)"},0),2,3,4.5,7,10,12))*Sensitivity!$H$18,0)))))))))))),0)</f>
        <v/>
      </c>
      <c r="L6">
        <f>Summary!$B$3*((IF(D6="(none)",1,1+(E6+IF(G6=D6,H6,0)+IF(J6=D6,K6,0))/Summary!$B$3))*(IF(OR(G6="(none)",G6=D6),1,1+(H6+IF(D6=G6,E6,0)+IF(J6=G6,K6,0))/Summary!$B$3))*(IF(OR(J6="",J6="(none)",J6=D6,J6=G6),1,1+(K6+IF(D6=J6,E6,0)+IF(G6=J6,H6,0))/Summary!$B$3))-1)</f>
        <v/>
      </c>
      <c r="M6">
        <f>OR(Inputs!$B$47="Pig's Ribbon",Inputs!$B$48="Pig's Ribbon",Inputs!$B$49="Pig's Ribbon",Inputs!$B$50="Pig's Ribbon")</f>
        <v/>
      </c>
      <c r="N6">
        <f>IF(B6="Not Unlocked",0,B6)</f>
        <v/>
      </c>
    </row>
    <row r="7">
      <c r="A7" s="6" t="inlineStr">
        <is>
          <t>Shamaness Marble</t>
        </is>
      </c>
      <c r="B7" s="7" t="n">
        <v>5</v>
      </c>
      <c r="C7" s="7" t="inlineStr">
        <is>
          <t>Rare</t>
        </is>
      </c>
      <c r="D7" s="7" t="inlineStr">
        <is>
          <t>(none)</t>
        </is>
      </c>
      <c r="E7">
        <f>IF($N$7&gt;=1,IF($D$7="Main Stat %",(CHOOSE(MATCH($C$7,{"Rare","Epic","Unique","Legendary","Mystic","Mystic (Prime)"},0),2,3,4.5,7,10,12))*Sensitivity!$H$6,IF($D$7="Damage Taken Decrease %",0,IF($D$7="Defense %",0,IF($D$7="Accuracy",0,IF($D$7="Critical Rate %",(CHOOSE(MATCH($C$7,{"Rare","Epic","Unique","Legendary","Mystic","Mystic (Prime)"},0),2,3,4.5,7,10,12))*Sensitivity!$H$15,IF($D$7="Min Damage Multiplier %",(CHOOSE(MATCH($C$7,{"Rare","Epic","Unique","Legendary","Mystic","Mystic (Prime)"},0),2,3,4.5,7,10,12))*Sensitivity!$H$13,IF($D$7="Max Damage Multiplier %",(CHOOSE(MATCH($C$7,{"Rare","Epic","Unique","Legendary","Mystic","Mystic (Prime)"},0),2,3,4.5,7,10,12))*Sensitivity!$H$14,IF($D$7="Boss Monster Damage %",(CHOOSE(MATCH($C$7,{"Rare","Epic","Unique","Legendary","Mystic","Mystic (Prime)"},0),4,6,9,14,20,24))*Sensitivity!$H$10,IF($D$7="Normal Monster Damage %",(CHOOSE(MATCH($C$7,{"Rare","Epic","Unique","Legendary","Mystic","Mystic (Prime)"},0),4,6,9,14,20,24))*Sensitivity!$H$11,IF($D$7="Status Effect Damage %",0,IF($D$7="Damage %",(CHOOSE(MATCH($C$7,{"Rare","Epic","Unique","Legendary","Mystic","Mystic (Prime)"},0),4,6,9,14,20,24))*Sensitivity!$H$8,IF($D$7="Defense Penetration %",(CHOOSE(MATCH($C$7,{"Rare","Epic","Unique","Legendary","Mystic","Mystic (Prime)"},0),2,3,4.5,7,10,12))*Sensitivity!$H$18,0)))))))))))),0)</f>
        <v/>
      </c>
      <c r="F7" s="7" t="inlineStr">
        <is>
          <t>Rare</t>
        </is>
      </c>
      <c r="G7" s="7" t="inlineStr">
        <is>
          <t>(none)</t>
        </is>
      </c>
      <c r="H7">
        <f>IF($N$7&gt;=2,IF($G$7="Main Stat %",(CHOOSE(MATCH($F$7,{"Rare","Epic","Unique","Legendary","Mystic","Mystic (Prime)"},0),2,3,4.5,7,10,12))*Sensitivity!$H$6,IF($G$7="Damage Taken Decrease %",0,IF($G$7="Defense %",0,IF($G$7="Accuracy",0,IF($G$7="Critical Rate %",(CHOOSE(MATCH($F$7,{"Rare","Epic","Unique","Legendary","Mystic","Mystic (Prime)"},0),2,3,4.5,7,10,12))*Sensitivity!$H$15,IF($G$7="Min Damage Multiplier %",(CHOOSE(MATCH($F$7,{"Rare","Epic","Unique","Legendary","Mystic","Mystic (Prime)"},0),2,3,4.5,7,10,12))*Sensitivity!$H$13,IF($G$7="Max Damage Multiplier %",(CHOOSE(MATCH($F$7,{"Rare","Epic","Unique","Legendary","Mystic","Mystic (Prime)"},0),2,3,4.5,7,10,12))*Sensitivity!$H$14,IF($G$7="Boss Monster Damage %",(CHOOSE(MATCH($F$7,{"Rare","Epic","Unique","Legendary","Mystic","Mystic (Prime)"},0),4,6,9,14,20,24))*Sensitivity!$H$10,IF($G$7="Normal Monster Damage %",(CHOOSE(MATCH($F$7,{"Rare","Epic","Unique","Legendary","Mystic","Mystic (Prime)"},0),4,6,9,14,20,24))*Sensitivity!$H$11,IF($G$7="Status Effect Damage %",0,IF($G$7="Damage %",(CHOOSE(MATCH($F$7,{"Rare","Epic","Unique","Legendary","Mystic","Mystic (Prime)"},0),4,6,9,14,20,24))*Sensitivity!$H$8,IF($G$7="Defense Penetration %",(CHOOSE(MATCH($F$7,{"Rare","Epic","Unique","Legendary","Mystic","Mystic (Prime)"},0),2,3,4.5,7,10,12))*Sensitivity!$H$18,0)))))))))))),0)</f>
        <v/>
      </c>
      <c r="L7">
        <f>Summary!$B$3*((IF(D7="(none)",1,1+(E7+IF(G7=D7,H7,0)+IF(J7=D7,K7,0))/Summary!$B$3))*(IF(OR(G7="(none)",G7=D7),1,1+(H7+IF(D7=G7,E7,0)+IF(J7=G7,K7,0))/Summary!$B$3))*(IF(OR(J7="",J7="(none)",J7=D7,J7=G7),1,1+(K7+IF(D7=J7,E7,0)+IF(G7=J7,H7,0))/Summary!$B$3))-1)</f>
        <v/>
      </c>
      <c r="M7">
        <f>OR(Inputs!$B$47="Shamaness Marble",Inputs!$B$48="Shamaness Marble",Inputs!$B$49="Shamaness Marble",Inputs!$B$50="Shamaness Marble")</f>
        <v/>
      </c>
      <c r="N7">
        <f>IF(B7="Not Unlocked",0,B7)</f>
        <v/>
      </c>
    </row>
    <row r="8">
      <c r="A8" s="6" t="inlineStr">
        <is>
          <t>The Contract of Darkness</t>
        </is>
      </c>
      <c r="B8" s="7" t="n">
        <v>5</v>
      </c>
      <c r="C8" s="7" t="inlineStr">
        <is>
          <t>Rare</t>
        </is>
      </c>
      <c r="D8" s="7" t="inlineStr">
        <is>
          <t>(none)</t>
        </is>
      </c>
      <c r="E8">
        <f>IF($N$8&gt;=1,IF($D$8="Main Stat %",(CHOOSE(MATCH($C$8,{"Rare","Epic","Unique","Legendary","Mystic","Mystic (Prime)"},0),2,3,4.5,7,10,12))*Sensitivity!$H$6,IF($D$8="Damage Taken Decrease %",0,IF($D$8="Defense %",0,IF($D$8="Accuracy",0,IF($D$8="Critical Rate %",(CHOOSE(MATCH($C$8,{"Rare","Epic","Unique","Legendary","Mystic","Mystic (Prime)"},0),2,3,4.5,7,10,12))*Sensitivity!$H$15,IF($D$8="Min Damage Multiplier %",(CHOOSE(MATCH($C$8,{"Rare","Epic","Unique","Legendary","Mystic","Mystic (Prime)"},0),2,3,4.5,7,10,12))*Sensitivity!$H$13,IF($D$8="Max Damage Multiplier %",(CHOOSE(MATCH($C$8,{"Rare","Epic","Unique","Legendary","Mystic","Mystic (Prime)"},0),2,3,4.5,7,10,12))*Sensitivity!$H$14,IF($D$8="Boss Monster Damage %",(CHOOSE(MATCH($C$8,{"Rare","Epic","Unique","Legendary","Mystic","Mystic (Prime)"},0),4,6,9,14,20,24))*Sensitivity!$H$10,IF($D$8="Normal Monster Damage %",(CHOOSE(MATCH($C$8,{"Rare","Epic","Unique","Legendary","Mystic","Mystic (Prime)"},0),4,6,9,14,20,24))*Sensitivity!$H$11,IF($D$8="Status Effect Damage %",0,IF($D$8="Damage %",(CHOOSE(MATCH($C$8,{"Rare","Epic","Unique","Legendary","Mystic","Mystic (Prime)"},0),4,6,9,14,20,24))*Sensitivity!$H$8,IF($D$8="Defense Penetration %",(CHOOSE(MATCH($C$8,{"Rare","Epic","Unique","Legendary","Mystic","Mystic (Prime)"},0),2,3,4.5,7,10,12))*Sensitivity!$H$18,0)))))))))))),0)</f>
        <v/>
      </c>
      <c r="F8" s="7" t="inlineStr">
        <is>
          <t>Rare</t>
        </is>
      </c>
      <c r="G8" s="7" t="inlineStr">
        <is>
          <t>(none)</t>
        </is>
      </c>
      <c r="H8">
        <f>IF($N$8&gt;=2,IF($G$8="Main Stat %",(CHOOSE(MATCH($F$8,{"Rare","Epic","Unique","Legendary","Mystic","Mystic (Prime)"},0),2,3,4.5,7,10,12))*Sensitivity!$H$6,IF($G$8="Damage Taken Decrease %",0,IF($G$8="Defense %",0,IF($G$8="Accuracy",0,IF($G$8="Critical Rate %",(CHOOSE(MATCH($F$8,{"Rare","Epic","Unique","Legendary","Mystic","Mystic (Prime)"},0),2,3,4.5,7,10,12))*Sensitivity!$H$15,IF($G$8="Min Damage Multiplier %",(CHOOSE(MATCH($F$8,{"Rare","Epic","Unique","Legendary","Mystic","Mystic (Prime)"},0),2,3,4.5,7,10,12))*Sensitivity!$H$13,IF($G$8="Max Damage Multiplier %",(CHOOSE(MATCH($F$8,{"Rare","Epic","Unique","Legendary","Mystic","Mystic (Prime)"},0),2,3,4.5,7,10,12))*Sensitivity!$H$14,IF($G$8="Boss Monster Damage %",(CHOOSE(MATCH($F$8,{"Rare","Epic","Unique","Legendary","Mystic","Mystic (Prime)"},0),4,6,9,14,20,24))*Sensitivity!$H$10,IF($G$8="Normal Monster Damage %",(CHOOSE(MATCH($F$8,{"Rare","Epic","Unique","Legendary","Mystic","Mystic (Prime)"},0),4,6,9,14,20,24))*Sensitivity!$H$11,IF($G$8="Status Effect Damage %",0,IF($G$8="Damage %",(CHOOSE(MATCH($F$8,{"Rare","Epic","Unique","Legendary","Mystic","Mystic (Prime)"},0),4,6,9,14,20,24))*Sensitivity!$H$8,IF($G$8="Defense Penetration %",(CHOOSE(MATCH($F$8,{"Rare","Epic","Unique","Legendary","Mystic","Mystic (Prime)"},0),2,3,4.5,7,10,12))*Sensitivity!$H$18,0)))))))))))),0)</f>
        <v/>
      </c>
      <c r="L8">
        <f>Summary!$B$3*((IF(D8="(none)",1,1+(E8+IF(G8=D8,H8,0)+IF(J8=D8,K8,0))/Summary!$B$3))*(IF(OR(G8="(none)",G8=D8),1,1+(H8+IF(D8=G8,E8,0)+IF(J8=G8,K8,0))/Summary!$B$3))*(IF(OR(J8="",J8="(none)",J8=D8,J8=G8),1,1+(K8+IF(D8=J8,E8,0)+IF(G8=J8,H8,0))/Summary!$B$3))-1)</f>
        <v/>
      </c>
      <c r="M8">
        <f>OR(Inputs!$B$47="The Contract of Darkness",Inputs!$B$48="The Contract of Darkness",Inputs!$B$49="The Contract of Darkness",Inputs!$B$50="The Contract of Darkness")</f>
        <v/>
      </c>
      <c r="N8">
        <f>IF(B8="Not Unlocked",0,B8)</f>
        <v/>
      </c>
    </row>
    <row r="10">
      <c r="A10" s="6" t="inlineStr">
        <is>
          <t>Rainbow-colored Snail Shell</t>
        </is>
      </c>
      <c r="B10" s="7" t="n">
        <v>3</v>
      </c>
      <c r="C10" s="7" t="inlineStr">
        <is>
          <t>Rare</t>
        </is>
      </c>
      <c r="D10" s="7" t="inlineStr">
        <is>
          <t>(none)</t>
        </is>
      </c>
      <c r="E10">
        <f>IF($N$10&gt;=1,IF($D$10="Main Stat %",(CHOOSE(MATCH($C$10,{"Rare","Epic","Unique","Legendary","Mystic","Mystic (Prime)"},0),2,3,4.5,7,10,12))*Sensitivity!$H$6,IF($D$10="Damage Taken Decrease %",0,IF($D$10="Defense %",0,IF($D$10="Accuracy",0,IF($D$10="Critical Rate %",(CHOOSE(MATCH($C$10,{"Rare","Epic","Unique","Legendary","Mystic","Mystic (Prime)"},0),2,3,4.5,7,10,12))*Sensitivity!$H$15,IF($D$10="Min Damage Multiplier %",(CHOOSE(MATCH($C$10,{"Rare","Epic","Unique","Legendary","Mystic","Mystic (Prime)"},0),2,3,4.5,7,10,12))*Sensitivity!$H$13,IF($D$10="Max Damage Multiplier %",(CHOOSE(MATCH($C$10,{"Rare","Epic","Unique","Legendary","Mystic","Mystic (Prime)"},0),2,3,4.5,7,10,12))*Sensitivity!$H$14,IF($D$10="Boss Monster Damage %",(CHOOSE(MATCH($C$10,{"Rare","Epic","Unique","Legendary","Mystic","Mystic (Prime)"},0),4,6,9,14,20,24))*Sensitivity!$H$10,IF($D$10="Normal Monster Damage %",(CHOOSE(MATCH($C$10,{"Rare","Epic","Unique","Legendary","Mystic","Mystic (Prime)"},0),4,6,9,14,20,24))*Sensitivity!$H$11,IF($D$10="Status Effect Damage %",0,IF($D$10="Damage %",(CHOOSE(MATCH($C$10,{"Rare","Epic","Unique","Legendary","Mystic","Mystic (Prime)"},0),4,6,9,14,20,24))*Sensitivity!$H$8,IF($D$10="Defense Penetration %",(CHOOSE(MATCH($C$10,{"Rare","Epic","Unique","Legendary","Mystic","Mystic (Prime)"},0),2,3,4.5,7,10,12))*Sensitivity!$H$18,0)))))))))))),0)</f>
        <v/>
      </c>
      <c r="F10" s="7" t="inlineStr">
        <is>
          <t>Rare</t>
        </is>
      </c>
      <c r="G10" s="7" t="inlineStr">
        <is>
          <t>(none)</t>
        </is>
      </c>
      <c r="H10">
        <f>IF($N$10&gt;=2,IF($G$10="Main Stat %",(CHOOSE(MATCH($F$10,{"Rare","Epic","Unique","Legendary","Mystic","Mystic (Prime)"},0),2,3,4.5,7,10,12))*Sensitivity!$H$6,IF($G$10="Damage Taken Decrease %",0,IF($G$10="Defense %",0,IF($G$10="Accuracy",0,IF($G$10="Critical Rate %",(CHOOSE(MATCH($F$10,{"Rare","Epic","Unique","Legendary","Mystic","Mystic (Prime)"},0),2,3,4.5,7,10,12))*Sensitivity!$H$15,IF($G$10="Min Damage Multiplier %",(CHOOSE(MATCH($F$10,{"Rare","Epic","Unique","Legendary","Mystic","Mystic (Prime)"},0),2,3,4.5,7,10,12))*Sensitivity!$H$13,IF($G$10="Max Damage Multiplier %",(CHOOSE(MATCH($F$10,{"Rare","Epic","Unique","Legendary","Mystic","Mystic (Prime)"},0),2,3,4.5,7,10,12))*Sensitivity!$H$14,IF($G$10="Boss Monster Damage %",(CHOOSE(MATCH($F$10,{"Rare","Epic","Unique","Legendary","Mystic","Mystic (Prime)"},0),4,6,9,14,20,24))*Sensitivity!$H$10,IF($G$10="Normal Monster Damage %",(CHOOSE(MATCH($F$10,{"Rare","Epic","Unique","Legendary","Mystic","Mystic (Prime)"},0),4,6,9,14,20,24))*Sensitivity!$H$11,IF($G$10="Status Effect Damage %",0,IF($G$10="Damage %",(CHOOSE(MATCH($F$10,{"Rare","Epic","Unique","Legendary","Mystic","Mystic (Prime)"},0),4,6,9,14,20,24))*Sensitivity!$H$8,IF($G$10="Defense Penetration %",(CHOOSE(MATCH($F$10,{"Rare","Epic","Unique","Legendary","Mystic","Mystic (Prime)"},0),2,3,4.5,7,10,12))*Sensitivity!$H$18,0)))))))))))),0)</f>
        <v/>
      </c>
      <c r="L10">
        <f>Summary!$B$3*((IF(D10="(none)",1,1+(E10+IF(G10=D10,H10,0)+IF(J10=D10,K10,0))/Summary!$B$3))*(IF(OR(G10="(none)",G10=D10),1,1+(H10+IF(D10=G10,E10,0)+IF(J10=G10,K10,0))/Summary!$B$3))*(IF(OR(J10="",J10="(none)",J10=D10,J10=G10),1,1+(K10+IF(D10=J10,E10,0)+IF(G10=J10,H10,0))/Summary!$B$3))-1)</f>
        <v/>
      </c>
      <c r="M10">
        <f>OR(Inputs!$B$47="Rainbow-colored Snail Shell",Inputs!$B$48="Rainbow-colored Snail Shell",Inputs!$B$49="Rainbow-colored Snail Shell",Inputs!$B$50="Rainbow-colored Snail Shell")</f>
        <v/>
      </c>
      <c r="N10">
        <f>IF(B10="Not Unlocked",0,B10)</f>
        <v/>
      </c>
    </row>
    <row r="11">
      <c r="A11" s="6" t="inlineStr">
        <is>
          <t>Hexagon Necklace</t>
        </is>
      </c>
      <c r="B11" s="7" t="n">
        <v>3</v>
      </c>
      <c r="C11" s="7" t="inlineStr">
        <is>
          <t>Rare</t>
        </is>
      </c>
      <c r="D11" s="7" t="inlineStr">
        <is>
          <t>(none)</t>
        </is>
      </c>
      <c r="E11">
        <f>IF($N$11&gt;=1,IF($D$11="Main Stat %",(CHOOSE(MATCH($C$11,{"Rare","Epic","Unique","Legendary","Mystic","Mystic (Prime)"},0),2,3,4.5,7,10,12))*Sensitivity!$H$6,IF($D$11="Damage Taken Decrease %",0,IF($D$11="Defense %",0,IF($D$11="Accuracy",0,IF($D$11="Critical Rate %",(CHOOSE(MATCH($C$11,{"Rare","Epic","Unique","Legendary","Mystic","Mystic (Prime)"},0),2,3,4.5,7,10,12))*Sensitivity!$H$15,IF($D$11="Min Damage Multiplier %",(CHOOSE(MATCH($C$11,{"Rare","Epic","Unique","Legendary","Mystic","Mystic (Prime)"},0),2,3,4.5,7,10,12))*Sensitivity!$H$13,IF($D$11="Max Damage Multiplier %",(CHOOSE(MATCH($C$11,{"Rare","Epic","Unique","Legendary","Mystic","Mystic (Prime)"},0),2,3,4.5,7,10,12))*Sensitivity!$H$14,IF($D$11="Boss Monster Damage %",(CHOOSE(MATCH($C$11,{"Rare","Epic","Unique","Legendary","Mystic","Mystic (Prime)"},0),4,6,9,14,20,24))*Sensitivity!$H$10,IF($D$11="Normal Monster Damage %",(CHOOSE(MATCH($C$11,{"Rare","Epic","Unique","Legendary","Mystic","Mystic (Prime)"},0),4,6,9,14,20,24))*Sensitivity!$H$11,IF($D$11="Status Effect Damage %",0,IF($D$11="Damage %",(CHOOSE(MATCH($C$11,{"Rare","Epic","Unique","Legendary","Mystic","Mystic (Prime)"},0),4,6,9,14,20,24))*Sensitivity!$H$8,IF($D$11="Defense Penetration %",(CHOOSE(MATCH($C$11,{"Rare","Epic","Unique","Legendary","Mystic","Mystic (Prime)"},0),2,3,4.5,7,10,12))*Sensitivity!$H$18,0)))))))))))),0)</f>
        <v/>
      </c>
      <c r="F11" s="7" t="inlineStr">
        <is>
          <t>Rare</t>
        </is>
      </c>
      <c r="G11" s="7" t="inlineStr">
        <is>
          <t>(none)</t>
        </is>
      </c>
      <c r="H11">
        <f>IF($N$11&gt;=2,IF($G$11="Main Stat %",(CHOOSE(MATCH($F$11,{"Rare","Epic","Unique","Legendary","Mystic","Mystic (Prime)"},0),2,3,4.5,7,10,12))*Sensitivity!$H$6,IF($G$11="Damage Taken Decrease %",0,IF($G$11="Defense %",0,IF($G$11="Accuracy",0,IF($G$11="Critical Rate %",(CHOOSE(MATCH($F$11,{"Rare","Epic","Unique","Legendary","Mystic","Mystic (Prime)"},0),2,3,4.5,7,10,12))*Sensitivity!$H$15,IF($G$11="Min Damage Multiplier %",(CHOOSE(MATCH($F$11,{"Rare","Epic","Unique","Legendary","Mystic","Mystic (Prime)"},0),2,3,4.5,7,10,12))*Sensitivity!$H$13,IF($G$11="Max Damage Multiplier %",(CHOOSE(MATCH($F$11,{"Rare","Epic","Unique","Legendary","Mystic","Mystic (Prime)"},0),2,3,4.5,7,10,12))*Sensitivity!$H$14,IF($G$11="Boss Monster Damage %",(CHOOSE(MATCH($F$11,{"Rare","Epic","Unique","Legendary","Mystic","Mystic (Prime)"},0),4,6,9,14,20,24))*Sensitivity!$H$10,IF($G$11="Normal Monster Damage %",(CHOOSE(MATCH($F$11,{"Rare","Epic","Unique","Legendary","Mystic","Mystic (Prime)"},0),4,6,9,14,20,24))*Sensitivity!$H$11,IF($G$11="Status Effect Damage %",0,IF($G$11="Damage %",(CHOOSE(MATCH($F$11,{"Rare","Epic","Unique","Legendary","Mystic","Mystic (Prime)"},0),4,6,9,14,20,24))*Sensitivity!$H$8,IF($G$11="Defense Penetration %",(CHOOSE(MATCH($F$11,{"Rare","Epic","Unique","Legendary","Mystic","Mystic (Prime)"},0),2,3,4.5,7,10,12))*Sensitivity!$H$18,0)))))))))))),0)</f>
        <v/>
      </c>
      <c r="L11">
        <f>Summary!$B$3*((IF(D11="(none)",1,1+(E11+IF(G11=D11,H11,0)+IF(J11=D11,K11,0))/Summary!$B$3))*(IF(OR(G11="(none)",G11=D11),1,1+(H11+IF(D11=G11,E11,0)+IF(J11=G11,K11,0))/Summary!$B$3))*(IF(OR(J11="",J11="(none)",J11=D11,J11=G11),1,1+(K11+IF(D11=J11,E11,0)+IF(G11=J11,H11,0))/Summary!$B$3))-1)</f>
        <v/>
      </c>
      <c r="M11">
        <f>OR(Inputs!$B$47="Hexagon Necklace",Inputs!$B$48="Hexagon Necklace",Inputs!$B$49="Hexagon Necklace",Inputs!$B$50="Hexagon Necklace")</f>
        <v/>
      </c>
      <c r="N11">
        <f>IF(B11="Not Unlocked",0,B11)</f>
        <v/>
      </c>
    </row>
    <row r="12">
      <c r="A12" s="6" t="inlineStr">
        <is>
          <t>Arwen's Glass Shoes</t>
        </is>
      </c>
      <c r="B12" s="7" t="n">
        <v>3</v>
      </c>
      <c r="C12" s="7" t="inlineStr">
        <is>
          <t>Rare</t>
        </is>
      </c>
      <c r="D12" s="7" t="inlineStr">
        <is>
          <t>(none)</t>
        </is>
      </c>
      <c r="E12">
        <f>IF($N$12&gt;=1,IF($D$12="Main Stat %",(CHOOSE(MATCH($C$12,{"Rare","Epic","Unique","Legendary","Mystic","Mystic (Prime)"},0),2,3,4.5,7,10,12))*Sensitivity!$H$6,IF($D$12="Damage Taken Decrease %",0,IF($D$12="Defense %",0,IF($D$12="Accuracy",0,IF($D$12="Critical Rate %",(CHOOSE(MATCH($C$12,{"Rare","Epic","Unique","Legendary","Mystic","Mystic (Prime)"},0),2,3,4.5,7,10,12))*Sensitivity!$H$15,IF($D$12="Min Damage Multiplier %",(CHOOSE(MATCH($C$12,{"Rare","Epic","Unique","Legendary","Mystic","Mystic (Prime)"},0),2,3,4.5,7,10,12))*Sensitivity!$H$13,IF($D$12="Max Damage Multiplier %",(CHOOSE(MATCH($C$12,{"Rare","Epic","Unique","Legendary","Mystic","Mystic (Prime)"},0),2,3,4.5,7,10,12))*Sensitivity!$H$14,IF($D$12="Boss Monster Damage %",(CHOOSE(MATCH($C$12,{"Rare","Epic","Unique","Legendary","Mystic","Mystic (Prime)"},0),4,6,9,14,20,24))*Sensitivity!$H$10,IF($D$12="Normal Monster Damage %",(CHOOSE(MATCH($C$12,{"Rare","Epic","Unique","Legendary","Mystic","Mystic (Prime)"},0),4,6,9,14,20,24))*Sensitivity!$H$11,IF($D$12="Status Effect Damage %",0,IF($D$12="Damage %",(CHOOSE(MATCH($C$12,{"Rare","Epic","Unique","Legendary","Mystic","Mystic (Prime)"},0),4,6,9,14,20,24))*Sensitivity!$H$8,IF($D$12="Defense Penetration %",(CHOOSE(MATCH($C$12,{"Rare","Epic","Unique","Legendary","Mystic","Mystic (Prime)"},0),2,3,4.5,7,10,12))*Sensitivity!$H$18,0)))))))))))),0)</f>
        <v/>
      </c>
      <c r="F12" s="7" t="inlineStr">
        <is>
          <t>Rare</t>
        </is>
      </c>
      <c r="G12" s="7" t="inlineStr">
        <is>
          <t>(none)</t>
        </is>
      </c>
      <c r="H12">
        <f>IF($N$12&gt;=2,IF($G$12="Main Stat %",(CHOOSE(MATCH($F$12,{"Rare","Epic","Unique","Legendary","Mystic","Mystic (Prime)"},0),2,3,4.5,7,10,12))*Sensitivity!$H$6,IF($G$12="Damage Taken Decrease %",0,IF($G$12="Defense %",0,IF($G$12="Accuracy",0,IF($G$12="Critical Rate %",(CHOOSE(MATCH($F$12,{"Rare","Epic","Unique","Legendary","Mystic","Mystic (Prime)"},0),2,3,4.5,7,10,12))*Sensitivity!$H$15,IF($G$12="Min Damage Multiplier %",(CHOOSE(MATCH($F$12,{"Rare","Epic","Unique","Legendary","Mystic","Mystic (Prime)"},0),2,3,4.5,7,10,12))*Sensitivity!$H$13,IF($G$12="Max Damage Multiplier %",(CHOOSE(MATCH($F$12,{"Rare","Epic","Unique","Legendary","Mystic","Mystic (Prime)"},0),2,3,4.5,7,10,12))*Sensitivity!$H$14,IF($G$12="Boss Monster Damage %",(CHOOSE(MATCH($F$12,{"Rare","Epic","Unique","Legendary","Mystic","Mystic (Prime)"},0),4,6,9,14,20,24))*Sensitivity!$H$10,IF($G$12="Normal Monster Damage %",(CHOOSE(MATCH($F$12,{"Rare","Epic","Unique","Legendary","Mystic","Mystic (Prime)"},0),4,6,9,14,20,24))*Sensitivity!$H$11,IF($G$12="Status Effect Damage %",0,IF($G$12="Damage %",(CHOOSE(MATCH($F$12,{"Rare","Epic","Unique","Legendary","Mystic","Mystic (Prime)"},0),4,6,9,14,20,24))*Sensitivity!$H$8,IF($G$12="Defense Penetration %",(CHOOSE(MATCH($F$12,{"Rare","Epic","Unique","Legendary","Mystic","Mystic (Prime)"},0),2,3,4.5,7,10,12))*Sensitivity!$H$18,0)))))))))))),0)</f>
        <v/>
      </c>
      <c r="L12">
        <f>Summary!$B$3*((IF(D12="(none)",1,1+(E12+IF(G12=D12,H12,0)+IF(J12=D12,K12,0))/Summary!$B$3))*(IF(OR(G12="(none)",G12=D12),1,1+(H12+IF(D12=G12,E12,0)+IF(J12=G12,K12,0))/Summary!$B$3))*(IF(OR(J12="",J12="(none)",J12=D12,J12=G12),1,1+(K12+IF(D12=J12,E12,0)+IF(G12=J12,H12,0))/Summary!$B$3))-1)</f>
        <v/>
      </c>
      <c r="M12">
        <f>OR(Inputs!$B$47="Arwen's Glass Shoes",Inputs!$B$48="Arwen's Glass Shoes",Inputs!$B$49="Arwen's Glass Shoes",Inputs!$B$50="Arwen's Glass Shoes")</f>
        <v/>
      </c>
      <c r="N12">
        <f>IF(B12="Not Unlocked",0,B12)</f>
        <v/>
      </c>
    </row>
    <row r="13">
      <c r="A13" s="6" t="inlineStr">
        <is>
          <t>Mushmom's Cap</t>
        </is>
      </c>
      <c r="B13" s="7" t="n">
        <v>3</v>
      </c>
      <c r="C13" s="7" t="inlineStr">
        <is>
          <t>Rare</t>
        </is>
      </c>
      <c r="D13" s="7" t="inlineStr">
        <is>
          <t>(none)</t>
        </is>
      </c>
      <c r="E13">
        <f>IF($N$13&gt;=1,IF($D$13="Main Stat %",(CHOOSE(MATCH($C$13,{"Rare","Epic","Unique","Legendary","Mystic","Mystic (Prime)"},0),2,3,4.5,7,10,12))*Sensitivity!$H$6,IF($D$13="Damage Taken Decrease %",0,IF($D$13="Defense %",0,IF($D$13="Accuracy",0,IF($D$13="Critical Rate %",(CHOOSE(MATCH($C$13,{"Rare","Epic","Unique","Legendary","Mystic","Mystic (Prime)"},0),2,3,4.5,7,10,12))*Sensitivity!$H$15,IF($D$13="Min Damage Multiplier %",(CHOOSE(MATCH($C$13,{"Rare","Epic","Unique","Legendary","Mystic","Mystic (Prime)"},0),2,3,4.5,7,10,12))*Sensitivity!$H$13,IF($D$13="Max Damage Multiplier %",(CHOOSE(MATCH($C$13,{"Rare","Epic","Unique","Legendary","Mystic","Mystic (Prime)"},0),2,3,4.5,7,10,12))*Sensitivity!$H$14,IF($D$13="Boss Monster Damage %",(CHOOSE(MATCH($C$13,{"Rare","Epic","Unique","Legendary","Mystic","Mystic (Prime)"},0),4,6,9,14,20,24))*Sensitivity!$H$10,IF($D$13="Normal Monster Damage %",(CHOOSE(MATCH($C$13,{"Rare","Epic","Unique","Legendary","Mystic","Mystic (Prime)"},0),4,6,9,14,20,24))*Sensitivity!$H$11,IF($D$13="Status Effect Damage %",0,IF($D$13="Damage %",(CHOOSE(MATCH($C$13,{"Rare","Epic","Unique","Legendary","Mystic","Mystic (Prime)"},0),4,6,9,14,20,24))*Sensitivity!$H$8,IF($D$13="Defense Penetration %",(CHOOSE(MATCH($C$13,{"Rare","Epic","Unique","Legendary","Mystic","Mystic (Prime)"},0),2,3,4.5,7,10,12))*Sensitivity!$H$18,0)))))))))))),0)</f>
        <v/>
      </c>
      <c r="F13" s="7" t="inlineStr">
        <is>
          <t>Rare</t>
        </is>
      </c>
      <c r="G13" s="7" t="inlineStr">
        <is>
          <t>(none)</t>
        </is>
      </c>
      <c r="H13">
        <f>IF($N$13&gt;=2,IF($G$13="Main Stat %",(CHOOSE(MATCH($F$13,{"Rare","Epic","Unique","Legendary","Mystic","Mystic (Prime)"},0),2,3,4.5,7,10,12))*Sensitivity!$H$6,IF($G$13="Damage Taken Decrease %",0,IF($G$13="Defense %",0,IF($G$13="Accuracy",0,IF($G$13="Critical Rate %",(CHOOSE(MATCH($F$13,{"Rare","Epic","Unique","Legendary","Mystic","Mystic (Prime)"},0),2,3,4.5,7,10,12))*Sensitivity!$H$15,IF($G$13="Min Damage Multiplier %",(CHOOSE(MATCH($F$13,{"Rare","Epic","Unique","Legendary","Mystic","Mystic (Prime)"},0),2,3,4.5,7,10,12))*Sensitivity!$H$13,IF($G$13="Max Damage Multiplier %",(CHOOSE(MATCH($F$13,{"Rare","Epic","Unique","Legendary","Mystic","Mystic (Prime)"},0),2,3,4.5,7,10,12))*Sensitivity!$H$14,IF($G$13="Boss Monster Damage %",(CHOOSE(MATCH($F$13,{"Rare","Epic","Unique","Legendary","Mystic","Mystic (Prime)"},0),4,6,9,14,20,24))*Sensitivity!$H$10,IF($G$13="Normal Monster Damage %",(CHOOSE(MATCH($F$13,{"Rare","Epic","Unique","Legendary","Mystic","Mystic (Prime)"},0),4,6,9,14,20,24))*Sensitivity!$H$11,IF($G$13="Status Effect Damage %",0,IF($G$13="Damage %",(CHOOSE(MATCH($F$13,{"Rare","Epic","Unique","Legendary","Mystic","Mystic (Prime)"},0),4,6,9,14,20,24))*Sensitivity!$H$8,IF($G$13="Defense Penetration %",(CHOOSE(MATCH($F$13,{"Rare","Epic","Unique","Legendary","Mystic","Mystic (Prime)"},0),2,3,4.5,7,10,12))*Sensitivity!$H$18,0)))))))))))),0)</f>
        <v/>
      </c>
      <c r="L13">
        <f>Summary!$B$3*((IF(D13="(none)",1,1+(E13+IF(G13=D13,H13,0)+IF(J13=D13,K13,0))/Summary!$B$3))*(IF(OR(G13="(none)",G13=D13),1,1+(H13+IF(D13=G13,E13,0)+IF(J13=G13,K13,0))/Summary!$B$3))*(IF(OR(J13="",J13="(none)",J13=D13,J13=G13),1,1+(K13+IF(D13=J13,E13,0)+IF(G13=J13,H13,0))/Summary!$B$3))-1)</f>
        <v/>
      </c>
      <c r="M13">
        <f>OR(Inputs!$B$47="Mushmom's Cap",Inputs!$B$48="Mushmom's Cap",Inputs!$B$49="Mushmom's Cap",Inputs!$B$50="Mushmom's Cap")</f>
        <v/>
      </c>
      <c r="N13">
        <f>IF(B13="Not Unlocked",0,B13)</f>
        <v/>
      </c>
    </row>
    <row r="14">
      <c r="A14" s="6" t="inlineStr">
        <is>
          <t>Clear Spring Water</t>
        </is>
      </c>
      <c r="B14" s="7" t="n">
        <v>3</v>
      </c>
      <c r="C14" s="7" t="inlineStr">
        <is>
          <t>Rare</t>
        </is>
      </c>
      <c r="D14" s="7" t="inlineStr">
        <is>
          <t>(none)</t>
        </is>
      </c>
      <c r="E14">
        <f>IF($N$14&gt;=1,IF($D$14="Main Stat %",(CHOOSE(MATCH($C$14,{"Rare","Epic","Unique","Legendary","Mystic","Mystic (Prime)"},0),2,3,4.5,7,10,12))*Sensitivity!$H$6,IF($D$14="Damage Taken Decrease %",0,IF($D$14="Defense %",0,IF($D$14="Accuracy",0,IF($D$14="Critical Rate %",(CHOOSE(MATCH($C$14,{"Rare","Epic","Unique","Legendary","Mystic","Mystic (Prime)"},0),2,3,4.5,7,10,12))*Sensitivity!$H$15,IF($D$14="Min Damage Multiplier %",(CHOOSE(MATCH($C$14,{"Rare","Epic","Unique","Legendary","Mystic","Mystic (Prime)"},0),2,3,4.5,7,10,12))*Sensitivity!$H$13,IF($D$14="Max Damage Multiplier %",(CHOOSE(MATCH($C$14,{"Rare","Epic","Unique","Legendary","Mystic","Mystic (Prime)"},0),2,3,4.5,7,10,12))*Sensitivity!$H$14,IF($D$14="Boss Monster Damage %",(CHOOSE(MATCH($C$14,{"Rare","Epic","Unique","Legendary","Mystic","Mystic (Prime)"},0),4,6,9,14,20,24))*Sensitivity!$H$10,IF($D$14="Normal Monster Damage %",(CHOOSE(MATCH($C$14,{"Rare","Epic","Unique","Legendary","Mystic","Mystic (Prime)"},0),4,6,9,14,20,24))*Sensitivity!$H$11,IF($D$14="Status Effect Damage %",0,IF($D$14="Damage %",(CHOOSE(MATCH($C$14,{"Rare","Epic","Unique","Legendary","Mystic","Mystic (Prime)"},0),4,6,9,14,20,24))*Sensitivity!$H$8,IF($D$14="Defense Penetration %",(CHOOSE(MATCH($C$14,{"Rare","Epic","Unique","Legendary","Mystic","Mystic (Prime)"},0),2,3,4.5,7,10,12))*Sensitivity!$H$18,0)))))))))))),0)</f>
        <v/>
      </c>
      <c r="F14" s="7" t="inlineStr">
        <is>
          <t>Rare</t>
        </is>
      </c>
      <c r="G14" s="7" t="inlineStr">
        <is>
          <t>(none)</t>
        </is>
      </c>
      <c r="H14">
        <f>IF($N$14&gt;=2,IF($G$14="Main Stat %",(CHOOSE(MATCH($F$14,{"Rare","Epic","Unique","Legendary","Mystic","Mystic (Prime)"},0),2,3,4.5,7,10,12))*Sensitivity!$H$6,IF($G$14="Damage Taken Decrease %",0,IF($G$14="Defense %",0,IF($G$14="Accuracy",0,IF($G$14="Critical Rate %",(CHOOSE(MATCH($F$14,{"Rare","Epic","Unique","Legendary","Mystic","Mystic (Prime)"},0),2,3,4.5,7,10,12))*Sensitivity!$H$15,IF($G$14="Min Damage Multiplier %",(CHOOSE(MATCH($F$14,{"Rare","Epic","Unique","Legendary","Mystic","Mystic (Prime)"},0),2,3,4.5,7,10,12))*Sensitivity!$H$13,IF($G$14="Max Damage Multiplier %",(CHOOSE(MATCH($F$14,{"Rare","Epic","Unique","Legendary","Mystic","Mystic (Prime)"},0),2,3,4.5,7,10,12))*Sensitivity!$H$14,IF($G$14="Boss Monster Damage %",(CHOOSE(MATCH($F$14,{"Rare","Epic","Unique","Legendary","Mystic","Mystic (Prime)"},0),4,6,9,14,20,24))*Sensitivity!$H$10,IF($G$14="Normal Monster Damage %",(CHOOSE(MATCH($F$14,{"Rare","Epic","Unique","Legendary","Mystic","Mystic (Prime)"},0),4,6,9,14,20,24))*Sensitivity!$H$11,IF($G$14="Status Effect Damage %",0,IF($G$14="Damage %",(CHOOSE(MATCH($F$14,{"Rare","Epic","Unique","Legendary","Mystic","Mystic (Prime)"},0),4,6,9,14,20,24))*Sensitivity!$H$8,IF($G$14="Defense Penetration %",(CHOOSE(MATCH($F$14,{"Rare","Epic","Unique","Legendary","Mystic","Mystic (Prime)"},0),2,3,4.5,7,10,12))*Sensitivity!$H$18,0)))))))))))),0)</f>
        <v/>
      </c>
      <c r="L14">
        <f>Summary!$B$3*((IF(D14="(none)",1,1+(E14+IF(G14=D14,H14,0)+IF(J14=D14,K14,0))/Summary!$B$3))*(IF(OR(G14="(none)",G14=D14),1,1+(H14+IF(D14=G14,E14,0)+IF(J14=G14,K14,0))/Summary!$B$3))*(IF(OR(J14="",J14="(none)",J14=D14,J14=G14),1,1+(K14+IF(D14=J14,E14,0)+IF(G14=J14,H14,0))/Summary!$B$3))-1)</f>
        <v/>
      </c>
      <c r="M14">
        <f>OR(Inputs!$B$47="Clear Spring Water",Inputs!$B$48="Clear Spring Water",Inputs!$B$49="Clear Spring Water",Inputs!$B$50="Clear Spring Water")</f>
        <v/>
      </c>
      <c r="N14">
        <f>IF(B14="Not Unlocked",0,B14)</f>
        <v/>
      </c>
    </row>
    <row r="15">
      <c r="A15" s="6" t="inlineStr">
        <is>
          <t>Athena Pierce's Old Gloves</t>
        </is>
      </c>
      <c r="B15" s="7" t="n">
        <v>3</v>
      </c>
      <c r="C15" s="7" t="inlineStr">
        <is>
          <t>Rare</t>
        </is>
      </c>
      <c r="D15" s="7" t="inlineStr">
        <is>
          <t>(none)</t>
        </is>
      </c>
      <c r="E15">
        <f>IF($N$15&gt;=1,IF($D$15="Main Stat %",(CHOOSE(MATCH($C$15,{"Rare","Epic","Unique","Legendary","Mystic","Mystic (Prime)"},0),2,3,4.5,7,10,12))*Sensitivity!$H$6,IF($D$15="Damage Taken Decrease %",0,IF($D$15="Defense %",0,IF($D$15="Accuracy",0,IF($D$15="Critical Rate %",(CHOOSE(MATCH($C$15,{"Rare","Epic","Unique","Legendary","Mystic","Mystic (Prime)"},0),2,3,4.5,7,10,12))*Sensitivity!$H$15,IF($D$15="Min Damage Multiplier %",(CHOOSE(MATCH($C$15,{"Rare","Epic","Unique","Legendary","Mystic","Mystic (Prime)"},0),2,3,4.5,7,10,12))*Sensitivity!$H$13,IF($D$15="Max Damage Multiplier %",(CHOOSE(MATCH($C$15,{"Rare","Epic","Unique","Legendary","Mystic","Mystic (Prime)"},0),2,3,4.5,7,10,12))*Sensitivity!$H$14,IF($D$15="Boss Monster Damage %",(CHOOSE(MATCH($C$15,{"Rare","Epic","Unique","Legendary","Mystic","Mystic (Prime)"},0),4,6,9,14,20,24))*Sensitivity!$H$10,IF($D$15="Normal Monster Damage %",(CHOOSE(MATCH($C$15,{"Rare","Epic","Unique","Legendary","Mystic","Mystic (Prime)"},0),4,6,9,14,20,24))*Sensitivity!$H$11,IF($D$15="Status Effect Damage %",0,IF($D$15="Damage %",(CHOOSE(MATCH($C$15,{"Rare","Epic","Unique","Legendary","Mystic","Mystic (Prime)"},0),4,6,9,14,20,24))*Sensitivity!$H$8,IF($D$15="Defense Penetration %",(CHOOSE(MATCH($C$15,{"Rare","Epic","Unique","Legendary","Mystic","Mystic (Prime)"},0),2,3,4.5,7,10,12))*Sensitivity!$H$18,0)))))))))))),0)</f>
        <v/>
      </c>
      <c r="F15" s="7" t="inlineStr">
        <is>
          <t>Rare</t>
        </is>
      </c>
      <c r="G15" s="7" t="inlineStr">
        <is>
          <t>(none)</t>
        </is>
      </c>
      <c r="H15">
        <f>IF($N$15&gt;=2,IF($G$15="Main Stat %",(CHOOSE(MATCH($F$15,{"Rare","Epic","Unique","Legendary","Mystic","Mystic (Prime)"},0),2,3,4.5,7,10,12))*Sensitivity!$H$6,IF($G$15="Damage Taken Decrease %",0,IF($G$15="Defense %",0,IF($G$15="Accuracy",0,IF($G$15="Critical Rate %",(CHOOSE(MATCH($F$15,{"Rare","Epic","Unique","Legendary","Mystic","Mystic (Prime)"},0),2,3,4.5,7,10,12))*Sensitivity!$H$15,IF($G$15="Min Damage Multiplier %",(CHOOSE(MATCH($F$15,{"Rare","Epic","Unique","Legendary","Mystic","Mystic (Prime)"},0),2,3,4.5,7,10,12))*Sensitivity!$H$13,IF($G$15="Max Damage Multiplier %",(CHOOSE(MATCH($F$15,{"Rare","Epic","Unique","Legendary","Mystic","Mystic (Prime)"},0),2,3,4.5,7,10,12))*Sensitivity!$H$14,IF($G$15="Boss Monster Damage %",(CHOOSE(MATCH($F$15,{"Rare","Epic","Unique","Legendary","Mystic","Mystic (Prime)"},0),4,6,9,14,20,24))*Sensitivity!$H$10,IF($G$15="Normal Monster Damage %",(CHOOSE(MATCH($F$15,{"Rare","Epic","Unique","Legendary","Mystic","Mystic (Prime)"},0),4,6,9,14,20,24))*Sensitivity!$H$11,IF($G$15="Status Effect Damage %",0,IF($G$15="Damage %",(CHOOSE(MATCH($F$15,{"Rare","Epic","Unique","Legendary","Mystic","Mystic (Prime)"},0),4,6,9,14,20,24))*Sensitivity!$H$8,IF($G$15="Defense Penetration %",(CHOOSE(MATCH($F$15,{"Rare","Epic","Unique","Legendary","Mystic","Mystic (Prime)"},0),2,3,4.5,7,10,12))*Sensitivity!$H$18,0)))))))))))),0)</f>
        <v/>
      </c>
      <c r="L15">
        <f>Summary!$B$3*((IF(D15="(none)",1,1+(E15+IF(G15=D15,H15,0)+IF(J15=D15,K15,0))/Summary!$B$3))*(IF(OR(G15="(none)",G15=D15),1,1+(H15+IF(D15=G15,E15,0)+IF(J15=G15,K15,0))/Summary!$B$3))*(IF(OR(J15="",J15="(none)",J15=D15,J15=G15),1,1+(K15+IF(D15=J15,E15,0)+IF(G15=J15,H15,0))/Summary!$B$3))-1)</f>
        <v/>
      </c>
      <c r="M15">
        <f>OR(Inputs!$B$47="Athena Pierce's Old Gloves",Inputs!$B$48="Athena Pierce's Old Gloves",Inputs!$B$49="Athena Pierce's Old Gloves",Inputs!$B$50="Athena Pierce's Old Gloves")</f>
        <v/>
      </c>
      <c r="N15">
        <f>IF(B15="Not Unlocked",0,B15)</f>
        <v/>
      </c>
    </row>
    <row r="16">
      <c r="A16" s="6" t="inlineStr">
        <is>
          <t>Zakum's Stone Piece</t>
        </is>
      </c>
      <c r="B16" s="7" t="n">
        <v>3</v>
      </c>
      <c r="C16" s="7" t="inlineStr">
        <is>
          <t>Rare</t>
        </is>
      </c>
      <c r="D16" s="7" t="inlineStr">
        <is>
          <t>(none)</t>
        </is>
      </c>
      <c r="E16">
        <f>IF($N$16&gt;=1,IF($D$16="Main Stat %",(CHOOSE(MATCH($C$16,{"Rare","Epic","Unique","Legendary","Mystic","Mystic (Prime)"},0),2,3,4.5,7,10,12))*Sensitivity!$H$6,IF($D$16="Damage Taken Decrease %",0,IF($D$16="Defense %",0,IF($D$16="Accuracy",0,IF($D$16="Critical Rate %",(CHOOSE(MATCH($C$16,{"Rare","Epic","Unique","Legendary","Mystic","Mystic (Prime)"},0),2,3,4.5,7,10,12))*Sensitivity!$H$15,IF($D$16="Min Damage Multiplier %",(CHOOSE(MATCH($C$16,{"Rare","Epic","Unique","Legendary","Mystic","Mystic (Prime)"},0),2,3,4.5,7,10,12))*Sensitivity!$H$13,IF($D$16="Max Damage Multiplier %",(CHOOSE(MATCH($C$16,{"Rare","Epic","Unique","Legendary","Mystic","Mystic (Prime)"},0),2,3,4.5,7,10,12))*Sensitivity!$H$14,IF($D$16="Boss Monster Damage %",(CHOOSE(MATCH($C$16,{"Rare","Epic","Unique","Legendary","Mystic","Mystic (Prime)"},0),4,6,9,14,20,24))*Sensitivity!$H$10,IF($D$16="Normal Monster Damage %",(CHOOSE(MATCH($C$16,{"Rare","Epic","Unique","Legendary","Mystic","Mystic (Prime)"},0),4,6,9,14,20,24))*Sensitivity!$H$11,IF($D$16="Status Effect Damage %",0,IF($D$16="Damage %",(CHOOSE(MATCH($C$16,{"Rare","Epic","Unique","Legendary","Mystic","Mystic (Prime)"},0),4,6,9,14,20,24))*Sensitivity!$H$8,IF($D$16="Defense Penetration %",(CHOOSE(MATCH($C$16,{"Rare","Epic","Unique","Legendary","Mystic","Mystic (Prime)"},0),2,3,4.5,7,10,12))*Sensitivity!$H$18,0)))))))))))),0)</f>
        <v/>
      </c>
      <c r="F16" s="7" t="inlineStr">
        <is>
          <t>Rare</t>
        </is>
      </c>
      <c r="G16" s="7" t="inlineStr">
        <is>
          <t>(none)</t>
        </is>
      </c>
      <c r="H16">
        <f>IF($N$16&gt;=2,IF($G$16="Main Stat %",(CHOOSE(MATCH($F$16,{"Rare","Epic","Unique","Legendary","Mystic","Mystic (Prime)"},0),2,3,4.5,7,10,12))*Sensitivity!$H$6,IF($G$16="Damage Taken Decrease %",0,IF($G$16="Defense %",0,IF($G$16="Accuracy",0,IF($G$16="Critical Rate %",(CHOOSE(MATCH($F$16,{"Rare","Epic","Unique","Legendary","Mystic","Mystic (Prime)"},0),2,3,4.5,7,10,12))*Sensitivity!$H$15,IF($G$16="Min Damage Multiplier %",(CHOOSE(MATCH($F$16,{"Rare","Epic","Unique","Legendary","Mystic","Mystic (Prime)"},0),2,3,4.5,7,10,12))*Sensitivity!$H$13,IF($G$16="Max Damage Multiplier %",(CHOOSE(MATCH($F$16,{"Rare","Epic","Unique","Legendary","Mystic","Mystic (Prime)"},0),2,3,4.5,7,10,12))*Sensitivity!$H$14,IF($G$16="Boss Monster Damage %",(CHOOSE(MATCH($F$16,{"Rare","Epic","Unique","Legendary","Mystic","Mystic (Prime)"},0),4,6,9,14,20,24))*Sensitivity!$H$10,IF($G$16="Normal Monster Damage %",(CHOOSE(MATCH($F$16,{"Rare","Epic","Unique","Legendary","Mystic","Mystic (Prime)"},0),4,6,9,14,20,24))*Sensitivity!$H$11,IF($G$16="Status Effect Damage %",0,IF($G$16="Damage %",(CHOOSE(MATCH($F$16,{"Rare","Epic","Unique","Legendary","Mystic","Mystic (Prime)"},0),4,6,9,14,20,24))*Sensitivity!$H$8,IF($G$16="Defense Penetration %",(CHOOSE(MATCH($F$16,{"Rare","Epic","Unique","Legendary","Mystic","Mystic (Prime)"},0),2,3,4.5,7,10,12))*Sensitivity!$H$18,0)))))))))))),0)</f>
        <v/>
      </c>
      <c r="L16">
        <f>Summary!$B$3*((IF(D16="(none)",1,1+(E16+IF(G16=D16,H16,0)+IF(J16=D16,K16,0))/Summary!$B$3))*(IF(OR(G16="(none)",G16=D16),1,1+(H16+IF(D16=G16,E16,0)+IF(J16=G16,K16,0))/Summary!$B$3))*(IF(OR(J16="",J16="(none)",J16=D16,J16=G16),1,1+(K16+IF(D16=J16,E16,0)+IF(G16=J16,H16,0))/Summary!$B$3))-1)</f>
        <v/>
      </c>
      <c r="M16">
        <f>OR(Inputs!$B$47="Zakum's Stone Piece",Inputs!$B$48="Zakum's Stone Piece",Inputs!$B$49="Zakum's Stone Piece",Inputs!$B$50="Zakum's Stone Piece")</f>
        <v/>
      </c>
      <c r="N16">
        <f>IF(B16="Not Unlocked",0,B16)</f>
        <v/>
      </c>
    </row>
    <row r="17">
      <c r="A17" s="6" t="inlineStr">
        <is>
          <t>Horntail's Scale</t>
        </is>
      </c>
      <c r="B17" s="7" t="n">
        <v>3</v>
      </c>
      <c r="C17" s="7" t="inlineStr">
        <is>
          <t>Rare</t>
        </is>
      </c>
      <c r="D17" s="7" t="inlineStr">
        <is>
          <t>(none)</t>
        </is>
      </c>
      <c r="E17">
        <f>IF($N$17&gt;=1,IF($D$17="Main Stat %",(CHOOSE(MATCH($C$17,{"Rare","Epic","Unique","Legendary","Mystic","Mystic (Prime)"},0),2,3,4.5,7,10,12))*Sensitivity!$H$6,IF($D$17="Damage Taken Decrease %",0,IF($D$17="Defense %",0,IF($D$17="Accuracy",0,IF($D$17="Critical Rate %",(CHOOSE(MATCH($C$17,{"Rare","Epic","Unique","Legendary","Mystic","Mystic (Prime)"},0),2,3,4.5,7,10,12))*Sensitivity!$H$15,IF($D$17="Min Damage Multiplier %",(CHOOSE(MATCH($C$17,{"Rare","Epic","Unique","Legendary","Mystic","Mystic (Prime)"},0),2,3,4.5,7,10,12))*Sensitivity!$H$13,IF($D$17="Max Damage Multiplier %",(CHOOSE(MATCH($C$17,{"Rare","Epic","Unique","Legendary","Mystic","Mystic (Prime)"},0),2,3,4.5,7,10,12))*Sensitivity!$H$14,IF($D$17="Boss Monster Damage %",(CHOOSE(MATCH($C$17,{"Rare","Epic","Unique","Legendary","Mystic","Mystic (Prime)"},0),4,6,9,14,20,24))*Sensitivity!$H$10,IF($D$17="Normal Monster Damage %",(CHOOSE(MATCH($C$17,{"Rare","Epic","Unique","Legendary","Mystic","Mystic (Prime)"},0),4,6,9,14,20,24))*Sensitivity!$H$11,IF($D$17="Status Effect Damage %",0,IF($D$17="Damage %",(CHOOSE(MATCH($C$17,{"Rare","Epic","Unique","Legendary","Mystic","Mystic (Prime)"},0),4,6,9,14,20,24))*Sensitivity!$H$8,IF($D$17="Defense Penetration %",(CHOOSE(MATCH($C$17,{"Rare","Epic","Unique","Legendary","Mystic","Mystic (Prime)"},0),2,3,4.5,7,10,12))*Sensitivity!$H$18,0)))))))))))),0)</f>
        <v/>
      </c>
      <c r="F17" s="7" t="inlineStr">
        <is>
          <t>Rare</t>
        </is>
      </c>
      <c r="G17" s="7" t="inlineStr">
        <is>
          <t>(none)</t>
        </is>
      </c>
      <c r="H17">
        <f>IF($N$17&gt;=2,IF($G$17="Main Stat %",(CHOOSE(MATCH($F$17,{"Rare","Epic","Unique","Legendary","Mystic","Mystic (Prime)"},0),2,3,4.5,7,10,12))*Sensitivity!$H$6,IF($G$17="Damage Taken Decrease %",0,IF($G$17="Defense %",0,IF($G$17="Accuracy",0,IF($G$17="Critical Rate %",(CHOOSE(MATCH($F$17,{"Rare","Epic","Unique","Legendary","Mystic","Mystic (Prime)"},0),2,3,4.5,7,10,12))*Sensitivity!$H$15,IF($G$17="Min Damage Multiplier %",(CHOOSE(MATCH($F$17,{"Rare","Epic","Unique","Legendary","Mystic","Mystic (Prime)"},0),2,3,4.5,7,10,12))*Sensitivity!$H$13,IF($G$17="Max Damage Multiplier %",(CHOOSE(MATCH($F$17,{"Rare","Epic","Unique","Legendary","Mystic","Mystic (Prime)"},0),2,3,4.5,7,10,12))*Sensitivity!$H$14,IF($G$17="Boss Monster Damage %",(CHOOSE(MATCH($F$17,{"Rare","Epic","Unique","Legendary","Mystic","Mystic (Prime)"},0),4,6,9,14,20,24))*Sensitivity!$H$10,IF($G$17="Normal Monster Damage %",(CHOOSE(MATCH($F$17,{"Rare","Epic","Unique","Legendary","Mystic","Mystic (Prime)"},0),4,6,9,14,20,24))*Sensitivity!$H$11,IF($G$17="Status Effect Damage %",0,IF($G$17="Damage %",(CHOOSE(MATCH($F$17,{"Rare","Epic","Unique","Legendary","Mystic","Mystic (Prime)"},0),4,6,9,14,20,24))*Sensitivity!$H$8,IF($G$17="Defense Penetration %",(CHOOSE(MATCH($F$17,{"Rare","Epic","Unique","Legendary","Mystic","Mystic (Prime)"},0),2,3,4.5,7,10,12))*Sensitivity!$H$18,0)))))))))))),0)</f>
        <v/>
      </c>
      <c r="L17">
        <f>Summary!$B$3*((IF(D17="(none)",1,1+(E17+IF(G17=D17,H17,0)+IF(J17=D17,K17,0))/Summary!$B$3))*(IF(OR(G17="(none)",G17=D17),1,1+(H17+IF(D17=G17,E17,0)+IF(J17=G17,K17,0))/Summary!$B$3))*(IF(OR(J17="",J17="(none)",J17=D17,J17=G17),1,1+(K17+IF(D17=J17,E17,0)+IF(G17=J17,H17,0))/Summary!$B$3))-1)</f>
        <v/>
      </c>
      <c r="M17">
        <f>OR(Inputs!$B$47="Horntail's Scale",Inputs!$B$48="Horntail's Scale",Inputs!$B$49="Horntail's Scale",Inputs!$B$50="Horntail's Scale")</f>
        <v/>
      </c>
      <c r="N17">
        <f>IF(B17="Not Unlocked",0,B17)</f>
        <v/>
      </c>
    </row>
    <row r="18">
      <c r="A18" s="6" t="inlineStr">
        <is>
          <t>Pink Bean's Giant Rib</t>
        </is>
      </c>
      <c r="B18" s="7" t="n">
        <v>3</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(Prime)"},0),2,3,4.5,7,10,12))*Sensitivity!$H$15,IF($D$18="Min Damage Multiplier %",(CHOOSE(MATCH($C$18,{"Rare","Epic","Unique","Legendary","Mystic","Mystic (Prime)"},0),2,3,4.5,7,10,12))*Sensitivity!$H$13,IF($D$18="Max Damage Multiplier %",(CHOOSE(MATCH($C$18,{"Rare","Epic","Unique","Legendary","Mystic","Mystic (Prime)"},0),2,3,4.5,7,10,12))*Sensitivity!$H$14,IF($D$18="Boss Monster Damage %",(CHOOSE(MATCH($C$18,{"Rare","Epic","Unique","Legendary","Mystic","Mystic (Prime)"},0),4,6,9,14,20,24))*Sensitivity!$H$10,IF($D$18="Normal Monster Damage %",(CHOOSE(MATCH($C$18,{"Rare","Epic","Unique","Legendary","Mystic","Mystic (Prime)"},0),4,6,9,14,20,24))*Sensitivity!$H$11,IF($D$18="Status Effect Damage %",0,IF($D$18="Damage %",(CHOOSE(MATCH($C$18,{"Rare","Epic","Unique","Legendary","Mystic","Mystic (Prime)"},0),4,6,9,14,20,24))*Sensitivity!$H$8,IF($D$18="Defense Penetration %",(CHOOSE(MATCH($C$18,{"Rare","Epic","Unique","Legendary","Mystic","Mystic (Prime)"},0),2,3,4.5,7,10,12))*Sensitivity!$H$18,0)))))))))))),0)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(Prime)"},0),2,3,4.5,7,10,12))*Sensitivity!$H$15,IF($G$18="Min Damage Multiplier %",(CHOOSE(MATCH($F$18,{"Rare","Epic","Unique","Legendary","Mystic","Mystic (Prime)"},0),2,3,4.5,7,10,12))*Sensitivity!$H$13,IF($G$18="Max Damage Multiplier %",(CHOOSE(MATCH($F$18,{"Rare","Epic","Unique","Legendary","Mystic","Mystic (Prime)"},0),2,3,4.5,7,10,12))*Sensitivity!$H$14,IF($G$18="Boss Monster Damage %",(CHOOSE(MATCH($F$18,{"Rare","Epic","Unique","Legendary","Mystic","Mystic (Prime)"},0),4,6,9,14,20,24))*Sensitivity!$H$10,IF($G$18="Normal Monster Damage %",(CHOOSE(MATCH($F$18,{"Rare","Epic","Unique","Legendary","Mystic","Mystic (Prime)"},0),4,6,9,14,20,24))*Sensitivity!$H$11,IF($G$18="Status Effect Damage %",0,IF($G$18="Damage %",(CHOOSE(MATCH($F$18,{"Rare","Epic","Unique","Legendary","Mystic","Mystic (Prime)"},0),4,6,9,14,20,24))*Sensitivity!$H$8,IF($G$18="Defense Penetration %",(CHOOSE(MATCH($F$18,{"Rare","Epic","Unique","Legendary","Mystic","Mystic (Prime)"},0),2,3,4.5,7,10,12))*Sensitivity!$H$18,0)))))))))))),0)</f>
        <v/>
      </c>
      <c r="L18">
        <f>Summary!$B$3*((IF(D18="(none)",1,1+(E18+IF(G18=D18,H18,0)+IF(J18=D18,K18,0))/Summary!$B$3))*(IF(OR(G18="(none)",G18=D18),1,1+(H18+IF(D18=G18,E18,0)+IF(J18=G18,K18,0))/Summary!$B$3))*(IF(OR(J18="",J18="(none)",J18=D18,J18=G18),1,1+(K18+IF(D18=J18,E18,0)+IF(G18=J18,H18,0))/Summary!$B$3))-1)</f>
        <v/>
      </c>
      <c r="M18">
        <f>OR(Inputs!$B$47="Pink Bean's Giant Rib",Inputs!$B$48="Pink Bean's Giant Rib",Inputs!$B$49="Pink Bean's Giant Rib",Inputs!$B$50="Pink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(Prime)"},0),2,3,4.5,7,10,12))*Sensitivity!$H$15,IF($D$20="Min Damage Multiplier %",(CHOOSE(MATCH($C$20,{"Rare","Epic","Unique","Legendary","Mystic","Mystic (Prime)"},0),2,3,4.5,7,10,12))*Sensitivity!$H$13,IF($D$20="Max Damage Multiplier %",(CHOOSE(MATCH($C$20,{"Rare","Epic","Unique","Legendary","Mystic","Mystic (Prime)"},0),2,3,4.5,7,10,12))*Sensitivity!$H$14,IF($D$20="Boss Monster Damage %",(CHOOSE(MATCH($C$20,{"Rare","Epic","Unique","Legendary","Mystic","Mystic (Prime)"},0),4,6,9,14,20,24))*Sensitivity!$H$10,IF($D$20="Normal Monster Damage %",(CHOOSE(MATCH($C$20,{"Rare","Epic","Unique","Legendary","Mystic","Mystic (Prime)"},0),4,6,9,14,20,24))*Sensitivity!$H$11,IF($D$20="Status Effect Damage %",0,IF($D$20="Damage %",(CHOOSE(MATCH($C$20,{"Rare","Epic","Unique","Legendary","Mystic","Mystic (Prime)"},0),4,6,9,14,20,24))*Sensitivity!$H$8,IF($D$20="Defense Penetration %",(CHOOSE(MATCH($C$20,{"Rare","Epic","Unique","Legendary","Mystic","Mystic (Prime)"},0),2,3,4.5,7,10,12))*Sensitivity!$H$18,0)))))))))))),0)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(Prime)"},0),2,3,4.5,7,10,12))*Sensitivity!$H$15,IF($G$20="Min Damage Multiplier %",(CHOOSE(MATCH($F$20,{"Rare","Epic","Unique","Legendary","Mystic","Mystic (Prime)"},0),2,3,4.5,7,10,12))*Sensitivity!$H$13,IF($G$20="Max Damage Multiplier %",(CHOOSE(MATCH($F$20,{"Rare","Epic","Unique","Legendary","Mystic","Mystic (Prime)"},0),2,3,4.5,7,10,12))*Sensitivity!$H$14,IF($G$20="Boss Monster Damage %",(CHOOSE(MATCH($F$20,{"Rare","Epic","Unique","Legendary","Mystic","Mystic (Prime)"},0),4,6,9,14,20,24))*Sensitivity!$H$10,IF($G$20="Normal Monster Damage %",(CHOOSE(MATCH($F$20,{"Rare","Epic","Unique","Legendary","Mystic","Mystic (Prime)"},0),4,6,9,14,20,24))*Sensitivity!$H$11,IF($G$20="Status Effect Damage %",0,IF($G$20="Damage %",(CHOOSE(MATCH($F$20,{"Rare","Epic","Unique","Legendary","Mystic","Mystic (Prime)"},0),4,6,9,14,20,24))*Sensitivity!$H$8,IF($G$20="Defense Penetration %",(CHOOSE(MATCH($F$20,{"Rare","Epic","Unique","Legendary","Mystic","Mystic (Prime)"},0),2,3,4.5,7,10,12))*Sensitivity!$H$18,0)))))))))))),0)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(Prime)"},0),2,3,4.5,7,10,12))*Sensitivity!$H$15,IF($J$20="Min Damage Multiplier %",(CHOOSE(MATCH($I$20,{"Rare","Epic","Unique","Legendary","Mystic","Mystic (Prime)"},0),2,3,4.5,7,10,12))*Sensitivity!$H$13,IF($J$20="Max Damage Multiplier %",(CHOOSE(MATCH($I$20,{"Rare","Epic","Unique","Legendary","Mystic","Mystic (Prime)"},0),2,3,4.5,7,10,12))*Sensitivity!$H$14,IF($J$20="Boss Monster Damage %",(CHOOSE(MATCH($I$20,{"Rare","Epic","Unique","Legendary","Mystic","Mystic (Prime)"},0),4,6,9,14,20,24))*Sensitivity!$H$10,IF($J$20="Normal Monster Damage %",(CHOOSE(MATCH($I$20,{"Rare","Epic","Unique","Legendary","Mystic","Mystic (Prime)"},0),4,6,9,14,20,24))*Sensitivity!$H$11,IF($J$20="Status Effect Damage %",0,IF($J$20="Damage %",(CHOOSE(MATCH($I$20,{"Rare","Epic","Unique","Legendary","Mystic","Mystic (Prime)"},0),4,6,9,14,20,24))*Sensitivity!$H$8,IF($J$20="Defense Penetration %",(CHOOSE(MATCH($I$20,{"Rare","Epic","Unique","Legendary","Mystic","Mystic (Prime)"},0),2,3,4.5,7,10,12))*Sensitivity!$H$18,0)))))))))))),0)</f>
        <v/>
      </c>
      <c r="L20">
        <f>Summary!$B$3*((IF(D20="(none)",1,1+(E20+IF(G20=D20,H20,0)+IF(J20=D20,K20,0))/Summary!$B$3))*(IF(OR(G20="(none)",G20=D20),1,1+(H20+IF(D20=G20,E20,0)+IF(J20=G20,K20,0))/Summary!$B$3))*(IF(OR(J20="",J20="(none)",J20=D20,J20=G20),1,1+(K20+IF(D20=J20,E20,0)+IF(G20=J20,H20,0))/Summary!$B$3))-1)</f>
        <v/>
      </c>
      <c r="M20">
        <f>OR(Inputs!$B$47="Chalice",Inputs!$B$48="Chalice",Inputs!$B$49="Chalice",Inputs!$B$50="Chalice")</f>
        <v/>
      </c>
      <c r="N20">
        <f>IF(B20="Not Unlocked",0,B20)</f>
        <v/>
      </c>
    </row>
    <row r="21">
      <c r="A21" s="6" t="inlineStr">
        <is>
          <t>Old Music Box</t>
        </is>
      </c>
      <c r="B21" s="7" t="inlineStr">
        <is>
          <t>Not Unlocked</t>
        </is>
      </c>
      <c r="C21" s="7" t="inlineStr">
        <is>
          <t>Rare</t>
        </is>
      </c>
      <c r="D21" s="7" t="inlineStr">
        <is>
          <t>(none)</t>
        </is>
      </c>
      <c r="E21">
        <f>IF($N$21&gt;=1,IF($D$21="Main Stat %",(CHOOSE(MATCH($C$21,{"Rare","Epic","Unique","Legendary","Mystic","Mystic (Prime)"},0),2,3,4.5,7,10,12))*Sensitivity!$H$6,IF($D$21="Damage Taken Decrease %",0,IF($D$21="Defense %",0,IF($D$21="Accuracy",0,IF($D$21="Critical Rate %",(CHOOSE(MATCH($C$21,{"Rare","Epic","Unique","Legendary","Mystic","Mystic (Prime)"},0),2,3,4.5,7,10,12))*Sensitivity!$H$15,IF($D$21="Min Damage Multiplier %",(CHOOSE(MATCH($C$21,{"Rare","Epic","Unique","Legendary","Mystic","Mystic (Prime)"},0),2,3,4.5,7,10,12))*Sensitivity!$H$13,IF($D$21="Max Damage Multiplier %",(CHOOSE(MATCH($C$21,{"Rare","Epic","Unique","Legendary","Mystic","Mystic (Prime)"},0),2,3,4.5,7,10,12))*Sensitivity!$H$14,IF($D$21="Boss Monster Damage %",(CHOOSE(MATCH($C$21,{"Rare","Epic","Unique","Legendary","Mystic","Mystic (Prime)"},0),4,6,9,14,20,24))*Sensitivity!$H$10,IF($D$21="Normal Monster Damage %",(CHOOSE(MATCH($C$21,{"Rare","Epic","Unique","Legendary","Mystic","Mystic (Prime)"},0),4,6,9,14,20,24))*Sensitivity!$H$11,IF($D$21="Status Effect Damage %",0,IF($D$21="Damage %",(CHOOSE(MATCH($C$21,{"Rare","Epic","Unique","Legendary","Mystic","Mystic (Prime)"},0),4,6,9,14,20,24))*Sensitivity!$H$8,IF($D$21="Defense Penetration %",(CHOOSE(MATCH($C$21,{"Rare","Epic","Unique","Legendary","Mystic","Mystic (Prime)"},0),2,3,4.5,7,10,12))*Sensitivity!$H$18,0)))))))))))),0)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(Prime)"},0),2,3,4.5,7,10,12))*Sensitivity!$H$15,IF($G$21="Min Damage Multiplier %",(CHOOSE(MATCH($F$21,{"Rare","Epic","Unique","Legendary","Mystic","Mystic (Prime)"},0),2,3,4.5,7,10,12))*Sensitivity!$H$13,IF($G$21="Max Damage Multiplier %",(CHOOSE(MATCH($F$21,{"Rare","Epic","Unique","Legendary","Mystic","Mystic (Prime)"},0),2,3,4.5,7,10,12))*Sensitivity!$H$14,IF($G$21="Boss Monster Damage %",(CHOOSE(MATCH($F$21,{"Rare","Epic","Unique","Legendary","Mystic","Mystic (Prime)"},0),4,6,9,14,20,24))*Sensitivity!$H$10,IF($G$21="Normal Monster Damage %",(CHOOSE(MATCH($F$21,{"Rare","Epic","Unique","Legendary","Mystic","Mystic (Prime)"},0),4,6,9,14,20,24))*Sensitivity!$H$11,IF($G$21="Status Effect Damage %",0,IF($G$21="Damage %",(CHOOSE(MATCH($F$21,{"Rare","Epic","Unique","Legendary","Mystic","Mystic (Prime)"},0),4,6,9,14,20,24))*Sensitivity!$H$8,IF($G$21="Defense Penetration %",(CHOOSE(MATCH($F$21,{"Rare","Epic","Unique","Legendary","Mystic","Mystic (Prime)"},0),2,3,4.5,7,10,12))*Sensitivity!$H$18,0)))))))))))),0)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(Prime)"},0),2,3,4.5,7,10,12))*Sensitivity!$H$15,IF($J$21="Min Damage Multiplier %",(CHOOSE(MATCH($I$21,{"Rare","Epic","Unique","Legendary","Mystic","Mystic (Prime)"},0),2,3,4.5,7,10,12))*Sensitivity!$H$13,IF($J$21="Max Damage Multiplier %",(CHOOSE(MATCH($I$21,{"Rare","Epic","Unique","Legendary","Mystic","Mystic (Prime)"},0),2,3,4.5,7,10,12))*Sensitivity!$H$14,IF($J$21="Boss Monster Damage %",(CHOOSE(MATCH($I$21,{"Rare","Epic","Unique","Legendary","Mystic","Mystic (Prime)"},0),4,6,9,14,20,24))*Sensitivity!$H$10,IF($J$21="Normal Monster Damage %",(CHOOSE(MATCH($I$21,{"Rare","Epic","Unique","Legendary","Mystic","Mystic (Prime)"},0),4,6,9,14,20,24))*Sensitivity!$H$11,IF($J$21="Status Effect Damage %",0,IF($J$21="Damage %",(CHOOSE(MATCH($I$21,{"Rare","Epic","Unique","Legendary","Mystic","Mystic (Prime)"},0),4,6,9,14,20,24))*Sensitivity!$H$8,IF($J$21="Defense Penetration %",(CHOOSE(MATCH($I$21,{"Rare","Epic","Unique","Legendary","Mystic","Mystic (Prime)"},0),2,3,4.5,7,10,12))*Sensitivity!$H$18,0)))))))))))),0)</f>
        <v/>
      </c>
      <c r="L21">
        <f>Summary!$B$3*((IF(D21="(none)",1,1+(E21+IF(G21=D21,H21,0)+IF(J21=D21,K21,0))/Summary!$B$3))*(IF(OR(G21="(none)",G21=D21),1,1+(H21+IF(D21=G21,E21,0)+IF(J21=G21,K21,0))/Summary!$B$3))*(IF(OR(J21="",J21="(none)",J21=D21,J21=G21),1,1+(K21+IF(D21=J21,E21,0)+IF(G21=J21,H21,0))/Summary!$B$3))-1)</f>
        <v/>
      </c>
      <c r="M21">
        <f>OR(Inputs!$B$47="Old Music Box",Inputs!$B$48="Old Music Box",Inputs!$B$49="Old Music Box",Inputs!$B$50="Old Music Box")</f>
        <v/>
      </c>
      <c r="N21">
        <f>IF(B21="Not Unlocked",0,B21)</f>
        <v/>
      </c>
    </row>
    <row r="22">
      <c r="A22" s="6" t="inlineStr">
        <is>
          <t>Silver Pendant</t>
        </is>
      </c>
      <c r="B22" s="7" t="inlineStr">
        <is>
          <t>Not Unlocked</t>
        </is>
      </c>
      <c r="C22" s="7" t="inlineStr">
        <is>
          <t>Rare</t>
        </is>
      </c>
      <c r="D22" s="7" t="inlineStr">
        <is>
          <t>(none)</t>
        </is>
      </c>
      <c r="E22">
        <f>IF($N$22&gt;=1,IF($D$22="Main Stat %",(CHOOSE(MATCH($C$22,{"Rare","Epic","Unique","Legendary","Mystic","Mystic (Prime)"},0),2,3,4.5,7,10,12))*Sensitivity!$H$6,IF($D$22="Damage Taken Decrease %",0,IF($D$22="Defense %",0,IF($D$22="Accuracy",0,IF($D$22="Critical Rate %",(CHOOSE(MATCH($C$22,{"Rare","Epic","Unique","Legendary","Mystic","Mystic (Prime)"},0),2,3,4.5,7,10,12))*Sensitivity!$H$15,IF($D$22="Min Damage Multiplier %",(CHOOSE(MATCH($C$22,{"Rare","Epic","Unique","Legendary","Mystic","Mystic (Prime)"},0),2,3,4.5,7,10,12))*Sensitivity!$H$13,IF($D$22="Max Damage Multiplier %",(CHOOSE(MATCH($C$22,{"Rare","Epic","Unique","Legendary","Mystic","Mystic (Prime)"},0),2,3,4.5,7,10,12))*Sensitivity!$H$14,IF($D$22="Boss Monster Damage %",(CHOOSE(MATCH($C$22,{"Rare","Epic","Unique","Legendary","Mystic","Mystic (Prime)"},0),4,6,9,14,20,24))*Sensitivity!$H$10,IF($D$22="Normal Monster Damage %",(CHOOSE(MATCH($C$22,{"Rare","Epic","Unique","Legendary","Mystic","Mystic (Prime)"},0),4,6,9,14,20,24))*Sensitivity!$H$11,IF($D$22="Status Effect Damage %",0,IF($D$22="Damage %",(CHOOSE(MATCH($C$22,{"Rare","Epic","Unique","Legendary","Mystic","Mystic (Prime)"},0),4,6,9,14,20,24))*Sensitivity!$H$8,IF($D$22="Defense Penetration %",(CHOOSE(MATCH($C$22,{"Rare","Epic","Unique","Legendary","Mystic","Mystic (Prime)"},0),2,3,4.5,7,10,12))*Sensitivity!$H$18,0)))))))))))),0)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(Prime)"},0),2,3,4.5,7,10,12))*Sensitivity!$H$15,IF($G$22="Min Damage Multiplier %",(CHOOSE(MATCH($F$22,{"Rare","Epic","Unique","Legendary","Mystic","Mystic (Prime)"},0),2,3,4.5,7,10,12))*Sensitivity!$H$13,IF($G$22="Max Damage Multiplier %",(CHOOSE(MATCH($F$22,{"Rare","Epic","Unique","Legendary","Mystic","Mystic (Prime)"},0),2,3,4.5,7,10,12))*Sensitivity!$H$14,IF($G$22="Boss Monster Damage %",(CHOOSE(MATCH($F$22,{"Rare","Epic","Unique","Legendary","Mystic","Mystic (Prime)"},0),4,6,9,14,20,24))*Sensitivity!$H$10,IF($G$22="Normal Monster Damage %",(CHOOSE(MATCH($F$22,{"Rare","Epic","Unique","Legendary","Mystic","Mystic (Prime)"},0),4,6,9,14,20,24))*Sensitivity!$H$11,IF($G$22="Status Effect Damage %",0,IF($G$22="Damage %",(CHOOSE(MATCH($F$22,{"Rare","Epic","Unique","Legendary","Mystic","Mystic (Prime)"},0),4,6,9,14,20,24))*Sensitivity!$H$8,IF($G$22="Defense Penetration %",(CHOOSE(MATCH($F$22,{"Rare","Epic","Unique","Legendary","Mystic","Mystic (Prime)"},0),2,3,4.5,7,10,12))*Sensitivity!$H$18,0)))))))))))),0)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(Prime)"},0),2,3,4.5,7,10,12))*Sensitivity!$H$15,IF($J$22="Min Damage Multiplier %",(CHOOSE(MATCH($I$22,{"Rare","Epic","Unique","Legendary","Mystic","Mystic (Prime)"},0),2,3,4.5,7,10,12))*Sensitivity!$H$13,IF($J$22="Max Damage Multiplier %",(CHOOSE(MATCH($I$22,{"Rare","Epic","Unique","Legendary","Mystic","Mystic (Prime)"},0),2,3,4.5,7,10,12))*Sensitivity!$H$14,IF($J$22="Boss Monster Damage %",(CHOOSE(MATCH($I$22,{"Rare","Epic","Unique","Legendary","Mystic","Mystic (Prime)"},0),4,6,9,14,20,24))*Sensitivity!$H$10,IF($J$22="Normal Monster Damage %",(CHOOSE(MATCH($I$22,{"Rare","Epic","Unique","Legendary","Mystic","Mystic (Prime)"},0),4,6,9,14,20,24))*Sensitivity!$H$11,IF($J$22="Status Effect Damage %",0,IF($J$22="Damage %",(CHOOSE(MATCH($I$22,{"Rare","Epic","Unique","Legendary","Mystic","Mystic (Prime)"},0),4,6,9,14,20,24))*Sensitivity!$H$8,IF($J$22="Defense Penetration %",(CHOOSE(MATCH($I$22,{"Rare","Epic","Unique","Legendary","Mystic","Mystic (Prime)"},0),2,3,4.5,7,10,12))*Sensitivity!$H$18,0)))))))))))),0)</f>
        <v/>
      </c>
      <c r="L22">
        <f>Summary!$B$3*((IF(D22="(none)",1,1+(E22+IF(G22=D22,H22,0)+IF(J22=D22,K22,0))/Summary!$B$3))*(IF(OR(G22="(none)",G22=D22),1,1+(H22+IF(D22=G22,E22,0)+IF(J22=G22,K22,0))/Summary!$B$3))*(IF(OR(J22="",J22="(none)",J22=D22,J22=G22),1,1+(K22+IF(D22=J22,E22,0)+IF(G22=J22,H22,0))/Summary!$B$3))-1)</f>
        <v/>
      </c>
      <c r="M22">
        <f>OR(Inputs!$B$47="Silver Pendant",Inputs!$B$48="Silver Pendant",Inputs!$B$49="Silver Pendant",Inputs!$B$50="Silver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(Prime)"},0),2,3,4.5,7,10,12))*Sensitivity!$H$15,IF($D$23="Min Damage Multiplier %",(CHOOSE(MATCH($C$23,{"Rare","Epic","Unique","Legendary","Mystic","Mystic (Prime)"},0),2,3,4.5,7,10,12))*Sensitivity!$H$13,IF($D$23="Max Damage Multiplier %",(CHOOSE(MATCH($C$23,{"Rare","Epic","Unique","Legendary","Mystic","Mystic (Prime)"},0),2,3,4.5,7,10,12))*Sensitivity!$H$14,IF($D$23="Boss Monster Damage %",(CHOOSE(MATCH($C$23,{"Rare","Epic","Unique","Legendary","Mystic","Mystic (Prime)"},0),4,6,9,14,20,24))*Sensitivity!$H$10,IF($D$23="Normal Monster Damage %",(CHOOSE(MATCH($C$23,{"Rare","Epic","Unique","Legendary","Mystic","Mystic (Prime)"},0),4,6,9,14,20,24))*Sensitivity!$H$11,IF($D$23="Status Effect Damage %",0,IF($D$23="Damage %",(CHOOSE(MATCH($C$23,{"Rare","Epic","Unique","Legendary","Mystic","Mystic (Prime)"},0),4,6,9,14,20,24))*Sensitivity!$H$8,IF($D$23="Defense Penetration %",(CHOOSE(MATCH($C$23,{"Rare","Epic","Unique","Legendary","Mystic","Mystic (Prime)"},0),2,3,4.5,7,10,12))*Sensitivity!$H$18,0)))))))))))),0)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(Prime)"},0),2,3,4.5,7,10,12))*Sensitivity!$H$15,IF($G$23="Min Damage Multiplier %",(CHOOSE(MATCH($F$23,{"Rare","Epic","Unique","Legendary","Mystic","Mystic (Prime)"},0),2,3,4.5,7,10,12))*Sensitivity!$H$13,IF($G$23="Max Damage Multiplier %",(CHOOSE(MATCH($F$23,{"Rare","Epic","Unique","Legendary","Mystic","Mystic (Prime)"},0),2,3,4.5,7,10,12))*Sensitivity!$H$14,IF($G$23="Boss Monster Damage %",(CHOOSE(MATCH($F$23,{"Rare","Epic","Unique","Legendary","Mystic","Mystic (Prime)"},0),4,6,9,14,20,24))*Sensitivity!$H$10,IF($G$23="Normal Monster Damage %",(CHOOSE(MATCH($F$23,{"Rare","Epic","Unique","Legendary","Mystic","Mystic (Prime)"},0),4,6,9,14,20,24))*Sensitivity!$H$11,IF($G$23="Status Effect Damage %",0,IF($G$23="Damage %",(CHOOSE(MATCH($F$23,{"Rare","Epic","Unique","Legendary","Mystic","Mystic (Prime)"},0),4,6,9,14,20,24))*Sensitivity!$H$8,IF($G$23="Defense Penetration %",(CHOOSE(MATCH($F$23,{"Rare","Epic","Unique","Legendary","Mystic","Mystic (Prime)"},0),2,3,4.5,7,10,12))*Sensitivity!$H$18,0)))))))))))),0)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(Prime)"},0),2,3,4.5,7,10,12))*Sensitivity!$H$15,IF($J$23="Min Damage Multiplier %",(CHOOSE(MATCH($I$23,{"Rare","Epic","Unique","Legendary","Mystic","Mystic (Prime)"},0),2,3,4.5,7,10,12))*Sensitivity!$H$13,IF($J$23="Max Damage Multiplier %",(CHOOSE(MATCH($I$23,{"Rare","Epic","Unique","Legendary","Mystic","Mystic (Prime)"},0),2,3,4.5,7,10,12))*Sensitivity!$H$14,IF($J$23="Boss Monster Damage %",(CHOOSE(MATCH($I$23,{"Rare","Epic","Unique","Legendary","Mystic","Mystic (Prime)"},0),4,6,9,14,20,24))*Sensitivity!$H$10,IF($J$23="Normal Monster Damage %",(CHOOSE(MATCH($I$23,{"Rare","Epic","Unique","Legendary","Mystic","Mystic (Prime)"},0),4,6,9,14,20,24))*Sensitivity!$H$11,IF($J$23="Status Effect Damage %",0,IF($J$23="Damage %",(CHOOSE(MATCH($I$23,{"Rare","Epic","Unique","Legendary","Mystic","Mystic (Prime)"},0),4,6,9,14,20,24))*Sensitivity!$H$8,IF($J$23="Defense Penetration %",(CHOOSE(MATCH($I$23,{"Rare","Epic","Unique","Legendary","Mystic","Mystic (Prime)"},0),2,3,4.5,7,10,12))*Sensitivity!$H$18,0)))))))))))),0)</f>
        <v/>
      </c>
      <c r="L23">
        <f>Summary!$B$3*((IF(D23="(none)",1,1+(E23+IF(G23=D23,H23,0)+IF(J23=D23,K23,0))/Summary!$B$3))*(IF(OR(G23="(none)",G23=D23),1,1+(H23+IF(D23=G23,E23,0)+IF(J23=G23,K23,0))/Summary!$B$3))*(IF(OR(J23="",J23="(none)",J23=D23,J23=G23),1,1+(K23+IF(D23=J23,E23,0)+IF(G23=J23,H23,0))/Summary!$B$3))-1)</f>
        <v/>
      </c>
      <c r="M23">
        <f>OR(Inputs!$B$47="Star Rock",Inputs!$B$48="Star Rock",Inputs!$B$49="Star Rock",Inputs!$B$50="Star Rock")</f>
        <v/>
      </c>
      <c r="N23">
        <f>IF(B23="Not Unlocked",0,B23)</f>
        <v/>
      </c>
    </row>
    <row r="24">
      <c r="A24" s="6" t="inlineStr">
        <is>
          <t>Book of Ancient</t>
        </is>
      </c>
      <c r="B24" s="7" t="inlineStr">
        <is>
          <t>Not Unlocked</t>
        </is>
      </c>
      <c r="C24" s="7" t="inlineStr">
        <is>
          <t>Rare</t>
        </is>
      </c>
      <c r="D24" s="7" t="inlineStr">
        <is>
          <t>(none)</t>
        </is>
      </c>
      <c r="E24">
        <f>IF($N$24&gt;=1,IF($D$24="Main Stat %",(CHOOSE(MATCH($C$24,{"Rare","Epic","Unique","Legendary","Mystic","Mystic (Prime)"},0),2,3,4.5,7,10,12))*Sensitivity!$H$6,IF($D$24="Damage Taken Decrease %",0,IF($D$24="Defense %",0,IF($D$24="Accuracy",0,IF($D$24="Critical Rate %",(CHOOSE(MATCH($C$24,{"Rare","Epic","Unique","Legendary","Mystic","Mystic (Prime)"},0),2,3,4.5,7,10,12))*Sensitivity!$H$15,IF($D$24="Min Damage Multiplier %",(CHOOSE(MATCH($C$24,{"Rare","Epic","Unique","Legendary","Mystic","Mystic (Prime)"},0),2,3,4.5,7,10,12))*Sensitivity!$H$13,IF($D$24="Max Damage Multiplier %",(CHOOSE(MATCH($C$24,{"Rare","Epic","Unique","Legendary","Mystic","Mystic (Prime)"},0),2,3,4.5,7,10,12))*Sensitivity!$H$14,IF($D$24="Boss Monster Damage %",(CHOOSE(MATCH($C$24,{"Rare","Epic","Unique","Legendary","Mystic","Mystic (Prime)"},0),4,6,9,14,20,24))*Sensitivity!$H$10,IF($D$24="Normal Monster Damage %",(CHOOSE(MATCH($C$24,{"Rare","Epic","Unique","Legendary","Mystic","Mystic (Prime)"},0),4,6,9,14,20,24))*Sensitivity!$H$11,IF($D$24="Status Effect Damage %",0,IF($D$24="Damage %",(CHOOSE(MATCH($C$24,{"Rare","Epic","Unique","Legendary","Mystic","Mystic (Prime)"},0),4,6,9,14,20,24))*Sensitivity!$H$8,IF($D$24="Defense Penetration %",(CHOOSE(MATCH($C$24,{"Rare","Epic","Unique","Legendary","Mystic","Mystic (Prime)"},0),2,3,4.5,7,10,12))*Sensitivity!$H$18,0)))))))))))),0)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(Prime)"},0),2,3,4.5,7,10,12))*Sensitivity!$H$15,IF($G$24="Min Damage Multiplier %",(CHOOSE(MATCH($F$24,{"Rare","Epic","Unique","Legendary","Mystic","Mystic (Prime)"},0),2,3,4.5,7,10,12))*Sensitivity!$H$13,IF($G$24="Max Damage Multiplier %",(CHOOSE(MATCH($F$24,{"Rare","Epic","Unique","Legendary","Mystic","Mystic (Prime)"},0),2,3,4.5,7,10,12))*Sensitivity!$H$14,IF($G$24="Boss Monster Damage %",(CHOOSE(MATCH($F$24,{"Rare","Epic","Unique","Legendary","Mystic","Mystic (Prime)"},0),4,6,9,14,20,24))*Sensitivity!$H$10,IF($G$24="Normal Monster Damage %",(CHOOSE(MATCH($F$24,{"Rare","Epic","Unique","Legendary","Mystic","Mystic (Prime)"},0),4,6,9,14,20,24))*Sensitivity!$H$11,IF($G$24="Status Effect Damage %",0,IF($G$24="Damage %",(CHOOSE(MATCH($F$24,{"Rare","Epic","Unique","Legendary","Mystic","Mystic (Prime)"},0),4,6,9,14,20,24))*Sensitivity!$H$8,IF($G$24="Defense Penetration %",(CHOOSE(MATCH($F$24,{"Rare","Epic","Unique","Legendary","Mystic","Mystic (Prime)"},0),2,3,4.5,7,10,12))*Sensitivity!$H$18,0)))))))))))),0)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(Prime)"},0),2,3,4.5,7,10,12))*Sensitivity!$H$15,IF($J$24="Min Damage Multiplier %",(CHOOSE(MATCH($I$24,{"Rare","Epic","Unique","Legendary","Mystic","Mystic (Prime)"},0),2,3,4.5,7,10,12))*Sensitivity!$H$13,IF($J$24="Max Damage Multiplier %",(CHOOSE(MATCH($I$24,{"Rare","Epic","Unique","Legendary","Mystic","Mystic (Prime)"},0),2,3,4.5,7,10,12))*Sensitivity!$H$14,IF($J$24="Boss Monster Damage %",(CHOOSE(MATCH($I$24,{"Rare","Epic","Unique","Legendary","Mystic","Mystic (Prime)"},0),4,6,9,14,20,24))*Sensitivity!$H$10,IF($J$24="Normal Monster Damage %",(CHOOSE(MATCH($I$24,{"Rare","Epic","Unique","Legendary","Mystic","Mystic (Prime)"},0),4,6,9,14,20,24))*Sensitivity!$H$11,IF($J$24="Status Effect Damage %",0,IF($J$24="Damage %",(CHOOSE(MATCH($I$24,{"Rare","Epic","Unique","Legendary","Mystic","Mystic (Prime)"},0),4,6,9,14,20,24))*Sensitivity!$H$8,IF($J$24="Defense Penetration %",(CHOOSE(MATCH($I$24,{"Rare","Epic","Unique","Legendary","Mystic","Mystic (Prime)"},0),2,3,4.5,7,10,12))*Sensitivity!$H$18,0)))))))))))),0)</f>
        <v/>
      </c>
      <c r="L24">
        <f>Summary!$B$3*((IF(D24="(none)",1,1+(E24+IF(G24=D24,H24,0)+IF(J24=D24,K24,0))/Summary!$B$3))*(IF(OR(G24="(none)",G24=D24),1,1+(H24+IF(D24=G24,E24,0)+IF(J24=G24,K24,0))/Summary!$B$3))*(IF(OR(J24="",J24="(none)",J24=D24,J24=G24),1,1+(K24+IF(D24=J24,E24,0)+IF(G24=J24,H24,0))/Summary!$B$3))-1)</f>
        <v/>
      </c>
      <c r="M24">
        <f>OR(Inputs!$B$47="Book of Ancient",Inputs!$B$48="Book of Ancient",Inputs!$B$49="Book of Ancient",Inputs!$B$50="Book of Ancient")</f>
        <v/>
      </c>
      <c r="N24">
        <f>IF(B24="Not Unlocked",0,B24)</f>
        <v/>
      </c>
    </row>
    <row r="25">
      <c r="A25" s="6" t="inlineStr">
        <is>
          <t>Lunar Dew</t>
        </is>
      </c>
      <c r="B25" s="7" t="inlineStr">
        <is>
          <t>Not Unlocked</t>
        </is>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(Prime)"},0),2,3,4.5,7,10,12))*Sensitivity!$H$15,IF($D$25="Min Damage Multiplier %",(CHOOSE(MATCH($C$25,{"Rare","Epic","Unique","Legendary","Mystic","Mystic (Prime)"},0),2,3,4.5,7,10,12))*Sensitivity!$H$13,IF($D$25="Max Damage Multiplier %",(CHOOSE(MATCH($C$25,{"Rare","Epic","Unique","Legendary","Mystic","Mystic (Prime)"},0),2,3,4.5,7,10,12))*Sensitivity!$H$14,IF($D$25="Boss Monster Damage %",(CHOOSE(MATCH($C$25,{"Rare","Epic","Unique","Legendary","Mystic","Mystic (Prime)"},0),4,6,9,14,20,24))*Sensitivity!$H$10,IF($D$25="Normal Monster Damage %",(CHOOSE(MATCH($C$25,{"Rare","Epic","Unique","Legendary","Mystic","Mystic (Prime)"},0),4,6,9,14,20,24))*Sensitivity!$H$11,IF($D$25="Status Effect Damage %",0,IF($D$25="Damage %",(CHOOSE(MATCH($C$25,{"Rare","Epic","Unique","Legendary","Mystic","Mystic (Prime)"},0),4,6,9,14,20,24))*Sensitivity!$H$8,IF($D$25="Defense Penetration %",(CHOOSE(MATCH($C$25,{"Rare","Epic","Unique","Legendary","Mystic","Mystic (Prime)"},0),2,3,4.5,7,10,12))*Sensitivity!$H$18,0)))))))))))),0)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(Prime)"},0),2,3,4.5,7,10,12))*Sensitivity!$H$15,IF($G$25="Min Damage Multiplier %",(CHOOSE(MATCH($F$25,{"Rare","Epic","Unique","Legendary","Mystic","Mystic (Prime)"},0),2,3,4.5,7,10,12))*Sensitivity!$H$13,IF($G$25="Max Damage Multiplier %",(CHOOSE(MATCH($F$25,{"Rare","Epic","Unique","Legendary","Mystic","Mystic (Prime)"},0),2,3,4.5,7,10,12))*Sensitivity!$H$14,IF($G$25="Boss Monster Damage %",(CHOOSE(MATCH($F$25,{"Rare","Epic","Unique","Legendary","Mystic","Mystic (Prime)"},0),4,6,9,14,20,24))*Sensitivity!$H$10,IF($G$25="Normal Monster Damage %",(CHOOSE(MATCH($F$25,{"Rare","Epic","Unique","Legendary","Mystic","Mystic (Prime)"},0),4,6,9,14,20,24))*Sensitivity!$H$11,IF($G$25="Status Effect Damage %",0,IF($G$25="Damage %",(CHOOSE(MATCH($F$25,{"Rare","Epic","Unique","Legendary","Mystic","Mystic (Prime)"},0),4,6,9,14,20,24))*Sensitivity!$H$8,IF($G$25="Defense Penetration %",(CHOOSE(MATCH($F$25,{"Rare","Epic","Unique","Legendary","Mystic","Mystic (Prime)"},0),2,3,4.5,7,10,12))*Sensitivity!$H$18,0)))))))))))),0)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(Prime)"},0),2,3,4.5,7,10,12))*Sensitivity!$H$15,IF($J$25="Min Damage Multiplier %",(CHOOSE(MATCH($I$25,{"Rare","Epic","Unique","Legendary","Mystic","Mystic (Prime)"},0),2,3,4.5,7,10,12))*Sensitivity!$H$13,IF($J$25="Max Damage Multiplier %",(CHOOSE(MATCH($I$25,{"Rare","Epic","Unique","Legendary","Mystic","Mystic (Prime)"},0),2,3,4.5,7,10,12))*Sensitivity!$H$14,IF($J$25="Boss Monster Damage %",(CHOOSE(MATCH($I$25,{"Rare","Epic","Unique","Legendary","Mystic","Mystic (Prime)"},0),4,6,9,14,20,24))*Sensitivity!$H$10,IF($J$25="Normal Monster Damage %",(CHOOSE(MATCH($I$25,{"Rare","Epic","Unique","Legendary","Mystic","Mystic (Prime)"},0),4,6,9,14,20,24))*Sensitivity!$H$11,IF($J$25="Status Effect Damage %",0,IF($J$25="Damage %",(CHOOSE(MATCH($I$25,{"Rare","Epic","Unique","Legendary","Mystic","Mystic (Prime)"},0),4,6,9,14,20,24))*Sensitivity!$H$8,IF($J$25="Defense Penetration %",(CHOOSE(MATCH($I$25,{"Rare","Epic","Unique","Legendary","Mystic","Mystic (Prime)"},0),2,3,4.5,7,10,12))*Sensitivity!$H$18,0)))))))))))),0)</f>
        <v/>
      </c>
      <c r="L25">
        <f>Summary!$B$3*((IF(D25="(none)",1,1+(E25+IF(G25=D25,H25,0)+IF(J25=D25,K25,0))/Summary!$B$3))*(IF(OR(G25="(none)",G25=D25),1,1+(H25+IF(D25=G25,E25,0)+IF(J25=G25,K25,0))/Summary!$B$3))*(IF(OR(J25="",J25="(none)",J25=D25,J25=G25),1,1+(K25+IF(D25=J25,E25,0)+IF(G25=J25,H25,0))/Summary!$B$3))-1)</f>
        <v/>
      </c>
      <c r="M25">
        <f>OR(Inputs!$B$47="Lunar Dew",Inputs!$B$48="Lunar Dew",Inputs!$B$49="Lunar Dew",Inputs!$B$50="Lunar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(Prime)"},0),2,3,4.5,7,10,12))*Sensitivity!$H$15,IF($D$26="Min Damage Multiplier %",(CHOOSE(MATCH($C$26,{"Rare","Epic","Unique","Legendary","Mystic","Mystic (Prime)"},0),2,3,4.5,7,10,12))*Sensitivity!$H$13,IF($D$26="Max Damage Multiplier %",(CHOOSE(MATCH($C$26,{"Rare","Epic","Unique","Legendary","Mystic","Mystic (Prime)"},0),2,3,4.5,7,10,12))*Sensitivity!$H$14,IF($D$26="Boss Monster Damage %",(CHOOSE(MATCH($C$26,{"Rare","Epic","Unique","Legendary","Mystic","Mystic (Prime)"},0),4,6,9,14,20,24))*Sensitivity!$H$10,IF($D$26="Normal Monster Damage %",(CHOOSE(MATCH($C$26,{"Rare","Epic","Unique","Legendary","Mystic","Mystic (Prime)"},0),4,6,9,14,20,24))*Sensitivity!$H$11,IF($D$26="Status Effect Damage %",0,IF($D$26="Damage %",(CHOOSE(MATCH($C$26,{"Rare","Epic","Unique","Legendary","Mystic","Mystic (Prime)"},0),4,6,9,14,20,24))*Sensitivity!$H$8,IF($D$26="Defense Penetration %",(CHOOSE(MATCH($C$26,{"Rare","Epic","Unique","Legendary","Mystic","Mystic (Prime)"},0),2,3,4.5,7,10,12))*Sensitivity!$H$18,0)))))))))))),0)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(Prime)"},0),2,3,4.5,7,10,12))*Sensitivity!$H$15,IF($G$26="Min Damage Multiplier %",(CHOOSE(MATCH($F$26,{"Rare","Epic","Unique","Legendary","Mystic","Mystic (Prime)"},0),2,3,4.5,7,10,12))*Sensitivity!$H$13,IF($G$26="Max Damage Multiplier %",(CHOOSE(MATCH($F$26,{"Rare","Epic","Unique","Legendary","Mystic","Mystic (Prime)"},0),2,3,4.5,7,10,12))*Sensitivity!$H$14,IF($G$26="Boss Monster Damage %",(CHOOSE(MATCH($F$26,{"Rare","Epic","Unique","Legendary","Mystic","Mystic (Prime)"},0),4,6,9,14,20,24))*Sensitivity!$H$10,IF($G$26="Normal Monster Damage %",(CHOOSE(MATCH($F$26,{"Rare","Epic","Unique","Legendary","Mystic","Mystic (Prime)"},0),4,6,9,14,20,24))*Sensitivity!$H$11,IF($G$26="Status Effect Damage %",0,IF($G$26="Damage %",(CHOOSE(MATCH($F$26,{"Rare","Epic","Unique","Legendary","Mystic","Mystic (Prime)"},0),4,6,9,14,20,24))*Sensitivity!$H$8,IF($G$26="Defense Penetration %",(CHOOSE(MATCH($F$26,{"Rare","Epic","Unique","Legendary","Mystic","Mystic (Prime)"},0),2,3,4.5,7,10,12))*Sensitivity!$H$18,0)))))))))))),0)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(Prime)"},0),2,3,4.5,7,10,12))*Sensitivity!$H$15,IF($J$26="Min Damage Multiplier %",(CHOOSE(MATCH($I$26,{"Rare","Epic","Unique","Legendary","Mystic","Mystic (Prime)"},0),2,3,4.5,7,10,12))*Sensitivity!$H$13,IF($J$26="Max Damage Multiplier %",(CHOOSE(MATCH($I$26,{"Rare","Epic","Unique","Legendary","Mystic","Mystic (Prime)"},0),2,3,4.5,7,10,12))*Sensitivity!$H$14,IF($J$26="Boss Monster Damage %",(CHOOSE(MATCH($I$26,{"Rare","Epic","Unique","Legendary","Mystic","Mystic (Prime)"},0),4,6,9,14,20,24))*Sensitivity!$H$10,IF($J$26="Normal Monster Damage %",(CHOOSE(MATCH($I$26,{"Rare","Epic","Unique","Legendary","Mystic","Mystic (Prime)"},0),4,6,9,14,20,24))*Sensitivity!$H$11,IF($J$26="Status Effect Damage %",0,IF($J$26="Damage %",(CHOOSE(MATCH($I$26,{"Rare","Epic","Unique","Legendary","Mystic","Mystic (Prime)"},0),4,6,9,14,20,24))*Sensitivity!$H$8,IF($J$26="Defense Penetration %",(CHOOSE(MATCH($I$26,{"Rare","Epic","Unique","Legendary","Mystic","Mystic (Prime)"},0),2,3,4.5,7,10,12))*Sensitivity!$H$18,0)))))))))))),0)</f>
        <v/>
      </c>
      <c r="L26">
        <f>Summary!$B$3*((IF(D26="(none)",1,1+(E26+IF(G26=D26,H26,0)+IF(J26=D26,K26,0))/Summary!$B$3))*(IF(OR(G26="(none)",G26=D26),1,1+(H26+IF(D26=G26,E26,0)+IF(J26=G26,K26,0))/Summary!$B$3))*(IF(OR(J26="",J26="(none)",J26=D26,J26=G26),1,1+(K26+IF(D26=J26,E26,0)+IF(G26=J26,H26,0))/Summary!$B$3))-1)</f>
        <v/>
      </c>
      <c r="M26">
        <f>OR(Inputs!$B$47="Fire Flower",Inputs!$B$48="Fire Flower",Inputs!$B$49="Fire Flower",Inputs!$B$50="Fire Flower")</f>
        <v/>
      </c>
      <c r="N26">
        <f>IF(B26="Not Unlocked",0,B26)</f>
        <v/>
      </c>
    </row>
    <row r="27">
      <c r="A27" s="6" t="inlineStr">
        <is>
          <t>Soul Contract</t>
        </is>
      </c>
      <c r="B27" s="7" t="inlineStr">
        <is>
          <t>Not Unlocked</t>
        </is>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(Prime)"},0),2,3,4.5,7,10,12))*Sensitivity!$H$15,IF($D$27="Min Damage Multiplier %",(CHOOSE(MATCH($C$27,{"Rare","Epic","Unique","Legendary","Mystic","Mystic (Prime)"},0),2,3,4.5,7,10,12))*Sensitivity!$H$13,IF($D$27="Max Damage Multiplier %",(CHOOSE(MATCH($C$27,{"Rare","Epic","Unique","Legendary","Mystic","Mystic (Prime)"},0),2,3,4.5,7,10,12))*Sensitivity!$H$14,IF($D$27="Boss Monster Damage %",(CHOOSE(MATCH($C$27,{"Rare","Epic","Unique","Legendary","Mystic","Mystic (Prime)"},0),4,6,9,14,20,24))*Sensitivity!$H$10,IF($D$27="Normal Monster Damage %",(CHOOSE(MATCH($C$27,{"Rare","Epic","Unique","Legendary","Mystic","Mystic (Prime)"},0),4,6,9,14,20,24))*Sensitivity!$H$11,IF($D$27="Status Effect Damage %",0,IF($D$27="Damage %",(CHOOSE(MATCH($C$27,{"Rare","Epic","Unique","Legendary","Mystic","Mystic (Prime)"},0),4,6,9,14,20,24))*Sensitivity!$H$8,IF($D$27="Defense Penetration %",(CHOOSE(MATCH($C$27,{"Rare","Epic","Unique","Legendary","Mystic","Mystic (Prime)"},0),2,3,4.5,7,10,12))*Sensitivity!$H$18,0)))))))))))),0)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(Prime)"},0),2,3,4.5,7,10,12))*Sensitivity!$H$15,IF($G$27="Min Damage Multiplier %",(CHOOSE(MATCH($F$27,{"Rare","Epic","Unique","Legendary","Mystic","Mystic (Prime)"},0),2,3,4.5,7,10,12))*Sensitivity!$H$13,IF($G$27="Max Damage Multiplier %",(CHOOSE(MATCH($F$27,{"Rare","Epic","Unique","Legendary","Mystic","Mystic (Prime)"},0),2,3,4.5,7,10,12))*Sensitivity!$H$14,IF($G$27="Boss Monster Damage %",(CHOOSE(MATCH($F$27,{"Rare","Epic","Unique","Legendary","Mystic","Mystic (Prime)"},0),4,6,9,14,20,24))*Sensitivity!$H$10,IF($G$27="Normal Monster Damage %",(CHOOSE(MATCH($F$27,{"Rare","Epic","Unique","Legendary","Mystic","Mystic (Prime)"},0),4,6,9,14,20,24))*Sensitivity!$H$11,IF($G$27="Status Effect Damage %",0,IF($G$27="Damage %",(CHOOSE(MATCH($F$27,{"Rare","Epic","Unique","Legendary","Mystic","Mystic (Prime)"},0),4,6,9,14,20,24))*Sensitivity!$H$8,IF($G$27="Defense Penetration %",(CHOOSE(MATCH($F$27,{"Rare","Epic","Unique","Legendary","Mystic","Mystic (Prime)"},0),2,3,4.5,7,10,12))*Sensitivity!$H$18,0)))))))))))),0)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(Prime)"},0),2,3,4.5,7,10,12))*Sensitivity!$H$15,IF($J$27="Min Damage Multiplier %",(CHOOSE(MATCH($I$27,{"Rare","Epic","Unique","Legendary","Mystic","Mystic (Prime)"},0),2,3,4.5,7,10,12))*Sensitivity!$H$13,IF($J$27="Max Damage Multiplier %",(CHOOSE(MATCH($I$27,{"Rare","Epic","Unique","Legendary","Mystic","Mystic (Prime)"},0),2,3,4.5,7,10,12))*Sensitivity!$H$14,IF($J$27="Boss Monster Damage %",(CHOOSE(MATCH($I$27,{"Rare","Epic","Unique","Legendary","Mystic","Mystic (Prime)"},0),4,6,9,14,20,24))*Sensitivity!$H$10,IF($J$27="Normal Monster Damage %",(CHOOSE(MATCH($I$27,{"Rare","Epic","Unique","Legendary","Mystic","Mystic (Prime)"},0),4,6,9,14,20,24))*Sensitivity!$H$11,IF($J$27="Status Effect Damage %",0,IF($J$27="Damage %",(CHOOSE(MATCH($I$27,{"Rare","Epic","Unique","Legendary","Mystic","Mystic (Prime)"},0),4,6,9,14,20,24))*Sensitivity!$H$8,IF($J$27="Defense Penetration %",(CHOOSE(MATCH($I$27,{"Rare","Epic","Unique","Legendary","Mystic","Mystic (Prime)"},0),2,3,4.5,7,10,12))*Sensitivity!$H$18,0)))))))))))),0)</f>
        <v/>
      </c>
      <c r="L27">
        <f>Summary!$B$3*((IF(D27="(none)",1,1+(E27+IF(G27=D27,H27,0)+IF(J27=D27,K27,0))/Summary!$B$3))*(IF(OR(G27="(none)",G27=D27),1,1+(H27+IF(D27=G27,E27,0)+IF(J27=G27,K27,0))/Summary!$B$3))*(IF(OR(J27="",J27="(none)",J27=D27,J27=G27),1,1+(K27+IF(D27=J27,E27,0)+IF(G27=J27,H27,0))/Summary!$B$3))-1)</f>
        <v/>
      </c>
      <c r="M27">
        <f>OR(Inputs!$B$47="Soul Contract",Inputs!$B$48="Soul Contract",Inputs!$B$49="Soul Contract",Inputs!$B$50="Soul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(Prime)"},0),2,3,4.5,7,10,12))*Sensitivity!$H$15,IF($D$28="Min Damage Multiplier %",(CHOOSE(MATCH($C$28,{"Rare","Epic","Unique","Legendary","Mystic","Mystic (Prime)"},0),2,3,4.5,7,10,12))*Sensitivity!$H$13,IF($D$28="Max Damage Multiplier %",(CHOOSE(MATCH($C$28,{"Rare","Epic","Unique","Legendary","Mystic","Mystic (Prime)"},0),2,3,4.5,7,10,12))*Sensitivity!$H$14,IF($D$28="Boss Monster Damage %",(CHOOSE(MATCH($C$28,{"Rare","Epic","Unique","Legendary","Mystic","Mystic (Prime)"},0),4,6,9,14,20,24))*Sensitivity!$H$10,IF($D$28="Normal Monster Damage %",(CHOOSE(MATCH($C$28,{"Rare","Epic","Unique","Legendary","Mystic","Mystic (Prime)"},0),4,6,9,14,20,24))*Sensitivity!$H$11,IF($D$28="Status Effect Damage %",0,IF($D$28="Damage %",(CHOOSE(MATCH($C$28,{"Rare","Epic","Unique","Legendary","Mystic","Mystic (Prime)"},0),4,6,9,14,20,24))*Sensitivity!$H$8,IF($D$28="Defense Penetration %",(CHOOSE(MATCH($C$28,{"Rare","Epic","Unique","Legendary","Mystic","Mystic (Prime)"},0),2,3,4.5,7,10,12))*Sensitivity!$H$18,0)))))))))))),0)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(Prime)"},0),2,3,4.5,7,10,12))*Sensitivity!$H$15,IF($G$28="Min Damage Multiplier %",(CHOOSE(MATCH($F$28,{"Rare","Epic","Unique","Legendary","Mystic","Mystic (Prime)"},0),2,3,4.5,7,10,12))*Sensitivity!$H$13,IF($G$28="Max Damage Multiplier %",(CHOOSE(MATCH($F$28,{"Rare","Epic","Unique","Legendary","Mystic","Mystic (Prime)"},0),2,3,4.5,7,10,12))*Sensitivity!$H$14,IF($G$28="Boss Monster Damage %",(CHOOSE(MATCH($F$28,{"Rare","Epic","Unique","Legendary","Mystic","Mystic (Prime)"},0),4,6,9,14,20,24))*Sensitivity!$H$10,IF($G$28="Normal Monster Damage %",(CHOOSE(MATCH($F$28,{"Rare","Epic","Unique","Legendary","Mystic","Mystic (Prime)"},0),4,6,9,14,20,24))*Sensitivity!$H$11,IF($G$28="Status Effect Damage %",0,IF($G$28="Damage %",(CHOOSE(MATCH($F$28,{"Rare","Epic","Unique","Legendary","Mystic","Mystic (Prime)"},0),4,6,9,14,20,24))*Sensitivity!$H$8,IF($G$28="Defense Penetration %",(CHOOSE(MATCH($F$28,{"Rare","Epic","Unique","Legendary","Mystic","Mystic (Prime)"},0),2,3,4.5,7,10,12))*Sensitivity!$H$18,0)))))))))))),0)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(Prime)"},0),2,3,4.5,7,10,12))*Sensitivity!$H$15,IF($J$28="Min Damage Multiplier %",(CHOOSE(MATCH($I$28,{"Rare","Epic","Unique","Legendary","Mystic","Mystic (Prime)"},0),2,3,4.5,7,10,12))*Sensitivity!$H$13,IF($J$28="Max Damage Multiplier %",(CHOOSE(MATCH($I$28,{"Rare","Epic","Unique","Legendary","Mystic","Mystic (Prime)"},0),2,3,4.5,7,10,12))*Sensitivity!$H$14,IF($J$28="Boss Monster Damage %",(CHOOSE(MATCH($I$28,{"Rare","Epic","Unique","Legendary","Mystic","Mystic (Prime)"},0),4,6,9,14,20,24))*Sensitivity!$H$10,IF($J$28="Normal Monster Damage %",(CHOOSE(MATCH($I$28,{"Rare","Epic","Unique","Legendary","Mystic","Mystic (Prime)"},0),4,6,9,14,20,24))*Sensitivity!$H$11,IF($J$28="Status Effect Damage %",0,IF($J$28="Damage %",(CHOOSE(MATCH($I$28,{"Rare","Epic","Unique","Legendary","Mystic","Mystic (Prime)"},0),4,6,9,14,20,24))*Sensitivity!$H$8,IF($J$28="Defense Penetration %",(CHOOSE(MATCH($I$28,{"Rare","Epic","Unique","Legendary","Mystic","Mystic (Prime)"},0),2,3,4.5,7,10,12))*Sensitivity!$H$18,0)))))))))))),0)</f>
        <v/>
      </c>
      <c r="L28">
        <f>Summary!$B$3*((IF(D28="(none)",1,1+(E28+IF(G28=D28,H28,0)+IF(J28=D28,K28,0))/Summary!$B$3))*(IF(OR(G28="(none)",G28=D28),1,1+(H28+IF(D28=G28,E28,0)+IF(J28=G28,K28,0))/Summary!$B$3))*(IF(OR(J28="",J28="(none)",J28=D28,J28=G28),1,1+(K28+IF(D28=J28,E28,0)+IF(G28=J28,H28,0))/Summary!$B$3))-1)</f>
        <v/>
      </c>
      <c r="M28">
        <f>OR(Inputs!$B$47="Lit Lamp",Inputs!$B$48="Lit Lamp",Inputs!$B$49="Lit Lamp",Inputs!$B$50="Lit Lamp")</f>
        <v/>
      </c>
      <c r="N28">
        <f>IF(B28="Not Unlocked",0,B28)</f>
        <v/>
      </c>
    </row>
    <row r="29">
      <c r="A29" s="6" t="inlineStr">
        <is>
          <t>Soul Pouch</t>
        </is>
      </c>
      <c r="B29" s="7" t="inlineStr">
        <is>
          <t>Not Unlocked</t>
        </is>
      </c>
      <c r="C29" s="7" t="inlineStr">
        <is>
          <t>Rare</t>
        </is>
      </c>
      <c r="D29" s="7" t="inlineStr">
        <is>
          <t>(none)</t>
        </is>
      </c>
      <c r="E29">
        <f>IF($N$29&gt;=1,IF($D$29="Main Stat %",(CHOOSE(MATCH($C$29,{"Rare","Epic","Unique","Legendary","Mystic","Mystic (Prime)"},0),2,3,4.5,7,10,12))*Sensitivity!$H$6,IF($D$29="Damage Taken Decrease %",0,IF($D$29="Defense %",0,IF($D$29="Accuracy",0,IF($D$29="Critical Rate %",(CHOOSE(MATCH($C$29,{"Rare","Epic","Unique","Legendary","Mystic","Mystic (Prime)"},0),2,3,4.5,7,10,12))*Sensitivity!$H$15,IF($D$29="Min Damage Multiplier %",(CHOOSE(MATCH($C$29,{"Rare","Epic","Unique","Legendary","Mystic","Mystic (Prime)"},0),2,3,4.5,7,10,12))*Sensitivity!$H$13,IF($D$29="Max Damage Multiplier %",(CHOOSE(MATCH($C$29,{"Rare","Epic","Unique","Legendary","Mystic","Mystic (Prime)"},0),2,3,4.5,7,10,12))*Sensitivity!$H$14,IF($D$29="Boss Monster Damage %",(CHOOSE(MATCH($C$29,{"Rare","Epic","Unique","Legendary","Mystic","Mystic (Prime)"},0),4,6,9,14,20,24))*Sensitivity!$H$10,IF($D$29="Normal Monster Damage %",(CHOOSE(MATCH($C$29,{"Rare","Epic","Unique","Legendary","Mystic","Mystic (Prime)"},0),4,6,9,14,20,24))*Sensitivity!$H$11,IF($D$29="Status Effect Damage %",0,IF($D$29="Damage %",(CHOOSE(MATCH($C$29,{"Rare","Epic","Unique","Legendary","Mystic","Mystic (Prime)"},0),4,6,9,14,20,24))*Sensitivity!$H$8,IF($D$29="Defense Penetration %",(CHOOSE(MATCH($C$29,{"Rare","Epic","Unique","Legendary","Mystic","Mystic (Prime)"},0),2,3,4.5,7,10,12))*Sensitivity!$H$18,0)))))))))))),0)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(Prime)"},0),2,3,4.5,7,10,12))*Sensitivity!$H$15,IF($G$29="Min Damage Multiplier %",(CHOOSE(MATCH($F$29,{"Rare","Epic","Unique","Legendary","Mystic","Mystic (Prime)"},0),2,3,4.5,7,10,12))*Sensitivity!$H$13,IF($G$29="Max Damage Multiplier %",(CHOOSE(MATCH($F$29,{"Rare","Epic","Unique","Legendary","Mystic","Mystic (Prime)"},0),2,3,4.5,7,10,12))*Sensitivity!$H$14,IF($G$29="Boss Monster Damage %",(CHOOSE(MATCH($F$29,{"Rare","Epic","Unique","Legendary","Mystic","Mystic (Prime)"},0),4,6,9,14,20,24))*Sensitivity!$H$10,IF($G$29="Normal Monster Damage %",(CHOOSE(MATCH($F$29,{"Rare","Epic","Unique","Legendary","Mystic","Mystic (Prime)"},0),4,6,9,14,20,24))*Sensitivity!$H$11,IF($G$29="Status Effect Damage %",0,IF($G$29="Damage %",(CHOOSE(MATCH($F$29,{"Rare","Epic","Unique","Legendary","Mystic","Mystic (Prime)"},0),4,6,9,14,20,24))*Sensitivity!$H$8,IF($G$29="Defense Penetration %",(CHOOSE(MATCH($F$29,{"Rare","Epic","Unique","Legendary","Mystic","Mystic (Prime)"},0),2,3,4.5,7,10,12))*Sensitivity!$H$18,0)))))))))))),0)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(Prime)"},0),2,3,4.5,7,10,12))*Sensitivity!$H$15,IF($J$29="Min Damage Multiplier %",(CHOOSE(MATCH($I$29,{"Rare","Epic","Unique","Legendary","Mystic","Mystic (Prime)"},0),2,3,4.5,7,10,12))*Sensitivity!$H$13,IF($J$29="Max Damage Multiplier %",(CHOOSE(MATCH($I$29,{"Rare","Epic","Unique","Legendary","Mystic","Mystic (Prime)"},0),2,3,4.5,7,10,12))*Sensitivity!$H$14,IF($J$29="Boss Monster Damage %",(CHOOSE(MATCH($I$29,{"Rare","Epic","Unique","Legendary","Mystic","Mystic (Prime)"},0),4,6,9,14,20,24))*Sensitivity!$H$10,IF($J$29="Normal Monster Damage %",(CHOOSE(MATCH($I$29,{"Rare","Epic","Unique","Legendary","Mystic","Mystic (Prime)"},0),4,6,9,14,20,24))*Sensitivity!$H$11,IF($J$29="Status Effect Damage %",0,IF($J$29="Damage %",(CHOOSE(MATCH($I$29,{"Rare","Epic","Unique","Legendary","Mystic","Mystic (Prime)"},0),4,6,9,14,20,24))*Sensitivity!$H$8,IF($J$29="Defense Penetration %",(CHOOSE(MATCH($I$29,{"Rare","Epic","Unique","Legendary","Mystic","Mystic (Prime)"},0),2,3,4.5,7,10,12))*Sensitivity!$H$18,0)))))))))))),0)</f>
        <v/>
      </c>
      <c r="L29">
        <f>Summary!$B$3*((IF(D29="(none)",1,1+(E29+IF(G29=D29,H29,0)+IF(J29=D29,K29,0))/Summary!$B$3))*(IF(OR(G29="(none)",G29=D29),1,1+(H29+IF(D29=G29,E29,0)+IF(J29=G29,K29,0))/Summary!$B$3))*(IF(OR(J29="",J29="(none)",J29=D29,J29=G29),1,1+(K29+IF(D29=J29,E29,0)+IF(G29=J29,H29,0))/Summary!$B$3))-1)</f>
        <v/>
      </c>
      <c r="M29">
        <f>OR(Inputs!$B$47="Soul Pouch",Inputs!$B$48="Soul Pouch",Inputs!$B$49="Soul Pouch",Inputs!$B$50="Soul Pouch")</f>
        <v/>
      </c>
      <c r="N29">
        <f>IF(B29="Not Unlocked",0,B29)</f>
        <v/>
      </c>
    </row>
    <row r="30">
      <c r="A30" s="6" t="inlineStr">
        <is>
          <t>Ancient Text Piece</t>
        </is>
      </c>
      <c r="B30" s="7" t="inlineStr">
        <is>
          <t>Not Unlocked</t>
        </is>
      </c>
      <c r="C30" s="7" t="inlineStr">
        <is>
          <t>Rare</t>
        </is>
      </c>
      <c r="D30" s="7" t="inlineStr">
        <is>
          <t>(none)</t>
        </is>
      </c>
      <c r="E30">
        <f>IF($N$30&gt;=1,IF($D$30="Main Stat %",(CHOOSE(MATCH($C$30,{"Rare","Epic","Unique","Legendary","Mystic","Mystic (Prime)"},0),2,3,4.5,7,10,12))*Sensitivity!$H$6,IF($D$30="Damage Taken Decrease %",0,IF($D$30="Defense %",0,IF($D$30="Accuracy",0,IF($D$30="Critical Rate %",(CHOOSE(MATCH($C$30,{"Rare","Epic","Unique","Legendary","Mystic","Mystic (Prime)"},0),2,3,4.5,7,10,12))*Sensitivity!$H$15,IF($D$30="Min Damage Multiplier %",(CHOOSE(MATCH($C$30,{"Rare","Epic","Unique","Legendary","Mystic","Mystic (Prime)"},0),2,3,4.5,7,10,12))*Sensitivity!$H$13,IF($D$30="Max Damage Multiplier %",(CHOOSE(MATCH($C$30,{"Rare","Epic","Unique","Legendary","Mystic","Mystic (Prime)"},0),2,3,4.5,7,10,12))*Sensitivity!$H$14,IF($D$30="Boss Monster Damage %",(CHOOSE(MATCH($C$30,{"Rare","Epic","Unique","Legendary","Mystic","Mystic (Prime)"},0),4,6,9,14,20,24))*Sensitivity!$H$10,IF($D$30="Normal Monster Damage %",(CHOOSE(MATCH($C$30,{"Rare","Epic","Unique","Legendary","Mystic","Mystic (Prime)"},0),4,6,9,14,20,24))*Sensitivity!$H$11,IF($D$30="Status Effect Damage %",0,IF($D$30="Damage %",(CHOOSE(MATCH($C$30,{"Rare","Epic","Unique","Legendary","Mystic","Mystic (Prime)"},0),4,6,9,14,20,24))*Sensitivity!$H$8,IF($D$30="Defense Penetration %",(CHOOSE(MATCH($C$30,{"Rare","Epic","Unique","Legendary","Mystic","Mystic (Prime)"},0),2,3,4.5,7,10,12))*Sensitivity!$H$18,0)))))))))))),0)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(Prime)"},0),2,3,4.5,7,10,12))*Sensitivity!$H$15,IF($G$30="Min Damage Multiplier %",(CHOOSE(MATCH($F$30,{"Rare","Epic","Unique","Legendary","Mystic","Mystic (Prime)"},0),2,3,4.5,7,10,12))*Sensitivity!$H$13,IF($G$30="Max Damage Multiplier %",(CHOOSE(MATCH($F$30,{"Rare","Epic","Unique","Legendary","Mystic","Mystic (Prime)"},0),2,3,4.5,7,10,12))*Sensitivity!$H$14,IF($G$30="Boss Monster Damage %",(CHOOSE(MATCH($F$30,{"Rare","Epic","Unique","Legendary","Mystic","Mystic (Prime)"},0),4,6,9,14,20,24))*Sensitivity!$H$10,IF($G$30="Normal Monster Damage %",(CHOOSE(MATCH($F$30,{"Rare","Epic","Unique","Legendary","Mystic","Mystic (Prime)"},0),4,6,9,14,20,24))*Sensitivity!$H$11,IF($G$30="Status Effect Damage %",0,IF($G$30="Damage %",(CHOOSE(MATCH($F$30,{"Rare","Epic","Unique","Legendary","Mystic","Mystic (Prime)"},0),4,6,9,14,20,24))*Sensitivity!$H$8,IF($G$30="Defense Penetration %",(CHOOSE(MATCH($F$30,{"Rare","Epic","Unique","Legendary","Mystic","Mystic (Prime)"},0),2,3,4.5,7,10,12))*Sensitivity!$H$18,0)))))))))))),0)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(Prime)"},0),2,3,4.5,7,10,12))*Sensitivity!$H$15,IF($J$30="Min Damage Multiplier %",(CHOOSE(MATCH($I$30,{"Rare","Epic","Unique","Legendary","Mystic","Mystic (Prime)"},0),2,3,4.5,7,10,12))*Sensitivity!$H$13,IF($J$30="Max Damage Multiplier %",(CHOOSE(MATCH($I$30,{"Rare","Epic","Unique","Legendary","Mystic","Mystic (Prime)"},0),2,3,4.5,7,10,12))*Sensitivity!$H$14,IF($J$30="Boss Monster Damage %",(CHOOSE(MATCH($I$30,{"Rare","Epic","Unique","Legendary","Mystic","Mystic (Prime)"},0),4,6,9,14,20,24))*Sensitivity!$H$10,IF($J$30="Normal Monster Damage %",(CHOOSE(MATCH($I$30,{"Rare","Epic","Unique","Legendary","Mystic","Mystic (Prime)"},0),4,6,9,14,20,24))*Sensitivity!$H$11,IF($J$30="Status Effect Damage %",0,IF($J$30="Damage %",(CHOOSE(MATCH($I$30,{"Rare","Epic","Unique","Legendary","Mystic","Mystic (Prime)"},0),4,6,9,14,20,24))*Sensitivity!$H$8,IF($J$30="Defense Penetration %",(CHOOSE(MATCH($I$30,{"Rare","Epic","Unique","Legendary","Mystic","Mystic (Prime)"},0),2,3,4.5,7,10,12))*Sensitivity!$H$18,0)))))))))))),0)</f>
        <v/>
      </c>
      <c r="L30">
        <f>Summary!$B$3*((IF(D30="(none)",1,1+(E30+IF(G30=D30,H30,0)+IF(J30=D30,K30,0))/Summary!$B$3))*(IF(OR(G30="(none)",G30=D30),1,1+(H30+IF(D30=G30,E30,0)+IF(J30=G30,K30,0))/Summary!$B$3))*(IF(OR(J30="",J30="(none)",J30=D30,J30=G30),1,1+(K30+IF(D30=J30,E30,0)+IF(G30=J30,H30,0))/Summary!$B$3))-1)</f>
        <v/>
      </c>
      <c r="M30">
        <f>OR(Inputs!$B$47="Ancient Text Piece",Inputs!$B$48="Ancient Text Piece",Inputs!$B$49="Ancient Text Piece",Inputs!$B$50="Ancient Text Piece")</f>
        <v/>
      </c>
      <c r="N30">
        <f>IF(B30="Not Unlocked",0,B30)</f>
        <v/>
      </c>
    </row>
    <row r="31">
      <c r="A31" s="6" t="inlineStr">
        <is>
          <t>Icy Soul Rock</t>
        </is>
      </c>
      <c r="B31" s="7" t="inlineStr">
        <is>
          <t>Not Unlocked</t>
        </is>
      </c>
      <c r="C31" s="7" t="inlineStr">
        <is>
          <t>Rare</t>
        </is>
      </c>
      <c r="D31" s="7" t="inlineStr">
        <is>
          <t>(none)</t>
        </is>
      </c>
      <c r="E31">
        <f>IF($N$31&gt;=1,IF($D$31="Main Stat %",(CHOOSE(MATCH($C$31,{"Rare","Epic","Unique","Legendary","Mystic","Mystic (Prime)"},0),2,3,4.5,7,10,12))*Sensitivity!$H$6,IF($D$31="Damage Taken Decrease %",0,IF($D$31="Defense %",0,IF($D$31="Accuracy",0,IF($D$31="Critical Rate %",(CHOOSE(MATCH($C$31,{"Rare","Epic","Unique","Legendary","Mystic","Mystic (Prime)"},0),2,3,4.5,7,10,12))*Sensitivity!$H$15,IF($D$31="Min Damage Multiplier %",(CHOOSE(MATCH($C$31,{"Rare","Epic","Unique","Legendary","Mystic","Mystic (Prime)"},0),2,3,4.5,7,10,12))*Sensitivity!$H$13,IF($D$31="Max Damage Multiplier %",(CHOOSE(MATCH($C$31,{"Rare","Epic","Unique","Legendary","Mystic","Mystic (Prime)"},0),2,3,4.5,7,10,12))*Sensitivity!$H$14,IF($D$31="Boss Monster Damage %",(CHOOSE(MATCH($C$31,{"Rare","Epic","Unique","Legendary","Mystic","Mystic (Prime)"},0),4,6,9,14,20,24))*Sensitivity!$H$10,IF($D$31="Normal Monster Damage %",(CHOOSE(MATCH($C$31,{"Rare","Epic","Unique","Legendary","Mystic","Mystic (Prime)"},0),4,6,9,14,20,24))*Sensitivity!$H$11,IF($D$31="Status Effect Damage %",0,IF($D$31="Damage %",(CHOOSE(MATCH($C$31,{"Rare","Epic","Unique","Legendary","Mystic","Mystic (Prime)"},0),4,6,9,14,20,24))*Sensitivity!$H$8,IF($D$31="Defense Penetration %",(CHOOSE(MATCH($C$31,{"Rare","Epic","Unique","Legendary","Mystic","Mystic (Prime)"},0),2,3,4.5,7,10,12))*Sensitivity!$H$18,0)))))))))))),0)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(Prime)"},0),2,3,4.5,7,10,12))*Sensitivity!$H$15,IF($G$31="Min Damage Multiplier %",(CHOOSE(MATCH($F$31,{"Rare","Epic","Unique","Legendary","Mystic","Mystic (Prime)"},0),2,3,4.5,7,10,12))*Sensitivity!$H$13,IF($G$31="Max Damage Multiplier %",(CHOOSE(MATCH($F$31,{"Rare","Epic","Unique","Legendary","Mystic","Mystic (Prime)"},0),2,3,4.5,7,10,12))*Sensitivity!$H$14,IF($G$31="Boss Monster Damage %",(CHOOSE(MATCH($F$31,{"Rare","Epic","Unique","Legendary","Mystic","Mystic (Prime)"},0),4,6,9,14,20,24))*Sensitivity!$H$10,IF($G$31="Normal Monster Damage %",(CHOOSE(MATCH($F$31,{"Rare","Epic","Unique","Legendary","Mystic","Mystic (Prime)"},0),4,6,9,14,20,24))*Sensitivity!$H$11,IF($G$31="Status Effect Damage %",0,IF($G$31="Damage %",(CHOOSE(MATCH($F$31,{"Rare","Epic","Unique","Legendary","Mystic","Mystic (Prime)"},0),4,6,9,14,20,24))*Sensitivity!$H$8,IF($G$31="Defense Penetration %",(CHOOSE(MATCH($F$31,{"Rare","Epic","Unique","Legendary","Mystic","Mystic (Prime)"},0),2,3,4.5,7,10,12))*Sensitivity!$H$18,0)))))))))))),0)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(Prime)"},0),2,3,4.5,7,10,12))*Sensitivity!$H$15,IF($J$31="Min Damage Multiplier %",(CHOOSE(MATCH($I$31,{"Rare","Epic","Unique","Legendary","Mystic","Mystic (Prime)"},0),2,3,4.5,7,10,12))*Sensitivity!$H$13,IF($J$31="Max Damage Multiplier %",(CHOOSE(MATCH($I$31,{"Rare","Epic","Unique","Legendary","Mystic","Mystic (Prime)"},0),2,3,4.5,7,10,12))*Sensitivity!$H$14,IF($J$31="Boss Monster Damage %",(CHOOSE(MATCH($I$31,{"Rare","Epic","Unique","Legendary","Mystic","Mystic (Prime)"},0),4,6,9,14,20,24))*Sensitivity!$H$10,IF($J$31="Normal Monster Damage %",(CHOOSE(MATCH($I$31,{"Rare","Epic","Unique","Legendary","Mystic","Mystic (Prime)"},0),4,6,9,14,20,24))*Sensitivity!$H$11,IF($J$31="Status Effect Damage %",0,IF($J$31="Damage %",(CHOOSE(MATCH($I$31,{"Rare","Epic","Unique","Legendary","Mystic","Mystic (Prime)"},0),4,6,9,14,20,24))*Sensitivity!$H$8,IF($J$31="Defense Penetration %",(CHOOSE(MATCH($I$31,{"Rare","Epic","Unique","Legendary","Mystic","Mystic (Prime)"},0),2,3,4.5,7,10,12))*Sensitivity!$H$18,0)))))))))))),0)</f>
        <v/>
      </c>
      <c r="L31">
        <f>Summary!$B$3*((IF(D31="(none)",1,1+(E31+IF(G31=D31,H31,0)+IF(J31=D31,K31,0))/Summary!$B$3))*(IF(OR(G31="(none)",G31=D31),1,1+(H31+IF(D31=G31,E31,0)+IF(J31=G31,K31,0))/Summary!$B$3))*(IF(OR(J31="",J31="(none)",J31=D31,J31=G31),1,1+(K31+IF(D31=J31,E31,0)+IF(G31=J31,H31,0))/Summary!$B$3))-1)</f>
        <v/>
      </c>
      <c r="M31">
        <f>OR(Inputs!$B$47="Icy Soul Rock",Inputs!$B$48="Icy Soul Rock",Inputs!$B$49="Icy Soul Rock",Inputs!$B$50="Icy Soul Rock")</f>
        <v/>
      </c>
      <c r="N31">
        <f>IF(B31="Not Unlocked",0,B31)</f>
        <v/>
      </c>
    </row>
    <row r="32">
      <c r="A32" s="6" t="inlineStr">
        <is>
          <t>Flaming Lava</t>
        </is>
      </c>
      <c r="B32" s="7" t="inlineStr">
        <is>
          <t>Not Unlocked</t>
        </is>
      </c>
      <c r="C32" s="7" t="inlineStr">
        <is>
          <t>Rare</t>
        </is>
      </c>
      <c r="D32" s="7" t="inlineStr">
        <is>
          <t>(none)</t>
        </is>
      </c>
      <c r="E32">
        <f>IF($N$32&gt;=1,IF($D$32="Main Stat %",(CHOOSE(MATCH($C$32,{"Rare","Epic","Unique","Legendary","Mystic","Mystic (Prime)"},0),2,3,4.5,7,10,12))*Sensitivity!$H$6,IF($D$32="Damage Taken Decrease %",0,IF($D$32="Defense %",0,IF($D$32="Accuracy",0,IF($D$32="Critical Rate %",(CHOOSE(MATCH($C$32,{"Rare","Epic","Unique","Legendary","Mystic","Mystic (Prime)"},0),2,3,4.5,7,10,12))*Sensitivity!$H$15,IF($D$32="Min Damage Multiplier %",(CHOOSE(MATCH($C$32,{"Rare","Epic","Unique","Legendary","Mystic","Mystic (Prime)"},0),2,3,4.5,7,10,12))*Sensitivity!$H$13,IF($D$32="Max Damage Multiplier %",(CHOOSE(MATCH($C$32,{"Rare","Epic","Unique","Legendary","Mystic","Mystic (Prime)"},0),2,3,4.5,7,10,12))*Sensitivity!$H$14,IF($D$32="Boss Monster Damage %",(CHOOSE(MATCH($C$32,{"Rare","Epic","Unique","Legendary","Mystic","Mystic (Prime)"},0),4,6,9,14,20,24))*Sensitivity!$H$10,IF($D$32="Normal Monster Damage %",(CHOOSE(MATCH($C$32,{"Rare","Epic","Unique","Legendary","Mystic","Mystic (Prime)"},0),4,6,9,14,20,24))*Sensitivity!$H$11,IF($D$32="Status Effect Damage %",0,IF($D$32="Damage %",(CHOOSE(MATCH($C$32,{"Rare","Epic","Unique","Legendary","Mystic","Mystic (Prime)"},0),4,6,9,14,20,24))*Sensitivity!$H$8,IF($D$32="Defense Penetration %",(CHOOSE(MATCH($C$32,{"Rare","Epic","Unique","Legendary","Mystic","Mystic (Prime)"},0),2,3,4.5,7,10,12))*Sensitivity!$H$18,0)))))))))))),0)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(Prime)"},0),2,3,4.5,7,10,12))*Sensitivity!$H$15,IF($G$32="Min Damage Multiplier %",(CHOOSE(MATCH($F$32,{"Rare","Epic","Unique","Legendary","Mystic","Mystic (Prime)"},0),2,3,4.5,7,10,12))*Sensitivity!$H$13,IF($G$32="Max Damage Multiplier %",(CHOOSE(MATCH($F$32,{"Rare","Epic","Unique","Legendary","Mystic","Mystic (Prime)"},0),2,3,4.5,7,10,12))*Sensitivity!$H$14,IF($G$32="Boss Monster Damage %",(CHOOSE(MATCH($F$32,{"Rare","Epic","Unique","Legendary","Mystic","Mystic (Prime)"},0),4,6,9,14,20,24))*Sensitivity!$H$10,IF($G$32="Normal Monster Damage %",(CHOOSE(MATCH($F$32,{"Rare","Epic","Unique","Legendary","Mystic","Mystic (Prime)"},0),4,6,9,14,20,24))*Sensitivity!$H$11,IF($G$32="Status Effect Damage %",0,IF($G$32="Damage %",(CHOOSE(MATCH($F$32,{"Rare","Epic","Unique","Legendary","Mystic","Mystic (Prime)"},0),4,6,9,14,20,24))*Sensitivity!$H$8,IF($G$32="Defense Penetration %",(CHOOSE(MATCH($F$32,{"Rare","Epic","Unique","Legendary","Mystic","Mystic (Prime)"},0),2,3,4.5,7,10,12))*Sensitivity!$H$18,0)))))))))))),0)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(Prime)"},0),2,3,4.5,7,10,12))*Sensitivity!$H$15,IF($J$32="Min Damage Multiplier %",(CHOOSE(MATCH($I$32,{"Rare","Epic","Unique","Legendary","Mystic","Mystic (Prime)"},0),2,3,4.5,7,10,12))*Sensitivity!$H$13,IF($J$32="Max Damage Multiplier %",(CHOOSE(MATCH($I$32,{"Rare","Epic","Unique","Legendary","Mystic","Mystic (Prime)"},0),2,3,4.5,7,10,12))*Sensitivity!$H$14,IF($J$32="Boss Monster Damage %",(CHOOSE(MATCH($I$32,{"Rare","Epic","Unique","Legendary","Mystic","Mystic (Prime)"},0),4,6,9,14,20,24))*Sensitivity!$H$10,IF($J$32="Normal Monster Damage %",(CHOOSE(MATCH($I$32,{"Rare","Epic","Unique","Legendary","Mystic","Mystic (Prime)"},0),4,6,9,14,20,24))*Sensitivity!$H$11,IF($J$32="Status Effect Damage %",0,IF($J$32="Damage %",(CHOOSE(MATCH($I$32,{"Rare","Epic","Unique","Legendary","Mystic","Mystic (Prime)"},0),4,6,9,14,20,24))*Sensitivity!$H$8,IF($J$32="Defense Penetration %",(CHOOSE(MATCH($I$32,{"Rare","Epic","Unique","Legendary","Mystic","Mystic (Prime)"},0),2,3,4.5,7,10,12))*Sensitivity!$H$18,0)))))))))))),0)</f>
        <v/>
      </c>
      <c r="L32">
        <f>Summary!$B$3*((IF(D32="(none)",1,1+(E32+IF(G32=D32,H32,0)+IF(J32=D32,K32,0))/Summary!$B$3))*(IF(OR(G32="(none)",G32=D32),1,1+(H32+IF(D32=G32,E32,0)+IF(J32=G32,K32,0))/Summary!$B$3))*(IF(OR(J32="",J32="(none)",J32=D32,J32=G32),1,1+(K32+IF(D32=J32,E32,0)+IF(G32=J32,H32,0))/Summary!$B$3))-1)</f>
        <v/>
      </c>
      <c r="M32">
        <f>OR(Inputs!$B$47="Flaming Lava",Inputs!$B$48="Flaming Lava",Inputs!$B$49="Flaming Lava",Inputs!$B$50="Flaming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(Prime)"},0),2,3,4.5,7,10,12))*Sensitivity!$H$15,IF($D$33="Min Damage Multiplier %",(CHOOSE(MATCH($C$33,{"Rare","Epic","Unique","Legendary","Mystic","Mystic (Prime)"},0),2,3,4.5,7,10,12))*Sensitivity!$H$13,IF($D$33="Max Damage Multiplier %",(CHOOSE(MATCH($C$33,{"Rare","Epic","Unique","Legendary","Mystic","Mystic (Prime)"},0),2,3,4.5,7,10,12))*Sensitivity!$H$14,IF($D$33="Boss Monster Damage %",(CHOOSE(MATCH($C$33,{"Rare","Epic","Unique","Legendary","Mystic","Mystic (Prime)"},0),4,6,9,14,20,24))*Sensitivity!$H$10,IF($D$33="Normal Monster Damage %",(CHOOSE(MATCH($C$33,{"Rare","Epic","Unique","Legendary","Mystic","Mystic (Prime)"},0),4,6,9,14,20,24))*Sensitivity!$H$11,IF($D$33="Status Effect Damage %",0,IF($D$33="Damage %",(CHOOSE(MATCH($C$33,{"Rare","Epic","Unique","Legendary","Mystic","Mystic (Prime)"},0),4,6,9,14,20,24))*Sensitivity!$H$8,IF($D$33="Defense Penetration %",(CHOOSE(MATCH($C$33,{"Rare","Epic","Unique","Legendary","Mystic","Mystic (Prime)"},0),2,3,4.5,7,10,12))*Sensitivity!$H$18,0)))))))))))),0)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(Prime)"},0),2,3,4.5,7,10,12))*Sensitivity!$H$15,IF($G$33="Min Damage Multiplier %",(CHOOSE(MATCH($F$33,{"Rare","Epic","Unique","Legendary","Mystic","Mystic (Prime)"},0),2,3,4.5,7,10,12))*Sensitivity!$H$13,IF($G$33="Max Damage Multiplier %",(CHOOSE(MATCH($F$33,{"Rare","Epic","Unique","Legendary","Mystic","Mystic (Prime)"},0),2,3,4.5,7,10,12))*Sensitivity!$H$14,IF($G$33="Boss Monster Damage %",(CHOOSE(MATCH($F$33,{"Rare","Epic","Unique","Legendary","Mystic","Mystic (Prime)"},0),4,6,9,14,20,24))*Sensitivity!$H$10,IF($G$33="Normal Monster Damage %",(CHOOSE(MATCH($F$33,{"Rare","Epic","Unique","Legendary","Mystic","Mystic (Prime)"},0),4,6,9,14,20,24))*Sensitivity!$H$11,IF($G$33="Status Effect Damage %",0,IF($G$33="Damage %",(CHOOSE(MATCH($F$33,{"Rare","Epic","Unique","Legendary","Mystic","Mystic (Prime)"},0),4,6,9,14,20,24))*Sensitivity!$H$8,IF($G$33="Defense Penetration %",(CHOOSE(MATCH($F$33,{"Rare","Epic","Unique","Legendary","Mystic","Mystic (Prime)"},0),2,3,4.5,7,10,12))*Sensitivity!$H$18,0)))))))))))),0)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(Prime)"},0),2,3,4.5,7,10,12))*Sensitivity!$H$15,IF($J$33="Min Damage Multiplier %",(CHOOSE(MATCH($I$33,{"Rare","Epic","Unique","Legendary","Mystic","Mystic (Prime)"},0),2,3,4.5,7,10,12))*Sensitivity!$H$13,IF($J$33="Max Damage Multiplier %",(CHOOSE(MATCH($I$33,{"Rare","Epic","Unique","Legendary","Mystic","Mystic (Prime)"},0),2,3,4.5,7,10,12))*Sensitivity!$H$14,IF($J$33="Boss Monster Damage %",(CHOOSE(MATCH($I$33,{"Rare","Epic","Unique","Legendary","Mystic","Mystic (Prime)"},0),4,6,9,14,20,24))*Sensitivity!$H$10,IF($J$33="Normal Monster Damage %",(CHOOSE(MATCH($I$33,{"Rare","Epic","Unique","Legendary","Mystic","Mystic (Prime)"},0),4,6,9,14,20,24))*Sensitivity!$H$11,IF($J$33="Status Effect Damage %",0,IF($J$33="Damage %",(CHOOSE(MATCH($I$33,{"Rare","Epic","Unique","Legendary","Mystic","Mystic (Prime)"},0),4,6,9,14,20,24))*Sensitivity!$H$8,IF($J$33="Defense Penetration %",(CHOOSE(MATCH($I$33,{"Rare","Epic","Unique","Legendary","Mystic","Mystic (Prime)"},0),2,3,4.5,7,10,12))*Sensitivity!$H$18,0)))))))))))),0)</f>
        <v/>
      </c>
      <c r="L33">
        <f>Summary!$B$3*((IF(D33="(none)",1,1+(E33+IF(G33=D33,H33,0)+IF(J33=D33,K33,0))/Summary!$B$3))*(IF(OR(G33="(none)",G33=D33),1,1+(H33+IF(D33=G33,E33,0)+IF(J33=G33,K33,0))/Summary!$B$3))*(IF(OR(J33="",J33="(none)",J33=D33,J33=G33),1,1+(K33+IF(D33=J33,E33,0)+IF(G33=J33,H33,0))/Summary!$B$3))-1)</f>
        <v/>
      </c>
      <c r="M33">
        <f>OR(Inputs!$B$47="Sayram's Necklace",Inputs!$B$48="Sayram's Necklace",Inputs!$B$49="Sayram's Necklace",Inputs!$B$50="Sayram's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(Prime)"},0),2,3,4.5,7,10,12))*Sensitivity!$H$15,IF($D$34="Min Damage Multiplier %",(CHOOSE(MATCH($C$34,{"Rare","Epic","Unique","Legendary","Mystic","Mystic (Prime)"},0),2,3,4.5,7,10,12))*Sensitivity!$H$13,IF($D$34="Max Damage Multiplier %",(CHOOSE(MATCH($C$34,{"Rare","Epic","Unique","Legendary","Mystic","Mystic (Prime)"},0),2,3,4.5,7,10,12))*Sensitivity!$H$14,IF($D$34="Boss Monster Damage %",(CHOOSE(MATCH($C$34,{"Rare","Epic","Unique","Legendary","Mystic","Mystic (Prime)"},0),4,6,9,14,20,24))*Sensitivity!$H$10,IF($D$34="Normal Monster Damage %",(CHOOSE(MATCH($C$34,{"Rare","Epic","Unique","Legendary","Mystic","Mystic (Prime)"},0),4,6,9,14,20,24))*Sensitivity!$H$11,IF($D$34="Status Effect Damage %",0,IF($D$34="Damage %",(CHOOSE(MATCH($C$34,{"Rare","Epic","Unique","Legendary","Mystic","Mystic (Prime)"},0),4,6,9,14,20,24))*Sensitivity!$H$8,IF($D$34="Defense Penetration %",(CHOOSE(MATCH($C$34,{"Rare","Epic","Unique","Legendary","Mystic","Mystic (Prime)"},0),2,3,4.5,7,10,12))*Sensitivity!$H$18,0)))))))))))),0)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(Prime)"},0),2,3,4.5,7,10,12))*Sensitivity!$H$15,IF($G$34="Min Damage Multiplier %",(CHOOSE(MATCH($F$34,{"Rare","Epic","Unique","Legendary","Mystic","Mystic (Prime)"},0),2,3,4.5,7,10,12))*Sensitivity!$H$13,IF($G$34="Max Damage Multiplier %",(CHOOSE(MATCH($F$34,{"Rare","Epic","Unique","Legendary","Mystic","Mystic (Prime)"},0),2,3,4.5,7,10,12))*Sensitivity!$H$14,IF($G$34="Boss Monster Damage %",(CHOOSE(MATCH($F$34,{"Rare","Epic","Unique","Legendary","Mystic","Mystic (Prime)"},0),4,6,9,14,20,24))*Sensitivity!$H$10,IF($G$34="Normal Monster Damage %",(CHOOSE(MATCH($F$34,{"Rare","Epic","Unique","Legendary","Mystic","Mystic (Prime)"},0),4,6,9,14,20,24))*Sensitivity!$H$11,IF($G$34="Status Effect Damage %",0,IF($G$34="Damage %",(CHOOSE(MATCH($F$34,{"Rare","Epic","Unique","Legendary","Mystic","Mystic (Prime)"},0),4,6,9,14,20,24))*Sensitivity!$H$8,IF($G$34="Defense Penetration %",(CHOOSE(MATCH($F$34,{"Rare","Epic","Unique","Legendary","Mystic","Mystic (Prime)"},0),2,3,4.5,7,10,12))*Sensitivity!$H$18,0)))))))))))),0)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(Prime)"},0),2,3,4.5,7,10,12))*Sensitivity!$H$15,IF($J$34="Min Damage Multiplier %",(CHOOSE(MATCH($I$34,{"Rare","Epic","Unique","Legendary","Mystic","Mystic (Prime)"},0),2,3,4.5,7,10,12))*Sensitivity!$H$13,IF($J$34="Max Damage Multiplier %",(CHOOSE(MATCH($I$34,{"Rare","Epic","Unique","Legendary","Mystic","Mystic (Prime)"},0),2,3,4.5,7,10,12))*Sensitivity!$H$14,IF($J$34="Boss Monster Damage %",(CHOOSE(MATCH($I$34,{"Rare","Epic","Unique","Legendary","Mystic","Mystic (Prime)"},0),4,6,9,14,20,24))*Sensitivity!$H$10,IF($J$34="Normal Monster Damage %",(CHOOSE(MATCH($I$34,{"Rare","Epic","Unique","Legendary","Mystic","Mystic (Prime)"},0),4,6,9,14,20,24))*Sensitivity!$H$11,IF($J$34="Status Effect Damage %",0,IF($J$34="Damage %",(CHOOSE(MATCH($I$34,{"Rare","Epic","Unique","Legendary","Mystic","Mystic (Prime)"},0),4,6,9,14,20,24))*Sensitivity!$H$8,IF($J$34="Defense Penetration %",(CHOOSE(MATCH($I$34,{"Rare","Epic","Unique","Legendary","Mystic","Mystic (Prime)"},0),2,3,4.5,7,10,12))*Sensitivity!$H$18,0)))))))))))),0)</f>
        <v/>
      </c>
      <c r="L34">
        <f>Summary!$B$3*((IF(D34="(none)",1,1+(E34+IF(G34=D34,H34,0)+IF(J34=D34,K34,0))/Summary!$B$3))*(IF(OR(G34="(none)",G34=D34),1,1+(H34+IF(D34=G34,E34,0)+IF(J34=G34,K34,0))/Summary!$B$3))*(IF(OR(J34="",J34="(none)",J34=D34,J34=G34),1,1+(K34+IF(D34=J34,E34,0)+IF(G34=J34,H34,0))/Summary!$B$3))-1)</f>
        <v/>
      </c>
      <c r="M34">
        <f>OR(Inputs!$B$47="Bottle of Emotion",Inputs!$B$48="Bottle of Emotion",Inputs!$B$49="Bottle of Emotion",Inputs!$B$50="Bottle of Emotion")</f>
        <v/>
      </c>
      <c r="N34">
        <f>IF(B34="Not Unlocked",0,B34)</f>
        <v/>
      </c>
    </row>
    <row r="35">
      <c r="A35" s="6" t="inlineStr">
        <is>
          <t>Peach Tree Herb Pouch</t>
        </is>
      </c>
      <c r="B35" s="7" t="inlineStr">
        <is>
          <t>Not Unlocked</t>
        </is>
      </c>
      <c r="C35" s="7" t="inlineStr">
        <is>
          <t>Rare</t>
        </is>
      </c>
      <c r="D35" s="7" t="inlineStr">
        <is>
          <t>(none)</t>
        </is>
      </c>
      <c r="E35">
        <f>IF($N$35&gt;=1,IF($D$35="Main Stat %",(CHOOSE(MATCH($C$35,{"Rare","Epic","Unique","Legendary","Mystic","Mystic (Prime)"},0),2,3,4.5,7,10,12))*Sensitivity!$H$6,IF($D$35="Damage Taken Decrease %",0,IF($D$35="Defense %",0,IF($D$35="Accuracy",0,IF($D$35="Critical Rate %",(CHOOSE(MATCH($C$35,{"Rare","Epic","Unique","Legendary","Mystic","Mystic (Prime)"},0),2,3,4.5,7,10,12))*Sensitivity!$H$15,IF($D$35="Min Damage Multiplier %",(CHOOSE(MATCH($C$35,{"Rare","Epic","Unique","Legendary","Mystic","Mystic (Prime)"},0),2,3,4.5,7,10,12))*Sensitivity!$H$13,IF($D$35="Max Damage Multiplier %",(CHOOSE(MATCH($C$35,{"Rare","Epic","Unique","Legendary","Mystic","Mystic (Prime)"},0),2,3,4.5,7,10,12))*Sensitivity!$H$14,IF($D$35="Boss Monster Damage %",(CHOOSE(MATCH($C$35,{"Rare","Epic","Unique","Legendary","Mystic","Mystic (Prime)"},0),4,6,9,14,20,24))*Sensitivity!$H$10,IF($D$35="Normal Monster Damage %",(CHOOSE(MATCH($C$35,{"Rare","Epic","Unique","Legendary","Mystic","Mystic (Prime)"},0),4,6,9,14,20,24))*Sensitivity!$H$11,IF($D$35="Status Effect Damage %",0,IF($D$35="Damage %",(CHOOSE(MATCH($C$35,{"Rare","Epic","Unique","Legendary","Mystic","Mystic (Prime)"},0),4,6,9,14,20,24))*Sensitivity!$H$8,IF($D$35="Defense Penetration %",(CHOOSE(MATCH($C$35,{"Rare","Epic","Unique","Legendary","Mystic","Mystic (Prime)"},0),2,3,4.5,7,10,12))*Sensitivity!$H$18,0)))))))))))),0)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(Prime)"},0),2,3,4.5,7,10,12))*Sensitivity!$H$15,IF($G$35="Min Damage Multiplier %",(CHOOSE(MATCH($F$35,{"Rare","Epic","Unique","Legendary","Mystic","Mystic (Prime)"},0),2,3,4.5,7,10,12))*Sensitivity!$H$13,IF($G$35="Max Damage Multiplier %",(CHOOSE(MATCH($F$35,{"Rare","Epic","Unique","Legendary","Mystic","Mystic (Prime)"},0),2,3,4.5,7,10,12))*Sensitivity!$H$14,IF($G$35="Boss Monster Damage %",(CHOOSE(MATCH($F$35,{"Rare","Epic","Unique","Legendary","Mystic","Mystic (Prime)"},0),4,6,9,14,20,24))*Sensitivity!$H$10,IF($G$35="Normal Monster Damage %",(CHOOSE(MATCH($F$35,{"Rare","Epic","Unique","Legendary","Mystic","Mystic (Prime)"},0),4,6,9,14,20,24))*Sensitivity!$H$11,IF($G$35="Status Effect Damage %",0,IF($G$35="Damage %",(CHOOSE(MATCH($F$35,{"Rare","Epic","Unique","Legendary","Mystic","Mystic (Prime)"},0),4,6,9,14,20,24))*Sensitivity!$H$8,IF($G$35="Defense Penetration %",(CHOOSE(MATCH($F$35,{"Rare","Epic","Unique","Legendary","Mystic","Mystic (Prime)"},0),2,3,4.5,7,10,12))*Sensitivity!$H$18,0)))))))))))),0)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(Prime)"},0),2,3,4.5,7,10,12))*Sensitivity!$H$15,IF($J$35="Min Damage Multiplier %",(CHOOSE(MATCH($I$35,{"Rare","Epic","Unique","Legendary","Mystic","Mystic (Prime)"},0),2,3,4.5,7,10,12))*Sensitivity!$H$13,IF($J$35="Max Damage Multiplier %",(CHOOSE(MATCH($I$35,{"Rare","Epic","Unique","Legendary","Mystic","Mystic (Prime)"},0),2,3,4.5,7,10,12))*Sensitivity!$H$14,IF($J$35="Boss Monster Damage %",(CHOOSE(MATCH($I$35,{"Rare","Epic","Unique","Legendary","Mystic","Mystic (Prime)"},0),4,6,9,14,20,24))*Sensitivity!$H$10,IF($J$35="Normal Monster Damage %",(CHOOSE(MATCH($I$35,{"Rare","Epic","Unique","Legendary","Mystic","Mystic (Prime)"},0),4,6,9,14,20,24))*Sensitivity!$H$11,IF($J$35="Status Effect Damage %",0,IF($J$35="Damage %",(CHOOSE(MATCH($I$35,{"Rare","Epic","Unique","Legendary","Mystic","Mystic (Prime)"},0),4,6,9,14,20,24))*Sensitivity!$H$8,IF($J$35="Defense Penetration %",(CHOOSE(MATCH($I$35,{"Rare","Epic","Unique","Legendary","Mystic","Mystic (Prime)"},0),2,3,4.5,7,10,12))*Sensitivity!$H$18,0)))))))))))),0)</f>
        <v/>
      </c>
      <c r="L35">
        <f>Summary!$B$3*((IF(D35="(none)",1,1+(E35+IF(G35=D35,H35,0)+IF(J35=D35,K35,0))/Summary!$B$3))*(IF(OR(G35="(none)",G35=D35),1,1+(H35+IF(D35=G35,E35,0)+IF(J35=G35,K35,0))/Summary!$B$3))*(IF(OR(J35="",J35="(none)",J35=D35,J35=G35),1,1+(K35+IF(D35=J35,E35,0)+IF(G35=J35,H35,0))/Summary!$B$3))-1)</f>
        <v/>
      </c>
      <c r="M35">
        <f>OR(Inputs!$B$47="Peach Tree Herb Pouch",Inputs!$B$48="Peach Tree Herb Pouch",Inputs!$B$49="Peach Tree Herb Pouch",Inputs!$B$50="Peach Tree Herb Pouch")</f>
        <v/>
      </c>
      <c r="N35">
        <f>IF(B35="Not Unlocked",0,B35)</f>
        <v/>
      </c>
    </row>
    <row r="36">
      <c r="A36" s="6" t="inlineStr">
        <is>
          <t>Candle</t>
        </is>
      </c>
      <c r="B36" s="7" t="inlineStr">
        <is>
          <t>Not Unlocked</t>
        </is>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(Prime)"},0),2,3,4.5,7,10,12))*Sensitivity!$H$15,IF($D$36="Min Damage Multiplier %",(CHOOSE(MATCH($C$36,{"Rare","Epic","Unique","Legendary","Mystic","Mystic (Prime)"},0),2,3,4.5,7,10,12))*Sensitivity!$H$13,IF($D$36="Max Damage Multiplier %",(CHOOSE(MATCH($C$36,{"Rare","Epic","Unique","Legendary","Mystic","Mystic (Prime)"},0),2,3,4.5,7,10,12))*Sensitivity!$H$14,IF($D$36="Boss Monster Damage %",(CHOOSE(MATCH($C$36,{"Rare","Epic","Unique","Legendary","Mystic","Mystic (Prime)"},0),4,6,9,14,20,24))*Sensitivity!$H$10,IF($D$36="Normal Monster Damage %",(CHOOSE(MATCH($C$36,{"Rare","Epic","Unique","Legendary","Mystic","Mystic (Prime)"},0),4,6,9,14,20,24))*Sensitivity!$H$11,IF($D$36="Status Effect Damage %",0,IF($D$36="Damage %",(CHOOSE(MATCH($C$36,{"Rare","Epic","Unique","Legendary","Mystic","Mystic (Prime)"},0),4,6,9,14,20,24))*Sensitivity!$H$8,IF($D$36="Defense Penetration %",(CHOOSE(MATCH($C$36,{"Rare","Epic","Unique","Legendary","Mystic","Mystic (Prime)"},0),2,3,4.5,7,10,12))*Sensitivity!$H$18,0)))))))))))),0)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(Prime)"},0),2,3,4.5,7,10,12))*Sensitivity!$H$15,IF($G$36="Min Damage Multiplier %",(CHOOSE(MATCH($F$36,{"Rare","Epic","Unique","Legendary","Mystic","Mystic (Prime)"},0),2,3,4.5,7,10,12))*Sensitivity!$H$13,IF($G$36="Max Damage Multiplier %",(CHOOSE(MATCH($F$36,{"Rare","Epic","Unique","Legendary","Mystic","Mystic (Prime)"},0),2,3,4.5,7,10,12))*Sensitivity!$H$14,IF($G$36="Boss Monster Damage %",(CHOOSE(MATCH($F$36,{"Rare","Epic","Unique","Legendary","Mystic","Mystic (Prime)"},0),4,6,9,14,20,24))*Sensitivity!$H$10,IF($G$36="Normal Monster Damage %",(CHOOSE(MATCH($F$36,{"Rare","Epic","Unique","Legendary","Mystic","Mystic (Prime)"},0),4,6,9,14,20,24))*Sensitivity!$H$11,IF($G$36="Status Effect Damage %",0,IF($G$36="Damage %",(CHOOSE(MATCH($F$36,{"Rare","Epic","Unique","Legendary","Mystic","Mystic (Prime)"},0),4,6,9,14,20,24))*Sensitivity!$H$8,IF($G$36="Defense Penetration %",(CHOOSE(MATCH($F$36,{"Rare","Epic","Unique","Legendary","Mystic","Mystic (Prime)"},0),2,3,4.5,7,10,12))*Sensitivity!$H$18,0)))))))))))),0)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(Prime)"},0),2,3,4.5,7,10,12))*Sensitivity!$H$15,IF($J$36="Min Damage Multiplier %",(CHOOSE(MATCH($I$36,{"Rare","Epic","Unique","Legendary","Mystic","Mystic (Prime)"},0),2,3,4.5,7,10,12))*Sensitivity!$H$13,IF($J$36="Max Damage Multiplier %",(CHOOSE(MATCH($I$36,{"Rare","Epic","Unique","Legendary","Mystic","Mystic (Prime)"},0),2,3,4.5,7,10,12))*Sensitivity!$H$14,IF($J$36="Boss Monster Damage %",(CHOOSE(MATCH($I$36,{"Rare","Epic","Unique","Legendary","Mystic","Mystic (Prime)"},0),4,6,9,14,20,24))*Sensitivity!$H$10,IF($J$36="Normal Monster Damage %",(CHOOSE(MATCH($I$36,{"Rare","Epic","Unique","Legendary","Mystic","Mystic (Prime)"},0),4,6,9,14,20,24))*Sensitivity!$H$11,IF($J$36="Status Effect Damage %",0,IF($J$36="Damage %",(CHOOSE(MATCH($I$36,{"Rare","Epic","Unique","Legendary","Mystic","Mystic (Prime)"},0),4,6,9,14,20,24))*Sensitivity!$H$8,IF($J$36="Defense Penetration %",(CHOOSE(MATCH($I$36,{"Rare","Epic","Unique","Legendary","Mystic","Mystic (Prime)"},0),2,3,4.5,7,10,12))*Sensitivity!$H$18,0)))))))))))),0)</f>
        <v/>
      </c>
      <c r="L36">
        <f>Summary!$B$3*((IF(D36="(none)",1,1+(E36+IF(G36=D36,H36,0)+IF(J36=D36,K36,0))/Summary!$B$3))*(IF(OR(G36="(none)",G36=D36),1,1+(H36+IF(D36=G36,E36,0)+IF(J36=G36,K36,0))/Summary!$B$3))*(IF(OR(J36="",J36="(none)",J36=D36,J36=G36),1,1+(K36+IF(D36=J36,E36,0)+IF(G36=J36,H36,0))/Summary!$B$3))-1)</f>
        <v/>
      </c>
      <c r="M36">
        <f>OR(Inputs!$B$47="Candle",Inputs!$B$48="Candle",Inputs!$B$49="Candle",Inputs!$B$50="Candle")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(Prime)"},0),2,3,4.5,7,10,12))*Sensitivity!$H$15,IF($D$37="Min Damage Multiplier %",(CHOOSE(MATCH($C$37,{"Rare","Epic","Unique","Legendary","Mystic","Mystic (Prime)"},0),2,3,4.5,7,10,12))*Sensitivity!$H$13,IF($D$37="Max Damage Multiplier %",(CHOOSE(MATCH($C$37,{"Rare","Epic","Unique","Legendary","Mystic","Mystic (Prime)"},0),2,3,4.5,7,10,12))*Sensitivity!$H$14,IF($D$37="Boss Monster Damage %",(CHOOSE(MATCH($C$37,{"Rare","Epic","Unique","Legendary","Mystic","Mystic (Prime)"},0),4,6,9,14,20,24))*Sensitivity!$H$10,IF($D$37="Normal Monster Damage %",(CHOOSE(MATCH($C$37,{"Rare","Epic","Unique","Legendary","Mystic","Mystic (Prime)"},0),4,6,9,14,20,24))*Sensitivity!$H$11,IF($D$37="Status Effect Damage %",0,IF($D$37="Damage %",(CHOOSE(MATCH($C$37,{"Rare","Epic","Unique","Legendary","Mystic","Mystic (Prime)"},0),4,6,9,14,20,24))*Sensitivity!$H$8,IF($D$37="Defense Penetration %",(CHOOSE(MATCH($C$37,{"Rare","Epic","Unique","Legendary","Mystic","Mystic (Prime)"},0),2,3,4.5,7,10,12))*Sensitivity!$H$18,0)))))))))))),0)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(Prime)"},0),2,3,4.5,7,10,12))*Sensitivity!$H$15,IF($G$37="Min Damage Multiplier %",(CHOOSE(MATCH($F$37,{"Rare","Epic","Unique","Legendary","Mystic","Mystic (Prime)"},0),2,3,4.5,7,10,12))*Sensitivity!$H$13,IF($G$37="Max Damage Multiplier %",(CHOOSE(MATCH($F$37,{"Rare","Epic","Unique","Legendary","Mystic","Mystic (Prime)"},0),2,3,4.5,7,10,12))*Sensitivity!$H$14,IF($G$37="Boss Monster Damage %",(CHOOSE(MATCH($F$37,{"Rare","Epic","Unique","Legendary","Mystic","Mystic (Prime)"},0),4,6,9,14,20,24))*Sensitivity!$H$10,IF($G$37="Normal Monster Damage %",(CHOOSE(MATCH($F$37,{"Rare","Epic","Unique","Legendary","Mystic","Mystic (Prime)"},0),4,6,9,14,20,24))*Sensitivity!$H$11,IF($G$37="Status Effect Damage %",0,IF($G$37="Damage %",(CHOOSE(MATCH($F$37,{"Rare","Epic","Unique","Legendary","Mystic","Mystic (Prime)"},0),4,6,9,14,20,24))*Sensitivity!$H$8,IF($G$37="Defense Penetration %",(CHOOSE(MATCH($F$37,{"Rare","Epic","Unique","Legendary","Mystic","Mystic (Prime)"},0),2,3,4.5,7,10,12))*Sensitivity!$H$18,0)))))))))))),0)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(Prime)"},0),2,3,4.5,7,10,12))*Sensitivity!$H$15,IF($J$37="Min Damage Multiplier %",(CHOOSE(MATCH($I$37,{"Rare","Epic","Unique","Legendary","Mystic","Mystic (Prime)"},0),2,3,4.5,7,10,12))*Sensitivity!$H$13,IF($J$37="Max Damage Multiplier %",(CHOOSE(MATCH($I$37,{"Rare","Epic","Unique","Legendary","Mystic","Mystic (Prime)"},0),2,3,4.5,7,10,12))*Sensitivity!$H$14,IF($J$37="Boss Monster Damage %",(CHOOSE(MATCH($I$37,{"Rare","Epic","Unique","Legendary","Mystic","Mystic (Prime)"},0),4,6,9,14,20,24))*Sensitivity!$H$10,IF($J$37="Normal Monster Damage %",(CHOOSE(MATCH($I$37,{"Rare","Epic","Unique","Legendary","Mystic","Mystic (Prime)"},0),4,6,9,14,20,24))*Sensitivity!$H$11,IF($J$37="Status Effect Damage %",0,IF($J$37="Damage %",(CHOOSE(MATCH($I$37,{"Rare","Epic","Unique","Legendary","Mystic","Mystic (Prime)"},0),4,6,9,14,20,24))*Sensitivity!$H$8,IF($J$37="Defense Penetration %",(CHOOSE(MATCH($I$37,{"Rare","Epic","Unique","Legendary","Mystic","Mystic (Prime)"},0),2,3,4.5,7,10,12))*Sensitivity!$H$18,0)))))))))))),0)</f>
        <v/>
      </c>
      <c r="L37">
        <f>Summary!$B$3*((IF(D37="(none)",1,1+(E37+IF(G37=D37,H37,0)+IF(J37=D37,K37,0))/Summary!$B$3))*(IF(OR(G37="(none)",G37=D37),1,1+(H37+IF(D37=G37,E37,0)+IF(J37=G37,K37,0))/Summary!$B$3))*(IF(OR(J37="",J37="(none)",J37=D37,J37=G37),1,1+(K37+IF(D37=J37,E37,0)+IF(G37=J37,H37,0))/Summary!$B$3))-1)</f>
        <v/>
      </c>
      <c r="M37">
        <f>OR(Inputs!$B$47="Alliance Badge",Inputs!$B$48="Alliance Badge",Inputs!$B$49="Alliance Badge",Inputs!$B$50="Alliance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(Prime)"},0),2,3,4.5,7,10,12))*Sensitivity!$H$15,IF($D$38="Min Damage Multiplier %",(CHOOSE(MATCH($C$38,{"Rare","Epic","Unique","Legendary","Mystic","Mystic (Prime)"},0),2,3,4.5,7,10,12))*Sensitivity!$H$13,IF($D$38="Max Damage Multiplier %",(CHOOSE(MATCH($C$38,{"Rare","Epic","Unique","Legendary","Mystic","Mystic (Prime)"},0),2,3,4.5,7,10,12))*Sensitivity!$H$14,IF($D$38="Boss Monster Damage %",(CHOOSE(MATCH($C$38,{"Rare","Epic","Unique","Legendary","Mystic","Mystic (Prime)"},0),4,6,9,14,20,24))*Sensitivity!$H$10,IF($D$38="Normal Monster Damage %",(CHOOSE(MATCH($C$38,{"Rare","Epic","Unique","Legendary","Mystic","Mystic (Prime)"},0),4,6,9,14,20,24))*Sensitivity!$H$11,IF($D$38="Status Effect Damage %",0,IF($D$38="Damage %",(CHOOSE(MATCH($C$38,{"Rare","Epic","Unique","Legendary","Mystic","Mystic (Prime)"},0),4,6,9,14,20,24))*Sensitivity!$H$8,IF($D$38="Defense Penetration %",(CHOOSE(MATCH($C$38,{"Rare","Epic","Unique","Legendary","Mystic","Mystic (Prime)"},0),2,3,4.5,7,10,12))*Sensitivity!$H$18,0)))))))))))),0)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(Prime)"},0),2,3,4.5,7,10,12))*Sensitivity!$H$15,IF($G$38="Min Damage Multiplier %",(CHOOSE(MATCH($F$38,{"Rare","Epic","Unique","Legendary","Mystic","Mystic (Prime)"},0),2,3,4.5,7,10,12))*Sensitivity!$H$13,IF($G$38="Max Damage Multiplier %",(CHOOSE(MATCH($F$38,{"Rare","Epic","Unique","Legendary","Mystic","Mystic (Prime)"},0),2,3,4.5,7,10,12))*Sensitivity!$H$14,IF($G$38="Boss Monster Damage %",(CHOOSE(MATCH($F$38,{"Rare","Epic","Unique","Legendary","Mystic","Mystic (Prime)"},0),4,6,9,14,20,24))*Sensitivity!$H$10,IF($G$38="Normal Monster Damage %",(CHOOSE(MATCH($F$38,{"Rare","Epic","Unique","Legendary","Mystic","Mystic (Prime)"},0),4,6,9,14,20,24))*Sensitivity!$H$11,IF($G$38="Status Effect Damage %",0,IF($G$38="Damage %",(CHOOSE(MATCH($F$38,{"Rare","Epic","Unique","Legendary","Mystic","Mystic (Prime)"},0),4,6,9,14,20,24))*Sensitivity!$H$8,IF($G$38="Defense Penetration %",(CHOOSE(MATCH($F$38,{"Rare","Epic","Unique","Legendary","Mystic","Mystic (Prime)"},0),2,3,4.5,7,10,12))*Sensitivity!$H$18,0)))))))))))),0)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(Prime)"},0),2,3,4.5,7,10,12))*Sensitivity!$H$15,IF($J$38="Min Damage Multiplier %",(CHOOSE(MATCH($I$38,{"Rare","Epic","Unique","Legendary","Mystic","Mystic (Prime)"},0),2,3,4.5,7,10,12))*Sensitivity!$H$13,IF($J$38="Max Damage Multiplier %",(CHOOSE(MATCH($I$38,{"Rare","Epic","Unique","Legendary","Mystic","Mystic (Prime)"},0),2,3,4.5,7,10,12))*Sensitivity!$H$14,IF($J$38="Boss Monster Damage %",(CHOOSE(MATCH($I$38,{"Rare","Epic","Unique","Legendary","Mystic","Mystic (Prime)"},0),4,6,9,14,20,24))*Sensitivity!$H$10,IF($J$38="Normal Monster Damage %",(CHOOSE(MATCH($I$38,{"Rare","Epic","Unique","Legendary","Mystic","Mystic (Prime)"},0),4,6,9,14,20,24))*Sensitivity!$H$11,IF($J$38="Status Effect Damage %",0,IF($J$38="Damage %",(CHOOSE(MATCH($I$38,{"Rare","Epic","Unique","Legendary","Mystic","Mystic (Prime)"},0),4,6,9,14,20,24))*Sensitivity!$H$8,IF($J$38="Defense Penetration %",(CHOOSE(MATCH($I$38,{"Rare","Epic","Unique","Legendary","Mystic","Mystic (Prime)"},0),2,3,4.5,7,10,12))*Sensitivity!$H$18,0)))))))))))),0)</f>
        <v/>
      </c>
      <c r="L38">
        <f>Summary!$B$3*((IF(D38="(none)",1,1+(E38+IF(G38=D38,H38,0)+IF(J38=D38,K38,0))/Summary!$B$3))*(IF(OR(G38="(none)",G38=D38),1,1+(H38+IF(D38=G38,E38,0)+IF(J38=G38,K38,0))/Summary!$B$3))*(IF(OR(J38="",J38="(none)",J38=D38,J38=G38),1,1+(K38+IF(D38=J38,E38,0)+IF(G38=J38,H38,0))/Summary!$B$3))-1)</f>
        <v/>
      </c>
      <c r="M38">
        <f>OR(Inputs!$B$47="Horn Flute",Inputs!$B$48="Horn Flute",Inputs!$B$49="Horn Flute",Inputs!$B$50="Horn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(Prime)"},0),2,3,4.5,7,10,12))*Sensitivity!$H$15,IF($D$39="Min Damage Multiplier %",(CHOOSE(MATCH($C$39,{"Rare","Epic","Unique","Legendary","Mystic","Mystic (Prime)"},0),2,3,4.5,7,10,12))*Sensitivity!$H$13,IF($D$39="Max Damage Multiplier %",(CHOOSE(MATCH($C$39,{"Rare","Epic","Unique","Legendary","Mystic","Mystic (Prime)"},0),2,3,4.5,7,10,12))*Sensitivity!$H$14,IF($D$39="Boss Monster Damage %",(CHOOSE(MATCH($C$39,{"Rare","Epic","Unique","Legendary","Mystic","Mystic (Prime)"},0),4,6,9,14,20,24))*Sensitivity!$H$10,IF($D$39="Normal Monster Damage %",(CHOOSE(MATCH($C$39,{"Rare","Epic","Unique","Legendary","Mystic","Mystic (Prime)"},0),4,6,9,14,20,24))*Sensitivity!$H$11,IF($D$39="Status Effect Damage %",0,IF($D$39="Damage %",(CHOOSE(MATCH($C$39,{"Rare","Epic","Unique","Legendary","Mystic","Mystic (Prime)"},0),4,6,9,14,20,24))*Sensitivity!$H$8,IF($D$39="Defense Penetration %",(CHOOSE(MATCH($C$39,{"Rare","Epic","Unique","Legendary","Mystic","Mystic (Prime)"},0),2,3,4.5,7,10,12))*Sensitivity!$H$18,0)))))))))))),0)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(Prime)"},0),2,3,4.5,7,10,12))*Sensitivity!$H$15,IF($G$39="Min Damage Multiplier %",(CHOOSE(MATCH($F$39,{"Rare","Epic","Unique","Legendary","Mystic","Mystic (Prime)"},0),2,3,4.5,7,10,12))*Sensitivity!$H$13,IF($G$39="Max Damage Multiplier %",(CHOOSE(MATCH($F$39,{"Rare","Epic","Unique","Legendary","Mystic","Mystic (Prime)"},0),2,3,4.5,7,10,12))*Sensitivity!$H$14,IF($G$39="Boss Monster Damage %",(CHOOSE(MATCH($F$39,{"Rare","Epic","Unique","Legendary","Mystic","Mystic (Prime)"},0),4,6,9,14,20,24))*Sensitivity!$H$10,IF($G$39="Normal Monster Damage %",(CHOOSE(MATCH($F$39,{"Rare","Epic","Unique","Legendary","Mystic","Mystic (Prime)"},0),4,6,9,14,20,24))*Sensitivity!$H$11,IF($G$39="Status Effect Damage %",0,IF($G$39="Damage %",(CHOOSE(MATCH($F$39,{"Rare","Epic","Unique","Legendary","Mystic","Mystic (Prime)"},0),4,6,9,14,20,24))*Sensitivity!$H$8,IF($G$39="Defense Penetration %",(CHOOSE(MATCH($F$39,{"Rare","Epic","Unique","Legendary","Mystic","Mystic (Prime)"},0),2,3,4.5,7,10,12))*Sensitivity!$H$18,0)))))))))))),0)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(Prime)"},0),2,3,4.5,7,10,12))*Sensitivity!$H$15,IF($J$39="Min Damage Multiplier %",(CHOOSE(MATCH($I$39,{"Rare","Epic","Unique","Legendary","Mystic","Mystic (Prime)"},0),2,3,4.5,7,10,12))*Sensitivity!$H$13,IF($J$39="Max Damage Multiplier %",(CHOOSE(MATCH($I$39,{"Rare","Epic","Unique","Legendary","Mystic","Mystic (Prime)"},0),2,3,4.5,7,10,12))*Sensitivity!$H$14,IF($J$39="Boss Monster Damage %",(CHOOSE(MATCH($I$39,{"Rare","Epic","Unique","Legendary","Mystic","Mystic (Prime)"},0),4,6,9,14,20,24))*Sensitivity!$H$10,IF($J$39="Normal Monster Damage %",(CHOOSE(MATCH($I$39,{"Rare","Epic","Unique","Legendary","Mystic","Mystic (Prime)"},0),4,6,9,14,20,24))*Sensitivity!$H$11,IF($J$39="Status Effect Damage %",0,IF($J$39="Damage %",(CHOOSE(MATCH($I$39,{"Rare","Epic","Unique","Legendary","Mystic","Mystic (Prime)"},0),4,6,9,14,20,24))*Sensitivity!$H$8,IF($J$39="Defense Penetration %",(CHOOSE(MATCH($I$39,{"Rare","Epic","Unique","Legendary","Mystic","Mystic (Prime)"},0),2,3,4.5,7,10,12))*Sensitivity!$H$18,0)))))))))))),0)</f>
        <v/>
      </c>
      <c r="L39">
        <f>Summary!$B$3*((IF(D39="(none)",1,1+(E39+IF(G39=D39,H39,0)+IF(J39=D39,K39,0))/Summary!$B$3))*(IF(OR(G39="(none)",G39=D39),1,1+(H39+IF(D39=G39,E39,0)+IF(J39=G39,K39,0))/Summary!$B$3))*(IF(OR(J39="",J39="(none)",J39=D39,J39=G39),1,1+(K39+IF(D39=J39,E39,0)+IF(G39=J39,H39,0))/Summary!$B$3))-1)</f>
        <v/>
      </c>
      <c r="M39">
        <f>OR(Inputs!$B$47="Cursed Doll",Inputs!$B$48="Cursed Doll",Inputs!$B$49="Cursed Doll",Inputs!$B$50="Cursed Doll")</f>
        <v/>
      </c>
      <c r="N39">
        <f>IF(B39="Not Unlocked",0,B39)</f>
        <v/>
      </c>
    </row>
    <row r="40">
      <c r="A40" s="6" t="inlineStr">
        <is>
          <t>Reindeer's Spear</t>
        </is>
      </c>
      <c r="B40" s="7" t="inlineStr">
        <is>
          <t>Not Unlocked</t>
        </is>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(Prime)"},0),2,3,4.5,7,10,12))*Sensitivity!$H$15,IF($D$40="Min Damage Multiplier %",(CHOOSE(MATCH($C$40,{"Rare","Epic","Unique","Legendary","Mystic","Mystic (Prime)"},0),2,3,4.5,7,10,12))*Sensitivity!$H$13,IF($D$40="Max Damage Multiplier %",(CHOOSE(MATCH($C$40,{"Rare","Epic","Unique","Legendary","Mystic","Mystic (Prime)"},0),2,3,4.5,7,10,12))*Sensitivity!$H$14,IF($D$40="Boss Monster Damage %",(CHOOSE(MATCH($C$40,{"Rare","Epic","Unique","Legendary","Mystic","Mystic (Prime)"},0),4,6,9,14,20,24))*Sensitivity!$H$10,IF($D$40="Normal Monster Damage %",(CHOOSE(MATCH($C$40,{"Rare","Epic","Unique","Legendary","Mystic","Mystic (Prime)"},0),4,6,9,14,20,24))*Sensitivity!$H$11,IF($D$40="Status Effect Damage %",0,IF($D$40="Damage %",(CHOOSE(MATCH($C$40,{"Rare","Epic","Unique","Legendary","Mystic","Mystic (Prime)"},0),4,6,9,14,20,24))*Sensitivity!$H$8,IF($D$40="Defense Penetration %",(CHOOSE(MATCH($C$40,{"Rare","Epic","Unique","Legendary","Mystic","Mystic (Prime)"},0),2,3,4.5,7,10,12))*Sensitivity!$H$18,0)))))))))))),0)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(Prime)"},0),2,3,4.5,7,10,12))*Sensitivity!$H$15,IF($G$40="Min Damage Multiplier %",(CHOOSE(MATCH($F$40,{"Rare","Epic","Unique","Legendary","Mystic","Mystic (Prime)"},0),2,3,4.5,7,10,12))*Sensitivity!$H$13,IF($G$40="Max Damage Multiplier %",(CHOOSE(MATCH($F$40,{"Rare","Epic","Unique","Legendary","Mystic","Mystic (Prime)"},0),2,3,4.5,7,10,12))*Sensitivity!$H$14,IF($G$40="Boss Monster Damage %",(CHOOSE(MATCH($F$40,{"Rare","Epic","Unique","Legendary","Mystic","Mystic (Prime)"},0),4,6,9,14,20,24))*Sensitivity!$H$10,IF($G$40="Normal Monster Damage %",(CHOOSE(MATCH($F$40,{"Rare","Epic","Unique","Legendary","Mystic","Mystic (Prime)"},0),4,6,9,14,20,24))*Sensitivity!$H$11,IF($G$40="Status Effect Damage %",0,IF($G$40="Damage %",(CHOOSE(MATCH($F$40,{"Rare","Epic","Unique","Legendary","Mystic","Mystic (Prime)"},0),4,6,9,14,20,24))*Sensitivity!$H$8,IF($G$40="Defense Penetration %",(CHOOSE(MATCH($F$40,{"Rare","Epic","Unique","Legendary","Mystic","Mystic (Prime)"},0),2,3,4.5,7,10,12))*Sensitivity!$H$18,0)))))))))))),0)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(Prime)"},0),2,3,4.5,7,10,12))*Sensitivity!$H$15,IF($J$40="Min Damage Multiplier %",(CHOOSE(MATCH($I$40,{"Rare","Epic","Unique","Legendary","Mystic","Mystic (Prime)"},0),2,3,4.5,7,10,12))*Sensitivity!$H$13,IF($J$40="Max Damage Multiplier %",(CHOOSE(MATCH($I$40,{"Rare","Epic","Unique","Legendary","Mystic","Mystic (Prime)"},0),2,3,4.5,7,10,12))*Sensitivity!$H$14,IF($J$40="Boss Monster Damage %",(CHOOSE(MATCH($I$40,{"Rare","Epic","Unique","Legendary","Mystic","Mystic (Prime)"},0),4,6,9,14,20,24))*Sensitivity!$H$10,IF($J$40="Normal Monster Damage %",(CHOOSE(MATCH($I$40,{"Rare","Epic","Unique","Legendary","Mystic","Mystic (Prime)"},0),4,6,9,14,20,24))*Sensitivity!$H$11,IF($J$40="Status Effect Damage %",0,IF($J$40="Damage %",(CHOOSE(MATCH($I$40,{"Rare","Epic","Unique","Legendary","Mystic","Mystic (Prime)"},0),4,6,9,14,20,24))*Sensitivity!$H$8,IF($J$40="Defense Penetration %",(CHOOSE(MATCH($I$40,{"Rare","Epic","Unique","Legendary","Mystic","Mystic (Prime)"},0),2,3,4.5,7,10,12))*Sensitivity!$H$18,0)))))))))))),0)</f>
        <v/>
      </c>
      <c r="L40">
        <f>Summary!$B$3*((IF(D40="(none)",1,1+(E40+IF(G40=D40,H40,0)+IF(J40=D40,K40,0))/Summary!$B$3))*(IF(OR(G40="(none)",G40=D40),1,1+(H40+IF(D40=G40,E40,0)+IF(J40=G40,K40,0))/Summary!$B$3))*(IF(OR(J40="",J40="(none)",J40=D40,J40=G40),1,1+(K40+IF(D40=J40,E40,0)+IF(G40=J40,H40,0))/Summary!$B$3))-1)</f>
        <v/>
      </c>
      <c r="M40">
        <f>OR(Inputs!$B$47="Reindeer's Spear",Inputs!$B$48="Reindeer's Spear",Inputs!$B$49="Reindeer's Spear",Inputs!$B$50="Reindeer's Spear")</f>
        <v/>
      </c>
      <c r="N40">
        <f>IF(B40="Not Unlocked",0,B40)</f>
        <v/>
      </c>
    </row>
    <row r="41">
      <c r="A41" s="6" t="inlineStr">
        <is>
          <t>Secret Map</t>
        </is>
      </c>
      <c r="B41" s="7" t="inlineStr">
        <is>
          <t>Not Unlocked</t>
        </is>
      </c>
      <c r="C41" s="7" t="inlineStr">
        <is>
          <t>Rare</t>
        </is>
      </c>
      <c r="D41" s="7" t="inlineStr">
        <is>
          <t>(none)</t>
        </is>
      </c>
      <c r="E41">
        <f>IF($N$41&gt;=1,IF($D$41="Main Stat %",(CHOOSE(MATCH($C$41,{"Rare","Epic","Unique","Legendary","Mystic","Mystic (Prime)"},0),2,3,4.5,7,10,12))*Sensitivity!$H$6,IF($D$41="Damage Taken Decrease %",0,IF($D$41="Defense %",0,IF($D$41="Accuracy",0,IF($D$41="Critical Rate %",(CHOOSE(MATCH($C$41,{"Rare","Epic","Unique","Legendary","Mystic","Mystic (Prime)"},0),2,3,4.5,7,10,12))*Sensitivity!$H$15,IF($D$41="Min Damage Multiplier %",(CHOOSE(MATCH($C$41,{"Rare","Epic","Unique","Legendary","Mystic","Mystic (Prime)"},0),2,3,4.5,7,10,12))*Sensitivity!$H$13,IF($D$41="Max Damage Multiplier %",(CHOOSE(MATCH($C$41,{"Rare","Epic","Unique","Legendary","Mystic","Mystic (Prime)"},0),2,3,4.5,7,10,12))*Sensitivity!$H$14,IF($D$41="Boss Monster Damage %",(CHOOSE(MATCH($C$41,{"Rare","Epic","Unique","Legendary","Mystic","Mystic (Prime)"},0),4,6,9,14,20,24))*Sensitivity!$H$10,IF($D$41="Normal Monster Damage %",(CHOOSE(MATCH($C$41,{"Rare","Epic","Unique","Legendary","Mystic","Mystic (Prime)"},0),4,6,9,14,20,24))*Sensitivity!$H$11,IF($D$41="Status Effect Damage %",0,IF($D$41="Damage %",(CHOOSE(MATCH($C$41,{"Rare","Epic","Unique","Legendary","Mystic","Mystic (Prime)"},0),4,6,9,14,20,24))*Sensitivity!$H$8,IF($D$41="Defense Penetration %",(CHOOSE(MATCH($C$41,{"Rare","Epic","Unique","Legendary","Mystic","Mystic (Prime)"},0),2,3,4.5,7,10,12))*Sensitivity!$H$18,0)))))))))))),0)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(Prime)"},0),2,3,4.5,7,10,12))*Sensitivity!$H$15,IF($G$41="Min Damage Multiplier %",(CHOOSE(MATCH($F$41,{"Rare","Epic","Unique","Legendary","Mystic","Mystic (Prime)"},0),2,3,4.5,7,10,12))*Sensitivity!$H$13,IF($G$41="Max Damage Multiplier %",(CHOOSE(MATCH($F$41,{"Rare","Epic","Unique","Legendary","Mystic","Mystic (Prime)"},0),2,3,4.5,7,10,12))*Sensitivity!$H$14,IF($G$41="Boss Monster Damage %",(CHOOSE(MATCH($F$41,{"Rare","Epic","Unique","Legendary","Mystic","Mystic (Prime)"},0),4,6,9,14,20,24))*Sensitivity!$H$10,IF($G$41="Normal Monster Damage %",(CHOOSE(MATCH($F$41,{"Rare","Epic","Unique","Legendary","Mystic","Mystic (Prime)"},0),4,6,9,14,20,24))*Sensitivity!$H$11,IF($G$41="Status Effect Damage %",0,IF($G$41="Damage %",(CHOOSE(MATCH($F$41,{"Rare","Epic","Unique","Legendary","Mystic","Mystic (Prime)"},0),4,6,9,14,20,24))*Sensitivity!$H$8,IF($G$41="Defense Penetration %",(CHOOSE(MATCH($F$41,{"Rare","Epic","Unique","Legendary","Mystic","Mystic (Prime)"},0),2,3,4.5,7,10,12))*Sensitivity!$H$18,0)))))))))))),0)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(Prime)"},0),2,3,4.5,7,10,12))*Sensitivity!$H$15,IF($J$41="Min Damage Multiplier %",(CHOOSE(MATCH($I$41,{"Rare","Epic","Unique","Legendary","Mystic","Mystic (Prime)"},0),2,3,4.5,7,10,12))*Sensitivity!$H$13,IF($J$41="Max Damage Multiplier %",(CHOOSE(MATCH($I$41,{"Rare","Epic","Unique","Legendary","Mystic","Mystic (Prime)"},0),2,3,4.5,7,10,12))*Sensitivity!$H$14,IF($J$41="Boss Monster Damage %",(CHOOSE(MATCH($I$41,{"Rare","Epic","Unique","Legendary","Mystic","Mystic (Prime)"},0),4,6,9,14,20,24))*Sensitivity!$H$10,IF($J$41="Normal Monster Damage %",(CHOOSE(MATCH($I$41,{"Rare","Epic","Unique","Legendary","Mystic","Mystic (Prime)"},0),4,6,9,14,20,24))*Sensitivity!$H$11,IF($J$41="Status Effect Damage %",0,IF($J$41="Damage %",(CHOOSE(MATCH($I$41,{"Rare","Epic","Unique","Legendary","Mystic","Mystic (Prime)"},0),4,6,9,14,20,24))*Sensitivity!$H$8,IF($J$41="Defense Penetration %",(CHOOSE(MATCH($I$41,{"Rare","Epic","Unique","Legendary","Mystic","Mystic (Prime)"},0),2,3,4.5,7,10,12))*Sensitivity!$H$18,0)))))))))))),0)</f>
        <v/>
      </c>
      <c r="L41">
        <f>Summary!$B$3*((IF(D41="(none)",1,1+(E41+IF(G41=D41,H41,0)+IF(J41=D41,K41,0))/Summary!$B$3))*(IF(OR(G41="(none)",G41=D41),1,1+(H41+IF(D41=G41,E41,0)+IF(J41=G41,K41,0))/Summary!$B$3))*(IF(OR(J41="",J41="(none)",J41=D41,J41=G41),1,1+(K41+IF(D41=J41,E41,0)+IF(G41=J41,H41,0))/Summary!$B$3))-1)</f>
        <v/>
      </c>
      <c r="M41">
        <f>OR(Inputs!$B$47="Secret Map",Inputs!$B$48="Secret Map",Inputs!$B$49="Secret Map",Inputs!$B$50="Secret Map")</f>
        <v/>
      </c>
      <c r="N41">
        <f>IF(B41="Not Unlocked",0,B41)</f>
        <v/>
      </c>
    </row>
    <row r="42">
      <c r="A42" s="6" t="inlineStr">
        <is>
          <t>Ring of Cycles</t>
        </is>
      </c>
      <c r="B42" s="7" t="inlineStr">
        <is>
          <t>Not Unlocked</t>
        </is>
      </c>
      <c r="C42" s="7" t="inlineStr">
        <is>
          <t>Rare</t>
        </is>
      </c>
      <c r="D42" s="7" t="inlineStr">
        <is>
          <t>(none)</t>
        </is>
      </c>
      <c r="E42">
        <f>IF($N$42&gt;=1,IF($D$42="Main Stat %",(CHOOSE(MATCH($C$42,{"Rare","Epic","Unique","Legendary","Mystic","Mystic (Prime)"},0),2,3,4.5,7,10,12))*Sensitivity!$H$6,IF($D$42="Damage Taken Decrease %",0,IF($D$42="Defense %",0,IF($D$42="Accuracy",0,IF($D$42="Critical Rate %",(CHOOSE(MATCH($C$42,{"Rare","Epic","Unique","Legendary","Mystic","Mystic (Prime)"},0),2,3,4.5,7,10,12))*Sensitivity!$H$15,IF($D$42="Min Damage Multiplier %",(CHOOSE(MATCH($C$42,{"Rare","Epic","Unique","Legendary","Mystic","Mystic (Prime)"},0),2,3,4.5,7,10,12))*Sensitivity!$H$13,IF($D$42="Max Damage Multiplier %",(CHOOSE(MATCH($C$42,{"Rare","Epic","Unique","Legendary","Mystic","Mystic (Prime)"},0),2,3,4.5,7,10,12))*Sensitivity!$H$14,IF($D$42="Boss Monster Damage %",(CHOOSE(MATCH($C$42,{"Rare","Epic","Unique","Legendary","Mystic","Mystic (Prime)"},0),4,6,9,14,20,24))*Sensitivity!$H$10,IF($D$42="Normal Monster Damage %",(CHOOSE(MATCH($C$42,{"Rare","Epic","Unique","Legendary","Mystic","Mystic (Prime)"},0),4,6,9,14,20,24))*Sensitivity!$H$11,IF($D$42="Status Effect Damage %",0,IF($D$42="Damage %",(CHOOSE(MATCH($C$42,{"Rare","Epic","Unique","Legendary","Mystic","Mystic (Prime)"},0),4,6,9,14,20,24))*Sensitivity!$H$8,IF($D$42="Defense Penetration %",(CHOOSE(MATCH($C$42,{"Rare","Epic","Unique","Legendary","Mystic","Mystic (Prime)"},0),2,3,4.5,7,10,12))*Sensitivity!$H$18,0)))))))))))),0)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(Prime)"},0),2,3,4.5,7,10,12))*Sensitivity!$H$15,IF($G$42="Min Damage Multiplier %",(CHOOSE(MATCH($F$42,{"Rare","Epic","Unique","Legendary","Mystic","Mystic (Prime)"},0),2,3,4.5,7,10,12))*Sensitivity!$H$13,IF($G$42="Max Damage Multiplier %",(CHOOSE(MATCH($F$42,{"Rare","Epic","Unique","Legendary","Mystic","Mystic (Prime)"},0),2,3,4.5,7,10,12))*Sensitivity!$H$14,IF($G$42="Boss Monster Damage %",(CHOOSE(MATCH($F$42,{"Rare","Epic","Unique","Legendary","Mystic","Mystic (Prime)"},0),4,6,9,14,20,24))*Sensitivity!$H$10,IF($G$42="Normal Monster Damage %",(CHOOSE(MATCH($F$42,{"Rare","Epic","Unique","Legendary","Mystic","Mystic (Prime)"},0),4,6,9,14,20,24))*Sensitivity!$H$11,IF($G$42="Status Effect Damage %",0,IF($G$42="Damage %",(CHOOSE(MATCH($F$42,{"Rare","Epic","Unique","Legendary","Mystic","Mystic (Prime)"},0),4,6,9,14,20,24))*Sensitivity!$H$8,IF($G$42="Defense Penetration %",(CHOOSE(MATCH($F$42,{"Rare","Epic","Unique","Legendary","Mystic","Mystic (Prime)"},0),2,3,4.5,7,10,12))*Sensitivity!$H$18,0)))))))))))),0)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(Prime)"},0),2,3,4.5,7,10,12))*Sensitivity!$H$15,IF($J$42="Min Damage Multiplier %",(CHOOSE(MATCH($I$42,{"Rare","Epic","Unique","Legendary","Mystic","Mystic (Prime)"},0),2,3,4.5,7,10,12))*Sensitivity!$H$13,IF($J$42="Max Damage Multiplier %",(CHOOSE(MATCH($I$42,{"Rare","Epic","Unique","Legendary","Mystic","Mystic (Prime)"},0),2,3,4.5,7,10,12))*Sensitivity!$H$14,IF($J$42="Boss Monster Damage %",(CHOOSE(MATCH($I$42,{"Rare","Epic","Unique","Legendary","Mystic","Mystic (Prime)"},0),4,6,9,14,20,24))*Sensitivity!$H$10,IF($J$42="Normal Monster Damage %",(CHOOSE(MATCH($I$42,{"Rare","Epic","Unique","Legendary","Mystic","Mystic (Prime)"},0),4,6,9,14,20,24))*Sensitivity!$H$11,IF($J$42="Status Effect Damage %",0,IF($J$42="Damage %",(CHOOSE(MATCH($I$42,{"Rare","Epic","Unique","Legendary","Mystic","Mystic (Prime)"},0),4,6,9,14,20,24))*Sensitivity!$H$8,IF($J$42="Defense Penetration %",(CHOOSE(MATCH($I$42,{"Rare","Epic","Unique","Legendary","Mystic","Mystic (Prime)"},0),2,3,4.5,7,10,12))*Sensitivity!$H$18,0)))))))))))),0)</f>
        <v/>
      </c>
      <c r="L42">
        <f>Summary!$B$3*((IF(D42="(none)",1,1+(E42+IF(G42=D42,H42,0)+IF(J42=D42,K42,0))/Summary!$B$3))*(IF(OR(G42="(none)",G42=D42),1,1+(H42+IF(D42=G42,E42,0)+IF(J42=G42,K42,0))/Summary!$B$3))*(IF(OR(J42="",J42="(none)",J42=D42,J42=G42),1,1+(K42+IF(D42=J42,E42,0)+IF(G42=J42,H42,0))/Summary!$B$3))-1)</f>
        <v/>
      </c>
      <c r="M42">
        <f>OR(Inputs!$B$47="Ring of Cycles",Inputs!$B$48="Ring of Cycles",Inputs!$B$49="Ring of Cycles",Inputs!$B$50="Ring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2026-10-04T08:14:14Z</dcterms:created>
  <dcterms:modified xsi:type="dcterms:W3CDTF">2026-10-04T08:14:14Z</dcterms:modified>
</cp:coreProperties>
</file>