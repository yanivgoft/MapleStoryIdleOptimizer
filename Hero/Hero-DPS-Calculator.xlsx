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+10/11/12/13/14/15%, every tier its own add-on = 75% at max, user-confirmed 2026-10-21).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SUMPRODUCT((Inputs!$B$3&gt;={108})*{50})</f>
        <v/>
      </c>
      <c r="P5" t="n">
        <v>0</v>
      </c>
      <c r="Q5" t="n">
        <v>0</v>
      </c>
      <c r="R5">
        <f>5+IF(Inputs!$B$3&gt;=100,5,0)</f>
        <v/>
      </c>
      <c r="S5" t="inlineStr"/>
      <c r="T5" t="n">
        <v>0</v>
      </c>
      <c r="U5" t="inlineStr"/>
      <c r="V5" t="inlineStr"/>
      <c r="W5" t="inlineStr">
        <is>
          <t>AUDIT 2026-10-21: the wound's damage-taken debuff discussed below is NO LONGER in this row's MasteryBossDamage%/MasteryNormalDamage% (both now 0) — per the game table it is a global Weakness (10% x factorIndex 21, x1.5 at Lv134), so it is folded into Summary's Global Monster Damage-Taken Bonus (x the wound's uptime, 10s*(1+BDI)/effective cooldown) and benefits every skill; the paragraph below describes the earlier per-row treatment. 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6100</v>
      </c>
      <c r="M7" t="n">
        <v>12</v>
      </c>
      <c r="N7" t="b">
        <v>1</v>
      </c>
      <c r="O7">
        <f>SUMPRODUCT((Inputs!$B$3&gt;={122})*{50})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f>IF(Inputs!$B$3&gt;=104,16*0.7,16)</f>
        <v/>
      </c>
      <c r="E9" t="b">
        <v>1</v>
      </c>
      <c r="F9" t="n">
        <v>1</v>
      </c>
      <c r="G9">
        <f>4+IF(Inputs!$B$3&gt;=94,1,0)</f>
        <v/>
      </c>
      <c r="H9" t="n">
        <v>0</v>
      </c>
      <c r="I9" t="n">
        <v>0</v>
      </c>
      <c r="J9" t="n">
        <v>100</v>
      </c>
      <c r="K9" t="n">
        <v>1</v>
      </c>
      <c r="L9" t="n">
        <v>2500</v>
      </c>
      <c r="M9" t="n">
        <v>12</v>
      </c>
      <c r="N9" t="b">
        <v>1</v>
      </c>
      <c r="O9">
        <f>SUMPRODUCT((Inputs!$B$3&gt;={73})*{50})</f>
        <v/>
      </c>
      <c r="P9" t="n">
        <v>0</v>
      </c>
      <c r="Q9" t="n">
        <v>0</v>
      </c>
      <c r="R9" t="n">
        <v>8</v>
      </c>
      <c r="S9" t="inlineStr"/>
      <c r="T9" t="n">
        <v>0</v>
      </c>
      <c r="U9" t="n">
        <v>200</v>
      </c>
      <c r="V9" t="n">
        <v>23</v>
      </c>
      <c r="W9" t="inlineStr">
        <is>
          <t>AUDIT 2026-10-21: previously-missing masteries added: Damage +50% @73, Strike +1 @94, Reuse -30% cooldown @104. 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f>IF(Inputs!$B$3&gt;=90,22*0.7,22)</f>
        <v/>
      </c>
      <c r="E10" t="b">
        <v>1</v>
      </c>
      <c r="F10" t="n">
        <v>1</v>
      </c>
      <c r="G10" t="n">
        <v>1</v>
      </c>
      <c r="H10" t="n">
        <v>0</v>
      </c>
      <c r="I10" t="n">
        <v>0</v>
      </c>
      <c r="J10" t="n">
        <v>100</v>
      </c>
      <c r="K10" t="n">
        <v>1</v>
      </c>
      <c r="L10" t="n">
        <v>6000</v>
      </c>
      <c r="M10" t="n">
        <v>12</v>
      </c>
      <c r="N10" t="b">
        <v>1</v>
      </c>
      <c r="O10">
        <f>SUMPRODUCT((Inputs!$B$3&gt;={68})*{80})</f>
        <v/>
      </c>
      <c r="P10" t="n">
        <v>0</v>
      </c>
      <c r="Q10" t="n">
        <v>0</v>
      </c>
      <c r="R10" t="n">
        <v>12</v>
      </c>
      <c r="S10" t="inlineStr"/>
      <c r="T10" t="n">
        <v>0</v>
      </c>
      <c r="U10" t="n">
        <v>300</v>
      </c>
      <c r="V10" t="n">
        <v>23</v>
      </c>
      <c r="W10" t="inlineStr">
        <is>
          <t>AUDIT 2026-10-21: previously-missing masteries added: Damage +80% @68, Reuse -30% cooldown @90. 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12</v>
      </c>
      <c r="N11" t="b">
        <v>1</v>
      </c>
      <c r="O11">
        <f>SUMPRODUCT((Inputs!$B$3&gt;={39})*{50})</f>
        <v/>
      </c>
      <c r="P11" t="n">
        <v>0</v>
      </c>
      <c r="Q11" t="n">
        <v>0</v>
      </c>
      <c r="R11" t="n">
        <v>7</v>
      </c>
      <c r="S11" t="inlineStr"/>
      <c r="T11" t="n">
        <v>0</v>
      </c>
      <c r="U11" t="n">
        <v>800</v>
      </c>
      <c r="V11" t="n">
        <v>23</v>
      </c>
      <c r="W11" t="inlineStr">
        <is>
          <t>Deals 350% damage to 7 target(s) in front, scaling '+5%/level' per the wiki page's own prose (the level 1-200 sampled table showed a constant 350% at every sampled level, which was wrongly trusted over the prose as a 'wiki content bug' — per direct user correction, the flat table was itself the error, same failure mode already caught on Bowmaster's Hurricane/Flash Mirage/Soul Arrow: a wiki per-level table reading flat is not reliable evidence a skill is truly non-scaling). factorIndex 12 (burst-damage active-skill convention, matching Close Combat/Puncture/Noble Demand's own curve), baseDamage 3500 tenths% (=350%) treated as the level-1 anchor.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f>SUMPRODUCT((Inputs!$B$3&gt;={49})*{1.5})</f>
        <v/>
      </c>
      <c r="P13" t="n">
        <v>0</v>
      </c>
      <c r="Q13" t="n">
        <v>0</v>
      </c>
      <c r="R13" t="n">
        <v>0</v>
      </c>
      <c r="S13" t="inlineStr">
        <is>
          <t>ATTACK</t>
        </is>
      </c>
      <c r="T13" t="n">
        <v>0</v>
      </c>
      <c r="U13" t="inlineStr"/>
      <c r="V13" t="inlineStr"/>
      <c r="W13" t="inlineStr">
        <is>
          <t>AUDIT 2026-10-21: Mastery Lv49 'Combo Attack - Attack' +1.5%p per stack added; Advanced Combo Lv118 adds +1 max stack (8). 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f>SUMPRODUCT((Inputs!$B$3&gt;={82})*{1})</f>
        <v/>
      </c>
      <c r="P14" t="n">
        <v>0</v>
      </c>
      <c r="Q14" t="n">
        <v>0</v>
      </c>
      <c r="R14" t="n">
        <v>0</v>
      </c>
      <c r="S14" t="inlineStr">
        <is>
          <t>FINAL_DAMAGE</t>
        </is>
      </c>
      <c r="T14" t="n">
        <v>0</v>
      </c>
      <c r="U14" t="inlineStr"/>
      <c r="V14" t="inlineStr"/>
      <c r="W14" t="inlineStr">
        <is>
          <t>AUDIT 2026-10-21: Mastery Lv82 'Combo Synergy - Final Damage' +1%p per stack added. +5%-&gt;8%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f>IF(Inputs!$B$3&gt;=44,45*0.7,45)</f>
        <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25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Skills!G2*IF(Skills!H2&gt;0,INT(IF(Inputs!$B$38="pvp",MIN(Skills!I2,15),Skills!I2)/Skills!H2+0.000000001),1)</f>
        <v/>
      </c>
      <c r="H2">
        <f>1-(1-Skills!J2/100)^Skills!K2</f>
        <v/>
      </c>
      <c r="I2" t="inlineStr">
        <is>
          <t>1</t>
        </is>
      </c>
      <c r="J2">
        <f>Summary!$B$6*(F2/100)</f>
        <v/>
      </c>
      <c r="K2">
        <f>J2*(1+Summary!$B$7/100)*(1+Inputs!$B$15/100)*(1+Inputs!$B$16/100)*(5000/(6000+Inputs!$B$42*(1-(100-(100-(Inputs!$B$19))*(1-IF(Inputs!$B$3&gt;=130,IF(Inputs!$B$3&gt;=118,8,IF(Inputs!$B$3&gt;=110,7,5)),0)/100))/100)))*(1+(Inputs!$B$24+Summary!$B$21)/100)*(1+Artifacts!$B$34/100)*(1+IF(Skills!A2="ENHANCED_RAGING_BLOW",IF(Inputs!$B$3&gt;=138,MAX(0,IF(Inputs!$B$3&gt;=118,8,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(100-(100-(Inputs!$B$19))*(1-IF(Inputs!$B$3&gt;=130,IF(Inputs!$B$3&gt;=118,8,IF(Inputs!$B$3&gt;=110,7,5)),0)/100))/100)*(1-Artifacts!$B$51/100)^IF(Inputs!$B$38="pvp",1,2)))/100)))/(5000/(6000+Inputs!$B$42*(1-(100-(100-(Inputs!$B$19))*(1-IF(Inputs!$B$3&gt;=130,IF(Inputs!$B$3&gt;=118,8,IF(Inputs!$B$3&gt;=110,7,5)),0)/100))/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Skills!G5*IF(Skills!H5&gt;0,INT(IF(Inputs!$B$38="pvp",MIN(Skills!I5,15),Skills!I5)/Skills!H5+0.000000001),1)</f>
        <v/>
      </c>
      <c r="H5">
        <f>1-(1-Skills!J5/100)^Skills!K5</f>
        <v/>
      </c>
      <c r="I5" t="inlineStr">
        <is>
          <t>1</t>
        </is>
      </c>
      <c r="J5">
        <f>Summary!$B$6*(F5/100)</f>
        <v/>
      </c>
      <c r="K5">
        <f>J5*(1+Summary!$B$7/100)*(1+Inputs!$B$15/100)*(1+Inputs!$B$16/100)*(5000/(6000+Inputs!$B$42*(1-(100-(100-(Inputs!$B$19))*(1-IF(Inputs!$B$3&gt;=130,IF(Inputs!$B$3&gt;=118,8,IF(Inputs!$B$3&gt;=110,7,5)),0)/100))/100)))*(1+(Inputs!$B$24+Summary!$B$21)/100)*(1+Artifacts!$B$34/100)*(1+IF(Skills!A5="ENHANCED_RAGING_BLOW",IF(Inputs!$B$3&gt;=138,MAX(0,IF(Inputs!$B$3&gt;=118,8,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INT(Skills!I5/Skills!H5+0.000000001),1)+IF(Skills!H5&gt;0,INT(MIN(Skills!I5,MAX(0,MAX(0,Inputs!$B$43-Summary!$B$23)-((R5-1)*(IF(Inputs!$B$38="pvp",15,MAX(0.1,Skills!D5-IF(TRUE=TRUE,Inputs!$B$32,0)))*(1-IF(AND(ArtifactsInput!$M$27,Inputs!$B$4="Chapter Hunt"),CHOOSE(ArtifactsInput!$N$27+1,20,24,28,32,36,40),0)/100)))))/Skills!H5+0.000000001),1)))/Inputs!$B$43),G5*Q5))*IF(Inputs!$B$38="pvp",1,1+(Inputs!$B$20+Skills!P5+Summary!$B$15+Artifacts!$B$35)/100)*((((5000/(6000+Inputs!$B$42*(1-(100*(1-(1-(100-(100-(Inputs!$B$19))*(1-IF(Inputs!$B$3&gt;=130,IF(Inputs!$B$3&gt;=118,8,IF(Inputs!$B$3&gt;=110,7,5)),0)/100))/100)*(1-Artifacts!$B$51/100)^IF(Inputs!$B$38="pvp",1,2)))/100)))/(5000/(6000+Inputs!$B$42*(1-(100-(100-(Inputs!$B$19))*(1-IF(Inputs!$B$3&gt;=130,IF(Inputs!$B$3&gt;=118,8,IF(Inputs!$B$3&gt;=110,7,5)),0)/100))/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INT(Skills!I5/Skills!H5+0.000000001),1)+IF(Skills!H5&gt;0,INT(MIN(Skills!I5,MAX(0,MAX(0,Inputs!$B$43-Summary!$B$23)-((R5-1)*(IF(Inputs!$B$38="pvp",15,MAX(0.1,Skills!D5-IF(TRUE=TRUE,Inputs!$B$32,0)))*(1-IF(AND(ArtifactsInput!$M$27,Inputs!$B$4="Chapter Hunt"),CHOOSE(ArtifactsInput!$N$27+1,20,24,28,32,36,40),0)/100)))))/Skills!H5+0.000000001),1)))/Inputs!$B$43),G5*Q5))*IF(Inputs!$B$38="pvp",1,(1+(Inputs!$B$21+Skills!Q5+Summary!$B$15+Artifacts!$B$80)/100)*(MIN(Skills!R5,Inputs!$B$37)))*((1+Artifacts!$B$53/100)),0)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Skills!G6*IF(Skills!H6&gt;0,INT(IF(Inputs!$B$38="pvp",MIN(Skills!I6,15),Skills!I6)/Skills!H6+0.000000001),1)</f>
        <v/>
      </c>
      <c r="H6">
        <f>1-(1-Skills!J6/100)^Skills!K6</f>
        <v/>
      </c>
      <c r="I6" t="inlineStr">
        <is>
          <t>1</t>
        </is>
      </c>
      <c r="J6">
        <f>Summary!$B$6*(F6/100)</f>
        <v/>
      </c>
      <c r="K6">
        <f>J6*(1+Summary!$B$7/100)*(1+Inputs!$B$15/100)*(1+Inputs!$B$16/100)*(5000/(6000+Inputs!$B$42*(1-(100-(100-(Inputs!$B$19))*(1-IF(Inputs!$B$3&gt;=130,IF(Inputs!$B$3&gt;=118,8,IF(Inputs!$B$3&gt;=110,7,5)),0)/100))/100)))*(1+(Inputs!$B$24+Summary!$B$21)/100)*(1+Artifacts!$B$34/100)*(1+IF(Skills!A6="ENHANCED_RAGING_BLOW",IF(Inputs!$B$3&gt;=138,MAX(0,IF(Inputs!$B$3&gt;=118,8,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INT(Skills!I6/Skills!H6+0.000000001),1)+IF(Skills!H6&gt;0,INT(MIN(Skills!I6,MAX(0,MAX(0,Inputs!$B$43-Summary!$B$23)-((R6-1)*(IF(Inputs!$B$38="pvp",15,MAX(0.1,Skills!D6-IF(TRUE=TRUE,Inputs!$B$32,0)))*(1-IF(AND(ArtifactsInput!$M$27,Inputs!$B$4="Chapter Hunt"),CHOOSE(ArtifactsInput!$N$27+1,20,24,28,32,36,40),0)/100)))))/Skills!H6+0.000000001),1)))/Inputs!$B$43),G6*Q6))*IF(Inputs!$B$38="pvp",1,1+(Inputs!$B$20+Skills!P6+Summary!$B$15+Artifacts!$B$35)/100)*((((5000/(6000+Inputs!$B$42*(1-(100*(1-(1-(100-(100-(Inputs!$B$19))*(1-IF(Inputs!$B$3&gt;=130,IF(Inputs!$B$3&gt;=118,8,IF(Inputs!$B$3&gt;=110,7,5)),0)/100))/100)*(1-Artifacts!$B$51/100)^IF(Inputs!$B$38="pvp",1,2)))/100)))/(5000/(6000+Inputs!$B$42*(1-(100-(100-(Inputs!$B$19))*(1-IF(Inputs!$B$3&gt;=130,IF(Inputs!$B$3&gt;=118,8,IF(Inputs!$B$3&gt;=110,7,5)),0)/100))/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INT(Skills!I6/Skills!H6+0.000000001),1)+IF(Skills!H6&gt;0,INT(MIN(Skills!I6,MAX(0,MAX(0,Inputs!$B$43-Summary!$B$23)-((R6-1)*(IF(Inputs!$B$38="pvp",15,MAX(0.1,Skills!D6-IF(TRUE=TRUE,Inputs!$B$32,0)))*(1-IF(AND(ArtifactsInput!$M$27,Inputs!$B$4="Chapter Hunt"),CHOOSE(ArtifactsInput!$N$27+1,20,24,28,32,36,40),0)/100)))))/Skills!H6+0.000000001),1)))/Inputs!$B$43),G6*Q6))*IF(Inputs!$B$38="pvp",1,(1+(Inputs!$B$21+Skills!Q6+Summary!$B$15+Artifacts!$B$80)/100)*(MIN(Skills!R6,Inputs!$B$37)))*((1+Artifacts!$B$53/100)),0)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Skills!G7*IF(Skills!H7&gt;0,INT(IF(Inputs!$B$38="pvp",MIN(Skills!I7,15),Skills!I7)/Skills!H7+0.000000001),1)</f>
        <v/>
      </c>
      <c r="H7">
        <f>1-(1-Skills!J7/100)^Skills!K7</f>
        <v/>
      </c>
      <c r="I7" t="inlineStr">
        <is>
          <t>1</t>
        </is>
      </c>
      <c r="J7">
        <f>Summary!$B$6*(F7/100)</f>
        <v/>
      </c>
      <c r="K7">
        <f>J7*(1+Summary!$B$7/100)*(1+Inputs!$B$15/100)*(1+Inputs!$B$16/100)*(5000/(6000+Inputs!$B$42*(1-(100-(100-(Inputs!$B$19))*(1-IF(Inputs!$B$3&gt;=130,IF(Inputs!$B$3&gt;=118,8,IF(Inputs!$B$3&gt;=110,7,5)),0)/100))/100)))*(1+(Inputs!$B$24+Summary!$B$21)/100)*(1+Artifacts!$B$34/100)*(1+IF(Skills!A7="ENHANCED_RAGING_BLOW",IF(Inputs!$B$3&gt;=138,MAX(0,IF(Inputs!$B$3&gt;=118,8,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INT(Skills!I7/Skills!H7+0.000000001),1)+IF(Skills!H7&gt;0,INT(MIN(Skills!I7,MAX(0,MAX(0,Inputs!$B$43-Summary!$B$23)-((R7-1)*(IF(Inputs!$B$38="pvp",15,MAX(0.1,Skills!D7-IF(TRUE=TRUE,Inputs!$B$32,0)))*(1-IF(AND(ArtifactsInput!$M$27,Inputs!$B$4="Chapter Hunt"),CHOOSE(ArtifactsInput!$N$27+1,20,24,28,32,36,40),0)/100)))))/Skills!H7+0.000000001),1)))/Inputs!$B$43),G7*Q7))*IF(Inputs!$B$38="pvp",1,1+(Inputs!$B$20+Skills!P7+Summary!$B$15+Artifacts!$B$35)/100)*((((5000/(6000+Inputs!$B$42*(1-(100*(1-(1-(100-(100-(Inputs!$B$19))*(1-IF(Inputs!$B$3&gt;=130,IF(Inputs!$B$3&gt;=118,8,IF(Inputs!$B$3&gt;=110,7,5)),0)/100))/100)*(1-Artifacts!$B$51/100)^IF(Inputs!$B$38="pvp",1,2)))/100)))/(5000/(6000+Inputs!$B$42*(1-(100-(100-(Inputs!$B$19))*(1-IF(Inputs!$B$3&gt;=130,IF(Inputs!$B$3&gt;=118,8,IF(Inputs!$B$3&gt;=110,7,5)),0)/100))/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INT(Skills!I7/Skills!H7+0.000000001),1)+IF(Skills!H7&gt;0,INT(MIN(Skills!I7,MAX(0,MAX(0,Inputs!$B$43-Summary!$B$23)-((R7-1)*(IF(Inputs!$B$38="pvp",15,MAX(0.1,Skills!D7-IF(TRUE=TRUE,Inputs!$B$32,0)))*(1-IF(AND(ArtifactsInput!$M$27,Inputs!$B$4="Chapter Hunt"),CHOOSE(ArtifactsInput!$N$27+1,20,24,28,32,36,40),0)/100)))))/Skills!H7+0.000000001),1)))/Inputs!$B$43),G7*Q7))*IF(Inputs!$B$38="pvp",1,(1+(Inputs!$B$21+Skills!Q7+Summary!$B$15+Artifacts!$B$80)/100)*(MIN(Skills!R7,Inputs!$B$37)))*((1+Artifacts!$B$53/100)),0)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Skills!G8*IF(Skills!H8&gt;0,INT(IF(Inputs!$B$38="pvp",MIN(Skills!I8,15),Skills!I8)/Skills!H8+0.000000001),1)</f>
        <v/>
      </c>
      <c r="H8">
        <f>1-(1-Skills!J8/100)^Skills!K8</f>
        <v/>
      </c>
      <c r="I8" t="inlineStr">
        <is>
          <t>1</t>
        </is>
      </c>
      <c r="J8">
        <f>Summary!$B$6*(F8/100)</f>
        <v/>
      </c>
      <c r="K8">
        <f>J8*(1+Summary!$B$7/100)*(1+Inputs!$B$15/100)*(1+Inputs!$B$16/100)*(5000/(6000+Inputs!$B$42*(1-(100-(100-(Inputs!$B$19))*(1-IF(Inputs!$B$3&gt;=130,IF(Inputs!$B$3&gt;=118,8,IF(Inputs!$B$3&gt;=110,7,5)),0)/100))/100)))*(1+(Inputs!$B$24+Summary!$B$21)/100)*(1+Artifacts!$B$34/100)*(1+IF(Skills!A8="ENHANCED_RAGING_BLOW",IF(Inputs!$B$3&gt;=138,MAX(0,IF(Inputs!$B$3&gt;=118,8,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INT(Skills!I8/Skills!H8+0.000000001),1)+IF(Skills!H8&gt;0,INT(MIN(Skills!I8,MAX(0,MAX(0,Inputs!$B$43-Summary!$B$23)-((R8-1)*(IF(Inputs!$B$38="pvp",15,MAX(0.1,Skills!D8-IF(TRUE=TRUE,Inputs!$B$32,0)))*(1-IF(AND(ArtifactsInput!$M$27,Inputs!$B$4="Chapter Hunt"),CHOOSE(ArtifactsInput!$N$27+1,20,24,28,32,36,40),0)/100)))))/Skills!H8+0.000000001),1)))/Inputs!$B$43),G8*Q8))*IF(Inputs!$B$38="pvp",1,1+(Inputs!$B$20+Skills!P8+Summary!$B$15+Artifacts!$B$35)/100)*((((5000/(6000+Inputs!$B$42*(1-(100*(1-(1-(100-(100-(Inputs!$B$19))*(1-IF(Inputs!$B$3&gt;=130,IF(Inputs!$B$3&gt;=118,8,IF(Inputs!$B$3&gt;=110,7,5)),0)/100))/100)*(1-Artifacts!$B$51/100)^IF(Inputs!$B$38="pvp",1,2)))/100)))/(5000/(6000+Inputs!$B$42*(1-(100-(100-(Inputs!$B$19))*(1-IF(Inputs!$B$3&gt;=130,IF(Inputs!$B$3&gt;=118,8,IF(Inputs!$B$3&gt;=110,7,5)),0)/100))/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INT(Skills!I8/Skills!H8+0.000000001),1)+IF(Skills!H8&gt;0,INT(MIN(Skills!I8,MAX(0,MAX(0,Inputs!$B$43-Summary!$B$23)-((R8-1)*(IF(Inputs!$B$38="pvp",15,MAX(0.1,Skills!D8-IF(TRUE=TRUE,Inputs!$B$32,0)))*(1-IF(AND(ArtifactsInput!$M$27,Inputs!$B$4="Chapter Hunt"),CHOOSE(ArtifactsInput!$N$27+1,20,24,28,32,36,40),0)/100)))))/Skills!H8+0.000000001),1)))/Inputs!$B$43),G8*Q8))*IF(Inputs!$B$38="pvp",1,(1+(Inputs!$B$21+Skills!Q8+Summary!$B$15+Artifacts!$B$80)/100)*(MIN(Skills!R8,Inputs!$B$37)))*((1+Artifacts!$B$53/100)),0)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Skills!G9*IF(Skills!H9&gt;0,INT(IF(Inputs!$B$38="pvp",MIN(Skills!I9,15),Skills!I9)/Skills!H9+0.000000001),1)</f>
        <v/>
      </c>
      <c r="H9">
        <f>1-(1-Skills!J9/100)^Skills!K9</f>
        <v/>
      </c>
      <c r="I9" t="inlineStr">
        <is>
          <t>1</t>
        </is>
      </c>
      <c r="J9">
        <f>Summary!$B$6*(F9/100)</f>
        <v/>
      </c>
      <c r="K9">
        <f>J9*(1+Summary!$B$7/100)*(1+Inputs!$B$15/100)*(1+Inputs!$B$16/100)*(5000/(6000+Inputs!$B$42*(1-(100-(100-(Inputs!$B$19))*(1-IF(Inputs!$B$3&gt;=130,IF(Inputs!$B$3&gt;=118,8,IF(Inputs!$B$3&gt;=110,7,5)),0)/100))/100)))*(1+(Inputs!$B$24+Summary!$B$21)/100)*(1+Artifacts!$B$34/100)*(1+1.0*IF(C12=TRUE,F12,0)/100)*(1+IF(Skills!A9="ENHANCED_RAGING_BLOW",IF(Inputs!$B$3&gt;=138,MAX(0,IF(Inputs!$B$3&gt;=118,8,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INT(Skills!I9/Skills!H9+0.000000001),1)+IF(Skills!H9&gt;0,INT(MIN(Skills!I9,MAX(0,MAX(0,Inputs!$B$43-Summary!$B$23)-((R9-1)*(IF(Inputs!$B$38="pvp",15,MAX(0.1,Skills!D9-IF(TRUE=TRUE,Inputs!$B$32,0)))*(1-IF(AND(ArtifactsInput!$M$27,Inputs!$B$4="Chapter Hunt"),CHOOSE(ArtifactsInput!$N$27+1,20,24,28,32,36,40),0)/100)))))/Skills!H9+0.000000001),1)))/Inputs!$B$43),G9*Q9))*IF(Inputs!$B$38="pvp",1,1+(Inputs!$B$20+Skills!P9+Summary!$B$15+Artifacts!$B$35)/100)*((((5000/(6000+Inputs!$B$42*(1-(100*(1-(1-(100-(100-(Inputs!$B$19))*(1-IF(Inputs!$B$3&gt;=130,IF(Inputs!$B$3&gt;=118,8,IF(Inputs!$B$3&gt;=110,7,5)),0)/100))/100)*(1-Artifacts!$B$51/100)^IF(Inputs!$B$38="pvp",1,2)))/100)))/(5000/(6000+Inputs!$B$42*(1-(100-(100-(Inputs!$B$19))*(1-IF(Inputs!$B$3&gt;=130,IF(Inputs!$B$3&gt;=118,8,IF(Inputs!$B$3&gt;=110,7,5)),0)/100))/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INT(Skills!I9/Skills!H9+0.000000001),1)+IF(Skills!H9&gt;0,INT(MIN(Skills!I9,MAX(0,MAX(0,Inputs!$B$43-Summary!$B$23)-((R9-1)*(IF(Inputs!$B$38="pvp",15,MAX(0.1,Skills!D9-IF(TRUE=TRUE,Inputs!$B$32,0)))*(1-IF(AND(ArtifactsInput!$M$27,Inputs!$B$4="Chapter Hunt"),CHOOSE(ArtifactsInput!$N$27+1,20,24,28,32,36,40),0)/100)))))/Skills!H9+0.000000001),1)))/Inputs!$B$43),G9*Q9))*IF(Inputs!$B$38="pvp",1,(1+(Inputs!$B$21+Skills!Q9+Summary!$B$15+Artifacts!$B$80)/100)*(MIN(Skills!R9,Inputs!$B$37)))*((1+Artifacts!$B$53/100)),0)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Skills!G10*IF(Skills!H10&gt;0,INT(IF(Inputs!$B$38="pvp",MIN(Skills!I10,15),Skills!I10)/Skills!H10+0.000000001),1)</f>
        <v/>
      </c>
      <c r="H10">
        <f>1-(1-Skills!J10/100)^Skills!K10</f>
        <v/>
      </c>
      <c r="I10" t="inlineStr">
        <is>
          <t>1</t>
        </is>
      </c>
      <c r="J10">
        <f>Summary!$B$6*(F10/100)</f>
        <v/>
      </c>
      <c r="K10">
        <f>J10*(1+Summary!$B$7/100)*(1+Inputs!$B$15/100)*(1+Inputs!$B$16/100)*(5000/(6000+Inputs!$B$42*(1-(100-(100-(Inputs!$B$19))*(1-IF(Inputs!$B$3&gt;=130,IF(Inputs!$B$3&gt;=118,8,IF(Inputs!$B$3&gt;=110,7,5)),0)/100))/100)))*(1+(Inputs!$B$24+Summary!$B$21)/100)*(1+Artifacts!$B$34/100)*(1+1.5*IF(C12=TRUE,F12,0)/100)*(1+IF(Skills!A10="ENHANCED_RAGING_BLOW",IF(Inputs!$B$3&gt;=138,MAX(0,IF(Inputs!$B$3&gt;=118,8,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$20+Skills!P10+Summary!$B$15+Artifacts!$B$35)/100)*((((5000/(6000+Inputs!$B$42*(1-(100*(1-(1-(100-(100-(Inputs!$B$19))*(1-IF(Inputs!$B$3&gt;=130,IF(Inputs!$B$3&gt;=118,8,IF(Inputs!$B$3&gt;=110,7,5)),0)/100))/100)*(1-Artifacts!$B$51/100)^IF(Inputs!$B$38="pvp",1,2)))/100)))/(5000/(6000+Inputs!$B$42*(1-(100-(100-(Inputs!$B$19))*(1-IF(Inputs!$B$3&gt;=130,IF(Inputs!$B$3&gt;=118,8,IF(Inputs!$B$3&gt;=110,7,5)),0)/100))/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Skills!G11*IF(Skills!H11&gt;0,INT(IF(Inputs!$B$38="pvp",MIN(Skills!I11,15),Skills!I11)/Skills!H11+0.000000001),1)</f>
        <v/>
      </c>
      <c r="H11">
        <f>1-(1-Skills!J11/100)^Skills!K11</f>
        <v/>
      </c>
      <c r="I11" t="inlineStr">
        <is>
          <t>1</t>
        </is>
      </c>
      <c r="J11">
        <f>Summary!$B$6*(F11/100)</f>
        <v/>
      </c>
      <c r="K11">
        <f>J11*(1+Summary!$B$7/100)*(1+Inputs!$B$15/100)*(1+Inputs!$B$16/100)*(5000/(6000+Inputs!$B$42*(1-(100-(100-(Inputs!$B$19))*(1-IF(Inputs!$B$3&gt;=130,IF(Inputs!$B$3&gt;=118,8,IF(Inputs!$B$3&gt;=110,7,5)),0)/100))/100)))*(1+(Inputs!$B$24+Summary!$B$21)/100)*(1+Artifacts!$B$34/100)*(1+4.0*IF(C12=TRUE,F12,0)/100)*(1+IF(Skills!A11="ENHANCED_RAGING_BLOW",IF(Inputs!$B$3&gt;=138,MAX(0,IF(Inputs!$B$3&gt;=118,8,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INT(Skills!I11/Skills!H11+0.000000001),1)+IF(Skills!H11&gt;0,INT(MIN(Skills!I11,MAX(0,MAX(0,Inputs!$B$43-Summary!$B$23)-((R11-1)*(IF(Inputs!$B$38="pvp",15,MAX(0.1,Skills!D11-IF(TRUE=TRUE,Inputs!$B$32,0)))*(1-IF(AND(ArtifactsInput!$M$27,Inputs!$B$4="Chapter Hunt"),CHOOSE(ArtifactsInput!$N$27+1,20,24,28,32,36,40),0)/100)))))/Skills!H11+0.000000001),1)))/Inputs!$B$43),G11*Q11))*IF(Inputs!$B$38="pvp",1,1+(Inputs!$B$20+Skills!P11+Summary!$B$15+Artifacts!$B$35)/100)*((((5000/(6000+Inputs!$B$42*(1-(100*(1-(1-(100-(100-(Inputs!$B$19))*(1-IF(Inputs!$B$3&gt;=130,IF(Inputs!$B$3&gt;=118,8,IF(Inputs!$B$3&gt;=110,7,5)),0)/100))/100)*(1-Artifacts!$B$51/100)^IF(Inputs!$B$38="pvp",1,2)))/100)))/(5000/(6000+Inputs!$B$42*(1-(100-(100-(Inputs!$B$19))*(1-IF(Inputs!$B$3&gt;=130,IF(Inputs!$B$3&gt;=118,8,IF(Inputs!$B$3&gt;=110,7,5)),0)/100))/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INT(Skills!I11/Skills!H11+0.000000001),1)+IF(Skills!H11&gt;0,INT(MIN(Skills!I11,MAX(0,MAX(0,Inputs!$B$43-Summary!$B$23)-((R11-1)*(IF(Inputs!$B$38="pvp",15,MAX(0.1,Skills!D11-IF(TRUE=TRUE,Inputs!$B$32,0)))*(1-IF(AND(ArtifactsInput!$M$27,Inputs!$B$4="Chapter Hunt"),CHOOSE(ArtifactsInput!$N$27+1,20,24,28,32,36,40),0)/100)))))/Skills!H11+0.000000001),1)))/Inputs!$B$43),G11*Q11))*IF(Inputs!$B$38="pvp",1,(1+(Inputs!$B$21+Skills!Q11+Summary!$B$15+Artifacts!$B$80)/100)*(MIN(Skills!R11,Inputs!$B$37)))*((1+Artifacts!$B$53/100)),0)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Skills!G13*IF(Skills!H13&gt;0,INT(IF(Inputs!$B$38="pvp",MIN(Skills!I13,15),Skills!I13)/Skills!H13+0.000000001),1)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Skills!G14*IF(Skills!H14&gt;0,INT(IF(Inputs!$B$38="pvp",MIN(Skills!I14,15),Skills!I14)/Skills!H14+0.000000001),1)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Skills!G15*IF(Skills!H15&gt;0,INT(IF(Inputs!$B$38="pvp",MIN(Skills!I15,15),Skills!I15)/Skills!H15+0.000000001),1)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Skills!G16*IF(Skills!H16&gt;0,INT(IF(Inputs!$B$38="pvp",MIN(Skills!I16,15),Skills!I16)/Skills!H16+0.000000001),1)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Skills!G17*IF(Skills!H17&gt;0,INT(IF(Inputs!$B$38="pvp",MIN(Skills!I17,15),Skills!I17)/Skills!H17+0.000000001),1)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Skills!G18*IF(Skills!H18&gt;0,INT(IF(Inputs!$B$38="pvp",MIN(Skills!I18,15),Skills!I18)/Skills!H18+0.000000001),1)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Skills!G19*IF(Skills!H19&gt;0,INT(IF(Inputs!$B$38="pvp",MIN(Skills!I19,15),Skills!I19)/Skills!H19+0.000000001),1)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IFERROR(1/(IF(Inputs!$B$38="pvp",15,MAX(0.1,Skills!D19-IF(TRUE=TRUE,Inputs!$B$32,0)))*(1-IF(AND(ArtifactsInput!$M$27,Inputs!$B$4="Chapter Hunt"),CHOOSE(ArtifactsInput!$N$27+1,20,24,28,32,36,40),0)/100)),0)</f>
        <v/>
      </c>
      <c r="R19">
        <f>IF(AND(Inputs!$B$38&lt;&gt;"pvp",Inputs!$B$43&gt;0),IF(Inputs!$B$43&lt;=0,0,(INT(Inputs!$B$43/(IF(Inputs!$B$38="pvp",15,MAX(0.1,Skills!D19-IF(TRUE=TRUE,Inputs!$B$32,0)))*(1-IF(AND(ArtifactsInput!$M$27,Inputs!$B$4="Chapter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Skills!G20*IF(Skills!H20&gt;0,INT(IF(Inputs!$B$38="pvp",MIN(Skills!I20,15),Skills!I20)/Skills!H20+0.000000001),1)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Skills!G21*IF(Skills!H21&gt;0,INT(IF(Inputs!$B$38="pvp",MIN(Skills!I21,15),Skills!I21)/Skills!H21+0.000000001),1)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Skills!G22*IF(Skills!H22&gt;0,INT(IF(Inputs!$B$38="pvp",MIN(Skills!I22,15),Skills!I22)/Skills!H22+0.000000001),1)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Skills!G23*IF(Skills!H23&gt;0,INT(IF(Inputs!$B$38="pvp",MIN(Skills!I23,15),Skills!I23)/Skills!H23+0.000000001),1)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Skills!G24*IF(Skills!H24&gt;0,INT(IF(Inputs!$B$38="pvp",MIN(Skills!I24,15),Skills!I24)/Skills!H24+0.000000001),1)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Skills!G25*IF(Skills!H25&gt;0,INT(IF(Inputs!$B$38="pvp",MIN(Skills!I25,15),Skills!I25)/Skills!H25+0.000000001),1)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Skills!G26*IF(Skills!H26&gt;0,INT(IF(Inputs!$B$38="pvp",MIN(Skills!I26,15),Skills!I26)/Skills!H26+0.000000001),1)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118,8,IF(Inputs!$B$3&gt;=110,7,5)))+((Calc!C15=TRUE)*Calc!F15*IF(AND(Inputs!$B$38&lt;&gt;"pvp",Inputs!$B$43&gt;0),(((Calc!R15-1)*MIN((Skills!T15*(1+Inputs!$B$34/100)),(1/Calc!Q15))+MIN((Skills!T15*(1+Inputs!$B$34/100)),MAX(0,Inputs!$B$43-((Calc!R15-1)*(1/Calc!Q15)))))/Inputs!$B$43),IF(Inputs!$B$38="pvp",MIN((Skills!T15*(1+Inputs!$B$34/100)),15)/15,MIN(1,(Skills!T15*(1+Inputs!$B$34/100))/(1/Calc!Q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MIN((Skills!T16*(1+Inputs!$B$34/100)),(1/Calc!Q16))+MIN((Skills!T16*(1+Inputs!$B$34/100)),MAX(0,Inputs!$B$43-((Calc!R16-1)*(1/Calc!Q16)))))/Inputs!$B$43),IF(Inputs!$B$38="pvp",MIN((Skills!T16*(1+Inputs!$B$34/100)),15)/15,MIN(1,(Skills!T16*(1+Inputs!$B$34/100))/(1/Calc!Q16)))))+((Calc!C8=TRUE)*IF(Inputs!$B$3&gt;=126,10*MIN(1,15*Calc!Q8),0))+((Calc!C5=TRUE)*((100/10)*(INDEX(FactorTable!$B$2:$Y$301,MATCH(ROUND(MIN(300,MAX(1,MAX(0,(Inputs!$B$3-100)*3)+Inputs!$B$28+Inputs!$B$29)),0),FactorTable!$A$2:$A$301,0),22)/1000))*(1+IF(Inputs!$B$3&gt;=134,0.5,0))*MIN(1,10*(1+Inputs!$B$34/100)*Calc!Q5))</f>
        <v/>
      </c>
    </row>
    <row r="16">
      <c r="A16" t="inlineStr">
        <is>
          <t>Attack Speed Buff Bonus % (Nimble Feet, duty-cycle averaged)</t>
        </is>
      </c>
      <c r="B16">
        <f>((Calc!C19=TRUE)*Calc!F19*IF(AND(Inputs!$B$38&lt;&gt;"pvp",Inputs!$B$43&gt;0),(((Calc!R19-1)*MIN((Skills!T19*(1+Inputs!$B$34/100)),(1/Calc!Q19))+MIN((Skills!T19*(1+Inputs!$B$34/100)),MAX(0,Inputs!$B$43-((Calc!R19-1)*(1/Calc!Q19)))))/Inputs!$B$43),IF(Inputs!$B$38="pvp",MIN((Skills!T19*(1+Inputs!$B$34/100)),15)/15,MIN(1,(Skills!T19*(1+Inputs!$B$34/100))/(1/Calc!Q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MIN((Skills!T18*(1+Inputs!$B$34/100)),(1/Calc!Q18))+MIN((Skills!T18*(1+Inputs!$B$34/100)),MAX(0,Inputs!$B$43-((Calc!R18-1)*(1/Calc!Q18)))))/Inputs!$B$43),IF(Inputs!$B$38="pvp",MIN((Skills!T18*(1+Inputs!$B$34/100)),15)/15,MIN(1,(Skills!T18*(1+Inputs!$B$34/100))/(1/Calc!Q18)))))</f>
        <v/>
      </c>
    </row>
    <row r="21">
      <c r="A21" t="inlineStr">
        <is>
          <t>Global Final Damage Bonus % (Enrage + Combo Synergy)</t>
        </is>
      </c>
      <c r="B21">
        <f>((Calc!C17=TRUE)*Calc!F17*IF(AND(Inputs!$B$38&lt;&gt;"pvp",Inputs!$B$43&gt;0),(((Calc!R17-1)*MIN((Skills!T17*(1+Inputs!$B$34/100)),(1/Calc!Q17))+MIN((Skills!T17*(1+Inputs!$B$34/100)),MAX(0,Inputs!$B$43-((Calc!R17-1)*(1/Calc!Q17)))))/Inputs!$B$43),IF(Inputs!$B$38="pvp",MIN((Skills!T17*(1+Inputs!$B$34/100)),15)/15,MIN(1,(Skills!T17*(1+Inputs!$B$34/100))/(1/Calc!Q17)))))+((Calc!C14=TRUE)*Calc!F14*IF(Inputs!$B$3&gt;=118,8,IF(Inputs!$B$3&gt;=110,7,5)))+IF(Inputs!$B$3&gt;=98,5,0)</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Skills!G2*IF(Skills!H2&gt;0,INT(IF(Inputs!$B$38="pvp",MIN(Skills!I2,15),Skills!I2)/Skills!H2+0.000000001),1)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Skills!G5*IF(Skills!H5&gt;0,INT(IF(Inputs!$B$38="pvp",MIN(Skills!I5,15),Skills!I5)/Skills!H5+0.000000001),1)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IFERROR(1/(IF(Inputs!$B$38="pvp",15,MAX(0.1,Skills!D5-IF(TRUE=TRUE,Inputs!$B$32,0)))*(1-IF(AND(ArtifactsInput!$M$27,Inputs!$B$4="Chapter Hunt"),CHOOSE(ArtifactsInput!$N$27+1,20,24,28,32,36,40),0)/100)),0)</f>
        <v/>
      </c>
      <c r="R76">
        <f>IF(AND(Inputs!$B$38&lt;&gt;"pvp",Inputs!$B$43&gt;0),IF(MAX(0,Inputs!$B$43-B107)&lt;=0,0,(INT(MAX(0,Inputs!$B$43-B107)/(IF(Inputs!$B$38="pvp",15,MAX(0.1,Skills!D5-IF(TRUE=TRUE,Inputs!$B$32,0)))*(1-IF(AND(ArtifactsInput!$M$27,Inputs!$B$4="Chapter Hunt"),CHOOSE(ArtifactsInput!$N$27+1,20,24,28,32,36,40),0)/100)))+1)),0)</f>
        <v/>
      </c>
      <c r="S76">
        <f>IFERROR(O76/N76,0)</f>
        <v/>
      </c>
      <c r="T76">
        <f>IF(C76,(H76*N76*IF(AND(Inputs!$B$38&lt;&gt;"pvp",Inputs!$B$43&gt;0),((Skills!G5*((R76-1)*IF(Skills!H5&gt;0,INT(Skills!I5/Skills!H5+0.000000001),1)+IF(Skills!H5&gt;0,INT(MIN(Skills!I5,MAX(0,MAX(0,Inputs!$B$43-B107)-((R76-1)*(IF(Inputs!$B$38="pvp",15,MAX(0.1,Skills!D5-IF(TRUE=TRUE,Inputs!$B$32,0)))*(1-IF(AND(ArtifactsInput!$M$27,Inputs!$B$4="Chapter Hunt"),CHOOSE(ArtifactsInput!$N$27+1,20,24,28,32,36,40),0)/100)))))/Skills!H5+0.000000001),1)))/Inputs!$B$43),G76*Q76))*IF(Inputs!$B$38="pvp",1,1+(Inputs!$B$20+0+Skills!P5+(((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INT(Skills!I5/Skills!H5+0.000000001),1)+IF(Skills!H5&gt;0,INT(MIN(Skills!I5,MAX(0,MAX(0,Inputs!$B$43-B107)-((R76-1)*(IF(Inputs!$B$38="pvp",15,MAX(0.1,Skills!D5-IF(TRUE=TRUE,Inputs!$B$32,0)))*(1-IF(AND(ArtifactsInput!$M$27,Inputs!$B$4="Chapter Hunt"),CHOOSE(ArtifactsInput!$N$27+1,20,24,28,32,36,40),0)/100)))))/Skills!H5+0.000000001),1)))/Inputs!$B$43),G76*Q76))*IF(Inputs!$B$38="pvp",1,(1+(Inputs!$B$21+Skills!Q5+(((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Skills!G6*IF(Skills!H6&gt;0,INT(IF(Inputs!$B$38="pvp",MIN(Skills!I6,15),Skills!I6)/Skills!H6+0.000000001),1)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INT(Skills!I6/Skills!H6+0.000000001),1)+IF(Skills!H6&gt;0,INT(MIN(Skills!I6,MAX(0,MAX(0,Inputs!$B$43-B107)-((R77-1)*(IF(Inputs!$B$38="pvp",15,MAX(0.1,Skills!D6-IF(TRUE=TRUE,Inputs!$B$32,0)))*(1-IF(AND(ArtifactsInput!$M$27,Inputs!$B$4="Chapter Hunt"),CHOOSE(ArtifactsInput!$N$27+1,20,24,28,32,36,40),0)/100)))))/Skills!H6+0.000000001),1)))/Inputs!$B$43),G77*Q77))*IF(Inputs!$B$38="pvp",1,1+(Inputs!$B$20+0+Skills!P6+(((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INT(Skills!I6/Skills!H6+0.000000001),1)+IF(Skills!H6&gt;0,INT(MIN(Skills!I6,MAX(0,MAX(0,Inputs!$B$43-B107)-((R77-1)*(IF(Inputs!$B$38="pvp",15,MAX(0.1,Skills!D6-IF(TRUE=TRUE,Inputs!$B$32,0)))*(1-IF(AND(ArtifactsInput!$M$27,Inputs!$B$4="Chapter Hunt"),CHOOSE(ArtifactsInput!$N$27+1,20,24,28,32,36,40),0)/100)))))/Skills!H6+0.000000001),1)))/Inputs!$B$43),G77*Q77))*IF(Inputs!$B$38="pvp",1,(1+(Inputs!$B$21+Skills!Q6+(((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Skills!G7*IF(Skills!H7&gt;0,INT(IF(Inputs!$B$38="pvp",MIN(Skills!I7,15),Skills!I7)/Skills!H7+0.000000001),1)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INT(Skills!I7/Skills!H7+0.000000001),1)+IF(Skills!H7&gt;0,INT(MIN(Skills!I7,MAX(0,MAX(0,Inputs!$B$43-B107)-((R78-1)*(IF(Inputs!$B$38="pvp",15,MAX(0.1,Skills!D7-IF(TRUE=TRUE,Inputs!$B$32,0)))*(1-IF(AND(ArtifactsInput!$M$27,Inputs!$B$4="Chapter Hunt"),CHOOSE(ArtifactsInput!$N$27+1,20,24,28,32,36,40),0)/100)))))/Skills!H7+0.000000001),1)))/Inputs!$B$43),G78*Q78))*IF(Inputs!$B$38="pvp",1,1+(Inputs!$B$20+0+Skills!P7+(((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INT(Skills!I7/Skills!H7+0.000000001),1)+IF(Skills!H7&gt;0,INT(MIN(Skills!I7,MAX(0,MAX(0,Inputs!$B$43-B107)-((R78-1)*(IF(Inputs!$B$38="pvp",15,MAX(0.1,Skills!D7-IF(TRUE=TRUE,Inputs!$B$32,0)))*(1-IF(AND(ArtifactsInput!$M$27,Inputs!$B$4="Chapter Hunt"),CHOOSE(ArtifactsInput!$N$27+1,20,24,28,32,36,40),0)/100)))))/Skills!H7+0.000000001),1)))/Inputs!$B$43),G78*Q78))*IF(Inputs!$B$38="pvp",1,(1+(Inputs!$B$21+Skills!Q7+(((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Skills!G8*IF(Skills!H8&gt;0,INT(IF(Inputs!$B$38="pvp",MIN(Skills!I8,15),Skills!I8)/Skills!H8+0.000000001),1)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INT(Skills!I8/Skills!H8+0.000000001),1)+IF(Skills!H8&gt;0,INT(MIN(Skills!I8,MAX(0,MAX(0,Inputs!$B$43-B107)-((R79-1)*(IF(Inputs!$B$38="pvp",15,MAX(0.1,Skills!D8-IF(TRUE=TRUE,Inputs!$B$32,0)))*(1-IF(AND(ArtifactsInput!$M$27,Inputs!$B$4="Chapter Hunt"),CHOOSE(ArtifactsInput!$N$27+1,20,24,28,32,36,40),0)/100)))))/Skills!H8+0.000000001),1)))/Inputs!$B$43),G79*Q79))*IF(Inputs!$B$38="pvp",1,1+(Inputs!$B$20+0+Skills!P8+(((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INT(Skills!I8/Skills!H8+0.000000001),1)+IF(Skills!H8&gt;0,INT(MIN(Skills!I8,MAX(0,MAX(0,Inputs!$B$43-B107)-((R79-1)*(IF(Inputs!$B$38="pvp",15,MAX(0.1,Skills!D8-IF(TRUE=TRUE,Inputs!$B$32,0)))*(1-IF(AND(ArtifactsInput!$M$27,Inputs!$B$4="Chapter Hunt"),CHOOSE(ArtifactsInput!$N$27+1,20,24,28,32,36,40),0)/100)))))/Skills!H8+0.000000001),1)))/Inputs!$B$43),G79*Q79))*IF(Inputs!$B$38="pvp",1,(1+(Inputs!$B$21+Skills!Q8+(((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Skills!G9*IF(Skills!H9&gt;0,INT(IF(Inputs!$B$38="pvp",MIN(Skills!I9,15),Skills!I9)/Skills!H9+0.000000001),1)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138,MAX(0,IF(Inputs!$B$3&gt;=118,8,IF(Inputs!$B$3&gt;=110,7,5))-5)*50,0),0)/100)*(1+(IF(Skills!A9="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IFERROR(1/(IF(Inputs!$B$38="pvp",15,MAX(0.1,Skills!D9-IF(TRUE=TRUE,Inputs!$B$32,0)))*(1-IF(AND(ArtifactsInput!$M$27,Inputs!$B$4="Chapter Hunt"),CHOOSE(ArtifactsInput!$N$27+1,20,24,28,32,36,40),0)/100)),0)</f>
        <v/>
      </c>
      <c r="R80">
        <f>IF(AND(Inputs!$B$38&lt;&gt;"pvp",Inputs!$B$43&gt;0),IF(MAX(0,Inputs!$B$43-B107)&lt;=0,0,(INT(MAX(0,Inputs!$B$43-B107)/(IF(Inputs!$B$38="pvp",15,MAX(0.1,Skills!D9-IF(TRUE=TRUE,Inputs!$B$32,0)))*(1-IF(AND(ArtifactsInput!$M$27,Inputs!$B$4="Chapter Hunt"),CHOOSE(ArtifactsInput!$N$27+1,20,24,28,32,36,40),0)/100)))+1)),0)</f>
        <v/>
      </c>
      <c r="S80">
        <f>IFERROR(O80/N80,0)</f>
        <v/>
      </c>
      <c r="T80">
        <f>IF(C80,(H80*N80*IF(AND(Inputs!$B$38&lt;&gt;"pvp",Inputs!$B$43&gt;0),((Skills!G9*((R80-1)*IF(Skills!H9&gt;0,INT(Skills!I9/Skills!H9+0.000000001),1)+IF(Skills!H9&gt;0,INT(MIN(Skills!I9,MAX(0,MAX(0,Inputs!$B$43-B107)-((R80-1)*(IF(Inputs!$B$38="pvp",15,MAX(0.1,Skills!D9-IF(TRUE=TRUE,Inputs!$B$32,0)))*(1-IF(AND(ArtifactsInput!$M$27,Inputs!$B$4="Chapter Hunt"),CHOOSE(ArtifactsInput!$N$27+1,20,24,28,32,36,40),0)/100)))))/Skills!H9+0.000000001),1)))/Inputs!$B$43),G80*Q80))*IF(Inputs!$B$38="pvp",1,1+(Inputs!$B$20+0+Skills!P9+(((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INT(Skills!I9/Skills!H9+0.000000001),1)+IF(Skills!H9&gt;0,INT(MIN(Skills!I9,MAX(0,MAX(0,Inputs!$B$43-B107)-((R80-1)*(IF(Inputs!$B$38="pvp",15,MAX(0.1,Skills!D9-IF(TRUE=TRUE,Inputs!$B$32,0)))*(1-IF(AND(ArtifactsInput!$M$27,Inputs!$B$4="Chapter Hunt"),CHOOSE(ArtifactsInput!$N$27+1,20,24,28,32,36,40),0)/100)))))/Skills!H9+0.000000001),1)))/Inputs!$B$43),G80*Q80))*IF(Inputs!$B$38="pvp",1,(1+(Inputs!$B$21+Skills!Q9+(((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Skills!G10*IF(Skills!H10&gt;0,INT(IF(Inputs!$B$38="pvp",MIN(Skills!I10,15),Skills!I10)/Skills!H10+0.000000001),1)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138,MAX(0,IF(Inputs!$B$3&gt;=118,8,IF(Inputs!$B$3&gt;=110,7,5))-5)*50,0),0)/100)*(1+(IF(Skills!A10="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INT(Skills!I10/Skills!H10+0.000000001),1)+IF(Skills!H10&gt;0,INT(MIN(Skills!I10,MAX(0,MAX(0,Inputs!$B$43-B107)-((R81-1)*(IF(Inputs!$B$38="pvp",15,MAX(0.1,Skills!D10-IF(TRUE=TRUE,Inputs!$B$32,0)))*(1-IF(AND(ArtifactsInput!$M$27,Inputs!$B$4="Chapter Hunt"),CHOOSE(ArtifactsInput!$N$27+1,20,24,28,32,36,40),0)/100)))))/Skills!H10+0.000000001),1)))/Inputs!$B$43),G81*Q81))*IF(Inputs!$B$38="pvp",1,1+(Inputs!$B$20+0+Skills!P10+(((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INT(Skills!I10/Skills!H10+0.000000001),1)+IF(Skills!H10&gt;0,INT(MIN(Skills!I10,MAX(0,MAX(0,Inputs!$B$43-B107)-((R81-1)*(IF(Inputs!$B$38="pvp",15,MAX(0.1,Skills!D10-IF(TRUE=TRUE,Inputs!$B$32,0)))*(1-IF(AND(ArtifactsInput!$M$27,Inputs!$B$4="Chapter Hunt"),CHOOSE(ArtifactsInput!$N$27+1,20,24,28,32,36,40),0)/100)))))/Skills!H10+0.000000001),1)))/Inputs!$B$43),G81*Q81))*IF(Inputs!$B$38="pvp",1,(1+(Inputs!$B$21+Skills!Q10+(((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Skills!G11*IF(Skills!H11&gt;0,INT(IF(Inputs!$B$38="pvp",MIN(Skills!I11,15),Skills!I11)/Skills!H11+0.000000001),1)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138,MAX(0,IF(Inputs!$B$3&gt;=118,8,IF(Inputs!$B$3&gt;=110,7,5))-5)*50,0),0)/100)*(1+(IF(Skills!A11="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IFERROR(1/(IF(Inputs!$B$38="pvp",15,MAX(0.1,Skills!D11-IF(TRUE=TRUE,Inputs!$B$32,0)))*(1-IF(AND(ArtifactsInput!$M$27,Inputs!$B$4="Chapter Hunt"),CHOOSE(ArtifactsInput!$N$27+1,20,24,28,32,36,40),0)/100)),0)</f>
        <v/>
      </c>
      <c r="R82">
        <f>IF(AND(Inputs!$B$38&lt;&gt;"pvp",Inputs!$B$43&gt;0),IF(MAX(0,Inputs!$B$43-B107)&lt;=0,0,(INT(MAX(0,Inputs!$B$43-B107)/(IF(Inputs!$B$38="pvp",15,MAX(0.1,Skills!D11-IF(TRUE=TRUE,Inputs!$B$32,0)))*(1-IF(AND(ArtifactsInput!$M$27,Inputs!$B$4="Chapter Hunt"),CHOOSE(ArtifactsInput!$N$27+1,20,24,28,32,36,40),0)/100)))+1)),0)</f>
        <v/>
      </c>
      <c r="S82">
        <f>IFERROR(O82/N82,0)</f>
        <v/>
      </c>
      <c r="T82">
        <f>IF(C82,(H82*N82*IF(AND(Inputs!$B$38&lt;&gt;"pvp",Inputs!$B$43&gt;0),((Skills!G11*((R82-1)*IF(Skills!H11&gt;0,INT(Skills!I11/Skills!H11+0.000000001),1)+IF(Skills!H11&gt;0,INT(MIN(Skills!I11,MAX(0,MAX(0,Inputs!$B$43-B107)-((R82-1)*(IF(Inputs!$B$38="pvp",15,MAX(0.1,Skills!D11-IF(TRUE=TRUE,Inputs!$B$32,0)))*(1-IF(AND(ArtifactsInput!$M$27,Inputs!$B$4="Chapter Hunt"),CHOOSE(ArtifactsInput!$N$27+1,20,24,28,32,36,40),0)/100)))))/Skills!H11+0.000000001),1)))/Inputs!$B$43),G82*Q82))*IF(Inputs!$B$38="pvp",1,1+(Inputs!$B$20+0+Skills!P11+(((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INT(Skills!I11/Skills!H11+0.000000001),1)+IF(Skills!H11&gt;0,INT(MIN(Skills!I11,MAX(0,MAX(0,Inputs!$B$43-B107)-((R82-1)*(IF(Inputs!$B$38="pvp",15,MAX(0.1,Skills!D11-IF(TRUE=TRUE,Inputs!$B$32,0)))*(1-IF(AND(ArtifactsInput!$M$27,Inputs!$B$4="Chapter Hunt"),CHOOSE(ArtifactsInput!$N$27+1,20,24,28,32,36,40),0)/100)))))/Skills!H11+0.000000001),1)))/Inputs!$B$43),G82*Q82))*IF(Inputs!$B$38="pvp",1,(1+(Inputs!$B$21+Skills!Q11+(((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Skills!G13*IF(Skills!H13&gt;0,INT(IF(Inputs!$B$38="pvp",MIN(Skills!I13,15),Skills!I13)/Skills!H13+0.000000001),1)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Skills!G14*IF(Skills!H14&gt;0,INT(IF(Inputs!$B$38="pvp",MIN(Skills!I14,15),Skills!I14)/Skills!H14+0.000000001),1)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Skills!G15*IF(Skills!H15&gt;0,INT(IF(Inputs!$B$38="pvp",MIN(Skills!I15,15),Skills!I15)/Skills!H15+0.000000001),1)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Skills!G16*IF(Skills!H16&gt;0,INT(IF(Inputs!$B$38="pvp",MIN(Skills!I16,15),Skills!I16)/Skills!H16+0.000000001),1)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IFERROR(1/(IF(Inputs!$B$38="pvp",15,MAX(0.1,Skills!D16-IF(TRUE=TRUE,Inputs!$B$32,0)))*(1-IF(AND(ArtifactsInput!$M$27,Inputs!$B$4="Chapter Hunt"),CHOOSE(ArtifactsInput!$N$27+1,20,24,28,32,36,40),0)/100)),0)</f>
        <v/>
      </c>
      <c r="R87">
        <f>IF(AND(Inputs!$B$38&lt;&gt;"pvp",Inputs!$B$43&gt;0),IF(Inputs!$B$43&lt;=0,0,(INT(Inputs!$B$43/(IF(Inputs!$B$38="pvp",15,MAX(0.1,Skills!D16-IF(TRUE=TRUE,Inputs!$B$32,0)))*(1-IF(AND(ArtifactsInput!$M$27,Inputs!$B$4="Chapter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Skills!G17*IF(Skills!H17&gt;0,INT(IF(Inputs!$B$38="pvp",MIN(Skills!I17,15),Skills!I17)/Skills!H17+0.000000001),1)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Skills!G18*IF(Skills!H18&gt;0,INT(IF(Inputs!$B$38="pvp",MIN(Skills!I18,15),Skills!I18)/Skills!H18+0.000000001),1)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Skills!G19*IF(Skills!H19&gt;0,INT(IF(Inputs!$B$38="pvp",MIN(Skills!I19,15),Skills!I19)/Skills!H19+0.000000001),1)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IFERROR(1/(IF(Inputs!$B$38="pvp",15,MAX(0.1,Skills!D19-IF(TRUE=TRUE,Inputs!$B$32,0)))*(1-IF(AND(ArtifactsInput!$M$27,Inputs!$B$4="Chapter Hunt"),CHOOSE(ArtifactsInput!$N$27+1,20,24,28,32,36,40),0)/100)),0)</f>
        <v/>
      </c>
      <c r="R90">
        <f>IF(AND(Inputs!$B$38&lt;&gt;"pvp",Inputs!$B$43&gt;0),IF(Inputs!$B$43&lt;=0,0,(INT(Inputs!$B$43/(IF(Inputs!$B$38="pvp",15,MAX(0.1,Skills!D19-IF(TRUE=TRUE,Inputs!$B$32,0)))*(1-IF(AND(ArtifactsInput!$M$27,Inputs!$B$4="Chapter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Skills!G20*IF(Skills!H20&gt;0,INT(IF(Inputs!$B$38="pvp",MIN(Skills!I20,15),Skills!I20)/Skills!H20+0.000000001),1)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Skills!G21*IF(Skills!H21&gt;0,INT(IF(Inputs!$B$38="pvp",MIN(Skills!I21,15),Skills!I21)/Skills!H21+0.000000001),1)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Skills!G22*IF(Skills!H22&gt;0,INT(IF(Inputs!$B$38="pvp",MIN(Skills!I22,15),Skills!I22)/Skills!H22+0.000000001),1)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Skills!G23*IF(Skills!H23&gt;0,INT(IF(Inputs!$B$38="pvp",MIN(Skills!I23,15),Skills!I23)/Skills!H23+0.000000001),1)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Skills!G24*IF(Skills!H24&gt;0,INT(IF(Inputs!$B$38="pvp",MIN(Skills!I24,15),Skills!I24)/Skills!H24+0.000000001),1)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Skills!G25*IF(Skills!H25&gt;0,INT(IF(Inputs!$B$38="pvp",MIN(Skills!I25,15),Skills!I25)/Skills!H25+0.000000001),1)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Skills!G26*IF(Skills!H26&gt;0,INT(IF(Inputs!$B$38="pvp",MIN(Skills!I26,15),Skills!I26)/Skills!H26+0.000000001),1)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MIN((Skills!T19*(1+(Inputs!$B$34+(ArtifactsInput!$M$7-ArtifactsInput!$M$7)*CHOOSE(ArtifactsInput!$N$7+1,6,7.2,8.4,9.6,10.8,12))/100)),(1/Q90))+MIN((Skills!T19*(1+(Inputs!$B$34+(ArtifactsInput!$M$7-ArtifactsInput!$M$7)*CHOOSE(ArtifactsInput!$N$7+1,6,7.2,8.4,9.6,10.8,12))/100)),MAX(0,Inputs!$B$43-((R90-1)*(1/Q90)))))/Inputs!$B$43),IF(Inputs!$B$38="pvp",MIN((Skills!T19*(1+(Inputs!$B$34+(ArtifactsInput!$M$7-ArtifactsInput!$M$7)*CHOOSE(ArtifactsInput!$N$7+1,6,7.2,8.4,9.6,10.8,12))/100)),15)/15,MIN(1,(Skills!T19*(1+(Inputs!$B$34+(ArtifactsInput!$M$7-ArtifactsInput!$M$7)*CHOOSE(ArtifactsInput!$N$7+1,6,7.2,8.4,9.6,10.8,12))/100))/(1/Q90)))))</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MIN((Skills!T18*(1+(Inputs!$B$34+(ArtifactsInput!$M$7-ArtifactsInput!$M$7)*CHOOSE(ArtifactsInput!$N$7+1,6,7.2,8.4,9.6,10.8,12))/100)),(1/Q89))+MIN((Skills!T18*(1+(Inputs!$B$34+(ArtifactsInput!$M$7-ArtifactsInput!$M$7)*CHOOSE(ArtifactsInput!$N$7+1,6,7.2,8.4,9.6,10.8,12))/100)),MAX(0,Inputs!$B$43-((R89-1)*(1/Q89)))))/Inputs!$B$43),IF(Inputs!$B$38="pvp",MIN((Skills!T18*(1+(Inputs!$B$34+(ArtifactsInput!$M$7-ArtifactsInput!$M$7)*CHOOSE(ArtifactsInput!$N$7+1,6,7.2,8.4,9.6,10.8,12))/100)),15)/15,MIN(1,(Skills!T18*(1+(Inputs!$B$34+(ArtifactsInput!$M$7-ArtifactsInput!$M$7)*CHOOSE(ArtifactsInput!$N$7+1,6,7.2,8.4,9.6,10.8,12))/100))/(1/Q89)))))</f>
        <v/>
      </c>
    </row>
    <row r="106">
      <c r="A106" t="inlineStr">
        <is>
          <t>Global Final Damage Bonus % (Enrage + Combo Synergy)</t>
        </is>
      </c>
      <c r="B106">
        <f>((C88=TRUE)*F88*IF(AND(Inputs!$B$38&lt;&gt;"pvp",Inputs!$B$43&gt;0),(((R88-1)*MIN((Skills!T17*(1+(Inputs!$B$34+(ArtifactsInput!$M$7-ArtifactsInput!$M$7)*CHOOSE(ArtifactsInput!$N$7+1,6,7.2,8.4,9.6,10.8,12))/100)),(1/Q88))+MIN((Skills!T17*(1+(Inputs!$B$34+(ArtifactsInput!$M$7-ArtifactsInput!$M$7)*CHOOSE(ArtifactsInput!$N$7+1,6,7.2,8.4,9.6,10.8,12))/100)),MAX(0,Inputs!$B$43-((R88-1)*(1/Q88)))))/Inputs!$B$43),IF(Inputs!$B$38="pvp",MIN((Skills!T17*(1+(Inputs!$B$34+(ArtifactsInput!$M$7-ArtifactsInput!$M$7)*CHOOSE(ArtifactsInput!$N$7+1,6,7.2,8.4,9.6,10.8,12))/100)),15)/15,MIN(1,(Skills!T17*(1+(Inputs!$B$34+(ArtifactsInput!$M$7-ArtifactsInput!$M$7)*CHOOSE(ArtifactsInput!$N$7+1,6,7.2,8.4,9.6,10.8,12))/100))/(1/Q88)))))+((C85=TRUE)*F85*IF(Inputs!$B$3&gt;=118,8,IF(Inputs!$B$3&gt;=110,7,5)))+IF(Inputs!$B$3&gt;=98,5,0)</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Skills!G2*IF(Skills!H2&gt;0,INT(IF(Inputs!$B$38="pvp",MIN(Skills!I2,15),Skills!I2)/Skills!H2+0.000000001),1)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Skills!G5*IF(Skills!H5&gt;0,INT(IF(Inputs!$B$38="pvp",MIN(Skills!I5,15),Skills!I5)/Skills!H5+0.000000001),1)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IFERROR(1/(IF(Inputs!$B$38="pvp",15,MAX(0.1,Skills!D5-IF(TRUE=TRUE,Inputs!$B$32,0)))*(1-IF(AND(ArtifactsInput!$M$27,Inputs!$B$4="Chapter Hunt"),CHOOSE(ArtifactsInput!$N$27+1,20,24,28,32,36,40),0)/100)),0)</f>
        <v/>
      </c>
      <c r="R118">
        <f>IF(AND(Inputs!$B$38&lt;&gt;"pvp",Inputs!$B$43&gt;0),IF(MAX(0,Inputs!$B$43-B149)&lt;=0,0,(INT(MAX(0,Inputs!$B$43-B149)/(IF(Inputs!$B$38="pvp",15,MAX(0.1,Skills!D5-IF(TRUE=TRUE,Inputs!$B$32,0)))*(1-IF(AND(ArtifactsInput!$M$27,Inputs!$B$4="Chapter Hunt"),CHOOSE(ArtifactsInput!$N$27+1,20,24,28,32,36,40),0)/100)))+1)),0)</f>
        <v/>
      </c>
      <c r="S118">
        <f>IFERROR(O118/N118,0)</f>
        <v/>
      </c>
      <c r="T118">
        <f>IF(C118,(H118*N118*IF(AND(Inputs!$B$38&lt;&gt;"pvp",Inputs!$B$43&gt;0),((Skills!G5*((R118-1)*IF(Skills!H5&gt;0,INT(Skills!I5/Skills!H5+0.000000001),1)+IF(Skills!H5&gt;0,INT(MIN(Skills!I5,MAX(0,MAX(0,Inputs!$B$43-B149)-((R118-1)*(IF(Inputs!$B$38="pvp",15,MAX(0.1,Skills!D5-IF(TRUE=TRUE,Inputs!$B$32,0)))*(1-IF(AND(ArtifactsInput!$M$27,Inputs!$B$4="Chapter Hunt"),CHOOSE(ArtifactsInput!$N$27+1,20,24,28,32,36,40),0)/100)))))/Skills!H5+0.000000001),1)))/Inputs!$B$43),G118*Q118))*IF(Inputs!$B$38="pvp",1,1+(Inputs!$B$20+0+Skills!P5+(((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INT(Skills!I5/Skills!H5+0.000000001),1)+IF(Skills!H5&gt;0,INT(MIN(Skills!I5,MAX(0,MAX(0,Inputs!$B$43-B149)-((R118-1)*(IF(Inputs!$B$38="pvp",15,MAX(0.1,Skills!D5-IF(TRUE=TRUE,Inputs!$B$32,0)))*(1-IF(AND(ArtifactsInput!$M$27,Inputs!$B$4="Chapter Hunt"),CHOOSE(ArtifactsInput!$N$27+1,20,24,28,32,36,40),0)/100)))))/Skills!H5+0.000000001),1)))/Inputs!$B$43),G118*Q118))*IF(Inputs!$B$38="pvp",1,(1+(Inputs!$B$21+Skills!Q5+(((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Skills!G6*IF(Skills!H6&gt;0,INT(IF(Inputs!$B$38="pvp",MIN(Skills!I6,15),Skills!I6)/Skills!H6+0.000000001),1)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IFERROR(1/(IF(Inputs!$B$38="pvp",15,MAX(0.1,Skills!D6-IF(TRUE=TRUE,Inputs!$B$32,0)))*(1-IF(AND(ArtifactsInput!$M$27,Inputs!$B$4="Chapter Hunt"),CHOOSE(ArtifactsInput!$N$27+1,20,24,28,32,36,40),0)/100)),0)</f>
        <v/>
      </c>
      <c r="R119">
        <f>IF(AND(Inputs!$B$38&lt;&gt;"pvp",Inputs!$B$43&gt;0),IF(MAX(0,Inputs!$B$43-B149)&lt;=0,0,(INT(MAX(0,Inputs!$B$43-B149)/(IF(Inputs!$B$38="pvp",15,MAX(0.1,Skills!D6-IF(TRUE=TRUE,Inputs!$B$32,0)))*(1-IF(AND(ArtifactsInput!$M$27,Inputs!$B$4="Chapter Hunt"),CHOOSE(ArtifactsInput!$N$27+1,20,24,28,32,36,40),0)/100)))+1)),0)</f>
        <v/>
      </c>
      <c r="S119">
        <f>IFERROR(O119/N119,0)</f>
        <v/>
      </c>
      <c r="T119">
        <f>IF(C119,(H119*N119*IF(AND(Inputs!$B$38&lt;&gt;"pvp",Inputs!$B$43&gt;0),((Skills!G6*((R119-1)*IF(Skills!H6&gt;0,INT(Skills!I6/Skills!H6+0.000000001),1)+IF(Skills!H6&gt;0,INT(MIN(Skills!I6,MAX(0,MAX(0,Inputs!$B$43-B149)-((R119-1)*(IF(Inputs!$B$38="pvp",15,MAX(0.1,Skills!D6-IF(TRUE=TRUE,Inputs!$B$32,0)))*(1-IF(AND(ArtifactsInput!$M$27,Inputs!$B$4="Chapter Hunt"),CHOOSE(ArtifactsInput!$N$27+1,20,24,28,32,36,40),0)/100)))))/Skills!H6+0.000000001),1)))/Inputs!$B$43),G119*Q119))*IF(Inputs!$B$38="pvp",1,1+(Inputs!$B$20+0+Skills!P6+(((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INT(Skills!I6/Skills!H6+0.000000001),1)+IF(Skills!H6&gt;0,INT(MIN(Skills!I6,MAX(0,MAX(0,Inputs!$B$43-B149)-((R119-1)*(IF(Inputs!$B$38="pvp",15,MAX(0.1,Skills!D6-IF(TRUE=TRUE,Inputs!$B$32,0)))*(1-IF(AND(ArtifactsInput!$M$27,Inputs!$B$4="Chapter Hunt"),CHOOSE(ArtifactsInput!$N$27+1,20,24,28,32,36,40),0)/100)))))/Skills!H6+0.000000001),1)))/Inputs!$B$43),G119*Q119))*IF(Inputs!$B$38="pvp",1,(1+(Inputs!$B$21+Skills!Q6+(((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Skills!G7*IF(Skills!H7&gt;0,INT(IF(Inputs!$B$38="pvp",MIN(Skills!I7,15),Skills!I7)/Skills!H7+0.000000001),1)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IFERROR(1/(IF(Inputs!$B$38="pvp",15,MAX(0.1,Skills!D7-IF(TRUE=TRUE,Inputs!$B$32,0)))*(1-IF(AND(ArtifactsInput!$M$27,Inputs!$B$4="Chapter Hunt"),CHOOSE(ArtifactsInput!$N$27+1,20,24,28,32,36,40),0)/100)),0)</f>
        <v/>
      </c>
      <c r="R120">
        <f>IF(AND(Inputs!$B$38&lt;&gt;"pvp",Inputs!$B$43&gt;0),IF(MAX(0,Inputs!$B$43-B149)&lt;=0,0,(INT(MAX(0,Inputs!$B$43-B149)/(IF(Inputs!$B$38="pvp",15,MAX(0.1,Skills!D7-IF(TRUE=TRUE,Inputs!$B$32,0)))*(1-IF(AND(ArtifactsInput!$M$27,Inputs!$B$4="Chapter Hunt"),CHOOSE(ArtifactsInput!$N$27+1,20,24,28,32,36,40),0)/100)))+1)),0)</f>
        <v/>
      </c>
      <c r="S120">
        <f>IFERROR(O120/N120,0)</f>
        <v/>
      </c>
      <c r="T120">
        <f>IF(C120,(H120*N120*IF(AND(Inputs!$B$38&lt;&gt;"pvp",Inputs!$B$43&gt;0),((Skills!G7*((R120-1)*IF(Skills!H7&gt;0,INT(Skills!I7/Skills!H7+0.000000001),1)+IF(Skills!H7&gt;0,INT(MIN(Skills!I7,MAX(0,MAX(0,Inputs!$B$43-B149)-((R120-1)*(IF(Inputs!$B$38="pvp",15,MAX(0.1,Skills!D7-IF(TRUE=TRUE,Inputs!$B$32,0)))*(1-IF(AND(ArtifactsInput!$M$27,Inputs!$B$4="Chapter Hunt"),CHOOSE(ArtifactsInput!$N$27+1,20,24,28,32,36,40),0)/100)))))/Skills!H7+0.000000001),1)))/Inputs!$B$43),G120*Q120))*IF(Inputs!$B$38="pvp",1,1+(Inputs!$B$20+0+Skills!P7+(((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INT(Skills!I7/Skills!H7+0.000000001),1)+IF(Skills!H7&gt;0,INT(MIN(Skills!I7,MAX(0,MAX(0,Inputs!$B$43-B149)-((R120-1)*(IF(Inputs!$B$38="pvp",15,MAX(0.1,Skills!D7-IF(TRUE=TRUE,Inputs!$B$32,0)))*(1-IF(AND(ArtifactsInput!$M$27,Inputs!$B$4="Chapter Hunt"),CHOOSE(ArtifactsInput!$N$27+1,20,24,28,32,36,40),0)/100)))))/Skills!H7+0.000000001),1)))/Inputs!$B$43),G120*Q120))*IF(Inputs!$B$38="pvp",1,(1+(Inputs!$B$21+Skills!Q7+(((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Skills!G8*IF(Skills!H8&gt;0,INT(IF(Inputs!$B$38="pvp",MIN(Skills!I8,15),Skills!I8)/Skills!H8+0.000000001),1)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IFERROR(1/(IF(Inputs!$B$38="pvp",15,MAX(0.1,Skills!D8-IF(TRUE=TRUE,Inputs!$B$32,0)))*(1-IF(AND(ArtifactsInput!$M$27,Inputs!$B$4="Chapter Hunt"),CHOOSE(ArtifactsInput!$N$27+1,20,24,28,32,36,40),0)/100)),0)</f>
        <v/>
      </c>
      <c r="R121">
        <f>IF(AND(Inputs!$B$38&lt;&gt;"pvp",Inputs!$B$43&gt;0),IF(MAX(0,Inputs!$B$43-B149)&lt;=0,0,(INT(MAX(0,Inputs!$B$43-B149)/(IF(Inputs!$B$38="pvp",15,MAX(0.1,Skills!D8-IF(TRUE=TRUE,Inputs!$B$32,0)))*(1-IF(AND(ArtifactsInput!$M$27,Inputs!$B$4="Chapter Hunt"),CHOOSE(ArtifactsInput!$N$27+1,20,24,28,32,36,40),0)/100)))+1)),0)</f>
        <v/>
      </c>
      <c r="S121">
        <f>IFERROR(O121/N121,0)</f>
        <v/>
      </c>
      <c r="T121">
        <f>IF(C121,(H121*N121*IF(AND(Inputs!$B$38&lt;&gt;"pvp",Inputs!$B$43&gt;0),((Skills!G8*((R121-1)*IF(Skills!H8&gt;0,INT(Skills!I8/Skills!H8+0.000000001),1)+IF(Skills!H8&gt;0,INT(MIN(Skills!I8,MAX(0,MAX(0,Inputs!$B$43-B149)-((R121-1)*(IF(Inputs!$B$38="pvp",15,MAX(0.1,Skills!D8-IF(TRUE=TRUE,Inputs!$B$32,0)))*(1-IF(AND(ArtifactsInput!$M$27,Inputs!$B$4="Chapter Hunt"),CHOOSE(ArtifactsInput!$N$27+1,20,24,28,32,36,40),0)/100)))))/Skills!H8+0.000000001),1)))/Inputs!$B$43),G121*Q121))*IF(Inputs!$B$38="pvp",1,1+(Inputs!$B$20+0+Skills!P8+(((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INT(Skills!I8/Skills!H8+0.000000001),1)+IF(Skills!H8&gt;0,INT(MIN(Skills!I8,MAX(0,MAX(0,Inputs!$B$43-B149)-((R121-1)*(IF(Inputs!$B$38="pvp",15,MAX(0.1,Skills!D8-IF(TRUE=TRUE,Inputs!$B$32,0)))*(1-IF(AND(ArtifactsInput!$M$27,Inputs!$B$4="Chapter Hunt"),CHOOSE(ArtifactsInput!$N$27+1,20,24,28,32,36,40),0)/100)))))/Skills!H8+0.000000001),1)))/Inputs!$B$43),G121*Q121))*IF(Inputs!$B$38="pvp",1,(1+(Inputs!$B$21+Skills!Q8+(((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Skills!G9*IF(Skills!H9&gt;0,INT(IF(Inputs!$B$38="pvp",MIN(Skills!I9,15),Skills!I9)/Skills!H9+0.000000001),1)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138,MAX(0,IF(Inputs!$B$3&gt;=118,8,IF(Inputs!$B$3&gt;=110,7,5))-5)*50,0),0)/100)*(1+(IF(Skills!A9="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IFERROR(1/(IF(Inputs!$B$38="pvp",15,MAX(0.1,Skills!D9-IF(TRUE=TRUE,Inputs!$B$32,0)))*(1-IF(AND(ArtifactsInput!$M$27,Inputs!$B$4="Chapter Hunt"),CHOOSE(ArtifactsInput!$N$27+1,20,24,28,32,36,40),0)/100)),0)</f>
        <v/>
      </c>
      <c r="R122">
        <f>IF(AND(Inputs!$B$38&lt;&gt;"pvp",Inputs!$B$43&gt;0),IF(MAX(0,Inputs!$B$43-B149)&lt;=0,0,(INT(MAX(0,Inputs!$B$43-B149)/(IF(Inputs!$B$38="pvp",15,MAX(0.1,Skills!D9-IF(TRUE=TRUE,Inputs!$B$32,0)))*(1-IF(AND(ArtifactsInput!$M$27,Inputs!$B$4="Chapter Hunt"),CHOOSE(ArtifactsInput!$N$27+1,20,24,28,32,36,40),0)/100)))+1)),0)</f>
        <v/>
      </c>
      <c r="S122">
        <f>IFERROR(O122/N122,0)</f>
        <v/>
      </c>
      <c r="T122">
        <f>IF(C122,(H122*N122*IF(AND(Inputs!$B$38&lt;&gt;"pvp",Inputs!$B$43&gt;0),((Skills!G9*((R122-1)*IF(Skills!H9&gt;0,INT(Skills!I9/Skills!H9+0.000000001),1)+IF(Skills!H9&gt;0,INT(MIN(Skills!I9,MAX(0,MAX(0,Inputs!$B$43-B149)-((R122-1)*(IF(Inputs!$B$38="pvp",15,MAX(0.1,Skills!D9-IF(TRUE=TRUE,Inputs!$B$32,0)))*(1-IF(AND(ArtifactsInput!$M$27,Inputs!$B$4="Chapter Hunt"),CHOOSE(ArtifactsInput!$N$27+1,20,24,28,32,36,40),0)/100)))))/Skills!H9+0.000000001),1)))/Inputs!$B$43),G122*Q122))*IF(Inputs!$B$38="pvp",1,1+(Inputs!$B$20+0+Skills!P9+(((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INT(Skills!I9/Skills!H9+0.000000001),1)+IF(Skills!H9&gt;0,INT(MIN(Skills!I9,MAX(0,MAX(0,Inputs!$B$43-B149)-((R122-1)*(IF(Inputs!$B$38="pvp",15,MAX(0.1,Skills!D9-IF(TRUE=TRUE,Inputs!$B$32,0)))*(1-IF(AND(ArtifactsInput!$M$27,Inputs!$B$4="Chapter Hunt"),CHOOSE(ArtifactsInput!$N$27+1,20,24,28,32,36,40),0)/100)))))/Skills!H9+0.000000001),1)))/Inputs!$B$43),G122*Q122))*IF(Inputs!$B$38="pvp",1,(1+(Inputs!$B$21+Skills!Q9+(((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Skills!G10*IF(Skills!H10&gt;0,INT(IF(Inputs!$B$38="pvp",MIN(Skills!I10,15),Skills!I10)/Skills!H10+0.000000001),1)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138,MAX(0,IF(Inputs!$B$3&gt;=118,8,IF(Inputs!$B$3&gt;=110,7,5))-5)*50,0),0)/100)*(1+(IF(Skills!A10="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IFERROR(1/(IF(Inputs!$B$38="pvp",15,MAX(0.1,Skills!D10-IF(TRUE=TRUE,Inputs!$B$32,0)))*(1-IF(AND(ArtifactsInput!$M$27,Inputs!$B$4="Chapter Hunt"),CHOOSE(ArtifactsInput!$N$27+1,20,24,28,32,36,40),0)/100)),0)</f>
        <v/>
      </c>
      <c r="R123">
        <f>IF(AND(Inputs!$B$38&lt;&gt;"pvp",Inputs!$B$43&gt;0),IF(MAX(0,Inputs!$B$43-B149)&lt;=0,0,(INT(MAX(0,Inputs!$B$43-B149)/(IF(Inputs!$B$38="pvp",15,MAX(0.1,Skills!D10-IF(TRUE=TRUE,Inputs!$B$32,0)))*(1-IF(AND(ArtifactsInput!$M$27,Inputs!$B$4="Chapter Hunt"),CHOOSE(ArtifactsInput!$N$27+1,20,24,28,32,36,40),0)/100)))+1)),0)</f>
        <v/>
      </c>
      <c r="S123">
        <f>IFERROR(O123/N123,0)</f>
        <v/>
      </c>
      <c r="T123">
        <f>IF(C123,(H123*N123*IF(AND(Inputs!$B$38&lt;&gt;"pvp",Inputs!$B$43&gt;0),((Skills!G10*((R123-1)*IF(Skills!H10&gt;0,INT(Skills!I10/Skills!H10+0.000000001),1)+IF(Skills!H10&gt;0,INT(MIN(Skills!I10,MAX(0,MAX(0,Inputs!$B$43-B149)-((R123-1)*(IF(Inputs!$B$38="pvp",15,MAX(0.1,Skills!D10-IF(TRUE=TRUE,Inputs!$B$32,0)))*(1-IF(AND(ArtifactsInput!$M$27,Inputs!$B$4="Chapter Hunt"),CHOOSE(ArtifactsInput!$N$27+1,20,24,28,32,36,40),0)/100)))))/Skills!H10+0.000000001),1)))/Inputs!$B$43),G123*Q123))*IF(Inputs!$B$38="pvp",1,1+(Inputs!$B$20+0+Skills!P10+(((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INT(Skills!I10/Skills!H10+0.000000001),1)+IF(Skills!H10&gt;0,INT(MIN(Skills!I10,MAX(0,MAX(0,Inputs!$B$43-B149)-((R123-1)*(IF(Inputs!$B$38="pvp",15,MAX(0.1,Skills!D10-IF(TRUE=TRUE,Inputs!$B$32,0)))*(1-IF(AND(ArtifactsInput!$M$27,Inputs!$B$4="Chapter Hunt"),CHOOSE(ArtifactsInput!$N$27+1,20,24,28,32,36,40),0)/100)))))/Skills!H10+0.000000001),1)))/Inputs!$B$43),G123*Q123))*IF(Inputs!$B$38="pvp",1,(1+(Inputs!$B$21+Skills!Q10+(((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Skills!G11*IF(Skills!H11&gt;0,INT(IF(Inputs!$B$38="pvp",MIN(Skills!I11,15),Skills!I11)/Skills!H11+0.000000001),1)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138,MAX(0,IF(Inputs!$B$3&gt;=118,8,IF(Inputs!$B$3&gt;=110,7,5))-5)*50,0),0)/100)*(1+(IF(Skills!A11="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IFERROR(1/(IF(Inputs!$B$38="pvp",15,MAX(0.1,Skills!D11-IF(TRUE=TRUE,Inputs!$B$32,0)))*(1-IF(AND(ArtifactsInput!$M$27,Inputs!$B$4="Chapter Hunt"),CHOOSE(ArtifactsInput!$N$27+1,20,24,28,32,36,40),0)/100)),0)</f>
        <v/>
      </c>
      <c r="R124">
        <f>IF(AND(Inputs!$B$38&lt;&gt;"pvp",Inputs!$B$43&gt;0),IF(MAX(0,Inputs!$B$43-B149)&lt;=0,0,(INT(MAX(0,Inputs!$B$43-B149)/(IF(Inputs!$B$38="pvp",15,MAX(0.1,Skills!D11-IF(TRUE=TRUE,Inputs!$B$32,0)))*(1-IF(AND(ArtifactsInput!$M$27,Inputs!$B$4="Chapter Hunt"),CHOOSE(ArtifactsInput!$N$27+1,20,24,28,32,36,40),0)/100)))+1)),0)</f>
        <v/>
      </c>
      <c r="S124">
        <f>IFERROR(O124/N124,0)</f>
        <v/>
      </c>
      <c r="T124">
        <f>IF(C124,(H124*N124*IF(AND(Inputs!$B$38&lt;&gt;"pvp",Inputs!$B$43&gt;0),((Skills!G11*((R124-1)*IF(Skills!H11&gt;0,INT(Skills!I11/Skills!H11+0.000000001),1)+IF(Skills!H11&gt;0,INT(MIN(Skills!I11,MAX(0,MAX(0,Inputs!$B$43-B149)-((R124-1)*(IF(Inputs!$B$38="pvp",15,MAX(0.1,Skills!D11-IF(TRUE=TRUE,Inputs!$B$32,0)))*(1-IF(AND(ArtifactsInput!$M$27,Inputs!$B$4="Chapter Hunt"),CHOOSE(ArtifactsInput!$N$27+1,20,24,28,32,36,40),0)/100)))))/Skills!H11+0.000000001),1)))/Inputs!$B$43),G124*Q124))*IF(Inputs!$B$38="pvp",1,1+(Inputs!$B$20+0+Skills!P11+(((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INT(Skills!I11/Skills!H11+0.000000001),1)+IF(Skills!H11&gt;0,INT(MIN(Skills!I11,MAX(0,MAX(0,Inputs!$B$43-B149)-((R124-1)*(IF(Inputs!$B$38="pvp",15,MAX(0.1,Skills!D11-IF(TRUE=TRUE,Inputs!$B$32,0)))*(1-IF(AND(ArtifactsInput!$M$27,Inputs!$B$4="Chapter Hunt"),CHOOSE(ArtifactsInput!$N$27+1,20,24,28,32,36,40),0)/100)))))/Skills!H11+0.000000001),1)))/Inputs!$B$43),G124*Q124))*IF(Inputs!$B$38="pvp",1,(1+(Inputs!$B$21+Skills!Q11+(((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Skills!G13*IF(Skills!H13&gt;0,INT(IF(Inputs!$B$38="pvp",MIN(Skills!I13,15),Skills!I13)/Skills!H13+0.000000001),1)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Skills!G14*IF(Skills!H14&gt;0,INT(IF(Inputs!$B$38="pvp",MIN(Skills!I14,15),Skills!I14)/Skills!H14+0.000000001),1)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Skills!G15*IF(Skills!H15&gt;0,INT(IF(Inputs!$B$38="pvp",MIN(Skills!I15,15),Skills!I15)/Skills!H15+0.000000001),1)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IFERROR(1/(IF(Inputs!$B$38="pvp",15,MAX(0.1,Skills!D15-IF(TRUE=TRUE,Inputs!$B$32,0)))*(1-IF(AND(ArtifactsInput!$M$27,Inputs!$B$4="Chapter Hunt"),CHOOSE(ArtifactsInput!$N$27+1,20,24,28,32,36,40),0)/100)),0)</f>
        <v/>
      </c>
      <c r="R128">
        <f>IF(AND(Inputs!$B$38&lt;&gt;"pvp",Inputs!$B$43&gt;0),IF(Inputs!$B$43&lt;=0,0,(INT(Inputs!$B$43/(IF(Inputs!$B$38="pvp",15,MAX(0.1,Skills!D15-IF(TRUE=TRUE,Inputs!$B$32,0)))*(1-IF(AND(ArtifactsInput!$M$27,Inputs!$B$4="Chapter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Skills!G16*IF(Skills!H16&gt;0,INT(IF(Inputs!$B$38="pvp",MIN(Skills!I16,15),Skills!I16)/Skills!H16+0.000000001),1)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IFERROR(1/(IF(Inputs!$B$38="pvp",15,MAX(0.1,Skills!D16-IF(TRUE=TRUE,Inputs!$B$32,0)))*(1-IF(AND(ArtifactsInput!$M$27,Inputs!$B$4="Chapter Hunt"),CHOOSE(ArtifactsInput!$N$27+1,20,24,28,32,36,40),0)/100)),0)</f>
        <v/>
      </c>
      <c r="R129">
        <f>IF(AND(Inputs!$B$38&lt;&gt;"pvp",Inputs!$B$43&gt;0),IF(Inputs!$B$43&lt;=0,0,(INT(Inputs!$B$43/(IF(Inputs!$B$38="pvp",15,MAX(0.1,Skills!D16-IF(TRUE=TRUE,Inputs!$B$32,0)))*(1-IF(AND(ArtifactsInput!$M$27,Inputs!$B$4="Chapter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Skills!G17*IF(Skills!H17&gt;0,INT(IF(Inputs!$B$38="pvp",MIN(Skills!I17,15),Skills!I17)/Skills!H17+0.000000001),1)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IFERROR(1/(IF(Inputs!$B$38="pvp",15,MAX(0.1,Skills!D17-IF(TRUE=TRUE,Inputs!$B$32,0)))*(1-IF(AND(ArtifactsInput!$M$27,Inputs!$B$4="Chapter Hunt"),CHOOSE(ArtifactsInput!$N$27+1,20,24,28,32,36,40),0)/100)),0)</f>
        <v/>
      </c>
      <c r="R130">
        <f>IF(AND(Inputs!$B$38&lt;&gt;"pvp",Inputs!$B$43&gt;0),IF(Inputs!$B$43&lt;=0,0,(INT(Inputs!$B$43/(IF(Inputs!$B$38="pvp",15,MAX(0.1,Skills!D17-IF(TRUE=TRUE,Inputs!$B$32,0)))*(1-IF(AND(ArtifactsInput!$M$27,Inputs!$B$4="Chapter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Skills!G18*IF(Skills!H18&gt;0,INT(IF(Inputs!$B$38="pvp",MIN(Skills!I18,15),Skills!I18)/Skills!H18+0.000000001),1)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IFERROR(1/(IF(Inputs!$B$38="pvp",15,MAX(0.1,Skills!D18-IF(TRUE=TRUE,Inputs!$B$32,0)))*(1-IF(AND(ArtifactsInput!$M$27,Inputs!$B$4="Chapter Hunt"),CHOOSE(ArtifactsInput!$N$27+1,20,24,28,32,36,40),0)/100)),0)</f>
        <v/>
      </c>
      <c r="R131">
        <f>IF(AND(Inputs!$B$38&lt;&gt;"pvp",Inputs!$B$43&gt;0),IF(Inputs!$B$43&lt;=0,0,(INT(Inputs!$B$43/(IF(Inputs!$B$38="pvp",15,MAX(0.1,Skills!D18-IF(TRUE=TRUE,Inputs!$B$32,0)))*(1-IF(AND(ArtifactsInput!$M$27,Inputs!$B$4="Chapter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Skills!G19*IF(Skills!H19&gt;0,INT(IF(Inputs!$B$38="pvp",MIN(Skills!I19,15),Skills!I19)/Skills!H19+0.000000001),1)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IFERROR(1/(IF(Inputs!$B$38="pvp",15,MAX(0.1,Skills!D19-IF(TRUE=TRUE,Inputs!$B$32,0)))*(1-IF(AND(ArtifactsInput!$M$27,Inputs!$B$4="Chapter Hunt"),CHOOSE(ArtifactsInput!$N$27+1,20,24,28,32,36,40),0)/100)),0)</f>
        <v/>
      </c>
      <c r="R132">
        <f>IF(AND(Inputs!$B$38&lt;&gt;"pvp",Inputs!$B$43&gt;0),IF(Inputs!$B$43&lt;=0,0,(INT(Inputs!$B$43/(IF(Inputs!$B$38="pvp",15,MAX(0.1,Skills!D19-IF(TRUE=TRUE,Inputs!$B$32,0)))*(1-IF(AND(ArtifactsInput!$M$27,Inputs!$B$4="Chapter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Skills!G20*IF(Skills!H20&gt;0,INT(IF(Inputs!$B$38="pvp",MIN(Skills!I20,15),Skills!I20)/Skills!H20+0.000000001),1)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Skills!G21*IF(Skills!H21&gt;0,INT(IF(Inputs!$B$38="pvp",MIN(Skills!I21,15),Skills!I21)/Skills!H21+0.000000001),1)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Skills!G22*IF(Skills!H22&gt;0,INT(IF(Inputs!$B$38="pvp",MIN(Skills!I22,15),Skills!I22)/Skills!H22+0.000000001),1)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Skills!G23*IF(Skills!H23&gt;0,INT(IF(Inputs!$B$38="pvp",MIN(Skills!I23,15),Skills!I23)/Skills!H23+0.000000001),1)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Skills!G24*IF(Skills!H24&gt;0,INT(IF(Inputs!$B$38="pvp",MIN(Skills!I24,15),Skills!I24)/Skills!H24+0.000000001),1)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Skills!G25*IF(Skills!H25&gt;0,INT(IF(Inputs!$B$38="pvp",MIN(Skills!I25,15),Skills!I25)/Skills!H25+0.000000001),1)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Skills!G26*IF(Skills!H26&gt;0,INT(IF(Inputs!$B$38="pvp",MIN(Skills!I26,15),Skills!I26)/Skills!H26+0.000000001),1)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MIN((Skills!T19*(1+(Inputs!$B$34+(ArtifactsInput!$M$7-ArtifactsInput!$M$7)*CHOOSE(ArtifactsInput!$N$7+1,6,7.2,8.4,9.6,10.8,12))/100)),(1/Q132))+MIN((Skills!T19*(1+(Inputs!$B$34+(ArtifactsInput!$M$7-ArtifactsInput!$M$7)*CHOOSE(ArtifactsInput!$N$7+1,6,7.2,8.4,9.6,10.8,12))/100)),MAX(0,Inputs!$B$43-((R132-1)*(1/Q132)))))/Inputs!$B$43),IF(Inputs!$B$38="pvp",MIN((Skills!T19*(1+(Inputs!$B$34+(ArtifactsInput!$M$7-ArtifactsInput!$M$7)*CHOOSE(ArtifactsInput!$N$7+1,6,7.2,8.4,9.6,10.8,12))/100)),15)/15,MIN(1,(Skills!T19*(1+(Inputs!$B$34+(ArtifactsInput!$M$7-ArtifactsInput!$M$7)*CHOOSE(ArtifactsInput!$N$7+1,6,7.2,8.4,9.6,10.8,12))/100))/(1/Q132)))))</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MIN((Skills!T18*(1+(Inputs!$B$34+(ArtifactsInput!$M$7-ArtifactsInput!$M$7)*CHOOSE(ArtifactsInput!$N$7+1,6,7.2,8.4,9.6,10.8,12))/100)),(1/Q131))+MIN((Skills!T18*(1+(Inputs!$B$34+(ArtifactsInput!$M$7-ArtifactsInput!$M$7)*CHOOSE(ArtifactsInput!$N$7+1,6,7.2,8.4,9.6,10.8,12))/100)),MAX(0,Inputs!$B$43-((R131-1)*(1/Q131)))))/Inputs!$B$43),IF(Inputs!$B$38="pvp",MIN((Skills!T18*(1+(Inputs!$B$34+(ArtifactsInput!$M$7-ArtifactsInput!$M$7)*CHOOSE(ArtifactsInput!$N$7+1,6,7.2,8.4,9.6,10.8,12))/100)),15)/15,MIN(1,(Skills!T18*(1+(Inputs!$B$34+(ArtifactsInput!$M$7-ArtifactsInput!$M$7)*CHOOSE(ArtifactsInput!$N$7+1,6,7.2,8.4,9.6,10.8,12))/100))/(1/Q131)))))</f>
        <v/>
      </c>
    </row>
    <row r="148">
      <c r="A148" t="inlineStr">
        <is>
          <t>Global Final Damage Bonus % (Enrage + Combo Synergy)</t>
        </is>
      </c>
      <c r="B148">
        <f>((C130=TRUE)*F130*IF(AND(Inputs!$B$38&lt;&gt;"pvp",Inputs!$B$43&gt;0),(((R130-1)*MIN((Skills!T17*(1+(Inputs!$B$34+(ArtifactsInput!$M$7-ArtifactsInput!$M$7)*CHOOSE(ArtifactsInput!$N$7+1,6,7.2,8.4,9.6,10.8,12))/100)),(1/Q130))+MIN((Skills!T17*(1+(Inputs!$B$34+(ArtifactsInput!$M$7-ArtifactsInput!$M$7)*CHOOSE(ArtifactsInput!$N$7+1,6,7.2,8.4,9.6,10.8,12))/100)),MAX(0,Inputs!$B$43-((R130-1)*(1/Q130)))))/Inputs!$B$43),IF(Inputs!$B$38="pvp",MIN((Skills!T17*(1+(Inputs!$B$34+(ArtifactsInput!$M$7-ArtifactsInput!$M$7)*CHOOSE(ArtifactsInput!$N$7+1,6,7.2,8.4,9.6,10.8,12))/100)),15)/15,MIN(1,(Skills!T17*(1+(Inputs!$B$34+(ArtifactsInput!$M$7-ArtifactsInput!$M$7)*CHOOSE(ArtifactsInput!$N$7+1,6,7.2,8.4,9.6,10.8,12))/100))/(1/Q130)))))+((C127=TRUE)*F127*IF(Inputs!$B$3&gt;=118,8,IF(Inputs!$B$3&gt;=110,7,5)))+IF(Inputs!$B$3&gt;=98,5,0)</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Skills!G2*IF(Skills!H2&gt;0,INT(IF(Inputs!$B$38="pvp",MIN(Skills!I2,15),Skills!I2)/Skills!H2+0.000000001),1)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Skills!G5*IF(Skills!H5&gt;0,INT(IF(Inputs!$B$38="pvp",MIN(Skills!I5,15),Skills!I5)/Skills!H5+0.000000001),1)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IFERROR(1/(IF(Inputs!$B$38="pvp",15,MAX(0.1,Skills!D5-IF(TRUE=TRUE,Inputs!$B$32,0)))*(1-IF(AND(ArtifactsInput!$M$27,Inputs!$B$4="Chapter Hunt"),CHOOSE(ArtifactsInput!$N$27+1,20,24,28,32,36,40),0)/100)),0)</f>
        <v/>
      </c>
      <c r="R160">
        <f>IF(AND(Inputs!$B$38&lt;&gt;"pvp",Inputs!$B$43&gt;0),IF(MAX(0,Inputs!$B$43-B191)&lt;=0,0,(INT(MAX(0,Inputs!$B$43-B191)/(IF(Inputs!$B$38="pvp",15,MAX(0.1,Skills!D5-IF(TRUE=TRUE,Inputs!$B$32,0)))*(1-IF(AND(ArtifactsInput!$M$27,Inputs!$B$4="Chapter Hunt"),CHOOSE(ArtifactsInput!$N$27+1,20,24,28,32,36,40),0)/100)))+1)),0)</f>
        <v/>
      </c>
      <c r="S160">
        <f>IFERROR(O160/N160,0)</f>
        <v/>
      </c>
      <c r="T160">
        <f>IF(C160,(H160*N160*IF(AND(Inputs!$B$38&lt;&gt;"pvp",Inputs!$B$43&gt;0),((Skills!G5*((R160-1)*IF(Skills!H5&gt;0,INT(Skills!I5/Skills!H5+0.000000001),1)+IF(Skills!H5&gt;0,INT(MIN(Skills!I5,MAX(0,MAX(0,Inputs!$B$43-B191)-((R160-1)*(IF(Inputs!$B$38="pvp",15,MAX(0.1,Skills!D5-IF(TRUE=TRUE,Inputs!$B$32,0)))*(1-IF(AND(ArtifactsInput!$M$27,Inputs!$B$4="Chapter Hunt"),CHOOSE(ArtifactsInput!$N$27+1,20,24,28,32,36,40),0)/100)))))/Skills!H5+0.000000001),1)))/Inputs!$B$43),G160*Q160))*IF(Inputs!$B$38="pvp",1,1+(Inputs!$B$20+0+Skills!P5+(((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INT(Skills!I5/Skills!H5+0.000000001),1)+IF(Skills!H5&gt;0,INT(MIN(Skills!I5,MAX(0,MAX(0,Inputs!$B$43-B191)-((R160-1)*(IF(Inputs!$B$38="pvp",15,MAX(0.1,Skills!D5-IF(TRUE=TRUE,Inputs!$B$32,0)))*(1-IF(AND(ArtifactsInput!$M$27,Inputs!$B$4="Chapter Hunt"),CHOOSE(ArtifactsInput!$N$27+1,20,24,28,32,36,40),0)/100)))))/Skills!H5+0.000000001),1)))/Inputs!$B$43),G160*Q160))*IF(Inputs!$B$38="pvp",1,(1+(Inputs!$B$21+Skills!Q5+(((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Skills!G6*IF(Skills!H6&gt;0,INT(IF(Inputs!$B$38="pvp",MIN(Skills!I6,15),Skills!I6)/Skills!H6+0.000000001),1)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IFERROR(1/(IF(Inputs!$B$38="pvp",15,MAX(0.1,Skills!D6-IF(TRUE=TRUE,Inputs!$B$32,0)))*(1-IF(AND(ArtifactsInput!$M$27,Inputs!$B$4="Chapter Hunt"),CHOOSE(ArtifactsInput!$N$27+1,20,24,28,32,36,40),0)/100)),0)</f>
        <v/>
      </c>
      <c r="R161">
        <f>IF(AND(Inputs!$B$38&lt;&gt;"pvp",Inputs!$B$43&gt;0),IF(MAX(0,Inputs!$B$43-B191)&lt;=0,0,(INT(MAX(0,Inputs!$B$43-B191)/(IF(Inputs!$B$38="pvp",15,MAX(0.1,Skills!D6-IF(TRUE=TRUE,Inputs!$B$32,0)))*(1-IF(AND(ArtifactsInput!$M$27,Inputs!$B$4="Chapter Hunt"),CHOOSE(ArtifactsInput!$N$27+1,20,24,28,32,36,40),0)/100)))+1)),0)</f>
        <v/>
      </c>
      <c r="S161">
        <f>IFERROR(O161/N161,0)</f>
        <v/>
      </c>
      <c r="T161">
        <f>IF(C161,(H161*N161*IF(AND(Inputs!$B$38&lt;&gt;"pvp",Inputs!$B$43&gt;0),((Skills!G6*((R161-1)*IF(Skills!H6&gt;0,INT(Skills!I6/Skills!H6+0.000000001),1)+IF(Skills!H6&gt;0,INT(MIN(Skills!I6,MAX(0,MAX(0,Inputs!$B$43-B191)-((R161-1)*(IF(Inputs!$B$38="pvp",15,MAX(0.1,Skills!D6-IF(TRUE=TRUE,Inputs!$B$32,0)))*(1-IF(AND(ArtifactsInput!$M$27,Inputs!$B$4="Chapter Hunt"),CHOOSE(ArtifactsInput!$N$27+1,20,24,28,32,36,40),0)/100)))))/Skills!H6+0.000000001),1)))/Inputs!$B$43),G161*Q161))*IF(Inputs!$B$38="pvp",1,1+(Inputs!$B$20+0+Skills!P6+(((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INT(Skills!I6/Skills!H6+0.000000001),1)+IF(Skills!H6&gt;0,INT(MIN(Skills!I6,MAX(0,MAX(0,Inputs!$B$43-B191)-((R161-1)*(IF(Inputs!$B$38="pvp",15,MAX(0.1,Skills!D6-IF(TRUE=TRUE,Inputs!$B$32,0)))*(1-IF(AND(ArtifactsInput!$M$27,Inputs!$B$4="Chapter Hunt"),CHOOSE(ArtifactsInput!$N$27+1,20,24,28,32,36,40),0)/100)))))/Skills!H6+0.000000001),1)))/Inputs!$B$43),G161*Q161))*IF(Inputs!$B$38="pvp",1,(1+(Inputs!$B$21+Skills!Q6+(((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Skills!G7*IF(Skills!H7&gt;0,INT(IF(Inputs!$B$38="pvp",MIN(Skills!I7,15),Skills!I7)/Skills!H7+0.000000001),1)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IFERROR(1/(IF(Inputs!$B$38="pvp",15,MAX(0.1,Skills!D7-IF(TRUE=TRUE,Inputs!$B$32,0)))*(1-IF(AND(ArtifactsInput!$M$27,Inputs!$B$4="Chapter Hunt"),CHOOSE(ArtifactsInput!$N$27+1,20,24,28,32,36,40),0)/100)),0)</f>
        <v/>
      </c>
      <c r="R162">
        <f>IF(AND(Inputs!$B$38&lt;&gt;"pvp",Inputs!$B$43&gt;0),IF(MAX(0,Inputs!$B$43-B191)&lt;=0,0,(INT(MAX(0,Inputs!$B$43-B191)/(IF(Inputs!$B$38="pvp",15,MAX(0.1,Skills!D7-IF(TRUE=TRUE,Inputs!$B$32,0)))*(1-IF(AND(ArtifactsInput!$M$27,Inputs!$B$4="Chapter Hunt"),CHOOSE(ArtifactsInput!$N$27+1,20,24,28,32,36,40),0)/100)))+1)),0)</f>
        <v/>
      </c>
      <c r="S162">
        <f>IFERROR(O162/N162,0)</f>
        <v/>
      </c>
      <c r="T162">
        <f>IF(C162,(H162*N162*IF(AND(Inputs!$B$38&lt;&gt;"pvp",Inputs!$B$43&gt;0),((Skills!G7*((R162-1)*IF(Skills!H7&gt;0,INT(Skills!I7/Skills!H7+0.000000001),1)+IF(Skills!H7&gt;0,INT(MIN(Skills!I7,MAX(0,MAX(0,Inputs!$B$43-B191)-((R162-1)*(IF(Inputs!$B$38="pvp",15,MAX(0.1,Skills!D7-IF(TRUE=TRUE,Inputs!$B$32,0)))*(1-IF(AND(ArtifactsInput!$M$27,Inputs!$B$4="Chapter Hunt"),CHOOSE(ArtifactsInput!$N$27+1,20,24,28,32,36,40),0)/100)))))/Skills!H7+0.000000001),1)))/Inputs!$B$43),G162*Q162))*IF(Inputs!$B$38="pvp",1,1+(Inputs!$B$20+0+Skills!P7+(((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INT(Skills!I7/Skills!H7+0.000000001),1)+IF(Skills!H7&gt;0,INT(MIN(Skills!I7,MAX(0,MAX(0,Inputs!$B$43-B191)-((R162-1)*(IF(Inputs!$B$38="pvp",15,MAX(0.1,Skills!D7-IF(TRUE=TRUE,Inputs!$B$32,0)))*(1-IF(AND(ArtifactsInput!$M$27,Inputs!$B$4="Chapter Hunt"),CHOOSE(ArtifactsInput!$N$27+1,20,24,28,32,36,40),0)/100)))))/Skills!H7+0.000000001),1)))/Inputs!$B$43),G162*Q162))*IF(Inputs!$B$38="pvp",1,(1+(Inputs!$B$21+Skills!Q7+(((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Skills!G8*IF(Skills!H8&gt;0,INT(IF(Inputs!$B$38="pvp",MIN(Skills!I8,15),Skills!I8)/Skills!H8+0.000000001),1)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IFERROR(1/(IF(Inputs!$B$38="pvp",15,MAX(0.1,Skills!D8-IF(TRUE=TRUE,Inputs!$B$32,0)))*(1-IF(AND(ArtifactsInput!$M$27,Inputs!$B$4="Chapter Hunt"),CHOOSE(ArtifactsInput!$N$27+1,20,24,28,32,36,40),0)/100)),0)</f>
        <v/>
      </c>
      <c r="R163">
        <f>IF(AND(Inputs!$B$38&lt;&gt;"pvp",Inputs!$B$43&gt;0),IF(MAX(0,Inputs!$B$43-B191)&lt;=0,0,(INT(MAX(0,Inputs!$B$43-B191)/(IF(Inputs!$B$38="pvp",15,MAX(0.1,Skills!D8-IF(TRUE=TRUE,Inputs!$B$32,0)))*(1-IF(AND(ArtifactsInput!$M$27,Inputs!$B$4="Chapter Hunt"),CHOOSE(ArtifactsInput!$N$27+1,20,24,28,32,36,40),0)/100)))+1)),0)</f>
        <v/>
      </c>
      <c r="S163">
        <f>IFERROR(O163/N163,0)</f>
        <v/>
      </c>
      <c r="T163">
        <f>IF(C163,(H163*N163*IF(AND(Inputs!$B$38&lt;&gt;"pvp",Inputs!$B$43&gt;0),((Skills!G8*((R163-1)*IF(Skills!H8&gt;0,INT(Skills!I8/Skills!H8+0.000000001),1)+IF(Skills!H8&gt;0,INT(MIN(Skills!I8,MAX(0,MAX(0,Inputs!$B$43-B191)-((R163-1)*(IF(Inputs!$B$38="pvp",15,MAX(0.1,Skills!D8-IF(TRUE=TRUE,Inputs!$B$32,0)))*(1-IF(AND(ArtifactsInput!$M$27,Inputs!$B$4="Chapter Hunt"),CHOOSE(ArtifactsInput!$N$27+1,20,24,28,32,36,40),0)/100)))))/Skills!H8+0.000000001),1)))/Inputs!$B$43),G163*Q163))*IF(Inputs!$B$38="pvp",1,1+(Inputs!$B$20+0+Skills!P8+(((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INT(Skills!I8/Skills!H8+0.000000001),1)+IF(Skills!H8&gt;0,INT(MIN(Skills!I8,MAX(0,MAX(0,Inputs!$B$43-B191)-((R163-1)*(IF(Inputs!$B$38="pvp",15,MAX(0.1,Skills!D8-IF(TRUE=TRUE,Inputs!$B$32,0)))*(1-IF(AND(ArtifactsInput!$M$27,Inputs!$B$4="Chapter Hunt"),CHOOSE(ArtifactsInput!$N$27+1,20,24,28,32,36,40),0)/100)))))/Skills!H8+0.000000001),1)))/Inputs!$B$43),G163*Q163))*IF(Inputs!$B$38="pvp",1,(1+(Inputs!$B$21+Skills!Q8+(((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Skills!G9*IF(Skills!H9&gt;0,INT(IF(Inputs!$B$38="pvp",MIN(Skills!I9,15),Skills!I9)/Skills!H9+0.000000001),1)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138,MAX(0,IF(Inputs!$B$3&gt;=118,8,IF(Inputs!$B$3&gt;=110,7,5))-5)*50,0),0)/100)*(1+(IF(Skills!A9="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IFERROR(1/(IF(Inputs!$B$38="pvp",15,MAX(0.1,Skills!D9-IF(TRUE=TRUE,Inputs!$B$32,0)))*(1-IF(AND(ArtifactsInput!$M$27,Inputs!$B$4="Chapter Hunt"),CHOOSE(ArtifactsInput!$N$27+1,20,24,28,32,36,40),0)/100)),0)</f>
        <v/>
      </c>
      <c r="R164">
        <f>IF(AND(Inputs!$B$38&lt;&gt;"pvp",Inputs!$B$43&gt;0),IF(MAX(0,Inputs!$B$43-B191)&lt;=0,0,(INT(MAX(0,Inputs!$B$43-B191)/(IF(Inputs!$B$38="pvp",15,MAX(0.1,Skills!D9-IF(TRUE=TRUE,Inputs!$B$32,0)))*(1-IF(AND(ArtifactsInput!$M$27,Inputs!$B$4="Chapter Hunt"),CHOOSE(ArtifactsInput!$N$27+1,20,24,28,32,36,40),0)/100)))+1)),0)</f>
        <v/>
      </c>
      <c r="S164">
        <f>IFERROR(O164/N164,0)</f>
        <v/>
      </c>
      <c r="T164">
        <f>IF(C164,(H164*N164*IF(AND(Inputs!$B$38&lt;&gt;"pvp",Inputs!$B$43&gt;0),((Skills!G9*((R164-1)*IF(Skills!H9&gt;0,INT(Skills!I9/Skills!H9+0.000000001),1)+IF(Skills!H9&gt;0,INT(MIN(Skills!I9,MAX(0,MAX(0,Inputs!$B$43-B191)-((R164-1)*(IF(Inputs!$B$38="pvp",15,MAX(0.1,Skills!D9-IF(TRUE=TRUE,Inputs!$B$32,0)))*(1-IF(AND(ArtifactsInput!$M$27,Inputs!$B$4="Chapter Hunt"),CHOOSE(ArtifactsInput!$N$27+1,20,24,28,32,36,40),0)/100)))))/Skills!H9+0.000000001),1)))/Inputs!$B$43),G164*Q164))*IF(Inputs!$B$38="pvp",1,1+(Inputs!$B$20+0+Skills!P9+(((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INT(Skills!I9/Skills!H9+0.000000001),1)+IF(Skills!H9&gt;0,INT(MIN(Skills!I9,MAX(0,MAX(0,Inputs!$B$43-B191)-((R164-1)*(IF(Inputs!$B$38="pvp",15,MAX(0.1,Skills!D9-IF(TRUE=TRUE,Inputs!$B$32,0)))*(1-IF(AND(ArtifactsInput!$M$27,Inputs!$B$4="Chapter Hunt"),CHOOSE(ArtifactsInput!$N$27+1,20,24,28,32,36,40),0)/100)))))/Skills!H9+0.000000001),1)))/Inputs!$B$43),G164*Q164))*IF(Inputs!$B$38="pvp",1,(1+(Inputs!$B$21+Skills!Q9+(((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Skills!G10*IF(Skills!H10&gt;0,INT(IF(Inputs!$B$38="pvp",MIN(Skills!I10,15),Skills!I10)/Skills!H10+0.000000001),1)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138,MAX(0,IF(Inputs!$B$3&gt;=118,8,IF(Inputs!$B$3&gt;=110,7,5))-5)*50,0),0)/100)*(1+(IF(Skills!A10="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IFERROR(1/(IF(Inputs!$B$38="pvp",15,MAX(0.1,Skills!D10-IF(TRUE=TRUE,Inputs!$B$32,0)))*(1-IF(AND(ArtifactsInput!$M$27,Inputs!$B$4="Chapter Hunt"),CHOOSE(ArtifactsInput!$N$27+1,20,24,28,32,36,40),0)/100)),0)</f>
        <v/>
      </c>
      <c r="R165">
        <f>IF(AND(Inputs!$B$38&lt;&gt;"pvp",Inputs!$B$43&gt;0),IF(MAX(0,Inputs!$B$43-B191)&lt;=0,0,(INT(MAX(0,Inputs!$B$43-B191)/(IF(Inputs!$B$38="pvp",15,MAX(0.1,Skills!D10-IF(TRUE=TRUE,Inputs!$B$32,0)))*(1-IF(AND(ArtifactsInput!$M$27,Inputs!$B$4="Chapter Hunt"),CHOOSE(ArtifactsInput!$N$27+1,20,24,28,32,36,40),0)/100)))+1)),0)</f>
        <v/>
      </c>
      <c r="S165">
        <f>IFERROR(O165/N165,0)</f>
        <v/>
      </c>
      <c r="T165">
        <f>IF(C165,(H165*N165*IF(AND(Inputs!$B$38&lt;&gt;"pvp",Inputs!$B$43&gt;0),((Skills!G10*((R165-1)*IF(Skills!H10&gt;0,INT(Skills!I10/Skills!H10+0.000000001),1)+IF(Skills!H10&gt;0,INT(MIN(Skills!I10,MAX(0,MAX(0,Inputs!$B$43-B191)-((R165-1)*(IF(Inputs!$B$38="pvp",15,MAX(0.1,Skills!D10-IF(TRUE=TRUE,Inputs!$B$32,0)))*(1-IF(AND(ArtifactsInput!$M$27,Inputs!$B$4="Chapter Hunt"),CHOOSE(ArtifactsInput!$N$27+1,20,24,28,32,36,40),0)/100)))))/Skills!H10+0.000000001),1)))/Inputs!$B$43),G165*Q165))*IF(Inputs!$B$38="pvp",1,1+(Inputs!$B$20+0+Skills!P10+(((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INT(Skills!I10/Skills!H10+0.000000001),1)+IF(Skills!H10&gt;0,INT(MIN(Skills!I10,MAX(0,MAX(0,Inputs!$B$43-B191)-((R165-1)*(IF(Inputs!$B$38="pvp",15,MAX(0.1,Skills!D10-IF(TRUE=TRUE,Inputs!$B$32,0)))*(1-IF(AND(ArtifactsInput!$M$27,Inputs!$B$4="Chapter Hunt"),CHOOSE(ArtifactsInput!$N$27+1,20,24,28,32,36,40),0)/100)))))/Skills!H10+0.000000001),1)))/Inputs!$B$43),G165*Q165))*IF(Inputs!$B$38="pvp",1,(1+(Inputs!$B$21+Skills!Q10+(((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Skills!G11*IF(Skills!H11&gt;0,INT(IF(Inputs!$B$38="pvp",MIN(Skills!I11,15),Skills!I11)/Skills!H11+0.000000001),1)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138,MAX(0,IF(Inputs!$B$3&gt;=118,8,IF(Inputs!$B$3&gt;=110,7,5))-5)*50,0),0)/100)*(1+(IF(Skills!A11="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IFERROR(1/(IF(Inputs!$B$38="pvp",15,MAX(0.1,Skills!D11-IF(TRUE=TRUE,Inputs!$B$32,0)))*(1-IF(AND(ArtifactsInput!$M$27,Inputs!$B$4="Chapter Hunt"),CHOOSE(ArtifactsInput!$N$27+1,20,24,28,32,36,40),0)/100)),0)</f>
        <v/>
      </c>
      <c r="R166">
        <f>IF(AND(Inputs!$B$38&lt;&gt;"pvp",Inputs!$B$43&gt;0),IF(MAX(0,Inputs!$B$43-B191)&lt;=0,0,(INT(MAX(0,Inputs!$B$43-B191)/(IF(Inputs!$B$38="pvp",15,MAX(0.1,Skills!D11-IF(TRUE=TRUE,Inputs!$B$32,0)))*(1-IF(AND(ArtifactsInput!$M$27,Inputs!$B$4="Chapter Hunt"),CHOOSE(ArtifactsInput!$N$27+1,20,24,28,32,36,40),0)/100)))+1)),0)</f>
        <v/>
      </c>
      <c r="S166">
        <f>IFERROR(O166/N166,0)</f>
        <v/>
      </c>
      <c r="T166">
        <f>IF(C166,(H166*N166*IF(AND(Inputs!$B$38&lt;&gt;"pvp",Inputs!$B$43&gt;0),((Skills!G11*((R166-1)*IF(Skills!H11&gt;0,INT(Skills!I11/Skills!H11+0.000000001),1)+IF(Skills!H11&gt;0,INT(MIN(Skills!I11,MAX(0,MAX(0,Inputs!$B$43-B191)-((R166-1)*(IF(Inputs!$B$38="pvp",15,MAX(0.1,Skills!D11-IF(TRUE=TRUE,Inputs!$B$32,0)))*(1-IF(AND(ArtifactsInput!$M$27,Inputs!$B$4="Chapter Hunt"),CHOOSE(ArtifactsInput!$N$27+1,20,24,28,32,36,40),0)/100)))))/Skills!H11+0.000000001),1)))/Inputs!$B$43),G166*Q166))*IF(Inputs!$B$38="pvp",1,1+(Inputs!$B$20+0+Skills!P11+(((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INT(Skills!I11/Skills!H11+0.000000001),1)+IF(Skills!H11&gt;0,INT(MIN(Skills!I11,MAX(0,MAX(0,Inputs!$B$43-B191)-((R166-1)*(IF(Inputs!$B$38="pvp",15,MAX(0.1,Skills!D11-IF(TRUE=TRUE,Inputs!$B$32,0)))*(1-IF(AND(ArtifactsInput!$M$27,Inputs!$B$4="Chapter Hunt"),CHOOSE(ArtifactsInput!$N$27+1,20,24,28,32,36,40),0)/100)))))/Skills!H11+0.000000001),1)))/Inputs!$B$43),G166*Q166))*IF(Inputs!$B$38="pvp",1,(1+(Inputs!$B$21+Skills!Q11+(((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Skills!G13*IF(Skills!H13&gt;0,INT(IF(Inputs!$B$38="pvp",MIN(Skills!I13,15),Skills!I13)/Skills!H13+0.000000001),1)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Skills!G14*IF(Skills!H14&gt;0,INT(IF(Inputs!$B$38="pvp",MIN(Skills!I14,15),Skills!I14)/Skills!H14+0.000000001),1)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Skills!G15*IF(Skills!H15&gt;0,INT(IF(Inputs!$B$38="pvp",MIN(Skills!I15,15),Skills!I15)/Skills!H15+0.000000001),1)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IFERROR(1/(IF(Inputs!$B$38="pvp",15,MAX(0.1,Skills!D15-IF(TRUE=TRUE,Inputs!$B$32,0)))*(1-IF(AND(ArtifactsInput!$M$27,Inputs!$B$4="Chapter Hunt"),CHOOSE(ArtifactsInput!$N$27+1,20,24,28,32,36,40),0)/100)),0)</f>
        <v/>
      </c>
      <c r="R170">
        <f>IF(AND(Inputs!$B$38&lt;&gt;"pvp",Inputs!$B$43&gt;0),IF(Inputs!$B$43&lt;=0,0,(INT(Inputs!$B$43/(IF(Inputs!$B$38="pvp",15,MAX(0.1,Skills!D15-IF(TRUE=TRUE,Inputs!$B$32,0)))*(1-IF(AND(ArtifactsInput!$M$27,Inputs!$B$4="Chapter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Skills!G16*IF(Skills!H16&gt;0,INT(IF(Inputs!$B$38="pvp",MIN(Skills!I16,15),Skills!I16)/Skills!H16+0.000000001),1)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IFERROR(1/(IF(Inputs!$B$38="pvp",15,MAX(0.1,Skills!D16-IF(TRUE=TRUE,Inputs!$B$32,0)))*(1-IF(AND(ArtifactsInput!$M$27,Inputs!$B$4="Chapter Hunt"),CHOOSE(ArtifactsInput!$N$27+1,20,24,28,32,36,40),0)/100)),0)</f>
        <v/>
      </c>
      <c r="R171">
        <f>IF(AND(Inputs!$B$38&lt;&gt;"pvp",Inputs!$B$43&gt;0),IF(Inputs!$B$43&lt;=0,0,(INT(Inputs!$B$43/(IF(Inputs!$B$38="pvp",15,MAX(0.1,Skills!D16-IF(TRUE=TRUE,Inputs!$B$32,0)))*(1-IF(AND(ArtifactsInput!$M$27,Inputs!$B$4="Chapter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Skills!G17*IF(Skills!H17&gt;0,INT(IF(Inputs!$B$38="pvp",MIN(Skills!I17,15),Skills!I17)/Skills!H17+0.000000001),1)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IFERROR(1/(IF(Inputs!$B$38="pvp",15,MAX(0.1,Skills!D17-IF(TRUE=TRUE,Inputs!$B$32,0)))*(1-IF(AND(ArtifactsInput!$M$27,Inputs!$B$4="Chapter Hunt"),CHOOSE(ArtifactsInput!$N$27+1,20,24,28,32,36,40),0)/100)),0)</f>
        <v/>
      </c>
      <c r="R172">
        <f>IF(AND(Inputs!$B$38&lt;&gt;"pvp",Inputs!$B$43&gt;0),IF(Inputs!$B$43&lt;=0,0,(INT(Inputs!$B$43/(IF(Inputs!$B$38="pvp",15,MAX(0.1,Skills!D17-IF(TRUE=TRUE,Inputs!$B$32,0)))*(1-IF(AND(ArtifactsInput!$M$27,Inputs!$B$4="Chapter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Skills!G18*IF(Skills!H18&gt;0,INT(IF(Inputs!$B$38="pvp",MIN(Skills!I18,15),Skills!I18)/Skills!H18+0.000000001),1)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IFERROR(1/(IF(Inputs!$B$38="pvp",15,MAX(0.1,Skills!D18-IF(TRUE=TRUE,Inputs!$B$32,0)))*(1-IF(AND(ArtifactsInput!$M$27,Inputs!$B$4="Chapter Hunt"),CHOOSE(ArtifactsInput!$N$27+1,20,24,28,32,36,40),0)/100)),0)</f>
        <v/>
      </c>
      <c r="R173">
        <f>IF(AND(Inputs!$B$38&lt;&gt;"pvp",Inputs!$B$43&gt;0),IF(Inputs!$B$43&lt;=0,0,(INT(Inputs!$B$43/(IF(Inputs!$B$38="pvp",15,MAX(0.1,Skills!D18-IF(TRUE=TRUE,Inputs!$B$32,0)))*(1-IF(AND(ArtifactsInput!$M$27,Inputs!$B$4="Chapter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Skills!G19*IF(Skills!H19&gt;0,INT(IF(Inputs!$B$38="pvp",MIN(Skills!I19,15),Skills!I19)/Skills!H19+0.000000001),1)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IFERROR(1/(IF(Inputs!$B$38="pvp",15,MAX(0.1,Skills!D19-IF(TRUE=TRUE,Inputs!$B$32,0)))*(1-IF(AND(ArtifactsInput!$M$27,Inputs!$B$4="Chapter Hunt"),CHOOSE(ArtifactsInput!$N$27+1,20,24,28,32,36,40),0)/100)),0)</f>
        <v/>
      </c>
      <c r="R174">
        <f>IF(AND(Inputs!$B$38&lt;&gt;"pvp",Inputs!$B$43&gt;0),IF(Inputs!$B$43&lt;=0,0,(INT(Inputs!$B$43/(IF(Inputs!$B$38="pvp",15,MAX(0.1,Skills!D19-IF(TRUE=TRUE,Inputs!$B$32,0)))*(1-IF(AND(ArtifactsInput!$M$27,Inputs!$B$4="Chapter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Skills!G20*IF(Skills!H20&gt;0,INT(IF(Inputs!$B$38="pvp",MIN(Skills!I20,15),Skills!I20)/Skills!H20+0.000000001),1)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Skills!G21*IF(Skills!H21&gt;0,INT(IF(Inputs!$B$38="pvp",MIN(Skills!I21,15),Skills!I21)/Skills!H21+0.000000001),1)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Skills!G22*IF(Skills!H22&gt;0,INT(IF(Inputs!$B$38="pvp",MIN(Skills!I22,15),Skills!I22)/Skills!H22+0.000000001),1)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Skills!G23*IF(Skills!H23&gt;0,INT(IF(Inputs!$B$38="pvp",MIN(Skills!I23,15),Skills!I23)/Skills!H23+0.000000001),1)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Skills!G24*IF(Skills!H24&gt;0,INT(IF(Inputs!$B$38="pvp",MIN(Skills!I24,15),Skills!I24)/Skills!H24+0.000000001),1)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Skills!G25*IF(Skills!H25&gt;0,INT(IF(Inputs!$B$38="pvp",MIN(Skills!I25,15),Skills!I25)/Skills!H25+0.000000001),1)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Skills!G26*IF(Skills!H26&gt;0,INT(IF(Inputs!$B$38="pvp",MIN(Skills!I26,15),Skills!I26)/Skills!H26+0.000000001),1)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MIN((Skills!T19*(1+(Inputs!$B$34+(ArtifactsInput!$M$7-ArtifactsInput!$M$7)*CHOOSE(ArtifactsInput!$N$7+1,6,7.2,8.4,9.6,10.8,12))/100)),(1/Q174))+MIN((Skills!T19*(1+(Inputs!$B$34+(ArtifactsInput!$M$7-ArtifactsInput!$M$7)*CHOOSE(ArtifactsInput!$N$7+1,6,7.2,8.4,9.6,10.8,12))/100)),MAX(0,Inputs!$B$43-((R174-1)*(1/Q174)))))/Inputs!$B$43),IF(Inputs!$B$38="pvp",MIN((Skills!T19*(1+(Inputs!$B$34+(ArtifactsInput!$M$7-ArtifactsInput!$M$7)*CHOOSE(ArtifactsInput!$N$7+1,6,7.2,8.4,9.6,10.8,12))/100)),15)/15,MIN(1,(Skills!T19*(1+(Inputs!$B$34+(ArtifactsInput!$M$7-ArtifactsInput!$M$7)*CHOOSE(ArtifactsInput!$N$7+1,6,7.2,8.4,9.6,10.8,12))/100))/(1/Q174)))))</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MIN((Skills!T18*(1+(Inputs!$B$34+(ArtifactsInput!$M$7-ArtifactsInput!$M$7)*CHOOSE(ArtifactsInput!$N$7+1,6,7.2,8.4,9.6,10.8,12))/100)),(1/Q173))+MIN((Skills!T18*(1+(Inputs!$B$34+(ArtifactsInput!$M$7-ArtifactsInput!$M$7)*CHOOSE(ArtifactsInput!$N$7+1,6,7.2,8.4,9.6,10.8,12))/100)),MAX(0,Inputs!$B$43-((R173-1)*(1/Q173)))))/Inputs!$B$43),IF(Inputs!$B$38="pvp",MIN((Skills!T18*(1+(Inputs!$B$34+(ArtifactsInput!$M$7-ArtifactsInput!$M$7)*CHOOSE(ArtifactsInput!$N$7+1,6,7.2,8.4,9.6,10.8,12))/100)),15)/15,MIN(1,(Skills!T18*(1+(Inputs!$B$34+(ArtifactsInput!$M$7-ArtifactsInput!$M$7)*CHOOSE(ArtifactsInput!$N$7+1,6,7.2,8.4,9.6,10.8,12))/100))/(1/Q173)))))</f>
        <v/>
      </c>
    </row>
    <row r="190">
      <c r="A190" t="inlineStr">
        <is>
          <t>Global Final Damage Bonus % (Enrage + Combo Synergy)</t>
        </is>
      </c>
      <c r="B190">
        <f>((C172=TRUE)*F172*IF(AND(Inputs!$B$38&lt;&gt;"pvp",Inputs!$B$43&gt;0),(((R172-1)*MIN((Skills!T17*(1+(Inputs!$B$34+(ArtifactsInput!$M$7-ArtifactsInput!$M$7)*CHOOSE(ArtifactsInput!$N$7+1,6,7.2,8.4,9.6,10.8,12))/100)),(1/Q172))+MIN((Skills!T17*(1+(Inputs!$B$34+(ArtifactsInput!$M$7-ArtifactsInput!$M$7)*CHOOSE(ArtifactsInput!$N$7+1,6,7.2,8.4,9.6,10.8,12))/100)),MAX(0,Inputs!$B$43-((R172-1)*(1/Q172)))))/Inputs!$B$43),IF(Inputs!$B$38="pvp",MIN((Skills!T17*(1+(Inputs!$B$34+(ArtifactsInput!$M$7-ArtifactsInput!$M$7)*CHOOSE(ArtifactsInput!$N$7+1,6,7.2,8.4,9.6,10.8,12))/100)),15)/15,MIN(1,(Skills!T17*(1+(Inputs!$B$34+(ArtifactsInput!$M$7-ArtifactsInput!$M$7)*CHOOSE(ArtifactsInput!$N$7+1,6,7.2,8.4,9.6,10.8,12))/100))/(1/Q172)))))+((C169=TRUE)*F169*IF(Inputs!$B$3&gt;=118,8,IF(Inputs!$B$3&gt;=110,7,5)))+IF(Inputs!$B$3&gt;=98,5,0)</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Skills!G2*IF(Skills!H2&gt;0,INT(IF(Inputs!$B$38="pvp",MIN(Skills!I2,15),Skills!I2)/Skills!H2+0.000000001),1)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Skills!G5*IF(Skills!H5&gt;0,INT(IF(Inputs!$B$38="pvp",MIN(Skills!I5,15),Skills!I5)/Skills!H5+0.000000001),1)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IFERROR(1/(IF(Inputs!$B$38="pvp",15,MAX(0.1,Skills!D5-IF(TRUE=TRUE,Inputs!$B$32,0)))*(1-IF(AND(ArtifactsInput!$M$27,Inputs!$B$4="Chapter Hunt"),CHOOSE(ArtifactsInput!$N$27+1,20,24,28,32,36,40),0)/100)),0)</f>
        <v/>
      </c>
      <c r="R202">
        <f>IF(AND(Inputs!$B$38&lt;&gt;"pvp",Inputs!$B$43&gt;0),IF(MAX(0,Inputs!$B$43-B233)&lt;=0,0,(INT(MAX(0,Inputs!$B$43-B233)/(IF(Inputs!$B$38="pvp",15,MAX(0.1,Skills!D5-IF(TRUE=TRUE,Inputs!$B$32,0)))*(1-IF(AND(ArtifactsInput!$M$27,Inputs!$B$4="Chapter Hunt"),CHOOSE(ArtifactsInput!$N$27+1,20,24,28,32,36,40),0)/100)))+1)),0)</f>
        <v/>
      </c>
      <c r="S202">
        <f>IFERROR(O202/N202,0)</f>
        <v/>
      </c>
      <c r="T202">
        <f>IF(C202,(H202*N202*IF(AND(Inputs!$B$38&lt;&gt;"pvp",Inputs!$B$43&gt;0),((Skills!G5*((R202-1)*IF(Skills!H5&gt;0,INT(Skills!I5/Skills!H5+0.000000001),1)+IF(Skills!H5&gt;0,INT(MIN(Skills!I5,MAX(0,MAX(0,Inputs!$B$43-B233)-((R202-1)*(IF(Inputs!$B$38="pvp",15,MAX(0.1,Skills!D5-IF(TRUE=TRUE,Inputs!$B$32,0)))*(1-IF(AND(ArtifactsInput!$M$27,Inputs!$B$4="Chapter Hunt"),CHOOSE(ArtifactsInput!$N$27+1,20,24,28,32,36,40),0)/100)))))/Skills!H5+0.000000001),1)))/Inputs!$B$43),G202*Q202))*IF(Inputs!$B$38="pvp",1,1+(Inputs!$B$20+0+Skills!P5+(((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INT(Skills!I5/Skills!H5+0.000000001),1)+IF(Skills!H5&gt;0,INT(MIN(Skills!I5,MAX(0,MAX(0,Inputs!$B$43-B233)-((R202-1)*(IF(Inputs!$B$38="pvp",15,MAX(0.1,Skills!D5-IF(TRUE=TRUE,Inputs!$B$32,0)))*(1-IF(AND(ArtifactsInput!$M$27,Inputs!$B$4="Chapter Hunt"),CHOOSE(ArtifactsInput!$N$27+1,20,24,28,32,36,40),0)/100)))))/Skills!H5+0.000000001),1)))/Inputs!$B$43),G202*Q202))*IF(Inputs!$B$38="pvp",1,(1+(Inputs!$B$21+Skills!Q5+(((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Skills!G6*IF(Skills!H6&gt;0,INT(IF(Inputs!$B$38="pvp",MIN(Skills!I6,15),Skills!I6)/Skills!H6+0.000000001),1)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IFERROR(1/(IF(Inputs!$B$38="pvp",15,MAX(0.1,Skills!D6-IF(TRUE=TRUE,Inputs!$B$32,0)))*(1-IF(AND(ArtifactsInput!$M$27,Inputs!$B$4="Chapter Hunt"),CHOOSE(ArtifactsInput!$N$27+1,20,24,28,32,36,40),0)/100)),0)</f>
        <v/>
      </c>
      <c r="R203">
        <f>IF(AND(Inputs!$B$38&lt;&gt;"pvp",Inputs!$B$43&gt;0),IF(MAX(0,Inputs!$B$43-B233)&lt;=0,0,(INT(MAX(0,Inputs!$B$43-B233)/(IF(Inputs!$B$38="pvp",15,MAX(0.1,Skills!D6-IF(TRUE=TRUE,Inputs!$B$32,0)))*(1-IF(AND(ArtifactsInput!$M$27,Inputs!$B$4="Chapter Hunt"),CHOOSE(ArtifactsInput!$N$27+1,20,24,28,32,36,40),0)/100)))+1)),0)</f>
        <v/>
      </c>
      <c r="S203">
        <f>IFERROR(O203/N203,0)</f>
        <v/>
      </c>
      <c r="T203">
        <f>IF(C203,(H203*N203*IF(AND(Inputs!$B$38&lt;&gt;"pvp",Inputs!$B$43&gt;0),((Skills!G6*((R203-1)*IF(Skills!H6&gt;0,INT(Skills!I6/Skills!H6+0.000000001),1)+IF(Skills!H6&gt;0,INT(MIN(Skills!I6,MAX(0,MAX(0,Inputs!$B$43-B233)-((R203-1)*(IF(Inputs!$B$38="pvp",15,MAX(0.1,Skills!D6-IF(TRUE=TRUE,Inputs!$B$32,0)))*(1-IF(AND(ArtifactsInput!$M$27,Inputs!$B$4="Chapter Hunt"),CHOOSE(ArtifactsInput!$N$27+1,20,24,28,32,36,40),0)/100)))))/Skills!H6+0.000000001),1)))/Inputs!$B$43),G203*Q203))*IF(Inputs!$B$38="pvp",1,1+(Inputs!$B$20+0+Skills!P6+(((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INT(Skills!I6/Skills!H6+0.000000001),1)+IF(Skills!H6&gt;0,INT(MIN(Skills!I6,MAX(0,MAX(0,Inputs!$B$43-B233)-((R203-1)*(IF(Inputs!$B$38="pvp",15,MAX(0.1,Skills!D6-IF(TRUE=TRUE,Inputs!$B$32,0)))*(1-IF(AND(ArtifactsInput!$M$27,Inputs!$B$4="Chapter Hunt"),CHOOSE(ArtifactsInput!$N$27+1,20,24,28,32,36,40),0)/100)))))/Skills!H6+0.000000001),1)))/Inputs!$B$43),G203*Q203))*IF(Inputs!$B$38="pvp",1,(1+(Inputs!$B$21+Skills!Q6+(((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Skills!G7*IF(Skills!H7&gt;0,INT(IF(Inputs!$B$38="pvp",MIN(Skills!I7,15),Skills!I7)/Skills!H7+0.000000001),1)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IFERROR(1/(IF(Inputs!$B$38="pvp",15,MAX(0.1,Skills!D7-IF(TRUE=TRUE,Inputs!$B$32,0)))*(1-IF(AND(ArtifactsInput!$M$27,Inputs!$B$4="Chapter Hunt"),CHOOSE(ArtifactsInput!$N$27+1,20,24,28,32,36,40),0)/100)),0)</f>
        <v/>
      </c>
      <c r="R204">
        <f>IF(AND(Inputs!$B$38&lt;&gt;"pvp",Inputs!$B$43&gt;0),IF(MAX(0,Inputs!$B$43-B233)&lt;=0,0,(INT(MAX(0,Inputs!$B$43-B233)/(IF(Inputs!$B$38="pvp",15,MAX(0.1,Skills!D7-IF(TRUE=TRUE,Inputs!$B$32,0)))*(1-IF(AND(ArtifactsInput!$M$27,Inputs!$B$4="Chapter Hunt"),CHOOSE(ArtifactsInput!$N$27+1,20,24,28,32,36,40),0)/100)))+1)),0)</f>
        <v/>
      </c>
      <c r="S204">
        <f>IFERROR(O204/N204,0)</f>
        <v/>
      </c>
      <c r="T204">
        <f>IF(C204,(H204*N204*IF(AND(Inputs!$B$38&lt;&gt;"pvp",Inputs!$B$43&gt;0),((Skills!G7*((R204-1)*IF(Skills!H7&gt;0,INT(Skills!I7/Skills!H7+0.000000001),1)+IF(Skills!H7&gt;0,INT(MIN(Skills!I7,MAX(0,MAX(0,Inputs!$B$43-B233)-((R204-1)*(IF(Inputs!$B$38="pvp",15,MAX(0.1,Skills!D7-IF(TRUE=TRUE,Inputs!$B$32,0)))*(1-IF(AND(ArtifactsInput!$M$27,Inputs!$B$4="Chapter Hunt"),CHOOSE(ArtifactsInput!$N$27+1,20,24,28,32,36,40),0)/100)))))/Skills!H7+0.000000001),1)))/Inputs!$B$43),G204*Q204))*IF(Inputs!$B$38="pvp",1,1+(Inputs!$B$20+0+Skills!P7+(((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INT(Skills!I7/Skills!H7+0.000000001),1)+IF(Skills!H7&gt;0,INT(MIN(Skills!I7,MAX(0,MAX(0,Inputs!$B$43-B233)-((R204-1)*(IF(Inputs!$B$38="pvp",15,MAX(0.1,Skills!D7-IF(TRUE=TRUE,Inputs!$B$32,0)))*(1-IF(AND(ArtifactsInput!$M$27,Inputs!$B$4="Chapter Hunt"),CHOOSE(ArtifactsInput!$N$27+1,20,24,28,32,36,40),0)/100)))))/Skills!H7+0.000000001),1)))/Inputs!$B$43),G204*Q204))*IF(Inputs!$B$38="pvp",1,(1+(Inputs!$B$21+Skills!Q7+(((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Skills!G8*IF(Skills!H8&gt;0,INT(IF(Inputs!$B$38="pvp",MIN(Skills!I8,15),Skills!I8)/Skills!H8+0.000000001),1)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IFERROR(1/(IF(Inputs!$B$38="pvp",15,MAX(0.1,Skills!D8-IF(TRUE=TRUE,Inputs!$B$32,0)))*(1-IF(AND(ArtifactsInput!$M$27,Inputs!$B$4="Chapter Hunt"),CHOOSE(ArtifactsInput!$N$27+1,20,24,28,32,36,40),0)/100)),0)</f>
        <v/>
      </c>
      <c r="R205">
        <f>IF(AND(Inputs!$B$38&lt;&gt;"pvp",Inputs!$B$43&gt;0),IF(MAX(0,Inputs!$B$43-B233)&lt;=0,0,(INT(MAX(0,Inputs!$B$43-B233)/(IF(Inputs!$B$38="pvp",15,MAX(0.1,Skills!D8-IF(TRUE=TRUE,Inputs!$B$32,0)))*(1-IF(AND(ArtifactsInput!$M$27,Inputs!$B$4="Chapter Hunt"),CHOOSE(ArtifactsInput!$N$27+1,20,24,28,32,36,40),0)/100)))+1)),0)</f>
        <v/>
      </c>
      <c r="S205">
        <f>IFERROR(O205/N205,0)</f>
        <v/>
      </c>
      <c r="T205">
        <f>IF(C205,(H205*N205*IF(AND(Inputs!$B$38&lt;&gt;"pvp",Inputs!$B$43&gt;0),((Skills!G8*((R205-1)*IF(Skills!H8&gt;0,INT(Skills!I8/Skills!H8+0.000000001),1)+IF(Skills!H8&gt;0,INT(MIN(Skills!I8,MAX(0,MAX(0,Inputs!$B$43-B233)-((R205-1)*(IF(Inputs!$B$38="pvp",15,MAX(0.1,Skills!D8-IF(TRUE=TRUE,Inputs!$B$32,0)))*(1-IF(AND(ArtifactsInput!$M$27,Inputs!$B$4="Chapter Hunt"),CHOOSE(ArtifactsInput!$N$27+1,20,24,28,32,36,40),0)/100)))))/Skills!H8+0.000000001),1)))/Inputs!$B$43),G205*Q205))*IF(Inputs!$B$38="pvp",1,1+(Inputs!$B$20+0+Skills!P8+(((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INT(Skills!I8/Skills!H8+0.000000001),1)+IF(Skills!H8&gt;0,INT(MIN(Skills!I8,MAX(0,MAX(0,Inputs!$B$43-B233)-((R205-1)*(IF(Inputs!$B$38="pvp",15,MAX(0.1,Skills!D8-IF(TRUE=TRUE,Inputs!$B$32,0)))*(1-IF(AND(ArtifactsInput!$M$27,Inputs!$B$4="Chapter Hunt"),CHOOSE(ArtifactsInput!$N$27+1,20,24,28,32,36,40),0)/100)))))/Skills!H8+0.000000001),1)))/Inputs!$B$43),G205*Q205))*IF(Inputs!$B$38="pvp",1,(1+(Inputs!$B$21+Skills!Q8+(((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Skills!G9*IF(Skills!H9&gt;0,INT(IF(Inputs!$B$38="pvp",MIN(Skills!I9,15),Skills!I9)/Skills!H9+0.000000001),1)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138,MAX(0,IF(Inputs!$B$3&gt;=118,8,IF(Inputs!$B$3&gt;=110,7,5))-5)*50,0),0)/100)*(1+(IF(Skills!A9="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IFERROR(1/(IF(Inputs!$B$38="pvp",15,MAX(0.1,Skills!D9-IF(TRUE=TRUE,Inputs!$B$32,0)))*(1-IF(AND(ArtifactsInput!$M$27,Inputs!$B$4="Chapter Hunt"),CHOOSE(ArtifactsInput!$N$27+1,20,24,28,32,36,40),0)/100)),0)</f>
        <v/>
      </c>
      <c r="R206">
        <f>IF(AND(Inputs!$B$38&lt;&gt;"pvp",Inputs!$B$43&gt;0),IF(MAX(0,Inputs!$B$43-B233)&lt;=0,0,(INT(MAX(0,Inputs!$B$43-B233)/(IF(Inputs!$B$38="pvp",15,MAX(0.1,Skills!D9-IF(TRUE=TRUE,Inputs!$B$32,0)))*(1-IF(AND(ArtifactsInput!$M$27,Inputs!$B$4="Chapter Hunt"),CHOOSE(ArtifactsInput!$N$27+1,20,24,28,32,36,40),0)/100)))+1)),0)</f>
        <v/>
      </c>
      <c r="S206">
        <f>IFERROR(O206/N206,0)</f>
        <v/>
      </c>
      <c r="T206">
        <f>IF(C206,(H206*N206*IF(AND(Inputs!$B$38&lt;&gt;"pvp",Inputs!$B$43&gt;0),((Skills!G9*((R206-1)*IF(Skills!H9&gt;0,INT(Skills!I9/Skills!H9+0.000000001),1)+IF(Skills!H9&gt;0,INT(MIN(Skills!I9,MAX(0,MAX(0,Inputs!$B$43-B233)-((R206-1)*(IF(Inputs!$B$38="pvp",15,MAX(0.1,Skills!D9-IF(TRUE=TRUE,Inputs!$B$32,0)))*(1-IF(AND(ArtifactsInput!$M$27,Inputs!$B$4="Chapter Hunt"),CHOOSE(ArtifactsInput!$N$27+1,20,24,28,32,36,40),0)/100)))))/Skills!H9+0.000000001),1)))/Inputs!$B$43),G206*Q206))*IF(Inputs!$B$38="pvp",1,1+(Inputs!$B$20+0+Skills!P9+(((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INT(Skills!I9/Skills!H9+0.000000001),1)+IF(Skills!H9&gt;0,INT(MIN(Skills!I9,MAX(0,MAX(0,Inputs!$B$43-B233)-((R206-1)*(IF(Inputs!$B$38="pvp",15,MAX(0.1,Skills!D9-IF(TRUE=TRUE,Inputs!$B$32,0)))*(1-IF(AND(ArtifactsInput!$M$27,Inputs!$B$4="Chapter Hunt"),CHOOSE(ArtifactsInput!$N$27+1,20,24,28,32,36,40),0)/100)))))/Skills!H9+0.000000001),1)))/Inputs!$B$43),G206*Q206))*IF(Inputs!$B$38="pvp",1,(1+(Inputs!$B$21+Skills!Q9+(((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Skills!G10*IF(Skills!H10&gt;0,INT(IF(Inputs!$B$38="pvp",MIN(Skills!I10,15),Skills!I10)/Skills!H10+0.000000001),1)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138,MAX(0,IF(Inputs!$B$3&gt;=118,8,IF(Inputs!$B$3&gt;=110,7,5))-5)*50,0),0)/100)*(1+(IF(Skills!A10="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IFERROR(1/(IF(Inputs!$B$38="pvp",15,MAX(0.1,Skills!D10-IF(TRUE=TRUE,Inputs!$B$32,0)))*(1-IF(AND(ArtifactsInput!$M$27,Inputs!$B$4="Chapter Hunt"),CHOOSE(ArtifactsInput!$N$27+1,20,24,28,32,36,40),0)/100)),0)</f>
        <v/>
      </c>
      <c r="R207">
        <f>IF(AND(Inputs!$B$38&lt;&gt;"pvp",Inputs!$B$43&gt;0),IF(MAX(0,Inputs!$B$43-B233)&lt;=0,0,(INT(MAX(0,Inputs!$B$43-B233)/(IF(Inputs!$B$38="pvp",15,MAX(0.1,Skills!D10-IF(TRUE=TRUE,Inputs!$B$32,0)))*(1-IF(AND(ArtifactsInput!$M$27,Inputs!$B$4="Chapter Hunt"),CHOOSE(ArtifactsInput!$N$27+1,20,24,28,32,36,40),0)/100)))+1)),0)</f>
        <v/>
      </c>
      <c r="S207">
        <f>IFERROR(O207/N207,0)</f>
        <v/>
      </c>
      <c r="T207">
        <f>IF(C207,(H207*N207*IF(AND(Inputs!$B$38&lt;&gt;"pvp",Inputs!$B$43&gt;0),((Skills!G10*((R207-1)*IF(Skills!H10&gt;0,INT(Skills!I10/Skills!H10+0.000000001),1)+IF(Skills!H10&gt;0,INT(MIN(Skills!I10,MAX(0,MAX(0,Inputs!$B$43-B233)-((R207-1)*(IF(Inputs!$B$38="pvp",15,MAX(0.1,Skills!D10-IF(TRUE=TRUE,Inputs!$B$32,0)))*(1-IF(AND(ArtifactsInput!$M$27,Inputs!$B$4="Chapter Hunt"),CHOOSE(ArtifactsInput!$N$27+1,20,24,28,32,36,40),0)/100)))))/Skills!H10+0.000000001),1)))/Inputs!$B$43),G207*Q207))*IF(Inputs!$B$38="pvp",1,1+(Inputs!$B$20+0+Skills!P10+(((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INT(Skills!I10/Skills!H10+0.000000001),1)+IF(Skills!H10&gt;0,INT(MIN(Skills!I10,MAX(0,MAX(0,Inputs!$B$43-B233)-((R207-1)*(IF(Inputs!$B$38="pvp",15,MAX(0.1,Skills!D10-IF(TRUE=TRUE,Inputs!$B$32,0)))*(1-IF(AND(ArtifactsInput!$M$27,Inputs!$B$4="Chapter Hunt"),CHOOSE(ArtifactsInput!$N$27+1,20,24,28,32,36,40),0)/100)))))/Skills!H10+0.000000001),1)))/Inputs!$B$43),G207*Q207))*IF(Inputs!$B$38="pvp",1,(1+(Inputs!$B$21+Skills!Q10+(((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Skills!G11*IF(Skills!H11&gt;0,INT(IF(Inputs!$B$38="pvp",MIN(Skills!I11,15),Skills!I11)/Skills!H11+0.000000001),1)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138,MAX(0,IF(Inputs!$B$3&gt;=118,8,IF(Inputs!$B$3&gt;=110,7,5))-5)*50,0),0)/100)*(1+(IF(Skills!A11="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IFERROR(1/(IF(Inputs!$B$38="pvp",15,MAX(0.1,Skills!D11-IF(TRUE=TRUE,Inputs!$B$32,0)))*(1-IF(AND(ArtifactsInput!$M$27,Inputs!$B$4="Chapter Hunt"),CHOOSE(ArtifactsInput!$N$27+1,20,24,28,32,36,40),0)/100)),0)</f>
        <v/>
      </c>
      <c r="R208">
        <f>IF(AND(Inputs!$B$38&lt;&gt;"pvp",Inputs!$B$43&gt;0),IF(MAX(0,Inputs!$B$43-B233)&lt;=0,0,(INT(MAX(0,Inputs!$B$43-B233)/(IF(Inputs!$B$38="pvp",15,MAX(0.1,Skills!D11-IF(TRUE=TRUE,Inputs!$B$32,0)))*(1-IF(AND(ArtifactsInput!$M$27,Inputs!$B$4="Chapter Hunt"),CHOOSE(ArtifactsInput!$N$27+1,20,24,28,32,36,40),0)/100)))+1)),0)</f>
        <v/>
      </c>
      <c r="S208">
        <f>IFERROR(O208/N208,0)</f>
        <v/>
      </c>
      <c r="T208">
        <f>IF(C208,(H208*N208*IF(AND(Inputs!$B$38&lt;&gt;"pvp",Inputs!$B$43&gt;0),((Skills!G11*((R208-1)*IF(Skills!H11&gt;0,INT(Skills!I11/Skills!H11+0.000000001),1)+IF(Skills!H11&gt;0,INT(MIN(Skills!I11,MAX(0,MAX(0,Inputs!$B$43-B233)-((R208-1)*(IF(Inputs!$B$38="pvp",15,MAX(0.1,Skills!D11-IF(TRUE=TRUE,Inputs!$B$32,0)))*(1-IF(AND(ArtifactsInput!$M$27,Inputs!$B$4="Chapter Hunt"),CHOOSE(ArtifactsInput!$N$27+1,20,24,28,32,36,40),0)/100)))))/Skills!H11+0.000000001),1)))/Inputs!$B$43),G208*Q208))*IF(Inputs!$B$38="pvp",1,1+(Inputs!$B$20+0+Skills!P11+(((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INT(Skills!I11/Skills!H11+0.000000001),1)+IF(Skills!H11&gt;0,INT(MIN(Skills!I11,MAX(0,MAX(0,Inputs!$B$43-B233)-((R208-1)*(IF(Inputs!$B$38="pvp",15,MAX(0.1,Skills!D11-IF(TRUE=TRUE,Inputs!$B$32,0)))*(1-IF(AND(ArtifactsInput!$M$27,Inputs!$B$4="Chapter Hunt"),CHOOSE(ArtifactsInput!$N$27+1,20,24,28,32,36,40),0)/100)))))/Skills!H11+0.000000001),1)))/Inputs!$B$43),G208*Q208))*IF(Inputs!$B$38="pvp",1,(1+(Inputs!$B$21+Skills!Q11+(((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Skills!G13*IF(Skills!H13&gt;0,INT(IF(Inputs!$B$38="pvp",MIN(Skills!I13,15),Skills!I13)/Skills!H13+0.000000001),1)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Skills!G14*IF(Skills!H14&gt;0,INT(IF(Inputs!$B$38="pvp",MIN(Skills!I14,15),Skills!I14)/Skills!H14+0.000000001),1)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Skills!G15*IF(Skills!H15&gt;0,INT(IF(Inputs!$B$38="pvp",MIN(Skills!I15,15),Skills!I15)/Skills!H15+0.000000001),1)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IFERROR(1/(IF(Inputs!$B$38="pvp",15,MAX(0.1,Skills!D15-IF(TRUE=TRUE,Inputs!$B$32,0)))*(1-IF(AND(ArtifactsInput!$M$27,Inputs!$B$4="Chapter Hunt"),CHOOSE(ArtifactsInput!$N$27+1,20,24,28,32,36,40),0)/100)),0)</f>
        <v/>
      </c>
      <c r="R212">
        <f>IF(AND(Inputs!$B$38&lt;&gt;"pvp",Inputs!$B$43&gt;0),IF(Inputs!$B$43&lt;=0,0,(INT(Inputs!$B$43/(IF(Inputs!$B$38="pvp",15,MAX(0.1,Skills!D15-IF(TRUE=TRUE,Inputs!$B$32,0)))*(1-IF(AND(ArtifactsInput!$M$27,Inputs!$B$4="Chapter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Skills!G16*IF(Skills!H16&gt;0,INT(IF(Inputs!$B$38="pvp",MIN(Skills!I16,15),Skills!I16)/Skills!H16+0.000000001),1)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IFERROR(1/(IF(Inputs!$B$38="pvp",15,MAX(0.1,Skills!D16-IF(TRUE=TRUE,Inputs!$B$32,0)))*(1-IF(AND(ArtifactsInput!$M$27,Inputs!$B$4="Chapter Hunt"),CHOOSE(ArtifactsInput!$N$27+1,20,24,28,32,36,40),0)/100)),0)</f>
        <v/>
      </c>
      <c r="R213">
        <f>IF(AND(Inputs!$B$38&lt;&gt;"pvp",Inputs!$B$43&gt;0),IF(Inputs!$B$43&lt;=0,0,(INT(Inputs!$B$43/(IF(Inputs!$B$38="pvp",15,MAX(0.1,Skills!D16-IF(TRUE=TRUE,Inputs!$B$32,0)))*(1-IF(AND(ArtifactsInput!$M$27,Inputs!$B$4="Chapter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Skills!G17*IF(Skills!H17&gt;0,INT(IF(Inputs!$B$38="pvp",MIN(Skills!I17,15),Skills!I17)/Skills!H17+0.000000001),1)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IFERROR(1/(IF(Inputs!$B$38="pvp",15,MAX(0.1,Skills!D17-IF(TRUE=TRUE,Inputs!$B$32,0)))*(1-IF(AND(ArtifactsInput!$M$27,Inputs!$B$4="Chapter Hunt"),CHOOSE(ArtifactsInput!$N$27+1,20,24,28,32,36,40),0)/100)),0)</f>
        <v/>
      </c>
      <c r="R214">
        <f>IF(AND(Inputs!$B$38&lt;&gt;"pvp",Inputs!$B$43&gt;0),IF(Inputs!$B$43&lt;=0,0,(INT(Inputs!$B$43/(IF(Inputs!$B$38="pvp",15,MAX(0.1,Skills!D17-IF(TRUE=TRUE,Inputs!$B$32,0)))*(1-IF(AND(ArtifactsInput!$M$27,Inputs!$B$4="Chapter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Skills!G18*IF(Skills!H18&gt;0,INT(IF(Inputs!$B$38="pvp",MIN(Skills!I18,15),Skills!I18)/Skills!H18+0.000000001),1)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IFERROR(1/(IF(Inputs!$B$38="pvp",15,MAX(0.1,Skills!D18-IF(TRUE=TRUE,Inputs!$B$32,0)))*(1-IF(AND(ArtifactsInput!$M$27,Inputs!$B$4="Chapter Hunt"),CHOOSE(ArtifactsInput!$N$27+1,20,24,28,32,36,40),0)/100)),0)</f>
        <v/>
      </c>
      <c r="R215">
        <f>IF(AND(Inputs!$B$38&lt;&gt;"pvp",Inputs!$B$43&gt;0),IF(Inputs!$B$43&lt;=0,0,(INT(Inputs!$B$43/(IF(Inputs!$B$38="pvp",15,MAX(0.1,Skills!D18-IF(TRUE=TRUE,Inputs!$B$32,0)))*(1-IF(AND(ArtifactsInput!$M$27,Inputs!$B$4="Chapter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Skills!G19*IF(Skills!H19&gt;0,INT(IF(Inputs!$B$38="pvp",MIN(Skills!I19,15),Skills!I19)/Skills!H19+0.000000001),1)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IFERROR(1/(IF(Inputs!$B$38="pvp",15,MAX(0.1,Skills!D19-IF(TRUE=TRUE,Inputs!$B$32,0)))*(1-IF(AND(ArtifactsInput!$M$27,Inputs!$B$4="Chapter Hunt"),CHOOSE(ArtifactsInput!$N$27+1,20,24,28,32,36,40),0)/100)),0)</f>
        <v/>
      </c>
      <c r="R216">
        <f>IF(AND(Inputs!$B$38&lt;&gt;"pvp",Inputs!$B$43&gt;0),IF(Inputs!$B$43&lt;=0,0,(INT(Inputs!$B$43/(IF(Inputs!$B$38="pvp",15,MAX(0.1,Skills!D19-IF(TRUE=TRUE,Inputs!$B$32,0)))*(1-IF(AND(ArtifactsInput!$M$27,Inputs!$B$4="Chapter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Skills!G20*IF(Skills!H20&gt;0,INT(IF(Inputs!$B$38="pvp",MIN(Skills!I20,15),Skills!I20)/Skills!H20+0.000000001),1)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Skills!G21*IF(Skills!H21&gt;0,INT(IF(Inputs!$B$38="pvp",MIN(Skills!I21,15),Skills!I21)/Skills!H21+0.000000001),1)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Skills!G22*IF(Skills!H22&gt;0,INT(IF(Inputs!$B$38="pvp",MIN(Skills!I22,15),Skills!I22)/Skills!H22+0.000000001),1)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Skills!G23*IF(Skills!H23&gt;0,INT(IF(Inputs!$B$38="pvp",MIN(Skills!I23,15),Skills!I23)/Skills!H23+0.000000001),1)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Skills!G24*IF(Skills!H24&gt;0,INT(IF(Inputs!$B$38="pvp",MIN(Skills!I24,15),Skills!I24)/Skills!H24+0.000000001),1)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Skills!G25*IF(Skills!H25&gt;0,INT(IF(Inputs!$B$38="pvp",MIN(Skills!I25,15),Skills!I25)/Skills!H25+0.000000001),1)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Skills!G26*IF(Skills!H26&gt;0,INT(IF(Inputs!$B$38="pvp",MIN(Skills!I26,15),Skills!I26)/Skills!H26+0.000000001),1)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MIN((Skills!T19*(1+(Inputs!$B$34+(ArtifactsInput!$M$7-ArtifactsInput!$M$7)*CHOOSE(ArtifactsInput!$N$7+1,6,7.2,8.4,9.6,10.8,12))/100)),(1/Q216))+MIN((Skills!T19*(1+(Inputs!$B$34+(ArtifactsInput!$M$7-ArtifactsInput!$M$7)*CHOOSE(ArtifactsInput!$N$7+1,6,7.2,8.4,9.6,10.8,12))/100)),MAX(0,Inputs!$B$43-((R216-1)*(1/Q216)))))/Inputs!$B$43),IF(Inputs!$B$38="pvp",MIN((Skills!T19*(1+(Inputs!$B$34+(ArtifactsInput!$M$7-ArtifactsInput!$M$7)*CHOOSE(ArtifactsInput!$N$7+1,6,7.2,8.4,9.6,10.8,12))/100)),15)/15,MIN(1,(Skills!T19*(1+(Inputs!$B$34+(ArtifactsInput!$M$7-ArtifactsInput!$M$7)*CHOOSE(ArtifactsInput!$N$7+1,6,7.2,8.4,9.6,10.8,12))/100))/(1/Q216)))))</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MIN((Skills!T18*(1+(Inputs!$B$34+(ArtifactsInput!$M$7-ArtifactsInput!$M$7)*CHOOSE(ArtifactsInput!$N$7+1,6,7.2,8.4,9.6,10.8,12))/100)),(1/Q215))+MIN((Skills!T18*(1+(Inputs!$B$34+(ArtifactsInput!$M$7-ArtifactsInput!$M$7)*CHOOSE(ArtifactsInput!$N$7+1,6,7.2,8.4,9.6,10.8,12))/100)),MAX(0,Inputs!$B$43-((R215-1)*(1/Q215)))))/Inputs!$B$43),IF(Inputs!$B$38="pvp",MIN((Skills!T18*(1+(Inputs!$B$34+(ArtifactsInput!$M$7-ArtifactsInput!$M$7)*CHOOSE(ArtifactsInput!$N$7+1,6,7.2,8.4,9.6,10.8,12))/100)),15)/15,MIN(1,(Skills!T18*(1+(Inputs!$B$34+(ArtifactsInput!$M$7-ArtifactsInput!$M$7)*CHOOSE(ArtifactsInput!$N$7+1,6,7.2,8.4,9.6,10.8,12))/100))/(1/Q215)))))</f>
        <v/>
      </c>
    </row>
    <row r="232">
      <c r="A232" t="inlineStr">
        <is>
          <t>Global Final Damage Bonus % (Enrage + Combo Synergy)</t>
        </is>
      </c>
      <c r="B232">
        <f>((C214=TRUE)*F214*IF(AND(Inputs!$B$38&lt;&gt;"pvp",Inputs!$B$43&gt;0),(((R214-1)*MIN((Skills!T17*(1+(Inputs!$B$34+(ArtifactsInput!$M$7-ArtifactsInput!$M$7)*CHOOSE(ArtifactsInput!$N$7+1,6,7.2,8.4,9.6,10.8,12))/100)),(1/Q214))+MIN((Skills!T17*(1+(Inputs!$B$34+(ArtifactsInput!$M$7-ArtifactsInput!$M$7)*CHOOSE(ArtifactsInput!$N$7+1,6,7.2,8.4,9.6,10.8,12))/100)),MAX(0,Inputs!$B$43-((R214-1)*(1/Q214)))))/Inputs!$B$43),IF(Inputs!$B$38="pvp",MIN((Skills!T17*(1+(Inputs!$B$34+(ArtifactsInput!$M$7-ArtifactsInput!$M$7)*CHOOSE(ArtifactsInput!$N$7+1,6,7.2,8.4,9.6,10.8,12))/100)),15)/15,MIN(1,(Skills!T17*(1+(Inputs!$B$34+(ArtifactsInput!$M$7-ArtifactsInput!$M$7)*CHOOSE(ArtifactsInput!$N$7+1,6,7.2,8.4,9.6,10.8,12))/100))/(1/Q214)))))+((C211=TRUE)*F211*IF(Inputs!$B$3&gt;=118,8,IF(Inputs!$B$3&gt;=110,7,5)))+IF(Inputs!$B$3&gt;=98,5,0)</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Skills!G2*IF(Skills!H2&gt;0,INT(IF(Inputs!$B$38="pvp",MIN(Skills!I2,15),Skills!I2)/Skills!H2+0.000000001),1)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Skills!G5*IF(Skills!H5&gt;0,INT(IF(Inputs!$B$38="pvp",MIN(Skills!I5,15),Skills!I5)/Skills!H5+0.000000001),1)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IFERROR(1/(IF(Inputs!$B$38="pvp",15,MAX(0.1,Skills!D5-IF(TRUE=TRUE,Inputs!$B$32,0)))*(1-IF(AND(ArtifactsInput!$M$27,Inputs!$B$4="Chapter Hunt"),CHOOSE(ArtifactsInput!$N$27+1,20,24,28,32,36,40),0)/100)),0)</f>
        <v/>
      </c>
      <c r="R244">
        <f>IF(AND(Inputs!$B$38&lt;&gt;"pvp",Inputs!$B$43&gt;0),IF(MAX(0,Inputs!$B$43-B275)&lt;=0,0,(INT(MAX(0,Inputs!$B$43-B275)/(IF(Inputs!$B$38="pvp",15,MAX(0.1,Skills!D5-IF(TRUE=TRUE,Inputs!$B$32,0)))*(1-IF(AND(ArtifactsInput!$M$27,Inputs!$B$4="Chapter Hunt"),CHOOSE(ArtifactsInput!$N$27+1,20,24,28,32,36,40),0)/100)))+1)),0)</f>
        <v/>
      </c>
      <c r="S244">
        <f>IFERROR(O244/N244,0)</f>
        <v/>
      </c>
      <c r="T244">
        <f>IF(C244,(H244*N244*IF(AND(Inputs!$B$38&lt;&gt;"pvp",Inputs!$B$43&gt;0),((Skills!G5*((R244-1)*IF(Skills!H5&gt;0,INT(Skills!I5/Skills!H5+0.000000001),1)+IF(Skills!H5&gt;0,INT(MIN(Skills!I5,MAX(0,MAX(0,Inputs!$B$43-B275)-((R244-1)*(IF(Inputs!$B$38="pvp",15,MAX(0.1,Skills!D5-IF(TRUE=TRUE,Inputs!$B$32,0)))*(1-IF(AND(ArtifactsInput!$M$27,Inputs!$B$4="Chapter Hunt"),CHOOSE(ArtifactsInput!$N$27+1,20,24,28,32,36,40),0)/100)))))/Skills!H5+0.000000001),1)))/Inputs!$B$43),G244*Q244))*IF(Inputs!$B$38="pvp",1,1+(Inputs!$B$20+0+Skills!P5+(((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INT(Skills!I5/Skills!H5+0.000000001),1)+IF(Skills!H5&gt;0,INT(MIN(Skills!I5,MAX(0,MAX(0,Inputs!$B$43-B275)-((R244-1)*(IF(Inputs!$B$38="pvp",15,MAX(0.1,Skills!D5-IF(TRUE=TRUE,Inputs!$B$32,0)))*(1-IF(AND(ArtifactsInput!$M$27,Inputs!$B$4="Chapter Hunt"),CHOOSE(ArtifactsInput!$N$27+1,20,24,28,32,36,40),0)/100)))))/Skills!H5+0.000000001),1)))/Inputs!$B$43),G244*Q244))*IF(Inputs!$B$38="pvp",1,(1+(Inputs!$B$21+Skills!Q5+(((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Skills!G6*IF(Skills!H6&gt;0,INT(IF(Inputs!$B$38="pvp",MIN(Skills!I6,15),Skills!I6)/Skills!H6+0.000000001),1)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IFERROR(1/(IF(Inputs!$B$38="pvp",15,MAX(0.1,Skills!D6-IF(TRUE=TRUE,Inputs!$B$32,0)))*(1-IF(AND(ArtifactsInput!$M$27,Inputs!$B$4="Chapter Hunt"),CHOOSE(ArtifactsInput!$N$27+1,20,24,28,32,36,40),0)/100)),0)</f>
        <v/>
      </c>
      <c r="R245">
        <f>IF(AND(Inputs!$B$38&lt;&gt;"pvp",Inputs!$B$43&gt;0),IF(MAX(0,Inputs!$B$43-B275)&lt;=0,0,(INT(MAX(0,Inputs!$B$43-B275)/(IF(Inputs!$B$38="pvp",15,MAX(0.1,Skills!D6-IF(TRUE=TRUE,Inputs!$B$32,0)))*(1-IF(AND(ArtifactsInput!$M$27,Inputs!$B$4="Chapter Hunt"),CHOOSE(ArtifactsInput!$N$27+1,20,24,28,32,36,40),0)/100)))+1)),0)</f>
        <v/>
      </c>
      <c r="S245">
        <f>IFERROR(O245/N245,0)</f>
        <v/>
      </c>
      <c r="T245">
        <f>IF(C245,(H245*N245*IF(AND(Inputs!$B$38&lt;&gt;"pvp",Inputs!$B$43&gt;0),((Skills!G6*((R245-1)*IF(Skills!H6&gt;0,INT(Skills!I6/Skills!H6+0.000000001),1)+IF(Skills!H6&gt;0,INT(MIN(Skills!I6,MAX(0,MAX(0,Inputs!$B$43-B275)-((R245-1)*(IF(Inputs!$B$38="pvp",15,MAX(0.1,Skills!D6-IF(TRUE=TRUE,Inputs!$B$32,0)))*(1-IF(AND(ArtifactsInput!$M$27,Inputs!$B$4="Chapter Hunt"),CHOOSE(ArtifactsInput!$N$27+1,20,24,28,32,36,40),0)/100)))))/Skills!H6+0.000000001),1)))/Inputs!$B$43),G245*Q245))*IF(Inputs!$B$38="pvp",1,1+(Inputs!$B$20+0+Skills!P6+(((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INT(Skills!I6/Skills!H6+0.000000001),1)+IF(Skills!H6&gt;0,INT(MIN(Skills!I6,MAX(0,MAX(0,Inputs!$B$43-B275)-((R245-1)*(IF(Inputs!$B$38="pvp",15,MAX(0.1,Skills!D6-IF(TRUE=TRUE,Inputs!$B$32,0)))*(1-IF(AND(ArtifactsInput!$M$27,Inputs!$B$4="Chapter Hunt"),CHOOSE(ArtifactsInput!$N$27+1,20,24,28,32,36,40),0)/100)))))/Skills!H6+0.000000001),1)))/Inputs!$B$43),G245*Q245))*IF(Inputs!$B$38="pvp",1,(1+(Inputs!$B$21+Skills!Q6+(((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Skills!G7*IF(Skills!H7&gt;0,INT(IF(Inputs!$B$38="pvp",MIN(Skills!I7,15),Skills!I7)/Skills!H7+0.000000001),1)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IFERROR(1/(IF(Inputs!$B$38="pvp",15,MAX(0.1,Skills!D7-IF(TRUE=TRUE,Inputs!$B$32,0)))*(1-IF(AND(ArtifactsInput!$M$27,Inputs!$B$4="Chapter Hunt"),CHOOSE(ArtifactsInput!$N$27+1,20,24,28,32,36,40),0)/100)),0)</f>
        <v/>
      </c>
      <c r="R246">
        <f>IF(AND(Inputs!$B$38&lt;&gt;"pvp",Inputs!$B$43&gt;0),IF(MAX(0,Inputs!$B$43-B275)&lt;=0,0,(INT(MAX(0,Inputs!$B$43-B275)/(IF(Inputs!$B$38="pvp",15,MAX(0.1,Skills!D7-IF(TRUE=TRUE,Inputs!$B$32,0)))*(1-IF(AND(ArtifactsInput!$M$27,Inputs!$B$4="Chapter Hunt"),CHOOSE(ArtifactsInput!$N$27+1,20,24,28,32,36,40),0)/100)))+1)),0)</f>
        <v/>
      </c>
      <c r="S246">
        <f>IFERROR(O246/N246,0)</f>
        <v/>
      </c>
      <c r="T246">
        <f>IF(C246,(H246*N246*IF(AND(Inputs!$B$38&lt;&gt;"pvp",Inputs!$B$43&gt;0),((Skills!G7*((R246-1)*IF(Skills!H7&gt;0,INT(Skills!I7/Skills!H7+0.000000001),1)+IF(Skills!H7&gt;0,INT(MIN(Skills!I7,MAX(0,MAX(0,Inputs!$B$43-B275)-((R246-1)*(IF(Inputs!$B$38="pvp",15,MAX(0.1,Skills!D7-IF(TRUE=TRUE,Inputs!$B$32,0)))*(1-IF(AND(ArtifactsInput!$M$27,Inputs!$B$4="Chapter Hunt"),CHOOSE(ArtifactsInput!$N$27+1,20,24,28,32,36,40),0)/100)))))/Skills!H7+0.000000001),1)))/Inputs!$B$43),G246*Q246))*IF(Inputs!$B$38="pvp",1,1+(Inputs!$B$20+0+Skills!P7+(((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INT(Skills!I7/Skills!H7+0.000000001),1)+IF(Skills!H7&gt;0,INT(MIN(Skills!I7,MAX(0,MAX(0,Inputs!$B$43-B275)-((R246-1)*(IF(Inputs!$B$38="pvp",15,MAX(0.1,Skills!D7-IF(TRUE=TRUE,Inputs!$B$32,0)))*(1-IF(AND(ArtifactsInput!$M$27,Inputs!$B$4="Chapter Hunt"),CHOOSE(ArtifactsInput!$N$27+1,20,24,28,32,36,40),0)/100)))))/Skills!H7+0.000000001),1)))/Inputs!$B$43),G246*Q246))*IF(Inputs!$B$38="pvp",1,(1+(Inputs!$B$21+Skills!Q7+(((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Skills!G8*IF(Skills!H8&gt;0,INT(IF(Inputs!$B$38="pvp",MIN(Skills!I8,15),Skills!I8)/Skills!H8+0.000000001),1)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IFERROR(1/(IF(Inputs!$B$38="pvp",15,MAX(0.1,Skills!D8-IF(TRUE=TRUE,Inputs!$B$32,0)))*(1-IF(AND(ArtifactsInput!$M$27,Inputs!$B$4="Chapter Hunt"),CHOOSE(ArtifactsInput!$N$27+1,20,24,28,32,36,40),0)/100)),0)</f>
        <v/>
      </c>
      <c r="R247">
        <f>IF(AND(Inputs!$B$38&lt;&gt;"pvp",Inputs!$B$43&gt;0),IF(MAX(0,Inputs!$B$43-B275)&lt;=0,0,(INT(MAX(0,Inputs!$B$43-B275)/(IF(Inputs!$B$38="pvp",15,MAX(0.1,Skills!D8-IF(TRUE=TRUE,Inputs!$B$32,0)))*(1-IF(AND(ArtifactsInput!$M$27,Inputs!$B$4="Chapter Hunt"),CHOOSE(ArtifactsInput!$N$27+1,20,24,28,32,36,40),0)/100)))+1)),0)</f>
        <v/>
      </c>
      <c r="S247">
        <f>IFERROR(O247/N247,0)</f>
        <v/>
      </c>
      <c r="T247">
        <f>IF(C247,(H247*N247*IF(AND(Inputs!$B$38&lt;&gt;"pvp",Inputs!$B$43&gt;0),((Skills!G8*((R247-1)*IF(Skills!H8&gt;0,INT(Skills!I8/Skills!H8+0.000000001),1)+IF(Skills!H8&gt;0,INT(MIN(Skills!I8,MAX(0,MAX(0,Inputs!$B$43-B275)-((R247-1)*(IF(Inputs!$B$38="pvp",15,MAX(0.1,Skills!D8-IF(TRUE=TRUE,Inputs!$B$32,0)))*(1-IF(AND(ArtifactsInput!$M$27,Inputs!$B$4="Chapter Hunt"),CHOOSE(ArtifactsInput!$N$27+1,20,24,28,32,36,40),0)/100)))))/Skills!H8+0.000000001),1)))/Inputs!$B$43),G247*Q247))*IF(Inputs!$B$38="pvp",1,1+(Inputs!$B$20+0+Skills!P8+(((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INT(Skills!I8/Skills!H8+0.000000001),1)+IF(Skills!H8&gt;0,INT(MIN(Skills!I8,MAX(0,MAX(0,Inputs!$B$43-B275)-((R247-1)*(IF(Inputs!$B$38="pvp",15,MAX(0.1,Skills!D8-IF(TRUE=TRUE,Inputs!$B$32,0)))*(1-IF(AND(ArtifactsInput!$M$27,Inputs!$B$4="Chapter Hunt"),CHOOSE(ArtifactsInput!$N$27+1,20,24,28,32,36,40),0)/100)))))/Skills!H8+0.000000001),1)))/Inputs!$B$43),G247*Q247))*IF(Inputs!$B$38="pvp",1,(1+(Inputs!$B$21+Skills!Q8+(((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Skills!G9*IF(Skills!H9&gt;0,INT(IF(Inputs!$B$38="pvp",MIN(Skills!I9,15),Skills!I9)/Skills!H9+0.000000001),1)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138,MAX(0,IF(Inputs!$B$3&gt;=118,8,IF(Inputs!$B$3&gt;=110,7,5))-5)*50,0),0)/100)*(1+(IF(Skills!A9="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IFERROR(1/(IF(Inputs!$B$38="pvp",15,MAX(0.1,Skills!D9-IF(TRUE=TRUE,Inputs!$B$32,0)))*(1-IF(AND(ArtifactsInput!$M$27,Inputs!$B$4="Chapter Hunt"),CHOOSE(ArtifactsInput!$N$27+1,20,24,28,32,36,40),0)/100)),0)</f>
        <v/>
      </c>
      <c r="R248">
        <f>IF(AND(Inputs!$B$38&lt;&gt;"pvp",Inputs!$B$43&gt;0),IF(MAX(0,Inputs!$B$43-B275)&lt;=0,0,(INT(MAX(0,Inputs!$B$43-B275)/(IF(Inputs!$B$38="pvp",15,MAX(0.1,Skills!D9-IF(TRUE=TRUE,Inputs!$B$32,0)))*(1-IF(AND(ArtifactsInput!$M$27,Inputs!$B$4="Chapter Hunt"),CHOOSE(ArtifactsInput!$N$27+1,20,24,28,32,36,40),0)/100)))+1)),0)</f>
        <v/>
      </c>
      <c r="S248">
        <f>IFERROR(O248/N248,0)</f>
        <v/>
      </c>
      <c r="T248">
        <f>IF(C248,(H248*N248*IF(AND(Inputs!$B$38&lt;&gt;"pvp",Inputs!$B$43&gt;0),((Skills!G9*((R248-1)*IF(Skills!H9&gt;0,INT(Skills!I9/Skills!H9+0.000000001),1)+IF(Skills!H9&gt;0,INT(MIN(Skills!I9,MAX(0,MAX(0,Inputs!$B$43-B275)-((R248-1)*(IF(Inputs!$B$38="pvp",15,MAX(0.1,Skills!D9-IF(TRUE=TRUE,Inputs!$B$32,0)))*(1-IF(AND(ArtifactsInput!$M$27,Inputs!$B$4="Chapter Hunt"),CHOOSE(ArtifactsInput!$N$27+1,20,24,28,32,36,40),0)/100)))))/Skills!H9+0.000000001),1)))/Inputs!$B$43),G248*Q248))*IF(Inputs!$B$38="pvp",1,1+(Inputs!$B$20+0+Skills!P9+(((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INT(Skills!I9/Skills!H9+0.000000001),1)+IF(Skills!H9&gt;0,INT(MIN(Skills!I9,MAX(0,MAX(0,Inputs!$B$43-B275)-((R248-1)*(IF(Inputs!$B$38="pvp",15,MAX(0.1,Skills!D9-IF(TRUE=TRUE,Inputs!$B$32,0)))*(1-IF(AND(ArtifactsInput!$M$27,Inputs!$B$4="Chapter Hunt"),CHOOSE(ArtifactsInput!$N$27+1,20,24,28,32,36,40),0)/100)))))/Skills!H9+0.000000001),1)))/Inputs!$B$43),G248*Q248))*IF(Inputs!$B$38="pvp",1,(1+(Inputs!$B$21+Skills!Q9+(((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Skills!G10*IF(Skills!H10&gt;0,INT(IF(Inputs!$B$38="pvp",MIN(Skills!I10,15),Skills!I10)/Skills!H10+0.000000001),1)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138,MAX(0,IF(Inputs!$B$3&gt;=118,8,IF(Inputs!$B$3&gt;=110,7,5))-5)*50,0),0)/100)*(1+(IF(Skills!A10="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IFERROR(1/(IF(Inputs!$B$38="pvp",15,MAX(0.1,Skills!D10-IF(TRUE=TRUE,Inputs!$B$32,0)))*(1-IF(AND(ArtifactsInput!$M$27,Inputs!$B$4="Chapter Hunt"),CHOOSE(ArtifactsInput!$N$27+1,20,24,28,32,36,40),0)/100)),0)</f>
        <v/>
      </c>
      <c r="R249">
        <f>IF(AND(Inputs!$B$38&lt;&gt;"pvp",Inputs!$B$43&gt;0),IF(MAX(0,Inputs!$B$43-B275)&lt;=0,0,(INT(MAX(0,Inputs!$B$43-B275)/(IF(Inputs!$B$38="pvp",15,MAX(0.1,Skills!D10-IF(TRUE=TRUE,Inputs!$B$32,0)))*(1-IF(AND(ArtifactsInput!$M$27,Inputs!$B$4="Chapter Hunt"),CHOOSE(ArtifactsInput!$N$27+1,20,24,28,32,36,40),0)/100)))+1)),0)</f>
        <v/>
      </c>
      <c r="S249">
        <f>IFERROR(O249/N249,0)</f>
        <v/>
      </c>
      <c r="T249">
        <f>IF(C249,(H249*N249*IF(AND(Inputs!$B$38&lt;&gt;"pvp",Inputs!$B$43&gt;0),((Skills!G10*((R249-1)*IF(Skills!H10&gt;0,INT(Skills!I10/Skills!H10+0.000000001),1)+IF(Skills!H10&gt;0,INT(MIN(Skills!I10,MAX(0,MAX(0,Inputs!$B$43-B275)-((R249-1)*(IF(Inputs!$B$38="pvp",15,MAX(0.1,Skills!D10-IF(TRUE=TRUE,Inputs!$B$32,0)))*(1-IF(AND(ArtifactsInput!$M$27,Inputs!$B$4="Chapter Hunt"),CHOOSE(ArtifactsInput!$N$27+1,20,24,28,32,36,40),0)/100)))))/Skills!H10+0.000000001),1)))/Inputs!$B$43),G249*Q249))*IF(Inputs!$B$38="pvp",1,1+(Inputs!$B$20+0+Skills!P10+(((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INT(Skills!I10/Skills!H10+0.000000001),1)+IF(Skills!H10&gt;0,INT(MIN(Skills!I10,MAX(0,MAX(0,Inputs!$B$43-B275)-((R249-1)*(IF(Inputs!$B$38="pvp",15,MAX(0.1,Skills!D10-IF(TRUE=TRUE,Inputs!$B$32,0)))*(1-IF(AND(ArtifactsInput!$M$27,Inputs!$B$4="Chapter Hunt"),CHOOSE(ArtifactsInput!$N$27+1,20,24,28,32,36,40),0)/100)))))/Skills!H10+0.000000001),1)))/Inputs!$B$43),G249*Q249))*IF(Inputs!$B$38="pvp",1,(1+(Inputs!$B$21+Skills!Q10+(((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Skills!G11*IF(Skills!H11&gt;0,INT(IF(Inputs!$B$38="pvp",MIN(Skills!I11,15),Skills!I11)/Skills!H11+0.000000001),1)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138,MAX(0,IF(Inputs!$B$3&gt;=118,8,IF(Inputs!$B$3&gt;=110,7,5))-5)*50,0),0)/100)*(1+(IF(Skills!A11="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IFERROR(1/(IF(Inputs!$B$38="pvp",15,MAX(0.1,Skills!D11-IF(TRUE=TRUE,Inputs!$B$32,0)))*(1-IF(AND(ArtifactsInput!$M$27,Inputs!$B$4="Chapter Hunt"),CHOOSE(ArtifactsInput!$N$27+1,20,24,28,32,36,40),0)/100)),0)</f>
        <v/>
      </c>
      <c r="R250">
        <f>IF(AND(Inputs!$B$38&lt;&gt;"pvp",Inputs!$B$43&gt;0),IF(MAX(0,Inputs!$B$43-B275)&lt;=0,0,(INT(MAX(0,Inputs!$B$43-B275)/(IF(Inputs!$B$38="pvp",15,MAX(0.1,Skills!D11-IF(TRUE=TRUE,Inputs!$B$32,0)))*(1-IF(AND(ArtifactsInput!$M$27,Inputs!$B$4="Chapter Hunt"),CHOOSE(ArtifactsInput!$N$27+1,20,24,28,32,36,40),0)/100)))+1)),0)</f>
        <v/>
      </c>
      <c r="S250">
        <f>IFERROR(O250/N250,0)</f>
        <v/>
      </c>
      <c r="T250">
        <f>IF(C250,(H250*N250*IF(AND(Inputs!$B$38&lt;&gt;"pvp",Inputs!$B$43&gt;0),((Skills!G11*((R250-1)*IF(Skills!H11&gt;0,INT(Skills!I11/Skills!H11+0.000000001),1)+IF(Skills!H11&gt;0,INT(MIN(Skills!I11,MAX(0,MAX(0,Inputs!$B$43-B275)-((R250-1)*(IF(Inputs!$B$38="pvp",15,MAX(0.1,Skills!D11-IF(TRUE=TRUE,Inputs!$B$32,0)))*(1-IF(AND(ArtifactsInput!$M$27,Inputs!$B$4="Chapter Hunt"),CHOOSE(ArtifactsInput!$N$27+1,20,24,28,32,36,40),0)/100)))))/Skills!H11+0.000000001),1)))/Inputs!$B$43),G250*Q250))*IF(Inputs!$B$38="pvp",1,1+(Inputs!$B$20+0+Skills!P11+(((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INT(Skills!I11/Skills!H11+0.000000001),1)+IF(Skills!H11&gt;0,INT(MIN(Skills!I11,MAX(0,MAX(0,Inputs!$B$43-B275)-((R250-1)*(IF(Inputs!$B$38="pvp",15,MAX(0.1,Skills!D11-IF(TRUE=TRUE,Inputs!$B$32,0)))*(1-IF(AND(ArtifactsInput!$M$27,Inputs!$B$4="Chapter Hunt"),CHOOSE(ArtifactsInput!$N$27+1,20,24,28,32,36,40),0)/100)))))/Skills!H11+0.000000001),1)))/Inputs!$B$43),G250*Q250))*IF(Inputs!$B$38="pvp",1,(1+(Inputs!$B$21+Skills!Q11+(((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Skills!G13*IF(Skills!H13&gt;0,INT(IF(Inputs!$B$38="pvp",MIN(Skills!I13,15),Skills!I13)/Skills!H13+0.000000001),1)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Skills!G14*IF(Skills!H14&gt;0,INT(IF(Inputs!$B$38="pvp",MIN(Skills!I14,15),Skills!I14)/Skills!H14+0.000000001),1)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Skills!G15*IF(Skills!H15&gt;0,INT(IF(Inputs!$B$38="pvp",MIN(Skills!I15,15),Skills!I15)/Skills!H15+0.000000001),1)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IFERROR(1/(IF(Inputs!$B$38="pvp",15,MAX(0.1,Skills!D15-IF(TRUE=TRUE,Inputs!$B$32,0)))*(1-IF(AND(ArtifactsInput!$M$27,Inputs!$B$4="Chapter Hunt"),CHOOSE(ArtifactsInput!$N$27+1,20,24,28,32,36,40),0)/100)),0)</f>
        <v/>
      </c>
      <c r="R254">
        <f>IF(AND(Inputs!$B$38&lt;&gt;"pvp",Inputs!$B$43&gt;0),IF(Inputs!$B$43&lt;=0,0,(INT(Inputs!$B$43/(IF(Inputs!$B$38="pvp",15,MAX(0.1,Skills!D15-IF(TRUE=TRUE,Inputs!$B$32,0)))*(1-IF(AND(ArtifactsInput!$M$27,Inputs!$B$4="Chapter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Skills!G16*IF(Skills!H16&gt;0,INT(IF(Inputs!$B$38="pvp",MIN(Skills!I16,15),Skills!I16)/Skills!H16+0.000000001),1)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IFERROR(1/(IF(Inputs!$B$38="pvp",15,MAX(0.1,Skills!D16-IF(TRUE=TRUE,Inputs!$B$32,0)))*(1-IF(AND(ArtifactsInput!$M$27,Inputs!$B$4="Chapter Hunt"),CHOOSE(ArtifactsInput!$N$27+1,20,24,28,32,36,40),0)/100)),0)</f>
        <v/>
      </c>
      <c r="R255">
        <f>IF(AND(Inputs!$B$38&lt;&gt;"pvp",Inputs!$B$43&gt;0),IF(Inputs!$B$43&lt;=0,0,(INT(Inputs!$B$43/(IF(Inputs!$B$38="pvp",15,MAX(0.1,Skills!D16-IF(TRUE=TRUE,Inputs!$B$32,0)))*(1-IF(AND(ArtifactsInput!$M$27,Inputs!$B$4="Chapter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Skills!G17*IF(Skills!H17&gt;0,INT(IF(Inputs!$B$38="pvp",MIN(Skills!I17,15),Skills!I17)/Skills!H17+0.000000001),1)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IFERROR(1/(IF(Inputs!$B$38="pvp",15,MAX(0.1,Skills!D17-IF(TRUE=TRUE,Inputs!$B$32,0)))*(1-IF(AND(ArtifactsInput!$M$27,Inputs!$B$4="Chapter Hunt"),CHOOSE(ArtifactsInput!$N$27+1,20,24,28,32,36,40),0)/100)),0)</f>
        <v/>
      </c>
      <c r="R256">
        <f>IF(AND(Inputs!$B$38&lt;&gt;"pvp",Inputs!$B$43&gt;0),IF(Inputs!$B$43&lt;=0,0,(INT(Inputs!$B$43/(IF(Inputs!$B$38="pvp",15,MAX(0.1,Skills!D17-IF(TRUE=TRUE,Inputs!$B$32,0)))*(1-IF(AND(ArtifactsInput!$M$27,Inputs!$B$4="Chapter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Skills!G18*IF(Skills!H18&gt;0,INT(IF(Inputs!$B$38="pvp",MIN(Skills!I18,15),Skills!I18)/Skills!H18+0.000000001),1)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IFERROR(1/(IF(Inputs!$B$38="pvp",15,MAX(0.1,Skills!D18-IF(TRUE=TRUE,Inputs!$B$32,0)))*(1-IF(AND(ArtifactsInput!$M$27,Inputs!$B$4="Chapter Hunt"),CHOOSE(ArtifactsInput!$N$27+1,20,24,28,32,36,40),0)/100)),0)</f>
        <v/>
      </c>
      <c r="R257">
        <f>IF(AND(Inputs!$B$38&lt;&gt;"pvp",Inputs!$B$43&gt;0),IF(Inputs!$B$43&lt;=0,0,(INT(Inputs!$B$43/(IF(Inputs!$B$38="pvp",15,MAX(0.1,Skills!D18-IF(TRUE=TRUE,Inputs!$B$32,0)))*(1-IF(AND(ArtifactsInput!$M$27,Inputs!$B$4="Chapter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Skills!G19*IF(Skills!H19&gt;0,INT(IF(Inputs!$B$38="pvp",MIN(Skills!I19,15),Skills!I19)/Skills!H19+0.000000001),1)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IFERROR(1/(IF(Inputs!$B$38="pvp",15,MAX(0.1,Skills!D19-IF(TRUE=TRUE,Inputs!$B$32,0)))*(1-IF(AND(ArtifactsInput!$M$27,Inputs!$B$4="Chapter Hunt"),CHOOSE(ArtifactsInput!$N$27+1,20,24,28,32,36,40),0)/100)),0)</f>
        <v/>
      </c>
      <c r="R258">
        <f>IF(AND(Inputs!$B$38&lt;&gt;"pvp",Inputs!$B$43&gt;0),IF(Inputs!$B$43&lt;=0,0,(INT(Inputs!$B$43/(IF(Inputs!$B$38="pvp",15,MAX(0.1,Skills!D19-IF(TRUE=TRUE,Inputs!$B$32,0)))*(1-IF(AND(ArtifactsInput!$M$27,Inputs!$B$4="Chapter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Skills!G20*IF(Skills!H20&gt;0,INT(IF(Inputs!$B$38="pvp",MIN(Skills!I20,15),Skills!I20)/Skills!H20+0.000000001),1)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Skills!G21*IF(Skills!H21&gt;0,INT(IF(Inputs!$B$38="pvp",MIN(Skills!I21,15),Skills!I21)/Skills!H21+0.000000001),1)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Skills!G22*IF(Skills!H22&gt;0,INT(IF(Inputs!$B$38="pvp",MIN(Skills!I22,15),Skills!I22)/Skills!H22+0.000000001),1)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Skills!G23*IF(Skills!H23&gt;0,INT(IF(Inputs!$B$38="pvp",MIN(Skills!I23,15),Skills!I23)/Skills!H23+0.000000001),1)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Skills!G24*IF(Skills!H24&gt;0,INT(IF(Inputs!$B$38="pvp",MIN(Skills!I24,15),Skills!I24)/Skills!H24+0.000000001),1)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Skills!G25*IF(Skills!H25&gt;0,INT(IF(Inputs!$B$38="pvp",MIN(Skills!I25,15),Skills!I25)/Skills!H25+0.000000001),1)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Skills!G26*IF(Skills!H26&gt;0,INT(IF(Inputs!$B$38="pvp",MIN(Skills!I26,15),Skills!I26)/Skills!H26+0.000000001),1)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MIN((Skills!T19*(1+(Inputs!$B$34+(ArtifactsInput!$M$7-ArtifactsInput!$M$7)*CHOOSE(ArtifactsInput!$N$7+1,6,7.2,8.4,9.6,10.8,12))/100)),(1/Q258))+MIN((Skills!T19*(1+(Inputs!$B$34+(ArtifactsInput!$M$7-ArtifactsInput!$M$7)*CHOOSE(ArtifactsInput!$N$7+1,6,7.2,8.4,9.6,10.8,12))/100)),MAX(0,Inputs!$B$43-((R258-1)*(1/Q258)))))/Inputs!$B$43),IF(Inputs!$B$38="pvp",MIN((Skills!T19*(1+(Inputs!$B$34+(ArtifactsInput!$M$7-ArtifactsInput!$M$7)*CHOOSE(ArtifactsInput!$N$7+1,6,7.2,8.4,9.6,10.8,12))/100)),15)/15,MIN(1,(Skills!T19*(1+(Inputs!$B$34+(ArtifactsInput!$M$7-ArtifactsInput!$M$7)*CHOOSE(ArtifactsInput!$N$7+1,6,7.2,8.4,9.6,10.8,12))/100))/(1/Q258)))))</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MIN((Skills!T18*(1+(Inputs!$B$34+(ArtifactsInput!$M$7-ArtifactsInput!$M$7)*CHOOSE(ArtifactsInput!$N$7+1,6,7.2,8.4,9.6,10.8,12))/100)),(1/Q257))+MIN((Skills!T18*(1+(Inputs!$B$34+(ArtifactsInput!$M$7-ArtifactsInput!$M$7)*CHOOSE(ArtifactsInput!$N$7+1,6,7.2,8.4,9.6,10.8,12))/100)),MAX(0,Inputs!$B$43-((R257-1)*(1/Q257)))))/Inputs!$B$43),IF(Inputs!$B$38="pvp",MIN((Skills!T18*(1+(Inputs!$B$34+(ArtifactsInput!$M$7-ArtifactsInput!$M$7)*CHOOSE(ArtifactsInput!$N$7+1,6,7.2,8.4,9.6,10.8,12))/100)),15)/15,MIN(1,(Skills!T18*(1+(Inputs!$B$34+(ArtifactsInput!$M$7-ArtifactsInput!$M$7)*CHOOSE(ArtifactsInput!$N$7+1,6,7.2,8.4,9.6,10.8,12))/100))/(1/Q257)))))</f>
        <v/>
      </c>
    </row>
    <row r="274">
      <c r="A274" t="inlineStr">
        <is>
          <t>Global Final Damage Bonus % (Enrage + Combo Synergy)</t>
        </is>
      </c>
      <c r="B274">
        <f>((C256=TRUE)*F256*IF(AND(Inputs!$B$38&lt;&gt;"pvp",Inputs!$B$43&gt;0),(((R256-1)*MIN((Skills!T17*(1+(Inputs!$B$34+(ArtifactsInput!$M$7-ArtifactsInput!$M$7)*CHOOSE(ArtifactsInput!$N$7+1,6,7.2,8.4,9.6,10.8,12))/100)),(1/Q256))+MIN((Skills!T17*(1+(Inputs!$B$34+(ArtifactsInput!$M$7-ArtifactsInput!$M$7)*CHOOSE(ArtifactsInput!$N$7+1,6,7.2,8.4,9.6,10.8,12))/100)),MAX(0,Inputs!$B$43-((R256-1)*(1/Q256)))))/Inputs!$B$43),IF(Inputs!$B$38="pvp",MIN((Skills!T17*(1+(Inputs!$B$34+(ArtifactsInput!$M$7-ArtifactsInput!$M$7)*CHOOSE(ArtifactsInput!$N$7+1,6,7.2,8.4,9.6,10.8,12))/100)),15)/15,MIN(1,(Skills!T17*(1+(Inputs!$B$34+(ArtifactsInput!$M$7-ArtifactsInput!$M$7)*CHOOSE(ArtifactsInput!$N$7+1,6,7.2,8.4,9.6,10.8,12))/100))/(1/Q256)))))+((C253=TRUE)*F253*IF(Inputs!$B$3&gt;=118,8,IF(Inputs!$B$3&gt;=110,7,5)))+IF(Inputs!$B$3&gt;=98,5,0)</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Skills!G2*IF(Skills!H2&gt;0,INT(IF(Inputs!$B$38="pvp",MIN(Skills!I2,15),Skills!I2)/Skills!H2+0.000000001),1)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Skills!G5*IF(Skills!H5&gt;0,INT(IF(Inputs!$B$38="pvp",MIN(Skills!I5,15),Skills!I5)/Skills!H5+0.000000001),1)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IFERROR(1/(IF(Inputs!$B$38="pvp",15,MAX(0.1,Skills!D5-IF(TRUE=TRUE,Inputs!$B$32,0)))*(1-IF(AND(ArtifactsInput!$M$27,Inputs!$B$4="Chapter Hunt"),CHOOSE(ArtifactsInput!$N$27+1,20,24,28,32,36,40),0)/100)),0)</f>
        <v/>
      </c>
      <c r="R286">
        <f>IF(AND(Inputs!$B$38&lt;&gt;"pvp",Inputs!$B$43&gt;0),IF(MAX(0,Inputs!$B$43-B317)&lt;=0,0,(INT(MAX(0,Inputs!$B$43-B317)/(IF(Inputs!$B$38="pvp",15,MAX(0.1,Skills!D5-IF(TRUE=TRUE,Inputs!$B$32,0)))*(1-IF(AND(ArtifactsInput!$M$27,Inputs!$B$4="Chapter Hunt"),CHOOSE(ArtifactsInput!$N$27+1,20,24,28,32,36,40),0)/100)))+1)),0)</f>
        <v/>
      </c>
      <c r="S286">
        <f>IFERROR(O286/N286,0)</f>
        <v/>
      </c>
      <c r="T286">
        <f>IF(C286,(H286*N286*IF(AND(Inputs!$B$38&lt;&gt;"pvp",Inputs!$B$43&gt;0),((Skills!G5*((R286-1)*IF(Skills!H5&gt;0,INT(Skills!I5/Skills!H5+0.000000001),1)+IF(Skills!H5&gt;0,INT(MIN(Skills!I5,MAX(0,MAX(0,Inputs!$B$43-B317)-((R286-1)*(IF(Inputs!$B$38="pvp",15,MAX(0.1,Skills!D5-IF(TRUE=TRUE,Inputs!$B$32,0)))*(1-IF(AND(ArtifactsInput!$M$27,Inputs!$B$4="Chapter Hunt"),CHOOSE(ArtifactsInput!$N$27+1,20,24,28,32,36,40),0)/100)))))/Skills!H5+0.000000001),1)))/Inputs!$B$43),G286*Q286))*IF(Inputs!$B$38="pvp",1,1+((Inputs!$B$20+1)+0+Skills!P5+(((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INT(Skills!I5/Skills!H5+0.000000001),1)+IF(Skills!H5&gt;0,INT(MIN(Skills!I5,MAX(0,MAX(0,Inputs!$B$43-B317)-((R286-1)*(IF(Inputs!$B$38="pvp",15,MAX(0.1,Skills!D5-IF(TRUE=TRUE,Inputs!$B$32,0)))*(1-IF(AND(ArtifactsInput!$M$27,Inputs!$B$4="Chapter Hunt"),CHOOSE(ArtifactsInput!$N$27+1,20,24,28,32,36,40),0)/100)))))/Skills!H5+0.000000001),1)))/Inputs!$B$43),G286*Q286))*IF(Inputs!$B$38="pvp",1,(1+(Inputs!$B$21+Skills!Q5+(((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Skills!G6*IF(Skills!H6&gt;0,INT(IF(Inputs!$B$38="pvp",MIN(Skills!I6,15),Skills!I6)/Skills!H6+0.000000001),1)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IFERROR(1/(IF(Inputs!$B$38="pvp",15,MAX(0.1,Skills!D6-IF(TRUE=TRUE,Inputs!$B$32,0)))*(1-IF(AND(ArtifactsInput!$M$27,Inputs!$B$4="Chapter Hunt"),CHOOSE(ArtifactsInput!$N$27+1,20,24,28,32,36,40),0)/100)),0)</f>
        <v/>
      </c>
      <c r="R287">
        <f>IF(AND(Inputs!$B$38&lt;&gt;"pvp",Inputs!$B$43&gt;0),IF(MAX(0,Inputs!$B$43-B317)&lt;=0,0,(INT(MAX(0,Inputs!$B$43-B317)/(IF(Inputs!$B$38="pvp",15,MAX(0.1,Skills!D6-IF(TRUE=TRUE,Inputs!$B$32,0)))*(1-IF(AND(ArtifactsInput!$M$27,Inputs!$B$4="Chapter Hunt"),CHOOSE(ArtifactsInput!$N$27+1,20,24,28,32,36,40),0)/100)))+1)),0)</f>
        <v/>
      </c>
      <c r="S287">
        <f>IFERROR(O287/N287,0)</f>
        <v/>
      </c>
      <c r="T287">
        <f>IF(C287,(H287*N287*IF(AND(Inputs!$B$38&lt;&gt;"pvp",Inputs!$B$43&gt;0),((Skills!G6*((R287-1)*IF(Skills!H6&gt;0,INT(Skills!I6/Skills!H6+0.000000001),1)+IF(Skills!H6&gt;0,INT(MIN(Skills!I6,MAX(0,MAX(0,Inputs!$B$43-B317)-((R287-1)*(IF(Inputs!$B$38="pvp",15,MAX(0.1,Skills!D6-IF(TRUE=TRUE,Inputs!$B$32,0)))*(1-IF(AND(ArtifactsInput!$M$27,Inputs!$B$4="Chapter Hunt"),CHOOSE(ArtifactsInput!$N$27+1,20,24,28,32,36,40),0)/100)))))/Skills!H6+0.000000001),1)))/Inputs!$B$43),G287*Q287))*IF(Inputs!$B$38="pvp",1,1+((Inputs!$B$20+1)+0+Skills!P6+(((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INT(Skills!I6/Skills!H6+0.000000001),1)+IF(Skills!H6&gt;0,INT(MIN(Skills!I6,MAX(0,MAX(0,Inputs!$B$43-B317)-((R287-1)*(IF(Inputs!$B$38="pvp",15,MAX(0.1,Skills!D6-IF(TRUE=TRUE,Inputs!$B$32,0)))*(1-IF(AND(ArtifactsInput!$M$27,Inputs!$B$4="Chapter Hunt"),CHOOSE(ArtifactsInput!$N$27+1,20,24,28,32,36,40),0)/100)))))/Skills!H6+0.000000001),1)))/Inputs!$B$43),G287*Q287))*IF(Inputs!$B$38="pvp",1,(1+(Inputs!$B$21+Skills!Q6+(((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Skills!G7*IF(Skills!H7&gt;0,INT(IF(Inputs!$B$38="pvp",MIN(Skills!I7,15),Skills!I7)/Skills!H7+0.000000001),1)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IFERROR(1/(IF(Inputs!$B$38="pvp",15,MAX(0.1,Skills!D7-IF(TRUE=TRUE,Inputs!$B$32,0)))*(1-IF(AND(ArtifactsInput!$M$27,Inputs!$B$4="Chapter Hunt"),CHOOSE(ArtifactsInput!$N$27+1,20,24,28,32,36,40),0)/100)),0)</f>
        <v/>
      </c>
      <c r="R288">
        <f>IF(AND(Inputs!$B$38&lt;&gt;"pvp",Inputs!$B$43&gt;0),IF(MAX(0,Inputs!$B$43-B317)&lt;=0,0,(INT(MAX(0,Inputs!$B$43-B317)/(IF(Inputs!$B$38="pvp",15,MAX(0.1,Skills!D7-IF(TRUE=TRUE,Inputs!$B$32,0)))*(1-IF(AND(ArtifactsInput!$M$27,Inputs!$B$4="Chapter Hunt"),CHOOSE(ArtifactsInput!$N$27+1,20,24,28,32,36,40),0)/100)))+1)),0)</f>
        <v/>
      </c>
      <c r="S288">
        <f>IFERROR(O288/N288,0)</f>
        <v/>
      </c>
      <c r="T288">
        <f>IF(C288,(H288*N288*IF(AND(Inputs!$B$38&lt;&gt;"pvp",Inputs!$B$43&gt;0),((Skills!G7*((R288-1)*IF(Skills!H7&gt;0,INT(Skills!I7/Skills!H7+0.000000001),1)+IF(Skills!H7&gt;0,INT(MIN(Skills!I7,MAX(0,MAX(0,Inputs!$B$43-B317)-((R288-1)*(IF(Inputs!$B$38="pvp",15,MAX(0.1,Skills!D7-IF(TRUE=TRUE,Inputs!$B$32,0)))*(1-IF(AND(ArtifactsInput!$M$27,Inputs!$B$4="Chapter Hunt"),CHOOSE(ArtifactsInput!$N$27+1,20,24,28,32,36,40),0)/100)))))/Skills!H7+0.000000001),1)))/Inputs!$B$43),G288*Q288))*IF(Inputs!$B$38="pvp",1,1+((Inputs!$B$20+1)+0+Skills!P7+(((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INT(Skills!I7/Skills!H7+0.000000001),1)+IF(Skills!H7&gt;0,INT(MIN(Skills!I7,MAX(0,MAX(0,Inputs!$B$43-B317)-((R288-1)*(IF(Inputs!$B$38="pvp",15,MAX(0.1,Skills!D7-IF(TRUE=TRUE,Inputs!$B$32,0)))*(1-IF(AND(ArtifactsInput!$M$27,Inputs!$B$4="Chapter Hunt"),CHOOSE(ArtifactsInput!$N$27+1,20,24,28,32,36,40),0)/100)))))/Skills!H7+0.000000001),1)))/Inputs!$B$43),G288*Q288))*IF(Inputs!$B$38="pvp",1,(1+(Inputs!$B$21+Skills!Q7+(((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Skills!G8*IF(Skills!H8&gt;0,INT(IF(Inputs!$B$38="pvp",MIN(Skills!I8,15),Skills!I8)/Skills!H8+0.000000001),1)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IFERROR(1/(IF(Inputs!$B$38="pvp",15,MAX(0.1,Skills!D8-IF(TRUE=TRUE,Inputs!$B$32,0)))*(1-IF(AND(ArtifactsInput!$M$27,Inputs!$B$4="Chapter Hunt"),CHOOSE(ArtifactsInput!$N$27+1,20,24,28,32,36,40),0)/100)),0)</f>
        <v/>
      </c>
      <c r="R289">
        <f>IF(AND(Inputs!$B$38&lt;&gt;"pvp",Inputs!$B$43&gt;0),IF(MAX(0,Inputs!$B$43-B317)&lt;=0,0,(INT(MAX(0,Inputs!$B$43-B317)/(IF(Inputs!$B$38="pvp",15,MAX(0.1,Skills!D8-IF(TRUE=TRUE,Inputs!$B$32,0)))*(1-IF(AND(ArtifactsInput!$M$27,Inputs!$B$4="Chapter Hunt"),CHOOSE(ArtifactsInput!$N$27+1,20,24,28,32,36,40),0)/100)))+1)),0)</f>
        <v/>
      </c>
      <c r="S289">
        <f>IFERROR(O289/N289,0)</f>
        <v/>
      </c>
      <c r="T289">
        <f>IF(C289,(H289*N289*IF(AND(Inputs!$B$38&lt;&gt;"pvp",Inputs!$B$43&gt;0),((Skills!G8*((R289-1)*IF(Skills!H8&gt;0,INT(Skills!I8/Skills!H8+0.000000001),1)+IF(Skills!H8&gt;0,INT(MIN(Skills!I8,MAX(0,MAX(0,Inputs!$B$43-B317)-((R289-1)*(IF(Inputs!$B$38="pvp",15,MAX(0.1,Skills!D8-IF(TRUE=TRUE,Inputs!$B$32,0)))*(1-IF(AND(ArtifactsInput!$M$27,Inputs!$B$4="Chapter Hunt"),CHOOSE(ArtifactsInput!$N$27+1,20,24,28,32,36,40),0)/100)))))/Skills!H8+0.000000001),1)))/Inputs!$B$43),G289*Q289))*IF(Inputs!$B$38="pvp",1,1+((Inputs!$B$20+1)+0+Skills!P8+(((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INT(Skills!I8/Skills!H8+0.000000001),1)+IF(Skills!H8&gt;0,INT(MIN(Skills!I8,MAX(0,MAX(0,Inputs!$B$43-B317)-((R289-1)*(IF(Inputs!$B$38="pvp",15,MAX(0.1,Skills!D8-IF(TRUE=TRUE,Inputs!$B$32,0)))*(1-IF(AND(ArtifactsInput!$M$27,Inputs!$B$4="Chapter Hunt"),CHOOSE(ArtifactsInput!$N$27+1,20,24,28,32,36,40),0)/100)))))/Skills!H8+0.000000001),1)))/Inputs!$B$43),G289*Q289))*IF(Inputs!$B$38="pvp",1,(1+(Inputs!$B$21+Skills!Q8+(((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Skills!G9*IF(Skills!H9&gt;0,INT(IF(Inputs!$B$38="pvp",MIN(Skills!I9,15),Skills!I9)/Skills!H9+0.000000001),1)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138,MAX(0,IF(Inputs!$B$3&gt;=118,8,IF(Inputs!$B$3&gt;=110,7,5))-5)*50,0),0)/100)*(1+(IF(Skills!A9="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IFERROR(1/(IF(Inputs!$B$38="pvp",15,MAX(0.1,Skills!D9-IF(TRUE=TRUE,Inputs!$B$32,0)))*(1-IF(AND(ArtifactsInput!$M$27,Inputs!$B$4="Chapter Hunt"),CHOOSE(ArtifactsInput!$N$27+1,20,24,28,32,36,40),0)/100)),0)</f>
        <v/>
      </c>
      <c r="R290">
        <f>IF(AND(Inputs!$B$38&lt;&gt;"pvp",Inputs!$B$43&gt;0),IF(MAX(0,Inputs!$B$43-B317)&lt;=0,0,(INT(MAX(0,Inputs!$B$43-B317)/(IF(Inputs!$B$38="pvp",15,MAX(0.1,Skills!D9-IF(TRUE=TRUE,Inputs!$B$32,0)))*(1-IF(AND(ArtifactsInput!$M$27,Inputs!$B$4="Chapter Hunt"),CHOOSE(ArtifactsInput!$N$27+1,20,24,28,32,36,40),0)/100)))+1)),0)</f>
        <v/>
      </c>
      <c r="S290">
        <f>IFERROR(O290/N290,0)</f>
        <v/>
      </c>
      <c r="T290">
        <f>IF(C290,(H290*N290*IF(AND(Inputs!$B$38&lt;&gt;"pvp",Inputs!$B$43&gt;0),((Skills!G9*((R290-1)*IF(Skills!H9&gt;0,INT(Skills!I9/Skills!H9+0.000000001),1)+IF(Skills!H9&gt;0,INT(MIN(Skills!I9,MAX(0,MAX(0,Inputs!$B$43-B317)-((R290-1)*(IF(Inputs!$B$38="pvp",15,MAX(0.1,Skills!D9-IF(TRUE=TRUE,Inputs!$B$32,0)))*(1-IF(AND(ArtifactsInput!$M$27,Inputs!$B$4="Chapter Hunt"),CHOOSE(ArtifactsInput!$N$27+1,20,24,28,32,36,40),0)/100)))))/Skills!H9+0.000000001),1)))/Inputs!$B$43),G290*Q290))*IF(Inputs!$B$38="pvp",1,1+((Inputs!$B$20+1)+0+Skills!P9+(((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INT(Skills!I9/Skills!H9+0.000000001),1)+IF(Skills!H9&gt;0,INT(MIN(Skills!I9,MAX(0,MAX(0,Inputs!$B$43-B317)-((R290-1)*(IF(Inputs!$B$38="pvp",15,MAX(0.1,Skills!D9-IF(TRUE=TRUE,Inputs!$B$32,0)))*(1-IF(AND(ArtifactsInput!$M$27,Inputs!$B$4="Chapter Hunt"),CHOOSE(ArtifactsInput!$N$27+1,20,24,28,32,36,40),0)/100)))))/Skills!H9+0.000000001),1)))/Inputs!$B$43),G290*Q290))*IF(Inputs!$B$38="pvp",1,(1+(Inputs!$B$21+Skills!Q9+(((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Skills!G10*IF(Skills!H10&gt;0,INT(IF(Inputs!$B$38="pvp",MIN(Skills!I10,15),Skills!I10)/Skills!H10+0.000000001),1)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138,MAX(0,IF(Inputs!$B$3&gt;=118,8,IF(Inputs!$B$3&gt;=110,7,5))-5)*50,0),0)/100)*(1+(IF(Skills!A10="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IFERROR(1/(IF(Inputs!$B$38="pvp",15,MAX(0.1,Skills!D10-IF(TRUE=TRUE,Inputs!$B$32,0)))*(1-IF(AND(ArtifactsInput!$M$27,Inputs!$B$4="Chapter Hunt"),CHOOSE(ArtifactsInput!$N$27+1,20,24,28,32,36,40),0)/100)),0)</f>
        <v/>
      </c>
      <c r="R291">
        <f>IF(AND(Inputs!$B$38&lt;&gt;"pvp",Inputs!$B$43&gt;0),IF(MAX(0,Inputs!$B$43-B317)&lt;=0,0,(INT(MAX(0,Inputs!$B$43-B317)/(IF(Inputs!$B$38="pvp",15,MAX(0.1,Skills!D10-IF(TRUE=TRUE,Inputs!$B$32,0)))*(1-IF(AND(ArtifactsInput!$M$27,Inputs!$B$4="Chapter Hunt"),CHOOSE(ArtifactsInput!$N$27+1,20,24,28,32,36,40),0)/100)))+1)),0)</f>
        <v/>
      </c>
      <c r="S291">
        <f>IFERROR(O291/N291,0)</f>
        <v/>
      </c>
      <c r="T291">
        <f>IF(C291,(H291*N291*IF(AND(Inputs!$B$38&lt;&gt;"pvp",Inputs!$B$43&gt;0),((Skills!G10*((R291-1)*IF(Skills!H10&gt;0,INT(Skills!I10/Skills!H10+0.000000001),1)+IF(Skills!H10&gt;0,INT(MIN(Skills!I10,MAX(0,MAX(0,Inputs!$B$43-B317)-((R291-1)*(IF(Inputs!$B$38="pvp",15,MAX(0.1,Skills!D10-IF(TRUE=TRUE,Inputs!$B$32,0)))*(1-IF(AND(ArtifactsInput!$M$27,Inputs!$B$4="Chapter Hunt"),CHOOSE(ArtifactsInput!$N$27+1,20,24,28,32,36,40),0)/100)))))/Skills!H10+0.000000001),1)))/Inputs!$B$43),G291*Q291))*IF(Inputs!$B$38="pvp",1,1+((Inputs!$B$20+1)+0+Skills!P10+(((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INT(Skills!I10/Skills!H10+0.000000001),1)+IF(Skills!H10&gt;0,INT(MIN(Skills!I10,MAX(0,MAX(0,Inputs!$B$43-B317)-((R291-1)*(IF(Inputs!$B$38="pvp",15,MAX(0.1,Skills!D10-IF(TRUE=TRUE,Inputs!$B$32,0)))*(1-IF(AND(ArtifactsInput!$M$27,Inputs!$B$4="Chapter Hunt"),CHOOSE(ArtifactsInput!$N$27+1,20,24,28,32,36,40),0)/100)))))/Skills!H10+0.000000001),1)))/Inputs!$B$43),G291*Q291))*IF(Inputs!$B$38="pvp",1,(1+(Inputs!$B$21+Skills!Q10+(((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Skills!G11*IF(Skills!H11&gt;0,INT(IF(Inputs!$B$38="pvp",MIN(Skills!I11,15),Skills!I11)/Skills!H11+0.000000001),1)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138,MAX(0,IF(Inputs!$B$3&gt;=118,8,IF(Inputs!$B$3&gt;=110,7,5))-5)*50,0),0)/100)*(1+(IF(Skills!A11="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IFERROR(1/(IF(Inputs!$B$38="pvp",15,MAX(0.1,Skills!D11-IF(TRUE=TRUE,Inputs!$B$32,0)))*(1-IF(AND(ArtifactsInput!$M$27,Inputs!$B$4="Chapter Hunt"),CHOOSE(ArtifactsInput!$N$27+1,20,24,28,32,36,40),0)/100)),0)</f>
        <v/>
      </c>
      <c r="R292">
        <f>IF(AND(Inputs!$B$38&lt;&gt;"pvp",Inputs!$B$43&gt;0),IF(MAX(0,Inputs!$B$43-B317)&lt;=0,0,(INT(MAX(0,Inputs!$B$43-B317)/(IF(Inputs!$B$38="pvp",15,MAX(0.1,Skills!D11-IF(TRUE=TRUE,Inputs!$B$32,0)))*(1-IF(AND(ArtifactsInput!$M$27,Inputs!$B$4="Chapter Hunt"),CHOOSE(ArtifactsInput!$N$27+1,20,24,28,32,36,40),0)/100)))+1)),0)</f>
        <v/>
      </c>
      <c r="S292">
        <f>IFERROR(O292/N292,0)</f>
        <v/>
      </c>
      <c r="T292">
        <f>IF(C292,(H292*N292*IF(AND(Inputs!$B$38&lt;&gt;"pvp",Inputs!$B$43&gt;0),((Skills!G11*((R292-1)*IF(Skills!H11&gt;0,INT(Skills!I11/Skills!H11+0.000000001),1)+IF(Skills!H11&gt;0,INT(MIN(Skills!I11,MAX(0,MAX(0,Inputs!$B$43-B317)-((R292-1)*(IF(Inputs!$B$38="pvp",15,MAX(0.1,Skills!D11-IF(TRUE=TRUE,Inputs!$B$32,0)))*(1-IF(AND(ArtifactsInput!$M$27,Inputs!$B$4="Chapter Hunt"),CHOOSE(ArtifactsInput!$N$27+1,20,24,28,32,36,40),0)/100)))))/Skills!H11+0.000000001),1)))/Inputs!$B$43),G292*Q292))*IF(Inputs!$B$38="pvp",1,1+((Inputs!$B$20+1)+0+Skills!P11+(((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INT(Skills!I11/Skills!H11+0.000000001),1)+IF(Skills!H11&gt;0,INT(MIN(Skills!I11,MAX(0,MAX(0,Inputs!$B$43-B317)-((R292-1)*(IF(Inputs!$B$38="pvp",15,MAX(0.1,Skills!D11-IF(TRUE=TRUE,Inputs!$B$32,0)))*(1-IF(AND(ArtifactsInput!$M$27,Inputs!$B$4="Chapter Hunt"),CHOOSE(ArtifactsInput!$N$27+1,20,24,28,32,36,40),0)/100)))))/Skills!H11+0.000000001),1)))/Inputs!$B$43),G292*Q292))*IF(Inputs!$B$38="pvp",1,(1+(Inputs!$B$21+Skills!Q11+(((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Skills!G13*IF(Skills!H13&gt;0,INT(IF(Inputs!$B$38="pvp",MIN(Skills!I13,15),Skills!I13)/Skills!H13+0.000000001),1)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Skills!G14*IF(Skills!H14&gt;0,INT(IF(Inputs!$B$38="pvp",MIN(Skills!I14,15),Skills!I14)/Skills!H14+0.000000001),1)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Skills!G15*IF(Skills!H15&gt;0,INT(IF(Inputs!$B$38="pvp",MIN(Skills!I15,15),Skills!I15)/Skills!H15+0.000000001),1)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IFERROR(1/(IF(Inputs!$B$38="pvp",15,MAX(0.1,Skills!D15-IF(TRUE=TRUE,Inputs!$B$32,0)))*(1-IF(AND(ArtifactsInput!$M$27,Inputs!$B$4="Chapter Hunt"),CHOOSE(ArtifactsInput!$N$27+1,20,24,28,32,36,40),0)/100)),0)</f>
        <v/>
      </c>
      <c r="R296">
        <f>IF(AND(Inputs!$B$38&lt;&gt;"pvp",Inputs!$B$43&gt;0),IF(Inputs!$B$43&lt;=0,0,(INT(Inputs!$B$43/(IF(Inputs!$B$38="pvp",15,MAX(0.1,Skills!D15-IF(TRUE=TRUE,Inputs!$B$32,0)))*(1-IF(AND(ArtifactsInput!$M$27,Inputs!$B$4="Chapter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Skills!G16*IF(Skills!H16&gt;0,INT(IF(Inputs!$B$38="pvp",MIN(Skills!I16,15),Skills!I16)/Skills!H16+0.000000001),1)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IFERROR(1/(IF(Inputs!$B$38="pvp",15,MAX(0.1,Skills!D16-IF(TRUE=TRUE,Inputs!$B$32,0)))*(1-IF(AND(ArtifactsInput!$M$27,Inputs!$B$4="Chapter Hunt"),CHOOSE(ArtifactsInput!$N$27+1,20,24,28,32,36,40),0)/100)),0)</f>
        <v/>
      </c>
      <c r="R297">
        <f>IF(AND(Inputs!$B$38&lt;&gt;"pvp",Inputs!$B$43&gt;0),IF(Inputs!$B$43&lt;=0,0,(INT(Inputs!$B$43/(IF(Inputs!$B$38="pvp",15,MAX(0.1,Skills!D16-IF(TRUE=TRUE,Inputs!$B$32,0)))*(1-IF(AND(ArtifactsInput!$M$27,Inputs!$B$4="Chapter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Skills!G17*IF(Skills!H17&gt;0,INT(IF(Inputs!$B$38="pvp",MIN(Skills!I17,15),Skills!I17)/Skills!H17+0.000000001),1)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IFERROR(1/(IF(Inputs!$B$38="pvp",15,MAX(0.1,Skills!D17-IF(TRUE=TRUE,Inputs!$B$32,0)))*(1-IF(AND(ArtifactsInput!$M$27,Inputs!$B$4="Chapter Hunt"),CHOOSE(ArtifactsInput!$N$27+1,20,24,28,32,36,40),0)/100)),0)</f>
        <v/>
      </c>
      <c r="R298">
        <f>IF(AND(Inputs!$B$38&lt;&gt;"pvp",Inputs!$B$43&gt;0),IF(Inputs!$B$43&lt;=0,0,(INT(Inputs!$B$43/(IF(Inputs!$B$38="pvp",15,MAX(0.1,Skills!D17-IF(TRUE=TRUE,Inputs!$B$32,0)))*(1-IF(AND(ArtifactsInput!$M$27,Inputs!$B$4="Chapter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Skills!G18*IF(Skills!H18&gt;0,INT(IF(Inputs!$B$38="pvp",MIN(Skills!I18,15),Skills!I18)/Skills!H18+0.000000001),1)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IFERROR(1/(IF(Inputs!$B$38="pvp",15,MAX(0.1,Skills!D18-IF(TRUE=TRUE,Inputs!$B$32,0)))*(1-IF(AND(ArtifactsInput!$M$27,Inputs!$B$4="Chapter Hunt"),CHOOSE(ArtifactsInput!$N$27+1,20,24,28,32,36,40),0)/100)),0)</f>
        <v/>
      </c>
      <c r="R299">
        <f>IF(AND(Inputs!$B$38&lt;&gt;"pvp",Inputs!$B$43&gt;0),IF(Inputs!$B$43&lt;=0,0,(INT(Inputs!$B$43/(IF(Inputs!$B$38="pvp",15,MAX(0.1,Skills!D18-IF(TRUE=TRUE,Inputs!$B$32,0)))*(1-IF(AND(ArtifactsInput!$M$27,Inputs!$B$4="Chapter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Skills!G19*IF(Skills!H19&gt;0,INT(IF(Inputs!$B$38="pvp",MIN(Skills!I19,15),Skills!I19)/Skills!H19+0.000000001),1)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IFERROR(1/(IF(Inputs!$B$38="pvp",15,MAX(0.1,Skills!D19-IF(TRUE=TRUE,Inputs!$B$32,0)))*(1-IF(AND(ArtifactsInput!$M$27,Inputs!$B$4="Chapter Hunt"),CHOOSE(ArtifactsInput!$N$27+1,20,24,28,32,36,40),0)/100)),0)</f>
        <v/>
      </c>
      <c r="R300">
        <f>IF(AND(Inputs!$B$38&lt;&gt;"pvp",Inputs!$B$43&gt;0),IF(Inputs!$B$43&lt;=0,0,(INT(Inputs!$B$43/(IF(Inputs!$B$38="pvp",15,MAX(0.1,Skills!D19-IF(TRUE=TRUE,Inputs!$B$32,0)))*(1-IF(AND(ArtifactsInput!$M$27,Inputs!$B$4="Chapter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Skills!G20*IF(Skills!H20&gt;0,INT(IF(Inputs!$B$38="pvp",MIN(Skills!I20,15),Skills!I20)/Skills!H20+0.000000001),1)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Skills!G21*IF(Skills!H21&gt;0,INT(IF(Inputs!$B$38="pvp",MIN(Skills!I21,15),Skills!I21)/Skills!H21+0.000000001),1)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Skills!G22*IF(Skills!H22&gt;0,INT(IF(Inputs!$B$38="pvp",MIN(Skills!I22,15),Skills!I22)/Skills!H22+0.000000001),1)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Skills!G23*IF(Skills!H23&gt;0,INT(IF(Inputs!$B$38="pvp",MIN(Skills!I23,15),Skills!I23)/Skills!H23+0.000000001),1)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Skills!G24*IF(Skills!H24&gt;0,INT(IF(Inputs!$B$38="pvp",MIN(Skills!I24,15),Skills!I24)/Skills!H24+0.000000001),1)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Skills!G25*IF(Skills!H25&gt;0,INT(IF(Inputs!$B$38="pvp",MIN(Skills!I25,15),Skills!I25)/Skills!H25+0.000000001),1)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Skills!G26*IF(Skills!H26&gt;0,INT(IF(Inputs!$B$38="pvp",MIN(Skills!I26,15),Skills!I26)/Skills!H26+0.000000001),1)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MIN((Skills!T19*(1+(Inputs!$B$34+(ArtifactsInput!$M$7-ArtifactsInput!$M$7)*CHOOSE(ArtifactsInput!$N$7+1,6,7.2,8.4,9.6,10.8,12))/100)),(1/Q300))+MIN((Skills!T19*(1+(Inputs!$B$34+(ArtifactsInput!$M$7-ArtifactsInput!$M$7)*CHOOSE(ArtifactsInput!$N$7+1,6,7.2,8.4,9.6,10.8,12))/100)),MAX(0,Inputs!$B$43-((R300-1)*(1/Q300)))))/Inputs!$B$43),IF(Inputs!$B$38="pvp",MIN((Skills!T19*(1+(Inputs!$B$34+(ArtifactsInput!$M$7-ArtifactsInput!$M$7)*CHOOSE(ArtifactsInput!$N$7+1,6,7.2,8.4,9.6,10.8,12))/100)),15)/15,MIN(1,(Skills!T19*(1+(Inputs!$B$34+(ArtifactsInput!$M$7-ArtifactsInput!$M$7)*CHOOSE(ArtifactsInput!$N$7+1,6,7.2,8.4,9.6,10.8,12))/100))/(1/Q300)))))</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MIN((Skills!T18*(1+(Inputs!$B$34+(ArtifactsInput!$M$7-ArtifactsInput!$M$7)*CHOOSE(ArtifactsInput!$N$7+1,6,7.2,8.4,9.6,10.8,12))/100)),(1/Q299))+MIN((Skills!T18*(1+(Inputs!$B$34+(ArtifactsInput!$M$7-ArtifactsInput!$M$7)*CHOOSE(ArtifactsInput!$N$7+1,6,7.2,8.4,9.6,10.8,12))/100)),MAX(0,Inputs!$B$43-((R299-1)*(1/Q299)))))/Inputs!$B$43),IF(Inputs!$B$38="pvp",MIN((Skills!T18*(1+(Inputs!$B$34+(ArtifactsInput!$M$7-ArtifactsInput!$M$7)*CHOOSE(ArtifactsInput!$N$7+1,6,7.2,8.4,9.6,10.8,12))/100)),15)/15,MIN(1,(Skills!T18*(1+(Inputs!$B$34+(ArtifactsInput!$M$7-ArtifactsInput!$M$7)*CHOOSE(ArtifactsInput!$N$7+1,6,7.2,8.4,9.6,10.8,12))/100))/(1/Q299)))))</f>
        <v/>
      </c>
    </row>
    <row r="316">
      <c r="A316" t="inlineStr">
        <is>
          <t>Global Final Damage Bonus % (Enrage + Combo Synergy)</t>
        </is>
      </c>
      <c r="B316">
        <f>((C298=TRUE)*F298*IF(AND(Inputs!$B$38&lt;&gt;"pvp",Inputs!$B$43&gt;0),(((R298-1)*MIN((Skills!T17*(1+(Inputs!$B$34+(ArtifactsInput!$M$7-ArtifactsInput!$M$7)*CHOOSE(ArtifactsInput!$N$7+1,6,7.2,8.4,9.6,10.8,12))/100)),(1/Q298))+MIN((Skills!T17*(1+(Inputs!$B$34+(ArtifactsInput!$M$7-ArtifactsInput!$M$7)*CHOOSE(ArtifactsInput!$N$7+1,6,7.2,8.4,9.6,10.8,12))/100)),MAX(0,Inputs!$B$43-((R298-1)*(1/Q298)))))/Inputs!$B$43),IF(Inputs!$B$38="pvp",MIN((Skills!T17*(1+(Inputs!$B$34+(ArtifactsInput!$M$7-ArtifactsInput!$M$7)*CHOOSE(ArtifactsInput!$N$7+1,6,7.2,8.4,9.6,10.8,12))/100)),15)/15,MIN(1,(Skills!T17*(1+(Inputs!$B$34+(ArtifactsInput!$M$7-ArtifactsInput!$M$7)*CHOOSE(ArtifactsInput!$N$7+1,6,7.2,8.4,9.6,10.8,12))/100))/(1/Q298)))))+((C295=TRUE)*F295*IF(Inputs!$B$3&gt;=118,8,IF(Inputs!$B$3&gt;=110,7,5)))+IF(Inputs!$B$3&gt;=98,5,0)</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Skills!G2*IF(Skills!H2&gt;0,INT(IF(Inputs!$B$38="pvp",MIN(Skills!I2,15),Skills!I2)/Skills!H2+0.000000001),1)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Skills!G5*IF(Skills!H5&gt;0,INT(IF(Inputs!$B$38="pvp",MIN(Skills!I5,15),Skills!I5)/Skills!H5+0.000000001),1)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IFERROR(1/(IF(Inputs!$B$38="pvp",15,MAX(0.1,Skills!D5-IF(TRUE=TRUE,Inputs!$B$32,0)))*(1-IF(AND(ArtifactsInput!$M$27,Inputs!$B$4="Chapter Hunt"),CHOOSE(ArtifactsInput!$N$27+1,20,24,28,32,36,40),0)/100)),0)</f>
        <v/>
      </c>
      <c r="R328">
        <f>IF(AND(Inputs!$B$38&lt;&gt;"pvp",Inputs!$B$43&gt;0),IF(MAX(0,Inputs!$B$43-B359)&lt;=0,0,(INT(MAX(0,Inputs!$B$43-B359)/(IF(Inputs!$B$38="pvp",15,MAX(0.1,Skills!D5-IF(TRUE=TRUE,Inputs!$B$32,0)))*(1-IF(AND(ArtifactsInput!$M$27,Inputs!$B$4="Chapter Hunt"),CHOOSE(ArtifactsInput!$N$27+1,20,24,28,32,36,40),0)/100)))+1)),0)</f>
        <v/>
      </c>
      <c r="S328">
        <f>IFERROR(O328/N328,0)</f>
        <v/>
      </c>
      <c r="T328">
        <f>IF(C328,(H328*N328*IF(AND(Inputs!$B$38&lt;&gt;"pvp",Inputs!$B$43&gt;0),((Skills!G5*((R328-1)*IF(Skills!H5&gt;0,INT(Skills!I5/Skills!H5+0.000000001),1)+IF(Skills!H5&gt;0,INT(MIN(Skills!I5,MAX(0,MAX(0,Inputs!$B$43-B359)-((R328-1)*(IF(Inputs!$B$38="pvp",15,MAX(0.1,Skills!D5-IF(TRUE=TRUE,Inputs!$B$32,0)))*(1-IF(AND(ArtifactsInput!$M$27,Inputs!$B$4="Chapter Hunt"),CHOOSE(ArtifactsInput!$N$27+1,20,24,28,32,36,40),0)/100)))))/Skills!H5+0.000000001),1)))/Inputs!$B$43),G328*Q328))*IF(Inputs!$B$38="pvp",1,1+(Inputs!$B$20+0+Skills!P5+(((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INT(Skills!I5/Skills!H5+0.000000001),1)+IF(Skills!H5&gt;0,INT(MIN(Skills!I5,MAX(0,MAX(0,Inputs!$B$43-B359)-((R328-1)*(IF(Inputs!$B$38="pvp",15,MAX(0.1,Skills!D5-IF(TRUE=TRUE,Inputs!$B$32,0)))*(1-IF(AND(ArtifactsInput!$M$27,Inputs!$B$4="Chapter Hunt"),CHOOSE(ArtifactsInput!$N$27+1,20,24,28,32,36,40),0)/100)))))/Skills!H5+0.000000001),1)))/Inputs!$B$43),G328*Q328))*IF(Inputs!$B$38="pvp",1,(1+((Inputs!$B$21+1)+Skills!Q5+(((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Skills!G6*IF(Skills!H6&gt;0,INT(IF(Inputs!$B$38="pvp",MIN(Skills!I6,15),Skills!I6)/Skills!H6+0.000000001),1)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IFERROR(1/(IF(Inputs!$B$38="pvp",15,MAX(0.1,Skills!D6-IF(TRUE=TRUE,Inputs!$B$32,0)))*(1-IF(AND(ArtifactsInput!$M$27,Inputs!$B$4="Chapter Hunt"),CHOOSE(ArtifactsInput!$N$27+1,20,24,28,32,36,40),0)/100)),0)</f>
        <v/>
      </c>
      <c r="R329">
        <f>IF(AND(Inputs!$B$38&lt;&gt;"pvp",Inputs!$B$43&gt;0),IF(MAX(0,Inputs!$B$43-B359)&lt;=0,0,(INT(MAX(0,Inputs!$B$43-B359)/(IF(Inputs!$B$38="pvp",15,MAX(0.1,Skills!D6-IF(TRUE=TRUE,Inputs!$B$32,0)))*(1-IF(AND(ArtifactsInput!$M$27,Inputs!$B$4="Chapter Hunt"),CHOOSE(ArtifactsInput!$N$27+1,20,24,28,32,36,40),0)/100)))+1)),0)</f>
        <v/>
      </c>
      <c r="S329">
        <f>IFERROR(O329/N329,0)</f>
        <v/>
      </c>
      <c r="T329">
        <f>IF(C329,(H329*N329*IF(AND(Inputs!$B$38&lt;&gt;"pvp",Inputs!$B$43&gt;0),((Skills!G6*((R329-1)*IF(Skills!H6&gt;0,INT(Skills!I6/Skills!H6+0.000000001),1)+IF(Skills!H6&gt;0,INT(MIN(Skills!I6,MAX(0,MAX(0,Inputs!$B$43-B359)-((R329-1)*(IF(Inputs!$B$38="pvp",15,MAX(0.1,Skills!D6-IF(TRUE=TRUE,Inputs!$B$32,0)))*(1-IF(AND(ArtifactsInput!$M$27,Inputs!$B$4="Chapter Hunt"),CHOOSE(ArtifactsInput!$N$27+1,20,24,28,32,36,40),0)/100)))))/Skills!H6+0.000000001),1)))/Inputs!$B$43),G329*Q329))*IF(Inputs!$B$38="pvp",1,1+(Inputs!$B$20+0+Skills!P6+(((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INT(Skills!I6/Skills!H6+0.000000001),1)+IF(Skills!H6&gt;0,INT(MIN(Skills!I6,MAX(0,MAX(0,Inputs!$B$43-B359)-((R329-1)*(IF(Inputs!$B$38="pvp",15,MAX(0.1,Skills!D6-IF(TRUE=TRUE,Inputs!$B$32,0)))*(1-IF(AND(ArtifactsInput!$M$27,Inputs!$B$4="Chapter Hunt"),CHOOSE(ArtifactsInput!$N$27+1,20,24,28,32,36,40),0)/100)))))/Skills!H6+0.000000001),1)))/Inputs!$B$43),G329*Q329))*IF(Inputs!$B$38="pvp",1,(1+((Inputs!$B$21+1)+Skills!Q6+(((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Skills!G7*IF(Skills!H7&gt;0,INT(IF(Inputs!$B$38="pvp",MIN(Skills!I7,15),Skills!I7)/Skills!H7+0.000000001),1)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IFERROR(1/(IF(Inputs!$B$38="pvp",15,MAX(0.1,Skills!D7-IF(TRUE=TRUE,Inputs!$B$32,0)))*(1-IF(AND(ArtifactsInput!$M$27,Inputs!$B$4="Chapter Hunt"),CHOOSE(ArtifactsInput!$N$27+1,20,24,28,32,36,40),0)/100)),0)</f>
        <v/>
      </c>
      <c r="R330">
        <f>IF(AND(Inputs!$B$38&lt;&gt;"pvp",Inputs!$B$43&gt;0),IF(MAX(0,Inputs!$B$43-B359)&lt;=0,0,(INT(MAX(0,Inputs!$B$43-B359)/(IF(Inputs!$B$38="pvp",15,MAX(0.1,Skills!D7-IF(TRUE=TRUE,Inputs!$B$32,0)))*(1-IF(AND(ArtifactsInput!$M$27,Inputs!$B$4="Chapter Hunt"),CHOOSE(ArtifactsInput!$N$27+1,20,24,28,32,36,40),0)/100)))+1)),0)</f>
        <v/>
      </c>
      <c r="S330">
        <f>IFERROR(O330/N330,0)</f>
        <v/>
      </c>
      <c r="T330">
        <f>IF(C330,(H330*N330*IF(AND(Inputs!$B$38&lt;&gt;"pvp",Inputs!$B$43&gt;0),((Skills!G7*((R330-1)*IF(Skills!H7&gt;0,INT(Skills!I7/Skills!H7+0.000000001),1)+IF(Skills!H7&gt;0,INT(MIN(Skills!I7,MAX(0,MAX(0,Inputs!$B$43-B359)-((R330-1)*(IF(Inputs!$B$38="pvp",15,MAX(0.1,Skills!D7-IF(TRUE=TRUE,Inputs!$B$32,0)))*(1-IF(AND(ArtifactsInput!$M$27,Inputs!$B$4="Chapter Hunt"),CHOOSE(ArtifactsInput!$N$27+1,20,24,28,32,36,40),0)/100)))))/Skills!H7+0.000000001),1)))/Inputs!$B$43),G330*Q330))*IF(Inputs!$B$38="pvp",1,1+(Inputs!$B$20+0+Skills!P7+(((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INT(Skills!I7/Skills!H7+0.000000001),1)+IF(Skills!H7&gt;0,INT(MIN(Skills!I7,MAX(0,MAX(0,Inputs!$B$43-B359)-((R330-1)*(IF(Inputs!$B$38="pvp",15,MAX(0.1,Skills!D7-IF(TRUE=TRUE,Inputs!$B$32,0)))*(1-IF(AND(ArtifactsInput!$M$27,Inputs!$B$4="Chapter Hunt"),CHOOSE(ArtifactsInput!$N$27+1,20,24,28,32,36,40),0)/100)))))/Skills!H7+0.000000001),1)))/Inputs!$B$43),G330*Q330))*IF(Inputs!$B$38="pvp",1,(1+((Inputs!$B$21+1)+Skills!Q7+(((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Skills!G8*IF(Skills!H8&gt;0,INT(IF(Inputs!$B$38="pvp",MIN(Skills!I8,15),Skills!I8)/Skills!H8+0.000000001),1)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IFERROR(1/(IF(Inputs!$B$38="pvp",15,MAX(0.1,Skills!D8-IF(TRUE=TRUE,Inputs!$B$32,0)))*(1-IF(AND(ArtifactsInput!$M$27,Inputs!$B$4="Chapter Hunt"),CHOOSE(ArtifactsInput!$N$27+1,20,24,28,32,36,40),0)/100)),0)</f>
        <v/>
      </c>
      <c r="R331">
        <f>IF(AND(Inputs!$B$38&lt;&gt;"pvp",Inputs!$B$43&gt;0),IF(MAX(0,Inputs!$B$43-B359)&lt;=0,0,(INT(MAX(0,Inputs!$B$43-B359)/(IF(Inputs!$B$38="pvp",15,MAX(0.1,Skills!D8-IF(TRUE=TRUE,Inputs!$B$32,0)))*(1-IF(AND(ArtifactsInput!$M$27,Inputs!$B$4="Chapter Hunt"),CHOOSE(ArtifactsInput!$N$27+1,20,24,28,32,36,40),0)/100)))+1)),0)</f>
        <v/>
      </c>
      <c r="S331">
        <f>IFERROR(O331/N331,0)</f>
        <v/>
      </c>
      <c r="T331">
        <f>IF(C331,(H331*N331*IF(AND(Inputs!$B$38&lt;&gt;"pvp",Inputs!$B$43&gt;0),((Skills!G8*((R331-1)*IF(Skills!H8&gt;0,INT(Skills!I8/Skills!H8+0.000000001),1)+IF(Skills!H8&gt;0,INT(MIN(Skills!I8,MAX(0,MAX(0,Inputs!$B$43-B359)-((R331-1)*(IF(Inputs!$B$38="pvp",15,MAX(0.1,Skills!D8-IF(TRUE=TRUE,Inputs!$B$32,0)))*(1-IF(AND(ArtifactsInput!$M$27,Inputs!$B$4="Chapter Hunt"),CHOOSE(ArtifactsInput!$N$27+1,20,24,28,32,36,40),0)/100)))))/Skills!H8+0.000000001),1)))/Inputs!$B$43),G331*Q331))*IF(Inputs!$B$38="pvp",1,1+(Inputs!$B$20+0+Skills!P8+(((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INT(Skills!I8/Skills!H8+0.000000001),1)+IF(Skills!H8&gt;0,INT(MIN(Skills!I8,MAX(0,MAX(0,Inputs!$B$43-B359)-((R331-1)*(IF(Inputs!$B$38="pvp",15,MAX(0.1,Skills!D8-IF(TRUE=TRUE,Inputs!$B$32,0)))*(1-IF(AND(ArtifactsInput!$M$27,Inputs!$B$4="Chapter Hunt"),CHOOSE(ArtifactsInput!$N$27+1,20,24,28,32,36,40),0)/100)))))/Skills!H8+0.000000001),1)))/Inputs!$B$43),G331*Q331))*IF(Inputs!$B$38="pvp",1,(1+((Inputs!$B$21+1)+Skills!Q8+(((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Skills!G9*IF(Skills!H9&gt;0,INT(IF(Inputs!$B$38="pvp",MIN(Skills!I9,15),Skills!I9)/Skills!H9+0.000000001),1)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138,MAX(0,IF(Inputs!$B$3&gt;=118,8,IF(Inputs!$B$3&gt;=110,7,5))-5)*50,0),0)/100)*(1+(IF(Skills!A9="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IFERROR(1/(IF(Inputs!$B$38="pvp",15,MAX(0.1,Skills!D9-IF(TRUE=TRUE,Inputs!$B$32,0)))*(1-IF(AND(ArtifactsInput!$M$27,Inputs!$B$4="Chapter Hunt"),CHOOSE(ArtifactsInput!$N$27+1,20,24,28,32,36,40),0)/100)),0)</f>
        <v/>
      </c>
      <c r="R332">
        <f>IF(AND(Inputs!$B$38&lt;&gt;"pvp",Inputs!$B$43&gt;0),IF(MAX(0,Inputs!$B$43-B359)&lt;=0,0,(INT(MAX(0,Inputs!$B$43-B359)/(IF(Inputs!$B$38="pvp",15,MAX(0.1,Skills!D9-IF(TRUE=TRUE,Inputs!$B$32,0)))*(1-IF(AND(ArtifactsInput!$M$27,Inputs!$B$4="Chapter Hunt"),CHOOSE(ArtifactsInput!$N$27+1,20,24,28,32,36,40),0)/100)))+1)),0)</f>
        <v/>
      </c>
      <c r="S332">
        <f>IFERROR(O332/N332,0)</f>
        <v/>
      </c>
      <c r="T332">
        <f>IF(C332,(H332*N332*IF(AND(Inputs!$B$38&lt;&gt;"pvp",Inputs!$B$43&gt;0),((Skills!G9*((R332-1)*IF(Skills!H9&gt;0,INT(Skills!I9/Skills!H9+0.000000001),1)+IF(Skills!H9&gt;0,INT(MIN(Skills!I9,MAX(0,MAX(0,Inputs!$B$43-B359)-((R332-1)*(IF(Inputs!$B$38="pvp",15,MAX(0.1,Skills!D9-IF(TRUE=TRUE,Inputs!$B$32,0)))*(1-IF(AND(ArtifactsInput!$M$27,Inputs!$B$4="Chapter Hunt"),CHOOSE(ArtifactsInput!$N$27+1,20,24,28,32,36,40),0)/100)))))/Skills!H9+0.000000001),1)))/Inputs!$B$43),G332*Q332))*IF(Inputs!$B$38="pvp",1,1+(Inputs!$B$20+0+Skills!P9+(((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INT(Skills!I9/Skills!H9+0.000000001),1)+IF(Skills!H9&gt;0,INT(MIN(Skills!I9,MAX(0,MAX(0,Inputs!$B$43-B359)-((R332-1)*(IF(Inputs!$B$38="pvp",15,MAX(0.1,Skills!D9-IF(TRUE=TRUE,Inputs!$B$32,0)))*(1-IF(AND(ArtifactsInput!$M$27,Inputs!$B$4="Chapter Hunt"),CHOOSE(ArtifactsInput!$N$27+1,20,24,28,32,36,40),0)/100)))))/Skills!H9+0.000000001),1)))/Inputs!$B$43),G332*Q332))*IF(Inputs!$B$38="pvp",1,(1+((Inputs!$B$21+1)+Skills!Q9+(((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Skills!G10*IF(Skills!H10&gt;0,INT(IF(Inputs!$B$38="pvp",MIN(Skills!I10,15),Skills!I10)/Skills!H10+0.000000001),1)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138,MAX(0,IF(Inputs!$B$3&gt;=118,8,IF(Inputs!$B$3&gt;=110,7,5))-5)*50,0),0)/100)*(1+(IF(Skills!A10="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IFERROR(1/(IF(Inputs!$B$38="pvp",15,MAX(0.1,Skills!D10-IF(TRUE=TRUE,Inputs!$B$32,0)))*(1-IF(AND(ArtifactsInput!$M$27,Inputs!$B$4="Chapter Hunt"),CHOOSE(ArtifactsInput!$N$27+1,20,24,28,32,36,40),0)/100)),0)</f>
        <v/>
      </c>
      <c r="R333">
        <f>IF(AND(Inputs!$B$38&lt;&gt;"pvp",Inputs!$B$43&gt;0),IF(MAX(0,Inputs!$B$43-B359)&lt;=0,0,(INT(MAX(0,Inputs!$B$43-B359)/(IF(Inputs!$B$38="pvp",15,MAX(0.1,Skills!D10-IF(TRUE=TRUE,Inputs!$B$32,0)))*(1-IF(AND(ArtifactsInput!$M$27,Inputs!$B$4="Chapter Hunt"),CHOOSE(ArtifactsInput!$N$27+1,20,24,28,32,36,40),0)/100)))+1)),0)</f>
        <v/>
      </c>
      <c r="S333">
        <f>IFERROR(O333/N333,0)</f>
        <v/>
      </c>
      <c r="T333">
        <f>IF(C333,(H333*N333*IF(AND(Inputs!$B$38&lt;&gt;"pvp",Inputs!$B$43&gt;0),((Skills!G10*((R333-1)*IF(Skills!H10&gt;0,INT(Skills!I10/Skills!H10+0.000000001),1)+IF(Skills!H10&gt;0,INT(MIN(Skills!I10,MAX(0,MAX(0,Inputs!$B$43-B359)-((R333-1)*(IF(Inputs!$B$38="pvp",15,MAX(0.1,Skills!D10-IF(TRUE=TRUE,Inputs!$B$32,0)))*(1-IF(AND(ArtifactsInput!$M$27,Inputs!$B$4="Chapter Hunt"),CHOOSE(ArtifactsInput!$N$27+1,20,24,28,32,36,40),0)/100)))))/Skills!H10+0.000000001),1)))/Inputs!$B$43),G333*Q333))*IF(Inputs!$B$38="pvp",1,1+(Inputs!$B$20+0+Skills!P10+(((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INT(Skills!I10/Skills!H10+0.000000001),1)+IF(Skills!H10&gt;0,INT(MIN(Skills!I10,MAX(0,MAX(0,Inputs!$B$43-B359)-((R333-1)*(IF(Inputs!$B$38="pvp",15,MAX(0.1,Skills!D10-IF(TRUE=TRUE,Inputs!$B$32,0)))*(1-IF(AND(ArtifactsInput!$M$27,Inputs!$B$4="Chapter Hunt"),CHOOSE(ArtifactsInput!$N$27+1,20,24,28,32,36,40),0)/100)))))/Skills!H10+0.000000001),1)))/Inputs!$B$43),G333*Q333))*IF(Inputs!$B$38="pvp",1,(1+((Inputs!$B$21+1)+Skills!Q10+(((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Skills!G11*IF(Skills!H11&gt;0,INT(IF(Inputs!$B$38="pvp",MIN(Skills!I11,15),Skills!I11)/Skills!H11+0.000000001),1)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138,MAX(0,IF(Inputs!$B$3&gt;=118,8,IF(Inputs!$B$3&gt;=110,7,5))-5)*50,0),0)/100)*(1+(IF(Skills!A11="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IFERROR(1/(IF(Inputs!$B$38="pvp",15,MAX(0.1,Skills!D11-IF(TRUE=TRUE,Inputs!$B$32,0)))*(1-IF(AND(ArtifactsInput!$M$27,Inputs!$B$4="Chapter Hunt"),CHOOSE(ArtifactsInput!$N$27+1,20,24,28,32,36,40),0)/100)),0)</f>
        <v/>
      </c>
      <c r="R334">
        <f>IF(AND(Inputs!$B$38&lt;&gt;"pvp",Inputs!$B$43&gt;0),IF(MAX(0,Inputs!$B$43-B359)&lt;=0,0,(INT(MAX(0,Inputs!$B$43-B359)/(IF(Inputs!$B$38="pvp",15,MAX(0.1,Skills!D11-IF(TRUE=TRUE,Inputs!$B$32,0)))*(1-IF(AND(ArtifactsInput!$M$27,Inputs!$B$4="Chapter Hunt"),CHOOSE(ArtifactsInput!$N$27+1,20,24,28,32,36,40),0)/100)))+1)),0)</f>
        <v/>
      </c>
      <c r="S334">
        <f>IFERROR(O334/N334,0)</f>
        <v/>
      </c>
      <c r="T334">
        <f>IF(C334,(H334*N334*IF(AND(Inputs!$B$38&lt;&gt;"pvp",Inputs!$B$43&gt;0),((Skills!G11*((R334-1)*IF(Skills!H11&gt;0,INT(Skills!I11/Skills!H11+0.000000001),1)+IF(Skills!H11&gt;0,INT(MIN(Skills!I11,MAX(0,MAX(0,Inputs!$B$43-B359)-((R334-1)*(IF(Inputs!$B$38="pvp",15,MAX(0.1,Skills!D11-IF(TRUE=TRUE,Inputs!$B$32,0)))*(1-IF(AND(ArtifactsInput!$M$27,Inputs!$B$4="Chapter Hunt"),CHOOSE(ArtifactsInput!$N$27+1,20,24,28,32,36,40),0)/100)))))/Skills!H11+0.000000001),1)))/Inputs!$B$43),G334*Q334))*IF(Inputs!$B$38="pvp",1,1+(Inputs!$B$20+0+Skills!P11+(((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INT(Skills!I11/Skills!H11+0.000000001),1)+IF(Skills!H11&gt;0,INT(MIN(Skills!I11,MAX(0,MAX(0,Inputs!$B$43-B359)-((R334-1)*(IF(Inputs!$B$38="pvp",15,MAX(0.1,Skills!D11-IF(TRUE=TRUE,Inputs!$B$32,0)))*(1-IF(AND(ArtifactsInput!$M$27,Inputs!$B$4="Chapter Hunt"),CHOOSE(ArtifactsInput!$N$27+1,20,24,28,32,36,40),0)/100)))))/Skills!H11+0.000000001),1)))/Inputs!$B$43),G334*Q334))*IF(Inputs!$B$38="pvp",1,(1+((Inputs!$B$21+1)+Skills!Q11+(((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Skills!G13*IF(Skills!H13&gt;0,INT(IF(Inputs!$B$38="pvp",MIN(Skills!I13,15),Skills!I13)/Skills!H13+0.000000001),1)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Skills!G14*IF(Skills!H14&gt;0,INT(IF(Inputs!$B$38="pvp",MIN(Skills!I14,15),Skills!I14)/Skills!H14+0.000000001),1)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Skills!G15*IF(Skills!H15&gt;0,INT(IF(Inputs!$B$38="pvp",MIN(Skills!I15,15),Skills!I15)/Skills!H15+0.000000001),1)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IFERROR(1/(IF(Inputs!$B$38="pvp",15,MAX(0.1,Skills!D15-IF(TRUE=TRUE,Inputs!$B$32,0)))*(1-IF(AND(ArtifactsInput!$M$27,Inputs!$B$4="Chapter Hunt"),CHOOSE(ArtifactsInput!$N$27+1,20,24,28,32,36,40),0)/100)),0)</f>
        <v/>
      </c>
      <c r="R338">
        <f>IF(AND(Inputs!$B$38&lt;&gt;"pvp",Inputs!$B$43&gt;0),IF(Inputs!$B$43&lt;=0,0,(INT(Inputs!$B$43/(IF(Inputs!$B$38="pvp",15,MAX(0.1,Skills!D15-IF(TRUE=TRUE,Inputs!$B$32,0)))*(1-IF(AND(ArtifactsInput!$M$27,Inputs!$B$4="Chapter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Skills!G16*IF(Skills!H16&gt;0,INT(IF(Inputs!$B$38="pvp",MIN(Skills!I16,15),Skills!I16)/Skills!H16+0.000000001),1)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IFERROR(1/(IF(Inputs!$B$38="pvp",15,MAX(0.1,Skills!D16-IF(TRUE=TRUE,Inputs!$B$32,0)))*(1-IF(AND(ArtifactsInput!$M$27,Inputs!$B$4="Chapter Hunt"),CHOOSE(ArtifactsInput!$N$27+1,20,24,28,32,36,40),0)/100)),0)</f>
        <v/>
      </c>
      <c r="R339">
        <f>IF(AND(Inputs!$B$38&lt;&gt;"pvp",Inputs!$B$43&gt;0),IF(Inputs!$B$43&lt;=0,0,(INT(Inputs!$B$43/(IF(Inputs!$B$38="pvp",15,MAX(0.1,Skills!D16-IF(TRUE=TRUE,Inputs!$B$32,0)))*(1-IF(AND(ArtifactsInput!$M$27,Inputs!$B$4="Chapter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Skills!G17*IF(Skills!H17&gt;0,INT(IF(Inputs!$B$38="pvp",MIN(Skills!I17,15),Skills!I17)/Skills!H17+0.000000001),1)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IFERROR(1/(IF(Inputs!$B$38="pvp",15,MAX(0.1,Skills!D17-IF(TRUE=TRUE,Inputs!$B$32,0)))*(1-IF(AND(ArtifactsInput!$M$27,Inputs!$B$4="Chapter Hunt"),CHOOSE(ArtifactsInput!$N$27+1,20,24,28,32,36,40),0)/100)),0)</f>
        <v/>
      </c>
      <c r="R340">
        <f>IF(AND(Inputs!$B$38&lt;&gt;"pvp",Inputs!$B$43&gt;0),IF(Inputs!$B$43&lt;=0,0,(INT(Inputs!$B$43/(IF(Inputs!$B$38="pvp",15,MAX(0.1,Skills!D17-IF(TRUE=TRUE,Inputs!$B$32,0)))*(1-IF(AND(ArtifactsInput!$M$27,Inputs!$B$4="Chapter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Skills!G18*IF(Skills!H18&gt;0,INT(IF(Inputs!$B$38="pvp",MIN(Skills!I18,15),Skills!I18)/Skills!H18+0.000000001),1)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IFERROR(1/(IF(Inputs!$B$38="pvp",15,MAX(0.1,Skills!D18-IF(TRUE=TRUE,Inputs!$B$32,0)))*(1-IF(AND(ArtifactsInput!$M$27,Inputs!$B$4="Chapter Hunt"),CHOOSE(ArtifactsInput!$N$27+1,20,24,28,32,36,40),0)/100)),0)</f>
        <v/>
      </c>
      <c r="R341">
        <f>IF(AND(Inputs!$B$38&lt;&gt;"pvp",Inputs!$B$43&gt;0),IF(Inputs!$B$43&lt;=0,0,(INT(Inputs!$B$43/(IF(Inputs!$B$38="pvp",15,MAX(0.1,Skills!D18-IF(TRUE=TRUE,Inputs!$B$32,0)))*(1-IF(AND(ArtifactsInput!$M$27,Inputs!$B$4="Chapter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Skills!G19*IF(Skills!H19&gt;0,INT(IF(Inputs!$B$38="pvp",MIN(Skills!I19,15),Skills!I19)/Skills!H19+0.000000001),1)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IFERROR(1/(IF(Inputs!$B$38="pvp",15,MAX(0.1,Skills!D19-IF(TRUE=TRUE,Inputs!$B$32,0)))*(1-IF(AND(ArtifactsInput!$M$27,Inputs!$B$4="Chapter Hunt"),CHOOSE(ArtifactsInput!$N$27+1,20,24,28,32,36,40),0)/100)),0)</f>
        <v/>
      </c>
      <c r="R342">
        <f>IF(AND(Inputs!$B$38&lt;&gt;"pvp",Inputs!$B$43&gt;0),IF(Inputs!$B$43&lt;=0,0,(INT(Inputs!$B$43/(IF(Inputs!$B$38="pvp",15,MAX(0.1,Skills!D19-IF(TRUE=TRUE,Inputs!$B$32,0)))*(1-IF(AND(ArtifactsInput!$M$27,Inputs!$B$4="Chapter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Skills!G20*IF(Skills!H20&gt;0,INT(IF(Inputs!$B$38="pvp",MIN(Skills!I20,15),Skills!I20)/Skills!H20+0.000000001),1)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Skills!G21*IF(Skills!H21&gt;0,INT(IF(Inputs!$B$38="pvp",MIN(Skills!I21,15),Skills!I21)/Skills!H21+0.000000001),1)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Skills!G22*IF(Skills!H22&gt;0,INT(IF(Inputs!$B$38="pvp",MIN(Skills!I22,15),Skills!I22)/Skills!H22+0.000000001),1)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Skills!G23*IF(Skills!H23&gt;0,INT(IF(Inputs!$B$38="pvp",MIN(Skills!I23,15),Skills!I23)/Skills!H23+0.000000001),1)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Skills!G24*IF(Skills!H24&gt;0,INT(IF(Inputs!$B$38="pvp",MIN(Skills!I24,15),Skills!I24)/Skills!H24+0.000000001),1)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Skills!G25*IF(Skills!H25&gt;0,INT(IF(Inputs!$B$38="pvp",MIN(Skills!I25,15),Skills!I25)/Skills!H25+0.000000001),1)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Skills!G26*IF(Skills!H26&gt;0,INT(IF(Inputs!$B$38="pvp",MIN(Skills!I26,15),Skills!I26)/Skills!H26+0.000000001),1)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MIN((Skills!T19*(1+(Inputs!$B$34+(ArtifactsInput!$M$7-ArtifactsInput!$M$7)*CHOOSE(ArtifactsInput!$N$7+1,6,7.2,8.4,9.6,10.8,12))/100)),(1/Q342))+MIN((Skills!T19*(1+(Inputs!$B$34+(ArtifactsInput!$M$7-ArtifactsInput!$M$7)*CHOOSE(ArtifactsInput!$N$7+1,6,7.2,8.4,9.6,10.8,12))/100)),MAX(0,Inputs!$B$43-((R342-1)*(1/Q342)))))/Inputs!$B$43),IF(Inputs!$B$38="pvp",MIN((Skills!T19*(1+(Inputs!$B$34+(ArtifactsInput!$M$7-ArtifactsInput!$M$7)*CHOOSE(ArtifactsInput!$N$7+1,6,7.2,8.4,9.6,10.8,12))/100)),15)/15,MIN(1,(Skills!T19*(1+(Inputs!$B$34+(ArtifactsInput!$M$7-ArtifactsInput!$M$7)*CHOOSE(ArtifactsInput!$N$7+1,6,7.2,8.4,9.6,10.8,12))/100))/(1/Q342)))))</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MIN((Skills!T18*(1+(Inputs!$B$34+(ArtifactsInput!$M$7-ArtifactsInput!$M$7)*CHOOSE(ArtifactsInput!$N$7+1,6,7.2,8.4,9.6,10.8,12))/100)),(1/Q341))+MIN((Skills!T18*(1+(Inputs!$B$34+(ArtifactsInput!$M$7-ArtifactsInput!$M$7)*CHOOSE(ArtifactsInput!$N$7+1,6,7.2,8.4,9.6,10.8,12))/100)),MAX(0,Inputs!$B$43-((R341-1)*(1/Q341)))))/Inputs!$B$43),IF(Inputs!$B$38="pvp",MIN((Skills!T18*(1+(Inputs!$B$34+(ArtifactsInput!$M$7-ArtifactsInput!$M$7)*CHOOSE(ArtifactsInput!$N$7+1,6,7.2,8.4,9.6,10.8,12))/100)),15)/15,MIN(1,(Skills!T18*(1+(Inputs!$B$34+(ArtifactsInput!$M$7-ArtifactsInput!$M$7)*CHOOSE(ArtifactsInput!$N$7+1,6,7.2,8.4,9.6,10.8,12))/100))/(1/Q341)))))</f>
        <v/>
      </c>
    </row>
    <row r="358">
      <c r="A358" t="inlineStr">
        <is>
          <t>Global Final Damage Bonus % (Enrage + Combo Synergy)</t>
        </is>
      </c>
      <c r="B358">
        <f>((C340=TRUE)*F340*IF(AND(Inputs!$B$38&lt;&gt;"pvp",Inputs!$B$43&gt;0),(((R340-1)*MIN((Skills!T17*(1+(Inputs!$B$34+(ArtifactsInput!$M$7-ArtifactsInput!$M$7)*CHOOSE(ArtifactsInput!$N$7+1,6,7.2,8.4,9.6,10.8,12))/100)),(1/Q340))+MIN((Skills!T17*(1+(Inputs!$B$34+(ArtifactsInput!$M$7-ArtifactsInput!$M$7)*CHOOSE(ArtifactsInput!$N$7+1,6,7.2,8.4,9.6,10.8,12))/100)),MAX(0,Inputs!$B$43-((R340-1)*(1/Q340)))))/Inputs!$B$43),IF(Inputs!$B$38="pvp",MIN((Skills!T17*(1+(Inputs!$B$34+(ArtifactsInput!$M$7-ArtifactsInput!$M$7)*CHOOSE(ArtifactsInput!$N$7+1,6,7.2,8.4,9.6,10.8,12))/100)),15)/15,MIN(1,(Skills!T17*(1+(Inputs!$B$34+(ArtifactsInput!$M$7-ArtifactsInput!$M$7)*CHOOSE(ArtifactsInput!$N$7+1,6,7.2,8.4,9.6,10.8,12))/100))/(1/Q340)))))+((C337=TRUE)*F337*IF(Inputs!$B$3&gt;=118,8,IF(Inputs!$B$3&gt;=110,7,5)))+IF(Inputs!$B$3&gt;=98,5,0)</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Skills!G2*IF(Skills!H2&gt;0,INT(IF(Inputs!$B$38="pvp",MIN(Skills!I2,15),Skills!I2)/Skills!H2+0.000000001),1)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Skills!G5*IF(Skills!H5&gt;0,INT(IF(Inputs!$B$38="pvp",MIN(Skills!I5,15),Skills!I5)/Skills!H5+0.000000001),1)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IFERROR(1/(IF(Inputs!$B$38="pvp",15,MAX(0.1,Skills!D5-IF(TRUE=TRUE,Inputs!$B$32,0)))*(1-IF(AND(ArtifactsInput!$M$27,Inputs!$B$4="Chapter Hunt"),CHOOSE(ArtifactsInput!$N$27+1,20,24,28,32,36,40),0)/100)),0)</f>
        <v/>
      </c>
      <c r="R370">
        <f>IF(AND(Inputs!$B$38&lt;&gt;"pvp",Inputs!$B$43&gt;0),IF(MAX(0,Inputs!$B$43-B401)&lt;=0,0,(INT(MAX(0,Inputs!$B$43-B401)/(IF(Inputs!$B$38="pvp",15,MAX(0.1,Skills!D5-IF(TRUE=TRUE,Inputs!$B$32,0)))*(1-IF(AND(ArtifactsInput!$M$27,Inputs!$B$4="Chapter Hunt"),CHOOSE(ArtifactsInput!$N$27+1,20,24,28,32,36,40),0)/100)))+1)),0)</f>
        <v/>
      </c>
      <c r="S370">
        <f>IFERROR(O370/N370,0)</f>
        <v/>
      </c>
      <c r="T370">
        <f>IF(C370,(H370*N370*IF(AND(Inputs!$B$38&lt;&gt;"pvp",Inputs!$B$43&gt;0),((Skills!G5*((R370-1)*IF(Skills!H5&gt;0,INT(Skills!I5/Skills!H5+0.000000001),1)+IF(Skills!H5&gt;0,INT(MIN(Skills!I5,MAX(0,MAX(0,Inputs!$B$43-B401)-((R370-1)*(IF(Inputs!$B$38="pvp",15,MAX(0.1,Skills!D5-IF(TRUE=TRUE,Inputs!$B$32,0)))*(1-IF(AND(ArtifactsInput!$M$27,Inputs!$B$4="Chapter Hunt"),CHOOSE(ArtifactsInput!$N$27+1,20,24,28,32,36,40),0)/100)))))/Skills!H5+0.000000001),1)))/Inputs!$B$43),G370*Q370))*IF(Inputs!$B$38="pvp",1,1+(Inputs!$B$20+0+Skills!P5+(((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INT(Skills!I5/Skills!H5+0.000000001),1)+IF(Skills!H5&gt;0,INT(MIN(Skills!I5,MAX(0,MAX(0,Inputs!$B$43-B401)-((R370-1)*(IF(Inputs!$B$38="pvp",15,MAX(0.1,Skills!D5-IF(TRUE=TRUE,Inputs!$B$32,0)))*(1-IF(AND(ArtifactsInput!$M$27,Inputs!$B$4="Chapter Hunt"),CHOOSE(ArtifactsInput!$N$27+1,20,24,28,32,36,40),0)/100)))))/Skills!H5+0.000000001),1)))/Inputs!$B$43),G370*Q370))*IF(Inputs!$B$38="pvp",1,(1+(Inputs!$B$21+Skills!Q5+(((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Skills!G6*IF(Skills!H6&gt;0,INT(IF(Inputs!$B$38="pvp",MIN(Skills!I6,15),Skills!I6)/Skills!H6+0.000000001),1)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IFERROR(1/(IF(Inputs!$B$38="pvp",15,MAX(0.1,Skills!D6-IF(TRUE=TRUE,Inputs!$B$32,0)))*(1-IF(AND(ArtifactsInput!$M$27,Inputs!$B$4="Chapter Hunt"),CHOOSE(ArtifactsInput!$N$27+1,20,24,28,32,36,40),0)/100)),0)</f>
        <v/>
      </c>
      <c r="R371">
        <f>IF(AND(Inputs!$B$38&lt;&gt;"pvp",Inputs!$B$43&gt;0),IF(MAX(0,Inputs!$B$43-B401)&lt;=0,0,(INT(MAX(0,Inputs!$B$43-B401)/(IF(Inputs!$B$38="pvp",15,MAX(0.1,Skills!D6-IF(TRUE=TRUE,Inputs!$B$32,0)))*(1-IF(AND(ArtifactsInput!$M$27,Inputs!$B$4="Chapter Hunt"),CHOOSE(ArtifactsInput!$N$27+1,20,24,28,32,36,40),0)/100)))+1)),0)</f>
        <v/>
      </c>
      <c r="S371">
        <f>IFERROR(O371/N371,0)</f>
        <v/>
      </c>
      <c r="T371">
        <f>IF(C371,(H371*N371*IF(AND(Inputs!$B$38&lt;&gt;"pvp",Inputs!$B$43&gt;0),((Skills!G6*((R371-1)*IF(Skills!H6&gt;0,INT(Skills!I6/Skills!H6+0.000000001),1)+IF(Skills!H6&gt;0,INT(MIN(Skills!I6,MAX(0,MAX(0,Inputs!$B$43-B401)-((R371-1)*(IF(Inputs!$B$38="pvp",15,MAX(0.1,Skills!D6-IF(TRUE=TRUE,Inputs!$B$32,0)))*(1-IF(AND(ArtifactsInput!$M$27,Inputs!$B$4="Chapter Hunt"),CHOOSE(ArtifactsInput!$N$27+1,20,24,28,32,36,40),0)/100)))))/Skills!H6+0.000000001),1)))/Inputs!$B$43),G371*Q371))*IF(Inputs!$B$38="pvp",1,1+(Inputs!$B$20+0+Skills!P6+(((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INT(Skills!I6/Skills!H6+0.000000001),1)+IF(Skills!H6&gt;0,INT(MIN(Skills!I6,MAX(0,MAX(0,Inputs!$B$43-B401)-((R371-1)*(IF(Inputs!$B$38="pvp",15,MAX(0.1,Skills!D6-IF(TRUE=TRUE,Inputs!$B$32,0)))*(1-IF(AND(ArtifactsInput!$M$27,Inputs!$B$4="Chapter Hunt"),CHOOSE(ArtifactsInput!$N$27+1,20,24,28,32,36,40),0)/100)))))/Skills!H6+0.000000001),1)))/Inputs!$B$43),G371*Q371))*IF(Inputs!$B$38="pvp",1,(1+(Inputs!$B$21+Skills!Q6+(((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Skills!G7*IF(Skills!H7&gt;0,INT(IF(Inputs!$B$38="pvp",MIN(Skills!I7,15),Skills!I7)/Skills!H7+0.000000001),1)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IFERROR(1/(IF(Inputs!$B$38="pvp",15,MAX(0.1,Skills!D7-IF(TRUE=TRUE,Inputs!$B$32,0)))*(1-IF(AND(ArtifactsInput!$M$27,Inputs!$B$4="Chapter Hunt"),CHOOSE(ArtifactsInput!$N$27+1,20,24,28,32,36,40),0)/100)),0)</f>
        <v/>
      </c>
      <c r="R372">
        <f>IF(AND(Inputs!$B$38&lt;&gt;"pvp",Inputs!$B$43&gt;0),IF(MAX(0,Inputs!$B$43-B401)&lt;=0,0,(INT(MAX(0,Inputs!$B$43-B401)/(IF(Inputs!$B$38="pvp",15,MAX(0.1,Skills!D7-IF(TRUE=TRUE,Inputs!$B$32,0)))*(1-IF(AND(ArtifactsInput!$M$27,Inputs!$B$4="Chapter Hunt"),CHOOSE(ArtifactsInput!$N$27+1,20,24,28,32,36,40),0)/100)))+1)),0)</f>
        <v/>
      </c>
      <c r="S372">
        <f>IFERROR(O372/N372,0)</f>
        <v/>
      </c>
      <c r="T372">
        <f>IF(C372,(H372*N372*IF(AND(Inputs!$B$38&lt;&gt;"pvp",Inputs!$B$43&gt;0),((Skills!G7*((R372-1)*IF(Skills!H7&gt;0,INT(Skills!I7/Skills!H7+0.000000001),1)+IF(Skills!H7&gt;0,INT(MIN(Skills!I7,MAX(0,MAX(0,Inputs!$B$43-B401)-((R372-1)*(IF(Inputs!$B$38="pvp",15,MAX(0.1,Skills!D7-IF(TRUE=TRUE,Inputs!$B$32,0)))*(1-IF(AND(ArtifactsInput!$M$27,Inputs!$B$4="Chapter Hunt"),CHOOSE(ArtifactsInput!$N$27+1,20,24,28,32,36,40),0)/100)))))/Skills!H7+0.000000001),1)))/Inputs!$B$43),G372*Q372))*IF(Inputs!$B$38="pvp",1,1+(Inputs!$B$20+0+Skills!P7+(((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INT(Skills!I7/Skills!H7+0.000000001),1)+IF(Skills!H7&gt;0,INT(MIN(Skills!I7,MAX(0,MAX(0,Inputs!$B$43-B401)-((R372-1)*(IF(Inputs!$B$38="pvp",15,MAX(0.1,Skills!D7-IF(TRUE=TRUE,Inputs!$B$32,0)))*(1-IF(AND(ArtifactsInput!$M$27,Inputs!$B$4="Chapter Hunt"),CHOOSE(ArtifactsInput!$N$27+1,20,24,28,32,36,40),0)/100)))))/Skills!H7+0.000000001),1)))/Inputs!$B$43),G372*Q372))*IF(Inputs!$B$38="pvp",1,(1+(Inputs!$B$21+Skills!Q7+(((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Skills!G8*IF(Skills!H8&gt;0,INT(IF(Inputs!$B$38="pvp",MIN(Skills!I8,15),Skills!I8)/Skills!H8+0.000000001),1)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IFERROR(1/(IF(Inputs!$B$38="pvp",15,MAX(0.1,Skills!D8-IF(TRUE=TRUE,Inputs!$B$32,0)))*(1-IF(AND(ArtifactsInput!$M$27,Inputs!$B$4="Chapter Hunt"),CHOOSE(ArtifactsInput!$N$27+1,20,24,28,32,36,40),0)/100)),0)</f>
        <v/>
      </c>
      <c r="R373">
        <f>IF(AND(Inputs!$B$38&lt;&gt;"pvp",Inputs!$B$43&gt;0),IF(MAX(0,Inputs!$B$43-B401)&lt;=0,0,(INT(MAX(0,Inputs!$B$43-B401)/(IF(Inputs!$B$38="pvp",15,MAX(0.1,Skills!D8-IF(TRUE=TRUE,Inputs!$B$32,0)))*(1-IF(AND(ArtifactsInput!$M$27,Inputs!$B$4="Chapter Hunt"),CHOOSE(ArtifactsInput!$N$27+1,20,24,28,32,36,40),0)/100)))+1)),0)</f>
        <v/>
      </c>
      <c r="S373">
        <f>IFERROR(O373/N373,0)</f>
        <v/>
      </c>
      <c r="T373">
        <f>IF(C373,(H373*N373*IF(AND(Inputs!$B$38&lt;&gt;"pvp",Inputs!$B$43&gt;0),((Skills!G8*((R373-1)*IF(Skills!H8&gt;0,INT(Skills!I8/Skills!H8+0.000000001),1)+IF(Skills!H8&gt;0,INT(MIN(Skills!I8,MAX(0,MAX(0,Inputs!$B$43-B401)-((R373-1)*(IF(Inputs!$B$38="pvp",15,MAX(0.1,Skills!D8-IF(TRUE=TRUE,Inputs!$B$32,0)))*(1-IF(AND(ArtifactsInput!$M$27,Inputs!$B$4="Chapter Hunt"),CHOOSE(ArtifactsInput!$N$27+1,20,24,28,32,36,40),0)/100)))))/Skills!H8+0.000000001),1)))/Inputs!$B$43),G373*Q373))*IF(Inputs!$B$38="pvp",1,1+(Inputs!$B$20+0+Skills!P8+(((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INT(Skills!I8/Skills!H8+0.000000001),1)+IF(Skills!H8&gt;0,INT(MIN(Skills!I8,MAX(0,MAX(0,Inputs!$B$43-B401)-((R373-1)*(IF(Inputs!$B$38="pvp",15,MAX(0.1,Skills!D8-IF(TRUE=TRUE,Inputs!$B$32,0)))*(1-IF(AND(ArtifactsInput!$M$27,Inputs!$B$4="Chapter Hunt"),CHOOSE(ArtifactsInput!$N$27+1,20,24,28,32,36,40),0)/100)))))/Skills!H8+0.000000001),1)))/Inputs!$B$43),G373*Q373))*IF(Inputs!$B$38="pvp",1,(1+(Inputs!$B$21+Skills!Q8+(((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Skills!G9*IF(Skills!H9&gt;0,INT(IF(Inputs!$B$38="pvp",MIN(Skills!I9,15),Skills!I9)/Skills!H9+0.000000001),1)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138,MAX(0,IF(Inputs!$B$3&gt;=118,8,IF(Inputs!$B$3&gt;=110,7,5))-5)*50,0),0)/100)*(1+(IF(Skills!A9="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IFERROR(1/(IF(Inputs!$B$38="pvp",15,MAX(0.1,Skills!D9-IF(TRUE=TRUE,Inputs!$B$32,0)))*(1-IF(AND(ArtifactsInput!$M$27,Inputs!$B$4="Chapter Hunt"),CHOOSE(ArtifactsInput!$N$27+1,20,24,28,32,36,40),0)/100)),0)</f>
        <v/>
      </c>
      <c r="R374">
        <f>IF(AND(Inputs!$B$38&lt;&gt;"pvp",Inputs!$B$43&gt;0),IF(MAX(0,Inputs!$B$43-B401)&lt;=0,0,(INT(MAX(0,Inputs!$B$43-B401)/(IF(Inputs!$B$38="pvp",15,MAX(0.1,Skills!D9-IF(TRUE=TRUE,Inputs!$B$32,0)))*(1-IF(AND(ArtifactsInput!$M$27,Inputs!$B$4="Chapter Hunt"),CHOOSE(ArtifactsInput!$N$27+1,20,24,28,32,36,40),0)/100)))+1)),0)</f>
        <v/>
      </c>
      <c r="S374">
        <f>IFERROR(O374/N374,0)</f>
        <v/>
      </c>
      <c r="T374">
        <f>IF(C374,(H374*N374*IF(AND(Inputs!$B$38&lt;&gt;"pvp",Inputs!$B$43&gt;0),((Skills!G9*((R374-1)*IF(Skills!H9&gt;0,INT(Skills!I9/Skills!H9+0.000000001),1)+IF(Skills!H9&gt;0,INT(MIN(Skills!I9,MAX(0,MAX(0,Inputs!$B$43-B401)-((R374-1)*(IF(Inputs!$B$38="pvp",15,MAX(0.1,Skills!D9-IF(TRUE=TRUE,Inputs!$B$32,0)))*(1-IF(AND(ArtifactsInput!$M$27,Inputs!$B$4="Chapter Hunt"),CHOOSE(ArtifactsInput!$N$27+1,20,24,28,32,36,40),0)/100)))))/Skills!H9+0.000000001),1)))/Inputs!$B$43),G374*Q374))*IF(Inputs!$B$38="pvp",1,1+(Inputs!$B$20+0+Skills!P9+(((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INT(Skills!I9/Skills!H9+0.000000001),1)+IF(Skills!H9&gt;0,INT(MIN(Skills!I9,MAX(0,MAX(0,Inputs!$B$43-B401)-((R374-1)*(IF(Inputs!$B$38="pvp",15,MAX(0.1,Skills!D9-IF(TRUE=TRUE,Inputs!$B$32,0)))*(1-IF(AND(ArtifactsInput!$M$27,Inputs!$B$4="Chapter Hunt"),CHOOSE(ArtifactsInput!$N$27+1,20,24,28,32,36,40),0)/100)))))/Skills!H9+0.000000001),1)))/Inputs!$B$43),G374*Q374))*IF(Inputs!$B$38="pvp",1,(1+(Inputs!$B$21+Skills!Q9+(((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Skills!G10*IF(Skills!H10&gt;0,INT(IF(Inputs!$B$38="pvp",MIN(Skills!I10,15),Skills!I10)/Skills!H10+0.000000001),1)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138,MAX(0,IF(Inputs!$B$3&gt;=118,8,IF(Inputs!$B$3&gt;=110,7,5))-5)*50,0),0)/100)*(1+(IF(Skills!A10="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IFERROR(1/(IF(Inputs!$B$38="pvp",15,MAX(0.1,Skills!D10-IF(TRUE=TRUE,Inputs!$B$32,0)))*(1-IF(AND(ArtifactsInput!$M$27,Inputs!$B$4="Chapter Hunt"),CHOOSE(ArtifactsInput!$N$27+1,20,24,28,32,36,40),0)/100)),0)</f>
        <v/>
      </c>
      <c r="R375">
        <f>IF(AND(Inputs!$B$38&lt;&gt;"pvp",Inputs!$B$43&gt;0),IF(MAX(0,Inputs!$B$43-B401)&lt;=0,0,(INT(MAX(0,Inputs!$B$43-B401)/(IF(Inputs!$B$38="pvp",15,MAX(0.1,Skills!D10-IF(TRUE=TRUE,Inputs!$B$32,0)))*(1-IF(AND(ArtifactsInput!$M$27,Inputs!$B$4="Chapter Hunt"),CHOOSE(ArtifactsInput!$N$27+1,20,24,28,32,36,40),0)/100)))+1)),0)</f>
        <v/>
      </c>
      <c r="S375">
        <f>IFERROR(O375/N375,0)</f>
        <v/>
      </c>
      <c r="T375">
        <f>IF(C375,(H375*N375*IF(AND(Inputs!$B$38&lt;&gt;"pvp",Inputs!$B$43&gt;0),((Skills!G10*((R375-1)*IF(Skills!H10&gt;0,INT(Skills!I10/Skills!H10+0.000000001),1)+IF(Skills!H10&gt;0,INT(MIN(Skills!I10,MAX(0,MAX(0,Inputs!$B$43-B401)-((R375-1)*(IF(Inputs!$B$38="pvp",15,MAX(0.1,Skills!D10-IF(TRUE=TRUE,Inputs!$B$32,0)))*(1-IF(AND(ArtifactsInput!$M$27,Inputs!$B$4="Chapter Hunt"),CHOOSE(ArtifactsInput!$N$27+1,20,24,28,32,36,40),0)/100)))))/Skills!H10+0.000000001),1)))/Inputs!$B$43),G375*Q375))*IF(Inputs!$B$38="pvp",1,1+(Inputs!$B$20+0+Skills!P10+(((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INT(Skills!I10/Skills!H10+0.000000001),1)+IF(Skills!H10&gt;0,INT(MIN(Skills!I10,MAX(0,MAX(0,Inputs!$B$43-B401)-((R375-1)*(IF(Inputs!$B$38="pvp",15,MAX(0.1,Skills!D10-IF(TRUE=TRUE,Inputs!$B$32,0)))*(1-IF(AND(ArtifactsInput!$M$27,Inputs!$B$4="Chapter Hunt"),CHOOSE(ArtifactsInput!$N$27+1,20,24,28,32,36,40),0)/100)))))/Skills!H10+0.000000001),1)))/Inputs!$B$43),G375*Q375))*IF(Inputs!$B$38="pvp",1,(1+(Inputs!$B$21+Skills!Q10+(((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Skills!G11*IF(Skills!H11&gt;0,INT(IF(Inputs!$B$38="pvp",MIN(Skills!I11,15),Skills!I11)/Skills!H11+0.000000001),1)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138,MAX(0,IF(Inputs!$B$3&gt;=118,8,IF(Inputs!$B$3&gt;=110,7,5))-5)*50,0),0)/100)*(1+(IF(Skills!A11="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IFERROR(1/(IF(Inputs!$B$38="pvp",15,MAX(0.1,Skills!D11-IF(TRUE=TRUE,Inputs!$B$32,0)))*(1-IF(AND(ArtifactsInput!$M$27,Inputs!$B$4="Chapter Hunt"),CHOOSE(ArtifactsInput!$N$27+1,20,24,28,32,36,40),0)/100)),0)</f>
        <v/>
      </c>
      <c r="R376">
        <f>IF(AND(Inputs!$B$38&lt;&gt;"pvp",Inputs!$B$43&gt;0),IF(MAX(0,Inputs!$B$43-B401)&lt;=0,0,(INT(MAX(0,Inputs!$B$43-B401)/(IF(Inputs!$B$38="pvp",15,MAX(0.1,Skills!D11-IF(TRUE=TRUE,Inputs!$B$32,0)))*(1-IF(AND(ArtifactsInput!$M$27,Inputs!$B$4="Chapter Hunt"),CHOOSE(ArtifactsInput!$N$27+1,20,24,28,32,36,40),0)/100)))+1)),0)</f>
        <v/>
      </c>
      <c r="S376">
        <f>IFERROR(O376/N376,0)</f>
        <v/>
      </c>
      <c r="T376">
        <f>IF(C376,(H376*N376*IF(AND(Inputs!$B$38&lt;&gt;"pvp",Inputs!$B$43&gt;0),((Skills!G11*((R376-1)*IF(Skills!H11&gt;0,INT(Skills!I11/Skills!H11+0.000000001),1)+IF(Skills!H11&gt;0,INT(MIN(Skills!I11,MAX(0,MAX(0,Inputs!$B$43-B401)-((R376-1)*(IF(Inputs!$B$38="pvp",15,MAX(0.1,Skills!D11-IF(TRUE=TRUE,Inputs!$B$32,0)))*(1-IF(AND(ArtifactsInput!$M$27,Inputs!$B$4="Chapter Hunt"),CHOOSE(ArtifactsInput!$N$27+1,20,24,28,32,36,40),0)/100)))))/Skills!H11+0.000000001),1)))/Inputs!$B$43),G376*Q376))*IF(Inputs!$B$38="pvp",1,1+(Inputs!$B$20+0+Skills!P11+(((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INT(Skills!I11/Skills!H11+0.000000001),1)+IF(Skills!H11&gt;0,INT(MIN(Skills!I11,MAX(0,MAX(0,Inputs!$B$43-B401)-((R376-1)*(IF(Inputs!$B$38="pvp",15,MAX(0.1,Skills!D11-IF(TRUE=TRUE,Inputs!$B$32,0)))*(1-IF(AND(ArtifactsInput!$M$27,Inputs!$B$4="Chapter Hunt"),CHOOSE(ArtifactsInput!$N$27+1,20,24,28,32,36,40),0)/100)))))/Skills!H11+0.000000001),1)))/Inputs!$B$43),G376*Q376))*IF(Inputs!$B$38="pvp",1,(1+(Inputs!$B$21+Skills!Q11+(((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Skills!G13*IF(Skills!H13&gt;0,INT(IF(Inputs!$B$38="pvp",MIN(Skills!I13,15),Skills!I13)/Skills!H13+0.000000001),1)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Skills!G14*IF(Skills!H14&gt;0,INT(IF(Inputs!$B$38="pvp",MIN(Skills!I14,15),Skills!I14)/Skills!H14+0.000000001),1)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Skills!G15*IF(Skills!H15&gt;0,INT(IF(Inputs!$B$38="pvp",MIN(Skills!I15,15),Skills!I15)/Skills!H15+0.000000001),1)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IFERROR(1/(IF(Inputs!$B$38="pvp",15,MAX(0.1,Skills!D15-IF(TRUE=TRUE,Inputs!$B$32,0)))*(1-IF(AND(ArtifactsInput!$M$27,Inputs!$B$4="Chapter Hunt"),CHOOSE(ArtifactsInput!$N$27+1,20,24,28,32,36,40),0)/100)),0)</f>
        <v/>
      </c>
      <c r="R380">
        <f>IF(AND(Inputs!$B$38&lt;&gt;"pvp",Inputs!$B$43&gt;0),IF(Inputs!$B$43&lt;=0,0,(INT(Inputs!$B$43/(IF(Inputs!$B$38="pvp",15,MAX(0.1,Skills!D15-IF(TRUE=TRUE,Inputs!$B$32,0)))*(1-IF(AND(ArtifactsInput!$M$27,Inputs!$B$4="Chapter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Skills!G16*IF(Skills!H16&gt;0,INT(IF(Inputs!$B$38="pvp",MIN(Skills!I16,15),Skills!I16)/Skills!H16+0.000000001),1)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IFERROR(1/(IF(Inputs!$B$38="pvp",15,MAX(0.1,Skills!D16-IF(TRUE=TRUE,Inputs!$B$32,0)))*(1-IF(AND(ArtifactsInput!$M$27,Inputs!$B$4="Chapter Hunt"),CHOOSE(ArtifactsInput!$N$27+1,20,24,28,32,36,40),0)/100)),0)</f>
        <v/>
      </c>
      <c r="R381">
        <f>IF(AND(Inputs!$B$38&lt;&gt;"pvp",Inputs!$B$43&gt;0),IF(Inputs!$B$43&lt;=0,0,(INT(Inputs!$B$43/(IF(Inputs!$B$38="pvp",15,MAX(0.1,Skills!D16-IF(TRUE=TRUE,Inputs!$B$32,0)))*(1-IF(AND(ArtifactsInput!$M$27,Inputs!$B$4="Chapter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Skills!G17*IF(Skills!H17&gt;0,INT(IF(Inputs!$B$38="pvp",MIN(Skills!I17,15),Skills!I17)/Skills!H17+0.000000001),1)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IFERROR(1/(IF(Inputs!$B$38="pvp",15,MAX(0.1,Skills!D17-IF(TRUE=TRUE,Inputs!$B$32,0)))*(1-IF(AND(ArtifactsInput!$M$27,Inputs!$B$4="Chapter Hunt"),CHOOSE(ArtifactsInput!$N$27+1,20,24,28,32,36,40),0)/100)),0)</f>
        <v/>
      </c>
      <c r="R382">
        <f>IF(AND(Inputs!$B$38&lt;&gt;"pvp",Inputs!$B$43&gt;0),IF(Inputs!$B$43&lt;=0,0,(INT(Inputs!$B$43/(IF(Inputs!$B$38="pvp",15,MAX(0.1,Skills!D17-IF(TRUE=TRUE,Inputs!$B$32,0)))*(1-IF(AND(ArtifactsInput!$M$27,Inputs!$B$4="Chapter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Skills!G18*IF(Skills!H18&gt;0,INT(IF(Inputs!$B$38="pvp",MIN(Skills!I18,15),Skills!I18)/Skills!H18+0.000000001),1)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IFERROR(1/(IF(Inputs!$B$38="pvp",15,MAX(0.1,Skills!D18-IF(TRUE=TRUE,Inputs!$B$32,0)))*(1-IF(AND(ArtifactsInput!$M$27,Inputs!$B$4="Chapter Hunt"),CHOOSE(ArtifactsInput!$N$27+1,20,24,28,32,36,40),0)/100)),0)</f>
        <v/>
      </c>
      <c r="R383">
        <f>IF(AND(Inputs!$B$38&lt;&gt;"pvp",Inputs!$B$43&gt;0),IF(Inputs!$B$43&lt;=0,0,(INT(Inputs!$B$43/(IF(Inputs!$B$38="pvp",15,MAX(0.1,Skills!D18-IF(TRUE=TRUE,Inputs!$B$32,0)))*(1-IF(AND(ArtifactsInput!$M$27,Inputs!$B$4="Chapter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Skills!G19*IF(Skills!H19&gt;0,INT(IF(Inputs!$B$38="pvp",MIN(Skills!I19,15),Skills!I19)/Skills!H19+0.000000001),1)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IFERROR(1/(IF(Inputs!$B$38="pvp",15,MAX(0.1,Skills!D19-IF(TRUE=TRUE,Inputs!$B$32,0)))*(1-IF(AND(ArtifactsInput!$M$27,Inputs!$B$4="Chapter Hunt"),CHOOSE(ArtifactsInput!$N$27+1,20,24,28,32,36,40),0)/100)),0)</f>
        <v/>
      </c>
      <c r="R384">
        <f>IF(AND(Inputs!$B$38&lt;&gt;"pvp",Inputs!$B$43&gt;0),IF(Inputs!$B$43&lt;=0,0,(INT(Inputs!$B$43/(IF(Inputs!$B$38="pvp",15,MAX(0.1,Skills!D19-IF(TRUE=TRUE,Inputs!$B$32,0)))*(1-IF(AND(ArtifactsInput!$M$27,Inputs!$B$4="Chapter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Skills!G20*IF(Skills!H20&gt;0,INT(IF(Inputs!$B$38="pvp",MIN(Skills!I20,15),Skills!I20)/Skills!H20+0.000000001),1)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Skills!G21*IF(Skills!H21&gt;0,INT(IF(Inputs!$B$38="pvp",MIN(Skills!I21,15),Skills!I21)/Skills!H21+0.000000001),1)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Skills!G22*IF(Skills!H22&gt;0,INT(IF(Inputs!$B$38="pvp",MIN(Skills!I22,15),Skills!I22)/Skills!H22+0.000000001),1)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Skills!G23*IF(Skills!H23&gt;0,INT(IF(Inputs!$B$38="pvp",MIN(Skills!I23,15),Skills!I23)/Skills!H23+0.000000001),1)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Skills!G24*IF(Skills!H24&gt;0,INT(IF(Inputs!$B$38="pvp",MIN(Skills!I24,15),Skills!I24)/Skills!H24+0.000000001),1)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Skills!G25*IF(Skills!H25&gt;0,INT(IF(Inputs!$B$38="pvp",MIN(Skills!I25,15),Skills!I25)/Skills!H25+0.000000001),1)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Skills!G26*IF(Skills!H26&gt;0,INT(IF(Inputs!$B$38="pvp",MIN(Skills!I26,15),Skills!I26)/Skills!H26+0.000000001),1)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MIN((Skills!T19*(1+(Inputs!$B$34+(ArtifactsInput!$M$7-ArtifactsInput!$M$7)*CHOOSE(ArtifactsInput!$N$7+1,6,7.2,8.4,9.6,10.8,12))/100)),(1/Q384))+MIN((Skills!T19*(1+(Inputs!$B$34+(ArtifactsInput!$M$7-ArtifactsInput!$M$7)*CHOOSE(ArtifactsInput!$N$7+1,6,7.2,8.4,9.6,10.8,12))/100)),MAX(0,Inputs!$B$43-((R384-1)*(1/Q384)))))/Inputs!$B$43),IF(Inputs!$B$38="pvp",MIN((Skills!T19*(1+(Inputs!$B$34+(ArtifactsInput!$M$7-ArtifactsInput!$M$7)*CHOOSE(ArtifactsInput!$N$7+1,6,7.2,8.4,9.6,10.8,12))/100)),15)/15,MIN(1,(Skills!T19*(1+(Inputs!$B$34+(ArtifactsInput!$M$7-ArtifactsInput!$M$7)*CHOOSE(ArtifactsInput!$N$7+1,6,7.2,8.4,9.6,10.8,12))/100))/(1/Q384)))))</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MIN((Skills!T18*(1+(Inputs!$B$34+(ArtifactsInput!$M$7-ArtifactsInput!$M$7)*CHOOSE(ArtifactsInput!$N$7+1,6,7.2,8.4,9.6,10.8,12))/100)),(1/Q383))+MIN((Skills!T18*(1+(Inputs!$B$34+(ArtifactsInput!$M$7-ArtifactsInput!$M$7)*CHOOSE(ArtifactsInput!$N$7+1,6,7.2,8.4,9.6,10.8,12))/100)),MAX(0,Inputs!$B$43-((R383-1)*(1/Q383)))))/Inputs!$B$43),IF(Inputs!$B$38="pvp",MIN((Skills!T18*(1+(Inputs!$B$34+(ArtifactsInput!$M$7-ArtifactsInput!$M$7)*CHOOSE(ArtifactsInput!$N$7+1,6,7.2,8.4,9.6,10.8,12))/100)),15)/15,MIN(1,(Skills!T18*(1+(Inputs!$B$34+(ArtifactsInput!$M$7-ArtifactsInput!$M$7)*CHOOSE(ArtifactsInput!$N$7+1,6,7.2,8.4,9.6,10.8,12))/100))/(1/Q383)))))</f>
        <v/>
      </c>
    </row>
    <row r="400">
      <c r="A400" t="inlineStr">
        <is>
          <t>Global Final Damage Bonus % (Enrage + Combo Synergy)</t>
        </is>
      </c>
      <c r="B400">
        <f>((C382=TRUE)*F382*IF(AND(Inputs!$B$38&lt;&gt;"pvp",Inputs!$B$43&gt;0),(((R382-1)*MIN((Skills!T17*(1+(Inputs!$B$34+(ArtifactsInput!$M$7-ArtifactsInput!$M$7)*CHOOSE(ArtifactsInput!$N$7+1,6,7.2,8.4,9.6,10.8,12))/100)),(1/Q382))+MIN((Skills!T17*(1+(Inputs!$B$34+(ArtifactsInput!$M$7-ArtifactsInput!$M$7)*CHOOSE(ArtifactsInput!$N$7+1,6,7.2,8.4,9.6,10.8,12))/100)),MAX(0,Inputs!$B$43-((R382-1)*(1/Q382)))))/Inputs!$B$43),IF(Inputs!$B$38="pvp",MIN((Skills!T17*(1+(Inputs!$B$34+(ArtifactsInput!$M$7-ArtifactsInput!$M$7)*CHOOSE(ArtifactsInput!$N$7+1,6,7.2,8.4,9.6,10.8,12))/100)),15)/15,MIN(1,(Skills!T17*(1+(Inputs!$B$34+(ArtifactsInput!$M$7-ArtifactsInput!$M$7)*CHOOSE(ArtifactsInput!$N$7+1,6,7.2,8.4,9.6,10.8,12))/100))/(1/Q382)))))+((C379=TRUE)*F379*IF(Inputs!$B$3&gt;=118,8,IF(Inputs!$B$3&gt;=110,7,5)))+IF(Inputs!$B$3&gt;=98,5,0)</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Skills!G2*IF(Skills!H2&gt;0,INT(IF(Inputs!$B$38="pvp",MIN(Skills!I2,15),Skills!I2)/Skills!H2+0.000000001),1)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Skills!G5*IF(Skills!H5&gt;0,INT(IF(Inputs!$B$38="pvp",MIN(Skills!I5,15),Skills!I5)/Skills!H5+0.000000001),1)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IFERROR(1/(IF(Inputs!$B$38="pvp",15,MAX(0.1,Skills!D5-IF(TRUE=TRUE,Inputs!$B$32,0)))*(1-IF(AND(ArtifactsInput!$M$27,Inputs!$B$4="Chapter Hunt"),CHOOSE(ArtifactsInput!$N$27+1,20,24,28,32,36,40),0)/100)),0)</f>
        <v/>
      </c>
      <c r="R412">
        <f>IF(AND(Inputs!$B$38&lt;&gt;"pvp",Inputs!$B$43&gt;0),IF(MAX(0,Inputs!$B$43-B443)&lt;=0,0,(INT(MAX(0,Inputs!$B$43-B443)/(IF(Inputs!$B$38="pvp",15,MAX(0.1,Skills!D5-IF(TRUE=TRUE,Inputs!$B$32,0)))*(1-IF(AND(ArtifactsInput!$M$27,Inputs!$B$4="Chapter Hunt"),CHOOSE(ArtifactsInput!$N$27+1,20,24,28,32,36,40),0)/100)))+1)),0)</f>
        <v/>
      </c>
      <c r="S412">
        <f>IFERROR(O412/N412,0)</f>
        <v/>
      </c>
      <c r="T412">
        <f>IF(C412,(H412*N412*IF(AND(Inputs!$B$38&lt;&gt;"pvp",Inputs!$B$43&gt;0),((Skills!G5*((R412-1)*IF(Skills!H5&gt;0,INT(Skills!I5/Skills!H5+0.000000001),1)+IF(Skills!H5&gt;0,INT(MIN(Skills!I5,MAX(0,MAX(0,Inputs!$B$43-B443)-((R412-1)*(IF(Inputs!$B$38="pvp",15,MAX(0.1,Skills!D5-IF(TRUE=TRUE,Inputs!$B$32,0)))*(1-IF(AND(ArtifactsInput!$M$27,Inputs!$B$4="Chapter Hunt"),CHOOSE(ArtifactsInput!$N$27+1,20,24,28,32,36,40),0)/100)))))/Skills!H5+0.000000001),1)))/Inputs!$B$43),G412*Q412))*IF(Inputs!$B$38="pvp",1,1+(Inputs!$B$20+0+Skills!P5+(((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INT(Skills!I5/Skills!H5+0.000000001),1)+IF(Skills!H5&gt;0,INT(MIN(Skills!I5,MAX(0,MAX(0,Inputs!$B$43-B443)-((R412-1)*(IF(Inputs!$B$38="pvp",15,MAX(0.1,Skills!D5-IF(TRUE=TRUE,Inputs!$B$32,0)))*(1-IF(AND(ArtifactsInput!$M$27,Inputs!$B$4="Chapter Hunt"),CHOOSE(ArtifactsInput!$N$27+1,20,24,28,32,36,40),0)/100)))))/Skills!H5+0.000000001),1)))/Inputs!$B$43),G412*Q412))*IF(Inputs!$B$38="pvp",1,(1+(Inputs!$B$21+Skills!Q5+(((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Skills!G6*IF(Skills!H6&gt;0,INT(IF(Inputs!$B$38="pvp",MIN(Skills!I6,15),Skills!I6)/Skills!H6+0.000000001),1)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IFERROR(1/(IF(Inputs!$B$38="pvp",15,MAX(0.1,Skills!D6-IF(TRUE=TRUE,Inputs!$B$32,0)))*(1-IF(AND(ArtifactsInput!$M$27,Inputs!$B$4="Chapter Hunt"),CHOOSE(ArtifactsInput!$N$27+1,20,24,28,32,36,40),0)/100)),0)</f>
        <v/>
      </c>
      <c r="R413">
        <f>IF(AND(Inputs!$B$38&lt;&gt;"pvp",Inputs!$B$43&gt;0),IF(MAX(0,Inputs!$B$43-B443)&lt;=0,0,(INT(MAX(0,Inputs!$B$43-B443)/(IF(Inputs!$B$38="pvp",15,MAX(0.1,Skills!D6-IF(TRUE=TRUE,Inputs!$B$32,0)))*(1-IF(AND(ArtifactsInput!$M$27,Inputs!$B$4="Chapter Hunt"),CHOOSE(ArtifactsInput!$N$27+1,20,24,28,32,36,40),0)/100)))+1)),0)</f>
        <v/>
      </c>
      <c r="S413">
        <f>IFERROR(O413/N413,0)</f>
        <v/>
      </c>
      <c r="T413">
        <f>IF(C413,(H413*N413*IF(AND(Inputs!$B$38&lt;&gt;"pvp",Inputs!$B$43&gt;0),((Skills!G6*((R413-1)*IF(Skills!H6&gt;0,INT(Skills!I6/Skills!H6+0.000000001),1)+IF(Skills!H6&gt;0,INT(MIN(Skills!I6,MAX(0,MAX(0,Inputs!$B$43-B443)-((R413-1)*(IF(Inputs!$B$38="pvp",15,MAX(0.1,Skills!D6-IF(TRUE=TRUE,Inputs!$B$32,0)))*(1-IF(AND(ArtifactsInput!$M$27,Inputs!$B$4="Chapter Hunt"),CHOOSE(ArtifactsInput!$N$27+1,20,24,28,32,36,40),0)/100)))))/Skills!H6+0.000000001),1)))/Inputs!$B$43),G413*Q413))*IF(Inputs!$B$38="pvp",1,1+(Inputs!$B$20+0+Skills!P6+(((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INT(Skills!I6/Skills!H6+0.000000001),1)+IF(Skills!H6&gt;0,INT(MIN(Skills!I6,MAX(0,MAX(0,Inputs!$B$43-B443)-((R413-1)*(IF(Inputs!$B$38="pvp",15,MAX(0.1,Skills!D6-IF(TRUE=TRUE,Inputs!$B$32,0)))*(1-IF(AND(ArtifactsInput!$M$27,Inputs!$B$4="Chapter Hunt"),CHOOSE(ArtifactsInput!$N$27+1,20,24,28,32,36,40),0)/100)))))/Skills!H6+0.000000001),1)))/Inputs!$B$43),G413*Q413))*IF(Inputs!$B$38="pvp",1,(1+(Inputs!$B$21+Skills!Q6+(((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Skills!G7*IF(Skills!H7&gt;0,INT(IF(Inputs!$B$38="pvp",MIN(Skills!I7,15),Skills!I7)/Skills!H7+0.000000001),1)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IFERROR(1/(IF(Inputs!$B$38="pvp",15,MAX(0.1,Skills!D7-IF(TRUE=TRUE,Inputs!$B$32,0)))*(1-IF(AND(ArtifactsInput!$M$27,Inputs!$B$4="Chapter Hunt"),CHOOSE(ArtifactsInput!$N$27+1,20,24,28,32,36,40),0)/100)),0)</f>
        <v/>
      </c>
      <c r="R414">
        <f>IF(AND(Inputs!$B$38&lt;&gt;"pvp",Inputs!$B$43&gt;0),IF(MAX(0,Inputs!$B$43-B443)&lt;=0,0,(INT(MAX(0,Inputs!$B$43-B443)/(IF(Inputs!$B$38="pvp",15,MAX(0.1,Skills!D7-IF(TRUE=TRUE,Inputs!$B$32,0)))*(1-IF(AND(ArtifactsInput!$M$27,Inputs!$B$4="Chapter Hunt"),CHOOSE(ArtifactsInput!$N$27+1,20,24,28,32,36,40),0)/100)))+1)),0)</f>
        <v/>
      </c>
      <c r="S414">
        <f>IFERROR(O414/N414,0)</f>
        <v/>
      </c>
      <c r="T414">
        <f>IF(C414,(H414*N414*IF(AND(Inputs!$B$38&lt;&gt;"pvp",Inputs!$B$43&gt;0),((Skills!G7*((R414-1)*IF(Skills!H7&gt;0,INT(Skills!I7/Skills!H7+0.000000001),1)+IF(Skills!H7&gt;0,INT(MIN(Skills!I7,MAX(0,MAX(0,Inputs!$B$43-B443)-((R414-1)*(IF(Inputs!$B$38="pvp",15,MAX(0.1,Skills!D7-IF(TRUE=TRUE,Inputs!$B$32,0)))*(1-IF(AND(ArtifactsInput!$M$27,Inputs!$B$4="Chapter Hunt"),CHOOSE(ArtifactsInput!$N$27+1,20,24,28,32,36,40),0)/100)))))/Skills!H7+0.000000001),1)))/Inputs!$B$43),G414*Q414))*IF(Inputs!$B$38="pvp",1,1+(Inputs!$B$20+0+Skills!P7+(((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INT(Skills!I7/Skills!H7+0.000000001),1)+IF(Skills!H7&gt;0,INT(MIN(Skills!I7,MAX(0,MAX(0,Inputs!$B$43-B443)-((R414-1)*(IF(Inputs!$B$38="pvp",15,MAX(0.1,Skills!D7-IF(TRUE=TRUE,Inputs!$B$32,0)))*(1-IF(AND(ArtifactsInput!$M$27,Inputs!$B$4="Chapter Hunt"),CHOOSE(ArtifactsInput!$N$27+1,20,24,28,32,36,40),0)/100)))))/Skills!H7+0.000000001),1)))/Inputs!$B$43),G414*Q414))*IF(Inputs!$B$38="pvp",1,(1+(Inputs!$B$21+Skills!Q7+(((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Skills!G8*IF(Skills!H8&gt;0,INT(IF(Inputs!$B$38="pvp",MIN(Skills!I8,15),Skills!I8)/Skills!H8+0.000000001),1)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IFERROR(1/(IF(Inputs!$B$38="pvp",15,MAX(0.1,Skills!D8-IF(TRUE=TRUE,Inputs!$B$32,0)))*(1-IF(AND(ArtifactsInput!$M$27,Inputs!$B$4="Chapter Hunt"),CHOOSE(ArtifactsInput!$N$27+1,20,24,28,32,36,40),0)/100)),0)</f>
        <v/>
      </c>
      <c r="R415">
        <f>IF(AND(Inputs!$B$38&lt;&gt;"pvp",Inputs!$B$43&gt;0),IF(MAX(0,Inputs!$B$43-B443)&lt;=0,0,(INT(MAX(0,Inputs!$B$43-B443)/(IF(Inputs!$B$38="pvp",15,MAX(0.1,Skills!D8-IF(TRUE=TRUE,Inputs!$B$32,0)))*(1-IF(AND(ArtifactsInput!$M$27,Inputs!$B$4="Chapter Hunt"),CHOOSE(ArtifactsInput!$N$27+1,20,24,28,32,36,40),0)/100)))+1)),0)</f>
        <v/>
      </c>
      <c r="S415">
        <f>IFERROR(O415/N415,0)</f>
        <v/>
      </c>
      <c r="T415">
        <f>IF(C415,(H415*N415*IF(AND(Inputs!$B$38&lt;&gt;"pvp",Inputs!$B$43&gt;0),((Skills!G8*((R415-1)*IF(Skills!H8&gt;0,INT(Skills!I8/Skills!H8+0.000000001),1)+IF(Skills!H8&gt;0,INT(MIN(Skills!I8,MAX(0,MAX(0,Inputs!$B$43-B443)-((R415-1)*(IF(Inputs!$B$38="pvp",15,MAX(0.1,Skills!D8-IF(TRUE=TRUE,Inputs!$B$32,0)))*(1-IF(AND(ArtifactsInput!$M$27,Inputs!$B$4="Chapter Hunt"),CHOOSE(ArtifactsInput!$N$27+1,20,24,28,32,36,40),0)/100)))))/Skills!H8+0.000000001),1)))/Inputs!$B$43),G415*Q415))*IF(Inputs!$B$38="pvp",1,1+(Inputs!$B$20+0+Skills!P8+(((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INT(Skills!I8/Skills!H8+0.000000001),1)+IF(Skills!H8&gt;0,INT(MIN(Skills!I8,MAX(0,MAX(0,Inputs!$B$43-B443)-((R415-1)*(IF(Inputs!$B$38="pvp",15,MAX(0.1,Skills!D8-IF(TRUE=TRUE,Inputs!$B$32,0)))*(1-IF(AND(ArtifactsInput!$M$27,Inputs!$B$4="Chapter Hunt"),CHOOSE(ArtifactsInput!$N$27+1,20,24,28,32,36,40),0)/100)))))/Skills!H8+0.000000001),1)))/Inputs!$B$43),G415*Q415))*IF(Inputs!$B$38="pvp",1,(1+(Inputs!$B$21+Skills!Q8+(((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Skills!G9*IF(Skills!H9&gt;0,INT(IF(Inputs!$B$38="pvp",MIN(Skills!I9,15),Skills!I9)/Skills!H9+0.000000001),1)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138,MAX(0,IF(Inputs!$B$3&gt;=118,8,IF(Inputs!$B$3&gt;=110,7,5))-5)*50,0),0)/100)*(1+(IF(Skills!A9="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IFERROR(1/(IF(Inputs!$B$38="pvp",15,MAX(0.1,Skills!D9-IF(TRUE=TRUE,Inputs!$B$32,0)))*(1-IF(AND(ArtifactsInput!$M$27,Inputs!$B$4="Chapter Hunt"),CHOOSE(ArtifactsInput!$N$27+1,20,24,28,32,36,40),0)/100)),0)</f>
        <v/>
      </c>
      <c r="R416">
        <f>IF(AND(Inputs!$B$38&lt;&gt;"pvp",Inputs!$B$43&gt;0),IF(MAX(0,Inputs!$B$43-B443)&lt;=0,0,(INT(MAX(0,Inputs!$B$43-B443)/(IF(Inputs!$B$38="pvp",15,MAX(0.1,Skills!D9-IF(TRUE=TRUE,Inputs!$B$32,0)))*(1-IF(AND(ArtifactsInput!$M$27,Inputs!$B$4="Chapter Hunt"),CHOOSE(ArtifactsInput!$N$27+1,20,24,28,32,36,40),0)/100)))+1)),0)</f>
        <v/>
      </c>
      <c r="S416">
        <f>IFERROR(O416/N416,0)</f>
        <v/>
      </c>
      <c r="T416">
        <f>IF(C416,(H416*N416*IF(AND(Inputs!$B$38&lt;&gt;"pvp",Inputs!$B$43&gt;0),((Skills!G9*((R416-1)*IF(Skills!H9&gt;0,INT(Skills!I9/Skills!H9+0.000000001),1)+IF(Skills!H9&gt;0,INT(MIN(Skills!I9,MAX(0,MAX(0,Inputs!$B$43-B443)-((R416-1)*(IF(Inputs!$B$38="pvp",15,MAX(0.1,Skills!D9-IF(TRUE=TRUE,Inputs!$B$32,0)))*(1-IF(AND(ArtifactsInput!$M$27,Inputs!$B$4="Chapter Hunt"),CHOOSE(ArtifactsInput!$N$27+1,20,24,28,32,36,40),0)/100)))))/Skills!H9+0.000000001),1)))/Inputs!$B$43),G416*Q416))*IF(Inputs!$B$38="pvp",1,1+(Inputs!$B$20+0+Skills!P9+(((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INT(Skills!I9/Skills!H9+0.000000001),1)+IF(Skills!H9&gt;0,INT(MIN(Skills!I9,MAX(0,MAX(0,Inputs!$B$43-B443)-((R416-1)*(IF(Inputs!$B$38="pvp",15,MAX(0.1,Skills!D9-IF(TRUE=TRUE,Inputs!$B$32,0)))*(1-IF(AND(ArtifactsInput!$M$27,Inputs!$B$4="Chapter Hunt"),CHOOSE(ArtifactsInput!$N$27+1,20,24,28,32,36,40),0)/100)))))/Skills!H9+0.000000001),1)))/Inputs!$B$43),G416*Q416))*IF(Inputs!$B$38="pvp",1,(1+(Inputs!$B$21+Skills!Q9+(((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Skills!G10*IF(Skills!H10&gt;0,INT(IF(Inputs!$B$38="pvp",MIN(Skills!I10,15),Skills!I10)/Skills!H10+0.000000001),1)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138,MAX(0,IF(Inputs!$B$3&gt;=118,8,IF(Inputs!$B$3&gt;=110,7,5))-5)*50,0),0)/100)*(1+(IF(Skills!A10="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IFERROR(1/(IF(Inputs!$B$38="pvp",15,MAX(0.1,Skills!D10-IF(TRUE=TRUE,Inputs!$B$32,0)))*(1-IF(AND(ArtifactsInput!$M$27,Inputs!$B$4="Chapter Hunt"),CHOOSE(ArtifactsInput!$N$27+1,20,24,28,32,36,40),0)/100)),0)</f>
        <v/>
      </c>
      <c r="R417">
        <f>IF(AND(Inputs!$B$38&lt;&gt;"pvp",Inputs!$B$43&gt;0),IF(MAX(0,Inputs!$B$43-B443)&lt;=0,0,(INT(MAX(0,Inputs!$B$43-B443)/(IF(Inputs!$B$38="pvp",15,MAX(0.1,Skills!D10-IF(TRUE=TRUE,Inputs!$B$32,0)))*(1-IF(AND(ArtifactsInput!$M$27,Inputs!$B$4="Chapter Hunt"),CHOOSE(ArtifactsInput!$N$27+1,20,24,28,32,36,40),0)/100)))+1)),0)</f>
        <v/>
      </c>
      <c r="S417">
        <f>IFERROR(O417/N417,0)</f>
        <v/>
      </c>
      <c r="T417">
        <f>IF(C417,(H417*N417*IF(AND(Inputs!$B$38&lt;&gt;"pvp",Inputs!$B$43&gt;0),((Skills!G10*((R417-1)*IF(Skills!H10&gt;0,INT(Skills!I10/Skills!H10+0.000000001),1)+IF(Skills!H10&gt;0,INT(MIN(Skills!I10,MAX(0,MAX(0,Inputs!$B$43-B443)-((R417-1)*(IF(Inputs!$B$38="pvp",15,MAX(0.1,Skills!D10-IF(TRUE=TRUE,Inputs!$B$32,0)))*(1-IF(AND(ArtifactsInput!$M$27,Inputs!$B$4="Chapter Hunt"),CHOOSE(ArtifactsInput!$N$27+1,20,24,28,32,36,40),0)/100)))))/Skills!H10+0.000000001),1)))/Inputs!$B$43),G417*Q417))*IF(Inputs!$B$38="pvp",1,1+(Inputs!$B$20+0+Skills!P10+(((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INT(Skills!I10/Skills!H10+0.000000001),1)+IF(Skills!H10&gt;0,INT(MIN(Skills!I10,MAX(0,MAX(0,Inputs!$B$43-B443)-((R417-1)*(IF(Inputs!$B$38="pvp",15,MAX(0.1,Skills!D10-IF(TRUE=TRUE,Inputs!$B$32,0)))*(1-IF(AND(ArtifactsInput!$M$27,Inputs!$B$4="Chapter Hunt"),CHOOSE(ArtifactsInput!$N$27+1,20,24,28,32,36,40),0)/100)))))/Skills!H10+0.000000001),1)))/Inputs!$B$43),G417*Q417))*IF(Inputs!$B$38="pvp",1,(1+(Inputs!$B$21+Skills!Q10+(((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Skills!G11*IF(Skills!H11&gt;0,INT(IF(Inputs!$B$38="pvp",MIN(Skills!I11,15),Skills!I11)/Skills!H11+0.000000001),1)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138,MAX(0,IF(Inputs!$B$3&gt;=118,8,IF(Inputs!$B$3&gt;=110,7,5))-5)*50,0),0)/100)*(1+(IF(Skills!A11="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IFERROR(1/(IF(Inputs!$B$38="pvp",15,MAX(0.1,Skills!D11-IF(TRUE=TRUE,Inputs!$B$32,0)))*(1-IF(AND(ArtifactsInput!$M$27,Inputs!$B$4="Chapter Hunt"),CHOOSE(ArtifactsInput!$N$27+1,20,24,28,32,36,40),0)/100)),0)</f>
        <v/>
      </c>
      <c r="R418">
        <f>IF(AND(Inputs!$B$38&lt;&gt;"pvp",Inputs!$B$43&gt;0),IF(MAX(0,Inputs!$B$43-B443)&lt;=0,0,(INT(MAX(0,Inputs!$B$43-B443)/(IF(Inputs!$B$38="pvp",15,MAX(0.1,Skills!D11-IF(TRUE=TRUE,Inputs!$B$32,0)))*(1-IF(AND(ArtifactsInput!$M$27,Inputs!$B$4="Chapter Hunt"),CHOOSE(ArtifactsInput!$N$27+1,20,24,28,32,36,40),0)/100)))+1)),0)</f>
        <v/>
      </c>
      <c r="S418">
        <f>IFERROR(O418/N418,0)</f>
        <v/>
      </c>
      <c r="T418">
        <f>IF(C418,(H418*N418*IF(AND(Inputs!$B$38&lt;&gt;"pvp",Inputs!$B$43&gt;0),((Skills!G11*((R418-1)*IF(Skills!H11&gt;0,INT(Skills!I11/Skills!H11+0.000000001),1)+IF(Skills!H11&gt;0,INT(MIN(Skills!I11,MAX(0,MAX(0,Inputs!$B$43-B443)-((R418-1)*(IF(Inputs!$B$38="pvp",15,MAX(0.1,Skills!D11-IF(TRUE=TRUE,Inputs!$B$32,0)))*(1-IF(AND(ArtifactsInput!$M$27,Inputs!$B$4="Chapter Hunt"),CHOOSE(ArtifactsInput!$N$27+1,20,24,28,32,36,40),0)/100)))))/Skills!H11+0.000000001),1)))/Inputs!$B$43),G418*Q418))*IF(Inputs!$B$38="pvp",1,1+(Inputs!$B$20+0+Skills!P11+(((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INT(Skills!I11/Skills!H11+0.000000001),1)+IF(Skills!H11&gt;0,INT(MIN(Skills!I11,MAX(0,MAX(0,Inputs!$B$43-B443)-((R418-1)*(IF(Inputs!$B$38="pvp",15,MAX(0.1,Skills!D11-IF(TRUE=TRUE,Inputs!$B$32,0)))*(1-IF(AND(ArtifactsInput!$M$27,Inputs!$B$4="Chapter Hunt"),CHOOSE(ArtifactsInput!$N$27+1,20,24,28,32,36,40),0)/100)))))/Skills!H11+0.000000001),1)))/Inputs!$B$43),G418*Q418))*IF(Inputs!$B$38="pvp",1,(1+(Inputs!$B$21+Skills!Q11+(((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Skills!G13*IF(Skills!H13&gt;0,INT(IF(Inputs!$B$38="pvp",MIN(Skills!I13,15),Skills!I13)/Skills!H13+0.000000001),1)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Skills!G14*IF(Skills!H14&gt;0,INT(IF(Inputs!$B$38="pvp",MIN(Skills!I14,15),Skills!I14)/Skills!H14+0.000000001),1)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Skills!G15*IF(Skills!H15&gt;0,INT(IF(Inputs!$B$38="pvp",MIN(Skills!I15,15),Skills!I15)/Skills!H15+0.000000001),1)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IFERROR(1/(IF(Inputs!$B$38="pvp",15,MAX(0.1,Skills!D15-IF(TRUE=TRUE,Inputs!$B$32,0)))*(1-IF(AND(ArtifactsInput!$M$27,Inputs!$B$4="Chapter Hunt"),CHOOSE(ArtifactsInput!$N$27+1,20,24,28,32,36,40),0)/100)),0)</f>
        <v/>
      </c>
      <c r="R422">
        <f>IF(AND(Inputs!$B$38&lt;&gt;"pvp",Inputs!$B$43&gt;0),IF(Inputs!$B$43&lt;=0,0,(INT(Inputs!$B$43/(IF(Inputs!$B$38="pvp",15,MAX(0.1,Skills!D15-IF(TRUE=TRUE,Inputs!$B$32,0)))*(1-IF(AND(ArtifactsInput!$M$27,Inputs!$B$4="Chapter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Skills!G16*IF(Skills!H16&gt;0,INT(IF(Inputs!$B$38="pvp",MIN(Skills!I16,15),Skills!I16)/Skills!H16+0.000000001),1)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IFERROR(1/(IF(Inputs!$B$38="pvp",15,MAX(0.1,Skills!D16-IF(TRUE=TRUE,Inputs!$B$32,0)))*(1-IF(AND(ArtifactsInput!$M$27,Inputs!$B$4="Chapter Hunt"),CHOOSE(ArtifactsInput!$N$27+1,20,24,28,32,36,40),0)/100)),0)</f>
        <v/>
      </c>
      <c r="R423">
        <f>IF(AND(Inputs!$B$38&lt;&gt;"pvp",Inputs!$B$43&gt;0),IF(Inputs!$B$43&lt;=0,0,(INT(Inputs!$B$43/(IF(Inputs!$B$38="pvp",15,MAX(0.1,Skills!D16-IF(TRUE=TRUE,Inputs!$B$32,0)))*(1-IF(AND(ArtifactsInput!$M$27,Inputs!$B$4="Chapter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Skills!G17*IF(Skills!H17&gt;0,INT(IF(Inputs!$B$38="pvp",MIN(Skills!I17,15),Skills!I17)/Skills!H17+0.000000001),1)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Skills!G18*IF(Skills!H18&gt;0,INT(IF(Inputs!$B$38="pvp",MIN(Skills!I18,15),Skills!I18)/Skills!H18+0.000000001),1)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Skills!G19*IF(Skills!H19&gt;0,INT(IF(Inputs!$B$38="pvp",MIN(Skills!I19,15),Skills!I19)/Skills!H19+0.000000001),1)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IFERROR(1/(IF(Inputs!$B$38="pvp",15,MAX(0.1,Skills!D19-IF(TRUE=TRUE,Inputs!$B$32,0)))*(1-IF(AND(ArtifactsInput!$M$27,Inputs!$B$4="Chapter Hunt"),CHOOSE(ArtifactsInput!$N$27+1,20,24,28,32,36,40),0)/100)),0)</f>
        <v/>
      </c>
      <c r="R426">
        <f>IF(AND(Inputs!$B$38&lt;&gt;"pvp",Inputs!$B$43&gt;0),IF(Inputs!$B$43&lt;=0,0,(INT(Inputs!$B$43/(IF(Inputs!$B$38="pvp",15,MAX(0.1,Skills!D19-IF(TRUE=TRUE,Inputs!$B$32,0)))*(1-IF(AND(ArtifactsInput!$M$27,Inputs!$B$4="Chapter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Skills!G20*IF(Skills!H20&gt;0,INT(IF(Inputs!$B$38="pvp",MIN(Skills!I20,15),Skills!I20)/Skills!H20+0.000000001),1)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Skills!G21*IF(Skills!H21&gt;0,INT(IF(Inputs!$B$38="pvp",MIN(Skills!I21,15),Skills!I21)/Skills!H21+0.000000001),1)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Skills!G22*IF(Skills!H22&gt;0,INT(IF(Inputs!$B$38="pvp",MIN(Skills!I22,15),Skills!I22)/Skills!H22+0.000000001),1)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Skills!G23*IF(Skills!H23&gt;0,INT(IF(Inputs!$B$38="pvp",MIN(Skills!I23,15),Skills!I23)/Skills!H23+0.000000001),1)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Skills!G24*IF(Skills!H24&gt;0,INT(IF(Inputs!$B$38="pvp",MIN(Skills!I24,15),Skills!I24)/Skills!H24+0.000000001),1)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Skills!G25*IF(Skills!H25&gt;0,INT(IF(Inputs!$B$38="pvp",MIN(Skills!I25,15),Skills!I25)/Skills!H25+0.000000001),1)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Skills!G26*IF(Skills!H26&gt;0,INT(IF(Inputs!$B$38="pvp",MIN(Skills!I26,15),Skills!I26)/Skills!H26+0.000000001),1)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MIN((Skills!T19*(1+(Inputs!$B$34+(ArtifactsInput!$M$7-ArtifactsInput!$M$7)*CHOOSE(ArtifactsInput!$N$7+1,6,7.2,8.4,9.6,10.8,12))/100)),(1/Q426))+MIN((Skills!T19*(1+(Inputs!$B$34+(ArtifactsInput!$M$7-ArtifactsInput!$M$7)*CHOOSE(ArtifactsInput!$N$7+1,6,7.2,8.4,9.6,10.8,12))/100)),MAX(0,Inputs!$B$43-((R426-1)*(1/Q426)))))/Inputs!$B$43),IF(Inputs!$B$38="pvp",MIN((Skills!T19*(1+(Inputs!$B$34+(ArtifactsInput!$M$7-ArtifactsInput!$M$7)*CHOOSE(ArtifactsInput!$N$7+1,6,7.2,8.4,9.6,10.8,12))/100)),15)/15,MIN(1,(Skills!T19*(1+(Inputs!$B$34+(ArtifactsInput!$M$7-ArtifactsInput!$M$7)*CHOOSE(ArtifactsInput!$N$7+1,6,7.2,8.4,9.6,10.8,12))/100))/(1/Q426)))))</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MIN((Skills!T18*(1+(Inputs!$B$34+(ArtifactsInput!$M$7-ArtifactsInput!$M$7)*CHOOSE(ArtifactsInput!$N$7+1,6,7.2,8.4,9.6,10.8,12))/100)),(1/Q425))+MIN((Skills!T18*(1+(Inputs!$B$34+(ArtifactsInput!$M$7-ArtifactsInput!$M$7)*CHOOSE(ArtifactsInput!$N$7+1,6,7.2,8.4,9.6,10.8,12))/100)),MAX(0,Inputs!$B$43-((R425-1)*(1/Q425)))))/Inputs!$B$43),IF(Inputs!$B$38="pvp",MIN((Skills!T18*(1+(Inputs!$B$34+(ArtifactsInput!$M$7-ArtifactsInput!$M$7)*CHOOSE(ArtifactsInput!$N$7+1,6,7.2,8.4,9.6,10.8,12))/100)),15)/15,MIN(1,(Skills!T18*(1+(Inputs!$B$34+(ArtifactsInput!$M$7-ArtifactsInput!$M$7)*CHOOSE(ArtifactsInput!$N$7+1,6,7.2,8.4,9.6,10.8,12))/100))/(1/Q425)))))</f>
        <v/>
      </c>
    </row>
    <row r="442">
      <c r="A442" t="inlineStr">
        <is>
          <t>Global Final Damage Bonus % (Enrage + Combo Synergy)</t>
        </is>
      </c>
      <c r="B442">
        <f>((C424=TRUE)*F424*IF(AND(Inputs!$B$38&lt;&gt;"pvp",Inputs!$B$43&gt;0),(((R424-1)*MIN((Skills!T17*(1+(Inputs!$B$34+(ArtifactsInput!$M$7-ArtifactsInput!$M$7)*CHOOSE(ArtifactsInput!$N$7+1,6,7.2,8.4,9.6,10.8,12))/100)),(1/Q424))+MIN((Skills!T17*(1+(Inputs!$B$34+(ArtifactsInput!$M$7-ArtifactsInput!$M$7)*CHOOSE(ArtifactsInput!$N$7+1,6,7.2,8.4,9.6,10.8,12))/100)),MAX(0,Inputs!$B$43-((R424-1)*(1/Q424)))))/Inputs!$B$43),IF(Inputs!$B$38="pvp",MIN((Skills!T17*(1+(Inputs!$B$34+(ArtifactsInput!$M$7-ArtifactsInput!$M$7)*CHOOSE(ArtifactsInput!$N$7+1,6,7.2,8.4,9.6,10.8,12))/100)),15)/15,MIN(1,(Skills!T17*(1+(Inputs!$B$34+(ArtifactsInput!$M$7-ArtifactsInput!$M$7)*CHOOSE(ArtifactsInput!$N$7+1,6,7.2,8.4,9.6,10.8,12))/100))/(1/Q424)))))+((C421=TRUE)*F421*IF(Inputs!$B$3&gt;=118,8,IF(Inputs!$B$3&gt;=110,7,5)))+IF(Inputs!$B$3&gt;=98,5,0)</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Skills!G2*IF(Skills!H2&gt;0,INT(IF(Inputs!$B$38="pvp",MIN(Skills!I2,15),Skills!I2)/Skills!H2+0.000000001),1)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Skills!G5*IF(Skills!H5&gt;0,INT(IF(Inputs!$B$38="pvp",MIN(Skills!I5,15),Skills!I5)/Skills!H5+0.000000001),1)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IFERROR(1/(IF(Inputs!$B$38="pvp",15,MAX(0.1,Skills!D5-IF(TRUE=TRUE,Inputs!$B$32,0)))*(1-IF(AND(ArtifactsInput!$M$27,Inputs!$B$4="Chapter Hunt"),CHOOSE(ArtifactsInput!$N$27+1,20,24,28,32,36,40),0)/100)),0)</f>
        <v/>
      </c>
      <c r="R454">
        <f>IF(AND(Inputs!$B$38&lt;&gt;"pvp",Inputs!$B$43&gt;0),IF(MAX(0,Inputs!$B$43-B485)&lt;=0,0,(INT(MAX(0,Inputs!$B$43-B485)/(IF(Inputs!$B$38="pvp",15,MAX(0.1,Skills!D5-IF(TRUE=TRUE,Inputs!$B$32,0)))*(1-IF(AND(ArtifactsInput!$M$27,Inputs!$B$4="Chapter Hunt"),CHOOSE(ArtifactsInput!$N$27+1,20,24,28,32,36,40),0)/100)))+1)),0)</f>
        <v/>
      </c>
      <c r="S454">
        <f>IFERROR(O454/N454,0)</f>
        <v/>
      </c>
      <c r="T454">
        <f>IF(C454,(H454*N454*IF(AND(Inputs!$B$38&lt;&gt;"pvp",Inputs!$B$43&gt;0),((Skills!G5*((R454-1)*IF(Skills!H5&gt;0,INT(Skills!I5/Skills!H5+0.000000001),1)+IF(Skills!H5&gt;0,INT(MIN(Skills!I5,MAX(0,MAX(0,Inputs!$B$43-B485)-((R454-1)*(IF(Inputs!$B$38="pvp",15,MAX(0.1,Skills!D5-IF(TRUE=TRUE,Inputs!$B$32,0)))*(1-IF(AND(ArtifactsInput!$M$27,Inputs!$B$4="Chapter Hunt"),CHOOSE(ArtifactsInput!$N$27+1,20,24,28,32,36,40),0)/100)))))/Skills!H5+0.000000001),1)))/Inputs!$B$43),G454*Q454))*IF(Inputs!$B$38="pvp",1,1+(Inputs!$B$20+0+Skills!P5+(((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INT(Skills!I5/Skills!H5+0.000000001),1)+IF(Skills!H5&gt;0,INT(MIN(Skills!I5,MAX(0,MAX(0,Inputs!$B$43-B485)-((R454-1)*(IF(Inputs!$B$38="pvp",15,MAX(0.1,Skills!D5-IF(TRUE=TRUE,Inputs!$B$32,0)))*(1-IF(AND(ArtifactsInput!$M$27,Inputs!$B$4="Chapter Hunt"),CHOOSE(ArtifactsInput!$N$27+1,20,24,28,32,36,40),0)/100)))))/Skills!H5+0.000000001),1)))/Inputs!$B$43),G454*Q454))*IF(Inputs!$B$38="pvp",1,(1+(Inputs!$B$21+Skills!Q5+(((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Skills!G6*IF(Skills!H6&gt;0,INT(IF(Inputs!$B$38="pvp",MIN(Skills!I6,15),Skills!I6)/Skills!H6+0.000000001),1)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IFERROR(1/(IF(Inputs!$B$38="pvp",15,MAX(0.1,Skills!D6-IF(TRUE=TRUE,Inputs!$B$32,0)))*(1-IF(AND(ArtifactsInput!$M$27,Inputs!$B$4="Chapter Hunt"),CHOOSE(ArtifactsInput!$N$27+1,20,24,28,32,36,40),0)/100)),0)</f>
        <v/>
      </c>
      <c r="R455">
        <f>IF(AND(Inputs!$B$38&lt;&gt;"pvp",Inputs!$B$43&gt;0),IF(MAX(0,Inputs!$B$43-B485)&lt;=0,0,(INT(MAX(0,Inputs!$B$43-B485)/(IF(Inputs!$B$38="pvp",15,MAX(0.1,Skills!D6-IF(TRUE=TRUE,Inputs!$B$32,0)))*(1-IF(AND(ArtifactsInput!$M$27,Inputs!$B$4="Chapter Hunt"),CHOOSE(ArtifactsInput!$N$27+1,20,24,28,32,36,40),0)/100)))+1)),0)</f>
        <v/>
      </c>
      <c r="S455">
        <f>IFERROR(O455/N455,0)</f>
        <v/>
      </c>
      <c r="T455">
        <f>IF(C455,(H455*N455*IF(AND(Inputs!$B$38&lt;&gt;"pvp",Inputs!$B$43&gt;0),((Skills!G6*((R455-1)*IF(Skills!H6&gt;0,INT(Skills!I6/Skills!H6+0.000000001),1)+IF(Skills!H6&gt;0,INT(MIN(Skills!I6,MAX(0,MAX(0,Inputs!$B$43-B485)-((R455-1)*(IF(Inputs!$B$38="pvp",15,MAX(0.1,Skills!D6-IF(TRUE=TRUE,Inputs!$B$32,0)))*(1-IF(AND(ArtifactsInput!$M$27,Inputs!$B$4="Chapter Hunt"),CHOOSE(ArtifactsInput!$N$27+1,20,24,28,32,36,40),0)/100)))))/Skills!H6+0.000000001),1)))/Inputs!$B$43),G455*Q455))*IF(Inputs!$B$38="pvp",1,1+(Inputs!$B$20+0+Skills!P6+(((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INT(Skills!I6/Skills!H6+0.000000001),1)+IF(Skills!H6&gt;0,INT(MIN(Skills!I6,MAX(0,MAX(0,Inputs!$B$43-B485)-((R455-1)*(IF(Inputs!$B$38="pvp",15,MAX(0.1,Skills!D6-IF(TRUE=TRUE,Inputs!$B$32,0)))*(1-IF(AND(ArtifactsInput!$M$27,Inputs!$B$4="Chapter Hunt"),CHOOSE(ArtifactsInput!$N$27+1,20,24,28,32,36,40),0)/100)))))/Skills!H6+0.000000001),1)))/Inputs!$B$43),G455*Q455))*IF(Inputs!$B$38="pvp",1,(1+(Inputs!$B$21+Skills!Q6+(((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Skills!G7*IF(Skills!H7&gt;0,INT(IF(Inputs!$B$38="pvp",MIN(Skills!I7,15),Skills!I7)/Skills!H7+0.000000001),1)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IFERROR(1/(IF(Inputs!$B$38="pvp",15,MAX(0.1,Skills!D7-IF(TRUE=TRUE,Inputs!$B$32,0)))*(1-IF(AND(ArtifactsInput!$M$27,Inputs!$B$4="Chapter Hunt"),CHOOSE(ArtifactsInput!$N$27+1,20,24,28,32,36,40),0)/100)),0)</f>
        <v/>
      </c>
      <c r="R456">
        <f>IF(AND(Inputs!$B$38&lt;&gt;"pvp",Inputs!$B$43&gt;0),IF(MAX(0,Inputs!$B$43-B485)&lt;=0,0,(INT(MAX(0,Inputs!$B$43-B485)/(IF(Inputs!$B$38="pvp",15,MAX(0.1,Skills!D7-IF(TRUE=TRUE,Inputs!$B$32,0)))*(1-IF(AND(ArtifactsInput!$M$27,Inputs!$B$4="Chapter Hunt"),CHOOSE(ArtifactsInput!$N$27+1,20,24,28,32,36,40),0)/100)))+1)),0)</f>
        <v/>
      </c>
      <c r="S456">
        <f>IFERROR(O456/N456,0)</f>
        <v/>
      </c>
      <c r="T456">
        <f>IF(C456,(H456*N456*IF(AND(Inputs!$B$38&lt;&gt;"pvp",Inputs!$B$43&gt;0),((Skills!G7*((R456-1)*IF(Skills!H7&gt;0,INT(Skills!I7/Skills!H7+0.000000001),1)+IF(Skills!H7&gt;0,INT(MIN(Skills!I7,MAX(0,MAX(0,Inputs!$B$43-B485)-((R456-1)*(IF(Inputs!$B$38="pvp",15,MAX(0.1,Skills!D7-IF(TRUE=TRUE,Inputs!$B$32,0)))*(1-IF(AND(ArtifactsInput!$M$27,Inputs!$B$4="Chapter Hunt"),CHOOSE(ArtifactsInput!$N$27+1,20,24,28,32,36,40),0)/100)))))/Skills!H7+0.000000001),1)))/Inputs!$B$43),G456*Q456))*IF(Inputs!$B$38="pvp",1,1+(Inputs!$B$20+0+Skills!P7+(((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INT(Skills!I7/Skills!H7+0.000000001),1)+IF(Skills!H7&gt;0,INT(MIN(Skills!I7,MAX(0,MAX(0,Inputs!$B$43-B485)-((R456-1)*(IF(Inputs!$B$38="pvp",15,MAX(0.1,Skills!D7-IF(TRUE=TRUE,Inputs!$B$32,0)))*(1-IF(AND(ArtifactsInput!$M$27,Inputs!$B$4="Chapter Hunt"),CHOOSE(ArtifactsInput!$N$27+1,20,24,28,32,36,40),0)/100)))))/Skills!H7+0.000000001),1)))/Inputs!$B$43),G456*Q456))*IF(Inputs!$B$38="pvp",1,(1+(Inputs!$B$21+Skills!Q7+(((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Skills!G8*IF(Skills!H8&gt;0,INT(IF(Inputs!$B$38="pvp",MIN(Skills!I8,15),Skills!I8)/Skills!H8+0.000000001),1)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IFERROR(1/(IF(Inputs!$B$38="pvp",15,MAX(0.1,Skills!D8-IF(TRUE=TRUE,Inputs!$B$32,0)))*(1-IF(AND(ArtifactsInput!$M$27,Inputs!$B$4="Chapter Hunt"),CHOOSE(ArtifactsInput!$N$27+1,20,24,28,32,36,40),0)/100)),0)</f>
        <v/>
      </c>
      <c r="R457">
        <f>IF(AND(Inputs!$B$38&lt;&gt;"pvp",Inputs!$B$43&gt;0),IF(MAX(0,Inputs!$B$43-B485)&lt;=0,0,(INT(MAX(0,Inputs!$B$43-B485)/(IF(Inputs!$B$38="pvp",15,MAX(0.1,Skills!D8-IF(TRUE=TRUE,Inputs!$B$32,0)))*(1-IF(AND(ArtifactsInput!$M$27,Inputs!$B$4="Chapter Hunt"),CHOOSE(ArtifactsInput!$N$27+1,20,24,28,32,36,40),0)/100)))+1)),0)</f>
        <v/>
      </c>
      <c r="S457">
        <f>IFERROR(O457/N457,0)</f>
        <v/>
      </c>
      <c r="T457">
        <f>IF(C457,(H457*N457*IF(AND(Inputs!$B$38&lt;&gt;"pvp",Inputs!$B$43&gt;0),((Skills!G8*((R457-1)*IF(Skills!H8&gt;0,INT(Skills!I8/Skills!H8+0.000000001),1)+IF(Skills!H8&gt;0,INT(MIN(Skills!I8,MAX(0,MAX(0,Inputs!$B$43-B485)-((R457-1)*(IF(Inputs!$B$38="pvp",15,MAX(0.1,Skills!D8-IF(TRUE=TRUE,Inputs!$B$32,0)))*(1-IF(AND(ArtifactsInput!$M$27,Inputs!$B$4="Chapter Hunt"),CHOOSE(ArtifactsInput!$N$27+1,20,24,28,32,36,40),0)/100)))))/Skills!H8+0.000000001),1)))/Inputs!$B$43),G457*Q457))*IF(Inputs!$B$38="pvp",1,1+(Inputs!$B$20+0+Skills!P8+(((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INT(Skills!I8/Skills!H8+0.000000001),1)+IF(Skills!H8&gt;0,INT(MIN(Skills!I8,MAX(0,MAX(0,Inputs!$B$43-B485)-((R457-1)*(IF(Inputs!$B$38="pvp",15,MAX(0.1,Skills!D8-IF(TRUE=TRUE,Inputs!$B$32,0)))*(1-IF(AND(ArtifactsInput!$M$27,Inputs!$B$4="Chapter Hunt"),CHOOSE(ArtifactsInput!$N$27+1,20,24,28,32,36,40),0)/100)))))/Skills!H8+0.000000001),1)))/Inputs!$B$43),G457*Q457))*IF(Inputs!$B$38="pvp",1,(1+(Inputs!$B$21+Skills!Q8+(((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Skills!G9*IF(Skills!H9&gt;0,INT(IF(Inputs!$B$38="pvp",MIN(Skills!I9,15),Skills!I9)/Skills!H9+0.000000001),1)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138,MAX(0,IF(Inputs!$B$3&gt;=118,8,IF(Inputs!$B$3&gt;=110,7,5))-5)*50,0),0)/100)*(1+(IF(Skills!A9="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IFERROR(1/(IF(Inputs!$B$38="pvp",15,MAX(0.1,Skills!D9-IF(TRUE=TRUE,Inputs!$B$32,0)))*(1-IF(AND(ArtifactsInput!$M$27,Inputs!$B$4="Chapter Hunt"),CHOOSE(ArtifactsInput!$N$27+1,20,24,28,32,36,40),0)/100)),0)</f>
        <v/>
      </c>
      <c r="R458">
        <f>IF(AND(Inputs!$B$38&lt;&gt;"pvp",Inputs!$B$43&gt;0),IF(MAX(0,Inputs!$B$43-B485)&lt;=0,0,(INT(MAX(0,Inputs!$B$43-B485)/(IF(Inputs!$B$38="pvp",15,MAX(0.1,Skills!D9-IF(TRUE=TRUE,Inputs!$B$32,0)))*(1-IF(AND(ArtifactsInput!$M$27,Inputs!$B$4="Chapter Hunt"),CHOOSE(ArtifactsInput!$N$27+1,20,24,28,32,36,40),0)/100)))+1)),0)</f>
        <v/>
      </c>
      <c r="S458">
        <f>IFERROR(O458/N458,0)</f>
        <v/>
      </c>
      <c r="T458">
        <f>IF(C458,(H458*N458*IF(AND(Inputs!$B$38&lt;&gt;"pvp",Inputs!$B$43&gt;0),((Skills!G9*((R458-1)*IF(Skills!H9&gt;0,INT(Skills!I9/Skills!H9+0.000000001),1)+IF(Skills!H9&gt;0,INT(MIN(Skills!I9,MAX(0,MAX(0,Inputs!$B$43-B485)-((R458-1)*(IF(Inputs!$B$38="pvp",15,MAX(0.1,Skills!D9-IF(TRUE=TRUE,Inputs!$B$32,0)))*(1-IF(AND(ArtifactsInput!$M$27,Inputs!$B$4="Chapter Hunt"),CHOOSE(ArtifactsInput!$N$27+1,20,24,28,32,36,40),0)/100)))))/Skills!H9+0.000000001),1)))/Inputs!$B$43),G458*Q458))*IF(Inputs!$B$38="pvp",1,1+(Inputs!$B$20+0+Skills!P9+(((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INT(Skills!I9/Skills!H9+0.000000001),1)+IF(Skills!H9&gt;0,INT(MIN(Skills!I9,MAX(0,MAX(0,Inputs!$B$43-B485)-((R458-1)*(IF(Inputs!$B$38="pvp",15,MAX(0.1,Skills!D9-IF(TRUE=TRUE,Inputs!$B$32,0)))*(1-IF(AND(ArtifactsInput!$M$27,Inputs!$B$4="Chapter Hunt"),CHOOSE(ArtifactsInput!$N$27+1,20,24,28,32,36,40),0)/100)))))/Skills!H9+0.000000001),1)))/Inputs!$B$43),G458*Q458))*IF(Inputs!$B$38="pvp",1,(1+(Inputs!$B$21+Skills!Q9+(((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Skills!G10*IF(Skills!H10&gt;0,INT(IF(Inputs!$B$38="pvp",MIN(Skills!I10,15),Skills!I10)/Skills!H10+0.000000001),1)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138,MAX(0,IF(Inputs!$B$3&gt;=118,8,IF(Inputs!$B$3&gt;=110,7,5))-5)*50,0),0)/100)*(1+(IF(Skills!A10="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IFERROR(1/(IF(Inputs!$B$38="pvp",15,MAX(0.1,Skills!D10-IF(TRUE=TRUE,Inputs!$B$32,0)))*(1-IF(AND(ArtifactsInput!$M$27,Inputs!$B$4="Chapter Hunt"),CHOOSE(ArtifactsInput!$N$27+1,20,24,28,32,36,40),0)/100)),0)</f>
        <v/>
      </c>
      <c r="R459">
        <f>IF(AND(Inputs!$B$38&lt;&gt;"pvp",Inputs!$B$43&gt;0),IF(MAX(0,Inputs!$B$43-B485)&lt;=0,0,(INT(MAX(0,Inputs!$B$43-B485)/(IF(Inputs!$B$38="pvp",15,MAX(0.1,Skills!D10-IF(TRUE=TRUE,Inputs!$B$32,0)))*(1-IF(AND(ArtifactsInput!$M$27,Inputs!$B$4="Chapter Hunt"),CHOOSE(ArtifactsInput!$N$27+1,20,24,28,32,36,40),0)/100)))+1)),0)</f>
        <v/>
      </c>
      <c r="S459">
        <f>IFERROR(O459/N459,0)</f>
        <v/>
      </c>
      <c r="T459">
        <f>IF(C459,(H459*N459*IF(AND(Inputs!$B$38&lt;&gt;"pvp",Inputs!$B$43&gt;0),((Skills!G10*((R459-1)*IF(Skills!H10&gt;0,INT(Skills!I10/Skills!H10+0.000000001),1)+IF(Skills!H10&gt;0,INT(MIN(Skills!I10,MAX(0,MAX(0,Inputs!$B$43-B485)-((R459-1)*(IF(Inputs!$B$38="pvp",15,MAX(0.1,Skills!D10-IF(TRUE=TRUE,Inputs!$B$32,0)))*(1-IF(AND(ArtifactsInput!$M$27,Inputs!$B$4="Chapter Hunt"),CHOOSE(ArtifactsInput!$N$27+1,20,24,28,32,36,40),0)/100)))))/Skills!H10+0.000000001),1)))/Inputs!$B$43),G459*Q459))*IF(Inputs!$B$38="pvp",1,1+(Inputs!$B$20+0+Skills!P10+(((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INT(Skills!I10/Skills!H10+0.000000001),1)+IF(Skills!H10&gt;0,INT(MIN(Skills!I10,MAX(0,MAX(0,Inputs!$B$43-B485)-((R459-1)*(IF(Inputs!$B$38="pvp",15,MAX(0.1,Skills!D10-IF(TRUE=TRUE,Inputs!$B$32,0)))*(1-IF(AND(ArtifactsInput!$M$27,Inputs!$B$4="Chapter Hunt"),CHOOSE(ArtifactsInput!$N$27+1,20,24,28,32,36,40),0)/100)))))/Skills!H10+0.000000001),1)))/Inputs!$B$43),G459*Q459))*IF(Inputs!$B$38="pvp",1,(1+(Inputs!$B$21+Skills!Q10+(((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Skills!G11*IF(Skills!H11&gt;0,INT(IF(Inputs!$B$38="pvp",MIN(Skills!I11,15),Skills!I11)/Skills!H11+0.000000001),1)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138,MAX(0,IF(Inputs!$B$3&gt;=118,8,IF(Inputs!$B$3&gt;=110,7,5))-5)*50,0),0)/100)*(1+(IF(Skills!A11="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IFERROR(1/(IF(Inputs!$B$38="pvp",15,MAX(0.1,Skills!D11-IF(TRUE=TRUE,Inputs!$B$32,0)))*(1-IF(AND(ArtifactsInput!$M$27,Inputs!$B$4="Chapter Hunt"),CHOOSE(ArtifactsInput!$N$27+1,20,24,28,32,36,40),0)/100)),0)</f>
        <v/>
      </c>
      <c r="R460">
        <f>IF(AND(Inputs!$B$38&lt;&gt;"pvp",Inputs!$B$43&gt;0),IF(MAX(0,Inputs!$B$43-B485)&lt;=0,0,(INT(MAX(0,Inputs!$B$43-B485)/(IF(Inputs!$B$38="pvp",15,MAX(0.1,Skills!D11-IF(TRUE=TRUE,Inputs!$B$32,0)))*(1-IF(AND(ArtifactsInput!$M$27,Inputs!$B$4="Chapter Hunt"),CHOOSE(ArtifactsInput!$N$27+1,20,24,28,32,36,40),0)/100)))+1)),0)</f>
        <v/>
      </c>
      <c r="S460">
        <f>IFERROR(O460/N460,0)</f>
        <v/>
      </c>
      <c r="T460">
        <f>IF(C460,(H460*N460*IF(AND(Inputs!$B$38&lt;&gt;"pvp",Inputs!$B$43&gt;0),((Skills!G11*((R460-1)*IF(Skills!H11&gt;0,INT(Skills!I11/Skills!H11+0.000000001),1)+IF(Skills!H11&gt;0,INT(MIN(Skills!I11,MAX(0,MAX(0,Inputs!$B$43-B485)-((R460-1)*(IF(Inputs!$B$38="pvp",15,MAX(0.1,Skills!D11-IF(TRUE=TRUE,Inputs!$B$32,0)))*(1-IF(AND(ArtifactsInput!$M$27,Inputs!$B$4="Chapter Hunt"),CHOOSE(ArtifactsInput!$N$27+1,20,24,28,32,36,40),0)/100)))))/Skills!H11+0.000000001),1)))/Inputs!$B$43),G460*Q460))*IF(Inputs!$B$38="pvp",1,1+(Inputs!$B$20+0+Skills!P11+(((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INT(Skills!I11/Skills!H11+0.000000001),1)+IF(Skills!H11&gt;0,INT(MIN(Skills!I11,MAX(0,MAX(0,Inputs!$B$43-B485)-((R460-1)*(IF(Inputs!$B$38="pvp",15,MAX(0.1,Skills!D11-IF(TRUE=TRUE,Inputs!$B$32,0)))*(1-IF(AND(ArtifactsInput!$M$27,Inputs!$B$4="Chapter Hunt"),CHOOSE(ArtifactsInput!$N$27+1,20,24,28,32,36,40),0)/100)))))/Skills!H11+0.000000001),1)))/Inputs!$B$43),G460*Q460))*IF(Inputs!$B$38="pvp",1,(1+(Inputs!$B$21+Skills!Q11+(((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Skills!G13*IF(Skills!H13&gt;0,INT(IF(Inputs!$B$38="pvp",MIN(Skills!I13,15),Skills!I13)/Skills!H13+0.000000001),1)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Skills!G14*IF(Skills!H14&gt;0,INT(IF(Inputs!$B$38="pvp",MIN(Skills!I14,15),Skills!I14)/Skills!H14+0.000000001),1)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Skills!G15*IF(Skills!H15&gt;0,INT(IF(Inputs!$B$38="pvp",MIN(Skills!I15,15),Skills!I15)/Skills!H15+0.000000001),1)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IFERROR(1/(IF(Inputs!$B$38="pvp",15,MAX(0.1,Skills!D15-IF(TRUE=TRUE,Inputs!$B$32,0)))*(1-IF(AND(ArtifactsInput!$M$27,Inputs!$B$4="Chapter Hunt"),CHOOSE(ArtifactsInput!$N$27+1,20,24,28,32,36,40),0)/100)),0)</f>
        <v/>
      </c>
      <c r="R464">
        <f>IF(AND(Inputs!$B$38&lt;&gt;"pvp",Inputs!$B$43&gt;0),IF(Inputs!$B$43&lt;=0,0,(INT(Inputs!$B$43/(IF(Inputs!$B$38="pvp",15,MAX(0.1,Skills!D15-IF(TRUE=TRUE,Inputs!$B$32,0)))*(1-IF(AND(ArtifactsInput!$M$27,Inputs!$B$4="Chapter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Skills!G16*IF(Skills!H16&gt;0,INT(IF(Inputs!$B$38="pvp",MIN(Skills!I16,15),Skills!I16)/Skills!H16+0.000000001),1)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IFERROR(1/(IF(Inputs!$B$38="pvp",15,MAX(0.1,Skills!D16-IF(TRUE=TRUE,Inputs!$B$32,0)))*(1-IF(AND(ArtifactsInput!$M$27,Inputs!$B$4="Chapter Hunt"),CHOOSE(ArtifactsInput!$N$27+1,20,24,28,32,36,40),0)/100)),0)</f>
        <v/>
      </c>
      <c r="R465">
        <f>IF(AND(Inputs!$B$38&lt;&gt;"pvp",Inputs!$B$43&gt;0),IF(Inputs!$B$43&lt;=0,0,(INT(Inputs!$B$43/(IF(Inputs!$B$38="pvp",15,MAX(0.1,Skills!D16-IF(TRUE=TRUE,Inputs!$B$32,0)))*(1-IF(AND(ArtifactsInput!$M$27,Inputs!$B$4="Chapter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Skills!G17*IF(Skills!H17&gt;0,INT(IF(Inputs!$B$38="pvp",MIN(Skills!I17,15),Skills!I17)/Skills!H17+0.000000001),1)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IFERROR(1/(IF(Inputs!$B$38="pvp",15,MAX(0.1,Skills!D17-IF(TRUE=TRUE,Inputs!$B$32,0)))*(1-IF(AND(ArtifactsInput!$M$27,Inputs!$B$4="Chapter Hunt"),CHOOSE(ArtifactsInput!$N$27+1,20,24,28,32,36,40),0)/100)),0)</f>
        <v/>
      </c>
      <c r="R466">
        <f>IF(AND(Inputs!$B$38&lt;&gt;"pvp",Inputs!$B$43&gt;0),IF(Inputs!$B$43&lt;=0,0,(INT(Inputs!$B$43/(IF(Inputs!$B$38="pvp",15,MAX(0.1,Skills!D17-IF(TRUE=TRUE,Inputs!$B$32,0)))*(1-IF(AND(ArtifactsInput!$M$27,Inputs!$B$4="Chapter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Skills!G18*IF(Skills!H18&gt;0,INT(IF(Inputs!$B$38="pvp",MIN(Skills!I18,15),Skills!I18)/Skills!H18+0.000000001),1)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IFERROR(1/(IF(Inputs!$B$38="pvp",15,MAX(0.1,Skills!D18-IF(TRUE=TRUE,Inputs!$B$32,0)))*(1-IF(AND(ArtifactsInput!$M$27,Inputs!$B$4="Chapter Hunt"),CHOOSE(ArtifactsInput!$N$27+1,20,24,28,32,36,40),0)/100)),0)</f>
        <v/>
      </c>
      <c r="R467">
        <f>IF(AND(Inputs!$B$38&lt;&gt;"pvp",Inputs!$B$43&gt;0),IF(Inputs!$B$43&lt;=0,0,(INT(Inputs!$B$43/(IF(Inputs!$B$38="pvp",15,MAX(0.1,Skills!D18-IF(TRUE=TRUE,Inputs!$B$32,0)))*(1-IF(AND(ArtifactsInput!$M$27,Inputs!$B$4="Chapter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Skills!G19*IF(Skills!H19&gt;0,INT(IF(Inputs!$B$38="pvp",MIN(Skills!I19,15),Skills!I19)/Skills!H19+0.000000001),1)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IFERROR(1/(IF(Inputs!$B$38="pvp",15,MAX(0.1,Skills!D19-IF(TRUE=TRUE,Inputs!$B$32,0)))*(1-IF(AND(ArtifactsInput!$M$27,Inputs!$B$4="Chapter Hunt"),CHOOSE(ArtifactsInput!$N$27+1,20,24,28,32,36,40),0)/100)),0)</f>
        <v/>
      </c>
      <c r="R468">
        <f>IF(AND(Inputs!$B$38&lt;&gt;"pvp",Inputs!$B$43&gt;0),IF(Inputs!$B$43&lt;=0,0,(INT(Inputs!$B$43/(IF(Inputs!$B$38="pvp",15,MAX(0.1,Skills!D19-IF(TRUE=TRUE,Inputs!$B$32,0)))*(1-IF(AND(ArtifactsInput!$M$27,Inputs!$B$4="Chapter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Skills!G20*IF(Skills!H20&gt;0,INT(IF(Inputs!$B$38="pvp",MIN(Skills!I20,15),Skills!I20)/Skills!H20+0.000000001),1)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Skills!G21*IF(Skills!H21&gt;0,INT(IF(Inputs!$B$38="pvp",MIN(Skills!I21,15),Skills!I21)/Skills!H21+0.000000001),1)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Skills!G22*IF(Skills!H22&gt;0,INT(IF(Inputs!$B$38="pvp",MIN(Skills!I22,15),Skills!I22)/Skills!H22+0.000000001),1)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Skills!G23*IF(Skills!H23&gt;0,INT(IF(Inputs!$B$38="pvp",MIN(Skills!I23,15),Skills!I23)/Skills!H23+0.000000001),1)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Skills!G24*IF(Skills!H24&gt;0,INT(IF(Inputs!$B$38="pvp",MIN(Skills!I24,15),Skills!I24)/Skills!H24+0.000000001),1)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Skills!G25*IF(Skills!H25&gt;0,INT(IF(Inputs!$B$38="pvp",MIN(Skills!I25,15),Skills!I25)/Skills!H25+0.000000001),1)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Skills!G26*IF(Skills!H26&gt;0,INT(IF(Inputs!$B$38="pvp",MIN(Skills!I26,15),Skills!I26)/Skills!H26+0.000000001),1)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MIN((Skills!T19*(1+(Inputs!$B$34+(ArtifactsInput!$M$7-ArtifactsInput!$M$7)*CHOOSE(ArtifactsInput!$N$7+1,6,7.2,8.4,9.6,10.8,12))/100)),(1/Q468))+MIN((Skills!T19*(1+(Inputs!$B$34+(ArtifactsInput!$M$7-ArtifactsInput!$M$7)*CHOOSE(ArtifactsInput!$N$7+1,6,7.2,8.4,9.6,10.8,12))/100)),MAX(0,Inputs!$B$43-((R468-1)*(1/Q468)))))/Inputs!$B$43),IF(Inputs!$B$38="pvp",MIN((Skills!T19*(1+(Inputs!$B$34+(ArtifactsInput!$M$7-ArtifactsInput!$M$7)*CHOOSE(ArtifactsInput!$N$7+1,6,7.2,8.4,9.6,10.8,12))/100)),15)/15,MIN(1,(Skills!T19*(1+(Inputs!$B$34+(ArtifactsInput!$M$7-ArtifactsInput!$M$7)*CHOOSE(ArtifactsInput!$N$7+1,6,7.2,8.4,9.6,10.8,12))/100))/(1/Q468)))))</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MIN((Skills!T18*(1+(Inputs!$B$34+(ArtifactsInput!$M$7-ArtifactsInput!$M$7)*CHOOSE(ArtifactsInput!$N$7+1,6,7.2,8.4,9.6,10.8,12))/100)),(1/Q467))+MIN((Skills!T18*(1+(Inputs!$B$34+(ArtifactsInput!$M$7-ArtifactsInput!$M$7)*CHOOSE(ArtifactsInput!$N$7+1,6,7.2,8.4,9.6,10.8,12))/100)),MAX(0,Inputs!$B$43-((R467-1)*(1/Q467)))))/Inputs!$B$43),IF(Inputs!$B$38="pvp",MIN((Skills!T18*(1+(Inputs!$B$34+(ArtifactsInput!$M$7-ArtifactsInput!$M$7)*CHOOSE(ArtifactsInput!$N$7+1,6,7.2,8.4,9.6,10.8,12))/100)),15)/15,MIN(1,(Skills!T18*(1+(Inputs!$B$34+(ArtifactsInput!$M$7-ArtifactsInput!$M$7)*CHOOSE(ArtifactsInput!$N$7+1,6,7.2,8.4,9.6,10.8,12))/100))/(1/Q467)))))</f>
        <v/>
      </c>
    </row>
    <row r="484">
      <c r="A484" t="inlineStr">
        <is>
          <t>Global Final Damage Bonus % (Enrage + Combo Synergy)</t>
        </is>
      </c>
      <c r="B484">
        <f>((C466=TRUE)*F466*IF(AND(Inputs!$B$38&lt;&gt;"pvp",Inputs!$B$43&gt;0),(((R466-1)*MIN((Skills!T17*(1+(Inputs!$B$34+(ArtifactsInput!$M$7-ArtifactsInput!$M$7)*CHOOSE(ArtifactsInput!$N$7+1,6,7.2,8.4,9.6,10.8,12))/100)),(1/Q466))+MIN((Skills!T17*(1+(Inputs!$B$34+(ArtifactsInput!$M$7-ArtifactsInput!$M$7)*CHOOSE(ArtifactsInput!$N$7+1,6,7.2,8.4,9.6,10.8,12))/100)),MAX(0,Inputs!$B$43-((R466-1)*(1/Q466)))))/Inputs!$B$43),IF(Inputs!$B$38="pvp",MIN((Skills!T17*(1+(Inputs!$B$34+(ArtifactsInput!$M$7-ArtifactsInput!$M$7)*CHOOSE(ArtifactsInput!$N$7+1,6,7.2,8.4,9.6,10.8,12))/100)),15)/15,MIN(1,(Skills!T17*(1+(Inputs!$B$34+(ArtifactsInput!$M$7-ArtifactsInput!$M$7)*CHOOSE(ArtifactsInput!$N$7+1,6,7.2,8.4,9.6,10.8,12))/100))/(1/Q466)))))+((C463=TRUE)*F463*IF(Inputs!$B$3&gt;=118,8,IF(Inputs!$B$3&gt;=110,7,5)))+IF(Inputs!$B$3&gt;=98,5,0)</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Skills!G2*IF(Skills!H2&gt;0,INT(IF(Inputs!$B$38="pvp",MIN(Skills!I2,15),Skills!I2)/Skills!H2+0.000000001),1)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Skills!G5*IF(Skills!H5&gt;0,INT(IF(Inputs!$B$38="pvp",MIN(Skills!I5,15),Skills!I5)/Skills!H5+0.000000001),1)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IFERROR(1/(IF(Inputs!$B$38="pvp",15,MAX(0.1,Skills!D5-IF(TRUE=TRUE,Inputs!$B$32,0)))*(1-IF(AND(ArtifactsInput!$M$27,Inputs!$B$4="Chapter Hunt"),CHOOSE(ArtifactsInput!$N$27+1,20,24,28,32,36,40),0)/100)),0)</f>
        <v/>
      </c>
      <c r="R496">
        <f>IF(AND(Inputs!$B$38&lt;&gt;"pvp",Inputs!$B$43&gt;0),IF(MAX(0,Inputs!$B$43-B527)&lt;=0,0,(INT(MAX(0,Inputs!$B$43-B527)/(IF(Inputs!$B$38="pvp",15,MAX(0.1,Skills!D5-IF(TRUE=TRUE,Inputs!$B$32,0)))*(1-IF(AND(ArtifactsInput!$M$27,Inputs!$B$4="Chapter Hunt"),CHOOSE(ArtifactsInput!$N$27+1,20,24,28,32,36,40),0)/100)))+1)),0)</f>
        <v/>
      </c>
      <c r="S496">
        <f>IFERROR(O496/N496,0)</f>
        <v/>
      </c>
      <c r="T496">
        <f>IF(C496,(H496*N496*IF(AND(Inputs!$B$38&lt;&gt;"pvp",Inputs!$B$43&gt;0),((Skills!G5*((R496-1)*IF(Skills!H5&gt;0,INT(Skills!I5/Skills!H5+0.000000001),1)+IF(Skills!H5&gt;0,INT(MIN(Skills!I5,MAX(0,MAX(0,Inputs!$B$43-B527)-((R496-1)*(IF(Inputs!$B$38="pvp",15,MAX(0.1,Skills!D5-IF(TRUE=TRUE,Inputs!$B$32,0)))*(1-IF(AND(ArtifactsInput!$M$27,Inputs!$B$4="Chapter Hunt"),CHOOSE(ArtifactsInput!$N$27+1,20,24,28,32,36,40),0)/100)))))/Skills!H5+0.000000001),1)))/Inputs!$B$43),G496*Q496))*IF(Inputs!$B$38="pvp",1,1+(Inputs!$B$20+0+Skills!P5+(((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INT(Skills!I5/Skills!H5+0.000000001),1)+IF(Skills!H5&gt;0,INT(MIN(Skills!I5,MAX(0,MAX(0,Inputs!$B$43-B527)-((R496-1)*(IF(Inputs!$B$38="pvp",15,MAX(0.1,Skills!D5-IF(TRUE=TRUE,Inputs!$B$32,0)))*(1-IF(AND(ArtifactsInput!$M$27,Inputs!$B$4="Chapter Hunt"),CHOOSE(ArtifactsInput!$N$27+1,20,24,28,32,36,40),0)/100)))))/Skills!H5+0.000000001),1)))/Inputs!$B$43),G496*Q496))*IF(Inputs!$B$38="pvp",1,(1+(Inputs!$B$21+Skills!Q5+(((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Skills!G6*IF(Skills!H6&gt;0,INT(IF(Inputs!$B$38="pvp",MIN(Skills!I6,15),Skills!I6)/Skills!H6+0.000000001),1)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IFERROR(1/(IF(Inputs!$B$38="pvp",15,MAX(0.1,Skills!D6-IF(TRUE=TRUE,Inputs!$B$32,0)))*(1-IF(AND(ArtifactsInput!$M$27,Inputs!$B$4="Chapter Hunt"),CHOOSE(ArtifactsInput!$N$27+1,20,24,28,32,36,40),0)/100)),0)</f>
        <v/>
      </c>
      <c r="R497">
        <f>IF(AND(Inputs!$B$38&lt;&gt;"pvp",Inputs!$B$43&gt;0),IF(MAX(0,Inputs!$B$43-B527)&lt;=0,0,(INT(MAX(0,Inputs!$B$43-B527)/(IF(Inputs!$B$38="pvp",15,MAX(0.1,Skills!D6-IF(TRUE=TRUE,Inputs!$B$32,0)))*(1-IF(AND(ArtifactsInput!$M$27,Inputs!$B$4="Chapter Hunt"),CHOOSE(ArtifactsInput!$N$27+1,20,24,28,32,36,40),0)/100)))+1)),0)</f>
        <v/>
      </c>
      <c r="S497">
        <f>IFERROR(O497/N497,0)</f>
        <v/>
      </c>
      <c r="T497">
        <f>IF(C497,(H497*N497*IF(AND(Inputs!$B$38&lt;&gt;"pvp",Inputs!$B$43&gt;0),((Skills!G6*((R497-1)*IF(Skills!H6&gt;0,INT(Skills!I6/Skills!H6+0.000000001),1)+IF(Skills!H6&gt;0,INT(MIN(Skills!I6,MAX(0,MAX(0,Inputs!$B$43-B527)-((R497-1)*(IF(Inputs!$B$38="pvp",15,MAX(0.1,Skills!D6-IF(TRUE=TRUE,Inputs!$B$32,0)))*(1-IF(AND(ArtifactsInput!$M$27,Inputs!$B$4="Chapter Hunt"),CHOOSE(ArtifactsInput!$N$27+1,20,24,28,32,36,40),0)/100)))))/Skills!H6+0.000000001),1)))/Inputs!$B$43),G497*Q497))*IF(Inputs!$B$38="pvp",1,1+(Inputs!$B$20+0+Skills!P6+(((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INT(Skills!I6/Skills!H6+0.000000001),1)+IF(Skills!H6&gt;0,INT(MIN(Skills!I6,MAX(0,MAX(0,Inputs!$B$43-B527)-((R497-1)*(IF(Inputs!$B$38="pvp",15,MAX(0.1,Skills!D6-IF(TRUE=TRUE,Inputs!$B$32,0)))*(1-IF(AND(ArtifactsInput!$M$27,Inputs!$B$4="Chapter Hunt"),CHOOSE(ArtifactsInput!$N$27+1,20,24,28,32,36,40),0)/100)))))/Skills!H6+0.000000001),1)))/Inputs!$B$43),G497*Q497))*IF(Inputs!$B$38="pvp",1,(1+(Inputs!$B$21+Skills!Q6+(((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Skills!G7*IF(Skills!H7&gt;0,INT(IF(Inputs!$B$38="pvp",MIN(Skills!I7,15),Skills!I7)/Skills!H7+0.000000001),1)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IFERROR(1/(IF(Inputs!$B$38="pvp",15,MAX(0.1,Skills!D7-IF(TRUE=TRUE,Inputs!$B$32,0)))*(1-IF(AND(ArtifactsInput!$M$27,Inputs!$B$4="Chapter Hunt"),CHOOSE(ArtifactsInput!$N$27+1,20,24,28,32,36,40),0)/100)),0)</f>
        <v/>
      </c>
      <c r="R498">
        <f>IF(AND(Inputs!$B$38&lt;&gt;"pvp",Inputs!$B$43&gt;0),IF(MAX(0,Inputs!$B$43-B527)&lt;=0,0,(INT(MAX(0,Inputs!$B$43-B527)/(IF(Inputs!$B$38="pvp",15,MAX(0.1,Skills!D7-IF(TRUE=TRUE,Inputs!$B$32,0)))*(1-IF(AND(ArtifactsInput!$M$27,Inputs!$B$4="Chapter Hunt"),CHOOSE(ArtifactsInput!$N$27+1,20,24,28,32,36,40),0)/100)))+1)),0)</f>
        <v/>
      </c>
      <c r="S498">
        <f>IFERROR(O498/N498,0)</f>
        <v/>
      </c>
      <c r="T498">
        <f>IF(C498,(H498*N498*IF(AND(Inputs!$B$38&lt;&gt;"pvp",Inputs!$B$43&gt;0),((Skills!G7*((R498-1)*IF(Skills!H7&gt;0,INT(Skills!I7/Skills!H7+0.000000001),1)+IF(Skills!H7&gt;0,INT(MIN(Skills!I7,MAX(0,MAX(0,Inputs!$B$43-B527)-((R498-1)*(IF(Inputs!$B$38="pvp",15,MAX(0.1,Skills!D7-IF(TRUE=TRUE,Inputs!$B$32,0)))*(1-IF(AND(ArtifactsInput!$M$27,Inputs!$B$4="Chapter Hunt"),CHOOSE(ArtifactsInput!$N$27+1,20,24,28,32,36,40),0)/100)))))/Skills!H7+0.000000001),1)))/Inputs!$B$43),G498*Q498))*IF(Inputs!$B$38="pvp",1,1+(Inputs!$B$20+0+Skills!P7+(((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INT(Skills!I7/Skills!H7+0.000000001),1)+IF(Skills!H7&gt;0,INT(MIN(Skills!I7,MAX(0,MAX(0,Inputs!$B$43-B527)-((R498-1)*(IF(Inputs!$B$38="pvp",15,MAX(0.1,Skills!D7-IF(TRUE=TRUE,Inputs!$B$32,0)))*(1-IF(AND(ArtifactsInput!$M$27,Inputs!$B$4="Chapter Hunt"),CHOOSE(ArtifactsInput!$N$27+1,20,24,28,32,36,40),0)/100)))))/Skills!H7+0.000000001),1)))/Inputs!$B$43),G498*Q498))*IF(Inputs!$B$38="pvp",1,(1+(Inputs!$B$21+Skills!Q7+(((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Skills!G8*IF(Skills!H8&gt;0,INT(IF(Inputs!$B$38="pvp",MIN(Skills!I8,15),Skills!I8)/Skills!H8+0.000000001),1)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IFERROR(1/(IF(Inputs!$B$38="pvp",15,MAX(0.1,Skills!D8-IF(TRUE=TRUE,Inputs!$B$32,0)))*(1-IF(AND(ArtifactsInput!$M$27,Inputs!$B$4="Chapter Hunt"),CHOOSE(ArtifactsInput!$N$27+1,20,24,28,32,36,40),0)/100)),0)</f>
        <v/>
      </c>
      <c r="R499">
        <f>IF(AND(Inputs!$B$38&lt;&gt;"pvp",Inputs!$B$43&gt;0),IF(MAX(0,Inputs!$B$43-B527)&lt;=0,0,(INT(MAX(0,Inputs!$B$43-B527)/(IF(Inputs!$B$38="pvp",15,MAX(0.1,Skills!D8-IF(TRUE=TRUE,Inputs!$B$32,0)))*(1-IF(AND(ArtifactsInput!$M$27,Inputs!$B$4="Chapter Hunt"),CHOOSE(ArtifactsInput!$N$27+1,20,24,28,32,36,40),0)/100)))+1)),0)</f>
        <v/>
      </c>
      <c r="S499">
        <f>IFERROR(O499/N499,0)</f>
        <v/>
      </c>
      <c r="T499">
        <f>IF(C499,(H499*N499*IF(AND(Inputs!$B$38&lt;&gt;"pvp",Inputs!$B$43&gt;0),((Skills!G8*((R499-1)*IF(Skills!H8&gt;0,INT(Skills!I8/Skills!H8+0.000000001),1)+IF(Skills!H8&gt;0,INT(MIN(Skills!I8,MAX(0,MAX(0,Inputs!$B$43-B527)-((R499-1)*(IF(Inputs!$B$38="pvp",15,MAX(0.1,Skills!D8-IF(TRUE=TRUE,Inputs!$B$32,0)))*(1-IF(AND(ArtifactsInput!$M$27,Inputs!$B$4="Chapter Hunt"),CHOOSE(ArtifactsInput!$N$27+1,20,24,28,32,36,40),0)/100)))))/Skills!H8+0.000000001),1)))/Inputs!$B$43),G499*Q499))*IF(Inputs!$B$38="pvp",1,1+(Inputs!$B$20+0+Skills!P8+(((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INT(Skills!I8/Skills!H8+0.000000001),1)+IF(Skills!H8&gt;0,INT(MIN(Skills!I8,MAX(0,MAX(0,Inputs!$B$43-B527)-((R499-1)*(IF(Inputs!$B$38="pvp",15,MAX(0.1,Skills!D8-IF(TRUE=TRUE,Inputs!$B$32,0)))*(1-IF(AND(ArtifactsInput!$M$27,Inputs!$B$4="Chapter Hunt"),CHOOSE(ArtifactsInput!$N$27+1,20,24,28,32,36,40),0)/100)))))/Skills!H8+0.000000001),1)))/Inputs!$B$43),G499*Q499))*IF(Inputs!$B$38="pvp",1,(1+(Inputs!$B$21+Skills!Q8+(((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Skills!G9*IF(Skills!H9&gt;0,INT(IF(Inputs!$B$38="pvp",MIN(Skills!I9,15),Skills!I9)/Skills!H9+0.000000001),1)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138,MAX(0,IF(Inputs!$B$3&gt;=118,8,IF(Inputs!$B$3&gt;=110,7,5))-5)*50,0),0)/100)*(1+(IF(Skills!A9="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IFERROR(1/(IF(Inputs!$B$38="pvp",15,MAX(0.1,Skills!D9-IF(TRUE=TRUE,Inputs!$B$32,0)))*(1-IF(AND(ArtifactsInput!$M$27,Inputs!$B$4="Chapter Hunt"),CHOOSE(ArtifactsInput!$N$27+1,20,24,28,32,36,40),0)/100)),0)</f>
        <v/>
      </c>
      <c r="R500">
        <f>IF(AND(Inputs!$B$38&lt;&gt;"pvp",Inputs!$B$43&gt;0),IF(MAX(0,Inputs!$B$43-B527)&lt;=0,0,(INT(MAX(0,Inputs!$B$43-B527)/(IF(Inputs!$B$38="pvp",15,MAX(0.1,Skills!D9-IF(TRUE=TRUE,Inputs!$B$32,0)))*(1-IF(AND(ArtifactsInput!$M$27,Inputs!$B$4="Chapter Hunt"),CHOOSE(ArtifactsInput!$N$27+1,20,24,28,32,36,40),0)/100)))+1)),0)</f>
        <v/>
      </c>
      <c r="S500">
        <f>IFERROR(O500/N500,0)</f>
        <v/>
      </c>
      <c r="T500">
        <f>IF(C500,(H500*N500*IF(AND(Inputs!$B$38&lt;&gt;"pvp",Inputs!$B$43&gt;0),((Skills!G9*((R500-1)*IF(Skills!H9&gt;0,INT(Skills!I9/Skills!H9+0.000000001),1)+IF(Skills!H9&gt;0,INT(MIN(Skills!I9,MAX(0,MAX(0,Inputs!$B$43-B527)-((R500-1)*(IF(Inputs!$B$38="pvp",15,MAX(0.1,Skills!D9-IF(TRUE=TRUE,Inputs!$B$32,0)))*(1-IF(AND(ArtifactsInput!$M$27,Inputs!$B$4="Chapter Hunt"),CHOOSE(ArtifactsInput!$N$27+1,20,24,28,32,36,40),0)/100)))))/Skills!H9+0.000000001),1)))/Inputs!$B$43),G500*Q500))*IF(Inputs!$B$38="pvp",1,1+(Inputs!$B$20+0+Skills!P9+(((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INT(Skills!I9/Skills!H9+0.000000001),1)+IF(Skills!H9&gt;0,INT(MIN(Skills!I9,MAX(0,MAX(0,Inputs!$B$43-B527)-((R500-1)*(IF(Inputs!$B$38="pvp",15,MAX(0.1,Skills!D9-IF(TRUE=TRUE,Inputs!$B$32,0)))*(1-IF(AND(ArtifactsInput!$M$27,Inputs!$B$4="Chapter Hunt"),CHOOSE(ArtifactsInput!$N$27+1,20,24,28,32,36,40),0)/100)))))/Skills!H9+0.000000001),1)))/Inputs!$B$43),G500*Q500))*IF(Inputs!$B$38="pvp",1,(1+(Inputs!$B$21+Skills!Q9+(((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Skills!G10*IF(Skills!H10&gt;0,INT(IF(Inputs!$B$38="pvp",MIN(Skills!I10,15),Skills!I10)/Skills!H10+0.000000001),1)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138,MAX(0,IF(Inputs!$B$3&gt;=118,8,IF(Inputs!$B$3&gt;=110,7,5))-5)*50,0),0)/100)*(1+(IF(Skills!A10="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IFERROR(1/(IF(Inputs!$B$38="pvp",15,MAX(0.1,Skills!D10-IF(TRUE=TRUE,Inputs!$B$32,0)))*(1-IF(AND(ArtifactsInput!$M$27,Inputs!$B$4="Chapter Hunt"),CHOOSE(ArtifactsInput!$N$27+1,20,24,28,32,36,40),0)/100)),0)</f>
        <v/>
      </c>
      <c r="R501">
        <f>IF(AND(Inputs!$B$38&lt;&gt;"pvp",Inputs!$B$43&gt;0),IF(MAX(0,Inputs!$B$43-B527)&lt;=0,0,(INT(MAX(0,Inputs!$B$43-B527)/(IF(Inputs!$B$38="pvp",15,MAX(0.1,Skills!D10-IF(TRUE=TRUE,Inputs!$B$32,0)))*(1-IF(AND(ArtifactsInput!$M$27,Inputs!$B$4="Chapter Hunt"),CHOOSE(ArtifactsInput!$N$27+1,20,24,28,32,36,40),0)/100)))+1)),0)</f>
        <v/>
      </c>
      <c r="S501">
        <f>IFERROR(O501/N501,0)</f>
        <v/>
      </c>
      <c r="T501">
        <f>IF(C501,(H501*N501*IF(AND(Inputs!$B$38&lt;&gt;"pvp",Inputs!$B$43&gt;0),((Skills!G10*((R501-1)*IF(Skills!H10&gt;0,INT(Skills!I10/Skills!H10+0.000000001),1)+IF(Skills!H10&gt;0,INT(MIN(Skills!I10,MAX(0,MAX(0,Inputs!$B$43-B527)-((R501-1)*(IF(Inputs!$B$38="pvp",15,MAX(0.1,Skills!D10-IF(TRUE=TRUE,Inputs!$B$32,0)))*(1-IF(AND(ArtifactsInput!$M$27,Inputs!$B$4="Chapter Hunt"),CHOOSE(ArtifactsInput!$N$27+1,20,24,28,32,36,40),0)/100)))))/Skills!H10+0.000000001),1)))/Inputs!$B$43),G501*Q501))*IF(Inputs!$B$38="pvp",1,1+(Inputs!$B$20+0+Skills!P10+(((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INT(Skills!I10/Skills!H10+0.000000001),1)+IF(Skills!H10&gt;0,INT(MIN(Skills!I10,MAX(0,MAX(0,Inputs!$B$43-B527)-((R501-1)*(IF(Inputs!$B$38="pvp",15,MAX(0.1,Skills!D10-IF(TRUE=TRUE,Inputs!$B$32,0)))*(1-IF(AND(ArtifactsInput!$M$27,Inputs!$B$4="Chapter Hunt"),CHOOSE(ArtifactsInput!$N$27+1,20,24,28,32,36,40),0)/100)))))/Skills!H10+0.000000001),1)))/Inputs!$B$43),G501*Q501))*IF(Inputs!$B$38="pvp",1,(1+(Inputs!$B$21+Skills!Q10+(((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Skills!G11*IF(Skills!H11&gt;0,INT(IF(Inputs!$B$38="pvp",MIN(Skills!I11,15),Skills!I11)/Skills!H11+0.000000001),1)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138,MAX(0,IF(Inputs!$B$3&gt;=118,8,IF(Inputs!$B$3&gt;=110,7,5))-5)*50,0),0)/100)*(1+(IF(Skills!A11="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IFERROR(1/(IF(Inputs!$B$38="pvp",15,MAX(0.1,Skills!D11-IF(TRUE=TRUE,Inputs!$B$32,0)))*(1-IF(AND(ArtifactsInput!$M$27,Inputs!$B$4="Chapter Hunt"),CHOOSE(ArtifactsInput!$N$27+1,20,24,28,32,36,40),0)/100)),0)</f>
        <v/>
      </c>
      <c r="R502">
        <f>IF(AND(Inputs!$B$38&lt;&gt;"pvp",Inputs!$B$43&gt;0),IF(MAX(0,Inputs!$B$43-B527)&lt;=0,0,(INT(MAX(0,Inputs!$B$43-B527)/(IF(Inputs!$B$38="pvp",15,MAX(0.1,Skills!D11-IF(TRUE=TRUE,Inputs!$B$32,0)))*(1-IF(AND(ArtifactsInput!$M$27,Inputs!$B$4="Chapter Hunt"),CHOOSE(ArtifactsInput!$N$27+1,20,24,28,32,36,40),0)/100)))+1)),0)</f>
        <v/>
      </c>
      <c r="S502">
        <f>IFERROR(O502/N502,0)</f>
        <v/>
      </c>
      <c r="T502">
        <f>IF(C502,(H502*N502*IF(AND(Inputs!$B$38&lt;&gt;"pvp",Inputs!$B$43&gt;0),((Skills!G11*((R502-1)*IF(Skills!H11&gt;0,INT(Skills!I11/Skills!H11+0.000000001),1)+IF(Skills!H11&gt;0,INT(MIN(Skills!I11,MAX(0,MAX(0,Inputs!$B$43-B527)-((R502-1)*(IF(Inputs!$B$38="pvp",15,MAX(0.1,Skills!D11-IF(TRUE=TRUE,Inputs!$B$32,0)))*(1-IF(AND(ArtifactsInput!$M$27,Inputs!$B$4="Chapter Hunt"),CHOOSE(ArtifactsInput!$N$27+1,20,24,28,32,36,40),0)/100)))))/Skills!H11+0.000000001),1)))/Inputs!$B$43),G502*Q502))*IF(Inputs!$B$38="pvp",1,1+(Inputs!$B$20+0+Skills!P11+(((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INT(Skills!I11/Skills!H11+0.000000001),1)+IF(Skills!H11&gt;0,INT(MIN(Skills!I11,MAX(0,MAX(0,Inputs!$B$43-B527)-((R502-1)*(IF(Inputs!$B$38="pvp",15,MAX(0.1,Skills!D11-IF(TRUE=TRUE,Inputs!$B$32,0)))*(1-IF(AND(ArtifactsInput!$M$27,Inputs!$B$4="Chapter Hunt"),CHOOSE(ArtifactsInput!$N$27+1,20,24,28,32,36,40),0)/100)))))/Skills!H11+0.000000001),1)))/Inputs!$B$43),G502*Q502))*IF(Inputs!$B$38="pvp",1,(1+(Inputs!$B$21+Skills!Q11+(((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Skills!G13*IF(Skills!H13&gt;0,INT(IF(Inputs!$B$38="pvp",MIN(Skills!I13,15),Skills!I13)/Skills!H13+0.000000001),1)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Skills!G14*IF(Skills!H14&gt;0,INT(IF(Inputs!$B$38="pvp",MIN(Skills!I14,15),Skills!I14)/Skills!H14+0.000000001),1)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Skills!G15*IF(Skills!H15&gt;0,INT(IF(Inputs!$B$38="pvp",MIN(Skills!I15,15),Skills!I15)/Skills!H15+0.000000001),1)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IFERROR(1/(IF(Inputs!$B$38="pvp",15,MAX(0.1,Skills!D15-IF(TRUE=TRUE,Inputs!$B$32,0)))*(1-IF(AND(ArtifactsInput!$M$27,Inputs!$B$4="Chapter Hunt"),CHOOSE(ArtifactsInput!$N$27+1,20,24,28,32,36,40),0)/100)),0)</f>
        <v/>
      </c>
      <c r="R506">
        <f>IF(AND(Inputs!$B$38&lt;&gt;"pvp",Inputs!$B$43&gt;0),IF(Inputs!$B$43&lt;=0,0,(INT(Inputs!$B$43/(IF(Inputs!$B$38="pvp",15,MAX(0.1,Skills!D15-IF(TRUE=TRUE,Inputs!$B$32,0)))*(1-IF(AND(ArtifactsInput!$M$27,Inputs!$B$4="Chapter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Skills!G16*IF(Skills!H16&gt;0,INT(IF(Inputs!$B$38="pvp",MIN(Skills!I16,15),Skills!I16)/Skills!H16+0.000000001),1)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IFERROR(1/(IF(Inputs!$B$38="pvp",15,MAX(0.1,Skills!D16-IF(TRUE=TRUE,Inputs!$B$32,0)))*(1-IF(AND(ArtifactsInput!$M$27,Inputs!$B$4="Chapter Hunt"),CHOOSE(ArtifactsInput!$N$27+1,20,24,28,32,36,40),0)/100)),0)</f>
        <v/>
      </c>
      <c r="R507">
        <f>IF(AND(Inputs!$B$38&lt;&gt;"pvp",Inputs!$B$43&gt;0),IF(Inputs!$B$43&lt;=0,0,(INT(Inputs!$B$43/(IF(Inputs!$B$38="pvp",15,MAX(0.1,Skills!D16-IF(TRUE=TRUE,Inputs!$B$32,0)))*(1-IF(AND(ArtifactsInput!$M$27,Inputs!$B$4="Chapter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Skills!G17*IF(Skills!H17&gt;0,INT(IF(Inputs!$B$38="pvp",MIN(Skills!I17,15),Skills!I17)/Skills!H17+0.000000001),1)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IFERROR(1/(IF(Inputs!$B$38="pvp",15,MAX(0.1,Skills!D17-IF(TRUE=TRUE,Inputs!$B$32,0)))*(1-IF(AND(ArtifactsInput!$M$27,Inputs!$B$4="Chapter Hunt"),CHOOSE(ArtifactsInput!$N$27+1,20,24,28,32,36,40),0)/100)),0)</f>
        <v/>
      </c>
      <c r="R508">
        <f>IF(AND(Inputs!$B$38&lt;&gt;"pvp",Inputs!$B$43&gt;0),IF(Inputs!$B$43&lt;=0,0,(INT(Inputs!$B$43/(IF(Inputs!$B$38="pvp",15,MAX(0.1,Skills!D17-IF(TRUE=TRUE,Inputs!$B$32,0)))*(1-IF(AND(ArtifactsInput!$M$27,Inputs!$B$4="Chapter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Skills!G18*IF(Skills!H18&gt;0,INT(IF(Inputs!$B$38="pvp",MIN(Skills!I18,15),Skills!I18)/Skills!H18+0.000000001),1)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IFERROR(1/(IF(Inputs!$B$38="pvp",15,MAX(0.1,Skills!D18-IF(TRUE=TRUE,Inputs!$B$32,0)))*(1-IF(AND(ArtifactsInput!$M$27,Inputs!$B$4="Chapter Hunt"),CHOOSE(ArtifactsInput!$N$27+1,20,24,28,32,36,40),0)/100)),0)</f>
        <v/>
      </c>
      <c r="R509">
        <f>IF(AND(Inputs!$B$38&lt;&gt;"pvp",Inputs!$B$43&gt;0),IF(Inputs!$B$43&lt;=0,0,(INT(Inputs!$B$43/(IF(Inputs!$B$38="pvp",15,MAX(0.1,Skills!D18-IF(TRUE=TRUE,Inputs!$B$32,0)))*(1-IF(AND(ArtifactsInput!$M$27,Inputs!$B$4="Chapter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Skills!G19*IF(Skills!H19&gt;0,INT(IF(Inputs!$B$38="pvp",MIN(Skills!I19,15),Skills!I19)/Skills!H19+0.000000001),1)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IFERROR(1/(IF(Inputs!$B$38="pvp",15,MAX(0.1,Skills!D19-IF(TRUE=TRUE,Inputs!$B$32,0)))*(1-IF(AND(ArtifactsInput!$M$27,Inputs!$B$4="Chapter Hunt"),CHOOSE(ArtifactsInput!$N$27+1,20,24,28,32,36,40),0)/100)),0)</f>
        <v/>
      </c>
      <c r="R510">
        <f>IF(AND(Inputs!$B$38&lt;&gt;"pvp",Inputs!$B$43&gt;0),IF(Inputs!$B$43&lt;=0,0,(INT(Inputs!$B$43/(IF(Inputs!$B$38="pvp",15,MAX(0.1,Skills!D19-IF(TRUE=TRUE,Inputs!$B$32,0)))*(1-IF(AND(ArtifactsInput!$M$27,Inputs!$B$4="Chapter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Skills!G20*IF(Skills!H20&gt;0,INT(IF(Inputs!$B$38="pvp",MIN(Skills!I20,15),Skills!I20)/Skills!H20+0.000000001),1)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Skills!G21*IF(Skills!H21&gt;0,INT(IF(Inputs!$B$38="pvp",MIN(Skills!I21,15),Skills!I21)/Skills!H21+0.000000001),1)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Skills!G22*IF(Skills!H22&gt;0,INT(IF(Inputs!$B$38="pvp",MIN(Skills!I22,15),Skills!I22)/Skills!H22+0.000000001),1)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Skills!G23*IF(Skills!H23&gt;0,INT(IF(Inputs!$B$38="pvp",MIN(Skills!I23,15),Skills!I23)/Skills!H23+0.000000001),1)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Skills!G24*IF(Skills!H24&gt;0,INT(IF(Inputs!$B$38="pvp",MIN(Skills!I24,15),Skills!I24)/Skills!H24+0.000000001),1)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Skills!G25*IF(Skills!H25&gt;0,INT(IF(Inputs!$B$38="pvp",MIN(Skills!I25,15),Skills!I25)/Skills!H25+0.000000001),1)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Skills!G26*IF(Skills!H26&gt;0,INT(IF(Inputs!$B$38="pvp",MIN(Skills!I26,15),Skills!I26)/Skills!H26+0.000000001),1)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MIN((Skills!T19*(1+(Inputs!$B$34+(ArtifactsInput!$M$7-ArtifactsInput!$M$7)*CHOOSE(ArtifactsInput!$N$7+1,6,7.2,8.4,9.6,10.8,12))/100)),(1/Q510))+MIN((Skills!T19*(1+(Inputs!$B$34+(ArtifactsInput!$M$7-ArtifactsInput!$M$7)*CHOOSE(ArtifactsInput!$N$7+1,6,7.2,8.4,9.6,10.8,12))/100)),MAX(0,Inputs!$B$43-((R510-1)*(1/Q510)))))/Inputs!$B$43),IF(Inputs!$B$38="pvp",MIN((Skills!T19*(1+(Inputs!$B$34+(ArtifactsInput!$M$7-ArtifactsInput!$M$7)*CHOOSE(ArtifactsInput!$N$7+1,6,7.2,8.4,9.6,10.8,12))/100)),15)/15,MIN(1,(Skills!T19*(1+(Inputs!$B$34+(ArtifactsInput!$M$7-ArtifactsInput!$M$7)*CHOOSE(ArtifactsInput!$N$7+1,6,7.2,8.4,9.6,10.8,12))/100))/(1/Q510)))))</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MIN((Skills!T18*(1+(Inputs!$B$34+(ArtifactsInput!$M$7-ArtifactsInput!$M$7)*CHOOSE(ArtifactsInput!$N$7+1,6,7.2,8.4,9.6,10.8,12))/100)),(1/Q509))+MIN((Skills!T18*(1+(Inputs!$B$34+(ArtifactsInput!$M$7-ArtifactsInput!$M$7)*CHOOSE(ArtifactsInput!$N$7+1,6,7.2,8.4,9.6,10.8,12))/100)),MAX(0,Inputs!$B$43-((R509-1)*(1/Q509)))))/Inputs!$B$43),IF(Inputs!$B$38="pvp",MIN((Skills!T18*(1+(Inputs!$B$34+(ArtifactsInput!$M$7-ArtifactsInput!$M$7)*CHOOSE(ArtifactsInput!$N$7+1,6,7.2,8.4,9.6,10.8,12))/100)),15)/15,MIN(1,(Skills!T18*(1+(Inputs!$B$34+(ArtifactsInput!$M$7-ArtifactsInput!$M$7)*CHOOSE(ArtifactsInput!$N$7+1,6,7.2,8.4,9.6,10.8,12))/100))/(1/Q509)))))</f>
        <v/>
      </c>
    </row>
    <row r="526">
      <c r="A526" t="inlineStr">
        <is>
          <t>Global Final Damage Bonus % (Enrage + Combo Synergy)</t>
        </is>
      </c>
      <c r="B526">
        <f>((C508=TRUE)*F508*IF(AND(Inputs!$B$38&lt;&gt;"pvp",Inputs!$B$43&gt;0),(((R508-1)*MIN((Skills!T17*(1+(Inputs!$B$34+(ArtifactsInput!$M$7-ArtifactsInput!$M$7)*CHOOSE(ArtifactsInput!$N$7+1,6,7.2,8.4,9.6,10.8,12))/100)),(1/Q508))+MIN((Skills!T17*(1+(Inputs!$B$34+(ArtifactsInput!$M$7-ArtifactsInput!$M$7)*CHOOSE(ArtifactsInput!$N$7+1,6,7.2,8.4,9.6,10.8,12))/100)),MAX(0,Inputs!$B$43-((R508-1)*(1/Q508)))))/Inputs!$B$43),IF(Inputs!$B$38="pvp",MIN((Skills!T17*(1+(Inputs!$B$34+(ArtifactsInput!$M$7-ArtifactsInput!$M$7)*CHOOSE(ArtifactsInput!$N$7+1,6,7.2,8.4,9.6,10.8,12))/100)),15)/15,MIN(1,(Skills!T17*(1+(Inputs!$B$34+(ArtifactsInput!$M$7-ArtifactsInput!$M$7)*CHOOSE(ArtifactsInput!$N$7+1,6,7.2,8.4,9.6,10.8,12))/100))/(1/Q508)))))+((C505=TRUE)*F505*IF(Inputs!$B$3&gt;=118,8,IF(Inputs!$B$3&gt;=110,7,5)))+IF(Inputs!$B$3&gt;=98,5,0)</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Skills!G2*IF(Skills!H2&gt;0,INT(IF(Inputs!$B$38="pvp",MIN(Skills!I2,15),Skills!I2)/Skills!H2+0.000000001),1)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Skills!G5*IF(Skills!H5&gt;0,INT(IF(Inputs!$B$38="pvp",MIN(Skills!I5,15),Skills!I5)/Skills!H5+0.000000001),1)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IFERROR(1/(IF(Inputs!$B$38="pvp",15,MAX(0.1,Skills!D5-IF(TRUE=TRUE,Inputs!$B$32,0)))*(1-IF(AND(ArtifactsInput!$M$27,Inputs!$B$4="Chapter Hunt"),CHOOSE(ArtifactsInput!$N$27+1,20,24,28,32,36,40),0)/100)),0)</f>
        <v/>
      </c>
      <c r="R538">
        <f>IF(AND(Inputs!$B$38&lt;&gt;"pvp",Inputs!$B$43&gt;0),IF(MAX(0,Inputs!$B$43-B569)&lt;=0,0,(INT(MAX(0,Inputs!$B$43-B569)/(IF(Inputs!$B$38="pvp",15,MAX(0.1,Skills!D5-IF(TRUE=TRUE,Inputs!$B$32,0)))*(1-IF(AND(ArtifactsInput!$M$27,Inputs!$B$4="Chapter Hunt"),CHOOSE(ArtifactsInput!$N$27+1,20,24,28,32,36,40),0)/100)))+1)),0)</f>
        <v/>
      </c>
      <c r="S538">
        <f>IFERROR(O538/N538,0)</f>
        <v/>
      </c>
      <c r="T538">
        <f>IF(C538,(H538*N538*IF(AND(Inputs!$B$38&lt;&gt;"pvp",Inputs!$B$43&gt;0),((Skills!G5*((R538-1)*IF(Skills!H5&gt;0,INT(Skills!I5/Skills!H5+0.000000001),1)+IF(Skills!H5&gt;0,INT(MIN(Skills!I5,MAX(0,MAX(0,Inputs!$B$43-B569)-((R538-1)*(IF(Inputs!$B$38="pvp",15,MAX(0.1,Skills!D5-IF(TRUE=TRUE,Inputs!$B$32,0)))*(1-IF(AND(ArtifactsInput!$M$27,Inputs!$B$4="Chapter Hunt"),CHOOSE(ArtifactsInput!$N$27+1,20,24,28,32,36,40),0)/100)))))/Skills!H5+0.000000001),1)))/Inputs!$B$43),G538*Q538))*IF(Inputs!$B$38="pvp",1,1+(Inputs!$B$20+0+Skills!P5+(((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INT(Skills!I5/Skills!H5+0.000000001),1)+IF(Skills!H5&gt;0,INT(MIN(Skills!I5,MAX(0,MAX(0,Inputs!$B$43-B569)-((R538-1)*(IF(Inputs!$B$38="pvp",15,MAX(0.1,Skills!D5-IF(TRUE=TRUE,Inputs!$B$32,0)))*(1-IF(AND(ArtifactsInput!$M$27,Inputs!$B$4="Chapter Hunt"),CHOOSE(ArtifactsInput!$N$27+1,20,24,28,32,36,40),0)/100)))))/Skills!H5+0.000000001),1)))/Inputs!$B$43),G538*Q538))*IF(Inputs!$B$38="pvp",1,(1+(Inputs!$B$21+Skills!Q5+(((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Skills!G6*IF(Skills!H6&gt;0,INT(IF(Inputs!$B$38="pvp",MIN(Skills!I6,15),Skills!I6)/Skills!H6+0.000000001),1)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IFERROR(1/(IF(Inputs!$B$38="pvp",15,MAX(0.1,Skills!D6-IF(TRUE=TRUE,Inputs!$B$32,0)))*(1-IF(AND(ArtifactsInput!$M$27,Inputs!$B$4="Chapter Hunt"),CHOOSE(ArtifactsInput!$N$27+1,20,24,28,32,36,40),0)/100)),0)</f>
        <v/>
      </c>
      <c r="R539">
        <f>IF(AND(Inputs!$B$38&lt;&gt;"pvp",Inputs!$B$43&gt;0),IF(MAX(0,Inputs!$B$43-B569)&lt;=0,0,(INT(MAX(0,Inputs!$B$43-B569)/(IF(Inputs!$B$38="pvp",15,MAX(0.1,Skills!D6-IF(TRUE=TRUE,Inputs!$B$32,0)))*(1-IF(AND(ArtifactsInput!$M$27,Inputs!$B$4="Chapter Hunt"),CHOOSE(ArtifactsInput!$N$27+1,20,24,28,32,36,40),0)/100)))+1)),0)</f>
        <v/>
      </c>
      <c r="S539">
        <f>IFERROR(O539/N539,0)</f>
        <v/>
      </c>
      <c r="T539">
        <f>IF(C539,(H539*N539*IF(AND(Inputs!$B$38&lt;&gt;"pvp",Inputs!$B$43&gt;0),((Skills!G6*((R539-1)*IF(Skills!H6&gt;0,INT(Skills!I6/Skills!H6+0.000000001),1)+IF(Skills!H6&gt;0,INT(MIN(Skills!I6,MAX(0,MAX(0,Inputs!$B$43-B569)-((R539-1)*(IF(Inputs!$B$38="pvp",15,MAX(0.1,Skills!D6-IF(TRUE=TRUE,Inputs!$B$32,0)))*(1-IF(AND(ArtifactsInput!$M$27,Inputs!$B$4="Chapter Hunt"),CHOOSE(ArtifactsInput!$N$27+1,20,24,28,32,36,40),0)/100)))))/Skills!H6+0.000000001),1)))/Inputs!$B$43),G539*Q539))*IF(Inputs!$B$38="pvp",1,1+(Inputs!$B$20+0+Skills!P6+(((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INT(Skills!I6/Skills!H6+0.000000001),1)+IF(Skills!H6&gt;0,INT(MIN(Skills!I6,MAX(0,MAX(0,Inputs!$B$43-B569)-((R539-1)*(IF(Inputs!$B$38="pvp",15,MAX(0.1,Skills!D6-IF(TRUE=TRUE,Inputs!$B$32,0)))*(1-IF(AND(ArtifactsInput!$M$27,Inputs!$B$4="Chapter Hunt"),CHOOSE(ArtifactsInput!$N$27+1,20,24,28,32,36,40),0)/100)))))/Skills!H6+0.000000001),1)))/Inputs!$B$43),G539*Q539))*IF(Inputs!$B$38="pvp",1,(1+(Inputs!$B$21+Skills!Q6+(((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Skills!G7*IF(Skills!H7&gt;0,INT(IF(Inputs!$B$38="pvp",MIN(Skills!I7,15),Skills!I7)/Skills!H7+0.000000001),1)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IFERROR(1/(IF(Inputs!$B$38="pvp",15,MAX(0.1,Skills!D7-IF(TRUE=TRUE,Inputs!$B$32,0)))*(1-IF(AND(ArtifactsInput!$M$27,Inputs!$B$4="Chapter Hunt"),CHOOSE(ArtifactsInput!$N$27+1,20,24,28,32,36,40),0)/100)),0)</f>
        <v/>
      </c>
      <c r="R540">
        <f>IF(AND(Inputs!$B$38&lt;&gt;"pvp",Inputs!$B$43&gt;0),IF(MAX(0,Inputs!$B$43-B569)&lt;=0,0,(INT(MAX(0,Inputs!$B$43-B569)/(IF(Inputs!$B$38="pvp",15,MAX(0.1,Skills!D7-IF(TRUE=TRUE,Inputs!$B$32,0)))*(1-IF(AND(ArtifactsInput!$M$27,Inputs!$B$4="Chapter Hunt"),CHOOSE(ArtifactsInput!$N$27+1,20,24,28,32,36,40),0)/100)))+1)),0)</f>
        <v/>
      </c>
      <c r="S540">
        <f>IFERROR(O540/N540,0)</f>
        <v/>
      </c>
      <c r="T540">
        <f>IF(C540,(H540*N540*IF(AND(Inputs!$B$38&lt;&gt;"pvp",Inputs!$B$43&gt;0),((Skills!G7*((R540-1)*IF(Skills!H7&gt;0,INT(Skills!I7/Skills!H7+0.000000001),1)+IF(Skills!H7&gt;0,INT(MIN(Skills!I7,MAX(0,MAX(0,Inputs!$B$43-B569)-((R540-1)*(IF(Inputs!$B$38="pvp",15,MAX(0.1,Skills!D7-IF(TRUE=TRUE,Inputs!$B$32,0)))*(1-IF(AND(ArtifactsInput!$M$27,Inputs!$B$4="Chapter Hunt"),CHOOSE(ArtifactsInput!$N$27+1,20,24,28,32,36,40),0)/100)))))/Skills!H7+0.000000001),1)))/Inputs!$B$43),G540*Q540))*IF(Inputs!$B$38="pvp",1,1+(Inputs!$B$20+0+Skills!P7+(((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INT(Skills!I7/Skills!H7+0.000000001),1)+IF(Skills!H7&gt;0,INT(MIN(Skills!I7,MAX(0,MAX(0,Inputs!$B$43-B569)-((R540-1)*(IF(Inputs!$B$38="pvp",15,MAX(0.1,Skills!D7-IF(TRUE=TRUE,Inputs!$B$32,0)))*(1-IF(AND(ArtifactsInput!$M$27,Inputs!$B$4="Chapter Hunt"),CHOOSE(ArtifactsInput!$N$27+1,20,24,28,32,36,40),0)/100)))))/Skills!H7+0.000000001),1)))/Inputs!$B$43),G540*Q540))*IF(Inputs!$B$38="pvp",1,(1+(Inputs!$B$21+Skills!Q7+(((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Skills!G8*IF(Skills!H8&gt;0,INT(IF(Inputs!$B$38="pvp",MIN(Skills!I8,15),Skills!I8)/Skills!H8+0.000000001),1)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IFERROR(1/(IF(Inputs!$B$38="pvp",15,MAX(0.1,Skills!D8-IF(TRUE=TRUE,Inputs!$B$32,0)))*(1-IF(AND(ArtifactsInput!$M$27,Inputs!$B$4="Chapter Hunt"),CHOOSE(ArtifactsInput!$N$27+1,20,24,28,32,36,40),0)/100)),0)</f>
        <v/>
      </c>
      <c r="R541">
        <f>IF(AND(Inputs!$B$38&lt;&gt;"pvp",Inputs!$B$43&gt;0),IF(MAX(0,Inputs!$B$43-B569)&lt;=0,0,(INT(MAX(0,Inputs!$B$43-B569)/(IF(Inputs!$B$38="pvp",15,MAX(0.1,Skills!D8-IF(TRUE=TRUE,Inputs!$B$32,0)))*(1-IF(AND(ArtifactsInput!$M$27,Inputs!$B$4="Chapter Hunt"),CHOOSE(ArtifactsInput!$N$27+1,20,24,28,32,36,40),0)/100)))+1)),0)</f>
        <v/>
      </c>
      <c r="S541">
        <f>IFERROR(O541/N541,0)</f>
        <v/>
      </c>
      <c r="T541">
        <f>IF(C541,(H541*N541*IF(AND(Inputs!$B$38&lt;&gt;"pvp",Inputs!$B$43&gt;0),((Skills!G8*((R541-1)*IF(Skills!H8&gt;0,INT(Skills!I8/Skills!H8+0.000000001),1)+IF(Skills!H8&gt;0,INT(MIN(Skills!I8,MAX(0,MAX(0,Inputs!$B$43-B569)-((R541-1)*(IF(Inputs!$B$38="pvp",15,MAX(0.1,Skills!D8-IF(TRUE=TRUE,Inputs!$B$32,0)))*(1-IF(AND(ArtifactsInput!$M$27,Inputs!$B$4="Chapter Hunt"),CHOOSE(ArtifactsInput!$N$27+1,20,24,28,32,36,40),0)/100)))))/Skills!H8+0.000000001),1)))/Inputs!$B$43),G541*Q541))*IF(Inputs!$B$38="pvp",1,1+(Inputs!$B$20+0+Skills!P8+(((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INT(Skills!I8/Skills!H8+0.000000001),1)+IF(Skills!H8&gt;0,INT(MIN(Skills!I8,MAX(0,MAX(0,Inputs!$B$43-B569)-((R541-1)*(IF(Inputs!$B$38="pvp",15,MAX(0.1,Skills!D8-IF(TRUE=TRUE,Inputs!$B$32,0)))*(1-IF(AND(ArtifactsInput!$M$27,Inputs!$B$4="Chapter Hunt"),CHOOSE(ArtifactsInput!$N$27+1,20,24,28,32,36,40),0)/100)))))/Skills!H8+0.000000001),1)))/Inputs!$B$43),G541*Q541))*IF(Inputs!$B$38="pvp",1,(1+(Inputs!$B$21+Skills!Q8+(((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Skills!G9*IF(Skills!H9&gt;0,INT(IF(Inputs!$B$38="pvp",MIN(Skills!I9,15),Skills!I9)/Skills!H9+0.000000001),1)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138,MAX(0,IF(Inputs!$B$3&gt;=118,8,IF(Inputs!$B$3&gt;=110,7,5))-5)*50,0),0)/100)*(1+(IF(Skills!A9="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IFERROR(1/(IF(Inputs!$B$38="pvp",15,MAX(0.1,Skills!D9-IF(TRUE=TRUE,Inputs!$B$32,0)))*(1-IF(AND(ArtifactsInput!$M$27,Inputs!$B$4="Chapter Hunt"),CHOOSE(ArtifactsInput!$N$27+1,20,24,28,32,36,40),0)/100)),0)</f>
        <v/>
      </c>
      <c r="R542">
        <f>IF(AND(Inputs!$B$38&lt;&gt;"pvp",Inputs!$B$43&gt;0),IF(MAX(0,Inputs!$B$43-B569)&lt;=0,0,(INT(MAX(0,Inputs!$B$43-B569)/(IF(Inputs!$B$38="pvp",15,MAX(0.1,Skills!D9-IF(TRUE=TRUE,Inputs!$B$32,0)))*(1-IF(AND(ArtifactsInput!$M$27,Inputs!$B$4="Chapter Hunt"),CHOOSE(ArtifactsInput!$N$27+1,20,24,28,32,36,40),0)/100)))+1)),0)</f>
        <v/>
      </c>
      <c r="S542">
        <f>IFERROR(O542/N542,0)</f>
        <v/>
      </c>
      <c r="T542">
        <f>IF(C542,(H542*N542*IF(AND(Inputs!$B$38&lt;&gt;"pvp",Inputs!$B$43&gt;0),((Skills!G9*((R542-1)*IF(Skills!H9&gt;0,INT(Skills!I9/Skills!H9+0.000000001),1)+IF(Skills!H9&gt;0,INT(MIN(Skills!I9,MAX(0,MAX(0,Inputs!$B$43-B569)-((R542-1)*(IF(Inputs!$B$38="pvp",15,MAX(0.1,Skills!D9-IF(TRUE=TRUE,Inputs!$B$32,0)))*(1-IF(AND(ArtifactsInput!$M$27,Inputs!$B$4="Chapter Hunt"),CHOOSE(ArtifactsInput!$N$27+1,20,24,28,32,36,40),0)/100)))))/Skills!H9+0.000000001),1)))/Inputs!$B$43),G542*Q542))*IF(Inputs!$B$38="pvp",1,1+(Inputs!$B$20+0+Skills!P9+(((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INT(Skills!I9/Skills!H9+0.000000001),1)+IF(Skills!H9&gt;0,INT(MIN(Skills!I9,MAX(0,MAX(0,Inputs!$B$43-B569)-((R542-1)*(IF(Inputs!$B$38="pvp",15,MAX(0.1,Skills!D9-IF(TRUE=TRUE,Inputs!$B$32,0)))*(1-IF(AND(ArtifactsInput!$M$27,Inputs!$B$4="Chapter Hunt"),CHOOSE(ArtifactsInput!$N$27+1,20,24,28,32,36,40),0)/100)))))/Skills!H9+0.000000001),1)))/Inputs!$B$43),G542*Q542))*IF(Inputs!$B$38="pvp",1,(1+(Inputs!$B$21+Skills!Q9+(((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Skills!G10*IF(Skills!H10&gt;0,INT(IF(Inputs!$B$38="pvp",MIN(Skills!I10,15),Skills!I10)/Skills!H10+0.000000001),1)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138,MAX(0,IF(Inputs!$B$3&gt;=118,8,IF(Inputs!$B$3&gt;=110,7,5))-5)*50,0),0)/100)*(1+(IF(Skills!A10="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IFERROR(1/(IF(Inputs!$B$38="pvp",15,MAX(0.1,Skills!D10-IF(TRUE=TRUE,Inputs!$B$32,0)))*(1-IF(AND(ArtifactsInput!$M$27,Inputs!$B$4="Chapter Hunt"),CHOOSE(ArtifactsInput!$N$27+1,20,24,28,32,36,40),0)/100)),0)</f>
        <v/>
      </c>
      <c r="R543">
        <f>IF(AND(Inputs!$B$38&lt;&gt;"pvp",Inputs!$B$43&gt;0),IF(MAX(0,Inputs!$B$43-B569)&lt;=0,0,(INT(MAX(0,Inputs!$B$43-B569)/(IF(Inputs!$B$38="pvp",15,MAX(0.1,Skills!D10-IF(TRUE=TRUE,Inputs!$B$32,0)))*(1-IF(AND(ArtifactsInput!$M$27,Inputs!$B$4="Chapter Hunt"),CHOOSE(ArtifactsInput!$N$27+1,20,24,28,32,36,40),0)/100)))+1)),0)</f>
        <v/>
      </c>
      <c r="S543">
        <f>IFERROR(O543/N543,0)</f>
        <v/>
      </c>
      <c r="T543">
        <f>IF(C543,(H543*N543*IF(AND(Inputs!$B$38&lt;&gt;"pvp",Inputs!$B$43&gt;0),((Skills!G10*((R543-1)*IF(Skills!H10&gt;0,INT(Skills!I10/Skills!H10+0.000000001),1)+IF(Skills!H10&gt;0,INT(MIN(Skills!I10,MAX(0,MAX(0,Inputs!$B$43-B569)-((R543-1)*(IF(Inputs!$B$38="pvp",15,MAX(0.1,Skills!D10-IF(TRUE=TRUE,Inputs!$B$32,0)))*(1-IF(AND(ArtifactsInput!$M$27,Inputs!$B$4="Chapter Hunt"),CHOOSE(ArtifactsInput!$N$27+1,20,24,28,32,36,40),0)/100)))))/Skills!H10+0.000000001),1)))/Inputs!$B$43),G543*Q543))*IF(Inputs!$B$38="pvp",1,1+(Inputs!$B$20+0+Skills!P10+(((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INT(Skills!I10/Skills!H10+0.000000001),1)+IF(Skills!H10&gt;0,INT(MIN(Skills!I10,MAX(0,MAX(0,Inputs!$B$43-B569)-((R543-1)*(IF(Inputs!$B$38="pvp",15,MAX(0.1,Skills!D10-IF(TRUE=TRUE,Inputs!$B$32,0)))*(1-IF(AND(ArtifactsInput!$M$27,Inputs!$B$4="Chapter Hunt"),CHOOSE(ArtifactsInput!$N$27+1,20,24,28,32,36,40),0)/100)))))/Skills!H10+0.000000001),1)))/Inputs!$B$43),G543*Q543))*IF(Inputs!$B$38="pvp",1,(1+(Inputs!$B$21+Skills!Q10+(((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Skills!G11*IF(Skills!H11&gt;0,INT(IF(Inputs!$B$38="pvp",MIN(Skills!I11,15),Skills!I11)/Skills!H11+0.000000001),1)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138,MAX(0,IF(Inputs!$B$3&gt;=118,8,IF(Inputs!$B$3&gt;=110,7,5))-5)*50,0),0)/100)*(1+(IF(Skills!A11="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IFERROR(1/(IF(Inputs!$B$38="pvp",15,MAX(0.1,Skills!D11-IF(TRUE=TRUE,Inputs!$B$32,0)))*(1-IF(AND(ArtifactsInput!$M$27,Inputs!$B$4="Chapter Hunt"),CHOOSE(ArtifactsInput!$N$27+1,20,24,28,32,36,40),0)/100)),0)</f>
        <v/>
      </c>
      <c r="R544">
        <f>IF(AND(Inputs!$B$38&lt;&gt;"pvp",Inputs!$B$43&gt;0),IF(MAX(0,Inputs!$B$43-B569)&lt;=0,0,(INT(MAX(0,Inputs!$B$43-B569)/(IF(Inputs!$B$38="pvp",15,MAX(0.1,Skills!D11-IF(TRUE=TRUE,Inputs!$B$32,0)))*(1-IF(AND(ArtifactsInput!$M$27,Inputs!$B$4="Chapter Hunt"),CHOOSE(ArtifactsInput!$N$27+1,20,24,28,32,36,40),0)/100)))+1)),0)</f>
        <v/>
      </c>
      <c r="S544">
        <f>IFERROR(O544/N544,0)</f>
        <v/>
      </c>
      <c r="T544">
        <f>IF(C544,(H544*N544*IF(AND(Inputs!$B$38&lt;&gt;"pvp",Inputs!$B$43&gt;0),((Skills!G11*((R544-1)*IF(Skills!H11&gt;0,INT(Skills!I11/Skills!H11+0.000000001),1)+IF(Skills!H11&gt;0,INT(MIN(Skills!I11,MAX(0,MAX(0,Inputs!$B$43-B569)-((R544-1)*(IF(Inputs!$B$38="pvp",15,MAX(0.1,Skills!D11-IF(TRUE=TRUE,Inputs!$B$32,0)))*(1-IF(AND(ArtifactsInput!$M$27,Inputs!$B$4="Chapter Hunt"),CHOOSE(ArtifactsInput!$N$27+1,20,24,28,32,36,40),0)/100)))))/Skills!H11+0.000000001),1)))/Inputs!$B$43),G544*Q544))*IF(Inputs!$B$38="pvp",1,1+(Inputs!$B$20+0+Skills!P11+(((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INT(Skills!I11/Skills!H11+0.000000001),1)+IF(Skills!H11&gt;0,INT(MIN(Skills!I11,MAX(0,MAX(0,Inputs!$B$43-B569)-((R544-1)*(IF(Inputs!$B$38="pvp",15,MAX(0.1,Skills!D11-IF(TRUE=TRUE,Inputs!$B$32,0)))*(1-IF(AND(ArtifactsInput!$M$27,Inputs!$B$4="Chapter Hunt"),CHOOSE(ArtifactsInput!$N$27+1,20,24,28,32,36,40),0)/100)))))/Skills!H11+0.000000001),1)))/Inputs!$B$43),G544*Q544))*IF(Inputs!$B$38="pvp",1,(1+(Inputs!$B$21+Skills!Q11+(((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Skills!G13*IF(Skills!H13&gt;0,INT(IF(Inputs!$B$38="pvp",MIN(Skills!I13,15),Skills!I13)/Skills!H13+0.000000001),1)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Skills!G14*IF(Skills!H14&gt;0,INT(IF(Inputs!$B$38="pvp",MIN(Skills!I14,15),Skills!I14)/Skills!H14+0.000000001),1)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Skills!G15*IF(Skills!H15&gt;0,INT(IF(Inputs!$B$38="pvp",MIN(Skills!I15,15),Skills!I15)/Skills!H15+0.000000001),1)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IFERROR(1/(IF(Inputs!$B$38="pvp",15,MAX(0.1,Skills!D15-IF(TRUE=TRUE,Inputs!$B$32,0)))*(1-IF(AND(ArtifactsInput!$M$27,Inputs!$B$4="Chapter Hunt"),CHOOSE(ArtifactsInput!$N$27+1,20,24,28,32,36,40),0)/100)),0)</f>
        <v/>
      </c>
      <c r="R548">
        <f>IF(AND(Inputs!$B$38&lt;&gt;"pvp",Inputs!$B$43&gt;0),IF(Inputs!$B$43&lt;=0,0,(INT(Inputs!$B$43/(IF(Inputs!$B$38="pvp",15,MAX(0.1,Skills!D15-IF(TRUE=TRUE,Inputs!$B$32,0)))*(1-IF(AND(ArtifactsInput!$M$27,Inputs!$B$4="Chapter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Skills!G16*IF(Skills!H16&gt;0,INT(IF(Inputs!$B$38="pvp",MIN(Skills!I16,15),Skills!I16)/Skills!H16+0.000000001),1)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IFERROR(1/(IF(Inputs!$B$38="pvp",15,MAX(0.1,Skills!D16-IF(TRUE=TRUE,Inputs!$B$32,0)))*(1-IF(AND(ArtifactsInput!$M$27,Inputs!$B$4="Chapter Hunt"),CHOOSE(ArtifactsInput!$N$27+1,20,24,28,32,36,40),0)/100)),0)</f>
        <v/>
      </c>
      <c r="R549">
        <f>IF(AND(Inputs!$B$38&lt;&gt;"pvp",Inputs!$B$43&gt;0),IF(Inputs!$B$43&lt;=0,0,(INT(Inputs!$B$43/(IF(Inputs!$B$38="pvp",15,MAX(0.1,Skills!D16-IF(TRUE=TRUE,Inputs!$B$32,0)))*(1-IF(AND(ArtifactsInput!$M$27,Inputs!$B$4="Chapter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Skills!G17*IF(Skills!H17&gt;0,INT(IF(Inputs!$B$38="pvp",MIN(Skills!I17,15),Skills!I17)/Skills!H17+0.000000001),1)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IFERROR(1/(IF(Inputs!$B$38="pvp",15,MAX(0.1,Skills!D17-IF(TRUE=TRUE,Inputs!$B$32,0)))*(1-IF(AND(ArtifactsInput!$M$27,Inputs!$B$4="Chapter Hunt"),CHOOSE(ArtifactsInput!$N$27+1,20,24,28,32,36,40),0)/100)),0)</f>
        <v/>
      </c>
      <c r="R550">
        <f>IF(AND(Inputs!$B$38&lt;&gt;"pvp",Inputs!$B$43&gt;0),IF(Inputs!$B$43&lt;=0,0,(INT(Inputs!$B$43/(IF(Inputs!$B$38="pvp",15,MAX(0.1,Skills!D17-IF(TRUE=TRUE,Inputs!$B$32,0)))*(1-IF(AND(ArtifactsInput!$M$27,Inputs!$B$4="Chapter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Skills!G18*IF(Skills!H18&gt;0,INT(IF(Inputs!$B$38="pvp",MIN(Skills!I18,15),Skills!I18)/Skills!H18+0.000000001),1)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IFERROR(1/(IF(Inputs!$B$38="pvp",15,MAX(0.1,Skills!D18-IF(TRUE=TRUE,Inputs!$B$32,0)))*(1-IF(AND(ArtifactsInput!$M$27,Inputs!$B$4="Chapter Hunt"),CHOOSE(ArtifactsInput!$N$27+1,20,24,28,32,36,40),0)/100)),0)</f>
        <v/>
      </c>
      <c r="R551">
        <f>IF(AND(Inputs!$B$38&lt;&gt;"pvp",Inputs!$B$43&gt;0),IF(Inputs!$B$43&lt;=0,0,(INT(Inputs!$B$43/(IF(Inputs!$B$38="pvp",15,MAX(0.1,Skills!D18-IF(TRUE=TRUE,Inputs!$B$32,0)))*(1-IF(AND(ArtifactsInput!$M$27,Inputs!$B$4="Chapter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Skills!G19*IF(Skills!H19&gt;0,INT(IF(Inputs!$B$38="pvp",MIN(Skills!I19,15),Skills!I19)/Skills!H19+0.000000001),1)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IFERROR(1/(IF(Inputs!$B$38="pvp",15,MAX(0.1,Skills!D19-IF(TRUE=TRUE,Inputs!$B$32,0)))*(1-IF(AND(ArtifactsInput!$M$27,Inputs!$B$4="Chapter Hunt"),CHOOSE(ArtifactsInput!$N$27+1,20,24,28,32,36,40),0)/100)),0)</f>
        <v/>
      </c>
      <c r="R552">
        <f>IF(AND(Inputs!$B$38&lt;&gt;"pvp",Inputs!$B$43&gt;0),IF(Inputs!$B$43&lt;=0,0,(INT(Inputs!$B$43/(IF(Inputs!$B$38="pvp",15,MAX(0.1,Skills!D19-IF(TRUE=TRUE,Inputs!$B$32,0)))*(1-IF(AND(ArtifactsInput!$M$27,Inputs!$B$4="Chapter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Skills!G20*IF(Skills!H20&gt;0,INT(IF(Inputs!$B$38="pvp",MIN(Skills!I20,15),Skills!I20)/Skills!H20+0.000000001),1)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Skills!G21*IF(Skills!H21&gt;0,INT(IF(Inputs!$B$38="pvp",MIN(Skills!I21,15),Skills!I21)/Skills!H21+0.000000001),1)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Skills!G22*IF(Skills!H22&gt;0,INT(IF(Inputs!$B$38="pvp",MIN(Skills!I22,15),Skills!I22)/Skills!H22+0.000000001),1)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Skills!G23*IF(Skills!H23&gt;0,INT(IF(Inputs!$B$38="pvp",MIN(Skills!I23,15),Skills!I23)/Skills!H23+0.000000001),1)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Skills!G24*IF(Skills!H24&gt;0,INT(IF(Inputs!$B$38="pvp",MIN(Skills!I24,15),Skills!I24)/Skills!H24+0.000000001),1)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Skills!G25*IF(Skills!H25&gt;0,INT(IF(Inputs!$B$38="pvp",MIN(Skills!I25,15),Skills!I25)/Skills!H25+0.000000001),1)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Skills!G26*IF(Skills!H26&gt;0,INT(IF(Inputs!$B$38="pvp",MIN(Skills!I26,15),Skills!I26)/Skills!H26+0.000000001),1)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MIN((Skills!T19*(1+(Inputs!$B$34+(ArtifactsInput!$M$7-ArtifactsInput!$M$7)*CHOOSE(ArtifactsInput!$N$7+1,6,7.2,8.4,9.6,10.8,12))/100)),(1/Q552))+MIN((Skills!T19*(1+(Inputs!$B$34+(ArtifactsInput!$M$7-ArtifactsInput!$M$7)*CHOOSE(ArtifactsInput!$N$7+1,6,7.2,8.4,9.6,10.8,12))/100)),MAX(0,Inputs!$B$43-((R552-1)*(1/Q552)))))/Inputs!$B$43),IF(Inputs!$B$38="pvp",MIN((Skills!T19*(1+(Inputs!$B$34+(ArtifactsInput!$M$7-ArtifactsInput!$M$7)*CHOOSE(ArtifactsInput!$N$7+1,6,7.2,8.4,9.6,10.8,12))/100)),15)/15,MIN(1,(Skills!T19*(1+(Inputs!$B$34+(ArtifactsInput!$M$7-ArtifactsInput!$M$7)*CHOOSE(ArtifactsInput!$N$7+1,6,7.2,8.4,9.6,10.8,12))/100))/(1/Q552)))))</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MIN((Skills!T18*(1+(Inputs!$B$34+(ArtifactsInput!$M$7-ArtifactsInput!$M$7)*CHOOSE(ArtifactsInput!$N$7+1,6,7.2,8.4,9.6,10.8,12))/100)),(1/Q551))+MIN((Skills!T18*(1+(Inputs!$B$34+(ArtifactsInput!$M$7-ArtifactsInput!$M$7)*CHOOSE(ArtifactsInput!$N$7+1,6,7.2,8.4,9.6,10.8,12))/100)),MAX(0,Inputs!$B$43-((R551-1)*(1/Q551)))))/Inputs!$B$43),IF(Inputs!$B$38="pvp",MIN((Skills!T18*(1+(Inputs!$B$34+(ArtifactsInput!$M$7-ArtifactsInput!$M$7)*CHOOSE(ArtifactsInput!$N$7+1,6,7.2,8.4,9.6,10.8,12))/100)),15)/15,MIN(1,(Skills!T18*(1+(Inputs!$B$34+(ArtifactsInput!$M$7-ArtifactsInput!$M$7)*CHOOSE(ArtifactsInput!$N$7+1,6,7.2,8.4,9.6,10.8,12))/100))/(1/Q551)))))</f>
        <v/>
      </c>
    </row>
    <row r="568">
      <c r="A568" t="inlineStr">
        <is>
          <t>Global Final Damage Bonus % (Enrage + Combo Synergy)</t>
        </is>
      </c>
      <c r="B568">
        <f>((C550=TRUE)*F550*IF(AND(Inputs!$B$38&lt;&gt;"pvp",Inputs!$B$43&gt;0),(((R550-1)*MIN((Skills!T17*(1+(Inputs!$B$34+(ArtifactsInput!$M$7-ArtifactsInput!$M$7)*CHOOSE(ArtifactsInput!$N$7+1,6,7.2,8.4,9.6,10.8,12))/100)),(1/Q550))+MIN((Skills!T17*(1+(Inputs!$B$34+(ArtifactsInput!$M$7-ArtifactsInput!$M$7)*CHOOSE(ArtifactsInput!$N$7+1,6,7.2,8.4,9.6,10.8,12))/100)),MAX(0,Inputs!$B$43-((R550-1)*(1/Q550)))))/Inputs!$B$43),IF(Inputs!$B$38="pvp",MIN((Skills!T17*(1+(Inputs!$B$34+(ArtifactsInput!$M$7-ArtifactsInput!$M$7)*CHOOSE(ArtifactsInput!$N$7+1,6,7.2,8.4,9.6,10.8,12))/100)),15)/15,MIN(1,(Skills!T17*(1+(Inputs!$B$34+(ArtifactsInput!$M$7-ArtifactsInput!$M$7)*CHOOSE(ArtifactsInput!$N$7+1,6,7.2,8.4,9.6,10.8,12))/100))/(1/Q550)))))+((C547=TRUE)*F547*IF(Inputs!$B$3&gt;=118,8,IF(Inputs!$B$3&gt;=110,7,5)))+IF(Inputs!$B$3&gt;=98,5,0)</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Skills!G2*IF(Skills!H2&gt;0,INT(IF(Inputs!$B$38="pvp",MIN(Skills!I2,15),Skills!I2)/Skills!H2+0.000000001),1)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138,MAX(0,IF(Inputs!$B$3&gt;=118,8,IF(Inputs!$B$3&gt;=110,7,5))-5)*50,0),0)/100)*(1+(IF(Skills!A2="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Skills!G5*IF(Skills!H5&gt;0,INT(IF(Inputs!$B$38="pvp",MIN(Skills!I5,15),Skills!I5)/Skills!H5+0.000000001),1)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138,MAX(0,IF(Inputs!$B$3&gt;=118,8,IF(Inputs!$B$3&gt;=110,7,5))-5)*50,0),0)/100)*(1+(IF(Skills!A5="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IFERROR(1/(IF(Inputs!$B$38="pvp",15,MAX(0.1,Skills!D5-IF(TRUE=TRUE,Inputs!$B$32,0)))*(1-IF(AND(ArtifactsInput!$M$27,Inputs!$B$4="Chapter Hunt"),CHOOSE(ArtifactsInput!$N$27+1,20,24,28,32,36,40),0)/100)),0)</f>
        <v/>
      </c>
      <c r="R580">
        <f>IF(AND(Inputs!$B$38&lt;&gt;"pvp",Inputs!$B$43&gt;0),IF(MAX(0,Inputs!$B$43-B611)&lt;=0,0,(INT(MAX(0,Inputs!$B$43-B611)/(IF(Inputs!$B$38="pvp",15,MAX(0.1,Skills!D5-IF(TRUE=TRUE,Inputs!$B$32,0)))*(1-IF(AND(ArtifactsInput!$M$27,Inputs!$B$4="Chapter Hunt"),CHOOSE(ArtifactsInput!$N$27+1,20,24,28,32,36,40),0)/100)))+1)),0)</f>
        <v/>
      </c>
      <c r="S580">
        <f>IFERROR(O580/N580,0)</f>
        <v/>
      </c>
      <c r="T580">
        <f>IF(C580,(H580*N580*IF(AND(Inputs!$B$38&lt;&gt;"pvp",Inputs!$B$43&gt;0),((Skills!G5*((R580-1)*IF(Skills!H5&gt;0,INT(Skills!I5/Skills!H5+0.000000001),1)+IF(Skills!H5&gt;0,INT(MIN(Skills!I5,MAX(0,MAX(0,Inputs!$B$43-B611)-((R580-1)*(IF(Inputs!$B$38="pvp",15,MAX(0.1,Skills!D5-IF(TRUE=TRUE,Inputs!$B$32,0)))*(1-IF(AND(ArtifactsInput!$M$27,Inputs!$B$4="Chapter Hunt"),CHOOSE(ArtifactsInput!$N$27+1,20,24,28,32,36,40),0)/100)))))/Skills!H5+0.000000001),1)))/Inputs!$B$43),G580*Q580))*IF(Inputs!$B$38="pvp",1,1+(Inputs!$B$20+0+Skills!P5+(((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INT(Skills!I5/Skills!H5+0.000000001),1)+IF(Skills!H5&gt;0,INT(MIN(Skills!I5,MAX(0,MAX(0,Inputs!$B$43-B611)-((R580-1)*(IF(Inputs!$B$38="pvp",15,MAX(0.1,Skills!D5-IF(TRUE=TRUE,Inputs!$B$32,0)))*(1-IF(AND(ArtifactsInput!$M$27,Inputs!$B$4="Chapter Hunt"),CHOOSE(ArtifactsInput!$N$27+1,20,24,28,32,36,40),0)/100)))))/Skills!H5+0.000000001),1)))/Inputs!$B$43),G580*Q580))*IF(Inputs!$B$38="pvp",1,(1+(Inputs!$B$21+Skills!Q5+(((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Skills!G6*IF(Skills!H6&gt;0,INT(IF(Inputs!$B$38="pvp",MIN(Skills!I6,15),Skills!I6)/Skills!H6+0.000000001),1)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138,MAX(0,IF(Inputs!$B$3&gt;=118,8,IF(Inputs!$B$3&gt;=110,7,5))-5)*50,0),0)/100)*(1+(IF(Skills!A6="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IFERROR(1/(IF(Inputs!$B$38="pvp",15,MAX(0.1,Skills!D6-IF(TRUE=TRUE,Inputs!$B$32,0)))*(1-IF(AND(ArtifactsInput!$M$27,Inputs!$B$4="Chapter Hunt"),CHOOSE(ArtifactsInput!$N$27+1,20,24,28,32,36,40),0)/100)),0)</f>
        <v/>
      </c>
      <c r="R581">
        <f>IF(AND(Inputs!$B$38&lt;&gt;"pvp",Inputs!$B$43&gt;0),IF(MAX(0,Inputs!$B$43-B611)&lt;=0,0,(INT(MAX(0,Inputs!$B$43-B611)/(IF(Inputs!$B$38="pvp",15,MAX(0.1,Skills!D6-IF(TRUE=TRUE,Inputs!$B$32,0)))*(1-IF(AND(ArtifactsInput!$M$27,Inputs!$B$4="Chapter Hunt"),CHOOSE(ArtifactsInput!$N$27+1,20,24,28,32,36,40),0)/100)))+1)),0)</f>
        <v/>
      </c>
      <c r="S581">
        <f>IFERROR(O581/N581,0)</f>
        <v/>
      </c>
      <c r="T581">
        <f>IF(C581,(H581*N581*IF(AND(Inputs!$B$38&lt;&gt;"pvp",Inputs!$B$43&gt;0),((Skills!G6*((R581-1)*IF(Skills!H6&gt;0,INT(Skills!I6/Skills!H6+0.000000001),1)+IF(Skills!H6&gt;0,INT(MIN(Skills!I6,MAX(0,MAX(0,Inputs!$B$43-B611)-((R581-1)*(IF(Inputs!$B$38="pvp",15,MAX(0.1,Skills!D6-IF(TRUE=TRUE,Inputs!$B$32,0)))*(1-IF(AND(ArtifactsInput!$M$27,Inputs!$B$4="Chapter Hunt"),CHOOSE(ArtifactsInput!$N$27+1,20,24,28,32,36,40),0)/100)))))/Skills!H6+0.000000001),1)))/Inputs!$B$43),G581*Q581))*IF(Inputs!$B$38="pvp",1,1+(Inputs!$B$20+0+Skills!P6+(((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INT(Skills!I6/Skills!H6+0.000000001),1)+IF(Skills!H6&gt;0,INT(MIN(Skills!I6,MAX(0,MAX(0,Inputs!$B$43-B611)-((R581-1)*(IF(Inputs!$B$38="pvp",15,MAX(0.1,Skills!D6-IF(TRUE=TRUE,Inputs!$B$32,0)))*(1-IF(AND(ArtifactsInput!$M$27,Inputs!$B$4="Chapter Hunt"),CHOOSE(ArtifactsInput!$N$27+1,20,24,28,32,36,40),0)/100)))))/Skills!H6+0.000000001),1)))/Inputs!$B$43),G581*Q581))*IF(Inputs!$B$38="pvp",1,(1+(Inputs!$B$21+Skills!Q6+(((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Skills!G7*IF(Skills!H7&gt;0,INT(IF(Inputs!$B$38="pvp",MIN(Skills!I7,15),Skills!I7)/Skills!H7+0.000000001),1)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138,MAX(0,IF(Inputs!$B$3&gt;=118,8,IF(Inputs!$B$3&gt;=110,7,5))-5)*50,0),0)/100)*(1+(IF(Skills!A7="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IFERROR(1/(IF(Inputs!$B$38="pvp",15,MAX(0.1,Skills!D7-IF(TRUE=TRUE,Inputs!$B$32,0)))*(1-IF(AND(ArtifactsInput!$M$27,Inputs!$B$4="Chapter Hunt"),CHOOSE(ArtifactsInput!$N$27+1,20,24,28,32,36,40),0)/100)),0)</f>
        <v/>
      </c>
      <c r="R582">
        <f>IF(AND(Inputs!$B$38&lt;&gt;"pvp",Inputs!$B$43&gt;0),IF(MAX(0,Inputs!$B$43-B611)&lt;=0,0,(INT(MAX(0,Inputs!$B$43-B611)/(IF(Inputs!$B$38="pvp",15,MAX(0.1,Skills!D7-IF(TRUE=TRUE,Inputs!$B$32,0)))*(1-IF(AND(ArtifactsInput!$M$27,Inputs!$B$4="Chapter Hunt"),CHOOSE(ArtifactsInput!$N$27+1,20,24,28,32,36,40),0)/100)))+1)),0)</f>
        <v/>
      </c>
      <c r="S582">
        <f>IFERROR(O582/N582,0)</f>
        <v/>
      </c>
      <c r="T582">
        <f>IF(C582,(H582*N582*IF(AND(Inputs!$B$38&lt;&gt;"pvp",Inputs!$B$43&gt;0),((Skills!G7*((R582-1)*IF(Skills!H7&gt;0,INT(Skills!I7/Skills!H7+0.000000001),1)+IF(Skills!H7&gt;0,INT(MIN(Skills!I7,MAX(0,MAX(0,Inputs!$B$43-B611)-((R582-1)*(IF(Inputs!$B$38="pvp",15,MAX(0.1,Skills!D7-IF(TRUE=TRUE,Inputs!$B$32,0)))*(1-IF(AND(ArtifactsInput!$M$27,Inputs!$B$4="Chapter Hunt"),CHOOSE(ArtifactsInput!$N$27+1,20,24,28,32,36,40),0)/100)))))/Skills!H7+0.000000001),1)))/Inputs!$B$43),G582*Q582))*IF(Inputs!$B$38="pvp",1,1+(Inputs!$B$20+0+Skills!P7+(((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INT(Skills!I7/Skills!H7+0.000000001),1)+IF(Skills!H7&gt;0,INT(MIN(Skills!I7,MAX(0,MAX(0,Inputs!$B$43-B611)-((R582-1)*(IF(Inputs!$B$38="pvp",15,MAX(0.1,Skills!D7-IF(TRUE=TRUE,Inputs!$B$32,0)))*(1-IF(AND(ArtifactsInput!$M$27,Inputs!$B$4="Chapter Hunt"),CHOOSE(ArtifactsInput!$N$27+1,20,24,28,32,36,40),0)/100)))))/Skills!H7+0.000000001),1)))/Inputs!$B$43),G582*Q582))*IF(Inputs!$B$38="pvp",1,(1+(Inputs!$B$21+Skills!Q7+(((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Skills!G8*IF(Skills!H8&gt;0,INT(IF(Inputs!$B$38="pvp",MIN(Skills!I8,15),Skills!I8)/Skills!H8+0.000000001),1)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138,MAX(0,IF(Inputs!$B$3&gt;=118,8,IF(Inputs!$B$3&gt;=110,7,5))-5)*50,0),0)/100)*(1+(IF(Skills!A8="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IFERROR(1/(IF(Inputs!$B$38="pvp",15,MAX(0.1,Skills!D8-IF(TRUE=TRUE,Inputs!$B$32,0)))*(1-IF(AND(ArtifactsInput!$M$27,Inputs!$B$4="Chapter Hunt"),CHOOSE(ArtifactsInput!$N$27+1,20,24,28,32,36,40),0)/100)),0)</f>
        <v/>
      </c>
      <c r="R583">
        <f>IF(AND(Inputs!$B$38&lt;&gt;"pvp",Inputs!$B$43&gt;0),IF(MAX(0,Inputs!$B$43-B611)&lt;=0,0,(INT(MAX(0,Inputs!$B$43-B611)/(IF(Inputs!$B$38="pvp",15,MAX(0.1,Skills!D8-IF(TRUE=TRUE,Inputs!$B$32,0)))*(1-IF(AND(ArtifactsInput!$M$27,Inputs!$B$4="Chapter Hunt"),CHOOSE(ArtifactsInput!$N$27+1,20,24,28,32,36,40),0)/100)))+1)),0)</f>
        <v/>
      </c>
      <c r="S583">
        <f>IFERROR(O583/N583,0)</f>
        <v/>
      </c>
      <c r="T583">
        <f>IF(C583,(H583*N583*IF(AND(Inputs!$B$38&lt;&gt;"pvp",Inputs!$B$43&gt;0),((Skills!G8*((R583-1)*IF(Skills!H8&gt;0,INT(Skills!I8/Skills!H8+0.000000001),1)+IF(Skills!H8&gt;0,INT(MIN(Skills!I8,MAX(0,MAX(0,Inputs!$B$43-B611)-((R583-1)*(IF(Inputs!$B$38="pvp",15,MAX(0.1,Skills!D8-IF(TRUE=TRUE,Inputs!$B$32,0)))*(1-IF(AND(ArtifactsInput!$M$27,Inputs!$B$4="Chapter Hunt"),CHOOSE(ArtifactsInput!$N$27+1,20,24,28,32,36,40),0)/100)))))/Skills!H8+0.000000001),1)))/Inputs!$B$43),G583*Q583))*IF(Inputs!$B$38="pvp",1,1+(Inputs!$B$20+0+Skills!P8+(((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INT(Skills!I8/Skills!H8+0.000000001),1)+IF(Skills!H8&gt;0,INT(MIN(Skills!I8,MAX(0,MAX(0,Inputs!$B$43-B611)-((R583-1)*(IF(Inputs!$B$38="pvp",15,MAX(0.1,Skills!D8-IF(TRUE=TRUE,Inputs!$B$32,0)))*(1-IF(AND(ArtifactsInput!$M$27,Inputs!$B$4="Chapter Hunt"),CHOOSE(ArtifactsInput!$N$27+1,20,24,28,32,36,40),0)/100)))))/Skills!H8+0.000000001),1)))/Inputs!$B$43),G583*Q583))*IF(Inputs!$B$38="pvp",1,(1+(Inputs!$B$21+Skills!Q8+(((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Skills!G9*IF(Skills!H9&gt;0,INT(IF(Inputs!$B$38="pvp",MIN(Skills!I9,15),Skills!I9)/Skills!H9+0.000000001),1)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138,MAX(0,IF(Inputs!$B$3&gt;=118,8,IF(Inputs!$B$3&gt;=110,7,5))-5)*50,0),0)/100)*(1+(IF(Skills!A9="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IFERROR(1/(IF(Inputs!$B$38="pvp",15,MAX(0.1,Skills!D9-IF(TRUE=TRUE,Inputs!$B$32,0)))*(1-IF(AND(ArtifactsInput!$M$27,Inputs!$B$4="Chapter Hunt"),CHOOSE(ArtifactsInput!$N$27+1,20,24,28,32,36,40),0)/100)),0)</f>
        <v/>
      </c>
      <c r="R584">
        <f>IF(AND(Inputs!$B$38&lt;&gt;"pvp",Inputs!$B$43&gt;0),IF(MAX(0,Inputs!$B$43-B611)&lt;=0,0,(INT(MAX(0,Inputs!$B$43-B611)/(IF(Inputs!$B$38="pvp",15,MAX(0.1,Skills!D9-IF(TRUE=TRUE,Inputs!$B$32,0)))*(1-IF(AND(ArtifactsInput!$M$27,Inputs!$B$4="Chapter Hunt"),CHOOSE(ArtifactsInput!$N$27+1,20,24,28,32,36,40),0)/100)))+1)),0)</f>
        <v/>
      </c>
      <c r="S584">
        <f>IFERROR(O584/N584,0)</f>
        <v/>
      </c>
      <c r="T584">
        <f>IF(C584,(H584*N584*IF(AND(Inputs!$B$38&lt;&gt;"pvp",Inputs!$B$43&gt;0),((Skills!G9*((R584-1)*IF(Skills!H9&gt;0,INT(Skills!I9/Skills!H9+0.000000001),1)+IF(Skills!H9&gt;0,INT(MIN(Skills!I9,MAX(0,MAX(0,Inputs!$B$43-B611)-((R584-1)*(IF(Inputs!$B$38="pvp",15,MAX(0.1,Skills!D9-IF(TRUE=TRUE,Inputs!$B$32,0)))*(1-IF(AND(ArtifactsInput!$M$27,Inputs!$B$4="Chapter Hunt"),CHOOSE(ArtifactsInput!$N$27+1,20,24,28,32,36,40),0)/100)))))/Skills!H9+0.000000001),1)))/Inputs!$B$43),G584*Q584))*IF(Inputs!$B$38="pvp",1,1+(Inputs!$B$20+0+Skills!P9+(((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INT(Skills!I9/Skills!H9+0.000000001),1)+IF(Skills!H9&gt;0,INT(MIN(Skills!I9,MAX(0,MAX(0,Inputs!$B$43-B611)-((R584-1)*(IF(Inputs!$B$38="pvp",15,MAX(0.1,Skills!D9-IF(TRUE=TRUE,Inputs!$B$32,0)))*(1-IF(AND(ArtifactsInput!$M$27,Inputs!$B$4="Chapter Hunt"),CHOOSE(ArtifactsInput!$N$27+1,20,24,28,32,36,40),0)/100)))))/Skills!H9+0.000000001),1)))/Inputs!$B$43),G584*Q584))*IF(Inputs!$B$38="pvp",1,(1+(Inputs!$B$21+Skills!Q9+(((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Skills!G10*IF(Skills!H10&gt;0,INT(IF(Inputs!$B$38="pvp",MIN(Skills!I10,15),Skills!I10)/Skills!H10+0.000000001),1)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138,MAX(0,IF(Inputs!$B$3&gt;=118,8,IF(Inputs!$B$3&gt;=110,7,5))-5)*50,0),0)/100)*(1+(IF(Skills!A10="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IFERROR(1/(IF(Inputs!$B$38="pvp",15,MAX(0.1,Skills!D10-IF(TRUE=TRUE,Inputs!$B$32,0)))*(1-IF(AND(ArtifactsInput!$M$27,Inputs!$B$4="Chapter Hunt"),CHOOSE(ArtifactsInput!$N$27+1,20,24,28,32,36,40),0)/100)),0)</f>
        <v/>
      </c>
      <c r="R585">
        <f>IF(AND(Inputs!$B$38&lt;&gt;"pvp",Inputs!$B$43&gt;0),IF(MAX(0,Inputs!$B$43-B611)&lt;=0,0,(INT(MAX(0,Inputs!$B$43-B611)/(IF(Inputs!$B$38="pvp",15,MAX(0.1,Skills!D10-IF(TRUE=TRUE,Inputs!$B$32,0)))*(1-IF(AND(ArtifactsInput!$M$27,Inputs!$B$4="Chapter Hunt"),CHOOSE(ArtifactsInput!$N$27+1,20,24,28,32,36,40),0)/100)))+1)),0)</f>
        <v/>
      </c>
      <c r="S585">
        <f>IFERROR(O585/N585,0)</f>
        <v/>
      </c>
      <c r="T585">
        <f>IF(C585,(H585*N585*IF(AND(Inputs!$B$38&lt;&gt;"pvp",Inputs!$B$43&gt;0),((Skills!G10*((R585-1)*IF(Skills!H10&gt;0,INT(Skills!I10/Skills!H10+0.000000001),1)+IF(Skills!H10&gt;0,INT(MIN(Skills!I10,MAX(0,MAX(0,Inputs!$B$43-B611)-((R585-1)*(IF(Inputs!$B$38="pvp",15,MAX(0.1,Skills!D10-IF(TRUE=TRUE,Inputs!$B$32,0)))*(1-IF(AND(ArtifactsInput!$M$27,Inputs!$B$4="Chapter Hunt"),CHOOSE(ArtifactsInput!$N$27+1,20,24,28,32,36,40),0)/100)))))/Skills!H10+0.000000001),1)))/Inputs!$B$43),G585*Q585))*IF(Inputs!$B$38="pvp",1,1+(Inputs!$B$20+0+Skills!P10+(((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INT(Skills!I10/Skills!H10+0.000000001),1)+IF(Skills!H10&gt;0,INT(MIN(Skills!I10,MAX(0,MAX(0,Inputs!$B$43-B611)-((R585-1)*(IF(Inputs!$B$38="pvp",15,MAX(0.1,Skills!D10-IF(TRUE=TRUE,Inputs!$B$32,0)))*(1-IF(AND(ArtifactsInput!$M$27,Inputs!$B$4="Chapter Hunt"),CHOOSE(ArtifactsInput!$N$27+1,20,24,28,32,36,40),0)/100)))))/Skills!H10+0.000000001),1)))/Inputs!$B$43),G585*Q585))*IF(Inputs!$B$38="pvp",1,(1+(Inputs!$B$21+Skills!Q10+(((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Skills!G11*IF(Skills!H11&gt;0,INT(IF(Inputs!$B$38="pvp",MIN(Skills!I11,15),Skills!I11)/Skills!H11+0.000000001),1)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138,MAX(0,IF(Inputs!$B$3&gt;=118,8,IF(Inputs!$B$3&gt;=110,7,5))-5)*50,0),0)/100)*(1+(IF(Skills!A11="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IFERROR(1/(IF(Inputs!$B$38="pvp",15,MAX(0.1,Skills!D11-IF(TRUE=TRUE,Inputs!$B$32,0)))*(1-IF(AND(ArtifactsInput!$M$27,Inputs!$B$4="Chapter Hunt"),CHOOSE(ArtifactsInput!$N$27+1,20,24,28,32,36,40),0)/100)),0)</f>
        <v/>
      </c>
      <c r="R586">
        <f>IF(AND(Inputs!$B$38&lt;&gt;"pvp",Inputs!$B$43&gt;0),IF(MAX(0,Inputs!$B$43-B611)&lt;=0,0,(INT(MAX(0,Inputs!$B$43-B611)/(IF(Inputs!$B$38="pvp",15,MAX(0.1,Skills!D11-IF(TRUE=TRUE,Inputs!$B$32,0)))*(1-IF(AND(ArtifactsInput!$M$27,Inputs!$B$4="Chapter Hunt"),CHOOSE(ArtifactsInput!$N$27+1,20,24,28,32,36,40),0)/100)))+1)),0)</f>
        <v/>
      </c>
      <c r="S586">
        <f>IFERROR(O586/N586,0)</f>
        <v/>
      </c>
      <c r="T586">
        <f>IF(C586,(H586*N586*IF(AND(Inputs!$B$38&lt;&gt;"pvp",Inputs!$B$43&gt;0),((Skills!G11*((R586-1)*IF(Skills!H11&gt;0,INT(Skills!I11/Skills!H11+0.000000001),1)+IF(Skills!H11&gt;0,INT(MIN(Skills!I11,MAX(0,MAX(0,Inputs!$B$43-B611)-((R586-1)*(IF(Inputs!$B$38="pvp",15,MAX(0.1,Skills!D11-IF(TRUE=TRUE,Inputs!$B$32,0)))*(1-IF(AND(ArtifactsInput!$M$27,Inputs!$B$4="Chapter Hunt"),CHOOSE(ArtifactsInput!$N$27+1,20,24,28,32,36,40),0)/100)))))/Skills!H11+0.000000001),1)))/Inputs!$B$43),G586*Q586))*IF(Inputs!$B$38="pvp",1,1+(Inputs!$B$20+0+Skills!P11+(((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INT(Skills!I11/Skills!H11+0.000000001),1)+IF(Skills!H11&gt;0,INT(MIN(Skills!I11,MAX(0,MAX(0,Inputs!$B$43-B611)-((R586-1)*(IF(Inputs!$B$38="pvp",15,MAX(0.1,Skills!D11-IF(TRUE=TRUE,Inputs!$B$32,0)))*(1-IF(AND(ArtifactsInput!$M$27,Inputs!$B$4="Chapter Hunt"),CHOOSE(ArtifactsInput!$N$27+1,20,24,28,32,36,40),0)/100)))))/Skills!H11+0.000000001),1)))/Inputs!$B$43),G586*Q586))*IF(Inputs!$B$38="pvp",1,(1+(Inputs!$B$21+Skills!Q11+(((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Skills!G13*IF(Skills!H13&gt;0,INT(IF(Inputs!$B$38="pvp",MIN(Skills!I13,15),Skills!I13)/Skills!H13+0.000000001),1)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Skills!G14*IF(Skills!H14&gt;0,INT(IF(Inputs!$B$38="pvp",MIN(Skills!I14,15),Skills!I14)/Skills!H14+0.000000001),1)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Skills!G15*IF(Skills!H15&gt;0,INT(IF(Inputs!$B$38="pvp",MIN(Skills!I15,15),Skills!I15)/Skills!H15+0.000000001),1)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IFERROR(1/(IF(Inputs!$B$38="pvp",15,MAX(0.1,Skills!D15-IF(TRUE=TRUE,Inputs!$B$32,0)))*(1-IF(AND(ArtifactsInput!$M$27,Inputs!$B$4="Chapter Hunt"),CHOOSE(ArtifactsInput!$N$27+1,20,24,28,32,36,40),0)/100)),0)</f>
        <v/>
      </c>
      <c r="R590">
        <f>IF(AND(Inputs!$B$38&lt;&gt;"pvp",Inputs!$B$43&gt;0),IF(Inputs!$B$43&lt;=0,0,(INT(Inputs!$B$43/(IF(Inputs!$B$38="pvp",15,MAX(0.1,Skills!D15-IF(TRUE=TRUE,Inputs!$B$32,0)))*(1-IF(AND(ArtifactsInput!$M$27,Inputs!$B$4="Chapter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Skills!G16*IF(Skills!H16&gt;0,INT(IF(Inputs!$B$38="pvp",MIN(Skills!I16,15),Skills!I16)/Skills!H16+0.000000001),1)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IFERROR(1/(IF(Inputs!$B$38="pvp",15,MAX(0.1,Skills!D16-IF(TRUE=TRUE,Inputs!$B$32,0)))*(1-IF(AND(ArtifactsInput!$M$27,Inputs!$B$4="Chapter Hunt"),CHOOSE(ArtifactsInput!$N$27+1,20,24,28,32,36,40),0)/100)),0)</f>
        <v/>
      </c>
      <c r="R591">
        <f>IF(AND(Inputs!$B$38&lt;&gt;"pvp",Inputs!$B$43&gt;0),IF(Inputs!$B$43&lt;=0,0,(INT(Inputs!$B$43/(IF(Inputs!$B$38="pvp",15,MAX(0.1,Skills!D16-IF(TRUE=TRUE,Inputs!$B$32,0)))*(1-IF(AND(ArtifactsInput!$M$27,Inputs!$B$4="Chapter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Skills!G17*IF(Skills!H17&gt;0,INT(IF(Inputs!$B$38="pvp",MIN(Skills!I17,15),Skills!I17)/Skills!H17+0.000000001),1)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IFERROR(1/(IF(Inputs!$B$38="pvp",15,MAX(0.1,Skills!D17-IF(TRUE=TRUE,Inputs!$B$32,0)))*(1-IF(AND(ArtifactsInput!$M$27,Inputs!$B$4="Chapter Hunt"),CHOOSE(ArtifactsInput!$N$27+1,20,24,28,32,36,40),0)/100)),0)</f>
        <v/>
      </c>
      <c r="R592">
        <f>IF(AND(Inputs!$B$38&lt;&gt;"pvp",Inputs!$B$43&gt;0),IF(Inputs!$B$43&lt;=0,0,(INT(Inputs!$B$43/(IF(Inputs!$B$38="pvp",15,MAX(0.1,Skills!D17-IF(TRUE=TRUE,Inputs!$B$32,0)))*(1-IF(AND(ArtifactsInput!$M$27,Inputs!$B$4="Chapter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Skills!G18*IF(Skills!H18&gt;0,INT(IF(Inputs!$B$38="pvp",MIN(Skills!I18,15),Skills!I18)/Skills!H18+0.000000001),1)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IFERROR(1/(IF(Inputs!$B$38="pvp",15,MAX(0.1,Skills!D18-IF(TRUE=TRUE,Inputs!$B$32,0)))*(1-IF(AND(ArtifactsInput!$M$27,Inputs!$B$4="Chapter Hunt"),CHOOSE(ArtifactsInput!$N$27+1,20,24,28,32,36,40),0)/100)),0)</f>
        <v/>
      </c>
      <c r="R593">
        <f>IF(AND(Inputs!$B$38&lt;&gt;"pvp",Inputs!$B$43&gt;0),IF(Inputs!$B$43&lt;=0,0,(INT(Inputs!$B$43/(IF(Inputs!$B$38="pvp",15,MAX(0.1,Skills!D18-IF(TRUE=TRUE,Inputs!$B$32,0)))*(1-IF(AND(ArtifactsInput!$M$27,Inputs!$B$4="Chapter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Skills!G19*IF(Skills!H19&gt;0,INT(IF(Inputs!$B$38="pvp",MIN(Skills!I19,15),Skills!I19)/Skills!H19+0.000000001),1)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IFERROR(1/(IF(Inputs!$B$38="pvp",15,MAX(0.1,Skills!D19-IF(TRUE=TRUE,Inputs!$B$32,0)))*(1-IF(AND(ArtifactsInput!$M$27,Inputs!$B$4="Chapter Hunt"),CHOOSE(ArtifactsInput!$N$27+1,20,24,28,32,36,40),0)/100)),0)</f>
        <v/>
      </c>
      <c r="R594">
        <f>IF(AND(Inputs!$B$38&lt;&gt;"pvp",Inputs!$B$43&gt;0),IF(Inputs!$B$43&lt;=0,0,(INT(Inputs!$B$43/(IF(Inputs!$B$38="pvp",15,MAX(0.1,Skills!D19-IF(TRUE=TRUE,Inputs!$B$32,0)))*(1-IF(AND(ArtifactsInput!$M$27,Inputs!$B$4="Chapter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Skills!G20*IF(Skills!H20&gt;0,INT(IF(Inputs!$B$38="pvp",MIN(Skills!I20,15),Skills!I20)/Skills!H20+0.000000001),1)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Skills!G21*IF(Skills!H21&gt;0,INT(IF(Inputs!$B$38="pvp",MIN(Skills!I21,15),Skills!I21)/Skills!H21+0.000000001),1)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Skills!G22*IF(Skills!H22&gt;0,INT(IF(Inputs!$B$38="pvp",MIN(Skills!I22,15),Skills!I22)/Skills!H22+0.000000001),1)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Skills!G23*IF(Skills!H23&gt;0,INT(IF(Inputs!$B$38="pvp",MIN(Skills!I23,15),Skills!I23)/Skills!H23+0.000000001),1)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Skills!G24*IF(Skills!H24&gt;0,INT(IF(Inputs!$B$38="pvp",MIN(Skills!I24,15),Skills!I24)/Skills!H24+0.000000001),1)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Skills!G25*IF(Skills!H25&gt;0,INT(IF(Inputs!$B$38="pvp",MIN(Skills!I25,15),Skills!I25)/Skills!H25+0.000000001),1)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Skills!G26*IF(Skills!H26&gt;0,INT(IF(Inputs!$B$38="pvp",MIN(Skills!I26,15),Skills!I26)/Skills!H26+0.000000001),1)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MIN((Skills!T19*(1+(Inputs!$B$34+(ArtifactsInput!$M$7-ArtifactsInput!$M$7)*CHOOSE(ArtifactsInput!$N$7+1,6,7.2,8.4,9.6,10.8,12))/100)),(1/Q594))+MIN((Skills!T19*(1+(Inputs!$B$34+(ArtifactsInput!$M$7-ArtifactsInput!$M$7)*CHOOSE(ArtifactsInput!$N$7+1,6,7.2,8.4,9.6,10.8,12))/100)),MAX(0,Inputs!$B$43-((R594-1)*(1/Q594)))))/Inputs!$B$43),IF(Inputs!$B$38="pvp",MIN((Skills!T19*(1+(Inputs!$B$34+(ArtifactsInput!$M$7-ArtifactsInput!$M$7)*CHOOSE(ArtifactsInput!$N$7+1,6,7.2,8.4,9.6,10.8,12))/100)),15)/15,MIN(1,(Skills!T19*(1+(Inputs!$B$34+(ArtifactsInput!$M$7-ArtifactsInput!$M$7)*CHOOSE(ArtifactsInput!$N$7+1,6,7.2,8.4,9.6,10.8,12))/100))/(1/Q594)))))</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MIN((Skills!T18*(1+(Inputs!$B$34+(ArtifactsInput!$M$7-ArtifactsInput!$M$7)*CHOOSE(ArtifactsInput!$N$7+1,6,7.2,8.4,9.6,10.8,12))/100)),(1/Q593))+MIN((Skills!T18*(1+(Inputs!$B$34+(ArtifactsInput!$M$7-ArtifactsInput!$M$7)*CHOOSE(ArtifactsInput!$N$7+1,6,7.2,8.4,9.6,10.8,12))/100)),MAX(0,Inputs!$B$43-((R593-1)*(1/Q593)))))/Inputs!$B$43),IF(Inputs!$B$38="pvp",MIN((Skills!T18*(1+(Inputs!$B$34+(ArtifactsInput!$M$7-ArtifactsInput!$M$7)*CHOOSE(ArtifactsInput!$N$7+1,6,7.2,8.4,9.6,10.8,12))/100)),15)/15,MIN(1,(Skills!T18*(1+(Inputs!$B$34+(ArtifactsInput!$M$7-ArtifactsInput!$M$7)*CHOOSE(ArtifactsInput!$N$7+1,6,7.2,8.4,9.6,10.8,12))/100))/(1/Q593)))))</f>
        <v/>
      </c>
    </row>
    <row r="610">
      <c r="A610" t="inlineStr">
        <is>
          <t>Global Final Damage Bonus % (Enrage + Combo Synergy)</t>
        </is>
      </c>
      <c r="B610">
        <f>((C592=TRUE)*F592*IF(AND(Inputs!$B$38&lt;&gt;"pvp",Inputs!$B$43&gt;0),(((R592-1)*MIN((Skills!T17*(1+(Inputs!$B$34+(ArtifactsInput!$M$7-ArtifactsInput!$M$7)*CHOOSE(ArtifactsInput!$N$7+1,6,7.2,8.4,9.6,10.8,12))/100)),(1/Q592))+MIN((Skills!T17*(1+(Inputs!$B$34+(ArtifactsInput!$M$7-ArtifactsInput!$M$7)*CHOOSE(ArtifactsInput!$N$7+1,6,7.2,8.4,9.6,10.8,12))/100)),MAX(0,Inputs!$B$43-((R592-1)*(1/Q592)))))/Inputs!$B$43),IF(Inputs!$B$38="pvp",MIN((Skills!T17*(1+(Inputs!$B$34+(ArtifactsInput!$M$7-ArtifactsInput!$M$7)*CHOOSE(ArtifactsInput!$N$7+1,6,7.2,8.4,9.6,10.8,12))/100)),15)/15,MIN(1,(Skills!T17*(1+(Inputs!$B$34+(ArtifactsInput!$M$7-ArtifactsInput!$M$7)*CHOOSE(ArtifactsInput!$N$7+1,6,7.2,8.4,9.6,10.8,12))/100))/(1/Q592)))))+((C589=TRUE)*F589*IF(Inputs!$B$3&gt;=118,8,IF(Inputs!$B$3&gt;=110,7,5)))+IF(Inputs!$B$3&gt;=98,5,0)</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Skills!G2*IF(Skills!H2&gt;0,INT(IF(Inputs!$B$38="pvp",MIN(Skills!I2,15),Skills!I2)/Skills!H2+0.000000001),1)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Skills!G5*IF(Skills!H5&gt;0,INT(IF(Inputs!$B$38="pvp",MIN(Skills!I5,15),Skills!I5)/Skills!H5+0.000000001),1)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IFERROR(1/(IF(Inputs!$B$38="pvp",15,MAX(0.1,Skills!D5-IF(TRUE=TRUE,Inputs!$B$32,0)))*(1-IF(AND(ArtifactsInput!$M$27,Inputs!$B$4="Chapter Hunt"),CHOOSE(ArtifactsInput!$N$27+1,20,24,28,32,36,40),0)/100)),0)</f>
        <v/>
      </c>
      <c r="R622">
        <f>IF(AND(Inputs!$B$38&lt;&gt;"pvp",Inputs!$B$43&gt;0),IF(MAX(0,Inputs!$B$43-B653)&lt;=0,0,(INT(MAX(0,Inputs!$B$43-B653)/(IF(Inputs!$B$38="pvp",15,MAX(0.1,Skills!D5-IF(TRUE=TRUE,Inputs!$B$32,0)))*(1-IF(AND(ArtifactsInput!$M$27,Inputs!$B$4="Chapter Hunt"),CHOOSE(ArtifactsInput!$N$27+1,20,24,28,32,36,40),0)/100)))+1)),0)</f>
        <v/>
      </c>
      <c r="S622">
        <f>IFERROR(O622/N622,0)</f>
        <v/>
      </c>
      <c r="T622">
        <f>IF(C622,(H622*N622*IF(AND(Inputs!$B$38&lt;&gt;"pvp",Inputs!$B$43&gt;0),((Skills!G5*((R622-1)*IF(Skills!H5&gt;0,INT(Skills!I5/Skills!H5+0.000000001),1)+IF(Skills!H5&gt;0,INT(MIN(Skills!I5,MAX(0,MAX(0,Inputs!$B$43-B653)-((R622-1)*(IF(Inputs!$B$38="pvp",15,MAX(0.1,Skills!D5-IF(TRUE=TRUE,Inputs!$B$32,0)))*(1-IF(AND(ArtifactsInput!$M$27,Inputs!$B$4="Chapter Hunt"),CHOOSE(ArtifactsInput!$N$27+1,20,24,28,32,36,40),0)/100)))))/Skills!H5+0.000000001),1)))/Inputs!$B$43),G622*Q622))*IF(Inputs!$B$38="pvp",1,1+(Inputs!$B$20+0+Skills!P5+(((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INT(Skills!I5/Skills!H5+0.000000001),1)+IF(Skills!H5&gt;0,INT(MIN(Skills!I5,MAX(0,MAX(0,Inputs!$B$43-B653)-((R622-1)*(IF(Inputs!$B$38="pvp",15,MAX(0.1,Skills!D5-IF(TRUE=TRUE,Inputs!$B$32,0)))*(1-IF(AND(ArtifactsInput!$M$27,Inputs!$B$4="Chapter Hunt"),CHOOSE(ArtifactsInput!$N$27+1,20,24,28,32,36,40),0)/100)))))/Skills!H5+0.000000001),1)))/Inputs!$B$43),G622*Q622))*IF(Inputs!$B$38="pvp",1,(1+(Inputs!$B$21+Skills!Q5+(((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Skills!G6*IF(Skills!H6&gt;0,INT(IF(Inputs!$B$38="pvp",MIN(Skills!I6,15),Skills!I6)/Skills!H6+0.000000001),1)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IFERROR(1/(IF(Inputs!$B$38="pvp",15,MAX(0.1,Skills!D6-IF(TRUE=TRUE,Inputs!$B$32,0)))*(1-IF(AND(ArtifactsInput!$M$27,Inputs!$B$4="Chapter Hunt"),CHOOSE(ArtifactsInput!$N$27+1,20,24,28,32,36,40),0)/100)),0)</f>
        <v/>
      </c>
      <c r="R623">
        <f>IF(AND(Inputs!$B$38&lt;&gt;"pvp",Inputs!$B$43&gt;0),IF(MAX(0,Inputs!$B$43-B653)&lt;=0,0,(INT(MAX(0,Inputs!$B$43-B653)/(IF(Inputs!$B$38="pvp",15,MAX(0.1,Skills!D6-IF(TRUE=TRUE,Inputs!$B$32,0)))*(1-IF(AND(ArtifactsInput!$M$27,Inputs!$B$4="Chapter Hunt"),CHOOSE(ArtifactsInput!$N$27+1,20,24,28,32,36,40),0)/100)))+1)),0)</f>
        <v/>
      </c>
      <c r="S623">
        <f>IFERROR(O623/N623,0)</f>
        <v/>
      </c>
      <c r="T623">
        <f>IF(C623,(H623*N623*IF(AND(Inputs!$B$38&lt;&gt;"pvp",Inputs!$B$43&gt;0),((Skills!G6*((R623-1)*IF(Skills!H6&gt;0,INT(Skills!I6/Skills!H6+0.000000001),1)+IF(Skills!H6&gt;0,INT(MIN(Skills!I6,MAX(0,MAX(0,Inputs!$B$43-B653)-((R623-1)*(IF(Inputs!$B$38="pvp",15,MAX(0.1,Skills!D6-IF(TRUE=TRUE,Inputs!$B$32,0)))*(1-IF(AND(ArtifactsInput!$M$27,Inputs!$B$4="Chapter Hunt"),CHOOSE(ArtifactsInput!$N$27+1,20,24,28,32,36,40),0)/100)))))/Skills!H6+0.000000001),1)))/Inputs!$B$43),G623*Q623))*IF(Inputs!$B$38="pvp",1,1+(Inputs!$B$20+0+Skills!P6+(((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INT(Skills!I6/Skills!H6+0.000000001),1)+IF(Skills!H6&gt;0,INT(MIN(Skills!I6,MAX(0,MAX(0,Inputs!$B$43-B653)-((R623-1)*(IF(Inputs!$B$38="pvp",15,MAX(0.1,Skills!D6-IF(TRUE=TRUE,Inputs!$B$32,0)))*(1-IF(AND(ArtifactsInput!$M$27,Inputs!$B$4="Chapter Hunt"),CHOOSE(ArtifactsInput!$N$27+1,20,24,28,32,36,40),0)/100)))))/Skills!H6+0.000000001),1)))/Inputs!$B$43),G623*Q623))*IF(Inputs!$B$38="pvp",1,(1+(Inputs!$B$21+Skills!Q6+(((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Skills!G7*IF(Skills!H7&gt;0,INT(IF(Inputs!$B$38="pvp",MIN(Skills!I7,15),Skills!I7)/Skills!H7+0.000000001),1)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IFERROR(1/(IF(Inputs!$B$38="pvp",15,MAX(0.1,Skills!D7-IF(TRUE=TRUE,Inputs!$B$32,0)))*(1-IF(AND(ArtifactsInput!$M$27,Inputs!$B$4="Chapter Hunt"),CHOOSE(ArtifactsInput!$N$27+1,20,24,28,32,36,40),0)/100)),0)</f>
        <v/>
      </c>
      <c r="R624">
        <f>IF(AND(Inputs!$B$38&lt;&gt;"pvp",Inputs!$B$43&gt;0),IF(MAX(0,Inputs!$B$43-B653)&lt;=0,0,(INT(MAX(0,Inputs!$B$43-B653)/(IF(Inputs!$B$38="pvp",15,MAX(0.1,Skills!D7-IF(TRUE=TRUE,Inputs!$B$32,0)))*(1-IF(AND(ArtifactsInput!$M$27,Inputs!$B$4="Chapter Hunt"),CHOOSE(ArtifactsInput!$N$27+1,20,24,28,32,36,40),0)/100)))+1)),0)</f>
        <v/>
      </c>
      <c r="S624">
        <f>IFERROR(O624/N624,0)</f>
        <v/>
      </c>
      <c r="T624">
        <f>IF(C624,(H624*N624*IF(AND(Inputs!$B$38&lt;&gt;"pvp",Inputs!$B$43&gt;0),((Skills!G7*((R624-1)*IF(Skills!H7&gt;0,INT(Skills!I7/Skills!H7+0.000000001),1)+IF(Skills!H7&gt;0,INT(MIN(Skills!I7,MAX(0,MAX(0,Inputs!$B$43-B653)-((R624-1)*(IF(Inputs!$B$38="pvp",15,MAX(0.1,Skills!D7-IF(TRUE=TRUE,Inputs!$B$32,0)))*(1-IF(AND(ArtifactsInput!$M$27,Inputs!$B$4="Chapter Hunt"),CHOOSE(ArtifactsInput!$N$27+1,20,24,28,32,36,40),0)/100)))))/Skills!H7+0.000000001),1)))/Inputs!$B$43),G624*Q624))*IF(Inputs!$B$38="pvp",1,1+(Inputs!$B$20+0+Skills!P7+(((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INT(Skills!I7/Skills!H7+0.000000001),1)+IF(Skills!H7&gt;0,INT(MIN(Skills!I7,MAX(0,MAX(0,Inputs!$B$43-B653)-((R624-1)*(IF(Inputs!$B$38="pvp",15,MAX(0.1,Skills!D7-IF(TRUE=TRUE,Inputs!$B$32,0)))*(1-IF(AND(ArtifactsInput!$M$27,Inputs!$B$4="Chapter Hunt"),CHOOSE(ArtifactsInput!$N$27+1,20,24,28,32,36,40),0)/100)))))/Skills!H7+0.000000001),1)))/Inputs!$B$43),G624*Q624))*IF(Inputs!$B$38="pvp",1,(1+(Inputs!$B$21+Skills!Q7+(((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Skills!G8*IF(Skills!H8&gt;0,INT(IF(Inputs!$B$38="pvp",MIN(Skills!I8,15),Skills!I8)/Skills!H8+0.000000001),1)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IFERROR(1/(IF(Inputs!$B$38="pvp",15,MAX(0.1,Skills!D8-IF(TRUE=TRUE,Inputs!$B$32,0)))*(1-IF(AND(ArtifactsInput!$M$27,Inputs!$B$4="Chapter Hunt"),CHOOSE(ArtifactsInput!$N$27+1,20,24,28,32,36,40),0)/100)),0)</f>
        <v/>
      </c>
      <c r="R625">
        <f>IF(AND(Inputs!$B$38&lt;&gt;"pvp",Inputs!$B$43&gt;0),IF(MAX(0,Inputs!$B$43-B653)&lt;=0,0,(INT(MAX(0,Inputs!$B$43-B653)/(IF(Inputs!$B$38="pvp",15,MAX(0.1,Skills!D8-IF(TRUE=TRUE,Inputs!$B$32,0)))*(1-IF(AND(ArtifactsInput!$M$27,Inputs!$B$4="Chapter Hunt"),CHOOSE(ArtifactsInput!$N$27+1,20,24,28,32,36,40),0)/100)))+1)),0)</f>
        <v/>
      </c>
      <c r="S625">
        <f>IFERROR(O625/N625,0)</f>
        <v/>
      </c>
      <c r="T625">
        <f>IF(C625,(H625*N625*IF(AND(Inputs!$B$38&lt;&gt;"pvp",Inputs!$B$43&gt;0),((Skills!G8*((R625-1)*IF(Skills!H8&gt;0,INT(Skills!I8/Skills!H8+0.000000001),1)+IF(Skills!H8&gt;0,INT(MIN(Skills!I8,MAX(0,MAX(0,Inputs!$B$43-B653)-((R625-1)*(IF(Inputs!$B$38="pvp",15,MAX(0.1,Skills!D8-IF(TRUE=TRUE,Inputs!$B$32,0)))*(1-IF(AND(ArtifactsInput!$M$27,Inputs!$B$4="Chapter Hunt"),CHOOSE(ArtifactsInput!$N$27+1,20,24,28,32,36,40),0)/100)))))/Skills!H8+0.000000001),1)))/Inputs!$B$43),G625*Q625))*IF(Inputs!$B$38="pvp",1,1+(Inputs!$B$20+0+Skills!P8+(((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INT(Skills!I8/Skills!H8+0.000000001),1)+IF(Skills!H8&gt;0,INT(MIN(Skills!I8,MAX(0,MAX(0,Inputs!$B$43-B653)-((R625-1)*(IF(Inputs!$B$38="pvp",15,MAX(0.1,Skills!D8-IF(TRUE=TRUE,Inputs!$B$32,0)))*(1-IF(AND(ArtifactsInput!$M$27,Inputs!$B$4="Chapter Hunt"),CHOOSE(ArtifactsInput!$N$27+1,20,24,28,32,36,40),0)/100)))))/Skills!H8+0.000000001),1)))/Inputs!$B$43),G625*Q625))*IF(Inputs!$B$38="pvp",1,(1+(Inputs!$B$21+Skills!Q8+(((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Skills!G9*IF(Skills!H9&gt;0,INT(IF(Inputs!$B$38="pvp",MIN(Skills!I9,15),Skills!I9)/Skills!H9+0.000000001),1)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138,MAX(0,IF(Inputs!$B$3&gt;=118,8,IF(Inputs!$B$3&gt;=110,7,5))-5)*50,0),0)/100)*(1+(IF(Skills!A9="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IFERROR(1/(IF(Inputs!$B$38="pvp",15,MAX(0.1,Skills!D9-IF(TRUE=TRUE,Inputs!$B$32,0)))*(1-IF(AND(ArtifactsInput!$M$27,Inputs!$B$4="Chapter Hunt"),CHOOSE(ArtifactsInput!$N$27+1,20,24,28,32,36,40),0)/100)),0)</f>
        <v/>
      </c>
      <c r="R626">
        <f>IF(AND(Inputs!$B$38&lt;&gt;"pvp",Inputs!$B$43&gt;0),IF(MAX(0,Inputs!$B$43-B653)&lt;=0,0,(INT(MAX(0,Inputs!$B$43-B653)/(IF(Inputs!$B$38="pvp",15,MAX(0.1,Skills!D9-IF(TRUE=TRUE,Inputs!$B$32,0)))*(1-IF(AND(ArtifactsInput!$M$27,Inputs!$B$4="Chapter Hunt"),CHOOSE(ArtifactsInput!$N$27+1,20,24,28,32,36,40),0)/100)))+1)),0)</f>
        <v/>
      </c>
      <c r="S626">
        <f>IFERROR(O626/N626,0)</f>
        <v/>
      </c>
      <c r="T626">
        <f>IF(C626,(H626*N626*IF(AND(Inputs!$B$38&lt;&gt;"pvp",Inputs!$B$43&gt;0),((Skills!G9*((R626-1)*IF(Skills!H9&gt;0,INT(Skills!I9/Skills!H9+0.000000001),1)+IF(Skills!H9&gt;0,INT(MIN(Skills!I9,MAX(0,MAX(0,Inputs!$B$43-B653)-((R626-1)*(IF(Inputs!$B$38="pvp",15,MAX(0.1,Skills!D9-IF(TRUE=TRUE,Inputs!$B$32,0)))*(1-IF(AND(ArtifactsInput!$M$27,Inputs!$B$4="Chapter Hunt"),CHOOSE(ArtifactsInput!$N$27+1,20,24,28,32,36,40),0)/100)))))/Skills!H9+0.000000001),1)))/Inputs!$B$43),G626*Q626))*IF(Inputs!$B$38="pvp",1,1+(Inputs!$B$20+0+Skills!P9+(((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INT(Skills!I9/Skills!H9+0.000000001),1)+IF(Skills!H9&gt;0,INT(MIN(Skills!I9,MAX(0,MAX(0,Inputs!$B$43-B653)-((R626-1)*(IF(Inputs!$B$38="pvp",15,MAX(0.1,Skills!D9-IF(TRUE=TRUE,Inputs!$B$32,0)))*(1-IF(AND(ArtifactsInput!$M$27,Inputs!$B$4="Chapter Hunt"),CHOOSE(ArtifactsInput!$N$27+1,20,24,28,32,36,40),0)/100)))))/Skills!H9+0.000000001),1)))/Inputs!$B$43),G626*Q626))*IF(Inputs!$B$38="pvp",1,(1+(Inputs!$B$21+Skills!Q9+(((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Skills!G10*IF(Skills!H10&gt;0,INT(IF(Inputs!$B$38="pvp",MIN(Skills!I10,15),Skills!I10)/Skills!H10+0.000000001),1)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138,MAX(0,IF(Inputs!$B$3&gt;=118,8,IF(Inputs!$B$3&gt;=110,7,5))-5)*50,0),0)/100)*(1+(IF(Skills!A10="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IFERROR(1/(IF(Inputs!$B$38="pvp",15,MAX(0.1,Skills!D10-IF(TRUE=TRUE,Inputs!$B$32,0)))*(1-IF(AND(ArtifactsInput!$M$27,Inputs!$B$4="Chapter Hunt"),CHOOSE(ArtifactsInput!$N$27+1,20,24,28,32,36,40),0)/100)),0)</f>
        <v/>
      </c>
      <c r="R627">
        <f>IF(AND(Inputs!$B$38&lt;&gt;"pvp",Inputs!$B$43&gt;0),IF(MAX(0,Inputs!$B$43-B653)&lt;=0,0,(INT(MAX(0,Inputs!$B$43-B653)/(IF(Inputs!$B$38="pvp",15,MAX(0.1,Skills!D10-IF(TRUE=TRUE,Inputs!$B$32,0)))*(1-IF(AND(ArtifactsInput!$M$27,Inputs!$B$4="Chapter Hunt"),CHOOSE(ArtifactsInput!$N$27+1,20,24,28,32,36,40),0)/100)))+1)),0)</f>
        <v/>
      </c>
      <c r="S627">
        <f>IFERROR(O627/N627,0)</f>
        <v/>
      </c>
      <c r="T627">
        <f>IF(C627,(H627*N627*IF(AND(Inputs!$B$38&lt;&gt;"pvp",Inputs!$B$43&gt;0),((Skills!G10*((R627-1)*IF(Skills!H10&gt;0,INT(Skills!I10/Skills!H10+0.000000001),1)+IF(Skills!H10&gt;0,INT(MIN(Skills!I10,MAX(0,MAX(0,Inputs!$B$43-B653)-((R627-1)*(IF(Inputs!$B$38="pvp",15,MAX(0.1,Skills!D10-IF(TRUE=TRUE,Inputs!$B$32,0)))*(1-IF(AND(ArtifactsInput!$M$27,Inputs!$B$4="Chapter Hunt"),CHOOSE(ArtifactsInput!$N$27+1,20,24,28,32,36,40),0)/100)))))/Skills!H10+0.000000001),1)))/Inputs!$B$43),G627*Q627))*IF(Inputs!$B$38="pvp",1,1+(Inputs!$B$20+0+Skills!P10+(((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INT(Skills!I10/Skills!H10+0.000000001),1)+IF(Skills!H10&gt;0,INT(MIN(Skills!I10,MAX(0,MAX(0,Inputs!$B$43-B653)-((R627-1)*(IF(Inputs!$B$38="pvp",15,MAX(0.1,Skills!D10-IF(TRUE=TRUE,Inputs!$B$32,0)))*(1-IF(AND(ArtifactsInput!$M$27,Inputs!$B$4="Chapter Hunt"),CHOOSE(ArtifactsInput!$N$27+1,20,24,28,32,36,40),0)/100)))))/Skills!H10+0.000000001),1)))/Inputs!$B$43),G627*Q627))*IF(Inputs!$B$38="pvp",1,(1+(Inputs!$B$21+Skills!Q10+(((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Skills!G11*IF(Skills!H11&gt;0,INT(IF(Inputs!$B$38="pvp",MIN(Skills!I11,15),Skills!I11)/Skills!H11+0.000000001),1)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138,MAX(0,IF(Inputs!$B$3&gt;=118,8,IF(Inputs!$B$3&gt;=110,7,5))-5)*50,0),0)/100)*(1+(IF(Skills!A11="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IFERROR(1/(IF(Inputs!$B$38="pvp",15,MAX(0.1,Skills!D11-IF(TRUE=TRUE,Inputs!$B$32,0)))*(1-IF(AND(ArtifactsInput!$M$27,Inputs!$B$4="Chapter Hunt"),CHOOSE(ArtifactsInput!$N$27+1,20,24,28,32,36,40),0)/100)),0)</f>
        <v/>
      </c>
      <c r="R628">
        <f>IF(AND(Inputs!$B$38&lt;&gt;"pvp",Inputs!$B$43&gt;0),IF(MAX(0,Inputs!$B$43-B653)&lt;=0,0,(INT(MAX(0,Inputs!$B$43-B653)/(IF(Inputs!$B$38="pvp",15,MAX(0.1,Skills!D11-IF(TRUE=TRUE,Inputs!$B$32,0)))*(1-IF(AND(ArtifactsInput!$M$27,Inputs!$B$4="Chapter Hunt"),CHOOSE(ArtifactsInput!$N$27+1,20,24,28,32,36,40),0)/100)))+1)),0)</f>
        <v/>
      </c>
      <c r="S628">
        <f>IFERROR(O628/N628,0)</f>
        <v/>
      </c>
      <c r="T628">
        <f>IF(C628,(H628*N628*IF(AND(Inputs!$B$38&lt;&gt;"pvp",Inputs!$B$43&gt;0),((Skills!G11*((R628-1)*IF(Skills!H11&gt;0,INT(Skills!I11/Skills!H11+0.000000001),1)+IF(Skills!H11&gt;0,INT(MIN(Skills!I11,MAX(0,MAX(0,Inputs!$B$43-B653)-((R628-1)*(IF(Inputs!$B$38="pvp",15,MAX(0.1,Skills!D11-IF(TRUE=TRUE,Inputs!$B$32,0)))*(1-IF(AND(ArtifactsInput!$M$27,Inputs!$B$4="Chapter Hunt"),CHOOSE(ArtifactsInput!$N$27+1,20,24,28,32,36,40),0)/100)))))/Skills!H11+0.000000001),1)))/Inputs!$B$43),G628*Q628))*IF(Inputs!$B$38="pvp",1,1+(Inputs!$B$20+0+Skills!P11+(((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INT(Skills!I11/Skills!H11+0.000000001),1)+IF(Skills!H11&gt;0,INT(MIN(Skills!I11,MAX(0,MAX(0,Inputs!$B$43-B653)-((R628-1)*(IF(Inputs!$B$38="pvp",15,MAX(0.1,Skills!D11-IF(TRUE=TRUE,Inputs!$B$32,0)))*(1-IF(AND(ArtifactsInput!$M$27,Inputs!$B$4="Chapter Hunt"),CHOOSE(ArtifactsInput!$N$27+1,20,24,28,32,36,40),0)/100)))))/Skills!H11+0.000000001),1)))/Inputs!$B$43),G628*Q628))*IF(Inputs!$B$38="pvp",1,(1+(Inputs!$B$21+Skills!Q11+(((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Skills!G13*IF(Skills!H13&gt;0,INT(IF(Inputs!$B$38="pvp",MIN(Skills!I13,15),Skills!I13)/Skills!H13+0.000000001),1)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Skills!G14*IF(Skills!H14&gt;0,INT(IF(Inputs!$B$38="pvp",MIN(Skills!I14,15),Skills!I14)/Skills!H14+0.000000001),1)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Skills!G15*IF(Skills!H15&gt;0,INT(IF(Inputs!$B$38="pvp",MIN(Skills!I15,15),Skills!I15)/Skills!H15+0.000000001),1)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IFERROR(1/(IF(Inputs!$B$38="pvp",15,MAX(0.1,Skills!D15-IF(TRUE=TRUE,Inputs!$B$32,0)))*(1-IF(AND(ArtifactsInput!$M$27,Inputs!$B$4="Chapter Hunt"),CHOOSE(ArtifactsInput!$N$27+1,20,24,28,32,36,40),0)/100)),0)</f>
        <v/>
      </c>
      <c r="R632">
        <f>IF(AND(Inputs!$B$38&lt;&gt;"pvp",Inputs!$B$43&gt;0),IF(Inputs!$B$43&lt;=0,0,(INT(Inputs!$B$43/(IF(Inputs!$B$38="pvp",15,MAX(0.1,Skills!D15-IF(TRUE=TRUE,Inputs!$B$32,0)))*(1-IF(AND(ArtifactsInput!$M$27,Inputs!$B$4="Chapter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Skills!G16*IF(Skills!H16&gt;0,INT(IF(Inputs!$B$38="pvp",MIN(Skills!I16,15),Skills!I16)/Skills!H16+0.000000001),1)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IFERROR(1/(IF(Inputs!$B$38="pvp",15,MAX(0.1,Skills!D16-IF(TRUE=TRUE,Inputs!$B$32,0)))*(1-IF(AND(ArtifactsInput!$M$27,Inputs!$B$4="Chapter Hunt"),CHOOSE(ArtifactsInput!$N$27+1,20,24,28,32,36,40),0)/100)),0)</f>
        <v/>
      </c>
      <c r="R633">
        <f>IF(AND(Inputs!$B$38&lt;&gt;"pvp",Inputs!$B$43&gt;0),IF(Inputs!$B$43&lt;=0,0,(INT(Inputs!$B$43/(IF(Inputs!$B$38="pvp",15,MAX(0.1,Skills!D16-IF(TRUE=TRUE,Inputs!$B$32,0)))*(1-IF(AND(ArtifactsInput!$M$27,Inputs!$B$4="Chapter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Skills!G17*IF(Skills!H17&gt;0,INT(IF(Inputs!$B$38="pvp",MIN(Skills!I17,15),Skills!I17)/Skills!H17+0.000000001),1)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IFERROR(1/(IF(Inputs!$B$38="pvp",15,MAX(0.1,Skills!D17-IF(TRUE=TRUE,Inputs!$B$32,0)))*(1-IF(AND(ArtifactsInput!$M$27,Inputs!$B$4="Chapter Hunt"),CHOOSE(ArtifactsInput!$N$27+1,20,24,28,32,36,40),0)/100)),0)</f>
        <v/>
      </c>
      <c r="R634">
        <f>IF(AND(Inputs!$B$38&lt;&gt;"pvp",Inputs!$B$43&gt;0),IF(Inputs!$B$43&lt;=0,0,(INT(Inputs!$B$43/(IF(Inputs!$B$38="pvp",15,MAX(0.1,Skills!D17-IF(TRUE=TRUE,Inputs!$B$32,0)))*(1-IF(AND(ArtifactsInput!$M$27,Inputs!$B$4="Chapter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Skills!G18*IF(Skills!H18&gt;0,INT(IF(Inputs!$B$38="pvp",MIN(Skills!I18,15),Skills!I18)/Skills!H18+0.000000001),1)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IFERROR(1/(IF(Inputs!$B$38="pvp",15,MAX(0.1,Skills!D18-IF(TRUE=TRUE,Inputs!$B$32,0)))*(1-IF(AND(ArtifactsInput!$M$27,Inputs!$B$4="Chapter Hunt"),CHOOSE(ArtifactsInput!$N$27+1,20,24,28,32,36,40),0)/100)),0)</f>
        <v/>
      </c>
      <c r="R635">
        <f>IF(AND(Inputs!$B$38&lt;&gt;"pvp",Inputs!$B$43&gt;0),IF(Inputs!$B$43&lt;=0,0,(INT(Inputs!$B$43/(IF(Inputs!$B$38="pvp",15,MAX(0.1,Skills!D18-IF(TRUE=TRUE,Inputs!$B$32,0)))*(1-IF(AND(ArtifactsInput!$M$27,Inputs!$B$4="Chapter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Skills!G19*IF(Skills!H19&gt;0,INT(IF(Inputs!$B$38="pvp",MIN(Skills!I19,15),Skills!I19)/Skills!H19+0.000000001),1)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IFERROR(1/(IF(Inputs!$B$38="pvp",15,MAX(0.1,Skills!D19-IF(TRUE=TRUE,Inputs!$B$32,0)))*(1-IF(AND(ArtifactsInput!$M$27,Inputs!$B$4="Chapter Hunt"),CHOOSE(ArtifactsInput!$N$27+1,20,24,28,32,36,40),0)/100)),0)</f>
        <v/>
      </c>
      <c r="R636">
        <f>IF(AND(Inputs!$B$38&lt;&gt;"pvp",Inputs!$B$43&gt;0),IF(Inputs!$B$43&lt;=0,0,(INT(Inputs!$B$43/(IF(Inputs!$B$38="pvp",15,MAX(0.1,Skills!D19-IF(TRUE=TRUE,Inputs!$B$32,0)))*(1-IF(AND(ArtifactsInput!$M$27,Inputs!$B$4="Chapter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Skills!G20*IF(Skills!H20&gt;0,INT(IF(Inputs!$B$38="pvp",MIN(Skills!I20,15),Skills!I20)/Skills!H20+0.000000001),1)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Skills!G21*IF(Skills!H21&gt;0,INT(IF(Inputs!$B$38="pvp",MIN(Skills!I21,15),Skills!I21)/Skills!H21+0.000000001),1)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Skills!G22*IF(Skills!H22&gt;0,INT(IF(Inputs!$B$38="pvp",MIN(Skills!I22,15),Skills!I22)/Skills!H22+0.000000001),1)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Skills!G23*IF(Skills!H23&gt;0,INT(IF(Inputs!$B$38="pvp",MIN(Skills!I23,15),Skills!I23)/Skills!H23+0.000000001),1)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Skills!G24*IF(Skills!H24&gt;0,INT(IF(Inputs!$B$38="pvp",MIN(Skills!I24,15),Skills!I24)/Skills!H24+0.000000001),1)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Skills!G25*IF(Skills!H25&gt;0,INT(IF(Inputs!$B$38="pvp",MIN(Skills!I25,15),Skills!I25)/Skills!H25+0.000000001),1)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Skills!G26*IF(Skills!H26&gt;0,INT(IF(Inputs!$B$38="pvp",MIN(Skills!I26,15),Skills!I26)/Skills!H26+0.000000001),1)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MIN((Skills!T19*(1+(Inputs!$B$34+(ArtifactsInput!$M$7-ArtifactsInput!$M$7)*CHOOSE(ArtifactsInput!$N$7+1,6,7.2,8.4,9.6,10.8,12))/100)),(1/Q636))+MIN((Skills!T19*(1+(Inputs!$B$34+(ArtifactsInput!$M$7-ArtifactsInput!$M$7)*CHOOSE(ArtifactsInput!$N$7+1,6,7.2,8.4,9.6,10.8,12))/100)),MAX(0,Inputs!$B$43-((R636-1)*(1/Q636)))))/Inputs!$B$43),IF(Inputs!$B$38="pvp",MIN((Skills!T19*(1+(Inputs!$B$34+(ArtifactsInput!$M$7-ArtifactsInput!$M$7)*CHOOSE(ArtifactsInput!$N$7+1,6,7.2,8.4,9.6,10.8,12))/100)),15)/15,MIN(1,(Skills!T19*(1+(Inputs!$B$34+(ArtifactsInput!$M$7-ArtifactsInput!$M$7)*CHOOSE(ArtifactsInput!$N$7+1,6,7.2,8.4,9.6,10.8,12))/100))/(1/Q636)))))</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MIN((Skills!T18*(1+(Inputs!$B$34+(ArtifactsInput!$M$7-ArtifactsInput!$M$7)*CHOOSE(ArtifactsInput!$N$7+1,6,7.2,8.4,9.6,10.8,12))/100)),(1/Q635))+MIN((Skills!T18*(1+(Inputs!$B$34+(ArtifactsInput!$M$7-ArtifactsInput!$M$7)*CHOOSE(ArtifactsInput!$N$7+1,6,7.2,8.4,9.6,10.8,12))/100)),MAX(0,Inputs!$B$43-((R635-1)*(1/Q635)))))/Inputs!$B$43),IF(Inputs!$B$38="pvp",MIN((Skills!T18*(1+(Inputs!$B$34+(ArtifactsInput!$M$7-ArtifactsInput!$M$7)*CHOOSE(ArtifactsInput!$N$7+1,6,7.2,8.4,9.6,10.8,12))/100)),15)/15,MIN(1,(Skills!T18*(1+(Inputs!$B$34+(ArtifactsInput!$M$7-ArtifactsInput!$M$7)*CHOOSE(ArtifactsInput!$N$7+1,6,7.2,8.4,9.6,10.8,12))/100))/(1/Q635)))))</f>
        <v/>
      </c>
    </row>
    <row r="652">
      <c r="A652" t="inlineStr">
        <is>
          <t>Global Final Damage Bonus % (Enrage + Combo Synergy)</t>
        </is>
      </c>
      <c r="B652">
        <f>((C634=TRUE)*F634*IF(AND(Inputs!$B$38&lt;&gt;"pvp",Inputs!$B$43&gt;0),(((R634-1)*MIN((Skills!T17*(1+(Inputs!$B$34+(ArtifactsInput!$M$7-ArtifactsInput!$M$7)*CHOOSE(ArtifactsInput!$N$7+1,6,7.2,8.4,9.6,10.8,12))/100)),(1/Q634))+MIN((Skills!T17*(1+(Inputs!$B$34+(ArtifactsInput!$M$7-ArtifactsInput!$M$7)*CHOOSE(ArtifactsInput!$N$7+1,6,7.2,8.4,9.6,10.8,12))/100)),MAX(0,Inputs!$B$43-((R634-1)*(1/Q634)))))/Inputs!$B$43),IF(Inputs!$B$38="pvp",MIN((Skills!T17*(1+(Inputs!$B$34+(ArtifactsInput!$M$7-ArtifactsInput!$M$7)*CHOOSE(ArtifactsInput!$N$7+1,6,7.2,8.4,9.6,10.8,12))/100)),15)/15,MIN(1,(Skills!T17*(1+(Inputs!$B$34+(ArtifactsInput!$M$7-ArtifactsInput!$M$7)*CHOOSE(ArtifactsInput!$N$7+1,6,7.2,8.4,9.6,10.8,12))/100))/(1/Q634)))))+((C631=TRUE)*F631*IF(Inputs!$B$3&gt;=118,8,IF(Inputs!$B$3&gt;=110,7,5)))+IF(Inputs!$B$3&gt;=98,5,0)</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Skills!G2*IF(Skills!H2&gt;0,INT(IF(Inputs!$B$38="pvp",MIN(Skills!I2,15),Skills!I2)/Skills!H2+0.000000001),1)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Skills!G5*IF(Skills!H5&gt;0,INT(IF(Inputs!$B$38="pvp",MIN(Skills!I5,15),Skills!I5)/Skills!H5+0.000000001),1)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IFERROR(1/(IF(Inputs!$B$38="pvp",15,MAX(0.1,Skills!D5-IF(TRUE=TRUE,Inputs!$B$32,0)))*(1-IF(AND(ArtifactsInput!$M$27,Inputs!$B$4="Chapter Hunt"),CHOOSE(ArtifactsInput!$N$27+1,20,24,28,32,36,40),0)/100)),0)</f>
        <v/>
      </c>
      <c r="R664">
        <f>IF(AND(Inputs!$B$38&lt;&gt;"pvp",Inputs!$B$43&gt;0),IF(MAX(0,Inputs!$B$43-B695)&lt;=0,0,(INT(MAX(0,Inputs!$B$43-B695)/(IF(Inputs!$B$38="pvp",15,MAX(0.1,Skills!D5-IF(TRUE=TRUE,Inputs!$B$32,0)))*(1-IF(AND(ArtifactsInput!$M$27,Inputs!$B$4="Chapter Hunt"),CHOOSE(ArtifactsInput!$N$27+1,20,24,28,32,36,40),0)/100)))+1)),0)</f>
        <v/>
      </c>
      <c r="S664">
        <f>IFERROR(O664/N664,0)</f>
        <v/>
      </c>
      <c r="T664">
        <f>IF(C664,(H664*N664*IF(AND(Inputs!$B$38&lt;&gt;"pvp",Inputs!$B$43&gt;0),((Skills!G5*((R664-1)*IF(Skills!H5&gt;0,INT(Skills!I5/Skills!H5+0.000000001),1)+IF(Skills!H5&gt;0,INT(MIN(Skills!I5,MAX(0,MAX(0,Inputs!$B$43-B695)-((R664-1)*(IF(Inputs!$B$38="pvp",15,MAX(0.1,Skills!D5-IF(TRUE=TRUE,Inputs!$B$32,0)))*(1-IF(AND(ArtifactsInput!$M$27,Inputs!$B$4="Chapter Hunt"),CHOOSE(ArtifactsInput!$N$27+1,20,24,28,32,36,40),0)/100)))))/Skills!H5+0.000000001),1)))/Inputs!$B$43),G664*Q664))*IF(Inputs!$B$38="pvp",1,1+(Inputs!$B$20+0+Skills!P5+(((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INT(Skills!I5/Skills!H5+0.000000001),1)+IF(Skills!H5&gt;0,INT(MIN(Skills!I5,MAX(0,MAX(0,Inputs!$B$43-B695)-((R664-1)*(IF(Inputs!$B$38="pvp",15,MAX(0.1,Skills!D5-IF(TRUE=TRUE,Inputs!$B$32,0)))*(1-IF(AND(ArtifactsInput!$M$27,Inputs!$B$4="Chapter Hunt"),CHOOSE(ArtifactsInput!$N$27+1,20,24,28,32,36,40),0)/100)))))/Skills!H5+0.000000001),1)))/Inputs!$B$43),G664*Q664))*IF(Inputs!$B$38="pvp",1,(1+(Inputs!$B$21+Skills!Q5+(((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Skills!G6*IF(Skills!H6&gt;0,INT(IF(Inputs!$B$38="pvp",MIN(Skills!I6,15),Skills!I6)/Skills!H6+0.000000001),1)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IFERROR(1/(IF(Inputs!$B$38="pvp",15,MAX(0.1,Skills!D6-IF(TRUE=TRUE,Inputs!$B$32,0)))*(1-IF(AND(ArtifactsInput!$M$27,Inputs!$B$4="Chapter Hunt"),CHOOSE(ArtifactsInput!$N$27+1,20,24,28,32,36,40),0)/100)),0)</f>
        <v/>
      </c>
      <c r="R665">
        <f>IF(AND(Inputs!$B$38&lt;&gt;"pvp",Inputs!$B$43&gt;0),IF(MAX(0,Inputs!$B$43-B695)&lt;=0,0,(INT(MAX(0,Inputs!$B$43-B695)/(IF(Inputs!$B$38="pvp",15,MAX(0.1,Skills!D6-IF(TRUE=TRUE,Inputs!$B$32,0)))*(1-IF(AND(ArtifactsInput!$M$27,Inputs!$B$4="Chapter Hunt"),CHOOSE(ArtifactsInput!$N$27+1,20,24,28,32,36,40),0)/100)))+1)),0)</f>
        <v/>
      </c>
      <c r="S665">
        <f>IFERROR(O665/N665,0)</f>
        <v/>
      </c>
      <c r="T665">
        <f>IF(C665,(H665*N665*IF(AND(Inputs!$B$38&lt;&gt;"pvp",Inputs!$B$43&gt;0),((Skills!G6*((R665-1)*IF(Skills!H6&gt;0,INT(Skills!I6/Skills!H6+0.000000001),1)+IF(Skills!H6&gt;0,INT(MIN(Skills!I6,MAX(0,MAX(0,Inputs!$B$43-B695)-((R665-1)*(IF(Inputs!$B$38="pvp",15,MAX(0.1,Skills!D6-IF(TRUE=TRUE,Inputs!$B$32,0)))*(1-IF(AND(ArtifactsInput!$M$27,Inputs!$B$4="Chapter Hunt"),CHOOSE(ArtifactsInput!$N$27+1,20,24,28,32,36,40),0)/100)))))/Skills!H6+0.000000001),1)))/Inputs!$B$43),G665*Q665))*IF(Inputs!$B$38="pvp",1,1+(Inputs!$B$20+0+Skills!P6+(((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INT(Skills!I6/Skills!H6+0.000000001),1)+IF(Skills!H6&gt;0,INT(MIN(Skills!I6,MAX(0,MAX(0,Inputs!$B$43-B695)-((R665-1)*(IF(Inputs!$B$38="pvp",15,MAX(0.1,Skills!D6-IF(TRUE=TRUE,Inputs!$B$32,0)))*(1-IF(AND(ArtifactsInput!$M$27,Inputs!$B$4="Chapter Hunt"),CHOOSE(ArtifactsInput!$N$27+1,20,24,28,32,36,40),0)/100)))))/Skills!H6+0.000000001),1)))/Inputs!$B$43),G665*Q665))*IF(Inputs!$B$38="pvp",1,(1+(Inputs!$B$21+Skills!Q6+(((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Skills!G7*IF(Skills!H7&gt;0,INT(IF(Inputs!$B$38="pvp",MIN(Skills!I7,15),Skills!I7)/Skills!H7+0.000000001),1)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IFERROR(1/(IF(Inputs!$B$38="pvp",15,MAX(0.1,Skills!D7-IF(TRUE=TRUE,Inputs!$B$32,0)))*(1-IF(AND(ArtifactsInput!$M$27,Inputs!$B$4="Chapter Hunt"),CHOOSE(ArtifactsInput!$N$27+1,20,24,28,32,36,40),0)/100)),0)</f>
        <v/>
      </c>
      <c r="R666">
        <f>IF(AND(Inputs!$B$38&lt;&gt;"pvp",Inputs!$B$43&gt;0),IF(MAX(0,Inputs!$B$43-B695)&lt;=0,0,(INT(MAX(0,Inputs!$B$43-B695)/(IF(Inputs!$B$38="pvp",15,MAX(0.1,Skills!D7-IF(TRUE=TRUE,Inputs!$B$32,0)))*(1-IF(AND(ArtifactsInput!$M$27,Inputs!$B$4="Chapter Hunt"),CHOOSE(ArtifactsInput!$N$27+1,20,24,28,32,36,40),0)/100)))+1)),0)</f>
        <v/>
      </c>
      <c r="S666">
        <f>IFERROR(O666/N666,0)</f>
        <v/>
      </c>
      <c r="T666">
        <f>IF(C666,(H666*N666*IF(AND(Inputs!$B$38&lt;&gt;"pvp",Inputs!$B$43&gt;0),((Skills!G7*((R666-1)*IF(Skills!H7&gt;0,INT(Skills!I7/Skills!H7+0.000000001),1)+IF(Skills!H7&gt;0,INT(MIN(Skills!I7,MAX(0,MAX(0,Inputs!$B$43-B695)-((R666-1)*(IF(Inputs!$B$38="pvp",15,MAX(0.1,Skills!D7-IF(TRUE=TRUE,Inputs!$B$32,0)))*(1-IF(AND(ArtifactsInput!$M$27,Inputs!$B$4="Chapter Hunt"),CHOOSE(ArtifactsInput!$N$27+1,20,24,28,32,36,40),0)/100)))))/Skills!H7+0.000000001),1)))/Inputs!$B$43),G666*Q666))*IF(Inputs!$B$38="pvp",1,1+(Inputs!$B$20+0+Skills!P7+(((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INT(Skills!I7/Skills!H7+0.000000001),1)+IF(Skills!H7&gt;0,INT(MIN(Skills!I7,MAX(0,MAX(0,Inputs!$B$43-B695)-((R666-1)*(IF(Inputs!$B$38="pvp",15,MAX(0.1,Skills!D7-IF(TRUE=TRUE,Inputs!$B$32,0)))*(1-IF(AND(ArtifactsInput!$M$27,Inputs!$B$4="Chapter Hunt"),CHOOSE(ArtifactsInput!$N$27+1,20,24,28,32,36,40),0)/100)))))/Skills!H7+0.000000001),1)))/Inputs!$B$43),G666*Q666))*IF(Inputs!$B$38="pvp",1,(1+(Inputs!$B$21+Skills!Q7+(((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Skills!G8*IF(Skills!H8&gt;0,INT(IF(Inputs!$B$38="pvp",MIN(Skills!I8,15),Skills!I8)/Skills!H8+0.000000001),1)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IFERROR(1/(IF(Inputs!$B$38="pvp",15,MAX(0.1,Skills!D8-IF(TRUE=TRUE,Inputs!$B$32,0)))*(1-IF(AND(ArtifactsInput!$M$27,Inputs!$B$4="Chapter Hunt"),CHOOSE(ArtifactsInput!$N$27+1,20,24,28,32,36,40),0)/100)),0)</f>
        <v/>
      </c>
      <c r="R667">
        <f>IF(AND(Inputs!$B$38&lt;&gt;"pvp",Inputs!$B$43&gt;0),IF(MAX(0,Inputs!$B$43-B695)&lt;=0,0,(INT(MAX(0,Inputs!$B$43-B695)/(IF(Inputs!$B$38="pvp",15,MAX(0.1,Skills!D8-IF(TRUE=TRUE,Inputs!$B$32,0)))*(1-IF(AND(ArtifactsInput!$M$27,Inputs!$B$4="Chapter Hunt"),CHOOSE(ArtifactsInput!$N$27+1,20,24,28,32,36,40),0)/100)))+1)),0)</f>
        <v/>
      </c>
      <c r="S667">
        <f>IFERROR(O667/N667,0)</f>
        <v/>
      </c>
      <c r="T667">
        <f>IF(C667,(H667*N667*IF(AND(Inputs!$B$38&lt;&gt;"pvp",Inputs!$B$43&gt;0),((Skills!G8*((R667-1)*IF(Skills!H8&gt;0,INT(Skills!I8/Skills!H8+0.000000001),1)+IF(Skills!H8&gt;0,INT(MIN(Skills!I8,MAX(0,MAX(0,Inputs!$B$43-B695)-((R667-1)*(IF(Inputs!$B$38="pvp",15,MAX(0.1,Skills!D8-IF(TRUE=TRUE,Inputs!$B$32,0)))*(1-IF(AND(ArtifactsInput!$M$27,Inputs!$B$4="Chapter Hunt"),CHOOSE(ArtifactsInput!$N$27+1,20,24,28,32,36,40),0)/100)))))/Skills!H8+0.000000001),1)))/Inputs!$B$43),G667*Q667))*IF(Inputs!$B$38="pvp",1,1+(Inputs!$B$20+0+Skills!P8+(((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INT(Skills!I8/Skills!H8+0.000000001),1)+IF(Skills!H8&gt;0,INT(MIN(Skills!I8,MAX(0,MAX(0,Inputs!$B$43-B695)-((R667-1)*(IF(Inputs!$B$38="pvp",15,MAX(0.1,Skills!D8-IF(TRUE=TRUE,Inputs!$B$32,0)))*(1-IF(AND(ArtifactsInput!$M$27,Inputs!$B$4="Chapter Hunt"),CHOOSE(ArtifactsInput!$N$27+1,20,24,28,32,36,40),0)/100)))))/Skills!H8+0.000000001),1)))/Inputs!$B$43),G667*Q667))*IF(Inputs!$B$38="pvp",1,(1+(Inputs!$B$21+Skills!Q8+(((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Skills!G9*IF(Skills!H9&gt;0,INT(IF(Inputs!$B$38="pvp",MIN(Skills!I9,15),Skills!I9)/Skills!H9+0.000000001),1)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138,MAX(0,IF(Inputs!$B$3&gt;=118,8,IF(Inputs!$B$3&gt;=110,7,5))-5)*50,0),0)/100)*(1+(IF(Skills!A9="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IFERROR(1/(IF(Inputs!$B$38="pvp",15,MAX(0.1,Skills!D9-IF(TRUE=TRUE,Inputs!$B$32,0)))*(1-IF(AND(ArtifactsInput!$M$27,Inputs!$B$4="Chapter Hunt"),CHOOSE(ArtifactsInput!$N$27+1,20,24,28,32,36,40),0)/100)),0)</f>
        <v/>
      </c>
      <c r="R668">
        <f>IF(AND(Inputs!$B$38&lt;&gt;"pvp",Inputs!$B$43&gt;0),IF(MAX(0,Inputs!$B$43-B695)&lt;=0,0,(INT(MAX(0,Inputs!$B$43-B695)/(IF(Inputs!$B$38="pvp",15,MAX(0.1,Skills!D9-IF(TRUE=TRUE,Inputs!$B$32,0)))*(1-IF(AND(ArtifactsInput!$M$27,Inputs!$B$4="Chapter Hunt"),CHOOSE(ArtifactsInput!$N$27+1,20,24,28,32,36,40),0)/100)))+1)),0)</f>
        <v/>
      </c>
      <c r="S668">
        <f>IFERROR(O668/N668,0)</f>
        <v/>
      </c>
      <c r="T668">
        <f>IF(C668,(H668*N668*IF(AND(Inputs!$B$38&lt;&gt;"pvp",Inputs!$B$43&gt;0),((Skills!G9*((R668-1)*IF(Skills!H9&gt;0,INT(Skills!I9/Skills!H9+0.000000001),1)+IF(Skills!H9&gt;0,INT(MIN(Skills!I9,MAX(0,MAX(0,Inputs!$B$43-B695)-((R668-1)*(IF(Inputs!$B$38="pvp",15,MAX(0.1,Skills!D9-IF(TRUE=TRUE,Inputs!$B$32,0)))*(1-IF(AND(ArtifactsInput!$M$27,Inputs!$B$4="Chapter Hunt"),CHOOSE(ArtifactsInput!$N$27+1,20,24,28,32,36,40),0)/100)))))/Skills!H9+0.000000001),1)))/Inputs!$B$43),G668*Q668))*IF(Inputs!$B$38="pvp",1,1+(Inputs!$B$20+0+Skills!P9+(((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INT(Skills!I9/Skills!H9+0.000000001),1)+IF(Skills!H9&gt;0,INT(MIN(Skills!I9,MAX(0,MAX(0,Inputs!$B$43-B695)-((R668-1)*(IF(Inputs!$B$38="pvp",15,MAX(0.1,Skills!D9-IF(TRUE=TRUE,Inputs!$B$32,0)))*(1-IF(AND(ArtifactsInput!$M$27,Inputs!$B$4="Chapter Hunt"),CHOOSE(ArtifactsInput!$N$27+1,20,24,28,32,36,40),0)/100)))))/Skills!H9+0.000000001),1)))/Inputs!$B$43),G668*Q668))*IF(Inputs!$B$38="pvp",1,(1+(Inputs!$B$21+Skills!Q9+(((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Skills!G10*IF(Skills!H10&gt;0,INT(IF(Inputs!$B$38="pvp",MIN(Skills!I10,15),Skills!I10)/Skills!H10+0.000000001),1)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138,MAX(0,IF(Inputs!$B$3&gt;=118,8,IF(Inputs!$B$3&gt;=110,7,5))-5)*50,0),0)/100)*(1+(IF(Skills!A10="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IFERROR(1/(IF(Inputs!$B$38="pvp",15,MAX(0.1,Skills!D10-IF(TRUE=TRUE,Inputs!$B$32,0)))*(1-IF(AND(ArtifactsInput!$M$27,Inputs!$B$4="Chapter Hunt"),CHOOSE(ArtifactsInput!$N$27+1,20,24,28,32,36,40),0)/100)),0)</f>
        <v/>
      </c>
      <c r="R669">
        <f>IF(AND(Inputs!$B$38&lt;&gt;"pvp",Inputs!$B$43&gt;0),IF(MAX(0,Inputs!$B$43-B695)&lt;=0,0,(INT(MAX(0,Inputs!$B$43-B695)/(IF(Inputs!$B$38="pvp",15,MAX(0.1,Skills!D10-IF(TRUE=TRUE,Inputs!$B$32,0)))*(1-IF(AND(ArtifactsInput!$M$27,Inputs!$B$4="Chapter Hunt"),CHOOSE(ArtifactsInput!$N$27+1,20,24,28,32,36,40),0)/100)))+1)),0)</f>
        <v/>
      </c>
      <c r="S669">
        <f>IFERROR(O669/N669,0)</f>
        <v/>
      </c>
      <c r="T669">
        <f>IF(C669,(H669*N669*IF(AND(Inputs!$B$38&lt;&gt;"pvp",Inputs!$B$43&gt;0),((Skills!G10*((R669-1)*IF(Skills!H10&gt;0,INT(Skills!I10/Skills!H10+0.000000001),1)+IF(Skills!H10&gt;0,INT(MIN(Skills!I10,MAX(0,MAX(0,Inputs!$B$43-B695)-((R669-1)*(IF(Inputs!$B$38="pvp",15,MAX(0.1,Skills!D10-IF(TRUE=TRUE,Inputs!$B$32,0)))*(1-IF(AND(ArtifactsInput!$M$27,Inputs!$B$4="Chapter Hunt"),CHOOSE(ArtifactsInput!$N$27+1,20,24,28,32,36,40),0)/100)))))/Skills!H10+0.000000001),1)))/Inputs!$B$43),G669*Q669))*IF(Inputs!$B$38="pvp",1,1+(Inputs!$B$20+0+Skills!P10+(((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INT(Skills!I10/Skills!H10+0.000000001),1)+IF(Skills!H10&gt;0,INT(MIN(Skills!I10,MAX(0,MAX(0,Inputs!$B$43-B695)-((R669-1)*(IF(Inputs!$B$38="pvp",15,MAX(0.1,Skills!D10-IF(TRUE=TRUE,Inputs!$B$32,0)))*(1-IF(AND(ArtifactsInput!$M$27,Inputs!$B$4="Chapter Hunt"),CHOOSE(ArtifactsInput!$N$27+1,20,24,28,32,36,40),0)/100)))))/Skills!H10+0.000000001),1)))/Inputs!$B$43),G669*Q669))*IF(Inputs!$B$38="pvp",1,(1+(Inputs!$B$21+Skills!Q10+(((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Skills!G11*IF(Skills!H11&gt;0,INT(IF(Inputs!$B$38="pvp",MIN(Skills!I11,15),Skills!I11)/Skills!H11+0.000000001),1)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138,MAX(0,IF(Inputs!$B$3&gt;=118,8,IF(Inputs!$B$3&gt;=110,7,5))-5)*50,0),0)/100)*(1+(IF(Skills!A11="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IFERROR(1/(IF(Inputs!$B$38="pvp",15,MAX(0.1,Skills!D11-IF(TRUE=TRUE,Inputs!$B$32,0)))*(1-IF(AND(ArtifactsInput!$M$27,Inputs!$B$4="Chapter Hunt"),CHOOSE(ArtifactsInput!$N$27+1,20,24,28,32,36,40),0)/100)),0)</f>
        <v/>
      </c>
      <c r="R670">
        <f>IF(AND(Inputs!$B$38&lt;&gt;"pvp",Inputs!$B$43&gt;0),IF(MAX(0,Inputs!$B$43-B695)&lt;=0,0,(INT(MAX(0,Inputs!$B$43-B695)/(IF(Inputs!$B$38="pvp",15,MAX(0.1,Skills!D11-IF(TRUE=TRUE,Inputs!$B$32,0)))*(1-IF(AND(ArtifactsInput!$M$27,Inputs!$B$4="Chapter Hunt"),CHOOSE(ArtifactsInput!$N$27+1,20,24,28,32,36,40),0)/100)))+1)),0)</f>
        <v/>
      </c>
      <c r="S670">
        <f>IFERROR(O670/N670,0)</f>
        <v/>
      </c>
      <c r="T670">
        <f>IF(C670,(H670*N670*IF(AND(Inputs!$B$38&lt;&gt;"pvp",Inputs!$B$43&gt;0),((Skills!G11*((R670-1)*IF(Skills!H11&gt;0,INT(Skills!I11/Skills!H11+0.000000001),1)+IF(Skills!H11&gt;0,INT(MIN(Skills!I11,MAX(0,MAX(0,Inputs!$B$43-B695)-((R670-1)*(IF(Inputs!$B$38="pvp",15,MAX(0.1,Skills!D11-IF(TRUE=TRUE,Inputs!$B$32,0)))*(1-IF(AND(ArtifactsInput!$M$27,Inputs!$B$4="Chapter Hunt"),CHOOSE(ArtifactsInput!$N$27+1,20,24,28,32,36,40),0)/100)))))/Skills!H11+0.000000001),1)))/Inputs!$B$43),G670*Q670))*IF(Inputs!$B$38="pvp",1,1+(Inputs!$B$20+0+Skills!P11+(((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INT(Skills!I11/Skills!H11+0.000000001),1)+IF(Skills!H11&gt;0,INT(MIN(Skills!I11,MAX(0,MAX(0,Inputs!$B$43-B695)-((R670-1)*(IF(Inputs!$B$38="pvp",15,MAX(0.1,Skills!D11-IF(TRUE=TRUE,Inputs!$B$32,0)))*(1-IF(AND(ArtifactsInput!$M$27,Inputs!$B$4="Chapter Hunt"),CHOOSE(ArtifactsInput!$N$27+1,20,24,28,32,36,40),0)/100)))))/Skills!H11+0.000000001),1)))/Inputs!$B$43),G670*Q670))*IF(Inputs!$B$38="pvp",1,(1+(Inputs!$B$21+Skills!Q11+(((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Skills!G13*IF(Skills!H13&gt;0,INT(IF(Inputs!$B$38="pvp",MIN(Skills!I13,15),Skills!I13)/Skills!H13+0.000000001),1)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Skills!G14*IF(Skills!H14&gt;0,INT(IF(Inputs!$B$38="pvp",MIN(Skills!I14,15),Skills!I14)/Skills!H14+0.000000001),1)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Skills!G15*IF(Skills!H15&gt;0,INT(IF(Inputs!$B$38="pvp",MIN(Skills!I15,15),Skills!I15)/Skills!H15+0.000000001),1)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IFERROR(1/(IF(Inputs!$B$38="pvp",15,MAX(0.1,Skills!D15-IF(TRUE=TRUE,Inputs!$B$32,0)))*(1-IF(AND(ArtifactsInput!$M$27,Inputs!$B$4="Chapter Hunt"),CHOOSE(ArtifactsInput!$N$27+1,20,24,28,32,36,40),0)/100)),0)</f>
        <v/>
      </c>
      <c r="R674">
        <f>IF(AND(Inputs!$B$38&lt;&gt;"pvp",Inputs!$B$43&gt;0),IF(Inputs!$B$43&lt;=0,0,(INT(Inputs!$B$43/(IF(Inputs!$B$38="pvp",15,MAX(0.1,Skills!D15-IF(TRUE=TRUE,Inputs!$B$32,0)))*(1-IF(AND(ArtifactsInput!$M$27,Inputs!$B$4="Chapter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Skills!G16*IF(Skills!H16&gt;0,INT(IF(Inputs!$B$38="pvp",MIN(Skills!I16,15),Skills!I16)/Skills!H16+0.000000001),1)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IFERROR(1/(IF(Inputs!$B$38="pvp",15,MAX(0.1,Skills!D16-IF(TRUE=TRUE,Inputs!$B$32,0)))*(1-IF(AND(ArtifactsInput!$M$27,Inputs!$B$4="Chapter Hunt"),CHOOSE(ArtifactsInput!$N$27+1,20,24,28,32,36,40),0)/100)),0)</f>
        <v/>
      </c>
      <c r="R675">
        <f>IF(AND(Inputs!$B$38&lt;&gt;"pvp",Inputs!$B$43&gt;0),IF(Inputs!$B$43&lt;=0,0,(INT(Inputs!$B$43/(IF(Inputs!$B$38="pvp",15,MAX(0.1,Skills!D16-IF(TRUE=TRUE,Inputs!$B$32,0)))*(1-IF(AND(ArtifactsInput!$M$27,Inputs!$B$4="Chapter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Skills!G17*IF(Skills!H17&gt;0,INT(IF(Inputs!$B$38="pvp",MIN(Skills!I17,15),Skills!I17)/Skills!H17+0.000000001),1)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IFERROR(1/(IF(Inputs!$B$38="pvp",15,MAX(0.1,Skills!D17-IF(TRUE=TRUE,Inputs!$B$32,0)))*(1-IF(AND(ArtifactsInput!$M$27,Inputs!$B$4="Chapter Hunt"),CHOOSE(ArtifactsInput!$N$27+1,20,24,28,32,36,40),0)/100)),0)</f>
        <v/>
      </c>
      <c r="R676">
        <f>IF(AND(Inputs!$B$38&lt;&gt;"pvp",Inputs!$B$43&gt;0),IF(Inputs!$B$43&lt;=0,0,(INT(Inputs!$B$43/(IF(Inputs!$B$38="pvp",15,MAX(0.1,Skills!D17-IF(TRUE=TRUE,Inputs!$B$32,0)))*(1-IF(AND(ArtifactsInput!$M$27,Inputs!$B$4="Chapter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Skills!G18*IF(Skills!H18&gt;0,INT(IF(Inputs!$B$38="pvp",MIN(Skills!I18,15),Skills!I18)/Skills!H18+0.000000001),1)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IFERROR(1/(IF(Inputs!$B$38="pvp",15,MAX(0.1,Skills!D18-IF(TRUE=TRUE,Inputs!$B$32,0)))*(1-IF(AND(ArtifactsInput!$M$27,Inputs!$B$4="Chapter Hunt"),CHOOSE(ArtifactsInput!$N$27+1,20,24,28,32,36,40),0)/100)),0)</f>
        <v/>
      </c>
      <c r="R677">
        <f>IF(AND(Inputs!$B$38&lt;&gt;"pvp",Inputs!$B$43&gt;0),IF(Inputs!$B$43&lt;=0,0,(INT(Inputs!$B$43/(IF(Inputs!$B$38="pvp",15,MAX(0.1,Skills!D18-IF(TRUE=TRUE,Inputs!$B$32,0)))*(1-IF(AND(ArtifactsInput!$M$27,Inputs!$B$4="Chapter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Skills!G19*IF(Skills!H19&gt;0,INT(IF(Inputs!$B$38="pvp",MIN(Skills!I19,15),Skills!I19)/Skills!H19+0.000000001),1)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IFERROR(1/(IF(Inputs!$B$38="pvp",15,MAX(0.1,Skills!D19-IF(TRUE=TRUE,Inputs!$B$32,0)))*(1-IF(AND(ArtifactsInput!$M$27,Inputs!$B$4="Chapter Hunt"),CHOOSE(ArtifactsInput!$N$27+1,20,24,28,32,36,40),0)/100)),0)</f>
        <v/>
      </c>
      <c r="R678">
        <f>IF(AND(Inputs!$B$38&lt;&gt;"pvp",Inputs!$B$43&gt;0),IF(Inputs!$B$43&lt;=0,0,(INT(Inputs!$B$43/(IF(Inputs!$B$38="pvp",15,MAX(0.1,Skills!D19-IF(TRUE=TRUE,Inputs!$B$32,0)))*(1-IF(AND(ArtifactsInput!$M$27,Inputs!$B$4="Chapter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Skills!G20*IF(Skills!H20&gt;0,INT(IF(Inputs!$B$38="pvp",MIN(Skills!I20,15),Skills!I20)/Skills!H20+0.000000001),1)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Skills!G21*IF(Skills!H21&gt;0,INT(IF(Inputs!$B$38="pvp",MIN(Skills!I21,15),Skills!I21)/Skills!H21+0.000000001),1)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Skills!G22*IF(Skills!H22&gt;0,INT(IF(Inputs!$B$38="pvp",MIN(Skills!I22,15),Skills!I22)/Skills!H22+0.000000001),1)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Skills!G23*IF(Skills!H23&gt;0,INT(IF(Inputs!$B$38="pvp",MIN(Skills!I23,15),Skills!I23)/Skills!H23+0.000000001),1)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Skills!G24*IF(Skills!H24&gt;0,INT(IF(Inputs!$B$38="pvp",MIN(Skills!I24,15),Skills!I24)/Skills!H24+0.000000001),1)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Skills!G25*IF(Skills!H25&gt;0,INT(IF(Inputs!$B$38="pvp",MIN(Skills!I25,15),Skills!I25)/Skills!H25+0.000000001),1)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Skills!G26*IF(Skills!H26&gt;0,INT(IF(Inputs!$B$38="pvp",MIN(Skills!I26,15),Skills!I26)/Skills!H26+0.000000001),1)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MIN((Skills!T19*(1+(Inputs!$B$34+(ArtifactsInput!$M$7-ArtifactsInput!$M$7)*CHOOSE(ArtifactsInput!$N$7+1,6,7.2,8.4,9.6,10.8,12))/100)),(1/Q678))+MIN((Skills!T19*(1+(Inputs!$B$34+(ArtifactsInput!$M$7-ArtifactsInput!$M$7)*CHOOSE(ArtifactsInput!$N$7+1,6,7.2,8.4,9.6,10.8,12))/100)),MAX(0,Inputs!$B$43-((R678-1)*(1/Q678)))))/Inputs!$B$43),IF(Inputs!$B$38="pvp",MIN((Skills!T19*(1+(Inputs!$B$34+(ArtifactsInput!$M$7-ArtifactsInput!$M$7)*CHOOSE(ArtifactsInput!$N$7+1,6,7.2,8.4,9.6,10.8,12))/100)),15)/15,MIN(1,(Skills!T19*(1+(Inputs!$B$34+(ArtifactsInput!$M$7-ArtifactsInput!$M$7)*CHOOSE(ArtifactsInput!$N$7+1,6,7.2,8.4,9.6,10.8,12))/100))/(1/Q678)))))</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MIN((Skills!T18*(1+(Inputs!$B$34+(ArtifactsInput!$M$7-ArtifactsInput!$M$7)*CHOOSE(ArtifactsInput!$N$7+1,6,7.2,8.4,9.6,10.8,12))/100)),(1/Q677))+MIN((Skills!T18*(1+(Inputs!$B$34+(ArtifactsInput!$M$7-ArtifactsInput!$M$7)*CHOOSE(ArtifactsInput!$N$7+1,6,7.2,8.4,9.6,10.8,12))/100)),MAX(0,Inputs!$B$43-((R677-1)*(1/Q677)))))/Inputs!$B$43),IF(Inputs!$B$38="pvp",MIN((Skills!T18*(1+(Inputs!$B$34+(ArtifactsInput!$M$7-ArtifactsInput!$M$7)*CHOOSE(ArtifactsInput!$N$7+1,6,7.2,8.4,9.6,10.8,12))/100)),15)/15,MIN(1,(Skills!T18*(1+(Inputs!$B$34+(ArtifactsInput!$M$7-ArtifactsInput!$M$7)*CHOOSE(ArtifactsInput!$N$7+1,6,7.2,8.4,9.6,10.8,12))/100))/(1/Q677)))))</f>
        <v/>
      </c>
    </row>
    <row r="694">
      <c r="A694" t="inlineStr">
        <is>
          <t>Global Final Damage Bonus % (Enrage + Combo Synergy)</t>
        </is>
      </c>
      <c r="B694">
        <f>((C676=TRUE)*F676*IF(AND(Inputs!$B$38&lt;&gt;"pvp",Inputs!$B$43&gt;0),(((R676-1)*MIN((Skills!T17*(1+(Inputs!$B$34+(ArtifactsInput!$M$7-ArtifactsInput!$M$7)*CHOOSE(ArtifactsInput!$N$7+1,6,7.2,8.4,9.6,10.8,12))/100)),(1/Q676))+MIN((Skills!T17*(1+(Inputs!$B$34+(ArtifactsInput!$M$7-ArtifactsInput!$M$7)*CHOOSE(ArtifactsInput!$N$7+1,6,7.2,8.4,9.6,10.8,12))/100)),MAX(0,Inputs!$B$43-((R676-1)*(1/Q676)))))/Inputs!$B$43),IF(Inputs!$B$38="pvp",MIN((Skills!T17*(1+(Inputs!$B$34+(ArtifactsInput!$M$7-ArtifactsInput!$M$7)*CHOOSE(ArtifactsInput!$N$7+1,6,7.2,8.4,9.6,10.8,12))/100)),15)/15,MIN(1,(Skills!T17*(1+(Inputs!$B$34+(ArtifactsInput!$M$7-ArtifactsInput!$M$7)*CHOOSE(ArtifactsInput!$N$7+1,6,7.2,8.4,9.6,10.8,12))/100))/(1/Q676)))))+((C673=TRUE)*F673*IF(Inputs!$B$3&gt;=118,8,IF(Inputs!$B$3&gt;=110,7,5)))+IF(Inputs!$B$3&gt;=98,5,0)</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Skills!G2*IF(Skills!H2&gt;0,INT(IF(Inputs!$B$38="pvp",MIN(Skills!I2,15),Skills!I2)/Skills!H2+0.000000001),1)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Skills!G5*IF(Skills!H5&gt;0,INT(IF(Inputs!$B$38="pvp",MIN(Skills!I5,15),Skills!I5)/Skills!H5+0.000000001),1)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IFERROR(1/(IF(Inputs!$B$38="pvp",15,MAX(0.1,Skills!D5-IF(TRUE=TRUE,Inputs!$B$32,0)))*(1-IF(AND(ArtifactsInput!$M$27,Inputs!$B$4="Chapter Hunt"),CHOOSE(ArtifactsInput!$N$27+1,20,24,28,32,36,40),0)/100)),0)</f>
        <v/>
      </c>
      <c r="R706">
        <f>IF(AND(Inputs!$B$38&lt;&gt;"pvp",Inputs!$B$43&gt;0),IF(MAX(0,Inputs!$B$43-B737)&lt;=0,0,(INT(MAX(0,Inputs!$B$43-B737)/(IF(Inputs!$B$38="pvp",15,MAX(0.1,Skills!D5-IF(TRUE=TRUE,Inputs!$B$32,0)))*(1-IF(AND(ArtifactsInput!$M$27,Inputs!$B$4="Chapter Hunt"),CHOOSE(ArtifactsInput!$N$27+1,20,24,28,32,36,40),0)/100)))+1)),0)</f>
        <v/>
      </c>
      <c r="S706">
        <f>IFERROR(O706/N706,0)</f>
        <v/>
      </c>
      <c r="T706">
        <f>IF(C706,(H706*N706*IF(AND(Inputs!$B$38&lt;&gt;"pvp",Inputs!$B$43&gt;0),((Skills!G5*((R706-1)*IF(Skills!H5&gt;0,INT(Skills!I5/Skills!H5+0.000000001),1)+IF(Skills!H5&gt;0,INT(MIN(Skills!I5,MAX(0,MAX(0,Inputs!$B$43-B737)-((R706-1)*(IF(Inputs!$B$38="pvp",15,MAX(0.1,Skills!D5-IF(TRUE=TRUE,Inputs!$B$32,0)))*(1-IF(AND(ArtifactsInput!$M$27,Inputs!$B$4="Chapter Hunt"),CHOOSE(ArtifactsInput!$N$27+1,20,24,28,32,36,40),0)/100)))))/Skills!H5+0.000000001),1)))/Inputs!$B$43),G706*Q706))*IF(Inputs!$B$38="pvp",1,1+(Inputs!$B$20+0+Skills!P5+(((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INT(Skills!I5/Skills!H5+0.000000001),1)+IF(Skills!H5&gt;0,INT(MIN(Skills!I5,MAX(0,MAX(0,Inputs!$B$43-B737)-((R706-1)*(IF(Inputs!$B$38="pvp",15,MAX(0.1,Skills!D5-IF(TRUE=TRUE,Inputs!$B$32,0)))*(1-IF(AND(ArtifactsInput!$M$27,Inputs!$B$4="Chapter Hunt"),CHOOSE(ArtifactsInput!$N$27+1,20,24,28,32,36,40),0)/100)))))/Skills!H5+0.000000001),1)))/Inputs!$B$43),G706*Q706))*IF(Inputs!$B$38="pvp",1,(1+(Inputs!$B$21+Skills!Q5+(((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Skills!G6*IF(Skills!H6&gt;0,INT(IF(Inputs!$B$38="pvp",MIN(Skills!I6,15),Skills!I6)/Skills!H6+0.000000001),1)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INT(Skills!I6/Skills!H6+0.000000001),1)+IF(Skills!H6&gt;0,INT(MIN(Skills!I6,MAX(0,MAX(0,Inputs!$B$43-B737)-((R707-1)*(IF(Inputs!$B$38="pvp",15,MAX(0.1,Skills!D6-IF(TRUE=TRUE,Inputs!$B$32,0)))*(1-IF(AND(ArtifactsInput!$M$27,Inputs!$B$4="Chapter Hunt"),CHOOSE(ArtifactsInput!$N$27+1,20,24,28,32,36,40),0)/100)))))/Skills!H6+0.000000001),1)))/Inputs!$B$43),G707*Q707))*IF(Inputs!$B$38="pvp",1,1+(Inputs!$B$20+0+Skills!P6+(((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INT(Skills!I6/Skills!H6+0.000000001),1)+IF(Skills!H6&gt;0,INT(MIN(Skills!I6,MAX(0,MAX(0,Inputs!$B$43-B737)-((R707-1)*(IF(Inputs!$B$38="pvp",15,MAX(0.1,Skills!D6-IF(TRUE=TRUE,Inputs!$B$32,0)))*(1-IF(AND(ArtifactsInput!$M$27,Inputs!$B$4="Chapter Hunt"),CHOOSE(ArtifactsInput!$N$27+1,20,24,28,32,36,40),0)/100)))))/Skills!H6+0.000000001),1)))/Inputs!$B$43),G707*Q707))*IF(Inputs!$B$38="pvp",1,(1+(Inputs!$B$21+Skills!Q6+(((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Skills!G7*IF(Skills!H7&gt;0,INT(IF(Inputs!$B$38="pvp",MIN(Skills!I7,15),Skills!I7)/Skills!H7+0.000000001),1)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INT(Skills!I7/Skills!H7+0.000000001),1)+IF(Skills!H7&gt;0,INT(MIN(Skills!I7,MAX(0,MAX(0,Inputs!$B$43-B737)-((R708-1)*(IF(Inputs!$B$38="pvp",15,MAX(0.1,Skills!D7-IF(TRUE=TRUE,Inputs!$B$32,0)))*(1-IF(AND(ArtifactsInput!$M$27,Inputs!$B$4="Chapter Hunt"),CHOOSE(ArtifactsInput!$N$27+1,20,24,28,32,36,40),0)/100)))))/Skills!H7+0.000000001),1)))/Inputs!$B$43),G708*Q708))*IF(Inputs!$B$38="pvp",1,1+(Inputs!$B$20+0+Skills!P7+(((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INT(Skills!I7/Skills!H7+0.000000001),1)+IF(Skills!H7&gt;0,INT(MIN(Skills!I7,MAX(0,MAX(0,Inputs!$B$43-B737)-((R708-1)*(IF(Inputs!$B$38="pvp",15,MAX(0.1,Skills!D7-IF(TRUE=TRUE,Inputs!$B$32,0)))*(1-IF(AND(ArtifactsInput!$M$27,Inputs!$B$4="Chapter Hunt"),CHOOSE(ArtifactsInput!$N$27+1,20,24,28,32,36,40),0)/100)))))/Skills!H7+0.000000001),1)))/Inputs!$B$43),G708*Q708))*IF(Inputs!$B$38="pvp",1,(1+(Inputs!$B$21+Skills!Q7+(((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Skills!G8*IF(Skills!H8&gt;0,INT(IF(Inputs!$B$38="pvp",MIN(Skills!I8,15),Skills!I8)/Skills!H8+0.000000001),1)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INT(Skills!I8/Skills!H8+0.000000001),1)+IF(Skills!H8&gt;0,INT(MIN(Skills!I8,MAX(0,MAX(0,Inputs!$B$43-B737)-((R709-1)*(IF(Inputs!$B$38="pvp",15,MAX(0.1,Skills!D8-IF(TRUE=TRUE,Inputs!$B$32,0)))*(1-IF(AND(ArtifactsInput!$M$27,Inputs!$B$4="Chapter Hunt"),CHOOSE(ArtifactsInput!$N$27+1,20,24,28,32,36,40),0)/100)))))/Skills!H8+0.000000001),1)))/Inputs!$B$43),G709*Q709))*IF(Inputs!$B$38="pvp",1,1+(Inputs!$B$20+0+Skills!P8+(((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INT(Skills!I8/Skills!H8+0.000000001),1)+IF(Skills!H8&gt;0,INT(MIN(Skills!I8,MAX(0,MAX(0,Inputs!$B$43-B737)-((R709-1)*(IF(Inputs!$B$38="pvp",15,MAX(0.1,Skills!D8-IF(TRUE=TRUE,Inputs!$B$32,0)))*(1-IF(AND(ArtifactsInput!$M$27,Inputs!$B$4="Chapter Hunt"),CHOOSE(ArtifactsInput!$N$27+1,20,24,28,32,36,40),0)/100)))))/Skills!H8+0.000000001),1)))/Inputs!$B$43),G709*Q709))*IF(Inputs!$B$38="pvp",1,(1+(Inputs!$B$21+Skills!Q8+(((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Skills!G9*IF(Skills!H9&gt;0,INT(IF(Inputs!$B$38="pvp",MIN(Skills!I9,15),Skills!I9)/Skills!H9+0.000000001),1)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138,MAX(0,IF(Inputs!$B$3&gt;=118,8,IF(Inputs!$B$3&gt;=110,7,5))-5)*50,0),0)/100)*(1+(IF(Skills!A9="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IFERROR(1/(IF(Inputs!$B$38="pvp",15,MAX(0.1,Skills!D9-IF(TRUE=TRUE,Inputs!$B$32,0)))*(1-IF(AND(ArtifactsInput!$M$27,Inputs!$B$4="Chapter Hunt"),CHOOSE(ArtifactsInput!$N$27+1,20,24,28,32,36,40),0)/100)),0)</f>
        <v/>
      </c>
      <c r="R710">
        <f>IF(AND(Inputs!$B$38&lt;&gt;"pvp",Inputs!$B$43&gt;0),IF(MAX(0,Inputs!$B$43-B737)&lt;=0,0,(INT(MAX(0,Inputs!$B$43-B737)/(IF(Inputs!$B$38="pvp",15,MAX(0.1,Skills!D9-IF(TRUE=TRUE,Inputs!$B$32,0)))*(1-IF(AND(ArtifactsInput!$M$27,Inputs!$B$4="Chapter Hunt"),CHOOSE(ArtifactsInput!$N$27+1,20,24,28,32,36,40),0)/100)))+1)),0)</f>
        <v/>
      </c>
      <c r="S710">
        <f>IFERROR(O710/N710,0)</f>
        <v/>
      </c>
      <c r="T710">
        <f>IF(C710,(H710*N710*IF(AND(Inputs!$B$38&lt;&gt;"pvp",Inputs!$B$43&gt;0),((Skills!G9*((R710-1)*IF(Skills!H9&gt;0,INT(Skills!I9/Skills!H9+0.000000001),1)+IF(Skills!H9&gt;0,INT(MIN(Skills!I9,MAX(0,MAX(0,Inputs!$B$43-B737)-((R710-1)*(IF(Inputs!$B$38="pvp",15,MAX(0.1,Skills!D9-IF(TRUE=TRUE,Inputs!$B$32,0)))*(1-IF(AND(ArtifactsInput!$M$27,Inputs!$B$4="Chapter Hunt"),CHOOSE(ArtifactsInput!$N$27+1,20,24,28,32,36,40),0)/100)))))/Skills!H9+0.000000001),1)))/Inputs!$B$43),G710*Q710))*IF(Inputs!$B$38="pvp",1,1+(Inputs!$B$20+0+Skills!P9+(((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INT(Skills!I9/Skills!H9+0.000000001),1)+IF(Skills!H9&gt;0,INT(MIN(Skills!I9,MAX(0,MAX(0,Inputs!$B$43-B737)-((R710-1)*(IF(Inputs!$B$38="pvp",15,MAX(0.1,Skills!D9-IF(TRUE=TRUE,Inputs!$B$32,0)))*(1-IF(AND(ArtifactsInput!$M$27,Inputs!$B$4="Chapter Hunt"),CHOOSE(ArtifactsInput!$N$27+1,20,24,28,32,36,40),0)/100)))))/Skills!H9+0.000000001),1)))/Inputs!$B$43),G710*Q710))*IF(Inputs!$B$38="pvp",1,(1+(Inputs!$B$21+Skills!Q9+(((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Skills!G10*IF(Skills!H10&gt;0,INT(IF(Inputs!$B$38="pvp",MIN(Skills!I10,15),Skills!I10)/Skills!H10+0.000000001),1)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138,MAX(0,IF(Inputs!$B$3&gt;=118,8,IF(Inputs!$B$3&gt;=110,7,5))-5)*50,0),0)/100)*(1+(IF(Skills!A10="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INT(Skills!I10/Skills!H10+0.000000001),1)+IF(Skills!H10&gt;0,INT(MIN(Skills!I10,MAX(0,MAX(0,Inputs!$B$43-B737)-((R711-1)*(IF(Inputs!$B$38="pvp",15,MAX(0.1,Skills!D10-IF(TRUE=TRUE,Inputs!$B$32,0)))*(1-IF(AND(ArtifactsInput!$M$27,Inputs!$B$4="Chapter Hunt"),CHOOSE(ArtifactsInput!$N$27+1,20,24,28,32,36,40),0)/100)))))/Skills!H10+0.000000001),1)))/Inputs!$B$43),G711*Q711))*IF(Inputs!$B$38="pvp",1,1+(Inputs!$B$20+0+Skills!P10+(((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INT(Skills!I10/Skills!H10+0.000000001),1)+IF(Skills!H10&gt;0,INT(MIN(Skills!I10,MAX(0,MAX(0,Inputs!$B$43-B737)-((R711-1)*(IF(Inputs!$B$38="pvp",15,MAX(0.1,Skills!D10-IF(TRUE=TRUE,Inputs!$B$32,0)))*(1-IF(AND(ArtifactsInput!$M$27,Inputs!$B$4="Chapter Hunt"),CHOOSE(ArtifactsInput!$N$27+1,20,24,28,32,36,40),0)/100)))))/Skills!H10+0.000000001),1)))/Inputs!$B$43),G711*Q711))*IF(Inputs!$B$38="pvp",1,(1+(Inputs!$B$21+Skills!Q10+(((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Skills!G11*IF(Skills!H11&gt;0,INT(IF(Inputs!$B$38="pvp",MIN(Skills!I11,15),Skills!I11)/Skills!H11+0.000000001),1)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138,MAX(0,IF(Inputs!$B$3&gt;=118,8,IF(Inputs!$B$3&gt;=110,7,5))-5)*50,0),0)/100)*(1+(IF(Skills!A11="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IFERROR(1/(IF(Inputs!$B$38="pvp",15,MAX(0.1,Skills!D11-IF(TRUE=TRUE,Inputs!$B$32,0)))*(1-IF(AND(ArtifactsInput!$M$27,Inputs!$B$4="Chapter Hunt"),CHOOSE(ArtifactsInput!$N$27+1,20,24,28,32,36,40),0)/100)),0)</f>
        <v/>
      </c>
      <c r="R712">
        <f>IF(AND(Inputs!$B$38&lt;&gt;"pvp",Inputs!$B$43&gt;0),IF(MAX(0,Inputs!$B$43-B737)&lt;=0,0,(INT(MAX(0,Inputs!$B$43-B737)/(IF(Inputs!$B$38="pvp",15,MAX(0.1,Skills!D11-IF(TRUE=TRUE,Inputs!$B$32,0)))*(1-IF(AND(ArtifactsInput!$M$27,Inputs!$B$4="Chapter Hunt"),CHOOSE(ArtifactsInput!$N$27+1,20,24,28,32,36,40),0)/100)))+1)),0)</f>
        <v/>
      </c>
      <c r="S712">
        <f>IFERROR(O712/N712,0)</f>
        <v/>
      </c>
      <c r="T712">
        <f>IF(C712,(H712*N712*IF(AND(Inputs!$B$38&lt;&gt;"pvp",Inputs!$B$43&gt;0),((Skills!G11*((R712-1)*IF(Skills!H11&gt;0,INT(Skills!I11/Skills!H11+0.000000001),1)+IF(Skills!H11&gt;0,INT(MIN(Skills!I11,MAX(0,MAX(0,Inputs!$B$43-B737)-((R712-1)*(IF(Inputs!$B$38="pvp",15,MAX(0.1,Skills!D11-IF(TRUE=TRUE,Inputs!$B$32,0)))*(1-IF(AND(ArtifactsInput!$M$27,Inputs!$B$4="Chapter Hunt"),CHOOSE(ArtifactsInput!$N$27+1,20,24,28,32,36,40),0)/100)))))/Skills!H11+0.000000001),1)))/Inputs!$B$43),G712*Q712))*IF(Inputs!$B$38="pvp",1,1+(Inputs!$B$20+0+Skills!P11+(((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INT(Skills!I11/Skills!H11+0.000000001),1)+IF(Skills!H11&gt;0,INT(MIN(Skills!I11,MAX(0,MAX(0,Inputs!$B$43-B737)-((R712-1)*(IF(Inputs!$B$38="pvp",15,MAX(0.1,Skills!D11-IF(TRUE=TRUE,Inputs!$B$32,0)))*(1-IF(AND(ArtifactsInput!$M$27,Inputs!$B$4="Chapter Hunt"),CHOOSE(ArtifactsInput!$N$27+1,20,24,28,32,36,40),0)/100)))))/Skills!H11+0.000000001),1)))/Inputs!$B$43),G712*Q712))*IF(Inputs!$B$38="pvp",1,(1+(Inputs!$B$21+Skills!Q11+(((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Skills!G13*IF(Skills!H13&gt;0,INT(IF(Inputs!$B$38="pvp",MIN(Skills!I13,15),Skills!I13)/Skills!H13+0.000000001),1)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Skills!G14*IF(Skills!H14&gt;0,INT(IF(Inputs!$B$38="pvp",MIN(Skills!I14,15),Skills!I14)/Skills!H14+0.000000001),1)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Skills!G15*IF(Skills!H15&gt;0,INT(IF(Inputs!$B$38="pvp",MIN(Skills!I15,15),Skills!I15)/Skills!H15+0.000000001),1)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Skills!G16*IF(Skills!H16&gt;0,INT(IF(Inputs!$B$38="pvp",MIN(Skills!I16,15),Skills!I16)/Skills!H16+0.000000001),1)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IFERROR(1/(IF(Inputs!$B$38="pvp",15,MAX(0.1,Skills!D16-IF(TRUE=TRUE,Inputs!$B$32,0)))*(1-IF(AND(ArtifactsInput!$M$27,Inputs!$B$4="Chapter Hunt"),CHOOSE(ArtifactsInput!$N$27+1,20,24,28,32,36,40),0)/100)),0)</f>
        <v/>
      </c>
      <c r="R717">
        <f>IF(AND(Inputs!$B$38&lt;&gt;"pvp",Inputs!$B$43&gt;0),IF(Inputs!$B$43&lt;=0,0,(INT(Inputs!$B$43/(IF(Inputs!$B$38="pvp",15,MAX(0.1,Skills!D16-IF(TRUE=TRUE,Inputs!$B$32,0)))*(1-IF(AND(ArtifactsInput!$M$27,Inputs!$B$4="Chapter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Skills!G17*IF(Skills!H17&gt;0,INT(IF(Inputs!$B$38="pvp",MIN(Skills!I17,15),Skills!I17)/Skills!H17+0.000000001),1)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IFERROR(1/(IF(Inputs!$B$38="pvp",15,MAX(0.1,Skills!D17-IF(TRUE=TRUE,Inputs!$B$32,0)))*(1-IF(AND(ArtifactsInput!$M$27,Inputs!$B$4="Chapter Hunt"),CHOOSE(ArtifactsInput!$N$27+1,20,24,28,32,36,40),0)/100)),0)</f>
        <v/>
      </c>
      <c r="R718">
        <f>IF(AND(Inputs!$B$38&lt;&gt;"pvp",Inputs!$B$43&gt;0),IF(Inputs!$B$43&lt;=0,0,(INT(Inputs!$B$43/(IF(Inputs!$B$38="pvp",15,MAX(0.1,Skills!D17-IF(TRUE=TRUE,Inputs!$B$32,0)))*(1-IF(AND(ArtifactsInput!$M$27,Inputs!$B$4="Chapter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Skills!G18*IF(Skills!H18&gt;0,INT(IF(Inputs!$B$38="pvp",MIN(Skills!I18,15),Skills!I18)/Skills!H18+0.000000001),1)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IFERROR(1/(IF(Inputs!$B$38="pvp",15,MAX(0.1,Skills!D18-IF(TRUE=TRUE,Inputs!$B$32,0)))*(1-IF(AND(ArtifactsInput!$M$27,Inputs!$B$4="Chapter Hunt"),CHOOSE(ArtifactsInput!$N$27+1,20,24,28,32,36,40),0)/100)),0)</f>
        <v/>
      </c>
      <c r="R719">
        <f>IF(AND(Inputs!$B$38&lt;&gt;"pvp",Inputs!$B$43&gt;0),IF(Inputs!$B$43&lt;=0,0,(INT(Inputs!$B$43/(IF(Inputs!$B$38="pvp",15,MAX(0.1,Skills!D18-IF(TRUE=TRUE,Inputs!$B$32,0)))*(1-IF(AND(ArtifactsInput!$M$27,Inputs!$B$4="Chapter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Skills!G19*IF(Skills!H19&gt;0,INT(IF(Inputs!$B$38="pvp",MIN(Skills!I19,15),Skills!I19)/Skills!H19+0.000000001),1)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IFERROR(1/(IF(Inputs!$B$38="pvp",15,MAX(0.1,Skills!D19-IF(TRUE=TRUE,Inputs!$B$32,0)))*(1-IF(AND(ArtifactsInput!$M$27,Inputs!$B$4="Chapter Hunt"),CHOOSE(ArtifactsInput!$N$27+1,20,24,28,32,36,40),0)/100)),0)</f>
        <v/>
      </c>
      <c r="R720">
        <f>IF(AND(Inputs!$B$38&lt;&gt;"pvp",Inputs!$B$43&gt;0),IF(Inputs!$B$43&lt;=0,0,(INT(Inputs!$B$43/(IF(Inputs!$B$38="pvp",15,MAX(0.1,Skills!D19-IF(TRUE=TRUE,Inputs!$B$32,0)))*(1-IF(AND(ArtifactsInput!$M$27,Inputs!$B$4="Chapter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Skills!G20*IF(Skills!H20&gt;0,INT(IF(Inputs!$B$38="pvp",MIN(Skills!I20,15),Skills!I20)/Skills!H20+0.000000001),1)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Skills!G21*IF(Skills!H21&gt;0,INT(IF(Inputs!$B$38="pvp",MIN(Skills!I21,15),Skills!I21)/Skills!H21+0.000000001),1)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Skills!G22*IF(Skills!H22&gt;0,INT(IF(Inputs!$B$38="pvp",MIN(Skills!I22,15),Skills!I22)/Skills!H22+0.000000001),1)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Skills!G23*IF(Skills!H23&gt;0,INT(IF(Inputs!$B$38="pvp",MIN(Skills!I23,15),Skills!I23)/Skills!H23+0.000000001),1)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Skills!G24*IF(Skills!H24&gt;0,INT(IF(Inputs!$B$38="pvp",MIN(Skills!I24,15),Skills!I24)/Skills!H24+0.000000001),1)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Skills!G25*IF(Skills!H25&gt;0,INT(IF(Inputs!$B$38="pvp",MIN(Skills!I25,15),Skills!I25)/Skills!H25+0.000000001),1)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Skills!G26*IF(Skills!H26&gt;0,INT(IF(Inputs!$B$38="pvp",MIN(Skills!I26,15),Skills!I26)/Skills!H26+0.000000001),1)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MIN((Skills!T19*(1+(Inputs!$B$34+(ArtifactsInput!$M$7-ArtifactsInput!$M$7)*CHOOSE(ArtifactsInput!$N$7+1,6,7.2,8.4,9.6,10.8,12))/100)),(1/Q720))+MIN((Skills!T19*(1+(Inputs!$B$34+(ArtifactsInput!$M$7-ArtifactsInput!$M$7)*CHOOSE(ArtifactsInput!$N$7+1,6,7.2,8.4,9.6,10.8,12))/100)),MAX(0,Inputs!$B$43-((R720-1)*(1/Q720)))))/Inputs!$B$43),IF(Inputs!$B$38="pvp",MIN((Skills!T19*(1+(Inputs!$B$34+(ArtifactsInput!$M$7-ArtifactsInput!$M$7)*CHOOSE(ArtifactsInput!$N$7+1,6,7.2,8.4,9.6,10.8,12))/100)),15)/15,MIN(1,(Skills!T19*(1+(Inputs!$B$34+(ArtifactsInput!$M$7-ArtifactsInput!$M$7)*CHOOSE(ArtifactsInput!$N$7+1,6,7.2,8.4,9.6,10.8,12))/100))/(1/Q720)))))</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MIN((Skills!T18*(1+(Inputs!$B$34+(ArtifactsInput!$M$7-ArtifactsInput!$M$7)*CHOOSE(ArtifactsInput!$N$7+1,6,7.2,8.4,9.6,10.8,12))/100)),(1/Q719))+MIN((Skills!T18*(1+(Inputs!$B$34+(ArtifactsInput!$M$7-ArtifactsInput!$M$7)*CHOOSE(ArtifactsInput!$N$7+1,6,7.2,8.4,9.6,10.8,12))/100)),MAX(0,Inputs!$B$43-((R719-1)*(1/Q719)))))/Inputs!$B$43),IF(Inputs!$B$38="pvp",MIN((Skills!T18*(1+(Inputs!$B$34+(ArtifactsInput!$M$7-ArtifactsInput!$M$7)*CHOOSE(ArtifactsInput!$N$7+1,6,7.2,8.4,9.6,10.8,12))/100)),15)/15,MIN(1,(Skills!T18*(1+(Inputs!$B$34+(ArtifactsInput!$M$7-ArtifactsInput!$M$7)*CHOOSE(ArtifactsInput!$N$7+1,6,7.2,8.4,9.6,10.8,12))/100))/(1/Q719)))))</f>
        <v/>
      </c>
    </row>
    <row r="736">
      <c r="A736" t="inlineStr">
        <is>
          <t>Global Final Damage Bonus % (Enrage + Combo Synergy)</t>
        </is>
      </c>
      <c r="B736">
        <f>((C718=TRUE)*F718*IF(AND(Inputs!$B$38&lt;&gt;"pvp",Inputs!$B$43&gt;0),(((R718-1)*MIN((Skills!T17*(1+(Inputs!$B$34+(ArtifactsInput!$M$7-ArtifactsInput!$M$7)*CHOOSE(ArtifactsInput!$N$7+1,6,7.2,8.4,9.6,10.8,12))/100)),(1/Q718))+MIN((Skills!T17*(1+(Inputs!$B$34+(ArtifactsInput!$M$7-ArtifactsInput!$M$7)*CHOOSE(ArtifactsInput!$N$7+1,6,7.2,8.4,9.6,10.8,12))/100)),MAX(0,Inputs!$B$43-((R718-1)*(1/Q718)))))/Inputs!$B$43),IF(Inputs!$B$38="pvp",MIN((Skills!T17*(1+(Inputs!$B$34+(ArtifactsInput!$M$7-ArtifactsInput!$M$7)*CHOOSE(ArtifactsInput!$N$7+1,6,7.2,8.4,9.6,10.8,12))/100)),15)/15,MIN(1,(Skills!T17*(1+(Inputs!$B$34+(ArtifactsInput!$M$7-ArtifactsInput!$M$7)*CHOOSE(ArtifactsInput!$N$7+1,6,7.2,8.4,9.6,10.8,12))/100))/(1/Q718)))))+((C715=TRUE)*F715*IF(Inputs!$B$3&gt;=118,8,IF(Inputs!$B$3&gt;=110,7,5)))+IF(Inputs!$B$3&gt;=98,5,0)</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Skills!G2*IF(Skills!H2&gt;0,INT(IF(Inputs!$B$38="pvp",MIN(Skills!I2,15),Skills!I2)/Skills!H2+0.000000001),1)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Skills!G5*IF(Skills!H5&gt;0,INT(IF(Inputs!$B$38="pvp",MIN(Skills!I5,15),Skills!I5)/Skills!H5+0.000000001),1)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IFERROR(1/(IF(Inputs!$B$38="pvp",15,MAX(0.1,Skills!D5-IF(TRUE=TRUE,Inputs!$B$32,0)))*(1-IF(AND(ArtifactsInput!$M$27,Inputs!$B$4="Chapter Hunt"),CHOOSE(ArtifactsInput!$N$27+1,20,24,28,32,36,40),0)/100)),0)</f>
        <v/>
      </c>
      <c r="R748">
        <f>IF(AND(Inputs!$B$38&lt;&gt;"pvp",Inputs!$B$43&gt;0),IF(MAX(0,Inputs!$B$43-B779)&lt;=0,0,(INT(MAX(0,Inputs!$B$43-B779)/(IF(Inputs!$B$38="pvp",15,MAX(0.1,Skills!D5-IF(TRUE=TRUE,Inputs!$B$32,0)))*(1-IF(AND(ArtifactsInput!$M$27,Inputs!$B$4="Chapter Hunt"),CHOOSE(ArtifactsInput!$N$27+1,20,24,28,32,36,40),0)/100)))+1)),0)</f>
        <v/>
      </c>
      <c r="S748">
        <f>IFERROR(O748/N748,0)</f>
        <v/>
      </c>
      <c r="T748">
        <f>IF(C748,(H748*N748*IF(AND(Inputs!$B$38&lt;&gt;"pvp",Inputs!$B$43&gt;0),((Skills!G5*((R748-1)*IF(Skills!H5&gt;0,INT(Skills!I5/Skills!H5+0.000000001),1)+IF(Skills!H5&gt;0,INT(MIN(Skills!I5,MAX(0,MAX(0,Inputs!$B$43-B779)-((R748-1)*(IF(Inputs!$B$38="pvp",15,MAX(0.1,Skills!D5-IF(TRUE=TRUE,Inputs!$B$32,0)))*(1-IF(AND(ArtifactsInput!$M$27,Inputs!$B$4="Chapter Hunt"),CHOOSE(ArtifactsInput!$N$27+1,20,24,28,32,36,40),0)/100)))))/Skills!H5+0.000000001),1)))/Inputs!$B$43),G748*Q748))*IF(Inputs!$B$38="pvp",1,1+(Inputs!$B$20+0+Skills!P5+(((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INT(Skills!I5/Skills!H5+0.000000001),1)+IF(Skills!H5&gt;0,INT(MIN(Skills!I5,MAX(0,MAX(0,Inputs!$B$43-B779)-((R748-1)*(IF(Inputs!$B$38="pvp",15,MAX(0.1,Skills!D5-IF(TRUE=TRUE,Inputs!$B$32,0)))*(1-IF(AND(ArtifactsInput!$M$27,Inputs!$B$4="Chapter Hunt"),CHOOSE(ArtifactsInput!$N$27+1,20,24,28,32,36,40),0)/100)))))/Skills!H5+0.000000001),1)))/Inputs!$B$43),G748*Q748))*IF(Inputs!$B$38="pvp",1,(1+(Inputs!$B$21+Skills!Q5+(((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Skills!G6*IF(Skills!H6&gt;0,INT(IF(Inputs!$B$38="pvp",MIN(Skills!I6,15),Skills!I6)/Skills!H6+0.000000001),1)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IFERROR(1/(IF(Inputs!$B$38="pvp",15,MAX(0.1,Skills!D6-IF(TRUE=TRUE,Inputs!$B$32,0)))*(1-IF(AND(ArtifactsInput!$M$27,Inputs!$B$4="Chapter Hunt"),CHOOSE(ArtifactsInput!$N$27+1,20,24,28,32,36,40),0)/100)),0)</f>
        <v/>
      </c>
      <c r="R749">
        <f>IF(AND(Inputs!$B$38&lt;&gt;"pvp",Inputs!$B$43&gt;0),IF(MAX(0,Inputs!$B$43-B779)&lt;=0,0,(INT(MAX(0,Inputs!$B$43-B779)/(IF(Inputs!$B$38="pvp",15,MAX(0.1,Skills!D6-IF(TRUE=TRUE,Inputs!$B$32,0)))*(1-IF(AND(ArtifactsInput!$M$27,Inputs!$B$4="Chapter Hunt"),CHOOSE(ArtifactsInput!$N$27+1,20,24,28,32,36,40),0)/100)))+1)),0)</f>
        <v/>
      </c>
      <c r="S749">
        <f>IFERROR(O749/N749,0)</f>
        <v/>
      </c>
      <c r="T749">
        <f>IF(C749,(H749*N749*IF(AND(Inputs!$B$38&lt;&gt;"pvp",Inputs!$B$43&gt;0),((Skills!G6*((R749-1)*IF(Skills!H6&gt;0,INT(Skills!I6/Skills!H6+0.000000001),1)+IF(Skills!H6&gt;0,INT(MIN(Skills!I6,MAX(0,MAX(0,Inputs!$B$43-B779)-((R749-1)*(IF(Inputs!$B$38="pvp",15,MAX(0.1,Skills!D6-IF(TRUE=TRUE,Inputs!$B$32,0)))*(1-IF(AND(ArtifactsInput!$M$27,Inputs!$B$4="Chapter Hunt"),CHOOSE(ArtifactsInput!$N$27+1,20,24,28,32,36,40),0)/100)))))/Skills!H6+0.000000001),1)))/Inputs!$B$43),G749*Q749))*IF(Inputs!$B$38="pvp",1,1+(Inputs!$B$20+0+Skills!P6+(((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INT(Skills!I6/Skills!H6+0.000000001),1)+IF(Skills!H6&gt;0,INT(MIN(Skills!I6,MAX(0,MAX(0,Inputs!$B$43-B779)-((R749-1)*(IF(Inputs!$B$38="pvp",15,MAX(0.1,Skills!D6-IF(TRUE=TRUE,Inputs!$B$32,0)))*(1-IF(AND(ArtifactsInput!$M$27,Inputs!$B$4="Chapter Hunt"),CHOOSE(ArtifactsInput!$N$27+1,20,24,28,32,36,40),0)/100)))))/Skills!H6+0.000000001),1)))/Inputs!$B$43),G749*Q749))*IF(Inputs!$B$38="pvp",1,(1+(Inputs!$B$21+Skills!Q6+(((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Skills!G7*IF(Skills!H7&gt;0,INT(IF(Inputs!$B$38="pvp",MIN(Skills!I7,15),Skills!I7)/Skills!H7+0.000000001),1)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IFERROR(1/(IF(Inputs!$B$38="pvp",15,MAX(0.1,Skills!D7-IF(TRUE=TRUE,Inputs!$B$32,0)))*(1-IF(AND(ArtifactsInput!$M$27,Inputs!$B$4="Chapter Hunt"),CHOOSE(ArtifactsInput!$N$27+1,20,24,28,32,36,40),0)/100)),0)</f>
        <v/>
      </c>
      <c r="R750">
        <f>IF(AND(Inputs!$B$38&lt;&gt;"pvp",Inputs!$B$43&gt;0),IF(MAX(0,Inputs!$B$43-B779)&lt;=0,0,(INT(MAX(0,Inputs!$B$43-B779)/(IF(Inputs!$B$38="pvp",15,MAX(0.1,Skills!D7-IF(TRUE=TRUE,Inputs!$B$32,0)))*(1-IF(AND(ArtifactsInput!$M$27,Inputs!$B$4="Chapter Hunt"),CHOOSE(ArtifactsInput!$N$27+1,20,24,28,32,36,40),0)/100)))+1)),0)</f>
        <v/>
      </c>
      <c r="S750">
        <f>IFERROR(O750/N750,0)</f>
        <v/>
      </c>
      <c r="T750">
        <f>IF(C750,(H750*N750*IF(AND(Inputs!$B$38&lt;&gt;"pvp",Inputs!$B$43&gt;0),((Skills!G7*((R750-1)*IF(Skills!H7&gt;0,INT(Skills!I7/Skills!H7+0.000000001),1)+IF(Skills!H7&gt;0,INT(MIN(Skills!I7,MAX(0,MAX(0,Inputs!$B$43-B779)-((R750-1)*(IF(Inputs!$B$38="pvp",15,MAX(0.1,Skills!D7-IF(TRUE=TRUE,Inputs!$B$32,0)))*(1-IF(AND(ArtifactsInput!$M$27,Inputs!$B$4="Chapter Hunt"),CHOOSE(ArtifactsInput!$N$27+1,20,24,28,32,36,40),0)/100)))))/Skills!H7+0.000000001),1)))/Inputs!$B$43),G750*Q750))*IF(Inputs!$B$38="pvp",1,1+(Inputs!$B$20+0+Skills!P7+(((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INT(Skills!I7/Skills!H7+0.000000001),1)+IF(Skills!H7&gt;0,INT(MIN(Skills!I7,MAX(0,MAX(0,Inputs!$B$43-B779)-((R750-1)*(IF(Inputs!$B$38="pvp",15,MAX(0.1,Skills!D7-IF(TRUE=TRUE,Inputs!$B$32,0)))*(1-IF(AND(ArtifactsInput!$M$27,Inputs!$B$4="Chapter Hunt"),CHOOSE(ArtifactsInput!$N$27+1,20,24,28,32,36,40),0)/100)))))/Skills!H7+0.000000001),1)))/Inputs!$B$43),G750*Q750))*IF(Inputs!$B$38="pvp",1,(1+(Inputs!$B$21+Skills!Q7+(((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Skills!G8*IF(Skills!H8&gt;0,INT(IF(Inputs!$B$38="pvp",MIN(Skills!I8,15),Skills!I8)/Skills!H8+0.000000001),1)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IFERROR(1/(IF(Inputs!$B$38="pvp",15,MAX(0.1,Skills!D8-IF(TRUE=TRUE,Inputs!$B$32,0)))*(1-IF(AND(ArtifactsInput!$M$27,Inputs!$B$4="Chapter Hunt"),CHOOSE(ArtifactsInput!$N$27+1,20,24,28,32,36,40),0)/100)),0)</f>
        <v/>
      </c>
      <c r="R751">
        <f>IF(AND(Inputs!$B$38&lt;&gt;"pvp",Inputs!$B$43&gt;0),IF(MAX(0,Inputs!$B$43-B779)&lt;=0,0,(INT(MAX(0,Inputs!$B$43-B779)/(IF(Inputs!$B$38="pvp",15,MAX(0.1,Skills!D8-IF(TRUE=TRUE,Inputs!$B$32,0)))*(1-IF(AND(ArtifactsInput!$M$27,Inputs!$B$4="Chapter Hunt"),CHOOSE(ArtifactsInput!$N$27+1,20,24,28,32,36,40),0)/100)))+1)),0)</f>
        <v/>
      </c>
      <c r="S751">
        <f>IFERROR(O751/N751,0)</f>
        <v/>
      </c>
      <c r="T751">
        <f>IF(C751,(H751*N751*IF(AND(Inputs!$B$38&lt;&gt;"pvp",Inputs!$B$43&gt;0),((Skills!G8*((R751-1)*IF(Skills!H8&gt;0,INT(Skills!I8/Skills!H8+0.000000001),1)+IF(Skills!H8&gt;0,INT(MIN(Skills!I8,MAX(0,MAX(0,Inputs!$B$43-B779)-((R751-1)*(IF(Inputs!$B$38="pvp",15,MAX(0.1,Skills!D8-IF(TRUE=TRUE,Inputs!$B$32,0)))*(1-IF(AND(ArtifactsInput!$M$27,Inputs!$B$4="Chapter Hunt"),CHOOSE(ArtifactsInput!$N$27+1,20,24,28,32,36,40),0)/100)))))/Skills!H8+0.000000001),1)))/Inputs!$B$43),G751*Q751))*IF(Inputs!$B$38="pvp",1,1+(Inputs!$B$20+0+Skills!P8+(((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INT(Skills!I8/Skills!H8+0.000000001),1)+IF(Skills!H8&gt;0,INT(MIN(Skills!I8,MAX(0,MAX(0,Inputs!$B$43-B779)-((R751-1)*(IF(Inputs!$B$38="pvp",15,MAX(0.1,Skills!D8-IF(TRUE=TRUE,Inputs!$B$32,0)))*(1-IF(AND(ArtifactsInput!$M$27,Inputs!$B$4="Chapter Hunt"),CHOOSE(ArtifactsInput!$N$27+1,20,24,28,32,36,40),0)/100)))))/Skills!H8+0.000000001),1)))/Inputs!$B$43),G751*Q751))*IF(Inputs!$B$38="pvp",1,(1+(Inputs!$B$21+Skills!Q8+(((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Skills!G9*IF(Skills!H9&gt;0,INT(IF(Inputs!$B$38="pvp",MIN(Skills!I9,15),Skills!I9)/Skills!H9+0.000000001),1)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138,MAX(0,IF(Inputs!$B$3&gt;=118,8,IF(Inputs!$B$3&gt;=110,7,5))-5)*50,0),0)/100)*(1+(IF(Skills!A9="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IFERROR(1/(IF(Inputs!$B$38="pvp",15,MAX(0.1,Skills!D9-IF(TRUE=TRUE,Inputs!$B$32,0)))*(1-IF(AND(ArtifactsInput!$M$27,Inputs!$B$4="Chapter Hunt"),CHOOSE(ArtifactsInput!$N$27+1,20,24,28,32,36,40),0)/100)),0)</f>
        <v/>
      </c>
      <c r="R752">
        <f>IF(AND(Inputs!$B$38&lt;&gt;"pvp",Inputs!$B$43&gt;0),IF(MAX(0,Inputs!$B$43-B779)&lt;=0,0,(INT(MAX(0,Inputs!$B$43-B779)/(IF(Inputs!$B$38="pvp",15,MAX(0.1,Skills!D9-IF(TRUE=TRUE,Inputs!$B$32,0)))*(1-IF(AND(ArtifactsInput!$M$27,Inputs!$B$4="Chapter Hunt"),CHOOSE(ArtifactsInput!$N$27+1,20,24,28,32,36,40),0)/100)))+1)),0)</f>
        <v/>
      </c>
      <c r="S752">
        <f>IFERROR(O752/N752,0)</f>
        <v/>
      </c>
      <c r="T752">
        <f>IF(C752,(H752*N752*IF(AND(Inputs!$B$38&lt;&gt;"pvp",Inputs!$B$43&gt;0),((Skills!G9*((R752-1)*IF(Skills!H9&gt;0,INT(Skills!I9/Skills!H9+0.000000001),1)+IF(Skills!H9&gt;0,INT(MIN(Skills!I9,MAX(0,MAX(0,Inputs!$B$43-B779)-((R752-1)*(IF(Inputs!$B$38="pvp",15,MAX(0.1,Skills!D9-IF(TRUE=TRUE,Inputs!$B$32,0)))*(1-IF(AND(ArtifactsInput!$M$27,Inputs!$B$4="Chapter Hunt"),CHOOSE(ArtifactsInput!$N$27+1,20,24,28,32,36,40),0)/100)))))/Skills!H9+0.000000001),1)))/Inputs!$B$43),G752*Q752))*IF(Inputs!$B$38="pvp",1,1+(Inputs!$B$20+0+Skills!P9+(((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INT(Skills!I9/Skills!H9+0.000000001),1)+IF(Skills!H9&gt;0,INT(MIN(Skills!I9,MAX(0,MAX(0,Inputs!$B$43-B779)-((R752-1)*(IF(Inputs!$B$38="pvp",15,MAX(0.1,Skills!D9-IF(TRUE=TRUE,Inputs!$B$32,0)))*(1-IF(AND(ArtifactsInput!$M$27,Inputs!$B$4="Chapter Hunt"),CHOOSE(ArtifactsInput!$N$27+1,20,24,28,32,36,40),0)/100)))))/Skills!H9+0.000000001),1)))/Inputs!$B$43),G752*Q752))*IF(Inputs!$B$38="pvp",1,(1+(Inputs!$B$21+Skills!Q9+(((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Skills!G10*IF(Skills!H10&gt;0,INT(IF(Inputs!$B$38="pvp",MIN(Skills!I10,15),Skills!I10)/Skills!H10+0.000000001),1)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138,MAX(0,IF(Inputs!$B$3&gt;=118,8,IF(Inputs!$B$3&gt;=110,7,5))-5)*50,0),0)/100)*(1+(IF(Skills!A10="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IFERROR(1/(IF(Inputs!$B$38="pvp",15,MAX(0.1,Skills!D10-IF(TRUE=TRUE,Inputs!$B$32,0)))*(1-IF(AND(ArtifactsInput!$M$27,Inputs!$B$4="Chapter Hunt"),CHOOSE(ArtifactsInput!$N$27+1,20,24,28,32,36,40),0)/100)),0)</f>
        <v/>
      </c>
      <c r="R753">
        <f>IF(AND(Inputs!$B$38&lt;&gt;"pvp",Inputs!$B$43&gt;0),IF(MAX(0,Inputs!$B$43-B779)&lt;=0,0,(INT(MAX(0,Inputs!$B$43-B779)/(IF(Inputs!$B$38="pvp",15,MAX(0.1,Skills!D10-IF(TRUE=TRUE,Inputs!$B$32,0)))*(1-IF(AND(ArtifactsInput!$M$27,Inputs!$B$4="Chapter Hunt"),CHOOSE(ArtifactsInput!$N$27+1,20,24,28,32,36,40),0)/100)))+1)),0)</f>
        <v/>
      </c>
      <c r="S753">
        <f>IFERROR(O753/N753,0)</f>
        <v/>
      </c>
      <c r="T753">
        <f>IF(C753,(H753*N753*IF(AND(Inputs!$B$38&lt;&gt;"pvp",Inputs!$B$43&gt;0),((Skills!G10*((R753-1)*IF(Skills!H10&gt;0,INT(Skills!I10/Skills!H10+0.000000001),1)+IF(Skills!H10&gt;0,INT(MIN(Skills!I10,MAX(0,MAX(0,Inputs!$B$43-B779)-((R753-1)*(IF(Inputs!$B$38="pvp",15,MAX(0.1,Skills!D10-IF(TRUE=TRUE,Inputs!$B$32,0)))*(1-IF(AND(ArtifactsInput!$M$27,Inputs!$B$4="Chapter Hunt"),CHOOSE(ArtifactsInput!$N$27+1,20,24,28,32,36,40),0)/100)))))/Skills!H10+0.000000001),1)))/Inputs!$B$43),G753*Q753))*IF(Inputs!$B$38="pvp",1,1+(Inputs!$B$20+0+Skills!P10+(((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INT(Skills!I10/Skills!H10+0.000000001),1)+IF(Skills!H10&gt;0,INT(MIN(Skills!I10,MAX(0,MAX(0,Inputs!$B$43-B779)-((R753-1)*(IF(Inputs!$B$38="pvp",15,MAX(0.1,Skills!D10-IF(TRUE=TRUE,Inputs!$B$32,0)))*(1-IF(AND(ArtifactsInput!$M$27,Inputs!$B$4="Chapter Hunt"),CHOOSE(ArtifactsInput!$N$27+1,20,24,28,32,36,40),0)/100)))))/Skills!H10+0.000000001),1)))/Inputs!$B$43),G753*Q753))*IF(Inputs!$B$38="pvp",1,(1+(Inputs!$B$21+Skills!Q10+(((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Skills!G11*IF(Skills!H11&gt;0,INT(IF(Inputs!$B$38="pvp",MIN(Skills!I11,15),Skills!I11)/Skills!H11+0.000000001),1)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138,MAX(0,IF(Inputs!$B$3&gt;=118,8,IF(Inputs!$B$3&gt;=110,7,5))-5)*50,0),0)/100)*(1+(IF(Skills!A11="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IFERROR(1/(IF(Inputs!$B$38="pvp",15,MAX(0.1,Skills!D11-IF(TRUE=TRUE,Inputs!$B$32,0)))*(1-IF(AND(ArtifactsInput!$M$27,Inputs!$B$4="Chapter Hunt"),CHOOSE(ArtifactsInput!$N$27+1,20,24,28,32,36,40),0)/100)),0)</f>
        <v/>
      </c>
      <c r="R754">
        <f>IF(AND(Inputs!$B$38&lt;&gt;"pvp",Inputs!$B$43&gt;0),IF(MAX(0,Inputs!$B$43-B779)&lt;=0,0,(INT(MAX(0,Inputs!$B$43-B779)/(IF(Inputs!$B$38="pvp",15,MAX(0.1,Skills!D11-IF(TRUE=TRUE,Inputs!$B$32,0)))*(1-IF(AND(ArtifactsInput!$M$27,Inputs!$B$4="Chapter Hunt"),CHOOSE(ArtifactsInput!$N$27+1,20,24,28,32,36,40),0)/100)))+1)),0)</f>
        <v/>
      </c>
      <c r="S754">
        <f>IFERROR(O754/N754,0)</f>
        <v/>
      </c>
      <c r="T754">
        <f>IF(C754,(H754*N754*IF(AND(Inputs!$B$38&lt;&gt;"pvp",Inputs!$B$43&gt;0),((Skills!G11*((R754-1)*IF(Skills!H11&gt;0,INT(Skills!I11/Skills!H11+0.000000001),1)+IF(Skills!H11&gt;0,INT(MIN(Skills!I11,MAX(0,MAX(0,Inputs!$B$43-B779)-((R754-1)*(IF(Inputs!$B$38="pvp",15,MAX(0.1,Skills!D11-IF(TRUE=TRUE,Inputs!$B$32,0)))*(1-IF(AND(ArtifactsInput!$M$27,Inputs!$B$4="Chapter Hunt"),CHOOSE(ArtifactsInput!$N$27+1,20,24,28,32,36,40),0)/100)))))/Skills!H11+0.000000001),1)))/Inputs!$B$43),G754*Q754))*IF(Inputs!$B$38="pvp",1,1+(Inputs!$B$20+0+Skills!P11+(((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INT(Skills!I11/Skills!H11+0.000000001),1)+IF(Skills!H11&gt;0,INT(MIN(Skills!I11,MAX(0,MAX(0,Inputs!$B$43-B779)-((R754-1)*(IF(Inputs!$B$38="pvp",15,MAX(0.1,Skills!D11-IF(TRUE=TRUE,Inputs!$B$32,0)))*(1-IF(AND(ArtifactsInput!$M$27,Inputs!$B$4="Chapter Hunt"),CHOOSE(ArtifactsInput!$N$27+1,20,24,28,32,36,40),0)/100)))))/Skills!H11+0.000000001),1)))/Inputs!$B$43),G754*Q754))*IF(Inputs!$B$38="pvp",1,(1+(Inputs!$B$21+Skills!Q11+(((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Skills!G13*IF(Skills!H13&gt;0,INT(IF(Inputs!$B$38="pvp",MIN(Skills!I13,15),Skills!I13)/Skills!H13+0.000000001),1)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Skills!G14*IF(Skills!H14&gt;0,INT(IF(Inputs!$B$38="pvp",MIN(Skills!I14,15),Skills!I14)/Skills!H14+0.000000001),1)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Skills!G15*IF(Skills!H15&gt;0,INT(IF(Inputs!$B$38="pvp",MIN(Skills!I15,15),Skills!I15)/Skills!H15+0.000000001),1)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IFERROR(1/(IF(Inputs!$B$38="pvp",15,MAX(0.1,Skills!D15-IF(TRUE=TRUE,Inputs!$B$32,0)))*(1-IF(AND(ArtifactsInput!$M$27,Inputs!$B$4="Chapter Hunt"),CHOOSE(ArtifactsInput!$N$27+1,20,24,28,32,36,40),0)/100)),0)</f>
        <v/>
      </c>
      <c r="R758">
        <f>IF(AND(Inputs!$B$38&lt;&gt;"pvp",Inputs!$B$43&gt;0),IF(Inputs!$B$43&lt;=0,0,(INT(Inputs!$B$43/(IF(Inputs!$B$38="pvp",15,MAX(0.1,Skills!D15-IF(TRUE=TRUE,Inputs!$B$32,0)))*(1-IF(AND(ArtifactsInput!$M$27,Inputs!$B$4="Chapter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Skills!G16*IF(Skills!H16&gt;0,INT(IF(Inputs!$B$38="pvp",MIN(Skills!I16,15),Skills!I16)/Skills!H16+0.000000001),1)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IFERROR(1/(IF(Inputs!$B$38="pvp",15,MAX(0.1,Skills!D16-IF(TRUE=TRUE,Inputs!$B$32,0)))*(1-IF(AND(ArtifactsInput!$M$27,Inputs!$B$4="Chapter Hunt"),CHOOSE(ArtifactsInput!$N$27+1,20,24,28,32,36,40),0)/100)),0)</f>
        <v/>
      </c>
      <c r="R759">
        <f>IF(AND(Inputs!$B$38&lt;&gt;"pvp",Inputs!$B$43&gt;0),IF(Inputs!$B$43&lt;=0,0,(INT(Inputs!$B$43/(IF(Inputs!$B$38="pvp",15,MAX(0.1,Skills!D16-IF(TRUE=TRUE,Inputs!$B$32,0)))*(1-IF(AND(ArtifactsInput!$M$27,Inputs!$B$4="Chapter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Skills!G17*IF(Skills!H17&gt;0,INT(IF(Inputs!$B$38="pvp",MIN(Skills!I17,15),Skills!I17)/Skills!H17+0.000000001),1)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Skills!G18*IF(Skills!H18&gt;0,INT(IF(Inputs!$B$38="pvp",MIN(Skills!I18,15),Skills!I18)/Skills!H18+0.000000001),1)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Skills!G19*IF(Skills!H19&gt;0,INT(IF(Inputs!$B$38="pvp",MIN(Skills!I19,15),Skills!I19)/Skills!H19+0.000000001),1)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IFERROR(1/(IF(Inputs!$B$38="pvp",15,MAX(0.1,Skills!D19-IF(TRUE=TRUE,Inputs!$B$32,0)))*(1-IF(AND(ArtifactsInput!$M$27,Inputs!$B$4="Chapter Hunt"),CHOOSE(ArtifactsInput!$N$27+1,20,24,28,32,36,40),0)/100)),0)</f>
        <v/>
      </c>
      <c r="R762">
        <f>IF(AND(Inputs!$B$38&lt;&gt;"pvp",Inputs!$B$43&gt;0),IF(Inputs!$B$43&lt;=0,0,(INT(Inputs!$B$43/(IF(Inputs!$B$38="pvp",15,MAX(0.1,Skills!D19-IF(TRUE=TRUE,Inputs!$B$32,0)))*(1-IF(AND(ArtifactsInput!$M$27,Inputs!$B$4="Chapter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Skills!G20*IF(Skills!H20&gt;0,INT(IF(Inputs!$B$38="pvp",MIN(Skills!I20,15),Skills!I20)/Skills!H20+0.000000001),1)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Skills!G21*IF(Skills!H21&gt;0,INT(IF(Inputs!$B$38="pvp",MIN(Skills!I21,15),Skills!I21)/Skills!H21+0.000000001),1)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Skills!G22*IF(Skills!H22&gt;0,INT(IF(Inputs!$B$38="pvp",MIN(Skills!I22,15),Skills!I22)/Skills!H22+0.000000001),1)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Skills!G23*IF(Skills!H23&gt;0,INT(IF(Inputs!$B$38="pvp",MIN(Skills!I23,15),Skills!I23)/Skills!H23+0.000000001),1)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Skills!G24*IF(Skills!H24&gt;0,INT(IF(Inputs!$B$38="pvp",MIN(Skills!I24,15),Skills!I24)/Skills!H24+0.000000001),1)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Skills!G25*IF(Skills!H25&gt;0,INT(IF(Inputs!$B$38="pvp",MIN(Skills!I25,15),Skills!I25)/Skills!H25+0.000000001),1)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Skills!G26*IF(Skills!H26&gt;0,INT(IF(Inputs!$B$38="pvp",MIN(Skills!I26,15),Skills!I26)/Skills!H26+0.000000001),1)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MIN((Skills!T19*(1+(Inputs!$B$34+(ArtifactsInput!$M$7-ArtifactsInput!$M$7)*CHOOSE(ArtifactsInput!$N$7+1,6,7.2,8.4,9.6,10.8,12))/100)),(1/Q762))+MIN((Skills!T19*(1+(Inputs!$B$34+(ArtifactsInput!$M$7-ArtifactsInput!$M$7)*CHOOSE(ArtifactsInput!$N$7+1,6,7.2,8.4,9.6,10.8,12))/100)),MAX(0,Inputs!$B$43-((R762-1)*(1/Q762)))))/Inputs!$B$43),IF(Inputs!$B$38="pvp",MIN((Skills!T19*(1+(Inputs!$B$34+(ArtifactsInput!$M$7-ArtifactsInput!$M$7)*CHOOSE(ArtifactsInput!$N$7+1,6,7.2,8.4,9.6,10.8,12))/100)),15)/15,MIN(1,(Skills!T19*(1+(Inputs!$B$34+(ArtifactsInput!$M$7-ArtifactsInput!$M$7)*CHOOSE(ArtifactsInput!$N$7+1,6,7.2,8.4,9.6,10.8,12))/100))/(1/Q762)))))</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MIN((Skills!T18*(1+(Inputs!$B$34+(ArtifactsInput!$M$7-ArtifactsInput!$M$7)*CHOOSE(ArtifactsInput!$N$7+1,6,7.2,8.4,9.6,10.8,12))/100)),(1/Q761))+MIN((Skills!T18*(1+(Inputs!$B$34+(ArtifactsInput!$M$7-ArtifactsInput!$M$7)*CHOOSE(ArtifactsInput!$N$7+1,6,7.2,8.4,9.6,10.8,12))/100)),MAX(0,Inputs!$B$43-((R761-1)*(1/Q761)))))/Inputs!$B$43),IF(Inputs!$B$38="pvp",MIN((Skills!T18*(1+(Inputs!$B$34+(ArtifactsInput!$M$7-ArtifactsInput!$M$7)*CHOOSE(ArtifactsInput!$N$7+1,6,7.2,8.4,9.6,10.8,12))/100)),15)/15,MIN(1,(Skills!T18*(1+(Inputs!$B$34+(ArtifactsInput!$M$7-ArtifactsInput!$M$7)*CHOOSE(ArtifactsInput!$N$7+1,6,7.2,8.4,9.6,10.8,12))/100))/(1/Q761)))))</f>
        <v/>
      </c>
    </row>
    <row r="778">
      <c r="A778" t="inlineStr">
        <is>
          <t>Global Final Damage Bonus % (Enrage + Combo Synergy)</t>
        </is>
      </c>
      <c r="B778">
        <f>((C760=TRUE)*F760*IF(AND(Inputs!$B$38&lt;&gt;"pvp",Inputs!$B$43&gt;0),(((R760-1)*MIN((Skills!T17*(1+(Inputs!$B$34+(ArtifactsInput!$M$7-ArtifactsInput!$M$7)*CHOOSE(ArtifactsInput!$N$7+1,6,7.2,8.4,9.6,10.8,12))/100)),(1/Q760))+MIN((Skills!T17*(1+(Inputs!$B$34+(ArtifactsInput!$M$7-ArtifactsInput!$M$7)*CHOOSE(ArtifactsInput!$N$7+1,6,7.2,8.4,9.6,10.8,12))/100)),MAX(0,Inputs!$B$43-((R760-1)*(1/Q760)))))/Inputs!$B$43),IF(Inputs!$B$38="pvp",MIN((Skills!T17*(1+(Inputs!$B$34+(ArtifactsInput!$M$7-ArtifactsInput!$M$7)*CHOOSE(ArtifactsInput!$N$7+1,6,7.2,8.4,9.6,10.8,12))/100)),15)/15,MIN(1,(Skills!T17*(1+(Inputs!$B$34+(ArtifactsInput!$M$7-ArtifactsInput!$M$7)*CHOOSE(ArtifactsInput!$N$7+1,6,7.2,8.4,9.6,10.8,12))/100))/(1/Q760)))))+((C757=TRUE)*F757*IF(Inputs!$B$3&gt;=118,8,IF(Inputs!$B$3&gt;=110,7,5)))+IF(Inputs!$B$3&gt;=98,5,0)</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Skills!G2*IF(Skills!H2&gt;0,INT(IF(Inputs!$B$38="pvp",MIN(Skills!I2,15),Skills!I2)/Skills!H2+0.000000001),1)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Skills!G5*IF(Skills!H5&gt;0,INT(IF(Inputs!$B$38="pvp",MIN(Skills!I5,15),Skills!I5)/Skills!H5+0.000000001),1)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IFERROR(1/(IF(Inputs!$B$38="pvp",15,MAX(0.1,Skills!D5-IF(TRUE=TRUE,Inputs!$B$32,0)))*(1-IF(AND(ArtifactsInput!$M$27,Inputs!$B$4="Chapter Hunt"),CHOOSE(ArtifactsInput!$N$27+1,20,24,28,32,36,40),0)/100)),0)</f>
        <v/>
      </c>
      <c r="R790">
        <f>IF(AND(Inputs!$B$38&lt;&gt;"pvp",Inputs!$B$43&gt;0),IF(MAX(0,Inputs!$B$43-B821)&lt;=0,0,(INT(MAX(0,Inputs!$B$43-B821)/(IF(Inputs!$B$38="pvp",15,MAX(0.1,Skills!D5-IF(TRUE=TRUE,Inputs!$B$32,0)))*(1-IF(AND(ArtifactsInput!$M$27,Inputs!$B$4="Chapter Hunt"),CHOOSE(ArtifactsInput!$N$27+1,20,24,28,32,36,40),0)/100)))+1)),0)</f>
        <v/>
      </c>
      <c r="S790">
        <f>IFERROR(O790/N790,0)</f>
        <v/>
      </c>
      <c r="T790">
        <f>IF(C790,(H790*N790*IF(AND(Inputs!$B$38&lt;&gt;"pvp",Inputs!$B$43&gt;0),((Skills!G5*((R790-1)*IF(Skills!H5&gt;0,INT(Skills!I5/Skills!H5+0.000000001),1)+IF(Skills!H5&gt;0,INT(MIN(Skills!I5,MAX(0,MAX(0,Inputs!$B$43-B821)-((R790-1)*(IF(Inputs!$B$38="pvp",15,MAX(0.1,Skills!D5-IF(TRUE=TRUE,Inputs!$B$32,0)))*(1-IF(AND(ArtifactsInput!$M$27,Inputs!$B$4="Chapter Hunt"),CHOOSE(ArtifactsInput!$N$27+1,20,24,28,32,36,40),0)/100)))))/Skills!H5+0.000000001),1)))/Inputs!$B$43),G790*Q790))*IF(Inputs!$B$38="pvp",1,1+(Inputs!$B$20+0+Skills!P5+(((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INT(Skills!I5/Skills!H5+0.000000001),1)+IF(Skills!H5&gt;0,INT(MIN(Skills!I5,MAX(0,MAX(0,Inputs!$B$43-B821)-((R790-1)*(IF(Inputs!$B$38="pvp",15,MAX(0.1,Skills!D5-IF(TRUE=TRUE,Inputs!$B$32,0)))*(1-IF(AND(ArtifactsInput!$M$27,Inputs!$B$4="Chapter Hunt"),CHOOSE(ArtifactsInput!$N$27+1,20,24,28,32,36,40),0)/100)))))/Skills!H5+0.000000001),1)))/Inputs!$B$43),G790*Q790))*IF(Inputs!$B$38="pvp",1,(1+(Inputs!$B$21+Skills!Q5+(((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Skills!G6*IF(Skills!H6&gt;0,INT(IF(Inputs!$B$38="pvp",MIN(Skills!I6,15),Skills!I6)/Skills!H6+0.000000001),1)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IFERROR(1/(IF(Inputs!$B$38="pvp",15,MAX(0.1,Skills!D6-IF(TRUE=TRUE,Inputs!$B$32,0)))*(1-IF(AND(ArtifactsInput!$M$27,Inputs!$B$4="Chapter Hunt"),CHOOSE(ArtifactsInput!$N$27+1,20,24,28,32,36,40),0)/100)),0)</f>
        <v/>
      </c>
      <c r="R791">
        <f>IF(AND(Inputs!$B$38&lt;&gt;"pvp",Inputs!$B$43&gt;0),IF(MAX(0,Inputs!$B$43-B821)&lt;=0,0,(INT(MAX(0,Inputs!$B$43-B821)/(IF(Inputs!$B$38="pvp",15,MAX(0.1,Skills!D6-IF(TRUE=TRUE,Inputs!$B$32,0)))*(1-IF(AND(ArtifactsInput!$M$27,Inputs!$B$4="Chapter Hunt"),CHOOSE(ArtifactsInput!$N$27+1,20,24,28,32,36,40),0)/100)))+1)),0)</f>
        <v/>
      </c>
      <c r="S791">
        <f>IFERROR(O791/N791,0)</f>
        <v/>
      </c>
      <c r="T791">
        <f>IF(C791,(H791*N791*IF(AND(Inputs!$B$38&lt;&gt;"pvp",Inputs!$B$43&gt;0),((Skills!G6*((R791-1)*IF(Skills!H6&gt;0,INT(Skills!I6/Skills!H6+0.000000001),1)+IF(Skills!H6&gt;0,INT(MIN(Skills!I6,MAX(0,MAX(0,Inputs!$B$43-B821)-((R791-1)*(IF(Inputs!$B$38="pvp",15,MAX(0.1,Skills!D6-IF(TRUE=TRUE,Inputs!$B$32,0)))*(1-IF(AND(ArtifactsInput!$M$27,Inputs!$B$4="Chapter Hunt"),CHOOSE(ArtifactsInput!$N$27+1,20,24,28,32,36,40),0)/100)))))/Skills!H6+0.000000001),1)))/Inputs!$B$43),G791*Q791))*IF(Inputs!$B$38="pvp",1,1+(Inputs!$B$20+0+Skills!P6+(((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INT(Skills!I6/Skills!H6+0.000000001),1)+IF(Skills!H6&gt;0,INT(MIN(Skills!I6,MAX(0,MAX(0,Inputs!$B$43-B821)-((R791-1)*(IF(Inputs!$B$38="pvp",15,MAX(0.1,Skills!D6-IF(TRUE=TRUE,Inputs!$B$32,0)))*(1-IF(AND(ArtifactsInput!$M$27,Inputs!$B$4="Chapter Hunt"),CHOOSE(ArtifactsInput!$N$27+1,20,24,28,32,36,40),0)/100)))))/Skills!H6+0.000000001),1)))/Inputs!$B$43),G791*Q791))*IF(Inputs!$B$38="pvp",1,(1+(Inputs!$B$21+Skills!Q6+(((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Skills!G7*IF(Skills!H7&gt;0,INT(IF(Inputs!$B$38="pvp",MIN(Skills!I7,15),Skills!I7)/Skills!H7+0.000000001),1)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IFERROR(1/(IF(Inputs!$B$38="pvp",15,MAX(0.1,Skills!D7-IF(TRUE=TRUE,Inputs!$B$32,0)))*(1-IF(AND(ArtifactsInput!$M$27,Inputs!$B$4="Chapter Hunt"),CHOOSE(ArtifactsInput!$N$27+1,20,24,28,32,36,40),0)/100)),0)</f>
        <v/>
      </c>
      <c r="R792">
        <f>IF(AND(Inputs!$B$38&lt;&gt;"pvp",Inputs!$B$43&gt;0),IF(MAX(0,Inputs!$B$43-B821)&lt;=0,0,(INT(MAX(0,Inputs!$B$43-B821)/(IF(Inputs!$B$38="pvp",15,MAX(0.1,Skills!D7-IF(TRUE=TRUE,Inputs!$B$32,0)))*(1-IF(AND(ArtifactsInput!$M$27,Inputs!$B$4="Chapter Hunt"),CHOOSE(ArtifactsInput!$N$27+1,20,24,28,32,36,40),0)/100)))+1)),0)</f>
        <v/>
      </c>
      <c r="S792">
        <f>IFERROR(O792/N792,0)</f>
        <v/>
      </c>
      <c r="T792">
        <f>IF(C792,(H792*N792*IF(AND(Inputs!$B$38&lt;&gt;"pvp",Inputs!$B$43&gt;0),((Skills!G7*((R792-1)*IF(Skills!H7&gt;0,INT(Skills!I7/Skills!H7+0.000000001),1)+IF(Skills!H7&gt;0,INT(MIN(Skills!I7,MAX(0,MAX(0,Inputs!$B$43-B821)-((R792-1)*(IF(Inputs!$B$38="pvp",15,MAX(0.1,Skills!D7-IF(TRUE=TRUE,Inputs!$B$32,0)))*(1-IF(AND(ArtifactsInput!$M$27,Inputs!$B$4="Chapter Hunt"),CHOOSE(ArtifactsInput!$N$27+1,20,24,28,32,36,40),0)/100)))))/Skills!H7+0.000000001),1)))/Inputs!$B$43),G792*Q792))*IF(Inputs!$B$38="pvp",1,1+(Inputs!$B$20+0+Skills!P7+(((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INT(Skills!I7/Skills!H7+0.000000001),1)+IF(Skills!H7&gt;0,INT(MIN(Skills!I7,MAX(0,MAX(0,Inputs!$B$43-B821)-((R792-1)*(IF(Inputs!$B$38="pvp",15,MAX(0.1,Skills!D7-IF(TRUE=TRUE,Inputs!$B$32,0)))*(1-IF(AND(ArtifactsInput!$M$27,Inputs!$B$4="Chapter Hunt"),CHOOSE(ArtifactsInput!$N$27+1,20,24,28,32,36,40),0)/100)))))/Skills!H7+0.000000001),1)))/Inputs!$B$43),G792*Q792))*IF(Inputs!$B$38="pvp",1,(1+(Inputs!$B$21+Skills!Q7+(((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Skills!G8*IF(Skills!H8&gt;0,INT(IF(Inputs!$B$38="pvp",MIN(Skills!I8,15),Skills!I8)/Skills!H8+0.000000001),1)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IFERROR(1/(IF(Inputs!$B$38="pvp",15,MAX(0.1,Skills!D8-IF(TRUE=TRUE,Inputs!$B$32,0)))*(1-IF(AND(ArtifactsInput!$M$27,Inputs!$B$4="Chapter Hunt"),CHOOSE(ArtifactsInput!$N$27+1,20,24,28,32,36,40),0)/100)),0)</f>
        <v/>
      </c>
      <c r="R793">
        <f>IF(AND(Inputs!$B$38&lt;&gt;"pvp",Inputs!$B$43&gt;0),IF(MAX(0,Inputs!$B$43-B821)&lt;=0,0,(INT(MAX(0,Inputs!$B$43-B821)/(IF(Inputs!$B$38="pvp",15,MAX(0.1,Skills!D8-IF(TRUE=TRUE,Inputs!$B$32,0)))*(1-IF(AND(ArtifactsInput!$M$27,Inputs!$B$4="Chapter Hunt"),CHOOSE(ArtifactsInput!$N$27+1,20,24,28,32,36,40),0)/100)))+1)),0)</f>
        <v/>
      </c>
      <c r="S793">
        <f>IFERROR(O793/N793,0)</f>
        <v/>
      </c>
      <c r="T793">
        <f>IF(C793,(H793*N793*IF(AND(Inputs!$B$38&lt;&gt;"pvp",Inputs!$B$43&gt;0),((Skills!G8*((R793-1)*IF(Skills!H8&gt;0,INT(Skills!I8/Skills!H8+0.000000001),1)+IF(Skills!H8&gt;0,INT(MIN(Skills!I8,MAX(0,MAX(0,Inputs!$B$43-B821)-((R793-1)*(IF(Inputs!$B$38="pvp",15,MAX(0.1,Skills!D8-IF(TRUE=TRUE,Inputs!$B$32,0)))*(1-IF(AND(ArtifactsInput!$M$27,Inputs!$B$4="Chapter Hunt"),CHOOSE(ArtifactsInput!$N$27+1,20,24,28,32,36,40),0)/100)))))/Skills!H8+0.000000001),1)))/Inputs!$B$43),G793*Q793))*IF(Inputs!$B$38="pvp",1,1+(Inputs!$B$20+0+Skills!P8+(((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INT(Skills!I8/Skills!H8+0.000000001),1)+IF(Skills!H8&gt;0,INT(MIN(Skills!I8,MAX(0,MAX(0,Inputs!$B$43-B821)-((R793-1)*(IF(Inputs!$B$38="pvp",15,MAX(0.1,Skills!D8-IF(TRUE=TRUE,Inputs!$B$32,0)))*(1-IF(AND(ArtifactsInput!$M$27,Inputs!$B$4="Chapter Hunt"),CHOOSE(ArtifactsInput!$N$27+1,20,24,28,32,36,40),0)/100)))))/Skills!H8+0.000000001),1)))/Inputs!$B$43),G793*Q793))*IF(Inputs!$B$38="pvp",1,(1+(Inputs!$B$21+Skills!Q8+(((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Skills!G9*IF(Skills!H9&gt;0,INT(IF(Inputs!$B$38="pvp",MIN(Skills!I9,15),Skills!I9)/Skills!H9+0.000000001),1)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138,MAX(0,IF(Inputs!$B$3&gt;=118,8,IF(Inputs!$B$3&gt;=110,7,5))-5)*50,0),0)/100)*(1+(IF(Skills!A9="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IFERROR(1/(IF(Inputs!$B$38="pvp",15,MAX(0.1,Skills!D9-IF(TRUE=TRUE,Inputs!$B$32,0)))*(1-IF(AND(ArtifactsInput!$M$27,Inputs!$B$4="Chapter Hunt"),CHOOSE(ArtifactsInput!$N$27+1,20,24,28,32,36,40),0)/100)),0)</f>
        <v/>
      </c>
      <c r="R794">
        <f>IF(AND(Inputs!$B$38&lt;&gt;"pvp",Inputs!$B$43&gt;0),IF(MAX(0,Inputs!$B$43-B821)&lt;=0,0,(INT(MAX(0,Inputs!$B$43-B821)/(IF(Inputs!$B$38="pvp",15,MAX(0.1,Skills!D9-IF(TRUE=TRUE,Inputs!$B$32,0)))*(1-IF(AND(ArtifactsInput!$M$27,Inputs!$B$4="Chapter Hunt"),CHOOSE(ArtifactsInput!$N$27+1,20,24,28,32,36,40),0)/100)))+1)),0)</f>
        <v/>
      </c>
      <c r="S794">
        <f>IFERROR(O794/N794,0)</f>
        <v/>
      </c>
      <c r="T794">
        <f>IF(C794,(H794*N794*IF(AND(Inputs!$B$38&lt;&gt;"pvp",Inputs!$B$43&gt;0),((Skills!G9*((R794-1)*IF(Skills!H9&gt;0,INT(Skills!I9/Skills!H9+0.000000001),1)+IF(Skills!H9&gt;0,INT(MIN(Skills!I9,MAX(0,MAX(0,Inputs!$B$43-B821)-((R794-1)*(IF(Inputs!$B$38="pvp",15,MAX(0.1,Skills!D9-IF(TRUE=TRUE,Inputs!$B$32,0)))*(1-IF(AND(ArtifactsInput!$M$27,Inputs!$B$4="Chapter Hunt"),CHOOSE(ArtifactsInput!$N$27+1,20,24,28,32,36,40),0)/100)))))/Skills!H9+0.000000001),1)))/Inputs!$B$43),G794*Q794))*IF(Inputs!$B$38="pvp",1,1+(Inputs!$B$20+0+Skills!P9+(((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INT(Skills!I9/Skills!H9+0.000000001),1)+IF(Skills!H9&gt;0,INT(MIN(Skills!I9,MAX(0,MAX(0,Inputs!$B$43-B821)-((R794-1)*(IF(Inputs!$B$38="pvp",15,MAX(0.1,Skills!D9-IF(TRUE=TRUE,Inputs!$B$32,0)))*(1-IF(AND(ArtifactsInput!$M$27,Inputs!$B$4="Chapter Hunt"),CHOOSE(ArtifactsInput!$N$27+1,20,24,28,32,36,40),0)/100)))))/Skills!H9+0.000000001),1)))/Inputs!$B$43),G794*Q794))*IF(Inputs!$B$38="pvp",1,(1+(Inputs!$B$21+Skills!Q9+(((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Skills!G10*IF(Skills!H10&gt;0,INT(IF(Inputs!$B$38="pvp",MIN(Skills!I10,15),Skills!I10)/Skills!H10+0.000000001),1)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138,MAX(0,IF(Inputs!$B$3&gt;=118,8,IF(Inputs!$B$3&gt;=110,7,5))-5)*50,0),0)/100)*(1+(IF(Skills!A10="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IFERROR(1/(IF(Inputs!$B$38="pvp",15,MAX(0.1,Skills!D10-IF(TRUE=TRUE,Inputs!$B$32,0)))*(1-IF(AND(ArtifactsInput!$M$27,Inputs!$B$4="Chapter Hunt"),CHOOSE(ArtifactsInput!$N$27+1,20,24,28,32,36,40),0)/100)),0)</f>
        <v/>
      </c>
      <c r="R795">
        <f>IF(AND(Inputs!$B$38&lt;&gt;"pvp",Inputs!$B$43&gt;0),IF(MAX(0,Inputs!$B$43-B821)&lt;=0,0,(INT(MAX(0,Inputs!$B$43-B821)/(IF(Inputs!$B$38="pvp",15,MAX(0.1,Skills!D10-IF(TRUE=TRUE,Inputs!$B$32,0)))*(1-IF(AND(ArtifactsInput!$M$27,Inputs!$B$4="Chapter Hunt"),CHOOSE(ArtifactsInput!$N$27+1,20,24,28,32,36,40),0)/100)))+1)),0)</f>
        <v/>
      </c>
      <c r="S795">
        <f>IFERROR(O795/N795,0)</f>
        <v/>
      </c>
      <c r="T795">
        <f>IF(C795,(H795*N795*IF(AND(Inputs!$B$38&lt;&gt;"pvp",Inputs!$B$43&gt;0),((Skills!G10*((R795-1)*IF(Skills!H10&gt;0,INT(Skills!I10/Skills!H10+0.000000001),1)+IF(Skills!H10&gt;0,INT(MIN(Skills!I10,MAX(0,MAX(0,Inputs!$B$43-B821)-((R795-1)*(IF(Inputs!$B$38="pvp",15,MAX(0.1,Skills!D10-IF(TRUE=TRUE,Inputs!$B$32,0)))*(1-IF(AND(ArtifactsInput!$M$27,Inputs!$B$4="Chapter Hunt"),CHOOSE(ArtifactsInput!$N$27+1,20,24,28,32,36,40),0)/100)))))/Skills!H10+0.000000001),1)))/Inputs!$B$43),G795*Q795))*IF(Inputs!$B$38="pvp",1,1+(Inputs!$B$20+0+Skills!P10+(((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INT(Skills!I10/Skills!H10+0.000000001),1)+IF(Skills!H10&gt;0,INT(MIN(Skills!I10,MAX(0,MAX(0,Inputs!$B$43-B821)-((R795-1)*(IF(Inputs!$B$38="pvp",15,MAX(0.1,Skills!D10-IF(TRUE=TRUE,Inputs!$B$32,0)))*(1-IF(AND(ArtifactsInput!$M$27,Inputs!$B$4="Chapter Hunt"),CHOOSE(ArtifactsInput!$N$27+1,20,24,28,32,36,40),0)/100)))))/Skills!H10+0.000000001),1)))/Inputs!$B$43),G795*Q795))*IF(Inputs!$B$38="pvp",1,(1+(Inputs!$B$21+Skills!Q10+(((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Skills!G11*IF(Skills!H11&gt;0,INT(IF(Inputs!$B$38="pvp",MIN(Skills!I11,15),Skills!I11)/Skills!H11+0.000000001),1)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138,MAX(0,IF(Inputs!$B$3&gt;=118,8,IF(Inputs!$B$3&gt;=110,7,5))-5)*50,0),0)/100)*(1+(IF(Skills!A11="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IFERROR(1/(IF(Inputs!$B$38="pvp",15,MAX(0.1,Skills!D11-IF(TRUE=TRUE,Inputs!$B$32,0)))*(1-IF(AND(ArtifactsInput!$M$27,Inputs!$B$4="Chapter Hunt"),CHOOSE(ArtifactsInput!$N$27+1,20,24,28,32,36,40),0)/100)),0)</f>
        <v/>
      </c>
      <c r="R796">
        <f>IF(AND(Inputs!$B$38&lt;&gt;"pvp",Inputs!$B$43&gt;0),IF(MAX(0,Inputs!$B$43-B821)&lt;=0,0,(INT(MAX(0,Inputs!$B$43-B821)/(IF(Inputs!$B$38="pvp",15,MAX(0.1,Skills!D11-IF(TRUE=TRUE,Inputs!$B$32,0)))*(1-IF(AND(ArtifactsInput!$M$27,Inputs!$B$4="Chapter Hunt"),CHOOSE(ArtifactsInput!$N$27+1,20,24,28,32,36,40),0)/100)))+1)),0)</f>
        <v/>
      </c>
      <c r="S796">
        <f>IFERROR(O796/N796,0)</f>
        <v/>
      </c>
      <c r="T796">
        <f>IF(C796,(H796*N796*IF(AND(Inputs!$B$38&lt;&gt;"pvp",Inputs!$B$43&gt;0),((Skills!G11*((R796-1)*IF(Skills!H11&gt;0,INT(Skills!I11/Skills!H11+0.000000001),1)+IF(Skills!H11&gt;0,INT(MIN(Skills!I11,MAX(0,MAX(0,Inputs!$B$43-B821)-((R796-1)*(IF(Inputs!$B$38="pvp",15,MAX(0.1,Skills!D11-IF(TRUE=TRUE,Inputs!$B$32,0)))*(1-IF(AND(ArtifactsInput!$M$27,Inputs!$B$4="Chapter Hunt"),CHOOSE(ArtifactsInput!$N$27+1,20,24,28,32,36,40),0)/100)))))/Skills!H11+0.000000001),1)))/Inputs!$B$43),G796*Q796))*IF(Inputs!$B$38="pvp",1,1+(Inputs!$B$20+0+Skills!P11+(((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INT(Skills!I11/Skills!H11+0.000000001),1)+IF(Skills!H11&gt;0,INT(MIN(Skills!I11,MAX(0,MAX(0,Inputs!$B$43-B821)-((R796-1)*(IF(Inputs!$B$38="pvp",15,MAX(0.1,Skills!D11-IF(TRUE=TRUE,Inputs!$B$32,0)))*(1-IF(AND(ArtifactsInput!$M$27,Inputs!$B$4="Chapter Hunt"),CHOOSE(ArtifactsInput!$N$27+1,20,24,28,32,36,40),0)/100)))))/Skills!H11+0.000000001),1)))/Inputs!$B$43),G796*Q796))*IF(Inputs!$B$38="pvp",1,(1+(Inputs!$B$21+Skills!Q11+(((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Skills!G13*IF(Skills!H13&gt;0,INT(IF(Inputs!$B$38="pvp",MIN(Skills!I13,15),Skills!I13)/Skills!H13+0.000000001),1)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Skills!G14*IF(Skills!H14&gt;0,INT(IF(Inputs!$B$38="pvp",MIN(Skills!I14,15),Skills!I14)/Skills!H14+0.000000001),1)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Skills!G15*IF(Skills!H15&gt;0,INT(IF(Inputs!$B$38="pvp",MIN(Skills!I15,15),Skills!I15)/Skills!H15+0.000000001),1)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IFERROR(1/(IF(Inputs!$B$38="pvp",15,MAX(0.1,Skills!D15-IF(TRUE=TRUE,Inputs!$B$32,0)))*(1-IF(AND(ArtifactsInput!$M$27,Inputs!$B$4="Chapter Hunt"),CHOOSE(ArtifactsInput!$N$27+1,20,24,28,32,36,40),0)/100)),0)</f>
        <v/>
      </c>
      <c r="R800">
        <f>IF(AND(Inputs!$B$38&lt;&gt;"pvp",Inputs!$B$43&gt;0),IF(Inputs!$B$43&lt;=0,0,(INT(Inputs!$B$43/(IF(Inputs!$B$38="pvp",15,MAX(0.1,Skills!D15-IF(TRUE=TRUE,Inputs!$B$32,0)))*(1-IF(AND(ArtifactsInput!$M$27,Inputs!$B$4="Chapter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Skills!G16*IF(Skills!H16&gt;0,INT(IF(Inputs!$B$38="pvp",MIN(Skills!I16,15),Skills!I16)/Skills!H16+0.000000001),1)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IFERROR(1/(IF(Inputs!$B$38="pvp",15,MAX(0.1,Skills!D16-IF(TRUE=TRUE,Inputs!$B$32,0)))*(1-IF(AND(ArtifactsInput!$M$27,Inputs!$B$4="Chapter Hunt"),CHOOSE(ArtifactsInput!$N$27+1,20,24,28,32,36,40),0)/100)),0)</f>
        <v/>
      </c>
      <c r="R801">
        <f>IF(AND(Inputs!$B$38&lt;&gt;"pvp",Inputs!$B$43&gt;0),IF(Inputs!$B$43&lt;=0,0,(INT(Inputs!$B$43/(IF(Inputs!$B$38="pvp",15,MAX(0.1,Skills!D16-IF(TRUE=TRUE,Inputs!$B$32,0)))*(1-IF(AND(ArtifactsInput!$M$27,Inputs!$B$4="Chapter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Skills!G17*IF(Skills!H17&gt;0,INT(IF(Inputs!$B$38="pvp",MIN(Skills!I17,15),Skills!I17)/Skills!H17+0.000000001),1)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IFERROR(1/(IF(Inputs!$B$38="pvp",15,MAX(0.1,Skills!D17-IF(TRUE=TRUE,Inputs!$B$32,0)))*(1-IF(AND(ArtifactsInput!$M$27,Inputs!$B$4="Chapter Hunt"),CHOOSE(ArtifactsInput!$N$27+1,20,24,28,32,36,40),0)/100)),0)</f>
        <v/>
      </c>
      <c r="R802">
        <f>IF(AND(Inputs!$B$38&lt;&gt;"pvp",Inputs!$B$43&gt;0),IF(Inputs!$B$43&lt;=0,0,(INT(Inputs!$B$43/(IF(Inputs!$B$38="pvp",15,MAX(0.1,Skills!D17-IF(TRUE=TRUE,Inputs!$B$32,0)))*(1-IF(AND(ArtifactsInput!$M$27,Inputs!$B$4="Chapter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Skills!G18*IF(Skills!H18&gt;0,INT(IF(Inputs!$B$38="pvp",MIN(Skills!I18,15),Skills!I18)/Skills!H18+0.000000001),1)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IFERROR(1/(IF(Inputs!$B$38="pvp",15,MAX(0.1,Skills!D18-IF(TRUE=TRUE,Inputs!$B$32,0)))*(1-IF(AND(ArtifactsInput!$M$27,Inputs!$B$4="Chapter Hunt"),CHOOSE(ArtifactsInput!$N$27+1,20,24,28,32,36,40),0)/100)),0)</f>
        <v/>
      </c>
      <c r="R803">
        <f>IF(AND(Inputs!$B$38&lt;&gt;"pvp",Inputs!$B$43&gt;0),IF(Inputs!$B$43&lt;=0,0,(INT(Inputs!$B$43/(IF(Inputs!$B$38="pvp",15,MAX(0.1,Skills!D18-IF(TRUE=TRUE,Inputs!$B$32,0)))*(1-IF(AND(ArtifactsInput!$M$27,Inputs!$B$4="Chapter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Skills!G19*IF(Skills!H19&gt;0,INT(IF(Inputs!$B$38="pvp",MIN(Skills!I19,15),Skills!I19)/Skills!H19+0.000000001),1)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IFERROR(1/(IF(Inputs!$B$38="pvp",15,MAX(0.1,Skills!D19-IF(TRUE=TRUE,Inputs!$B$32,0)))*(1-IF(AND(ArtifactsInput!$M$27,Inputs!$B$4="Chapter Hunt"),CHOOSE(ArtifactsInput!$N$27+1,20,24,28,32,36,40),0)/100)),0)</f>
        <v/>
      </c>
      <c r="R804">
        <f>IF(AND(Inputs!$B$38&lt;&gt;"pvp",Inputs!$B$43&gt;0),IF(Inputs!$B$43&lt;=0,0,(INT(Inputs!$B$43/(IF(Inputs!$B$38="pvp",15,MAX(0.1,Skills!D19-IF(TRUE=TRUE,Inputs!$B$32,0)))*(1-IF(AND(ArtifactsInput!$M$27,Inputs!$B$4="Chapter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Skills!G20*IF(Skills!H20&gt;0,INT(IF(Inputs!$B$38="pvp",MIN(Skills!I20,15),Skills!I20)/Skills!H20+0.000000001),1)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Skills!G21*IF(Skills!H21&gt;0,INT(IF(Inputs!$B$38="pvp",MIN(Skills!I21,15),Skills!I21)/Skills!H21+0.000000001),1)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Skills!G22*IF(Skills!H22&gt;0,INT(IF(Inputs!$B$38="pvp",MIN(Skills!I22,15),Skills!I22)/Skills!H22+0.000000001),1)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Skills!G23*IF(Skills!H23&gt;0,INT(IF(Inputs!$B$38="pvp",MIN(Skills!I23,15),Skills!I23)/Skills!H23+0.000000001),1)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Skills!G24*IF(Skills!H24&gt;0,INT(IF(Inputs!$B$38="pvp",MIN(Skills!I24,15),Skills!I24)/Skills!H24+0.000000001),1)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Skills!G25*IF(Skills!H25&gt;0,INT(IF(Inputs!$B$38="pvp",MIN(Skills!I25,15),Skills!I25)/Skills!H25+0.000000001),1)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Skills!G26*IF(Skills!H26&gt;0,INT(IF(Inputs!$B$38="pvp",MIN(Skills!I26,15),Skills!I26)/Skills!H26+0.000000001),1)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MIN((Skills!T19*(1+(Inputs!$B$34+(ArtifactsInput!$M$7-ArtifactsInput!$M$7)*CHOOSE(ArtifactsInput!$N$7+1,6,7.2,8.4,9.6,10.8,12))/100)),(1/Q804))+MIN((Skills!T19*(1+(Inputs!$B$34+(ArtifactsInput!$M$7-ArtifactsInput!$M$7)*CHOOSE(ArtifactsInput!$N$7+1,6,7.2,8.4,9.6,10.8,12))/100)),MAX(0,Inputs!$B$43-((R804-1)*(1/Q804)))))/Inputs!$B$43),IF(Inputs!$B$38="pvp",MIN((Skills!T19*(1+(Inputs!$B$34+(ArtifactsInput!$M$7-ArtifactsInput!$M$7)*CHOOSE(ArtifactsInput!$N$7+1,6,7.2,8.4,9.6,10.8,12))/100)),15)/15,MIN(1,(Skills!T19*(1+(Inputs!$B$34+(ArtifactsInput!$M$7-ArtifactsInput!$M$7)*CHOOSE(ArtifactsInput!$N$7+1,6,7.2,8.4,9.6,10.8,12))/100))/(1/Q804)))))</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MIN((Skills!T18*(1+(Inputs!$B$34+(ArtifactsInput!$M$7-ArtifactsInput!$M$7)*CHOOSE(ArtifactsInput!$N$7+1,6,7.2,8.4,9.6,10.8,12))/100)),(1/Q803))+MIN((Skills!T18*(1+(Inputs!$B$34+(ArtifactsInput!$M$7-ArtifactsInput!$M$7)*CHOOSE(ArtifactsInput!$N$7+1,6,7.2,8.4,9.6,10.8,12))/100)),MAX(0,Inputs!$B$43-((R803-1)*(1/Q803)))))/Inputs!$B$43),IF(Inputs!$B$38="pvp",MIN((Skills!T18*(1+(Inputs!$B$34+(ArtifactsInput!$M$7-ArtifactsInput!$M$7)*CHOOSE(ArtifactsInput!$N$7+1,6,7.2,8.4,9.6,10.8,12))/100)),15)/15,MIN(1,(Skills!T18*(1+(Inputs!$B$34+(ArtifactsInput!$M$7-ArtifactsInput!$M$7)*CHOOSE(ArtifactsInput!$N$7+1,6,7.2,8.4,9.6,10.8,12))/100))/(1/Q803)))))</f>
        <v/>
      </c>
    </row>
    <row r="820">
      <c r="A820" t="inlineStr">
        <is>
          <t>Global Final Damage Bonus % (Enrage + Combo Synergy)</t>
        </is>
      </c>
      <c r="B820">
        <f>((C802=TRUE)*F802*IF(AND(Inputs!$B$38&lt;&gt;"pvp",Inputs!$B$43&gt;0),(((R802-1)*MIN((Skills!T17*(1+(Inputs!$B$34+(ArtifactsInput!$M$7-ArtifactsInput!$M$7)*CHOOSE(ArtifactsInput!$N$7+1,6,7.2,8.4,9.6,10.8,12))/100)),(1/Q802))+MIN((Skills!T17*(1+(Inputs!$B$34+(ArtifactsInput!$M$7-ArtifactsInput!$M$7)*CHOOSE(ArtifactsInput!$N$7+1,6,7.2,8.4,9.6,10.8,12))/100)),MAX(0,Inputs!$B$43-((R802-1)*(1/Q802)))))/Inputs!$B$43),IF(Inputs!$B$38="pvp",MIN((Skills!T17*(1+(Inputs!$B$34+(ArtifactsInput!$M$7-ArtifactsInput!$M$7)*CHOOSE(ArtifactsInput!$N$7+1,6,7.2,8.4,9.6,10.8,12))/100)),15)/15,MIN(1,(Skills!T17*(1+(Inputs!$B$34+(ArtifactsInput!$M$7-ArtifactsInput!$M$7)*CHOOSE(ArtifactsInput!$N$7+1,6,7.2,8.4,9.6,10.8,12))/100))/(1/Q802)))))+((C799=TRUE)*F799*IF(Inputs!$B$3&gt;=118,8,IF(Inputs!$B$3&gt;=110,7,5)))+IF(Inputs!$B$3&gt;=98,5,0)</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Skills!G2*IF(Skills!H2&gt;0,INT(IF(Inputs!$B$38="pvp",MIN(Skills!I2,15),Skills!I2)/Skills!H2+0.000000001),1)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Skills!G5*IF(Skills!H5&gt;0,INT(IF(Inputs!$B$38="pvp",MIN(Skills!I5,15),Skills!I5)/Skills!H5+0.000000001),1)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IFERROR(1/(IF(Inputs!$B$38="pvp",15,MAX(0.1,Skills!D5-IF(TRUE=TRUE,Inputs!$B$32,0)))*(1-IF(AND(ArtifactsInput!$M$27,Inputs!$B$4="Chapter Hunt"),CHOOSE(ArtifactsInput!$N$27+1,20,24,28,32,36,40),0)/100)),0)</f>
        <v/>
      </c>
      <c r="R832">
        <f>IF(AND(Inputs!$B$38&lt;&gt;"pvp",Inputs!$B$43&gt;0),IF(MAX(0,Inputs!$B$43-B863)&lt;=0,0,(INT(MAX(0,Inputs!$B$43-B863)/(IF(Inputs!$B$38="pvp",15,MAX(0.1,Skills!D5-IF(TRUE=TRUE,Inputs!$B$32,0)))*(1-IF(AND(ArtifactsInput!$M$27,Inputs!$B$4="Chapter Hunt"),CHOOSE(ArtifactsInput!$N$27+1,20,24,28,32,36,40),0)/100)))+1)),0)</f>
        <v/>
      </c>
      <c r="S832">
        <f>IFERROR(O832/N832,0)</f>
        <v/>
      </c>
      <c r="T832">
        <f>IF(C832,(H832*N832*IF(AND(Inputs!$B$38&lt;&gt;"pvp",Inputs!$B$43&gt;0),((Skills!G5*((R832-1)*IF(Skills!H5&gt;0,INT(Skills!I5/Skills!H5+0.000000001),1)+IF(Skills!H5&gt;0,INT(MIN(Skills!I5,MAX(0,MAX(0,Inputs!$B$43-B863)-((R832-1)*(IF(Inputs!$B$38="pvp",15,MAX(0.1,Skills!D5-IF(TRUE=TRUE,Inputs!$B$32,0)))*(1-IF(AND(ArtifactsInput!$M$27,Inputs!$B$4="Chapter Hunt"),CHOOSE(ArtifactsInput!$N$27+1,20,24,28,32,36,40),0)/100)))))/Skills!H5+0.000000001),1)))/Inputs!$B$43),G832*Q832))*IF(Inputs!$B$38="pvp",1,1+(Inputs!$B$20+0+Skills!P5+(((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INT(Skills!I5/Skills!H5+0.000000001),1)+IF(Skills!H5&gt;0,INT(MIN(Skills!I5,MAX(0,MAX(0,Inputs!$B$43-B863)-((R832-1)*(IF(Inputs!$B$38="pvp",15,MAX(0.1,Skills!D5-IF(TRUE=TRUE,Inputs!$B$32,0)))*(1-IF(AND(ArtifactsInput!$M$27,Inputs!$B$4="Chapter Hunt"),CHOOSE(ArtifactsInput!$N$27+1,20,24,28,32,36,40),0)/100)))))/Skills!H5+0.000000001),1)))/Inputs!$B$43),G832*Q832))*IF(Inputs!$B$38="pvp",1,(1+(Inputs!$B$21+Skills!Q5+(((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Skills!G6*IF(Skills!H6&gt;0,INT(IF(Inputs!$B$38="pvp",MIN(Skills!I6,15),Skills!I6)/Skills!H6+0.000000001),1)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IFERROR(1/(IF(Inputs!$B$38="pvp",15,MAX(0.1,Skills!D6-IF(TRUE=TRUE,Inputs!$B$32,0)))*(1-IF(AND(ArtifactsInput!$M$27,Inputs!$B$4="Chapter Hunt"),CHOOSE(ArtifactsInput!$N$27+1,20,24,28,32,36,40),0)/100)),0)</f>
        <v/>
      </c>
      <c r="R833">
        <f>IF(AND(Inputs!$B$38&lt;&gt;"pvp",Inputs!$B$43&gt;0),IF(MAX(0,Inputs!$B$43-B863)&lt;=0,0,(INT(MAX(0,Inputs!$B$43-B863)/(IF(Inputs!$B$38="pvp",15,MAX(0.1,Skills!D6-IF(TRUE=TRUE,Inputs!$B$32,0)))*(1-IF(AND(ArtifactsInput!$M$27,Inputs!$B$4="Chapter Hunt"),CHOOSE(ArtifactsInput!$N$27+1,20,24,28,32,36,40),0)/100)))+1)),0)</f>
        <v/>
      </c>
      <c r="S833">
        <f>IFERROR(O833/N833,0)</f>
        <v/>
      </c>
      <c r="T833">
        <f>IF(C833,(H833*N833*IF(AND(Inputs!$B$38&lt;&gt;"pvp",Inputs!$B$43&gt;0),((Skills!G6*((R833-1)*IF(Skills!H6&gt;0,INT(Skills!I6/Skills!H6+0.000000001),1)+IF(Skills!H6&gt;0,INT(MIN(Skills!I6,MAX(0,MAX(0,Inputs!$B$43-B863)-((R833-1)*(IF(Inputs!$B$38="pvp",15,MAX(0.1,Skills!D6-IF(TRUE=TRUE,Inputs!$B$32,0)))*(1-IF(AND(ArtifactsInput!$M$27,Inputs!$B$4="Chapter Hunt"),CHOOSE(ArtifactsInput!$N$27+1,20,24,28,32,36,40),0)/100)))))/Skills!H6+0.000000001),1)))/Inputs!$B$43),G833*Q833))*IF(Inputs!$B$38="pvp",1,1+(Inputs!$B$20+0+Skills!P6+(((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INT(Skills!I6/Skills!H6+0.000000001),1)+IF(Skills!H6&gt;0,INT(MIN(Skills!I6,MAX(0,MAX(0,Inputs!$B$43-B863)-((R833-1)*(IF(Inputs!$B$38="pvp",15,MAX(0.1,Skills!D6-IF(TRUE=TRUE,Inputs!$B$32,0)))*(1-IF(AND(ArtifactsInput!$M$27,Inputs!$B$4="Chapter Hunt"),CHOOSE(ArtifactsInput!$N$27+1,20,24,28,32,36,40),0)/100)))))/Skills!H6+0.000000001),1)))/Inputs!$B$43),G833*Q833))*IF(Inputs!$B$38="pvp",1,(1+(Inputs!$B$21+Skills!Q6+(((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Skills!G7*IF(Skills!H7&gt;0,INT(IF(Inputs!$B$38="pvp",MIN(Skills!I7,15),Skills!I7)/Skills!H7+0.000000001),1)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IFERROR(1/(IF(Inputs!$B$38="pvp",15,MAX(0.1,Skills!D7-IF(TRUE=TRUE,Inputs!$B$32,0)))*(1-IF(AND(ArtifactsInput!$M$27,Inputs!$B$4="Chapter Hunt"),CHOOSE(ArtifactsInput!$N$27+1,20,24,28,32,36,40),0)/100)),0)</f>
        <v/>
      </c>
      <c r="R834">
        <f>IF(AND(Inputs!$B$38&lt;&gt;"pvp",Inputs!$B$43&gt;0),IF(MAX(0,Inputs!$B$43-B863)&lt;=0,0,(INT(MAX(0,Inputs!$B$43-B863)/(IF(Inputs!$B$38="pvp",15,MAX(0.1,Skills!D7-IF(TRUE=TRUE,Inputs!$B$32,0)))*(1-IF(AND(ArtifactsInput!$M$27,Inputs!$B$4="Chapter Hunt"),CHOOSE(ArtifactsInput!$N$27+1,20,24,28,32,36,40),0)/100)))+1)),0)</f>
        <v/>
      </c>
      <c r="S834">
        <f>IFERROR(O834/N834,0)</f>
        <v/>
      </c>
      <c r="T834">
        <f>IF(C834,(H834*N834*IF(AND(Inputs!$B$38&lt;&gt;"pvp",Inputs!$B$43&gt;0),((Skills!G7*((R834-1)*IF(Skills!H7&gt;0,INT(Skills!I7/Skills!H7+0.000000001),1)+IF(Skills!H7&gt;0,INT(MIN(Skills!I7,MAX(0,MAX(0,Inputs!$B$43-B863)-((R834-1)*(IF(Inputs!$B$38="pvp",15,MAX(0.1,Skills!D7-IF(TRUE=TRUE,Inputs!$B$32,0)))*(1-IF(AND(ArtifactsInput!$M$27,Inputs!$B$4="Chapter Hunt"),CHOOSE(ArtifactsInput!$N$27+1,20,24,28,32,36,40),0)/100)))))/Skills!H7+0.000000001),1)))/Inputs!$B$43),G834*Q834))*IF(Inputs!$B$38="pvp",1,1+(Inputs!$B$20+0+Skills!P7+(((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INT(Skills!I7/Skills!H7+0.000000001),1)+IF(Skills!H7&gt;0,INT(MIN(Skills!I7,MAX(0,MAX(0,Inputs!$B$43-B863)-((R834-1)*(IF(Inputs!$B$38="pvp",15,MAX(0.1,Skills!D7-IF(TRUE=TRUE,Inputs!$B$32,0)))*(1-IF(AND(ArtifactsInput!$M$27,Inputs!$B$4="Chapter Hunt"),CHOOSE(ArtifactsInput!$N$27+1,20,24,28,32,36,40),0)/100)))))/Skills!H7+0.000000001),1)))/Inputs!$B$43),G834*Q834))*IF(Inputs!$B$38="pvp",1,(1+(Inputs!$B$21+Skills!Q7+(((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Skills!G8*IF(Skills!H8&gt;0,INT(IF(Inputs!$B$38="pvp",MIN(Skills!I8,15),Skills!I8)/Skills!H8+0.000000001),1)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IFERROR(1/(IF(Inputs!$B$38="pvp",15,MAX(0.1,Skills!D8-IF(TRUE=TRUE,Inputs!$B$32,0)))*(1-IF(AND(ArtifactsInput!$M$27,Inputs!$B$4="Chapter Hunt"),CHOOSE(ArtifactsInput!$N$27+1,20,24,28,32,36,40),0)/100)),0)</f>
        <v/>
      </c>
      <c r="R835">
        <f>IF(AND(Inputs!$B$38&lt;&gt;"pvp",Inputs!$B$43&gt;0),IF(MAX(0,Inputs!$B$43-B863)&lt;=0,0,(INT(MAX(0,Inputs!$B$43-B863)/(IF(Inputs!$B$38="pvp",15,MAX(0.1,Skills!D8-IF(TRUE=TRUE,Inputs!$B$32,0)))*(1-IF(AND(ArtifactsInput!$M$27,Inputs!$B$4="Chapter Hunt"),CHOOSE(ArtifactsInput!$N$27+1,20,24,28,32,36,40),0)/100)))+1)),0)</f>
        <v/>
      </c>
      <c r="S835">
        <f>IFERROR(O835/N835,0)</f>
        <v/>
      </c>
      <c r="T835">
        <f>IF(C835,(H835*N835*IF(AND(Inputs!$B$38&lt;&gt;"pvp",Inputs!$B$43&gt;0),((Skills!G8*((R835-1)*IF(Skills!H8&gt;0,INT(Skills!I8/Skills!H8+0.000000001),1)+IF(Skills!H8&gt;0,INT(MIN(Skills!I8,MAX(0,MAX(0,Inputs!$B$43-B863)-((R835-1)*(IF(Inputs!$B$38="pvp",15,MAX(0.1,Skills!D8-IF(TRUE=TRUE,Inputs!$B$32,0)))*(1-IF(AND(ArtifactsInput!$M$27,Inputs!$B$4="Chapter Hunt"),CHOOSE(ArtifactsInput!$N$27+1,20,24,28,32,36,40),0)/100)))))/Skills!H8+0.000000001),1)))/Inputs!$B$43),G835*Q835))*IF(Inputs!$B$38="pvp",1,1+(Inputs!$B$20+0+Skills!P8+(((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INT(Skills!I8/Skills!H8+0.000000001),1)+IF(Skills!H8&gt;0,INT(MIN(Skills!I8,MAX(0,MAX(0,Inputs!$B$43-B863)-((R835-1)*(IF(Inputs!$B$38="pvp",15,MAX(0.1,Skills!D8-IF(TRUE=TRUE,Inputs!$B$32,0)))*(1-IF(AND(ArtifactsInput!$M$27,Inputs!$B$4="Chapter Hunt"),CHOOSE(ArtifactsInput!$N$27+1,20,24,28,32,36,40),0)/100)))))/Skills!H8+0.000000001),1)))/Inputs!$B$43),G835*Q835))*IF(Inputs!$B$38="pvp",1,(1+(Inputs!$B$21+Skills!Q8+(((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Skills!G9*IF(Skills!H9&gt;0,INT(IF(Inputs!$B$38="pvp",MIN(Skills!I9,15),Skills!I9)/Skills!H9+0.000000001),1)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138,MAX(0,IF(Inputs!$B$3&gt;=118,8,IF(Inputs!$B$3&gt;=110,7,5))-5)*50,0),0)/100)*(1+(IF(Skills!A9="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IFERROR(1/(IF(Inputs!$B$38="pvp",15,MAX(0.1,Skills!D9-IF(TRUE=TRUE,Inputs!$B$32,0)))*(1-IF(AND(ArtifactsInput!$M$27,Inputs!$B$4="Chapter Hunt"),CHOOSE(ArtifactsInput!$N$27+1,20,24,28,32,36,40),0)/100)),0)</f>
        <v/>
      </c>
      <c r="R836">
        <f>IF(AND(Inputs!$B$38&lt;&gt;"pvp",Inputs!$B$43&gt;0),IF(MAX(0,Inputs!$B$43-B863)&lt;=0,0,(INT(MAX(0,Inputs!$B$43-B863)/(IF(Inputs!$B$38="pvp",15,MAX(0.1,Skills!D9-IF(TRUE=TRUE,Inputs!$B$32,0)))*(1-IF(AND(ArtifactsInput!$M$27,Inputs!$B$4="Chapter Hunt"),CHOOSE(ArtifactsInput!$N$27+1,20,24,28,32,36,40),0)/100)))+1)),0)</f>
        <v/>
      </c>
      <c r="S836">
        <f>IFERROR(O836/N836,0)</f>
        <v/>
      </c>
      <c r="T836">
        <f>IF(C836,(H836*N836*IF(AND(Inputs!$B$38&lt;&gt;"pvp",Inputs!$B$43&gt;0),((Skills!G9*((R836-1)*IF(Skills!H9&gt;0,INT(Skills!I9/Skills!H9+0.000000001),1)+IF(Skills!H9&gt;0,INT(MIN(Skills!I9,MAX(0,MAX(0,Inputs!$B$43-B863)-((R836-1)*(IF(Inputs!$B$38="pvp",15,MAX(0.1,Skills!D9-IF(TRUE=TRUE,Inputs!$B$32,0)))*(1-IF(AND(ArtifactsInput!$M$27,Inputs!$B$4="Chapter Hunt"),CHOOSE(ArtifactsInput!$N$27+1,20,24,28,32,36,40),0)/100)))))/Skills!H9+0.000000001),1)))/Inputs!$B$43),G836*Q836))*IF(Inputs!$B$38="pvp",1,1+(Inputs!$B$20+0+Skills!P9+(((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INT(Skills!I9/Skills!H9+0.000000001),1)+IF(Skills!H9&gt;0,INT(MIN(Skills!I9,MAX(0,MAX(0,Inputs!$B$43-B863)-((R836-1)*(IF(Inputs!$B$38="pvp",15,MAX(0.1,Skills!D9-IF(TRUE=TRUE,Inputs!$B$32,0)))*(1-IF(AND(ArtifactsInput!$M$27,Inputs!$B$4="Chapter Hunt"),CHOOSE(ArtifactsInput!$N$27+1,20,24,28,32,36,40),0)/100)))))/Skills!H9+0.000000001),1)))/Inputs!$B$43),G836*Q836))*IF(Inputs!$B$38="pvp",1,(1+(Inputs!$B$21+Skills!Q9+(((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Skills!G10*IF(Skills!H10&gt;0,INT(IF(Inputs!$B$38="pvp",MIN(Skills!I10,15),Skills!I10)/Skills!H10+0.000000001),1)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138,MAX(0,IF(Inputs!$B$3&gt;=118,8,IF(Inputs!$B$3&gt;=110,7,5))-5)*50,0),0)/100)*(1+(IF(Skills!A10="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IFERROR(1/(IF(Inputs!$B$38="pvp",15,MAX(0.1,Skills!D10-IF(TRUE=TRUE,Inputs!$B$32,0)))*(1-IF(AND(ArtifactsInput!$M$27,Inputs!$B$4="Chapter Hunt"),CHOOSE(ArtifactsInput!$N$27+1,20,24,28,32,36,40),0)/100)),0)</f>
        <v/>
      </c>
      <c r="R837">
        <f>IF(AND(Inputs!$B$38&lt;&gt;"pvp",Inputs!$B$43&gt;0),IF(MAX(0,Inputs!$B$43-B863)&lt;=0,0,(INT(MAX(0,Inputs!$B$43-B863)/(IF(Inputs!$B$38="pvp",15,MAX(0.1,Skills!D10-IF(TRUE=TRUE,Inputs!$B$32,0)))*(1-IF(AND(ArtifactsInput!$M$27,Inputs!$B$4="Chapter Hunt"),CHOOSE(ArtifactsInput!$N$27+1,20,24,28,32,36,40),0)/100)))+1)),0)</f>
        <v/>
      </c>
      <c r="S837">
        <f>IFERROR(O837/N837,0)</f>
        <v/>
      </c>
      <c r="T837">
        <f>IF(C837,(H837*N837*IF(AND(Inputs!$B$38&lt;&gt;"pvp",Inputs!$B$43&gt;0),((Skills!G10*((R837-1)*IF(Skills!H10&gt;0,INT(Skills!I10/Skills!H10+0.000000001),1)+IF(Skills!H10&gt;0,INT(MIN(Skills!I10,MAX(0,MAX(0,Inputs!$B$43-B863)-((R837-1)*(IF(Inputs!$B$38="pvp",15,MAX(0.1,Skills!D10-IF(TRUE=TRUE,Inputs!$B$32,0)))*(1-IF(AND(ArtifactsInput!$M$27,Inputs!$B$4="Chapter Hunt"),CHOOSE(ArtifactsInput!$N$27+1,20,24,28,32,36,40),0)/100)))))/Skills!H10+0.000000001),1)))/Inputs!$B$43),G837*Q837))*IF(Inputs!$B$38="pvp",1,1+(Inputs!$B$20+0+Skills!P10+(((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INT(Skills!I10/Skills!H10+0.000000001),1)+IF(Skills!H10&gt;0,INT(MIN(Skills!I10,MAX(0,MAX(0,Inputs!$B$43-B863)-((R837-1)*(IF(Inputs!$B$38="pvp",15,MAX(0.1,Skills!D10-IF(TRUE=TRUE,Inputs!$B$32,0)))*(1-IF(AND(ArtifactsInput!$M$27,Inputs!$B$4="Chapter Hunt"),CHOOSE(ArtifactsInput!$N$27+1,20,24,28,32,36,40),0)/100)))))/Skills!H10+0.000000001),1)))/Inputs!$B$43),G837*Q837))*IF(Inputs!$B$38="pvp",1,(1+(Inputs!$B$21+Skills!Q10+(((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Skills!G11*IF(Skills!H11&gt;0,INT(IF(Inputs!$B$38="pvp",MIN(Skills!I11,15),Skills!I11)/Skills!H11+0.000000001),1)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138,MAX(0,IF(Inputs!$B$3&gt;=118,8,IF(Inputs!$B$3&gt;=110,7,5))-5)*50,0),0)/100)*(1+(IF(Skills!A11="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IFERROR(1/(IF(Inputs!$B$38="pvp",15,MAX(0.1,Skills!D11-IF(TRUE=TRUE,Inputs!$B$32,0)))*(1-IF(AND(ArtifactsInput!$M$27,Inputs!$B$4="Chapter Hunt"),CHOOSE(ArtifactsInput!$N$27+1,20,24,28,32,36,40),0)/100)),0)</f>
        <v/>
      </c>
      <c r="R838">
        <f>IF(AND(Inputs!$B$38&lt;&gt;"pvp",Inputs!$B$43&gt;0),IF(MAX(0,Inputs!$B$43-B863)&lt;=0,0,(INT(MAX(0,Inputs!$B$43-B863)/(IF(Inputs!$B$38="pvp",15,MAX(0.1,Skills!D11-IF(TRUE=TRUE,Inputs!$B$32,0)))*(1-IF(AND(ArtifactsInput!$M$27,Inputs!$B$4="Chapter Hunt"),CHOOSE(ArtifactsInput!$N$27+1,20,24,28,32,36,40),0)/100)))+1)),0)</f>
        <v/>
      </c>
      <c r="S838">
        <f>IFERROR(O838/N838,0)</f>
        <v/>
      </c>
      <c r="T838">
        <f>IF(C838,(H838*N838*IF(AND(Inputs!$B$38&lt;&gt;"pvp",Inputs!$B$43&gt;0),((Skills!G11*((R838-1)*IF(Skills!H11&gt;0,INT(Skills!I11/Skills!H11+0.000000001),1)+IF(Skills!H11&gt;0,INT(MIN(Skills!I11,MAX(0,MAX(0,Inputs!$B$43-B863)-((R838-1)*(IF(Inputs!$B$38="pvp",15,MAX(0.1,Skills!D11-IF(TRUE=TRUE,Inputs!$B$32,0)))*(1-IF(AND(ArtifactsInput!$M$27,Inputs!$B$4="Chapter Hunt"),CHOOSE(ArtifactsInput!$N$27+1,20,24,28,32,36,40),0)/100)))))/Skills!H11+0.000000001),1)))/Inputs!$B$43),G838*Q838))*IF(Inputs!$B$38="pvp",1,1+(Inputs!$B$20+0+Skills!P11+(((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INT(Skills!I11/Skills!H11+0.000000001),1)+IF(Skills!H11&gt;0,INT(MIN(Skills!I11,MAX(0,MAX(0,Inputs!$B$43-B863)-((R838-1)*(IF(Inputs!$B$38="pvp",15,MAX(0.1,Skills!D11-IF(TRUE=TRUE,Inputs!$B$32,0)))*(1-IF(AND(ArtifactsInput!$M$27,Inputs!$B$4="Chapter Hunt"),CHOOSE(ArtifactsInput!$N$27+1,20,24,28,32,36,40),0)/100)))))/Skills!H11+0.000000001),1)))/Inputs!$B$43),G838*Q838))*IF(Inputs!$B$38="pvp",1,(1+(Inputs!$B$21+Skills!Q11+(((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Skills!G13*IF(Skills!H13&gt;0,INT(IF(Inputs!$B$38="pvp",MIN(Skills!I13,15),Skills!I13)/Skills!H13+0.000000001),1)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Skills!G14*IF(Skills!H14&gt;0,INT(IF(Inputs!$B$38="pvp",MIN(Skills!I14,15),Skills!I14)/Skills!H14+0.000000001),1)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Skills!G15*IF(Skills!H15&gt;0,INT(IF(Inputs!$B$38="pvp",MIN(Skills!I15,15),Skills!I15)/Skills!H15+0.000000001),1)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IFERROR(1/(IF(Inputs!$B$38="pvp",15,MAX(0.1,Skills!D15-IF(TRUE=TRUE,Inputs!$B$32,0)))*(1-IF(AND(ArtifactsInput!$M$27,Inputs!$B$4="Chapter Hunt"),CHOOSE(ArtifactsInput!$N$27+1,20,24,28,32,36,40),0)/100)),0)</f>
        <v/>
      </c>
      <c r="R842">
        <f>IF(AND(Inputs!$B$38&lt;&gt;"pvp",Inputs!$B$43&gt;0),IF(Inputs!$B$43&lt;=0,0,(INT(Inputs!$B$43/(IF(Inputs!$B$38="pvp",15,MAX(0.1,Skills!D15-IF(TRUE=TRUE,Inputs!$B$32,0)))*(1-IF(AND(ArtifactsInput!$M$27,Inputs!$B$4="Chapter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Skills!G16*IF(Skills!H16&gt;0,INT(IF(Inputs!$B$38="pvp",MIN(Skills!I16,15),Skills!I16)/Skills!H16+0.000000001),1)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IFERROR(1/(IF(Inputs!$B$38="pvp",15,MAX(0.1,Skills!D16-IF(TRUE=TRUE,Inputs!$B$32,0)))*(1-IF(AND(ArtifactsInput!$M$27,Inputs!$B$4="Chapter Hunt"),CHOOSE(ArtifactsInput!$N$27+1,20,24,28,32,36,40),0)/100)),0)</f>
        <v/>
      </c>
      <c r="R843">
        <f>IF(AND(Inputs!$B$38&lt;&gt;"pvp",Inputs!$B$43&gt;0),IF(Inputs!$B$43&lt;=0,0,(INT(Inputs!$B$43/(IF(Inputs!$B$38="pvp",15,MAX(0.1,Skills!D16-IF(TRUE=TRUE,Inputs!$B$32,0)))*(1-IF(AND(ArtifactsInput!$M$27,Inputs!$B$4="Chapter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Skills!G17*IF(Skills!H17&gt;0,INT(IF(Inputs!$B$38="pvp",MIN(Skills!I17,15),Skills!I17)/Skills!H17+0.000000001),1)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IFERROR(1/(IF(Inputs!$B$38="pvp",15,MAX(0.1,Skills!D17-IF(TRUE=TRUE,Inputs!$B$32,0)))*(1-IF(AND(ArtifactsInput!$M$27,Inputs!$B$4="Chapter Hunt"),CHOOSE(ArtifactsInput!$N$27+1,20,24,28,32,36,40),0)/100)),0)</f>
        <v/>
      </c>
      <c r="R844">
        <f>IF(AND(Inputs!$B$38&lt;&gt;"pvp",Inputs!$B$43&gt;0),IF(Inputs!$B$43&lt;=0,0,(INT(Inputs!$B$43/(IF(Inputs!$B$38="pvp",15,MAX(0.1,Skills!D17-IF(TRUE=TRUE,Inputs!$B$32,0)))*(1-IF(AND(ArtifactsInput!$M$27,Inputs!$B$4="Chapter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Skills!G18*IF(Skills!H18&gt;0,INT(IF(Inputs!$B$38="pvp",MIN(Skills!I18,15),Skills!I18)/Skills!H18+0.000000001),1)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IFERROR(1/(IF(Inputs!$B$38="pvp",15,MAX(0.1,Skills!D18-IF(TRUE=TRUE,Inputs!$B$32,0)))*(1-IF(AND(ArtifactsInput!$M$27,Inputs!$B$4="Chapter Hunt"),CHOOSE(ArtifactsInput!$N$27+1,20,24,28,32,36,40),0)/100)),0)</f>
        <v/>
      </c>
      <c r="R845">
        <f>IF(AND(Inputs!$B$38&lt;&gt;"pvp",Inputs!$B$43&gt;0),IF(Inputs!$B$43&lt;=0,0,(INT(Inputs!$B$43/(IF(Inputs!$B$38="pvp",15,MAX(0.1,Skills!D18-IF(TRUE=TRUE,Inputs!$B$32,0)))*(1-IF(AND(ArtifactsInput!$M$27,Inputs!$B$4="Chapter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Skills!G19*IF(Skills!H19&gt;0,INT(IF(Inputs!$B$38="pvp",MIN(Skills!I19,15),Skills!I19)/Skills!H19+0.000000001),1)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IFERROR(1/(IF(Inputs!$B$38="pvp",15,MAX(0.1,Skills!D19-IF(TRUE=TRUE,Inputs!$B$32,0)))*(1-IF(AND(ArtifactsInput!$M$27,Inputs!$B$4="Chapter Hunt"),CHOOSE(ArtifactsInput!$N$27+1,20,24,28,32,36,40),0)/100)),0)</f>
        <v/>
      </c>
      <c r="R846">
        <f>IF(AND(Inputs!$B$38&lt;&gt;"pvp",Inputs!$B$43&gt;0),IF(Inputs!$B$43&lt;=0,0,(INT(Inputs!$B$43/(IF(Inputs!$B$38="pvp",15,MAX(0.1,Skills!D19-IF(TRUE=TRUE,Inputs!$B$32,0)))*(1-IF(AND(ArtifactsInput!$M$27,Inputs!$B$4="Chapter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Skills!G20*IF(Skills!H20&gt;0,INT(IF(Inputs!$B$38="pvp",MIN(Skills!I20,15),Skills!I20)/Skills!H20+0.000000001),1)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Skills!G21*IF(Skills!H21&gt;0,INT(IF(Inputs!$B$38="pvp",MIN(Skills!I21,15),Skills!I21)/Skills!H21+0.000000001),1)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Skills!G22*IF(Skills!H22&gt;0,INT(IF(Inputs!$B$38="pvp",MIN(Skills!I22,15),Skills!I22)/Skills!H22+0.000000001),1)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Skills!G23*IF(Skills!H23&gt;0,INT(IF(Inputs!$B$38="pvp",MIN(Skills!I23,15),Skills!I23)/Skills!H23+0.000000001),1)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Skills!G24*IF(Skills!H24&gt;0,INT(IF(Inputs!$B$38="pvp",MIN(Skills!I24,15),Skills!I24)/Skills!H24+0.000000001),1)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Skills!G25*IF(Skills!H25&gt;0,INT(IF(Inputs!$B$38="pvp",MIN(Skills!I25,15),Skills!I25)/Skills!H25+0.000000001),1)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Skills!G26*IF(Skills!H26&gt;0,INT(IF(Inputs!$B$38="pvp",MIN(Skills!I26,15),Skills!I26)/Skills!H26+0.000000001),1)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MIN((Skills!T19*(1+(Inputs!$B$34+(ArtifactsInput!$M$7-ArtifactsInput!$M$7)*CHOOSE(ArtifactsInput!$N$7+1,6,7.2,8.4,9.6,10.8,12))/100)),(1/Q846))+MIN((Skills!T19*(1+(Inputs!$B$34+(ArtifactsInput!$M$7-ArtifactsInput!$M$7)*CHOOSE(ArtifactsInput!$N$7+1,6,7.2,8.4,9.6,10.8,12))/100)),MAX(0,Inputs!$B$43-((R846-1)*(1/Q846)))))/Inputs!$B$43),IF(Inputs!$B$38="pvp",MIN((Skills!T19*(1+(Inputs!$B$34+(ArtifactsInput!$M$7-ArtifactsInput!$M$7)*CHOOSE(ArtifactsInput!$N$7+1,6,7.2,8.4,9.6,10.8,12))/100)),15)/15,MIN(1,(Skills!T19*(1+(Inputs!$B$34+(ArtifactsInput!$M$7-ArtifactsInput!$M$7)*CHOOSE(ArtifactsInput!$N$7+1,6,7.2,8.4,9.6,10.8,12))/100))/(1/Q846)))))</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MIN((Skills!T18*(1+(Inputs!$B$34+(ArtifactsInput!$M$7-ArtifactsInput!$M$7)*CHOOSE(ArtifactsInput!$N$7+1,6,7.2,8.4,9.6,10.8,12))/100)),(1/Q845))+MIN((Skills!T18*(1+(Inputs!$B$34+(ArtifactsInput!$M$7-ArtifactsInput!$M$7)*CHOOSE(ArtifactsInput!$N$7+1,6,7.2,8.4,9.6,10.8,12))/100)),MAX(0,Inputs!$B$43-((R845-1)*(1/Q845)))))/Inputs!$B$43),IF(Inputs!$B$38="pvp",MIN((Skills!T18*(1+(Inputs!$B$34+(ArtifactsInput!$M$7-ArtifactsInput!$M$7)*CHOOSE(ArtifactsInput!$N$7+1,6,7.2,8.4,9.6,10.8,12))/100)),15)/15,MIN(1,(Skills!T18*(1+(Inputs!$B$34+(ArtifactsInput!$M$7-ArtifactsInput!$M$7)*CHOOSE(ArtifactsInput!$N$7+1,6,7.2,8.4,9.6,10.8,12))/100))/(1/Q845)))))</f>
        <v/>
      </c>
    </row>
    <row r="862">
      <c r="A862" t="inlineStr">
        <is>
          <t>Global Final Damage Bonus % (Enrage + Combo Synergy)</t>
        </is>
      </c>
      <c r="B862">
        <f>((C844=TRUE)*F844*IF(AND(Inputs!$B$38&lt;&gt;"pvp",Inputs!$B$43&gt;0),(((R844-1)*MIN((Skills!T17*(1+(Inputs!$B$34+(ArtifactsInput!$M$7-ArtifactsInput!$M$7)*CHOOSE(ArtifactsInput!$N$7+1,6,7.2,8.4,9.6,10.8,12))/100)),(1/Q844))+MIN((Skills!T17*(1+(Inputs!$B$34+(ArtifactsInput!$M$7-ArtifactsInput!$M$7)*CHOOSE(ArtifactsInput!$N$7+1,6,7.2,8.4,9.6,10.8,12))/100)),MAX(0,Inputs!$B$43-((R844-1)*(1/Q844)))))/Inputs!$B$43),IF(Inputs!$B$38="pvp",MIN((Skills!T17*(1+(Inputs!$B$34+(ArtifactsInput!$M$7-ArtifactsInput!$M$7)*CHOOSE(ArtifactsInput!$N$7+1,6,7.2,8.4,9.6,10.8,12))/100)),15)/15,MIN(1,(Skills!T17*(1+(Inputs!$B$34+(ArtifactsInput!$M$7-ArtifactsInput!$M$7)*CHOOSE(ArtifactsInput!$N$7+1,6,7.2,8.4,9.6,10.8,12))/100))/(1/Q844)))))+((C841=TRUE)*F841*IF(Inputs!$B$3&gt;=118,8,IF(Inputs!$B$3&gt;=110,7,5)))+IF(Inputs!$B$3&gt;=98,5,0)</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Skills!G2*IF(Skills!H2&gt;0,INT(IF(Inputs!$B$38="pvp",MIN(Skills!I2,15),Skills!I2)/Skills!H2+0.000000001),1)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Skills!G5*IF(Skills!H5&gt;0,INT(IF(Inputs!$B$38="pvp",MIN(Skills!I5,15),Skills!I5)/Skills!H5+0.000000001),1)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IFERROR(1/(IF(Inputs!$B$38="pvp",15,MAX(0.1,Skills!D5-IF(TRUE=TRUE,Inputs!$B$32,0)))*(1-IF(AND(ArtifactsInput!$M$27,Inputs!$B$4="Chapter Hunt"),CHOOSE(ArtifactsInput!$N$27+1,20,24,28,32,36,40),0)/100)),0)</f>
        <v/>
      </c>
      <c r="R874">
        <f>IF(AND(Inputs!$B$38&lt;&gt;"pvp",Inputs!$B$43&gt;0),IF(MAX(0,Inputs!$B$43-B905)&lt;=0,0,(INT(MAX(0,Inputs!$B$43-B905)/(IF(Inputs!$B$38="pvp",15,MAX(0.1,Skills!D5-IF(TRUE=TRUE,Inputs!$B$32,0)))*(1-IF(AND(ArtifactsInput!$M$27,Inputs!$B$4="Chapter Hunt"),CHOOSE(ArtifactsInput!$N$27+1,20,24,28,32,36,40),0)/100)))+1)),0)</f>
        <v/>
      </c>
      <c r="S874">
        <f>IFERROR(O874/N874,0)</f>
        <v/>
      </c>
      <c r="T874">
        <f>IF(C874,(H874*N874*IF(AND(Inputs!$B$38&lt;&gt;"pvp",Inputs!$B$43&gt;0),((Skills!G5*((R874-1)*IF(Skills!H5&gt;0,INT(Skills!I5/Skills!H5+0.000000001),1)+IF(Skills!H5&gt;0,INT(MIN(Skills!I5,MAX(0,MAX(0,Inputs!$B$43-B905)-((R874-1)*(IF(Inputs!$B$38="pvp",15,MAX(0.1,Skills!D5-IF(TRUE=TRUE,Inputs!$B$32,0)))*(1-IF(AND(ArtifactsInput!$M$27,Inputs!$B$4="Chapter Hunt"),CHOOSE(ArtifactsInput!$N$27+1,20,24,28,32,36,40),0)/100)))))/Skills!H5+0.000000001),1)))/Inputs!$B$43),G874*Q874))*IF(Inputs!$B$38="pvp",1,1+(Inputs!$B$20+0+Skills!P5+(((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INT(Skills!I5/Skills!H5+0.000000001),1)+IF(Skills!H5&gt;0,INT(MIN(Skills!I5,MAX(0,MAX(0,Inputs!$B$43-B905)-((R874-1)*(IF(Inputs!$B$38="pvp",15,MAX(0.1,Skills!D5-IF(TRUE=TRUE,Inputs!$B$32,0)))*(1-IF(AND(ArtifactsInput!$M$27,Inputs!$B$4="Chapter Hunt"),CHOOSE(ArtifactsInput!$N$27+1,20,24,28,32,36,40),0)/100)))))/Skills!H5+0.000000001),1)))/Inputs!$B$43),G874*Q874))*IF(Inputs!$B$38="pvp",1,(1+(Inputs!$B$21+Skills!Q5+(((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Skills!G6*IF(Skills!H6&gt;0,INT(IF(Inputs!$B$38="pvp",MIN(Skills!I6,15),Skills!I6)/Skills!H6+0.000000001),1)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IFERROR(1/(IF(Inputs!$B$38="pvp",15,MAX(0.1,Skills!D6-IF(TRUE=TRUE,Inputs!$B$32,0)))*(1-IF(AND(ArtifactsInput!$M$27,Inputs!$B$4="Chapter Hunt"),CHOOSE(ArtifactsInput!$N$27+1,20,24,28,32,36,40),0)/100)),0)</f>
        <v/>
      </c>
      <c r="R875">
        <f>IF(AND(Inputs!$B$38&lt;&gt;"pvp",Inputs!$B$43&gt;0),IF(MAX(0,Inputs!$B$43-B905)&lt;=0,0,(INT(MAX(0,Inputs!$B$43-B905)/(IF(Inputs!$B$38="pvp",15,MAX(0.1,Skills!D6-IF(TRUE=TRUE,Inputs!$B$32,0)))*(1-IF(AND(ArtifactsInput!$M$27,Inputs!$B$4="Chapter Hunt"),CHOOSE(ArtifactsInput!$N$27+1,20,24,28,32,36,40),0)/100)))+1)),0)</f>
        <v/>
      </c>
      <c r="S875">
        <f>IFERROR(O875/N875,0)</f>
        <v/>
      </c>
      <c r="T875">
        <f>IF(C875,(H875*N875*IF(AND(Inputs!$B$38&lt;&gt;"pvp",Inputs!$B$43&gt;0),((Skills!G6*((R875-1)*IF(Skills!H6&gt;0,INT(Skills!I6/Skills!H6+0.000000001),1)+IF(Skills!H6&gt;0,INT(MIN(Skills!I6,MAX(0,MAX(0,Inputs!$B$43-B905)-((R875-1)*(IF(Inputs!$B$38="pvp",15,MAX(0.1,Skills!D6-IF(TRUE=TRUE,Inputs!$B$32,0)))*(1-IF(AND(ArtifactsInput!$M$27,Inputs!$B$4="Chapter Hunt"),CHOOSE(ArtifactsInput!$N$27+1,20,24,28,32,36,40),0)/100)))))/Skills!H6+0.000000001),1)))/Inputs!$B$43),G875*Q875))*IF(Inputs!$B$38="pvp",1,1+(Inputs!$B$20+0+Skills!P6+(((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INT(Skills!I6/Skills!H6+0.000000001),1)+IF(Skills!H6&gt;0,INT(MIN(Skills!I6,MAX(0,MAX(0,Inputs!$B$43-B905)-((R875-1)*(IF(Inputs!$B$38="pvp",15,MAX(0.1,Skills!D6-IF(TRUE=TRUE,Inputs!$B$32,0)))*(1-IF(AND(ArtifactsInput!$M$27,Inputs!$B$4="Chapter Hunt"),CHOOSE(ArtifactsInput!$N$27+1,20,24,28,32,36,40),0)/100)))))/Skills!H6+0.000000001),1)))/Inputs!$B$43),G875*Q875))*IF(Inputs!$B$38="pvp",1,(1+(Inputs!$B$21+Skills!Q6+(((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Skills!G7*IF(Skills!H7&gt;0,INT(IF(Inputs!$B$38="pvp",MIN(Skills!I7,15),Skills!I7)/Skills!H7+0.000000001),1)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IFERROR(1/(IF(Inputs!$B$38="pvp",15,MAX(0.1,Skills!D7-IF(TRUE=TRUE,Inputs!$B$32,0)))*(1-IF(AND(ArtifactsInput!$M$27,Inputs!$B$4="Chapter Hunt"),CHOOSE(ArtifactsInput!$N$27+1,20,24,28,32,36,40),0)/100)),0)</f>
        <v/>
      </c>
      <c r="R876">
        <f>IF(AND(Inputs!$B$38&lt;&gt;"pvp",Inputs!$B$43&gt;0),IF(MAX(0,Inputs!$B$43-B905)&lt;=0,0,(INT(MAX(0,Inputs!$B$43-B905)/(IF(Inputs!$B$38="pvp",15,MAX(0.1,Skills!D7-IF(TRUE=TRUE,Inputs!$B$32,0)))*(1-IF(AND(ArtifactsInput!$M$27,Inputs!$B$4="Chapter Hunt"),CHOOSE(ArtifactsInput!$N$27+1,20,24,28,32,36,40),0)/100)))+1)),0)</f>
        <v/>
      </c>
      <c r="S876">
        <f>IFERROR(O876/N876,0)</f>
        <v/>
      </c>
      <c r="T876">
        <f>IF(C876,(H876*N876*IF(AND(Inputs!$B$38&lt;&gt;"pvp",Inputs!$B$43&gt;0),((Skills!G7*((R876-1)*IF(Skills!H7&gt;0,INT(Skills!I7/Skills!H7+0.000000001),1)+IF(Skills!H7&gt;0,INT(MIN(Skills!I7,MAX(0,MAX(0,Inputs!$B$43-B905)-((R876-1)*(IF(Inputs!$B$38="pvp",15,MAX(0.1,Skills!D7-IF(TRUE=TRUE,Inputs!$B$32,0)))*(1-IF(AND(ArtifactsInput!$M$27,Inputs!$B$4="Chapter Hunt"),CHOOSE(ArtifactsInput!$N$27+1,20,24,28,32,36,40),0)/100)))))/Skills!H7+0.000000001),1)))/Inputs!$B$43),G876*Q876))*IF(Inputs!$B$38="pvp",1,1+(Inputs!$B$20+0+Skills!P7+(((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INT(Skills!I7/Skills!H7+0.000000001),1)+IF(Skills!H7&gt;0,INT(MIN(Skills!I7,MAX(0,MAX(0,Inputs!$B$43-B905)-((R876-1)*(IF(Inputs!$B$38="pvp",15,MAX(0.1,Skills!D7-IF(TRUE=TRUE,Inputs!$B$32,0)))*(1-IF(AND(ArtifactsInput!$M$27,Inputs!$B$4="Chapter Hunt"),CHOOSE(ArtifactsInput!$N$27+1,20,24,28,32,36,40),0)/100)))))/Skills!H7+0.000000001),1)))/Inputs!$B$43),G876*Q876))*IF(Inputs!$B$38="pvp",1,(1+(Inputs!$B$21+Skills!Q7+(((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Skills!G8*IF(Skills!H8&gt;0,INT(IF(Inputs!$B$38="pvp",MIN(Skills!I8,15),Skills!I8)/Skills!H8+0.000000001),1)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IFERROR(1/(IF(Inputs!$B$38="pvp",15,MAX(0.1,Skills!D8-IF(TRUE=TRUE,Inputs!$B$32,0)))*(1-IF(AND(ArtifactsInput!$M$27,Inputs!$B$4="Chapter Hunt"),CHOOSE(ArtifactsInput!$N$27+1,20,24,28,32,36,40),0)/100)),0)</f>
        <v/>
      </c>
      <c r="R877">
        <f>IF(AND(Inputs!$B$38&lt;&gt;"pvp",Inputs!$B$43&gt;0),IF(MAX(0,Inputs!$B$43-B905)&lt;=0,0,(INT(MAX(0,Inputs!$B$43-B905)/(IF(Inputs!$B$38="pvp",15,MAX(0.1,Skills!D8-IF(TRUE=TRUE,Inputs!$B$32,0)))*(1-IF(AND(ArtifactsInput!$M$27,Inputs!$B$4="Chapter Hunt"),CHOOSE(ArtifactsInput!$N$27+1,20,24,28,32,36,40),0)/100)))+1)),0)</f>
        <v/>
      </c>
      <c r="S877">
        <f>IFERROR(O877/N877,0)</f>
        <v/>
      </c>
      <c r="T877">
        <f>IF(C877,(H877*N877*IF(AND(Inputs!$B$38&lt;&gt;"pvp",Inputs!$B$43&gt;0),((Skills!G8*((R877-1)*IF(Skills!H8&gt;0,INT(Skills!I8/Skills!H8+0.000000001),1)+IF(Skills!H8&gt;0,INT(MIN(Skills!I8,MAX(0,MAX(0,Inputs!$B$43-B905)-((R877-1)*(IF(Inputs!$B$38="pvp",15,MAX(0.1,Skills!D8-IF(TRUE=TRUE,Inputs!$B$32,0)))*(1-IF(AND(ArtifactsInput!$M$27,Inputs!$B$4="Chapter Hunt"),CHOOSE(ArtifactsInput!$N$27+1,20,24,28,32,36,40),0)/100)))))/Skills!H8+0.000000001),1)))/Inputs!$B$43),G877*Q877))*IF(Inputs!$B$38="pvp",1,1+(Inputs!$B$20+0+Skills!P8+(((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INT(Skills!I8/Skills!H8+0.000000001),1)+IF(Skills!H8&gt;0,INT(MIN(Skills!I8,MAX(0,MAX(0,Inputs!$B$43-B905)-((R877-1)*(IF(Inputs!$B$38="pvp",15,MAX(0.1,Skills!D8-IF(TRUE=TRUE,Inputs!$B$32,0)))*(1-IF(AND(ArtifactsInput!$M$27,Inputs!$B$4="Chapter Hunt"),CHOOSE(ArtifactsInput!$N$27+1,20,24,28,32,36,40),0)/100)))))/Skills!H8+0.000000001),1)))/Inputs!$B$43),G877*Q877))*IF(Inputs!$B$38="pvp",1,(1+(Inputs!$B$21+Skills!Q8+(((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Skills!G9*IF(Skills!H9&gt;0,INT(IF(Inputs!$B$38="pvp",MIN(Skills!I9,15),Skills!I9)/Skills!H9+0.000000001),1)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138,MAX(0,IF(Inputs!$B$3&gt;=118,8,IF(Inputs!$B$3&gt;=110,7,5))-5)*50,0),0)/100)*(1+(IF(Skills!A9="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IFERROR(1/(IF(Inputs!$B$38="pvp",15,MAX(0.1,Skills!D9-IF(TRUE=TRUE,Inputs!$B$32,0)))*(1-IF(AND(ArtifactsInput!$M$27,Inputs!$B$4="Chapter Hunt"),CHOOSE(ArtifactsInput!$N$27+1,20,24,28,32,36,40),0)/100)),0)</f>
        <v/>
      </c>
      <c r="R878">
        <f>IF(AND(Inputs!$B$38&lt;&gt;"pvp",Inputs!$B$43&gt;0),IF(MAX(0,Inputs!$B$43-B905)&lt;=0,0,(INT(MAX(0,Inputs!$B$43-B905)/(IF(Inputs!$B$38="pvp",15,MAX(0.1,Skills!D9-IF(TRUE=TRUE,Inputs!$B$32,0)))*(1-IF(AND(ArtifactsInput!$M$27,Inputs!$B$4="Chapter Hunt"),CHOOSE(ArtifactsInput!$N$27+1,20,24,28,32,36,40),0)/100)))+1)),0)</f>
        <v/>
      </c>
      <c r="S878">
        <f>IFERROR(O878/N878,0)</f>
        <v/>
      </c>
      <c r="T878">
        <f>IF(C878,(H878*N878*IF(AND(Inputs!$B$38&lt;&gt;"pvp",Inputs!$B$43&gt;0),((Skills!G9*((R878-1)*IF(Skills!H9&gt;0,INT(Skills!I9/Skills!H9+0.000000001),1)+IF(Skills!H9&gt;0,INT(MIN(Skills!I9,MAX(0,MAX(0,Inputs!$B$43-B905)-((R878-1)*(IF(Inputs!$B$38="pvp",15,MAX(0.1,Skills!D9-IF(TRUE=TRUE,Inputs!$B$32,0)))*(1-IF(AND(ArtifactsInput!$M$27,Inputs!$B$4="Chapter Hunt"),CHOOSE(ArtifactsInput!$N$27+1,20,24,28,32,36,40),0)/100)))))/Skills!H9+0.000000001),1)))/Inputs!$B$43),G878*Q878))*IF(Inputs!$B$38="pvp",1,1+(Inputs!$B$20+0+Skills!P9+(((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INT(Skills!I9/Skills!H9+0.000000001),1)+IF(Skills!H9&gt;0,INT(MIN(Skills!I9,MAX(0,MAX(0,Inputs!$B$43-B905)-((R878-1)*(IF(Inputs!$B$38="pvp",15,MAX(0.1,Skills!D9-IF(TRUE=TRUE,Inputs!$B$32,0)))*(1-IF(AND(ArtifactsInput!$M$27,Inputs!$B$4="Chapter Hunt"),CHOOSE(ArtifactsInput!$N$27+1,20,24,28,32,36,40),0)/100)))))/Skills!H9+0.000000001),1)))/Inputs!$B$43),G878*Q878))*IF(Inputs!$B$38="pvp",1,(1+(Inputs!$B$21+Skills!Q9+(((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Skills!G10*IF(Skills!H10&gt;0,INT(IF(Inputs!$B$38="pvp",MIN(Skills!I10,15),Skills!I10)/Skills!H10+0.000000001),1)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138,MAX(0,IF(Inputs!$B$3&gt;=118,8,IF(Inputs!$B$3&gt;=110,7,5))-5)*50,0),0)/100)*(1+(IF(Skills!A10="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IFERROR(1/(IF(Inputs!$B$38="pvp",15,MAX(0.1,Skills!D10-IF(TRUE=TRUE,Inputs!$B$32,0)))*(1-IF(AND(ArtifactsInput!$M$27,Inputs!$B$4="Chapter Hunt"),CHOOSE(ArtifactsInput!$N$27+1,20,24,28,32,36,40),0)/100)),0)</f>
        <v/>
      </c>
      <c r="R879">
        <f>IF(AND(Inputs!$B$38&lt;&gt;"pvp",Inputs!$B$43&gt;0),IF(MAX(0,Inputs!$B$43-B905)&lt;=0,0,(INT(MAX(0,Inputs!$B$43-B905)/(IF(Inputs!$B$38="pvp",15,MAX(0.1,Skills!D10-IF(TRUE=TRUE,Inputs!$B$32,0)))*(1-IF(AND(ArtifactsInput!$M$27,Inputs!$B$4="Chapter Hunt"),CHOOSE(ArtifactsInput!$N$27+1,20,24,28,32,36,40),0)/100)))+1)),0)</f>
        <v/>
      </c>
      <c r="S879">
        <f>IFERROR(O879/N879,0)</f>
        <v/>
      </c>
      <c r="T879">
        <f>IF(C879,(H879*N879*IF(AND(Inputs!$B$38&lt;&gt;"pvp",Inputs!$B$43&gt;0),((Skills!G10*((R879-1)*IF(Skills!H10&gt;0,INT(Skills!I10/Skills!H10+0.000000001),1)+IF(Skills!H10&gt;0,INT(MIN(Skills!I10,MAX(0,MAX(0,Inputs!$B$43-B905)-((R879-1)*(IF(Inputs!$B$38="pvp",15,MAX(0.1,Skills!D10-IF(TRUE=TRUE,Inputs!$B$32,0)))*(1-IF(AND(ArtifactsInput!$M$27,Inputs!$B$4="Chapter Hunt"),CHOOSE(ArtifactsInput!$N$27+1,20,24,28,32,36,40),0)/100)))))/Skills!H10+0.000000001),1)))/Inputs!$B$43),G879*Q879))*IF(Inputs!$B$38="pvp",1,1+(Inputs!$B$20+0+Skills!P10+(((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INT(Skills!I10/Skills!H10+0.000000001),1)+IF(Skills!H10&gt;0,INT(MIN(Skills!I10,MAX(0,MAX(0,Inputs!$B$43-B905)-((R879-1)*(IF(Inputs!$B$38="pvp",15,MAX(0.1,Skills!D10-IF(TRUE=TRUE,Inputs!$B$32,0)))*(1-IF(AND(ArtifactsInput!$M$27,Inputs!$B$4="Chapter Hunt"),CHOOSE(ArtifactsInput!$N$27+1,20,24,28,32,36,40),0)/100)))))/Skills!H10+0.000000001),1)))/Inputs!$B$43),G879*Q879))*IF(Inputs!$B$38="pvp",1,(1+(Inputs!$B$21+Skills!Q10+(((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Skills!G11*IF(Skills!H11&gt;0,INT(IF(Inputs!$B$38="pvp",MIN(Skills!I11,15),Skills!I11)/Skills!H11+0.000000001),1)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138,MAX(0,IF(Inputs!$B$3&gt;=118,8,IF(Inputs!$B$3&gt;=110,7,5))-5)*50,0),0)/100)*(1+(IF(Skills!A11="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IFERROR(1/(IF(Inputs!$B$38="pvp",15,MAX(0.1,Skills!D11-IF(TRUE=TRUE,Inputs!$B$32,0)))*(1-IF(AND(ArtifactsInput!$M$27,Inputs!$B$4="Chapter Hunt"),CHOOSE(ArtifactsInput!$N$27+1,20,24,28,32,36,40),0)/100)),0)</f>
        <v/>
      </c>
      <c r="R880">
        <f>IF(AND(Inputs!$B$38&lt;&gt;"pvp",Inputs!$B$43&gt;0),IF(MAX(0,Inputs!$B$43-B905)&lt;=0,0,(INT(MAX(0,Inputs!$B$43-B905)/(IF(Inputs!$B$38="pvp",15,MAX(0.1,Skills!D11-IF(TRUE=TRUE,Inputs!$B$32,0)))*(1-IF(AND(ArtifactsInput!$M$27,Inputs!$B$4="Chapter Hunt"),CHOOSE(ArtifactsInput!$N$27+1,20,24,28,32,36,40),0)/100)))+1)),0)</f>
        <v/>
      </c>
      <c r="S880">
        <f>IFERROR(O880/N880,0)</f>
        <v/>
      </c>
      <c r="T880">
        <f>IF(C880,(H880*N880*IF(AND(Inputs!$B$38&lt;&gt;"pvp",Inputs!$B$43&gt;0),((Skills!G11*((R880-1)*IF(Skills!H11&gt;0,INT(Skills!I11/Skills!H11+0.000000001),1)+IF(Skills!H11&gt;0,INT(MIN(Skills!I11,MAX(0,MAX(0,Inputs!$B$43-B905)-((R880-1)*(IF(Inputs!$B$38="pvp",15,MAX(0.1,Skills!D11-IF(TRUE=TRUE,Inputs!$B$32,0)))*(1-IF(AND(ArtifactsInput!$M$27,Inputs!$B$4="Chapter Hunt"),CHOOSE(ArtifactsInput!$N$27+1,20,24,28,32,36,40),0)/100)))))/Skills!H11+0.000000001),1)))/Inputs!$B$43),G880*Q880))*IF(Inputs!$B$38="pvp",1,1+(Inputs!$B$20+0+Skills!P11+(((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INT(Skills!I11/Skills!H11+0.000000001),1)+IF(Skills!H11&gt;0,INT(MIN(Skills!I11,MAX(0,MAX(0,Inputs!$B$43-B905)-((R880-1)*(IF(Inputs!$B$38="pvp",15,MAX(0.1,Skills!D11-IF(TRUE=TRUE,Inputs!$B$32,0)))*(1-IF(AND(ArtifactsInput!$M$27,Inputs!$B$4="Chapter Hunt"),CHOOSE(ArtifactsInput!$N$27+1,20,24,28,32,36,40),0)/100)))))/Skills!H11+0.000000001),1)))/Inputs!$B$43),G880*Q880))*IF(Inputs!$B$38="pvp",1,(1+(Inputs!$B$21+Skills!Q11+(((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Skills!G13*IF(Skills!H13&gt;0,INT(IF(Inputs!$B$38="pvp",MIN(Skills!I13,15),Skills!I13)/Skills!H13+0.000000001),1)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Skills!G14*IF(Skills!H14&gt;0,INT(IF(Inputs!$B$38="pvp",MIN(Skills!I14,15),Skills!I14)/Skills!H14+0.000000001),1)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Skills!G15*IF(Skills!H15&gt;0,INT(IF(Inputs!$B$38="pvp",MIN(Skills!I15,15),Skills!I15)/Skills!H15+0.000000001),1)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IFERROR(1/(IF(Inputs!$B$38="pvp",15,MAX(0.1,Skills!D15-IF(TRUE=TRUE,Inputs!$B$32,0)))*(1-IF(AND(ArtifactsInput!$M$27,Inputs!$B$4="Chapter Hunt"),CHOOSE(ArtifactsInput!$N$27+1,20,24,28,32,36,40),0)/100)),0)</f>
        <v/>
      </c>
      <c r="R884">
        <f>IF(AND(Inputs!$B$38&lt;&gt;"pvp",Inputs!$B$43&gt;0),IF(Inputs!$B$43&lt;=0,0,(INT(Inputs!$B$43/(IF(Inputs!$B$38="pvp",15,MAX(0.1,Skills!D15-IF(TRUE=TRUE,Inputs!$B$32,0)))*(1-IF(AND(ArtifactsInput!$M$27,Inputs!$B$4="Chapter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Skills!G16*IF(Skills!H16&gt;0,INT(IF(Inputs!$B$38="pvp",MIN(Skills!I16,15),Skills!I16)/Skills!H16+0.000000001),1)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IFERROR(1/(IF(Inputs!$B$38="pvp",15,MAX(0.1,Skills!D16-IF(TRUE=TRUE,Inputs!$B$32,0)))*(1-IF(AND(ArtifactsInput!$M$27,Inputs!$B$4="Chapter Hunt"),CHOOSE(ArtifactsInput!$N$27+1,20,24,28,32,36,40),0)/100)),0)</f>
        <v/>
      </c>
      <c r="R885">
        <f>IF(AND(Inputs!$B$38&lt;&gt;"pvp",Inputs!$B$43&gt;0),IF(Inputs!$B$43&lt;=0,0,(INT(Inputs!$B$43/(IF(Inputs!$B$38="pvp",15,MAX(0.1,Skills!D16-IF(TRUE=TRUE,Inputs!$B$32,0)))*(1-IF(AND(ArtifactsInput!$M$27,Inputs!$B$4="Chapter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Skills!G17*IF(Skills!H17&gt;0,INT(IF(Inputs!$B$38="pvp",MIN(Skills!I17,15),Skills!I17)/Skills!H17+0.000000001),1)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IFERROR(1/(IF(Inputs!$B$38="pvp",15,MAX(0.1,Skills!D17-IF(TRUE=TRUE,Inputs!$B$32,0)))*(1-IF(AND(ArtifactsInput!$M$27,Inputs!$B$4="Chapter Hunt"),CHOOSE(ArtifactsInput!$N$27+1,20,24,28,32,36,40),0)/100)),0)</f>
        <v/>
      </c>
      <c r="R886">
        <f>IF(AND(Inputs!$B$38&lt;&gt;"pvp",Inputs!$B$43&gt;0),IF(Inputs!$B$43&lt;=0,0,(INT(Inputs!$B$43/(IF(Inputs!$B$38="pvp",15,MAX(0.1,Skills!D17-IF(TRUE=TRUE,Inputs!$B$32,0)))*(1-IF(AND(ArtifactsInput!$M$27,Inputs!$B$4="Chapter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Skills!G18*IF(Skills!H18&gt;0,INT(IF(Inputs!$B$38="pvp",MIN(Skills!I18,15),Skills!I18)/Skills!H18+0.000000001),1)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IFERROR(1/(IF(Inputs!$B$38="pvp",15,MAX(0.1,Skills!D18-IF(TRUE=TRUE,Inputs!$B$32,0)))*(1-IF(AND(ArtifactsInput!$M$27,Inputs!$B$4="Chapter Hunt"),CHOOSE(ArtifactsInput!$N$27+1,20,24,28,32,36,40),0)/100)),0)</f>
        <v/>
      </c>
      <c r="R887">
        <f>IF(AND(Inputs!$B$38&lt;&gt;"pvp",Inputs!$B$43&gt;0),IF(Inputs!$B$43&lt;=0,0,(INT(Inputs!$B$43/(IF(Inputs!$B$38="pvp",15,MAX(0.1,Skills!D18-IF(TRUE=TRUE,Inputs!$B$32,0)))*(1-IF(AND(ArtifactsInput!$M$27,Inputs!$B$4="Chapter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Skills!G19*IF(Skills!H19&gt;0,INT(IF(Inputs!$B$38="pvp",MIN(Skills!I19,15),Skills!I19)/Skills!H19+0.000000001),1)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IFERROR(1/(IF(Inputs!$B$38="pvp",15,MAX(0.1,Skills!D19-IF(TRUE=TRUE,Inputs!$B$32,0)))*(1-IF(AND(ArtifactsInput!$M$27,Inputs!$B$4="Chapter Hunt"),CHOOSE(ArtifactsInput!$N$27+1,20,24,28,32,36,40),0)/100)),0)</f>
        <v/>
      </c>
      <c r="R888">
        <f>IF(AND(Inputs!$B$38&lt;&gt;"pvp",Inputs!$B$43&gt;0),IF(Inputs!$B$43&lt;=0,0,(INT(Inputs!$B$43/(IF(Inputs!$B$38="pvp",15,MAX(0.1,Skills!D19-IF(TRUE=TRUE,Inputs!$B$32,0)))*(1-IF(AND(ArtifactsInput!$M$27,Inputs!$B$4="Chapter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Skills!G20*IF(Skills!H20&gt;0,INT(IF(Inputs!$B$38="pvp",MIN(Skills!I20,15),Skills!I20)/Skills!H20+0.000000001),1)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Skills!G21*IF(Skills!H21&gt;0,INT(IF(Inputs!$B$38="pvp",MIN(Skills!I21,15),Skills!I21)/Skills!H21+0.000000001),1)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Skills!G22*IF(Skills!H22&gt;0,INT(IF(Inputs!$B$38="pvp",MIN(Skills!I22,15),Skills!I22)/Skills!H22+0.000000001),1)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Skills!G23*IF(Skills!H23&gt;0,INT(IF(Inputs!$B$38="pvp",MIN(Skills!I23,15),Skills!I23)/Skills!H23+0.000000001),1)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Skills!G24*IF(Skills!H24&gt;0,INT(IF(Inputs!$B$38="pvp",MIN(Skills!I24,15),Skills!I24)/Skills!H24+0.000000001),1)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Skills!G25*IF(Skills!H25&gt;0,INT(IF(Inputs!$B$38="pvp",MIN(Skills!I25,15),Skills!I25)/Skills!H25+0.000000001),1)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Skills!G26*IF(Skills!H26&gt;0,INT(IF(Inputs!$B$38="pvp",MIN(Skills!I26,15),Skills!I26)/Skills!H26+0.000000001),1)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MIN((Skills!T19*(1+(Inputs!$B$34+(ArtifactsInput!$M$7-ArtifactsInput!$M$7)*CHOOSE(ArtifactsInput!$N$7+1,6,7.2,8.4,9.6,10.8,12))/100)),(1/Q888))+MIN((Skills!T19*(1+(Inputs!$B$34+(ArtifactsInput!$M$7-ArtifactsInput!$M$7)*CHOOSE(ArtifactsInput!$N$7+1,6,7.2,8.4,9.6,10.8,12))/100)),MAX(0,Inputs!$B$43-((R888-1)*(1/Q888)))))/Inputs!$B$43),IF(Inputs!$B$38="pvp",MIN((Skills!T19*(1+(Inputs!$B$34+(ArtifactsInput!$M$7-ArtifactsInput!$M$7)*CHOOSE(ArtifactsInput!$N$7+1,6,7.2,8.4,9.6,10.8,12))/100)),15)/15,MIN(1,(Skills!T19*(1+(Inputs!$B$34+(ArtifactsInput!$M$7-ArtifactsInput!$M$7)*CHOOSE(ArtifactsInput!$N$7+1,6,7.2,8.4,9.6,10.8,12))/100))/(1/Q888)))))</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MIN((Skills!T18*(1+(Inputs!$B$34+(ArtifactsInput!$M$7-ArtifactsInput!$M$7)*CHOOSE(ArtifactsInput!$N$7+1,6,7.2,8.4,9.6,10.8,12))/100)),(1/Q887))+MIN((Skills!T18*(1+(Inputs!$B$34+(ArtifactsInput!$M$7-ArtifactsInput!$M$7)*CHOOSE(ArtifactsInput!$N$7+1,6,7.2,8.4,9.6,10.8,12))/100)),MAX(0,Inputs!$B$43-((R887-1)*(1/Q887)))))/Inputs!$B$43),IF(Inputs!$B$38="pvp",MIN((Skills!T18*(1+(Inputs!$B$34+(ArtifactsInput!$M$7-ArtifactsInput!$M$7)*CHOOSE(ArtifactsInput!$N$7+1,6,7.2,8.4,9.6,10.8,12))/100)),15)/15,MIN(1,(Skills!T18*(1+(Inputs!$B$34+(ArtifactsInput!$M$7-ArtifactsInput!$M$7)*CHOOSE(ArtifactsInput!$N$7+1,6,7.2,8.4,9.6,10.8,12))/100))/(1/Q887)))))</f>
        <v/>
      </c>
    </row>
    <row r="904">
      <c r="A904" t="inlineStr">
        <is>
          <t>Global Final Damage Bonus % (Enrage + Combo Synergy)</t>
        </is>
      </c>
      <c r="B904">
        <f>((C886=TRUE)*F886*IF(AND(Inputs!$B$38&lt;&gt;"pvp",Inputs!$B$43&gt;0),(((R886-1)*MIN((Skills!T17*(1+(Inputs!$B$34+(ArtifactsInput!$M$7-ArtifactsInput!$M$7)*CHOOSE(ArtifactsInput!$N$7+1,6,7.2,8.4,9.6,10.8,12))/100)),(1/Q886))+MIN((Skills!T17*(1+(Inputs!$B$34+(ArtifactsInput!$M$7-ArtifactsInput!$M$7)*CHOOSE(ArtifactsInput!$N$7+1,6,7.2,8.4,9.6,10.8,12))/100)),MAX(0,Inputs!$B$43-((R886-1)*(1/Q886)))))/Inputs!$B$43),IF(Inputs!$B$38="pvp",MIN((Skills!T17*(1+(Inputs!$B$34+(ArtifactsInput!$M$7-ArtifactsInput!$M$7)*CHOOSE(ArtifactsInput!$N$7+1,6,7.2,8.4,9.6,10.8,12))/100)),15)/15,MIN(1,(Skills!T17*(1+(Inputs!$B$34+(ArtifactsInput!$M$7-ArtifactsInput!$M$7)*CHOOSE(ArtifactsInput!$N$7+1,6,7.2,8.4,9.6,10.8,12))/100))/(1/Q886)))))+((C883=TRUE)*F883*IF(Inputs!$B$3&gt;=118,8,IF(Inputs!$B$3&gt;=110,7,5)))+IF(Inputs!$B$3&gt;=98,5,0)</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Skills!G2*IF(Skills!H2&gt;0,INT(IF(Inputs!$B$38="pvp",MIN(Skills!I2,15),Skills!I2)/Skills!H2+0.000000001),1)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Skills!G5*IF(Skills!H5&gt;0,INT(IF(Inputs!$B$38="pvp",MIN(Skills!I5,15),Skills!I5)/Skills!H5+0.000000001),1)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IFERROR(1/(IF(Inputs!$B$38="pvp",15,MAX(0.1,Skills!D5-IF(TRUE=TRUE,Inputs!$B$32,0)))*(1-IF(AND(ArtifactsInput!$M$27,Inputs!$B$4="Chapter Hunt"),CHOOSE(ArtifactsInput!$N$27+1,20,24,28,32,36,40),0)/100)),0)</f>
        <v/>
      </c>
      <c r="R916">
        <f>IF(AND(Inputs!$B$38&lt;&gt;"pvp",Inputs!$B$43&gt;0),IF(MAX(0,Inputs!$B$43-B947)&lt;=0,0,(INT(MAX(0,Inputs!$B$43-B947)/(IF(Inputs!$B$38="pvp",15,MAX(0.1,Skills!D5-IF(TRUE=TRUE,Inputs!$B$32,0)))*(1-IF(AND(ArtifactsInput!$M$27,Inputs!$B$4="Chapter Hunt"),CHOOSE(ArtifactsInput!$N$27+1,20,24,28,32,36,40),0)/100)))+1)),0)</f>
        <v/>
      </c>
      <c r="S916">
        <f>IFERROR(O916/N916,0)</f>
        <v/>
      </c>
      <c r="T916">
        <f>IF(C916,(H916*N916*IF(AND(Inputs!$B$38&lt;&gt;"pvp",Inputs!$B$43&gt;0),((Skills!G5*((R916-1)*IF(Skills!H5&gt;0,INT(Skills!I5/Skills!H5+0.000000001),1)+IF(Skills!H5&gt;0,INT(MIN(Skills!I5,MAX(0,MAX(0,Inputs!$B$43-B947)-((R916-1)*(IF(Inputs!$B$38="pvp",15,MAX(0.1,Skills!D5-IF(TRUE=TRUE,Inputs!$B$32,0)))*(1-IF(AND(ArtifactsInput!$M$27,Inputs!$B$4="Chapter Hunt"),CHOOSE(ArtifactsInput!$N$27+1,20,24,28,32,36,40),0)/100)))))/Skills!H5+0.000000001),1)))/Inputs!$B$43),G916*Q916))*IF(Inputs!$B$38="pvp",1,1+(Inputs!$B$20+0+Skills!P5+(((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INT(Skills!I5/Skills!H5+0.000000001),1)+IF(Skills!H5&gt;0,INT(MIN(Skills!I5,MAX(0,MAX(0,Inputs!$B$43-B947)-((R916-1)*(IF(Inputs!$B$38="pvp",15,MAX(0.1,Skills!D5-IF(TRUE=TRUE,Inputs!$B$32,0)))*(1-IF(AND(ArtifactsInput!$M$27,Inputs!$B$4="Chapter Hunt"),CHOOSE(ArtifactsInput!$N$27+1,20,24,28,32,36,40),0)/100)))))/Skills!H5+0.000000001),1)))/Inputs!$B$43),G916*Q916))*IF(Inputs!$B$38="pvp",1,(1+(Inputs!$B$21+Skills!Q5+(((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Skills!G6*IF(Skills!H6&gt;0,INT(IF(Inputs!$B$38="pvp",MIN(Skills!I6,15),Skills!I6)/Skills!H6+0.000000001),1)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IFERROR(1/(IF(Inputs!$B$38="pvp",15,MAX(0.1,Skills!D6-IF(TRUE=TRUE,Inputs!$B$32,0)))*(1-IF(AND(ArtifactsInput!$M$27,Inputs!$B$4="Chapter Hunt"),CHOOSE(ArtifactsInput!$N$27+1,20,24,28,32,36,40),0)/100)),0)</f>
        <v/>
      </c>
      <c r="R917">
        <f>IF(AND(Inputs!$B$38&lt;&gt;"pvp",Inputs!$B$43&gt;0),IF(MAX(0,Inputs!$B$43-B947)&lt;=0,0,(INT(MAX(0,Inputs!$B$43-B947)/(IF(Inputs!$B$38="pvp",15,MAX(0.1,Skills!D6-IF(TRUE=TRUE,Inputs!$B$32,0)))*(1-IF(AND(ArtifactsInput!$M$27,Inputs!$B$4="Chapter Hunt"),CHOOSE(ArtifactsInput!$N$27+1,20,24,28,32,36,40),0)/100)))+1)),0)</f>
        <v/>
      </c>
      <c r="S917">
        <f>IFERROR(O917/N917,0)</f>
        <v/>
      </c>
      <c r="T917">
        <f>IF(C917,(H917*N917*IF(AND(Inputs!$B$38&lt;&gt;"pvp",Inputs!$B$43&gt;0),((Skills!G6*((R917-1)*IF(Skills!H6&gt;0,INT(Skills!I6/Skills!H6+0.000000001),1)+IF(Skills!H6&gt;0,INT(MIN(Skills!I6,MAX(0,MAX(0,Inputs!$B$43-B947)-((R917-1)*(IF(Inputs!$B$38="pvp",15,MAX(0.1,Skills!D6-IF(TRUE=TRUE,Inputs!$B$32,0)))*(1-IF(AND(ArtifactsInput!$M$27,Inputs!$B$4="Chapter Hunt"),CHOOSE(ArtifactsInput!$N$27+1,20,24,28,32,36,40),0)/100)))))/Skills!H6+0.000000001),1)))/Inputs!$B$43),G917*Q917))*IF(Inputs!$B$38="pvp",1,1+(Inputs!$B$20+0+Skills!P6+(((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INT(Skills!I6/Skills!H6+0.000000001),1)+IF(Skills!H6&gt;0,INT(MIN(Skills!I6,MAX(0,MAX(0,Inputs!$B$43-B947)-((R917-1)*(IF(Inputs!$B$38="pvp",15,MAX(0.1,Skills!D6-IF(TRUE=TRUE,Inputs!$B$32,0)))*(1-IF(AND(ArtifactsInput!$M$27,Inputs!$B$4="Chapter Hunt"),CHOOSE(ArtifactsInput!$N$27+1,20,24,28,32,36,40),0)/100)))))/Skills!H6+0.000000001),1)))/Inputs!$B$43),G917*Q917))*IF(Inputs!$B$38="pvp",1,(1+(Inputs!$B$21+Skills!Q6+(((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Skills!G7*IF(Skills!H7&gt;0,INT(IF(Inputs!$B$38="pvp",MIN(Skills!I7,15),Skills!I7)/Skills!H7+0.000000001),1)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IFERROR(1/(IF(Inputs!$B$38="pvp",15,MAX(0.1,Skills!D7-IF(TRUE=TRUE,Inputs!$B$32,0)))*(1-IF(AND(ArtifactsInput!$M$27,Inputs!$B$4="Chapter Hunt"),CHOOSE(ArtifactsInput!$N$27+1,20,24,28,32,36,40),0)/100)),0)</f>
        <v/>
      </c>
      <c r="R918">
        <f>IF(AND(Inputs!$B$38&lt;&gt;"pvp",Inputs!$B$43&gt;0),IF(MAX(0,Inputs!$B$43-B947)&lt;=0,0,(INT(MAX(0,Inputs!$B$43-B947)/(IF(Inputs!$B$38="pvp",15,MAX(0.1,Skills!D7-IF(TRUE=TRUE,Inputs!$B$32,0)))*(1-IF(AND(ArtifactsInput!$M$27,Inputs!$B$4="Chapter Hunt"),CHOOSE(ArtifactsInput!$N$27+1,20,24,28,32,36,40),0)/100)))+1)),0)</f>
        <v/>
      </c>
      <c r="S918">
        <f>IFERROR(O918/N918,0)</f>
        <v/>
      </c>
      <c r="T918">
        <f>IF(C918,(H918*N918*IF(AND(Inputs!$B$38&lt;&gt;"pvp",Inputs!$B$43&gt;0),((Skills!G7*((R918-1)*IF(Skills!H7&gt;0,INT(Skills!I7/Skills!H7+0.000000001),1)+IF(Skills!H7&gt;0,INT(MIN(Skills!I7,MAX(0,MAX(0,Inputs!$B$43-B947)-((R918-1)*(IF(Inputs!$B$38="pvp",15,MAX(0.1,Skills!D7-IF(TRUE=TRUE,Inputs!$B$32,0)))*(1-IF(AND(ArtifactsInput!$M$27,Inputs!$B$4="Chapter Hunt"),CHOOSE(ArtifactsInput!$N$27+1,20,24,28,32,36,40),0)/100)))))/Skills!H7+0.000000001),1)))/Inputs!$B$43),G918*Q918))*IF(Inputs!$B$38="pvp",1,1+(Inputs!$B$20+0+Skills!P7+(((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INT(Skills!I7/Skills!H7+0.000000001),1)+IF(Skills!H7&gt;0,INT(MIN(Skills!I7,MAX(0,MAX(0,Inputs!$B$43-B947)-((R918-1)*(IF(Inputs!$B$38="pvp",15,MAX(0.1,Skills!D7-IF(TRUE=TRUE,Inputs!$B$32,0)))*(1-IF(AND(ArtifactsInput!$M$27,Inputs!$B$4="Chapter Hunt"),CHOOSE(ArtifactsInput!$N$27+1,20,24,28,32,36,40),0)/100)))))/Skills!H7+0.000000001),1)))/Inputs!$B$43),G918*Q918))*IF(Inputs!$B$38="pvp",1,(1+(Inputs!$B$21+Skills!Q7+(((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Skills!G8*IF(Skills!H8&gt;0,INT(IF(Inputs!$B$38="pvp",MIN(Skills!I8,15),Skills!I8)/Skills!H8+0.000000001),1)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IFERROR(1/(IF(Inputs!$B$38="pvp",15,MAX(0.1,Skills!D8-IF(TRUE=TRUE,Inputs!$B$32,0)))*(1-IF(AND(ArtifactsInput!$M$27,Inputs!$B$4="Chapter Hunt"),CHOOSE(ArtifactsInput!$N$27+1,20,24,28,32,36,40),0)/100)),0)</f>
        <v/>
      </c>
      <c r="R919">
        <f>IF(AND(Inputs!$B$38&lt;&gt;"pvp",Inputs!$B$43&gt;0),IF(MAX(0,Inputs!$B$43-B947)&lt;=0,0,(INT(MAX(0,Inputs!$B$43-B947)/(IF(Inputs!$B$38="pvp",15,MAX(0.1,Skills!D8-IF(TRUE=TRUE,Inputs!$B$32,0)))*(1-IF(AND(ArtifactsInput!$M$27,Inputs!$B$4="Chapter Hunt"),CHOOSE(ArtifactsInput!$N$27+1,20,24,28,32,36,40),0)/100)))+1)),0)</f>
        <v/>
      </c>
      <c r="S919">
        <f>IFERROR(O919/N919,0)</f>
        <v/>
      </c>
      <c r="T919">
        <f>IF(C919,(H919*N919*IF(AND(Inputs!$B$38&lt;&gt;"pvp",Inputs!$B$43&gt;0),((Skills!G8*((R919-1)*IF(Skills!H8&gt;0,INT(Skills!I8/Skills!H8+0.000000001),1)+IF(Skills!H8&gt;0,INT(MIN(Skills!I8,MAX(0,MAX(0,Inputs!$B$43-B947)-((R919-1)*(IF(Inputs!$B$38="pvp",15,MAX(0.1,Skills!D8-IF(TRUE=TRUE,Inputs!$B$32,0)))*(1-IF(AND(ArtifactsInput!$M$27,Inputs!$B$4="Chapter Hunt"),CHOOSE(ArtifactsInput!$N$27+1,20,24,28,32,36,40),0)/100)))))/Skills!H8+0.000000001),1)))/Inputs!$B$43),G919*Q919))*IF(Inputs!$B$38="pvp",1,1+(Inputs!$B$20+0+Skills!P8+(((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INT(Skills!I8/Skills!H8+0.000000001),1)+IF(Skills!H8&gt;0,INT(MIN(Skills!I8,MAX(0,MAX(0,Inputs!$B$43-B947)-((R919-1)*(IF(Inputs!$B$38="pvp",15,MAX(0.1,Skills!D8-IF(TRUE=TRUE,Inputs!$B$32,0)))*(1-IF(AND(ArtifactsInput!$M$27,Inputs!$B$4="Chapter Hunt"),CHOOSE(ArtifactsInput!$N$27+1,20,24,28,32,36,40),0)/100)))))/Skills!H8+0.000000001),1)))/Inputs!$B$43),G919*Q919))*IF(Inputs!$B$38="pvp",1,(1+(Inputs!$B$21+Skills!Q8+(((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Skills!G9*IF(Skills!H9&gt;0,INT(IF(Inputs!$B$38="pvp",MIN(Skills!I9,15),Skills!I9)/Skills!H9+0.000000001),1)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138,MAX(0,IF(Inputs!$B$3&gt;=118,8,IF(Inputs!$B$3&gt;=110,7,5))-5)*50,0),0)/100)*(1+(IF(Skills!A9="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IFERROR(1/(IF(Inputs!$B$38="pvp",15,MAX(0.1,Skills!D9-IF(TRUE=TRUE,Inputs!$B$32,0)))*(1-IF(AND(ArtifactsInput!$M$27,Inputs!$B$4="Chapter Hunt"),CHOOSE(ArtifactsInput!$N$27+1,20,24,28,32,36,40),0)/100)),0)</f>
        <v/>
      </c>
      <c r="R920">
        <f>IF(AND(Inputs!$B$38&lt;&gt;"pvp",Inputs!$B$43&gt;0),IF(MAX(0,Inputs!$B$43-B947)&lt;=0,0,(INT(MAX(0,Inputs!$B$43-B947)/(IF(Inputs!$B$38="pvp",15,MAX(0.1,Skills!D9-IF(TRUE=TRUE,Inputs!$B$32,0)))*(1-IF(AND(ArtifactsInput!$M$27,Inputs!$B$4="Chapter Hunt"),CHOOSE(ArtifactsInput!$N$27+1,20,24,28,32,36,40),0)/100)))+1)),0)</f>
        <v/>
      </c>
      <c r="S920">
        <f>IFERROR(O920/N920,0)</f>
        <v/>
      </c>
      <c r="T920">
        <f>IF(C920,(H920*N920*IF(AND(Inputs!$B$38&lt;&gt;"pvp",Inputs!$B$43&gt;0),((Skills!G9*((R920-1)*IF(Skills!H9&gt;0,INT(Skills!I9/Skills!H9+0.000000001),1)+IF(Skills!H9&gt;0,INT(MIN(Skills!I9,MAX(0,MAX(0,Inputs!$B$43-B947)-((R920-1)*(IF(Inputs!$B$38="pvp",15,MAX(0.1,Skills!D9-IF(TRUE=TRUE,Inputs!$B$32,0)))*(1-IF(AND(ArtifactsInput!$M$27,Inputs!$B$4="Chapter Hunt"),CHOOSE(ArtifactsInput!$N$27+1,20,24,28,32,36,40),0)/100)))))/Skills!H9+0.000000001),1)))/Inputs!$B$43),G920*Q920))*IF(Inputs!$B$38="pvp",1,1+(Inputs!$B$20+0+Skills!P9+(((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INT(Skills!I9/Skills!H9+0.000000001),1)+IF(Skills!H9&gt;0,INT(MIN(Skills!I9,MAX(0,MAX(0,Inputs!$B$43-B947)-((R920-1)*(IF(Inputs!$B$38="pvp",15,MAX(0.1,Skills!D9-IF(TRUE=TRUE,Inputs!$B$32,0)))*(1-IF(AND(ArtifactsInput!$M$27,Inputs!$B$4="Chapter Hunt"),CHOOSE(ArtifactsInput!$N$27+1,20,24,28,32,36,40),0)/100)))))/Skills!H9+0.000000001),1)))/Inputs!$B$43),G920*Q920))*IF(Inputs!$B$38="pvp",1,(1+(Inputs!$B$21+Skills!Q9+(((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Skills!G10*IF(Skills!H10&gt;0,INT(IF(Inputs!$B$38="pvp",MIN(Skills!I10,15),Skills!I10)/Skills!H10+0.000000001),1)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138,MAX(0,IF(Inputs!$B$3&gt;=118,8,IF(Inputs!$B$3&gt;=110,7,5))-5)*50,0),0)/100)*(1+(IF(Skills!A10="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IFERROR(1/(IF(Inputs!$B$38="pvp",15,MAX(0.1,Skills!D10-IF(TRUE=TRUE,Inputs!$B$32,0)))*(1-IF(AND(ArtifactsInput!$M$27,Inputs!$B$4="Chapter Hunt"),CHOOSE(ArtifactsInput!$N$27+1,20,24,28,32,36,40),0)/100)),0)</f>
        <v/>
      </c>
      <c r="R921">
        <f>IF(AND(Inputs!$B$38&lt;&gt;"pvp",Inputs!$B$43&gt;0),IF(MAX(0,Inputs!$B$43-B947)&lt;=0,0,(INT(MAX(0,Inputs!$B$43-B947)/(IF(Inputs!$B$38="pvp",15,MAX(0.1,Skills!D10-IF(TRUE=TRUE,Inputs!$B$32,0)))*(1-IF(AND(ArtifactsInput!$M$27,Inputs!$B$4="Chapter Hunt"),CHOOSE(ArtifactsInput!$N$27+1,20,24,28,32,36,40),0)/100)))+1)),0)</f>
        <v/>
      </c>
      <c r="S921">
        <f>IFERROR(O921/N921,0)</f>
        <v/>
      </c>
      <c r="T921">
        <f>IF(C921,(H921*N921*IF(AND(Inputs!$B$38&lt;&gt;"pvp",Inputs!$B$43&gt;0),((Skills!G10*((R921-1)*IF(Skills!H10&gt;0,INT(Skills!I10/Skills!H10+0.000000001),1)+IF(Skills!H10&gt;0,INT(MIN(Skills!I10,MAX(0,MAX(0,Inputs!$B$43-B947)-((R921-1)*(IF(Inputs!$B$38="pvp",15,MAX(0.1,Skills!D10-IF(TRUE=TRUE,Inputs!$B$32,0)))*(1-IF(AND(ArtifactsInput!$M$27,Inputs!$B$4="Chapter Hunt"),CHOOSE(ArtifactsInput!$N$27+1,20,24,28,32,36,40),0)/100)))))/Skills!H10+0.000000001),1)))/Inputs!$B$43),G921*Q921))*IF(Inputs!$B$38="pvp",1,1+(Inputs!$B$20+0+Skills!P10+(((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INT(Skills!I10/Skills!H10+0.000000001),1)+IF(Skills!H10&gt;0,INT(MIN(Skills!I10,MAX(0,MAX(0,Inputs!$B$43-B947)-((R921-1)*(IF(Inputs!$B$38="pvp",15,MAX(0.1,Skills!D10-IF(TRUE=TRUE,Inputs!$B$32,0)))*(1-IF(AND(ArtifactsInput!$M$27,Inputs!$B$4="Chapter Hunt"),CHOOSE(ArtifactsInput!$N$27+1,20,24,28,32,36,40),0)/100)))))/Skills!H10+0.000000001),1)))/Inputs!$B$43),G921*Q921))*IF(Inputs!$B$38="pvp",1,(1+(Inputs!$B$21+Skills!Q10+(((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Skills!G11*IF(Skills!H11&gt;0,INT(IF(Inputs!$B$38="pvp",MIN(Skills!I11,15),Skills!I11)/Skills!H11+0.000000001),1)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138,MAX(0,IF(Inputs!$B$3&gt;=118,8,IF(Inputs!$B$3&gt;=110,7,5))-5)*50,0),0)/100)*(1+(IF(Skills!A11="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IFERROR(1/(IF(Inputs!$B$38="pvp",15,MAX(0.1,Skills!D11-IF(TRUE=TRUE,Inputs!$B$32,0)))*(1-IF(AND(ArtifactsInput!$M$27,Inputs!$B$4="Chapter Hunt"),CHOOSE(ArtifactsInput!$N$27+1,20,24,28,32,36,40),0)/100)),0)</f>
        <v/>
      </c>
      <c r="R922">
        <f>IF(AND(Inputs!$B$38&lt;&gt;"pvp",Inputs!$B$43&gt;0),IF(MAX(0,Inputs!$B$43-B947)&lt;=0,0,(INT(MAX(0,Inputs!$B$43-B947)/(IF(Inputs!$B$38="pvp",15,MAX(0.1,Skills!D11-IF(TRUE=TRUE,Inputs!$B$32,0)))*(1-IF(AND(ArtifactsInput!$M$27,Inputs!$B$4="Chapter Hunt"),CHOOSE(ArtifactsInput!$N$27+1,20,24,28,32,36,40),0)/100)))+1)),0)</f>
        <v/>
      </c>
      <c r="S922">
        <f>IFERROR(O922/N922,0)</f>
        <v/>
      </c>
      <c r="T922">
        <f>IF(C922,(H922*N922*IF(AND(Inputs!$B$38&lt;&gt;"pvp",Inputs!$B$43&gt;0),((Skills!G11*((R922-1)*IF(Skills!H11&gt;0,INT(Skills!I11/Skills!H11+0.000000001),1)+IF(Skills!H11&gt;0,INT(MIN(Skills!I11,MAX(0,MAX(0,Inputs!$B$43-B947)-((R922-1)*(IF(Inputs!$B$38="pvp",15,MAX(0.1,Skills!D11-IF(TRUE=TRUE,Inputs!$B$32,0)))*(1-IF(AND(ArtifactsInput!$M$27,Inputs!$B$4="Chapter Hunt"),CHOOSE(ArtifactsInput!$N$27+1,20,24,28,32,36,40),0)/100)))))/Skills!H11+0.000000001),1)))/Inputs!$B$43),G922*Q922))*IF(Inputs!$B$38="pvp",1,1+(Inputs!$B$20+0+Skills!P11+(((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INT(Skills!I11/Skills!H11+0.000000001),1)+IF(Skills!H11&gt;0,INT(MIN(Skills!I11,MAX(0,MAX(0,Inputs!$B$43-B947)-((R922-1)*(IF(Inputs!$B$38="pvp",15,MAX(0.1,Skills!D11-IF(TRUE=TRUE,Inputs!$B$32,0)))*(1-IF(AND(ArtifactsInput!$M$27,Inputs!$B$4="Chapter Hunt"),CHOOSE(ArtifactsInput!$N$27+1,20,24,28,32,36,40),0)/100)))))/Skills!H11+0.000000001),1)))/Inputs!$B$43),G922*Q922))*IF(Inputs!$B$38="pvp",1,(1+(Inputs!$B$21+Skills!Q11+(((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Skills!G13*IF(Skills!H13&gt;0,INT(IF(Inputs!$B$38="pvp",MIN(Skills!I13,15),Skills!I13)/Skills!H13+0.000000001),1)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Skills!G14*IF(Skills!H14&gt;0,INT(IF(Inputs!$B$38="pvp",MIN(Skills!I14,15),Skills!I14)/Skills!H14+0.000000001),1)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Skills!G15*IF(Skills!H15&gt;0,INT(IF(Inputs!$B$38="pvp",MIN(Skills!I15,15),Skills!I15)/Skills!H15+0.000000001),1)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IFERROR(1/(IF(Inputs!$B$38="pvp",15,MAX(0.1,Skills!D15-IF(TRUE=TRUE,Inputs!$B$32,0)))*(1-IF(AND(ArtifactsInput!$M$27,Inputs!$B$4="Chapter Hunt"),CHOOSE(ArtifactsInput!$N$27+1,20,24,28,32,36,40),0)/100)),0)</f>
        <v/>
      </c>
      <c r="R926">
        <f>IF(AND(Inputs!$B$38&lt;&gt;"pvp",Inputs!$B$43&gt;0),IF(Inputs!$B$43&lt;=0,0,(INT(Inputs!$B$43/(IF(Inputs!$B$38="pvp",15,MAX(0.1,Skills!D15-IF(TRUE=TRUE,Inputs!$B$32,0)))*(1-IF(AND(ArtifactsInput!$M$27,Inputs!$B$4="Chapter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Skills!G16*IF(Skills!H16&gt;0,INT(IF(Inputs!$B$38="pvp",MIN(Skills!I16,15),Skills!I16)/Skills!H16+0.000000001),1)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IFERROR(1/(IF(Inputs!$B$38="pvp",15,MAX(0.1,Skills!D16-IF(TRUE=TRUE,Inputs!$B$32,0)))*(1-IF(AND(ArtifactsInput!$M$27,Inputs!$B$4="Chapter Hunt"),CHOOSE(ArtifactsInput!$N$27+1,20,24,28,32,36,40),0)/100)),0)</f>
        <v/>
      </c>
      <c r="R927">
        <f>IF(AND(Inputs!$B$38&lt;&gt;"pvp",Inputs!$B$43&gt;0),IF(Inputs!$B$43&lt;=0,0,(INT(Inputs!$B$43/(IF(Inputs!$B$38="pvp",15,MAX(0.1,Skills!D16-IF(TRUE=TRUE,Inputs!$B$32,0)))*(1-IF(AND(ArtifactsInput!$M$27,Inputs!$B$4="Chapter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Skills!G17*IF(Skills!H17&gt;0,INT(IF(Inputs!$B$38="pvp",MIN(Skills!I17,15),Skills!I17)/Skills!H17+0.000000001),1)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IFERROR(1/(IF(Inputs!$B$38="pvp",15,MAX(0.1,Skills!D17-IF(TRUE=TRUE,Inputs!$B$32,0)))*(1-IF(AND(ArtifactsInput!$M$27,Inputs!$B$4="Chapter Hunt"),CHOOSE(ArtifactsInput!$N$27+1,20,24,28,32,36,40),0)/100)),0)</f>
        <v/>
      </c>
      <c r="R928">
        <f>IF(AND(Inputs!$B$38&lt;&gt;"pvp",Inputs!$B$43&gt;0),IF(Inputs!$B$43&lt;=0,0,(INT(Inputs!$B$43/(IF(Inputs!$B$38="pvp",15,MAX(0.1,Skills!D17-IF(TRUE=TRUE,Inputs!$B$32,0)))*(1-IF(AND(ArtifactsInput!$M$27,Inputs!$B$4="Chapter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Skills!G18*IF(Skills!H18&gt;0,INT(IF(Inputs!$B$38="pvp",MIN(Skills!I18,15),Skills!I18)/Skills!H18+0.000000001),1)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IFERROR(1/(IF(Inputs!$B$38="pvp",15,MAX(0.1,Skills!D18-IF(TRUE=TRUE,Inputs!$B$32,0)))*(1-IF(AND(ArtifactsInput!$M$27,Inputs!$B$4="Chapter Hunt"),CHOOSE(ArtifactsInput!$N$27+1,20,24,28,32,36,40),0)/100)),0)</f>
        <v/>
      </c>
      <c r="R929">
        <f>IF(AND(Inputs!$B$38&lt;&gt;"pvp",Inputs!$B$43&gt;0),IF(Inputs!$B$43&lt;=0,0,(INT(Inputs!$B$43/(IF(Inputs!$B$38="pvp",15,MAX(0.1,Skills!D18-IF(TRUE=TRUE,Inputs!$B$32,0)))*(1-IF(AND(ArtifactsInput!$M$27,Inputs!$B$4="Chapter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Skills!G19*IF(Skills!H19&gt;0,INT(IF(Inputs!$B$38="pvp",MIN(Skills!I19,15),Skills!I19)/Skills!H19+0.000000001),1)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IFERROR(1/(IF(Inputs!$B$38="pvp",15,MAX(0.1,Skills!D19-IF(TRUE=TRUE,Inputs!$B$32,0)))*(1-IF(AND(ArtifactsInput!$M$27,Inputs!$B$4="Chapter Hunt"),CHOOSE(ArtifactsInput!$N$27+1,20,24,28,32,36,40),0)/100)),0)</f>
        <v/>
      </c>
      <c r="R930">
        <f>IF(AND(Inputs!$B$38&lt;&gt;"pvp",Inputs!$B$43&gt;0),IF(Inputs!$B$43&lt;=0,0,(INT(Inputs!$B$43/(IF(Inputs!$B$38="pvp",15,MAX(0.1,Skills!D19-IF(TRUE=TRUE,Inputs!$B$32,0)))*(1-IF(AND(ArtifactsInput!$M$27,Inputs!$B$4="Chapter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Skills!G20*IF(Skills!H20&gt;0,INT(IF(Inputs!$B$38="pvp",MIN(Skills!I20,15),Skills!I20)/Skills!H20+0.000000001),1)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Skills!G21*IF(Skills!H21&gt;0,INT(IF(Inputs!$B$38="pvp",MIN(Skills!I21,15),Skills!I21)/Skills!H21+0.000000001),1)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Skills!G22*IF(Skills!H22&gt;0,INT(IF(Inputs!$B$38="pvp",MIN(Skills!I22,15),Skills!I22)/Skills!H22+0.000000001),1)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Skills!G23*IF(Skills!H23&gt;0,INT(IF(Inputs!$B$38="pvp",MIN(Skills!I23,15),Skills!I23)/Skills!H23+0.000000001),1)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Skills!G24*IF(Skills!H24&gt;0,INT(IF(Inputs!$B$38="pvp",MIN(Skills!I24,15),Skills!I24)/Skills!H24+0.000000001),1)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Skills!G25*IF(Skills!H25&gt;0,INT(IF(Inputs!$B$38="pvp",MIN(Skills!I25,15),Skills!I25)/Skills!H25+0.000000001),1)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Skills!G26*IF(Skills!H26&gt;0,INT(IF(Inputs!$B$38="pvp",MIN(Skills!I26,15),Skills!I26)/Skills!H26+0.000000001),1)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MIN((Skills!T19*(1+(Inputs!$B$34+(ArtifactsInput!$M$7-ArtifactsInput!$M$7)*CHOOSE(ArtifactsInput!$N$7+1,6,7.2,8.4,9.6,10.8,12))/100)),(1/Q930))+MIN((Skills!T19*(1+(Inputs!$B$34+(ArtifactsInput!$M$7-ArtifactsInput!$M$7)*CHOOSE(ArtifactsInput!$N$7+1,6,7.2,8.4,9.6,10.8,12))/100)),MAX(0,Inputs!$B$43-((R930-1)*(1/Q930)))))/Inputs!$B$43),IF(Inputs!$B$38="pvp",MIN((Skills!T19*(1+(Inputs!$B$34+(ArtifactsInput!$M$7-ArtifactsInput!$M$7)*CHOOSE(ArtifactsInput!$N$7+1,6,7.2,8.4,9.6,10.8,12))/100)),15)/15,MIN(1,(Skills!T19*(1+(Inputs!$B$34+(ArtifactsInput!$M$7-ArtifactsInput!$M$7)*CHOOSE(ArtifactsInput!$N$7+1,6,7.2,8.4,9.6,10.8,12))/100))/(1/Q930)))))</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MIN((Skills!T18*(1+(Inputs!$B$34+(ArtifactsInput!$M$7-ArtifactsInput!$M$7)*CHOOSE(ArtifactsInput!$N$7+1,6,7.2,8.4,9.6,10.8,12))/100)),(1/Q929))+MIN((Skills!T18*(1+(Inputs!$B$34+(ArtifactsInput!$M$7-ArtifactsInput!$M$7)*CHOOSE(ArtifactsInput!$N$7+1,6,7.2,8.4,9.6,10.8,12))/100)),MAX(0,Inputs!$B$43-((R929-1)*(1/Q929)))))/Inputs!$B$43),IF(Inputs!$B$38="pvp",MIN((Skills!T18*(1+(Inputs!$B$34+(ArtifactsInput!$M$7-ArtifactsInput!$M$7)*CHOOSE(ArtifactsInput!$N$7+1,6,7.2,8.4,9.6,10.8,12))/100)),15)/15,MIN(1,(Skills!T18*(1+(Inputs!$B$34+(ArtifactsInput!$M$7-ArtifactsInput!$M$7)*CHOOSE(ArtifactsInput!$N$7+1,6,7.2,8.4,9.6,10.8,12))/100))/(1/Q929)))))</f>
        <v/>
      </c>
    </row>
    <row r="946">
      <c r="A946" t="inlineStr">
        <is>
          <t>Global Final Damage Bonus % (Enrage + Combo Synergy)</t>
        </is>
      </c>
      <c r="B946">
        <f>((C928=TRUE)*F928*IF(AND(Inputs!$B$38&lt;&gt;"pvp",Inputs!$B$43&gt;0),(((R928-1)*MIN((Skills!T17*(1+(Inputs!$B$34+(ArtifactsInput!$M$7-ArtifactsInput!$M$7)*CHOOSE(ArtifactsInput!$N$7+1,6,7.2,8.4,9.6,10.8,12))/100)),(1/Q928))+MIN((Skills!T17*(1+(Inputs!$B$34+(ArtifactsInput!$M$7-ArtifactsInput!$M$7)*CHOOSE(ArtifactsInput!$N$7+1,6,7.2,8.4,9.6,10.8,12))/100)),MAX(0,Inputs!$B$43-((R928-1)*(1/Q928)))))/Inputs!$B$43),IF(Inputs!$B$38="pvp",MIN((Skills!T17*(1+(Inputs!$B$34+(ArtifactsInput!$M$7-ArtifactsInput!$M$7)*CHOOSE(ArtifactsInput!$N$7+1,6,7.2,8.4,9.6,10.8,12))/100)),15)/15,MIN(1,(Skills!T17*(1+(Inputs!$B$34+(ArtifactsInput!$M$7-ArtifactsInput!$M$7)*CHOOSE(ArtifactsInput!$N$7+1,6,7.2,8.4,9.6,10.8,12))/100))/(1/Q928)))))+((C925=TRUE)*F925*IF(Inputs!$B$3&gt;=118,8,IF(Inputs!$B$3&gt;=110,7,5)))+IF(Inputs!$B$3&gt;=98,5,0)</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Skills!G2*IF(Skills!H2&gt;0,INT(IF(Inputs!$B$38="pvp",MIN(Skills!I2,15),Skills!I2)/Skills!H2+0.000000001),1)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Skills!G5*IF(Skills!H5&gt;0,INT(IF(Inputs!$B$38="pvp",MIN(Skills!I5,15),Skills!I5)/Skills!H5+0.000000001),1)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IFERROR(1/(IF(Inputs!$B$38="pvp",15,MAX(0.1,Skills!D5-IF(TRUE=TRUE,Inputs!$B$32,0)))*(1-IF(AND(ArtifactsInput!$M$27,Inputs!$B$4="Chapter Hunt"),CHOOSE(ArtifactsInput!$N$27+1,20,24,28,32,36,40),0)/100)),0)</f>
        <v/>
      </c>
      <c r="R958">
        <f>IF(AND(Inputs!$B$38&lt;&gt;"pvp",Inputs!$B$43&gt;0),IF(MAX(0,Inputs!$B$43-B989)&lt;=0,0,(INT(MAX(0,Inputs!$B$43-B989)/(IF(Inputs!$B$38="pvp",15,MAX(0.1,Skills!D5-IF(TRUE=TRUE,Inputs!$B$32,0)))*(1-IF(AND(ArtifactsInput!$M$27,Inputs!$B$4="Chapter Hunt"),CHOOSE(ArtifactsInput!$N$27+1,20,24,28,32,36,40),0)/100)))+1)),0)</f>
        <v/>
      </c>
      <c r="S958">
        <f>IFERROR(O958/N958,0)</f>
        <v/>
      </c>
      <c r="T958">
        <f>IF(C958,(H958*N958*IF(AND(Inputs!$B$38&lt;&gt;"pvp",Inputs!$B$43&gt;0),((Skills!G5*((R958-1)*IF(Skills!H5&gt;0,INT(Skills!I5/Skills!H5+0.000000001),1)+IF(Skills!H5&gt;0,INT(MIN(Skills!I5,MAX(0,MAX(0,Inputs!$B$43-B989)-((R958-1)*(IF(Inputs!$B$38="pvp",15,MAX(0.1,Skills!D5-IF(TRUE=TRUE,Inputs!$B$32,0)))*(1-IF(AND(ArtifactsInput!$M$27,Inputs!$B$4="Chapter Hunt"),CHOOSE(ArtifactsInput!$N$27+1,20,24,28,32,36,40),0)/100)))))/Skills!H5+0.000000001),1)))/Inputs!$B$43),G958*Q958))*IF(Inputs!$B$38="pvp",1,1+(Inputs!$B$20+0+Skills!P5+(((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INT(Skills!I5/Skills!H5+0.000000001),1)+IF(Skills!H5&gt;0,INT(MIN(Skills!I5,MAX(0,MAX(0,Inputs!$B$43-B989)-((R958-1)*(IF(Inputs!$B$38="pvp",15,MAX(0.1,Skills!D5-IF(TRUE=TRUE,Inputs!$B$32,0)))*(1-IF(AND(ArtifactsInput!$M$27,Inputs!$B$4="Chapter Hunt"),CHOOSE(ArtifactsInput!$N$27+1,20,24,28,32,36,40),0)/100)))))/Skills!H5+0.000000001),1)))/Inputs!$B$43),G958*Q958))*IF(Inputs!$B$38="pvp",1,(1+(Inputs!$B$21+Skills!Q5+(((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Skills!G6*IF(Skills!H6&gt;0,INT(IF(Inputs!$B$38="pvp",MIN(Skills!I6,15),Skills!I6)/Skills!H6+0.000000001),1)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IFERROR(1/(IF(Inputs!$B$38="pvp",15,MAX(0.1,Skills!D6-IF(TRUE=TRUE,Inputs!$B$32,0)))*(1-IF(AND(ArtifactsInput!$M$27,Inputs!$B$4="Chapter Hunt"),CHOOSE(ArtifactsInput!$N$27+1,20,24,28,32,36,40),0)/100)),0)</f>
        <v/>
      </c>
      <c r="R959">
        <f>IF(AND(Inputs!$B$38&lt;&gt;"pvp",Inputs!$B$43&gt;0),IF(MAX(0,Inputs!$B$43-B989)&lt;=0,0,(INT(MAX(0,Inputs!$B$43-B989)/(IF(Inputs!$B$38="pvp",15,MAX(0.1,Skills!D6-IF(TRUE=TRUE,Inputs!$B$32,0)))*(1-IF(AND(ArtifactsInput!$M$27,Inputs!$B$4="Chapter Hunt"),CHOOSE(ArtifactsInput!$N$27+1,20,24,28,32,36,40),0)/100)))+1)),0)</f>
        <v/>
      </c>
      <c r="S959">
        <f>IFERROR(O959/N959,0)</f>
        <v/>
      </c>
      <c r="T959">
        <f>IF(C959,(H959*N959*IF(AND(Inputs!$B$38&lt;&gt;"pvp",Inputs!$B$43&gt;0),((Skills!G6*((R959-1)*IF(Skills!H6&gt;0,INT(Skills!I6/Skills!H6+0.000000001),1)+IF(Skills!H6&gt;0,INT(MIN(Skills!I6,MAX(0,MAX(0,Inputs!$B$43-B989)-((R959-1)*(IF(Inputs!$B$38="pvp",15,MAX(0.1,Skills!D6-IF(TRUE=TRUE,Inputs!$B$32,0)))*(1-IF(AND(ArtifactsInput!$M$27,Inputs!$B$4="Chapter Hunt"),CHOOSE(ArtifactsInput!$N$27+1,20,24,28,32,36,40),0)/100)))))/Skills!H6+0.000000001),1)))/Inputs!$B$43),G959*Q959))*IF(Inputs!$B$38="pvp",1,1+(Inputs!$B$20+0+Skills!P6+(((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INT(Skills!I6/Skills!H6+0.000000001),1)+IF(Skills!H6&gt;0,INT(MIN(Skills!I6,MAX(0,MAX(0,Inputs!$B$43-B989)-((R959-1)*(IF(Inputs!$B$38="pvp",15,MAX(0.1,Skills!D6-IF(TRUE=TRUE,Inputs!$B$32,0)))*(1-IF(AND(ArtifactsInput!$M$27,Inputs!$B$4="Chapter Hunt"),CHOOSE(ArtifactsInput!$N$27+1,20,24,28,32,36,40),0)/100)))))/Skills!H6+0.000000001),1)))/Inputs!$B$43),G959*Q959))*IF(Inputs!$B$38="pvp",1,(1+(Inputs!$B$21+Skills!Q6+(((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Skills!G7*IF(Skills!H7&gt;0,INT(IF(Inputs!$B$38="pvp",MIN(Skills!I7,15),Skills!I7)/Skills!H7+0.000000001),1)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IFERROR(1/(IF(Inputs!$B$38="pvp",15,MAX(0.1,Skills!D7-IF(TRUE=TRUE,Inputs!$B$32,0)))*(1-IF(AND(ArtifactsInput!$M$27,Inputs!$B$4="Chapter Hunt"),CHOOSE(ArtifactsInput!$N$27+1,20,24,28,32,36,40),0)/100)),0)</f>
        <v/>
      </c>
      <c r="R960">
        <f>IF(AND(Inputs!$B$38&lt;&gt;"pvp",Inputs!$B$43&gt;0),IF(MAX(0,Inputs!$B$43-B989)&lt;=0,0,(INT(MAX(0,Inputs!$B$43-B989)/(IF(Inputs!$B$38="pvp",15,MAX(0.1,Skills!D7-IF(TRUE=TRUE,Inputs!$B$32,0)))*(1-IF(AND(ArtifactsInput!$M$27,Inputs!$B$4="Chapter Hunt"),CHOOSE(ArtifactsInput!$N$27+1,20,24,28,32,36,40),0)/100)))+1)),0)</f>
        <v/>
      </c>
      <c r="S960">
        <f>IFERROR(O960/N960,0)</f>
        <v/>
      </c>
      <c r="T960">
        <f>IF(C960,(H960*N960*IF(AND(Inputs!$B$38&lt;&gt;"pvp",Inputs!$B$43&gt;0),((Skills!G7*((R960-1)*IF(Skills!H7&gt;0,INT(Skills!I7/Skills!H7+0.000000001),1)+IF(Skills!H7&gt;0,INT(MIN(Skills!I7,MAX(0,MAX(0,Inputs!$B$43-B989)-((R960-1)*(IF(Inputs!$B$38="pvp",15,MAX(0.1,Skills!D7-IF(TRUE=TRUE,Inputs!$B$32,0)))*(1-IF(AND(ArtifactsInput!$M$27,Inputs!$B$4="Chapter Hunt"),CHOOSE(ArtifactsInput!$N$27+1,20,24,28,32,36,40),0)/100)))))/Skills!H7+0.000000001),1)))/Inputs!$B$43),G960*Q960))*IF(Inputs!$B$38="pvp",1,1+(Inputs!$B$20+0+Skills!P7+(((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INT(Skills!I7/Skills!H7+0.000000001),1)+IF(Skills!H7&gt;0,INT(MIN(Skills!I7,MAX(0,MAX(0,Inputs!$B$43-B989)-((R960-1)*(IF(Inputs!$B$38="pvp",15,MAX(0.1,Skills!D7-IF(TRUE=TRUE,Inputs!$B$32,0)))*(1-IF(AND(ArtifactsInput!$M$27,Inputs!$B$4="Chapter Hunt"),CHOOSE(ArtifactsInput!$N$27+1,20,24,28,32,36,40),0)/100)))))/Skills!H7+0.000000001),1)))/Inputs!$B$43),G960*Q960))*IF(Inputs!$B$38="pvp",1,(1+(Inputs!$B$21+Skills!Q7+(((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Skills!G8*IF(Skills!H8&gt;0,INT(IF(Inputs!$B$38="pvp",MIN(Skills!I8,15),Skills!I8)/Skills!H8+0.000000001),1)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IFERROR(1/(IF(Inputs!$B$38="pvp",15,MAX(0.1,Skills!D8-IF(TRUE=TRUE,Inputs!$B$32,0)))*(1-IF(AND(ArtifactsInput!$M$27,Inputs!$B$4="Chapter Hunt"),CHOOSE(ArtifactsInput!$N$27+1,20,24,28,32,36,40),0)/100)),0)</f>
        <v/>
      </c>
      <c r="R961">
        <f>IF(AND(Inputs!$B$38&lt;&gt;"pvp",Inputs!$B$43&gt;0),IF(MAX(0,Inputs!$B$43-B989)&lt;=0,0,(INT(MAX(0,Inputs!$B$43-B989)/(IF(Inputs!$B$38="pvp",15,MAX(0.1,Skills!D8-IF(TRUE=TRUE,Inputs!$B$32,0)))*(1-IF(AND(ArtifactsInput!$M$27,Inputs!$B$4="Chapter Hunt"),CHOOSE(ArtifactsInput!$N$27+1,20,24,28,32,36,40),0)/100)))+1)),0)</f>
        <v/>
      </c>
      <c r="S961">
        <f>IFERROR(O961/N961,0)</f>
        <v/>
      </c>
      <c r="T961">
        <f>IF(C961,(H961*N961*IF(AND(Inputs!$B$38&lt;&gt;"pvp",Inputs!$B$43&gt;0),((Skills!G8*((R961-1)*IF(Skills!H8&gt;0,INT(Skills!I8/Skills!H8+0.000000001),1)+IF(Skills!H8&gt;0,INT(MIN(Skills!I8,MAX(0,MAX(0,Inputs!$B$43-B989)-((R961-1)*(IF(Inputs!$B$38="pvp",15,MAX(0.1,Skills!D8-IF(TRUE=TRUE,Inputs!$B$32,0)))*(1-IF(AND(ArtifactsInput!$M$27,Inputs!$B$4="Chapter Hunt"),CHOOSE(ArtifactsInput!$N$27+1,20,24,28,32,36,40),0)/100)))))/Skills!H8+0.000000001),1)))/Inputs!$B$43),G961*Q961))*IF(Inputs!$B$38="pvp",1,1+(Inputs!$B$20+0+Skills!P8+(((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INT(Skills!I8/Skills!H8+0.000000001),1)+IF(Skills!H8&gt;0,INT(MIN(Skills!I8,MAX(0,MAX(0,Inputs!$B$43-B989)-((R961-1)*(IF(Inputs!$B$38="pvp",15,MAX(0.1,Skills!D8-IF(TRUE=TRUE,Inputs!$B$32,0)))*(1-IF(AND(ArtifactsInput!$M$27,Inputs!$B$4="Chapter Hunt"),CHOOSE(ArtifactsInput!$N$27+1,20,24,28,32,36,40),0)/100)))))/Skills!H8+0.000000001),1)))/Inputs!$B$43),G961*Q961))*IF(Inputs!$B$38="pvp",1,(1+(Inputs!$B$21+Skills!Q8+(((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Skills!G9*IF(Skills!H9&gt;0,INT(IF(Inputs!$B$38="pvp",MIN(Skills!I9,15),Skills!I9)/Skills!H9+0.000000001),1)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138,MAX(0,IF(Inputs!$B$3&gt;=118,8,IF(Inputs!$B$3&gt;=110,7,5))-5)*50,0),0)/100)*(1+(IF(Skills!A9="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IFERROR(1/(IF(Inputs!$B$38="pvp",15,MAX(0.1,Skills!D9-IF(TRUE=TRUE,Inputs!$B$32,0)))*(1-IF(AND(ArtifactsInput!$M$27,Inputs!$B$4="Chapter Hunt"),CHOOSE(ArtifactsInput!$N$27+1,20,24,28,32,36,40),0)/100)),0)</f>
        <v/>
      </c>
      <c r="R962">
        <f>IF(AND(Inputs!$B$38&lt;&gt;"pvp",Inputs!$B$43&gt;0),IF(MAX(0,Inputs!$B$43-B989)&lt;=0,0,(INT(MAX(0,Inputs!$B$43-B989)/(IF(Inputs!$B$38="pvp",15,MAX(0.1,Skills!D9-IF(TRUE=TRUE,Inputs!$B$32,0)))*(1-IF(AND(ArtifactsInput!$M$27,Inputs!$B$4="Chapter Hunt"),CHOOSE(ArtifactsInput!$N$27+1,20,24,28,32,36,40),0)/100)))+1)),0)</f>
        <v/>
      </c>
      <c r="S962">
        <f>IFERROR(O962/N962,0)</f>
        <v/>
      </c>
      <c r="T962">
        <f>IF(C962,(H962*N962*IF(AND(Inputs!$B$38&lt;&gt;"pvp",Inputs!$B$43&gt;0),((Skills!G9*((R962-1)*IF(Skills!H9&gt;0,INT(Skills!I9/Skills!H9+0.000000001),1)+IF(Skills!H9&gt;0,INT(MIN(Skills!I9,MAX(0,MAX(0,Inputs!$B$43-B989)-((R962-1)*(IF(Inputs!$B$38="pvp",15,MAX(0.1,Skills!D9-IF(TRUE=TRUE,Inputs!$B$32,0)))*(1-IF(AND(ArtifactsInput!$M$27,Inputs!$B$4="Chapter Hunt"),CHOOSE(ArtifactsInput!$N$27+1,20,24,28,32,36,40),0)/100)))))/Skills!H9+0.000000001),1)))/Inputs!$B$43),G962*Q962))*IF(Inputs!$B$38="pvp",1,1+(Inputs!$B$20+0+Skills!P9+(((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INT(Skills!I9/Skills!H9+0.000000001),1)+IF(Skills!H9&gt;0,INT(MIN(Skills!I9,MAX(0,MAX(0,Inputs!$B$43-B989)-((R962-1)*(IF(Inputs!$B$38="pvp",15,MAX(0.1,Skills!D9-IF(TRUE=TRUE,Inputs!$B$32,0)))*(1-IF(AND(ArtifactsInput!$M$27,Inputs!$B$4="Chapter Hunt"),CHOOSE(ArtifactsInput!$N$27+1,20,24,28,32,36,40),0)/100)))))/Skills!H9+0.000000001),1)))/Inputs!$B$43),G962*Q962))*IF(Inputs!$B$38="pvp",1,(1+(Inputs!$B$21+Skills!Q9+(((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Skills!G10*IF(Skills!H10&gt;0,INT(IF(Inputs!$B$38="pvp",MIN(Skills!I10,15),Skills!I10)/Skills!H10+0.000000001),1)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138,MAX(0,IF(Inputs!$B$3&gt;=118,8,IF(Inputs!$B$3&gt;=110,7,5))-5)*50,0),0)/100)*(1+(IF(Skills!A10="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IFERROR(1/(IF(Inputs!$B$38="pvp",15,MAX(0.1,Skills!D10-IF(TRUE=TRUE,Inputs!$B$32,0)))*(1-IF(AND(ArtifactsInput!$M$27,Inputs!$B$4="Chapter Hunt"),CHOOSE(ArtifactsInput!$N$27+1,20,24,28,32,36,40),0)/100)),0)</f>
        <v/>
      </c>
      <c r="R963">
        <f>IF(AND(Inputs!$B$38&lt;&gt;"pvp",Inputs!$B$43&gt;0),IF(MAX(0,Inputs!$B$43-B989)&lt;=0,0,(INT(MAX(0,Inputs!$B$43-B989)/(IF(Inputs!$B$38="pvp",15,MAX(0.1,Skills!D10-IF(TRUE=TRUE,Inputs!$B$32,0)))*(1-IF(AND(ArtifactsInput!$M$27,Inputs!$B$4="Chapter Hunt"),CHOOSE(ArtifactsInput!$N$27+1,20,24,28,32,36,40),0)/100)))+1)),0)</f>
        <v/>
      </c>
      <c r="S963">
        <f>IFERROR(O963/N963,0)</f>
        <v/>
      </c>
      <c r="T963">
        <f>IF(C963,(H963*N963*IF(AND(Inputs!$B$38&lt;&gt;"pvp",Inputs!$B$43&gt;0),((Skills!G10*((R963-1)*IF(Skills!H10&gt;0,INT(Skills!I10/Skills!H10+0.000000001),1)+IF(Skills!H10&gt;0,INT(MIN(Skills!I10,MAX(0,MAX(0,Inputs!$B$43-B989)-((R963-1)*(IF(Inputs!$B$38="pvp",15,MAX(0.1,Skills!D10-IF(TRUE=TRUE,Inputs!$B$32,0)))*(1-IF(AND(ArtifactsInput!$M$27,Inputs!$B$4="Chapter Hunt"),CHOOSE(ArtifactsInput!$N$27+1,20,24,28,32,36,40),0)/100)))))/Skills!H10+0.000000001),1)))/Inputs!$B$43),G963*Q963))*IF(Inputs!$B$38="pvp",1,1+(Inputs!$B$20+0+Skills!P10+(((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INT(Skills!I10/Skills!H10+0.000000001),1)+IF(Skills!H10&gt;0,INT(MIN(Skills!I10,MAX(0,MAX(0,Inputs!$B$43-B989)-((R963-1)*(IF(Inputs!$B$38="pvp",15,MAX(0.1,Skills!D10-IF(TRUE=TRUE,Inputs!$B$32,0)))*(1-IF(AND(ArtifactsInput!$M$27,Inputs!$B$4="Chapter Hunt"),CHOOSE(ArtifactsInput!$N$27+1,20,24,28,32,36,40),0)/100)))))/Skills!H10+0.000000001),1)))/Inputs!$B$43),G963*Q963))*IF(Inputs!$B$38="pvp",1,(1+(Inputs!$B$21+Skills!Q10+(((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Skills!G11*IF(Skills!H11&gt;0,INT(IF(Inputs!$B$38="pvp",MIN(Skills!I11,15),Skills!I11)/Skills!H11+0.000000001),1)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138,MAX(0,IF(Inputs!$B$3&gt;=118,8,IF(Inputs!$B$3&gt;=110,7,5))-5)*50,0),0)/100)*(1+(IF(Skills!A11="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IFERROR(1/(IF(Inputs!$B$38="pvp",15,MAX(0.1,Skills!D11-IF(TRUE=TRUE,Inputs!$B$32,0)))*(1-IF(AND(ArtifactsInput!$M$27,Inputs!$B$4="Chapter Hunt"),CHOOSE(ArtifactsInput!$N$27+1,20,24,28,32,36,40),0)/100)),0)</f>
        <v/>
      </c>
      <c r="R964">
        <f>IF(AND(Inputs!$B$38&lt;&gt;"pvp",Inputs!$B$43&gt;0),IF(MAX(0,Inputs!$B$43-B989)&lt;=0,0,(INT(MAX(0,Inputs!$B$43-B989)/(IF(Inputs!$B$38="pvp",15,MAX(0.1,Skills!D11-IF(TRUE=TRUE,Inputs!$B$32,0)))*(1-IF(AND(ArtifactsInput!$M$27,Inputs!$B$4="Chapter Hunt"),CHOOSE(ArtifactsInput!$N$27+1,20,24,28,32,36,40),0)/100)))+1)),0)</f>
        <v/>
      </c>
      <c r="S964">
        <f>IFERROR(O964/N964,0)</f>
        <v/>
      </c>
      <c r="T964">
        <f>IF(C964,(H964*N964*IF(AND(Inputs!$B$38&lt;&gt;"pvp",Inputs!$B$43&gt;0),((Skills!G11*((R964-1)*IF(Skills!H11&gt;0,INT(Skills!I11/Skills!H11+0.000000001),1)+IF(Skills!H11&gt;0,INT(MIN(Skills!I11,MAX(0,MAX(0,Inputs!$B$43-B989)-((R964-1)*(IF(Inputs!$B$38="pvp",15,MAX(0.1,Skills!D11-IF(TRUE=TRUE,Inputs!$B$32,0)))*(1-IF(AND(ArtifactsInput!$M$27,Inputs!$B$4="Chapter Hunt"),CHOOSE(ArtifactsInput!$N$27+1,20,24,28,32,36,40),0)/100)))))/Skills!H11+0.000000001),1)))/Inputs!$B$43),G964*Q964))*IF(Inputs!$B$38="pvp",1,1+(Inputs!$B$20+0+Skills!P11+(((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INT(Skills!I11/Skills!H11+0.000000001),1)+IF(Skills!H11&gt;0,INT(MIN(Skills!I11,MAX(0,MAX(0,Inputs!$B$43-B989)-((R964-1)*(IF(Inputs!$B$38="pvp",15,MAX(0.1,Skills!D11-IF(TRUE=TRUE,Inputs!$B$32,0)))*(1-IF(AND(ArtifactsInput!$M$27,Inputs!$B$4="Chapter Hunt"),CHOOSE(ArtifactsInput!$N$27+1,20,24,28,32,36,40),0)/100)))))/Skills!H11+0.000000001),1)))/Inputs!$B$43),G964*Q964))*IF(Inputs!$B$38="pvp",1,(1+(Inputs!$B$21+Skills!Q11+(((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Skills!G13*IF(Skills!H13&gt;0,INT(IF(Inputs!$B$38="pvp",MIN(Skills!I13,15),Skills!I13)/Skills!H13+0.000000001),1)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Skills!G14*IF(Skills!H14&gt;0,INT(IF(Inputs!$B$38="pvp",MIN(Skills!I14,15),Skills!I14)/Skills!H14+0.000000001),1)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Skills!G15*IF(Skills!H15&gt;0,INT(IF(Inputs!$B$38="pvp",MIN(Skills!I15,15),Skills!I15)/Skills!H15+0.000000001),1)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IFERROR(1/(IF(Inputs!$B$38="pvp",15,MAX(0.1,Skills!D15-IF(TRUE=TRUE,Inputs!$B$32,0)))*(1-IF(AND(ArtifactsInput!$M$27,Inputs!$B$4="Chapter Hunt"),CHOOSE(ArtifactsInput!$N$27+1,20,24,28,32,36,40),0)/100)),0)</f>
        <v/>
      </c>
      <c r="R968">
        <f>IF(AND(Inputs!$B$38&lt;&gt;"pvp",Inputs!$B$43&gt;0),IF(Inputs!$B$43&lt;=0,0,(INT(Inputs!$B$43/(IF(Inputs!$B$38="pvp",15,MAX(0.1,Skills!D15-IF(TRUE=TRUE,Inputs!$B$32,0)))*(1-IF(AND(ArtifactsInput!$M$27,Inputs!$B$4="Chapter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Skills!G16*IF(Skills!H16&gt;0,INT(IF(Inputs!$B$38="pvp",MIN(Skills!I16,15),Skills!I16)/Skills!H16+0.000000001),1)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IFERROR(1/(IF(Inputs!$B$38="pvp",15,MAX(0.1,Skills!D16-IF(TRUE=TRUE,Inputs!$B$32,0)))*(1-IF(AND(ArtifactsInput!$M$27,Inputs!$B$4="Chapter Hunt"),CHOOSE(ArtifactsInput!$N$27+1,20,24,28,32,36,40),0)/100)),0)</f>
        <v/>
      </c>
      <c r="R969">
        <f>IF(AND(Inputs!$B$38&lt;&gt;"pvp",Inputs!$B$43&gt;0),IF(Inputs!$B$43&lt;=0,0,(INT(Inputs!$B$43/(IF(Inputs!$B$38="pvp",15,MAX(0.1,Skills!D16-IF(TRUE=TRUE,Inputs!$B$32,0)))*(1-IF(AND(ArtifactsInput!$M$27,Inputs!$B$4="Chapter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Skills!G17*IF(Skills!H17&gt;0,INT(IF(Inputs!$B$38="pvp",MIN(Skills!I17,15),Skills!I17)/Skills!H17+0.000000001),1)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IFERROR(1/(IF(Inputs!$B$38="pvp",15,MAX(0.1,Skills!D17-IF(TRUE=TRUE,Inputs!$B$32,0)))*(1-IF(AND(ArtifactsInput!$M$27,Inputs!$B$4="Chapter Hunt"),CHOOSE(ArtifactsInput!$N$27+1,20,24,28,32,36,40),0)/100)),0)</f>
        <v/>
      </c>
      <c r="R970">
        <f>IF(AND(Inputs!$B$38&lt;&gt;"pvp",Inputs!$B$43&gt;0),IF(Inputs!$B$43&lt;=0,0,(INT(Inputs!$B$43/(IF(Inputs!$B$38="pvp",15,MAX(0.1,Skills!D17-IF(TRUE=TRUE,Inputs!$B$32,0)))*(1-IF(AND(ArtifactsInput!$M$27,Inputs!$B$4="Chapter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Skills!G18*IF(Skills!H18&gt;0,INT(IF(Inputs!$B$38="pvp",MIN(Skills!I18,15),Skills!I18)/Skills!H18+0.000000001),1)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IFERROR(1/(IF(Inputs!$B$38="pvp",15,MAX(0.1,Skills!D18-IF(TRUE=TRUE,Inputs!$B$32,0)))*(1-IF(AND(ArtifactsInput!$M$27,Inputs!$B$4="Chapter Hunt"),CHOOSE(ArtifactsInput!$N$27+1,20,24,28,32,36,40),0)/100)),0)</f>
        <v/>
      </c>
      <c r="R971">
        <f>IF(AND(Inputs!$B$38&lt;&gt;"pvp",Inputs!$B$43&gt;0),IF(Inputs!$B$43&lt;=0,0,(INT(Inputs!$B$43/(IF(Inputs!$B$38="pvp",15,MAX(0.1,Skills!D18-IF(TRUE=TRUE,Inputs!$B$32,0)))*(1-IF(AND(ArtifactsInput!$M$27,Inputs!$B$4="Chapter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Skills!G19*IF(Skills!H19&gt;0,INT(IF(Inputs!$B$38="pvp",MIN(Skills!I19,15),Skills!I19)/Skills!H19+0.000000001),1)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IFERROR(1/(IF(Inputs!$B$38="pvp",15,MAX(0.1,Skills!D19-IF(TRUE=TRUE,Inputs!$B$32,0)))*(1-IF(AND(ArtifactsInput!$M$27,Inputs!$B$4="Chapter Hunt"),CHOOSE(ArtifactsInput!$N$27+1,20,24,28,32,36,40),0)/100)),0)</f>
        <v/>
      </c>
      <c r="R972">
        <f>IF(AND(Inputs!$B$38&lt;&gt;"pvp",Inputs!$B$43&gt;0),IF(Inputs!$B$43&lt;=0,0,(INT(Inputs!$B$43/(IF(Inputs!$B$38="pvp",15,MAX(0.1,Skills!D19-IF(TRUE=TRUE,Inputs!$B$32,0)))*(1-IF(AND(ArtifactsInput!$M$27,Inputs!$B$4="Chapter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Skills!G20*IF(Skills!H20&gt;0,INT(IF(Inputs!$B$38="pvp",MIN(Skills!I20,15),Skills!I20)/Skills!H20+0.000000001),1)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Skills!G21*IF(Skills!H21&gt;0,INT(IF(Inputs!$B$38="pvp",MIN(Skills!I21,15),Skills!I21)/Skills!H21+0.000000001),1)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Skills!G22*IF(Skills!H22&gt;0,INT(IF(Inputs!$B$38="pvp",MIN(Skills!I22,15),Skills!I22)/Skills!H22+0.000000001),1)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Skills!G23*IF(Skills!H23&gt;0,INT(IF(Inputs!$B$38="pvp",MIN(Skills!I23,15),Skills!I23)/Skills!H23+0.000000001),1)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Skills!G24*IF(Skills!H24&gt;0,INT(IF(Inputs!$B$38="pvp",MIN(Skills!I24,15),Skills!I24)/Skills!H24+0.000000001),1)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Skills!G25*IF(Skills!H25&gt;0,INT(IF(Inputs!$B$38="pvp",MIN(Skills!I25,15),Skills!I25)/Skills!H25+0.000000001),1)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Skills!G26*IF(Skills!H26&gt;0,INT(IF(Inputs!$B$38="pvp",MIN(Skills!I26,15),Skills!I26)/Skills!H26+0.000000001),1)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MIN((Skills!T19*(1+(Inputs!$B$34+(ArtifactsInput!$M$7-ArtifactsInput!$M$7)*CHOOSE(ArtifactsInput!$N$7+1,6,7.2,8.4,9.6,10.8,12))/100)),(1/Q972))+MIN((Skills!T19*(1+(Inputs!$B$34+(ArtifactsInput!$M$7-ArtifactsInput!$M$7)*CHOOSE(ArtifactsInput!$N$7+1,6,7.2,8.4,9.6,10.8,12))/100)),MAX(0,Inputs!$B$43-((R972-1)*(1/Q972)))))/Inputs!$B$43),IF(Inputs!$B$38="pvp",MIN((Skills!T19*(1+(Inputs!$B$34+(ArtifactsInput!$M$7-ArtifactsInput!$M$7)*CHOOSE(ArtifactsInput!$N$7+1,6,7.2,8.4,9.6,10.8,12))/100)),15)/15,MIN(1,(Skills!T19*(1+(Inputs!$B$34+(ArtifactsInput!$M$7-ArtifactsInput!$M$7)*CHOOSE(ArtifactsInput!$N$7+1,6,7.2,8.4,9.6,10.8,12))/100))/(1/Q972)))))</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MIN((Skills!T18*(1+(Inputs!$B$34+(ArtifactsInput!$M$7-ArtifactsInput!$M$7)*CHOOSE(ArtifactsInput!$N$7+1,6,7.2,8.4,9.6,10.8,12))/100)),(1/Q971))+MIN((Skills!T18*(1+(Inputs!$B$34+(ArtifactsInput!$M$7-ArtifactsInput!$M$7)*CHOOSE(ArtifactsInput!$N$7+1,6,7.2,8.4,9.6,10.8,12))/100)),MAX(0,Inputs!$B$43-((R971-1)*(1/Q971)))))/Inputs!$B$43),IF(Inputs!$B$38="pvp",MIN((Skills!T18*(1+(Inputs!$B$34+(ArtifactsInput!$M$7-ArtifactsInput!$M$7)*CHOOSE(ArtifactsInput!$N$7+1,6,7.2,8.4,9.6,10.8,12))/100)),15)/15,MIN(1,(Skills!T18*(1+(Inputs!$B$34+(ArtifactsInput!$M$7-ArtifactsInput!$M$7)*CHOOSE(ArtifactsInput!$N$7+1,6,7.2,8.4,9.6,10.8,12))/100))/(1/Q971)))))</f>
        <v/>
      </c>
    </row>
    <row r="988">
      <c r="A988" t="inlineStr">
        <is>
          <t>Global Final Damage Bonus % (Enrage + Combo Synergy)</t>
        </is>
      </c>
      <c r="B988">
        <f>((C970=TRUE)*F970*IF(AND(Inputs!$B$38&lt;&gt;"pvp",Inputs!$B$43&gt;0),(((R970-1)*MIN((Skills!T17*(1+(Inputs!$B$34+(ArtifactsInput!$M$7-ArtifactsInput!$M$7)*CHOOSE(ArtifactsInput!$N$7+1,6,7.2,8.4,9.6,10.8,12))/100)),(1/Q970))+MIN((Skills!T17*(1+(Inputs!$B$34+(ArtifactsInput!$M$7-ArtifactsInput!$M$7)*CHOOSE(ArtifactsInput!$N$7+1,6,7.2,8.4,9.6,10.8,12))/100)),MAX(0,Inputs!$B$43-((R970-1)*(1/Q970)))))/Inputs!$B$43),IF(Inputs!$B$38="pvp",MIN((Skills!T17*(1+(Inputs!$B$34+(ArtifactsInput!$M$7-ArtifactsInput!$M$7)*CHOOSE(ArtifactsInput!$N$7+1,6,7.2,8.4,9.6,10.8,12))/100)),15)/15,MIN(1,(Skills!T17*(1+(Inputs!$B$34+(ArtifactsInput!$M$7-ArtifactsInput!$M$7)*CHOOSE(ArtifactsInput!$N$7+1,6,7.2,8.4,9.6,10.8,12))/100))/(1/Q970)))))+((C967=TRUE)*F967*IF(Inputs!$B$3&gt;=118,8,IF(Inputs!$B$3&gt;=110,7,5)))+IF(Inputs!$B$3&gt;=98,5,0)</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Skills!G2*IF(Skills!H2&gt;0,INT(IF(Inputs!$B$38="pvp",MIN(Skills!I2,15),Skills!I2)/Skills!H2+0.000000001),1)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Skills!G5*IF(Skills!H5&gt;0,INT(IF(Inputs!$B$38="pvp",MIN(Skills!I5,15),Skills!I5)/Skills!H5+0.000000001),1)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IFERROR(1/(IF(Inputs!$B$38="pvp",15,MAX(0.1,Skills!D5-IF(TRUE=TRUE,Inputs!$B$32,0)))*(1-IF(AND(ArtifactsInput!$M$27,Inputs!$B$4="Chapter Hunt"),CHOOSE(ArtifactsInput!$N$27+1,20,24,28,32,36,40),0)/100)),0)</f>
        <v/>
      </c>
      <c r="R1000">
        <f>IF(AND(Inputs!$B$38&lt;&gt;"pvp",Inputs!$B$43&gt;0),IF(MAX(0,Inputs!$B$43-B1031)&lt;=0,0,(INT(MAX(0,Inputs!$B$43-B1031)/(IF(Inputs!$B$38="pvp",15,MAX(0.1,Skills!D5-IF(TRUE=TRUE,Inputs!$B$32,0)))*(1-IF(AND(ArtifactsInput!$M$27,Inputs!$B$4="Chapter Hunt"),CHOOSE(ArtifactsInput!$N$27+1,20,24,28,32,36,40),0)/100)))+1)),0)</f>
        <v/>
      </c>
      <c r="S1000">
        <f>IFERROR(O1000/N1000,0)</f>
        <v/>
      </c>
      <c r="T1000">
        <f>IF(C1000,(H1000*N1000*IF(AND(Inputs!$B$38&lt;&gt;"pvp",Inputs!$B$43&gt;0),((Skills!G5*((R1000-1)*IF(Skills!H5&gt;0,INT(Skills!I5/Skills!H5+0.000000001),1)+IF(Skills!H5&gt;0,INT(MIN(Skills!I5,MAX(0,MAX(0,Inputs!$B$43-B1031)-((R1000-1)*(IF(Inputs!$B$38="pvp",15,MAX(0.1,Skills!D5-IF(TRUE=TRUE,Inputs!$B$32,0)))*(1-IF(AND(ArtifactsInput!$M$27,Inputs!$B$4="Chapter Hunt"),CHOOSE(ArtifactsInput!$N$27+1,20,24,28,32,36,40),0)/100)))))/Skills!H5+0.000000001),1)))/Inputs!$B$43),G1000*Q1000))*IF(Inputs!$B$38="pvp",1,1+(Inputs!$B$20+0+Skills!P5+(((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INT(Skills!I5/Skills!H5+0.000000001),1)+IF(Skills!H5&gt;0,INT(MIN(Skills!I5,MAX(0,MAX(0,Inputs!$B$43-B1031)-((R1000-1)*(IF(Inputs!$B$38="pvp",15,MAX(0.1,Skills!D5-IF(TRUE=TRUE,Inputs!$B$32,0)))*(1-IF(AND(ArtifactsInput!$M$27,Inputs!$B$4="Chapter Hunt"),CHOOSE(ArtifactsInput!$N$27+1,20,24,28,32,36,40),0)/100)))))/Skills!H5+0.000000001),1)))/Inputs!$B$43),G1000*Q1000))*IF(Inputs!$B$38="pvp",1,(1+(Inputs!$B$21+Skills!Q5+(((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Skills!G6*IF(Skills!H6&gt;0,INT(IF(Inputs!$B$38="pvp",MIN(Skills!I6,15),Skills!I6)/Skills!H6+0.000000001),1)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IFERROR(1/(IF(Inputs!$B$38="pvp",15,MAX(0.1,Skills!D6-IF(TRUE=TRUE,Inputs!$B$32,0)))*(1-IF(AND(ArtifactsInput!$M$27,Inputs!$B$4="Chapter Hunt"),CHOOSE(ArtifactsInput!$N$27+1,20,24,28,32,36,40),0)/100)),0)</f>
        <v/>
      </c>
      <c r="R1001">
        <f>IF(AND(Inputs!$B$38&lt;&gt;"pvp",Inputs!$B$43&gt;0),IF(MAX(0,Inputs!$B$43-B1031)&lt;=0,0,(INT(MAX(0,Inputs!$B$43-B1031)/(IF(Inputs!$B$38="pvp",15,MAX(0.1,Skills!D6-IF(TRUE=TRUE,Inputs!$B$32,0)))*(1-IF(AND(ArtifactsInput!$M$27,Inputs!$B$4="Chapter Hunt"),CHOOSE(ArtifactsInput!$N$27+1,20,24,28,32,36,40),0)/100)))+1)),0)</f>
        <v/>
      </c>
      <c r="S1001">
        <f>IFERROR(O1001/N1001,0)</f>
        <v/>
      </c>
      <c r="T1001">
        <f>IF(C1001,(H1001*N1001*IF(AND(Inputs!$B$38&lt;&gt;"pvp",Inputs!$B$43&gt;0),((Skills!G6*((R1001-1)*IF(Skills!H6&gt;0,INT(Skills!I6/Skills!H6+0.000000001),1)+IF(Skills!H6&gt;0,INT(MIN(Skills!I6,MAX(0,MAX(0,Inputs!$B$43-B1031)-((R1001-1)*(IF(Inputs!$B$38="pvp",15,MAX(0.1,Skills!D6-IF(TRUE=TRUE,Inputs!$B$32,0)))*(1-IF(AND(ArtifactsInput!$M$27,Inputs!$B$4="Chapter Hunt"),CHOOSE(ArtifactsInput!$N$27+1,20,24,28,32,36,40),0)/100)))))/Skills!H6+0.000000001),1)))/Inputs!$B$43),G1001*Q1001))*IF(Inputs!$B$38="pvp",1,1+(Inputs!$B$20+0+Skills!P6+(((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INT(Skills!I6/Skills!H6+0.000000001),1)+IF(Skills!H6&gt;0,INT(MIN(Skills!I6,MAX(0,MAX(0,Inputs!$B$43-B1031)-((R1001-1)*(IF(Inputs!$B$38="pvp",15,MAX(0.1,Skills!D6-IF(TRUE=TRUE,Inputs!$B$32,0)))*(1-IF(AND(ArtifactsInput!$M$27,Inputs!$B$4="Chapter Hunt"),CHOOSE(ArtifactsInput!$N$27+1,20,24,28,32,36,40),0)/100)))))/Skills!H6+0.000000001),1)))/Inputs!$B$43),G1001*Q1001))*IF(Inputs!$B$38="pvp",1,(1+(Inputs!$B$21+Skills!Q6+(((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Skills!G7*IF(Skills!H7&gt;0,INT(IF(Inputs!$B$38="pvp",MIN(Skills!I7,15),Skills!I7)/Skills!H7+0.000000001),1)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IFERROR(1/(IF(Inputs!$B$38="pvp",15,MAX(0.1,Skills!D7-IF(TRUE=TRUE,Inputs!$B$32,0)))*(1-IF(AND(ArtifactsInput!$M$27,Inputs!$B$4="Chapter Hunt"),CHOOSE(ArtifactsInput!$N$27+1,20,24,28,32,36,40),0)/100)),0)</f>
        <v/>
      </c>
      <c r="R1002">
        <f>IF(AND(Inputs!$B$38&lt;&gt;"pvp",Inputs!$B$43&gt;0),IF(MAX(0,Inputs!$B$43-B1031)&lt;=0,0,(INT(MAX(0,Inputs!$B$43-B1031)/(IF(Inputs!$B$38="pvp",15,MAX(0.1,Skills!D7-IF(TRUE=TRUE,Inputs!$B$32,0)))*(1-IF(AND(ArtifactsInput!$M$27,Inputs!$B$4="Chapter Hunt"),CHOOSE(ArtifactsInput!$N$27+1,20,24,28,32,36,40),0)/100)))+1)),0)</f>
        <v/>
      </c>
      <c r="S1002">
        <f>IFERROR(O1002/N1002,0)</f>
        <v/>
      </c>
      <c r="T1002">
        <f>IF(C1002,(H1002*N1002*IF(AND(Inputs!$B$38&lt;&gt;"pvp",Inputs!$B$43&gt;0),((Skills!G7*((R1002-1)*IF(Skills!H7&gt;0,INT(Skills!I7/Skills!H7+0.000000001),1)+IF(Skills!H7&gt;0,INT(MIN(Skills!I7,MAX(0,MAX(0,Inputs!$B$43-B1031)-((R1002-1)*(IF(Inputs!$B$38="pvp",15,MAX(0.1,Skills!D7-IF(TRUE=TRUE,Inputs!$B$32,0)))*(1-IF(AND(ArtifactsInput!$M$27,Inputs!$B$4="Chapter Hunt"),CHOOSE(ArtifactsInput!$N$27+1,20,24,28,32,36,40),0)/100)))))/Skills!H7+0.000000001),1)))/Inputs!$B$43),G1002*Q1002))*IF(Inputs!$B$38="pvp",1,1+(Inputs!$B$20+0+Skills!P7+(((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INT(Skills!I7/Skills!H7+0.000000001),1)+IF(Skills!H7&gt;0,INT(MIN(Skills!I7,MAX(0,MAX(0,Inputs!$B$43-B1031)-((R1002-1)*(IF(Inputs!$B$38="pvp",15,MAX(0.1,Skills!D7-IF(TRUE=TRUE,Inputs!$B$32,0)))*(1-IF(AND(ArtifactsInput!$M$27,Inputs!$B$4="Chapter Hunt"),CHOOSE(ArtifactsInput!$N$27+1,20,24,28,32,36,40),0)/100)))))/Skills!H7+0.000000001),1)))/Inputs!$B$43),G1002*Q1002))*IF(Inputs!$B$38="pvp",1,(1+(Inputs!$B$21+Skills!Q7+(((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Skills!G8*IF(Skills!H8&gt;0,INT(IF(Inputs!$B$38="pvp",MIN(Skills!I8,15),Skills!I8)/Skills!H8+0.000000001),1)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IFERROR(1/(IF(Inputs!$B$38="pvp",15,MAX(0.1,Skills!D8-IF(TRUE=TRUE,Inputs!$B$32,0)))*(1-IF(AND(ArtifactsInput!$M$27,Inputs!$B$4="Chapter Hunt"),CHOOSE(ArtifactsInput!$N$27+1,20,24,28,32,36,40),0)/100)),0)</f>
        <v/>
      </c>
      <c r="R1003">
        <f>IF(AND(Inputs!$B$38&lt;&gt;"pvp",Inputs!$B$43&gt;0),IF(MAX(0,Inputs!$B$43-B1031)&lt;=0,0,(INT(MAX(0,Inputs!$B$43-B1031)/(IF(Inputs!$B$38="pvp",15,MAX(0.1,Skills!D8-IF(TRUE=TRUE,Inputs!$B$32,0)))*(1-IF(AND(ArtifactsInput!$M$27,Inputs!$B$4="Chapter Hunt"),CHOOSE(ArtifactsInput!$N$27+1,20,24,28,32,36,40),0)/100)))+1)),0)</f>
        <v/>
      </c>
      <c r="S1003">
        <f>IFERROR(O1003/N1003,0)</f>
        <v/>
      </c>
      <c r="T1003">
        <f>IF(C1003,(H1003*N1003*IF(AND(Inputs!$B$38&lt;&gt;"pvp",Inputs!$B$43&gt;0),((Skills!G8*((R1003-1)*IF(Skills!H8&gt;0,INT(Skills!I8/Skills!H8+0.000000001),1)+IF(Skills!H8&gt;0,INT(MIN(Skills!I8,MAX(0,MAX(0,Inputs!$B$43-B1031)-((R1003-1)*(IF(Inputs!$B$38="pvp",15,MAX(0.1,Skills!D8-IF(TRUE=TRUE,Inputs!$B$32,0)))*(1-IF(AND(ArtifactsInput!$M$27,Inputs!$B$4="Chapter Hunt"),CHOOSE(ArtifactsInput!$N$27+1,20,24,28,32,36,40),0)/100)))))/Skills!H8+0.000000001),1)))/Inputs!$B$43),G1003*Q1003))*IF(Inputs!$B$38="pvp",1,1+(Inputs!$B$20+0+Skills!P8+(((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INT(Skills!I8/Skills!H8+0.000000001),1)+IF(Skills!H8&gt;0,INT(MIN(Skills!I8,MAX(0,MAX(0,Inputs!$B$43-B1031)-((R1003-1)*(IF(Inputs!$B$38="pvp",15,MAX(0.1,Skills!D8-IF(TRUE=TRUE,Inputs!$B$32,0)))*(1-IF(AND(ArtifactsInput!$M$27,Inputs!$B$4="Chapter Hunt"),CHOOSE(ArtifactsInput!$N$27+1,20,24,28,32,36,40),0)/100)))))/Skills!H8+0.000000001),1)))/Inputs!$B$43),G1003*Q1003))*IF(Inputs!$B$38="pvp",1,(1+(Inputs!$B$21+Skills!Q8+(((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Skills!G9*IF(Skills!H9&gt;0,INT(IF(Inputs!$B$38="pvp",MIN(Skills!I9,15),Skills!I9)/Skills!H9+0.000000001),1)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138,MAX(0,IF(Inputs!$B$3&gt;=118,8,IF(Inputs!$B$3&gt;=110,7,5))-5)*50,0),0)/100)*(1+(IF(Skills!A9="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IFERROR(1/(IF(Inputs!$B$38="pvp",15,MAX(0.1,Skills!D9-IF(TRUE=TRUE,Inputs!$B$32,0)))*(1-IF(AND(ArtifactsInput!$M$27,Inputs!$B$4="Chapter Hunt"),CHOOSE(ArtifactsInput!$N$27+1,20,24,28,32,36,40),0)/100)),0)</f>
        <v/>
      </c>
      <c r="R1004">
        <f>IF(AND(Inputs!$B$38&lt;&gt;"pvp",Inputs!$B$43&gt;0),IF(MAX(0,Inputs!$B$43-B1031)&lt;=0,0,(INT(MAX(0,Inputs!$B$43-B1031)/(IF(Inputs!$B$38="pvp",15,MAX(0.1,Skills!D9-IF(TRUE=TRUE,Inputs!$B$32,0)))*(1-IF(AND(ArtifactsInput!$M$27,Inputs!$B$4="Chapter Hunt"),CHOOSE(ArtifactsInput!$N$27+1,20,24,28,32,36,40),0)/100)))+1)),0)</f>
        <v/>
      </c>
      <c r="S1004">
        <f>IFERROR(O1004/N1004,0)</f>
        <v/>
      </c>
      <c r="T1004">
        <f>IF(C1004,(H1004*N1004*IF(AND(Inputs!$B$38&lt;&gt;"pvp",Inputs!$B$43&gt;0),((Skills!G9*((R1004-1)*IF(Skills!H9&gt;0,INT(Skills!I9/Skills!H9+0.000000001),1)+IF(Skills!H9&gt;0,INT(MIN(Skills!I9,MAX(0,MAX(0,Inputs!$B$43-B1031)-((R1004-1)*(IF(Inputs!$B$38="pvp",15,MAX(0.1,Skills!D9-IF(TRUE=TRUE,Inputs!$B$32,0)))*(1-IF(AND(ArtifactsInput!$M$27,Inputs!$B$4="Chapter Hunt"),CHOOSE(ArtifactsInput!$N$27+1,20,24,28,32,36,40),0)/100)))))/Skills!H9+0.000000001),1)))/Inputs!$B$43),G1004*Q1004))*IF(Inputs!$B$38="pvp",1,1+(Inputs!$B$20+0+Skills!P9+(((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INT(Skills!I9/Skills!H9+0.000000001),1)+IF(Skills!H9&gt;0,INT(MIN(Skills!I9,MAX(0,MAX(0,Inputs!$B$43-B1031)-((R1004-1)*(IF(Inputs!$B$38="pvp",15,MAX(0.1,Skills!D9-IF(TRUE=TRUE,Inputs!$B$32,0)))*(1-IF(AND(ArtifactsInput!$M$27,Inputs!$B$4="Chapter Hunt"),CHOOSE(ArtifactsInput!$N$27+1,20,24,28,32,36,40),0)/100)))))/Skills!H9+0.000000001),1)))/Inputs!$B$43),G1004*Q1004))*IF(Inputs!$B$38="pvp",1,(1+(Inputs!$B$21+Skills!Q9+(((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Skills!G10*IF(Skills!H10&gt;0,INT(IF(Inputs!$B$38="pvp",MIN(Skills!I10,15),Skills!I10)/Skills!H10+0.000000001),1)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138,MAX(0,IF(Inputs!$B$3&gt;=118,8,IF(Inputs!$B$3&gt;=110,7,5))-5)*50,0),0)/100)*(1+(IF(Skills!A10="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IFERROR(1/(IF(Inputs!$B$38="pvp",15,MAX(0.1,Skills!D10-IF(TRUE=TRUE,Inputs!$B$32,0)))*(1-IF(AND(ArtifactsInput!$M$27,Inputs!$B$4="Chapter Hunt"),CHOOSE(ArtifactsInput!$N$27+1,20,24,28,32,36,40),0)/100)),0)</f>
        <v/>
      </c>
      <c r="R1005">
        <f>IF(AND(Inputs!$B$38&lt;&gt;"pvp",Inputs!$B$43&gt;0),IF(MAX(0,Inputs!$B$43-B1031)&lt;=0,0,(INT(MAX(0,Inputs!$B$43-B1031)/(IF(Inputs!$B$38="pvp",15,MAX(0.1,Skills!D10-IF(TRUE=TRUE,Inputs!$B$32,0)))*(1-IF(AND(ArtifactsInput!$M$27,Inputs!$B$4="Chapter Hunt"),CHOOSE(ArtifactsInput!$N$27+1,20,24,28,32,36,40),0)/100)))+1)),0)</f>
        <v/>
      </c>
      <c r="S1005">
        <f>IFERROR(O1005/N1005,0)</f>
        <v/>
      </c>
      <c r="T1005">
        <f>IF(C1005,(H1005*N1005*IF(AND(Inputs!$B$38&lt;&gt;"pvp",Inputs!$B$43&gt;0),((Skills!G10*((R1005-1)*IF(Skills!H10&gt;0,INT(Skills!I10/Skills!H10+0.000000001),1)+IF(Skills!H10&gt;0,INT(MIN(Skills!I10,MAX(0,MAX(0,Inputs!$B$43-B1031)-((R1005-1)*(IF(Inputs!$B$38="pvp",15,MAX(0.1,Skills!D10-IF(TRUE=TRUE,Inputs!$B$32,0)))*(1-IF(AND(ArtifactsInput!$M$27,Inputs!$B$4="Chapter Hunt"),CHOOSE(ArtifactsInput!$N$27+1,20,24,28,32,36,40),0)/100)))))/Skills!H10+0.000000001),1)))/Inputs!$B$43),G1005*Q1005))*IF(Inputs!$B$38="pvp",1,1+(Inputs!$B$20+0+Skills!P10+(((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INT(Skills!I10/Skills!H10+0.000000001),1)+IF(Skills!H10&gt;0,INT(MIN(Skills!I10,MAX(0,MAX(0,Inputs!$B$43-B1031)-((R1005-1)*(IF(Inputs!$B$38="pvp",15,MAX(0.1,Skills!D10-IF(TRUE=TRUE,Inputs!$B$32,0)))*(1-IF(AND(ArtifactsInput!$M$27,Inputs!$B$4="Chapter Hunt"),CHOOSE(ArtifactsInput!$N$27+1,20,24,28,32,36,40),0)/100)))))/Skills!H10+0.000000001),1)))/Inputs!$B$43),G1005*Q1005))*IF(Inputs!$B$38="pvp",1,(1+(Inputs!$B$21+Skills!Q10+(((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Skills!G11*IF(Skills!H11&gt;0,INT(IF(Inputs!$B$38="pvp",MIN(Skills!I11,15),Skills!I11)/Skills!H11+0.000000001),1)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138,MAX(0,IF(Inputs!$B$3&gt;=118,8,IF(Inputs!$B$3&gt;=110,7,5))-5)*50,0),0)/100)*(1+(IF(Skills!A11="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IFERROR(1/(IF(Inputs!$B$38="pvp",15,MAX(0.1,Skills!D11-IF(TRUE=TRUE,Inputs!$B$32,0)))*(1-IF(AND(ArtifactsInput!$M$27,Inputs!$B$4="Chapter Hunt"),CHOOSE(ArtifactsInput!$N$27+1,20,24,28,32,36,40),0)/100)),0)</f>
        <v/>
      </c>
      <c r="R1006">
        <f>IF(AND(Inputs!$B$38&lt;&gt;"pvp",Inputs!$B$43&gt;0),IF(MAX(0,Inputs!$B$43-B1031)&lt;=0,0,(INT(MAX(0,Inputs!$B$43-B1031)/(IF(Inputs!$B$38="pvp",15,MAX(0.1,Skills!D11-IF(TRUE=TRUE,Inputs!$B$32,0)))*(1-IF(AND(ArtifactsInput!$M$27,Inputs!$B$4="Chapter Hunt"),CHOOSE(ArtifactsInput!$N$27+1,20,24,28,32,36,40),0)/100)))+1)),0)</f>
        <v/>
      </c>
      <c r="S1006">
        <f>IFERROR(O1006/N1006,0)</f>
        <v/>
      </c>
      <c r="T1006">
        <f>IF(C1006,(H1006*N1006*IF(AND(Inputs!$B$38&lt;&gt;"pvp",Inputs!$B$43&gt;0),((Skills!G11*((R1006-1)*IF(Skills!H11&gt;0,INT(Skills!I11/Skills!H11+0.000000001),1)+IF(Skills!H11&gt;0,INT(MIN(Skills!I11,MAX(0,MAX(0,Inputs!$B$43-B1031)-((R1006-1)*(IF(Inputs!$B$38="pvp",15,MAX(0.1,Skills!D11-IF(TRUE=TRUE,Inputs!$B$32,0)))*(1-IF(AND(ArtifactsInput!$M$27,Inputs!$B$4="Chapter Hunt"),CHOOSE(ArtifactsInput!$N$27+1,20,24,28,32,36,40),0)/100)))))/Skills!H11+0.000000001),1)))/Inputs!$B$43),G1006*Q1006))*IF(Inputs!$B$38="pvp",1,1+(Inputs!$B$20+0+Skills!P11+(((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INT(Skills!I11/Skills!H11+0.000000001),1)+IF(Skills!H11&gt;0,INT(MIN(Skills!I11,MAX(0,MAX(0,Inputs!$B$43-B1031)-((R1006-1)*(IF(Inputs!$B$38="pvp",15,MAX(0.1,Skills!D11-IF(TRUE=TRUE,Inputs!$B$32,0)))*(1-IF(AND(ArtifactsInput!$M$27,Inputs!$B$4="Chapter Hunt"),CHOOSE(ArtifactsInput!$N$27+1,20,24,28,32,36,40),0)/100)))))/Skills!H11+0.000000001),1)))/Inputs!$B$43),G1006*Q1006))*IF(Inputs!$B$38="pvp",1,(1+(Inputs!$B$21+Skills!Q11+(((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Skills!G13*IF(Skills!H13&gt;0,INT(IF(Inputs!$B$38="pvp",MIN(Skills!I13,15),Skills!I13)/Skills!H13+0.000000001),1)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Skills!G14*IF(Skills!H14&gt;0,INT(IF(Inputs!$B$38="pvp",MIN(Skills!I14,15),Skills!I14)/Skills!H14+0.000000001),1)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Skills!G15*IF(Skills!H15&gt;0,INT(IF(Inputs!$B$38="pvp",MIN(Skills!I15,15),Skills!I15)/Skills!H15+0.000000001),1)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IFERROR(1/(IF(Inputs!$B$38="pvp",15,MAX(0.1,Skills!D15-IF(TRUE=TRUE,Inputs!$B$32,0)))*(1-IF(AND(ArtifactsInput!$M$27,Inputs!$B$4="Chapter Hunt"),CHOOSE(ArtifactsInput!$N$27+1,20,24,28,32,36,40),0)/100)),0)</f>
        <v/>
      </c>
      <c r="R1010">
        <f>IF(AND(Inputs!$B$38&lt;&gt;"pvp",Inputs!$B$43&gt;0),IF(Inputs!$B$43&lt;=0,0,(INT(Inputs!$B$43/(IF(Inputs!$B$38="pvp",15,MAX(0.1,Skills!D15-IF(TRUE=TRUE,Inputs!$B$32,0)))*(1-IF(AND(ArtifactsInput!$M$27,Inputs!$B$4="Chapter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Skills!G16*IF(Skills!H16&gt;0,INT(IF(Inputs!$B$38="pvp",MIN(Skills!I16,15),Skills!I16)/Skills!H16+0.000000001),1)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IFERROR(1/(IF(Inputs!$B$38="pvp",15,MAX(0.1,Skills!D16-IF(TRUE=TRUE,Inputs!$B$32,0)))*(1-IF(AND(ArtifactsInput!$M$27,Inputs!$B$4="Chapter Hunt"),CHOOSE(ArtifactsInput!$N$27+1,20,24,28,32,36,40),0)/100)),0)</f>
        <v/>
      </c>
      <c r="R1011">
        <f>IF(AND(Inputs!$B$38&lt;&gt;"pvp",Inputs!$B$43&gt;0),IF(Inputs!$B$43&lt;=0,0,(INT(Inputs!$B$43/(IF(Inputs!$B$38="pvp",15,MAX(0.1,Skills!D16-IF(TRUE=TRUE,Inputs!$B$32,0)))*(1-IF(AND(ArtifactsInput!$M$27,Inputs!$B$4="Chapter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Skills!G17*IF(Skills!H17&gt;0,INT(IF(Inputs!$B$38="pvp",MIN(Skills!I17,15),Skills!I17)/Skills!H17+0.000000001),1)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IFERROR(1/(IF(Inputs!$B$38="pvp",15,MAX(0.1,Skills!D17-IF(TRUE=TRUE,Inputs!$B$32,0)))*(1-IF(AND(ArtifactsInput!$M$27,Inputs!$B$4="Chapter Hunt"),CHOOSE(ArtifactsInput!$N$27+1,20,24,28,32,36,40),0)/100)),0)</f>
        <v/>
      </c>
      <c r="R1012">
        <f>IF(AND(Inputs!$B$38&lt;&gt;"pvp",Inputs!$B$43&gt;0),IF(Inputs!$B$43&lt;=0,0,(INT(Inputs!$B$43/(IF(Inputs!$B$38="pvp",15,MAX(0.1,Skills!D17-IF(TRUE=TRUE,Inputs!$B$32,0)))*(1-IF(AND(ArtifactsInput!$M$27,Inputs!$B$4="Chapter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Skills!G18*IF(Skills!H18&gt;0,INT(IF(Inputs!$B$38="pvp",MIN(Skills!I18,15),Skills!I18)/Skills!H18+0.000000001),1)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IFERROR(1/(IF(Inputs!$B$38="pvp",15,MAX(0.1,Skills!D18-IF(TRUE=TRUE,Inputs!$B$32,0)))*(1-IF(AND(ArtifactsInput!$M$27,Inputs!$B$4="Chapter Hunt"),CHOOSE(ArtifactsInput!$N$27+1,20,24,28,32,36,40),0)/100)),0)</f>
        <v/>
      </c>
      <c r="R1013">
        <f>IF(AND(Inputs!$B$38&lt;&gt;"pvp",Inputs!$B$43&gt;0),IF(Inputs!$B$43&lt;=0,0,(INT(Inputs!$B$43/(IF(Inputs!$B$38="pvp",15,MAX(0.1,Skills!D18-IF(TRUE=TRUE,Inputs!$B$32,0)))*(1-IF(AND(ArtifactsInput!$M$27,Inputs!$B$4="Chapter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Skills!G19*IF(Skills!H19&gt;0,INT(IF(Inputs!$B$38="pvp",MIN(Skills!I19,15),Skills!I19)/Skills!H19+0.000000001),1)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IFERROR(1/(IF(Inputs!$B$38="pvp",15,MAX(0.1,Skills!D19-IF(TRUE=TRUE,Inputs!$B$32,0)))*(1-IF(AND(ArtifactsInput!$M$27,Inputs!$B$4="Chapter Hunt"),CHOOSE(ArtifactsInput!$N$27+1,20,24,28,32,36,40),0)/100)),0)</f>
        <v/>
      </c>
      <c r="R1014">
        <f>IF(AND(Inputs!$B$38&lt;&gt;"pvp",Inputs!$B$43&gt;0),IF(Inputs!$B$43&lt;=0,0,(INT(Inputs!$B$43/(IF(Inputs!$B$38="pvp",15,MAX(0.1,Skills!D19-IF(TRUE=TRUE,Inputs!$B$32,0)))*(1-IF(AND(ArtifactsInput!$M$27,Inputs!$B$4="Chapter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Skills!G20*IF(Skills!H20&gt;0,INT(IF(Inputs!$B$38="pvp",MIN(Skills!I20,15),Skills!I20)/Skills!H20+0.000000001),1)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Skills!G21*IF(Skills!H21&gt;0,INT(IF(Inputs!$B$38="pvp",MIN(Skills!I21,15),Skills!I21)/Skills!H21+0.000000001),1)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Skills!G22*IF(Skills!H22&gt;0,INT(IF(Inputs!$B$38="pvp",MIN(Skills!I22,15),Skills!I22)/Skills!H22+0.000000001),1)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Skills!G23*IF(Skills!H23&gt;0,INT(IF(Inputs!$B$38="pvp",MIN(Skills!I23,15),Skills!I23)/Skills!H23+0.000000001),1)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Skills!G24*IF(Skills!H24&gt;0,INT(IF(Inputs!$B$38="pvp",MIN(Skills!I24,15),Skills!I24)/Skills!H24+0.000000001),1)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Skills!G25*IF(Skills!H25&gt;0,INT(IF(Inputs!$B$38="pvp",MIN(Skills!I25,15),Skills!I25)/Skills!H25+0.000000001),1)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Skills!G26*IF(Skills!H26&gt;0,INT(IF(Inputs!$B$38="pvp",MIN(Skills!I26,15),Skills!I26)/Skills!H26+0.000000001),1)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MIN((Skills!T19*(1+(Inputs!$B$34+(ArtifactsInput!$M$7-ArtifactsInput!$M$7)*CHOOSE(ArtifactsInput!$N$7+1,6,7.2,8.4,9.6,10.8,12))/100)),(1/Q1014))+MIN((Skills!T19*(1+(Inputs!$B$34+(ArtifactsInput!$M$7-ArtifactsInput!$M$7)*CHOOSE(ArtifactsInput!$N$7+1,6,7.2,8.4,9.6,10.8,12))/100)),MAX(0,Inputs!$B$43-((R1014-1)*(1/Q1014)))))/Inputs!$B$43),IF(Inputs!$B$38="pvp",MIN((Skills!T19*(1+(Inputs!$B$34+(ArtifactsInput!$M$7-ArtifactsInput!$M$7)*CHOOSE(ArtifactsInput!$N$7+1,6,7.2,8.4,9.6,10.8,12))/100)),15)/15,MIN(1,(Skills!T19*(1+(Inputs!$B$34+(ArtifactsInput!$M$7-ArtifactsInput!$M$7)*CHOOSE(ArtifactsInput!$N$7+1,6,7.2,8.4,9.6,10.8,12))/100))/(1/Q1014)))))</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MIN((Skills!T18*(1+(Inputs!$B$34+(ArtifactsInput!$M$7-ArtifactsInput!$M$7)*CHOOSE(ArtifactsInput!$N$7+1,6,7.2,8.4,9.6,10.8,12))/100)),(1/Q1013))+MIN((Skills!T18*(1+(Inputs!$B$34+(ArtifactsInput!$M$7-ArtifactsInput!$M$7)*CHOOSE(ArtifactsInput!$N$7+1,6,7.2,8.4,9.6,10.8,12))/100)),MAX(0,Inputs!$B$43-((R1013-1)*(1/Q1013)))))/Inputs!$B$43),IF(Inputs!$B$38="pvp",MIN((Skills!T18*(1+(Inputs!$B$34+(ArtifactsInput!$M$7-ArtifactsInput!$M$7)*CHOOSE(ArtifactsInput!$N$7+1,6,7.2,8.4,9.6,10.8,12))/100)),15)/15,MIN(1,(Skills!T18*(1+(Inputs!$B$34+(ArtifactsInput!$M$7-ArtifactsInput!$M$7)*CHOOSE(ArtifactsInput!$N$7+1,6,7.2,8.4,9.6,10.8,12))/100))/(1/Q1013)))))</f>
        <v/>
      </c>
    </row>
    <row r="1030">
      <c r="A1030" t="inlineStr">
        <is>
          <t>Global Final Damage Bonus % (Enrage + Combo Synergy)</t>
        </is>
      </c>
      <c r="B1030">
        <f>((C1012=TRUE)*F1012*IF(AND(Inputs!$B$38&lt;&gt;"pvp",Inputs!$B$43&gt;0),(((R1012-1)*MIN((Skills!T17*(1+(Inputs!$B$34+(ArtifactsInput!$M$7-ArtifactsInput!$M$7)*CHOOSE(ArtifactsInput!$N$7+1,6,7.2,8.4,9.6,10.8,12))/100)),(1/Q1012))+MIN((Skills!T17*(1+(Inputs!$B$34+(ArtifactsInput!$M$7-ArtifactsInput!$M$7)*CHOOSE(ArtifactsInput!$N$7+1,6,7.2,8.4,9.6,10.8,12))/100)),MAX(0,Inputs!$B$43-((R1012-1)*(1/Q1012)))))/Inputs!$B$43),IF(Inputs!$B$38="pvp",MIN((Skills!T17*(1+(Inputs!$B$34+(ArtifactsInput!$M$7-ArtifactsInput!$M$7)*CHOOSE(ArtifactsInput!$N$7+1,6,7.2,8.4,9.6,10.8,12))/100)),15)/15,MIN(1,(Skills!T17*(1+(Inputs!$B$34+(ArtifactsInput!$M$7-ArtifactsInput!$M$7)*CHOOSE(ArtifactsInput!$N$7+1,6,7.2,8.4,9.6,10.8,12))/100))/(1/Q1012)))))+((C1009=TRUE)*F1009*IF(Inputs!$B$3&gt;=118,8,IF(Inputs!$B$3&gt;=110,7,5)))+IF(Inputs!$B$3&gt;=98,5,0)</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Skills!G2*IF(Skills!H2&gt;0,INT(IF(Inputs!$B$38="pvp",MIN(Skills!I2,15),Skills!I2)/Skills!H2+0.000000001),1)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Skills!G5*IF(Skills!H5&gt;0,INT(IF(Inputs!$B$38="pvp",MIN(Skills!I5,15),Skills!I5)/Skills!H5+0.000000001),1)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IFERROR(1/(IF(Inputs!$B$38="pvp",15,MAX(0.1,Skills!D5-IF(TRUE=TRUE,(Inputs!$B$32+1),0)))*(1-IF(AND(ArtifactsInput!$M$27,Inputs!$B$4="Chapter Hunt"),CHOOSE(ArtifactsInput!$N$27+1,20,24,28,32,36,40),0)/100)),0)</f>
        <v/>
      </c>
      <c r="R1042">
        <f>IF(AND(Inputs!$B$38&lt;&gt;"pvp",Inputs!$B$43&gt;0),IF(MAX(0,Inputs!$B$43-B1073)&lt;=0,0,(INT(MAX(0,Inputs!$B$43-B1073)/(IF(Inputs!$B$38="pvp",15,MAX(0.1,Skills!D5-IF(TRUE=TRUE,(Inputs!$B$32+1),0)))*(1-IF(AND(ArtifactsInput!$M$27,Inputs!$B$4="Chapter Hunt"),CHOOSE(ArtifactsInput!$N$27+1,20,24,28,32,36,40),0)/100)))+1)),0)</f>
        <v/>
      </c>
      <c r="S1042">
        <f>IFERROR(O1042/N1042,0)</f>
        <v/>
      </c>
      <c r="T1042">
        <f>IF(C1042,(H1042*N1042*IF(AND(Inputs!$B$38&lt;&gt;"pvp",Inputs!$B$43&gt;0),((Skills!G5*((R1042-1)*IF(Skills!H5&gt;0,INT(Skills!I5/Skills!H5+0.000000001),1)+IF(Skills!H5&gt;0,INT(MIN(Skills!I5,MAX(0,MAX(0,Inputs!$B$43-B1073)-((R1042-1)*(IF(Inputs!$B$38="pvp",15,MAX(0.1,Skills!D5-IF(TRUE=TRUE,(Inputs!$B$32+1),0)))*(1-IF(AND(ArtifactsInput!$M$27,Inputs!$B$4="Chapter Hunt"),CHOOSE(ArtifactsInput!$N$27+1,20,24,28,32,36,40),0)/100)))))/Skills!H5+0.000000001),1)))/Inputs!$B$43),G1042*Q1042))*IF(Inputs!$B$38="pvp",1,1+(Inputs!$B$20+0+Skills!P5+(((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INT(Skills!I5/Skills!H5+0.000000001),1)+IF(Skills!H5&gt;0,INT(MIN(Skills!I5,MAX(0,MAX(0,Inputs!$B$43-B1073)-((R1042-1)*(IF(Inputs!$B$38="pvp",15,MAX(0.1,Skills!D5-IF(TRUE=TRUE,(Inputs!$B$32+1),0)))*(1-IF(AND(ArtifactsInput!$M$27,Inputs!$B$4="Chapter Hunt"),CHOOSE(ArtifactsInput!$N$27+1,20,24,28,32,36,40),0)/100)))))/Skills!H5+0.000000001),1)))/Inputs!$B$43),G1042*Q1042))*IF(Inputs!$B$38="pvp",1,(1+(Inputs!$B$21+Skills!Q5+(((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Skills!G6*IF(Skills!H6&gt;0,INT(IF(Inputs!$B$38="pvp",MIN(Skills!I6,15),Skills!I6)/Skills!H6+0.000000001),1)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IFERROR(1/(IF(Inputs!$B$38="pvp",15,MAX(0.1,Skills!D6-IF(TRUE=TRUE,(Inputs!$B$32+1),0)))*(1-IF(AND(ArtifactsInput!$M$27,Inputs!$B$4="Chapter Hunt"),CHOOSE(ArtifactsInput!$N$27+1,20,24,28,32,36,40),0)/100)),0)</f>
        <v/>
      </c>
      <c r="R1043">
        <f>IF(AND(Inputs!$B$38&lt;&gt;"pvp",Inputs!$B$43&gt;0),IF(MAX(0,Inputs!$B$43-B1073)&lt;=0,0,(INT(MAX(0,Inputs!$B$43-B1073)/(IF(Inputs!$B$38="pvp",15,MAX(0.1,Skills!D6-IF(TRUE=TRUE,(Inputs!$B$32+1),0)))*(1-IF(AND(ArtifactsInput!$M$27,Inputs!$B$4="Chapter Hunt"),CHOOSE(ArtifactsInput!$N$27+1,20,24,28,32,36,40),0)/100)))+1)),0)</f>
        <v/>
      </c>
      <c r="S1043">
        <f>IFERROR(O1043/N1043,0)</f>
        <v/>
      </c>
      <c r="T1043">
        <f>IF(C1043,(H1043*N1043*IF(AND(Inputs!$B$38&lt;&gt;"pvp",Inputs!$B$43&gt;0),((Skills!G6*((R1043-1)*IF(Skills!H6&gt;0,INT(Skills!I6/Skills!H6+0.000000001),1)+IF(Skills!H6&gt;0,INT(MIN(Skills!I6,MAX(0,MAX(0,Inputs!$B$43-B1073)-((R1043-1)*(IF(Inputs!$B$38="pvp",15,MAX(0.1,Skills!D6-IF(TRUE=TRUE,(Inputs!$B$32+1),0)))*(1-IF(AND(ArtifactsInput!$M$27,Inputs!$B$4="Chapter Hunt"),CHOOSE(ArtifactsInput!$N$27+1,20,24,28,32,36,40),0)/100)))))/Skills!H6+0.000000001),1)))/Inputs!$B$43),G1043*Q1043))*IF(Inputs!$B$38="pvp",1,1+(Inputs!$B$20+0+Skills!P6+(((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INT(Skills!I6/Skills!H6+0.000000001),1)+IF(Skills!H6&gt;0,INT(MIN(Skills!I6,MAX(0,MAX(0,Inputs!$B$43-B1073)-((R1043-1)*(IF(Inputs!$B$38="pvp",15,MAX(0.1,Skills!D6-IF(TRUE=TRUE,(Inputs!$B$32+1),0)))*(1-IF(AND(ArtifactsInput!$M$27,Inputs!$B$4="Chapter Hunt"),CHOOSE(ArtifactsInput!$N$27+1,20,24,28,32,36,40),0)/100)))))/Skills!H6+0.000000001),1)))/Inputs!$B$43),G1043*Q1043))*IF(Inputs!$B$38="pvp",1,(1+(Inputs!$B$21+Skills!Q6+(((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Skills!G7*IF(Skills!H7&gt;0,INT(IF(Inputs!$B$38="pvp",MIN(Skills!I7,15),Skills!I7)/Skills!H7+0.000000001),1)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IFERROR(1/(IF(Inputs!$B$38="pvp",15,MAX(0.1,Skills!D7-IF(TRUE=TRUE,(Inputs!$B$32+1),0)))*(1-IF(AND(ArtifactsInput!$M$27,Inputs!$B$4="Chapter Hunt"),CHOOSE(ArtifactsInput!$N$27+1,20,24,28,32,36,40),0)/100)),0)</f>
        <v/>
      </c>
      <c r="R1044">
        <f>IF(AND(Inputs!$B$38&lt;&gt;"pvp",Inputs!$B$43&gt;0),IF(MAX(0,Inputs!$B$43-B1073)&lt;=0,0,(INT(MAX(0,Inputs!$B$43-B1073)/(IF(Inputs!$B$38="pvp",15,MAX(0.1,Skills!D7-IF(TRUE=TRUE,(Inputs!$B$32+1),0)))*(1-IF(AND(ArtifactsInput!$M$27,Inputs!$B$4="Chapter Hunt"),CHOOSE(ArtifactsInput!$N$27+1,20,24,28,32,36,40),0)/100)))+1)),0)</f>
        <v/>
      </c>
      <c r="S1044">
        <f>IFERROR(O1044/N1044,0)</f>
        <v/>
      </c>
      <c r="T1044">
        <f>IF(C1044,(H1044*N1044*IF(AND(Inputs!$B$38&lt;&gt;"pvp",Inputs!$B$43&gt;0),((Skills!G7*((R1044-1)*IF(Skills!H7&gt;0,INT(Skills!I7/Skills!H7+0.000000001),1)+IF(Skills!H7&gt;0,INT(MIN(Skills!I7,MAX(0,MAX(0,Inputs!$B$43-B1073)-((R1044-1)*(IF(Inputs!$B$38="pvp",15,MAX(0.1,Skills!D7-IF(TRUE=TRUE,(Inputs!$B$32+1),0)))*(1-IF(AND(ArtifactsInput!$M$27,Inputs!$B$4="Chapter Hunt"),CHOOSE(ArtifactsInput!$N$27+1,20,24,28,32,36,40),0)/100)))))/Skills!H7+0.000000001),1)))/Inputs!$B$43),G1044*Q1044))*IF(Inputs!$B$38="pvp",1,1+(Inputs!$B$20+0+Skills!P7+(((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INT(Skills!I7/Skills!H7+0.000000001),1)+IF(Skills!H7&gt;0,INT(MIN(Skills!I7,MAX(0,MAX(0,Inputs!$B$43-B1073)-((R1044-1)*(IF(Inputs!$B$38="pvp",15,MAX(0.1,Skills!D7-IF(TRUE=TRUE,(Inputs!$B$32+1),0)))*(1-IF(AND(ArtifactsInput!$M$27,Inputs!$B$4="Chapter Hunt"),CHOOSE(ArtifactsInput!$N$27+1,20,24,28,32,36,40),0)/100)))))/Skills!H7+0.000000001),1)))/Inputs!$B$43),G1044*Q1044))*IF(Inputs!$B$38="pvp",1,(1+(Inputs!$B$21+Skills!Q7+(((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Skills!G8*IF(Skills!H8&gt;0,INT(IF(Inputs!$B$38="pvp",MIN(Skills!I8,15),Skills!I8)/Skills!H8+0.000000001),1)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IFERROR(1/(IF(Inputs!$B$38="pvp",15,MAX(0.1,Skills!D8-IF(TRUE=TRUE,(Inputs!$B$32+1),0)))*(1-IF(AND(ArtifactsInput!$M$27,Inputs!$B$4="Chapter Hunt"),CHOOSE(ArtifactsInput!$N$27+1,20,24,28,32,36,40),0)/100)),0)</f>
        <v/>
      </c>
      <c r="R1045">
        <f>IF(AND(Inputs!$B$38&lt;&gt;"pvp",Inputs!$B$43&gt;0),IF(MAX(0,Inputs!$B$43-B1073)&lt;=0,0,(INT(MAX(0,Inputs!$B$43-B1073)/(IF(Inputs!$B$38="pvp",15,MAX(0.1,Skills!D8-IF(TRUE=TRUE,(Inputs!$B$32+1),0)))*(1-IF(AND(ArtifactsInput!$M$27,Inputs!$B$4="Chapter Hunt"),CHOOSE(ArtifactsInput!$N$27+1,20,24,28,32,36,40),0)/100)))+1)),0)</f>
        <v/>
      </c>
      <c r="S1045">
        <f>IFERROR(O1045/N1045,0)</f>
        <v/>
      </c>
      <c r="T1045">
        <f>IF(C1045,(H1045*N1045*IF(AND(Inputs!$B$38&lt;&gt;"pvp",Inputs!$B$43&gt;0),((Skills!G8*((R1045-1)*IF(Skills!H8&gt;0,INT(Skills!I8/Skills!H8+0.000000001),1)+IF(Skills!H8&gt;0,INT(MIN(Skills!I8,MAX(0,MAX(0,Inputs!$B$43-B1073)-((R1045-1)*(IF(Inputs!$B$38="pvp",15,MAX(0.1,Skills!D8-IF(TRUE=TRUE,(Inputs!$B$32+1),0)))*(1-IF(AND(ArtifactsInput!$M$27,Inputs!$B$4="Chapter Hunt"),CHOOSE(ArtifactsInput!$N$27+1,20,24,28,32,36,40),0)/100)))))/Skills!H8+0.000000001),1)))/Inputs!$B$43),G1045*Q1045))*IF(Inputs!$B$38="pvp",1,1+(Inputs!$B$20+0+Skills!P8+(((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INT(Skills!I8/Skills!H8+0.000000001),1)+IF(Skills!H8&gt;0,INT(MIN(Skills!I8,MAX(0,MAX(0,Inputs!$B$43-B1073)-((R1045-1)*(IF(Inputs!$B$38="pvp",15,MAX(0.1,Skills!D8-IF(TRUE=TRUE,(Inputs!$B$32+1),0)))*(1-IF(AND(ArtifactsInput!$M$27,Inputs!$B$4="Chapter Hunt"),CHOOSE(ArtifactsInput!$N$27+1,20,24,28,32,36,40),0)/100)))))/Skills!H8+0.000000001),1)))/Inputs!$B$43),G1045*Q1045))*IF(Inputs!$B$38="pvp",1,(1+(Inputs!$B$21+Skills!Q8+(((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Skills!G9*IF(Skills!H9&gt;0,INT(IF(Inputs!$B$38="pvp",MIN(Skills!I9,15),Skills!I9)/Skills!H9+0.000000001),1)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138,MAX(0,IF(Inputs!$B$3&gt;=118,8,IF(Inputs!$B$3&gt;=110,7,5))-5)*50,0),0)/100)*(1+(IF(Skills!A9="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IFERROR(1/(IF(Inputs!$B$38="pvp",15,MAX(0.1,Skills!D9-IF(TRUE=TRUE,(Inputs!$B$32+1),0)))*(1-IF(AND(ArtifactsInput!$M$27,Inputs!$B$4="Chapter Hunt"),CHOOSE(ArtifactsInput!$N$27+1,20,24,28,32,36,40),0)/100)),0)</f>
        <v/>
      </c>
      <c r="R1046">
        <f>IF(AND(Inputs!$B$38&lt;&gt;"pvp",Inputs!$B$43&gt;0),IF(MAX(0,Inputs!$B$43-B1073)&lt;=0,0,(INT(MAX(0,Inputs!$B$43-B1073)/(IF(Inputs!$B$38="pvp",15,MAX(0.1,Skills!D9-IF(TRUE=TRUE,(Inputs!$B$32+1),0)))*(1-IF(AND(ArtifactsInput!$M$27,Inputs!$B$4="Chapter Hunt"),CHOOSE(ArtifactsInput!$N$27+1,20,24,28,32,36,40),0)/100)))+1)),0)</f>
        <v/>
      </c>
      <c r="S1046">
        <f>IFERROR(O1046/N1046,0)</f>
        <v/>
      </c>
      <c r="T1046">
        <f>IF(C1046,(H1046*N1046*IF(AND(Inputs!$B$38&lt;&gt;"pvp",Inputs!$B$43&gt;0),((Skills!G9*((R1046-1)*IF(Skills!H9&gt;0,INT(Skills!I9/Skills!H9+0.000000001),1)+IF(Skills!H9&gt;0,INT(MIN(Skills!I9,MAX(0,MAX(0,Inputs!$B$43-B1073)-((R1046-1)*(IF(Inputs!$B$38="pvp",15,MAX(0.1,Skills!D9-IF(TRUE=TRUE,(Inputs!$B$32+1),0)))*(1-IF(AND(ArtifactsInput!$M$27,Inputs!$B$4="Chapter Hunt"),CHOOSE(ArtifactsInput!$N$27+1,20,24,28,32,36,40),0)/100)))))/Skills!H9+0.000000001),1)))/Inputs!$B$43),G1046*Q1046))*IF(Inputs!$B$38="pvp",1,1+(Inputs!$B$20+0+Skills!P9+(((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INT(Skills!I9/Skills!H9+0.000000001),1)+IF(Skills!H9&gt;0,INT(MIN(Skills!I9,MAX(0,MAX(0,Inputs!$B$43-B1073)-((R1046-1)*(IF(Inputs!$B$38="pvp",15,MAX(0.1,Skills!D9-IF(TRUE=TRUE,(Inputs!$B$32+1),0)))*(1-IF(AND(ArtifactsInput!$M$27,Inputs!$B$4="Chapter Hunt"),CHOOSE(ArtifactsInput!$N$27+1,20,24,28,32,36,40),0)/100)))))/Skills!H9+0.000000001),1)))/Inputs!$B$43),G1046*Q1046))*IF(Inputs!$B$38="pvp",1,(1+(Inputs!$B$21+Skills!Q9+(((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Skills!G10*IF(Skills!H10&gt;0,INT(IF(Inputs!$B$38="pvp",MIN(Skills!I10,15),Skills!I10)/Skills!H10+0.000000001),1)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138,MAX(0,IF(Inputs!$B$3&gt;=118,8,IF(Inputs!$B$3&gt;=110,7,5))-5)*50,0),0)/100)*(1+(IF(Skills!A10="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IFERROR(1/(IF(Inputs!$B$38="pvp",15,MAX(0.1,Skills!D10-IF(TRUE=TRUE,(Inputs!$B$32+1),0)))*(1-IF(AND(ArtifactsInput!$M$27,Inputs!$B$4="Chapter Hunt"),CHOOSE(ArtifactsInput!$N$27+1,20,24,28,32,36,40),0)/100)),0)</f>
        <v/>
      </c>
      <c r="R1047">
        <f>IF(AND(Inputs!$B$38&lt;&gt;"pvp",Inputs!$B$43&gt;0),IF(MAX(0,Inputs!$B$43-B1073)&lt;=0,0,(INT(MAX(0,Inputs!$B$43-B1073)/(IF(Inputs!$B$38="pvp",15,MAX(0.1,Skills!D10-IF(TRUE=TRUE,(Inputs!$B$32+1),0)))*(1-IF(AND(ArtifactsInput!$M$27,Inputs!$B$4="Chapter Hunt"),CHOOSE(ArtifactsInput!$N$27+1,20,24,28,32,36,40),0)/100)))+1)),0)</f>
        <v/>
      </c>
      <c r="S1047">
        <f>IFERROR(O1047/N1047,0)</f>
        <v/>
      </c>
      <c r="T1047">
        <f>IF(C1047,(H1047*N1047*IF(AND(Inputs!$B$38&lt;&gt;"pvp",Inputs!$B$43&gt;0),((Skills!G10*((R1047-1)*IF(Skills!H10&gt;0,INT(Skills!I10/Skills!H10+0.000000001),1)+IF(Skills!H10&gt;0,INT(MIN(Skills!I10,MAX(0,MAX(0,Inputs!$B$43-B1073)-((R1047-1)*(IF(Inputs!$B$38="pvp",15,MAX(0.1,Skills!D10-IF(TRUE=TRUE,(Inputs!$B$32+1),0)))*(1-IF(AND(ArtifactsInput!$M$27,Inputs!$B$4="Chapter Hunt"),CHOOSE(ArtifactsInput!$N$27+1,20,24,28,32,36,40),0)/100)))))/Skills!H10+0.000000001),1)))/Inputs!$B$43),G1047*Q1047))*IF(Inputs!$B$38="pvp",1,1+(Inputs!$B$20+0+Skills!P10+(((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INT(Skills!I10/Skills!H10+0.000000001),1)+IF(Skills!H10&gt;0,INT(MIN(Skills!I10,MAX(0,MAX(0,Inputs!$B$43-B1073)-((R1047-1)*(IF(Inputs!$B$38="pvp",15,MAX(0.1,Skills!D10-IF(TRUE=TRUE,(Inputs!$B$32+1),0)))*(1-IF(AND(ArtifactsInput!$M$27,Inputs!$B$4="Chapter Hunt"),CHOOSE(ArtifactsInput!$N$27+1,20,24,28,32,36,40),0)/100)))))/Skills!H10+0.000000001),1)))/Inputs!$B$43),G1047*Q1047))*IF(Inputs!$B$38="pvp",1,(1+(Inputs!$B$21+Skills!Q10+(((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Skills!G11*IF(Skills!H11&gt;0,INT(IF(Inputs!$B$38="pvp",MIN(Skills!I11,15),Skills!I11)/Skills!H11+0.000000001),1)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138,MAX(0,IF(Inputs!$B$3&gt;=118,8,IF(Inputs!$B$3&gt;=110,7,5))-5)*50,0),0)/100)*(1+(IF(Skills!A11="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IFERROR(1/(IF(Inputs!$B$38="pvp",15,MAX(0.1,Skills!D11-IF(TRUE=TRUE,(Inputs!$B$32+1),0)))*(1-IF(AND(ArtifactsInput!$M$27,Inputs!$B$4="Chapter Hunt"),CHOOSE(ArtifactsInput!$N$27+1,20,24,28,32,36,40),0)/100)),0)</f>
        <v/>
      </c>
      <c r="R1048">
        <f>IF(AND(Inputs!$B$38&lt;&gt;"pvp",Inputs!$B$43&gt;0),IF(MAX(0,Inputs!$B$43-B1073)&lt;=0,0,(INT(MAX(0,Inputs!$B$43-B1073)/(IF(Inputs!$B$38="pvp",15,MAX(0.1,Skills!D11-IF(TRUE=TRUE,(Inputs!$B$32+1),0)))*(1-IF(AND(ArtifactsInput!$M$27,Inputs!$B$4="Chapter Hunt"),CHOOSE(ArtifactsInput!$N$27+1,20,24,28,32,36,40),0)/100)))+1)),0)</f>
        <v/>
      </c>
      <c r="S1048">
        <f>IFERROR(O1048/N1048,0)</f>
        <v/>
      </c>
      <c r="T1048">
        <f>IF(C1048,(H1048*N1048*IF(AND(Inputs!$B$38&lt;&gt;"pvp",Inputs!$B$43&gt;0),((Skills!G11*((R1048-1)*IF(Skills!H11&gt;0,INT(Skills!I11/Skills!H11+0.000000001),1)+IF(Skills!H11&gt;0,INT(MIN(Skills!I11,MAX(0,MAX(0,Inputs!$B$43-B1073)-((R1048-1)*(IF(Inputs!$B$38="pvp",15,MAX(0.1,Skills!D11-IF(TRUE=TRUE,(Inputs!$B$32+1),0)))*(1-IF(AND(ArtifactsInput!$M$27,Inputs!$B$4="Chapter Hunt"),CHOOSE(ArtifactsInput!$N$27+1,20,24,28,32,36,40),0)/100)))))/Skills!H11+0.000000001),1)))/Inputs!$B$43),G1048*Q1048))*IF(Inputs!$B$38="pvp",1,1+(Inputs!$B$20+0+Skills!P11+(((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INT(Skills!I11/Skills!H11+0.000000001),1)+IF(Skills!H11&gt;0,INT(MIN(Skills!I11,MAX(0,MAX(0,Inputs!$B$43-B1073)-((R1048-1)*(IF(Inputs!$B$38="pvp",15,MAX(0.1,Skills!D11-IF(TRUE=TRUE,(Inputs!$B$32+1),0)))*(1-IF(AND(ArtifactsInput!$M$27,Inputs!$B$4="Chapter Hunt"),CHOOSE(ArtifactsInput!$N$27+1,20,24,28,32,36,40),0)/100)))))/Skills!H11+0.000000001),1)))/Inputs!$B$43),G1048*Q1048))*IF(Inputs!$B$38="pvp",1,(1+(Inputs!$B$21+Skills!Q11+(((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Skills!G13*IF(Skills!H13&gt;0,INT(IF(Inputs!$B$38="pvp",MIN(Skills!I13,15),Skills!I13)/Skills!H13+0.000000001),1)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Skills!G14*IF(Skills!H14&gt;0,INT(IF(Inputs!$B$38="pvp",MIN(Skills!I14,15),Skills!I14)/Skills!H14+0.000000001),1)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Skills!G15*IF(Skills!H15&gt;0,INT(IF(Inputs!$B$38="pvp",MIN(Skills!I15,15),Skills!I15)/Skills!H15+0.000000001),1)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IFERROR(1/(IF(Inputs!$B$38="pvp",15,MAX(0.1,Skills!D15-IF(TRUE=TRUE,(Inputs!$B$32+1),0)))*(1-IF(AND(ArtifactsInput!$M$27,Inputs!$B$4="Chapter Hunt"),CHOOSE(ArtifactsInput!$N$27+1,20,24,28,32,36,40),0)/100)),0)</f>
        <v/>
      </c>
      <c r="R1052">
        <f>IF(AND(Inputs!$B$38&lt;&gt;"pvp",Inputs!$B$43&gt;0),IF(Inputs!$B$43&lt;=0,0,(INT(Inputs!$B$43/(IF(Inputs!$B$38="pvp",15,MAX(0.1,Skills!D15-IF(TRUE=TRUE,(Inputs!$B$32+1),0)))*(1-IF(AND(ArtifactsInput!$M$27,Inputs!$B$4="Chapter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Skills!G16*IF(Skills!H16&gt;0,INT(IF(Inputs!$B$38="pvp",MIN(Skills!I16,15),Skills!I16)/Skills!H16+0.000000001),1)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IFERROR(1/(IF(Inputs!$B$38="pvp",15,MAX(0.1,Skills!D16-IF(TRUE=TRUE,(Inputs!$B$32+1),0)))*(1-IF(AND(ArtifactsInput!$M$27,Inputs!$B$4="Chapter Hunt"),CHOOSE(ArtifactsInput!$N$27+1,20,24,28,32,36,40),0)/100)),0)</f>
        <v/>
      </c>
      <c r="R1053">
        <f>IF(AND(Inputs!$B$38&lt;&gt;"pvp",Inputs!$B$43&gt;0),IF(Inputs!$B$43&lt;=0,0,(INT(Inputs!$B$43/(IF(Inputs!$B$38="pvp",15,MAX(0.1,Skills!D16-IF(TRUE=TRUE,(Inputs!$B$32+1),0)))*(1-IF(AND(ArtifactsInput!$M$27,Inputs!$B$4="Chapter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Skills!G17*IF(Skills!H17&gt;0,INT(IF(Inputs!$B$38="pvp",MIN(Skills!I17,15),Skills!I17)/Skills!H17+0.000000001),1)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IFERROR(1/(IF(Inputs!$B$38="pvp",15,MAX(0.1,Skills!D17-IF(TRUE=TRUE,(Inputs!$B$32+1),0)))*(1-IF(AND(ArtifactsInput!$M$27,Inputs!$B$4="Chapter Hunt"),CHOOSE(ArtifactsInput!$N$27+1,20,24,28,32,36,40),0)/100)),0)</f>
        <v/>
      </c>
      <c r="R1054">
        <f>IF(AND(Inputs!$B$38&lt;&gt;"pvp",Inputs!$B$43&gt;0),IF(Inputs!$B$43&lt;=0,0,(INT(Inputs!$B$43/(IF(Inputs!$B$38="pvp",15,MAX(0.1,Skills!D17-IF(TRUE=TRUE,(Inputs!$B$32+1),0)))*(1-IF(AND(ArtifactsInput!$M$27,Inputs!$B$4="Chapter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Skills!G18*IF(Skills!H18&gt;0,INT(IF(Inputs!$B$38="pvp",MIN(Skills!I18,15),Skills!I18)/Skills!H18+0.000000001),1)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IFERROR(1/(IF(Inputs!$B$38="pvp",15,MAX(0.1,Skills!D18-IF(TRUE=TRUE,(Inputs!$B$32+1),0)))*(1-IF(AND(ArtifactsInput!$M$27,Inputs!$B$4="Chapter Hunt"),CHOOSE(ArtifactsInput!$N$27+1,20,24,28,32,36,40),0)/100)),0)</f>
        <v/>
      </c>
      <c r="R1055">
        <f>IF(AND(Inputs!$B$38&lt;&gt;"pvp",Inputs!$B$43&gt;0),IF(Inputs!$B$43&lt;=0,0,(INT(Inputs!$B$43/(IF(Inputs!$B$38="pvp",15,MAX(0.1,Skills!D18-IF(TRUE=TRUE,(Inputs!$B$32+1),0)))*(1-IF(AND(ArtifactsInput!$M$27,Inputs!$B$4="Chapter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Skills!G19*IF(Skills!H19&gt;0,INT(IF(Inputs!$B$38="pvp",MIN(Skills!I19,15),Skills!I19)/Skills!H19+0.000000001),1)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IFERROR(1/(IF(Inputs!$B$38="pvp",15,MAX(0.1,Skills!D19-IF(TRUE=TRUE,(Inputs!$B$32+1),0)))*(1-IF(AND(ArtifactsInput!$M$27,Inputs!$B$4="Chapter Hunt"),CHOOSE(ArtifactsInput!$N$27+1,20,24,28,32,36,40),0)/100)),0)</f>
        <v/>
      </c>
      <c r="R1056">
        <f>IF(AND(Inputs!$B$38&lt;&gt;"pvp",Inputs!$B$43&gt;0),IF(Inputs!$B$43&lt;=0,0,(INT(Inputs!$B$43/(IF(Inputs!$B$38="pvp",15,MAX(0.1,Skills!D19-IF(TRUE=TRUE,(Inputs!$B$32+1),0)))*(1-IF(AND(ArtifactsInput!$M$27,Inputs!$B$4="Chapter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Skills!G20*IF(Skills!H20&gt;0,INT(IF(Inputs!$B$38="pvp",MIN(Skills!I20,15),Skills!I20)/Skills!H20+0.000000001),1)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Skills!G21*IF(Skills!H21&gt;0,INT(IF(Inputs!$B$38="pvp",MIN(Skills!I21,15),Skills!I21)/Skills!H21+0.000000001),1)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Skills!G22*IF(Skills!H22&gt;0,INT(IF(Inputs!$B$38="pvp",MIN(Skills!I22,15),Skills!I22)/Skills!H22+0.000000001),1)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Skills!G23*IF(Skills!H23&gt;0,INT(IF(Inputs!$B$38="pvp",MIN(Skills!I23,15),Skills!I23)/Skills!H23+0.000000001),1)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Skills!G24*IF(Skills!H24&gt;0,INT(IF(Inputs!$B$38="pvp",MIN(Skills!I24,15),Skills!I24)/Skills!H24+0.000000001),1)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Skills!G25*IF(Skills!H25&gt;0,INT(IF(Inputs!$B$38="pvp",MIN(Skills!I25,15),Skills!I25)/Skills!H25+0.000000001),1)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Skills!G26*IF(Skills!H26&gt;0,INT(IF(Inputs!$B$38="pvp",MIN(Skills!I26,15),Skills!I26)/Skills!H26+0.000000001),1)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MIN((Skills!T19*(1+(Inputs!$B$34+(ArtifactsInput!$M$7-ArtifactsInput!$M$7)*CHOOSE(ArtifactsInput!$N$7+1,6,7.2,8.4,9.6,10.8,12))/100)),(1/Q1056))+MIN((Skills!T19*(1+(Inputs!$B$34+(ArtifactsInput!$M$7-ArtifactsInput!$M$7)*CHOOSE(ArtifactsInput!$N$7+1,6,7.2,8.4,9.6,10.8,12))/100)),MAX(0,Inputs!$B$43-((R1056-1)*(1/Q1056)))))/Inputs!$B$43),IF(Inputs!$B$38="pvp",MIN((Skills!T19*(1+(Inputs!$B$34+(ArtifactsInput!$M$7-ArtifactsInput!$M$7)*CHOOSE(ArtifactsInput!$N$7+1,6,7.2,8.4,9.6,10.8,12))/100)),15)/15,MIN(1,(Skills!T19*(1+(Inputs!$B$34+(ArtifactsInput!$M$7-ArtifactsInput!$M$7)*CHOOSE(ArtifactsInput!$N$7+1,6,7.2,8.4,9.6,10.8,12))/100))/(1/Q1056)))))</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MIN((Skills!T18*(1+(Inputs!$B$34+(ArtifactsInput!$M$7-ArtifactsInput!$M$7)*CHOOSE(ArtifactsInput!$N$7+1,6,7.2,8.4,9.6,10.8,12))/100)),(1/Q1055))+MIN((Skills!T18*(1+(Inputs!$B$34+(ArtifactsInput!$M$7-ArtifactsInput!$M$7)*CHOOSE(ArtifactsInput!$N$7+1,6,7.2,8.4,9.6,10.8,12))/100)),MAX(0,Inputs!$B$43-((R1055-1)*(1/Q1055)))))/Inputs!$B$43),IF(Inputs!$B$38="pvp",MIN((Skills!T18*(1+(Inputs!$B$34+(ArtifactsInput!$M$7-ArtifactsInput!$M$7)*CHOOSE(ArtifactsInput!$N$7+1,6,7.2,8.4,9.6,10.8,12))/100)),15)/15,MIN(1,(Skills!T18*(1+(Inputs!$B$34+(ArtifactsInput!$M$7-ArtifactsInput!$M$7)*CHOOSE(ArtifactsInput!$N$7+1,6,7.2,8.4,9.6,10.8,12))/100))/(1/Q1055)))))</f>
        <v/>
      </c>
    </row>
    <row r="1072">
      <c r="A1072" t="inlineStr">
        <is>
          <t>Global Final Damage Bonus % (Enrage + Combo Synergy)</t>
        </is>
      </c>
      <c r="B1072">
        <f>((C1054=TRUE)*F1054*IF(AND(Inputs!$B$38&lt;&gt;"pvp",Inputs!$B$43&gt;0),(((R1054-1)*MIN((Skills!T17*(1+(Inputs!$B$34+(ArtifactsInput!$M$7-ArtifactsInput!$M$7)*CHOOSE(ArtifactsInput!$N$7+1,6,7.2,8.4,9.6,10.8,12))/100)),(1/Q1054))+MIN((Skills!T17*(1+(Inputs!$B$34+(ArtifactsInput!$M$7-ArtifactsInput!$M$7)*CHOOSE(ArtifactsInput!$N$7+1,6,7.2,8.4,9.6,10.8,12))/100)),MAX(0,Inputs!$B$43-((R1054-1)*(1/Q1054)))))/Inputs!$B$43),IF(Inputs!$B$38="pvp",MIN((Skills!T17*(1+(Inputs!$B$34+(ArtifactsInput!$M$7-ArtifactsInput!$M$7)*CHOOSE(ArtifactsInput!$N$7+1,6,7.2,8.4,9.6,10.8,12))/100)),15)/15,MIN(1,(Skills!T17*(1+(Inputs!$B$34+(ArtifactsInput!$M$7-ArtifactsInput!$M$7)*CHOOSE(ArtifactsInput!$N$7+1,6,7.2,8.4,9.6,10.8,12))/100))/(1/Q1054)))))+((C1051=TRUE)*F1051*IF(Inputs!$B$3&gt;=118,8,IF(Inputs!$B$3&gt;=110,7,5)))+IF(Inputs!$B$3&gt;=98,5,0)</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Skills!G2*IF(Skills!H2&gt;0,INT(IF(Inputs!$B$38="pvp",MIN(Skills!I2,15),Skills!I2)/Skills!H2+0.000000001),1)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Skills!G5*IF(Skills!H5&gt;0,INT(IF(Inputs!$B$38="pvp",MIN(Skills!I5,15),Skills!I5)/Skills!H5+0.000000001),1)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IFERROR(1/(IF(Inputs!$B$38="pvp",15,MAX(0.1,Skills!D5-IF(TRUE=TRUE,Inputs!$B$32,0)))*(1-IF(AND(ArtifactsInput!$M$27,Inputs!$B$4="Chapter Hunt"),CHOOSE(ArtifactsInput!$N$27+1,20,24,28,32,36,40),0)/100)),0)</f>
        <v/>
      </c>
      <c r="R1084">
        <f>IF(AND(Inputs!$B$38&lt;&gt;"pvp",Inputs!$B$43&gt;0),IF(MAX(0,Inputs!$B$43-B1115)&lt;=0,0,(INT(MAX(0,Inputs!$B$43-B1115)/(IF(Inputs!$B$38="pvp",15,MAX(0.1,Skills!D5-IF(TRUE=TRUE,Inputs!$B$32,0)))*(1-IF(AND(ArtifactsInput!$M$27,Inputs!$B$4="Chapter Hunt"),CHOOSE(ArtifactsInput!$N$27+1,20,24,28,32,36,40),0)/100)))+1)),0)</f>
        <v/>
      </c>
      <c r="S1084">
        <f>IFERROR(O1084/N1084,0)</f>
        <v/>
      </c>
      <c r="T1084">
        <f>IF(C1084,(H1084*N1084*IF(AND(Inputs!$B$38&lt;&gt;"pvp",Inputs!$B$43&gt;0),((Skills!G5*((R1084-1)*IF(Skills!H5&gt;0,INT(Skills!I5/Skills!H5+0.000000001),1)+IF(Skills!H5&gt;0,INT(MIN(Skills!I5,MAX(0,MAX(0,Inputs!$B$43-B1115)-((R1084-1)*(IF(Inputs!$B$38="pvp",15,MAX(0.1,Skills!D5-IF(TRUE=TRUE,Inputs!$B$32,0)))*(1-IF(AND(ArtifactsInput!$M$27,Inputs!$B$4="Chapter Hunt"),CHOOSE(ArtifactsInput!$N$27+1,20,24,28,32,36,40),0)/100)))))/Skills!H5+0.000000001),1)))/Inputs!$B$43),G1084*Q1084))*IF(Inputs!$B$38="pvp",1,1+(Inputs!$B$20+0+Skills!P5+(((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INT(Skills!I5/Skills!H5+0.000000001),1)+IF(Skills!H5&gt;0,INT(MIN(Skills!I5,MAX(0,MAX(0,Inputs!$B$43-B1115)-((R1084-1)*(IF(Inputs!$B$38="pvp",15,MAX(0.1,Skills!D5-IF(TRUE=TRUE,Inputs!$B$32,0)))*(1-IF(AND(ArtifactsInput!$M$27,Inputs!$B$4="Chapter Hunt"),CHOOSE(ArtifactsInput!$N$27+1,20,24,28,32,36,40),0)/100)))))/Skills!H5+0.000000001),1)))/Inputs!$B$43),G1084*Q1084))*IF(Inputs!$B$38="pvp",1,(1+(Inputs!$B$21+Skills!Q5+(((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Skills!G6*IF(Skills!H6&gt;0,INT(IF(Inputs!$B$38="pvp",MIN(Skills!I6,15),Skills!I6)/Skills!H6+0.000000001),1)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IFERROR(1/(IF(Inputs!$B$38="pvp",15,MAX(0.1,Skills!D6-IF(TRUE=TRUE,Inputs!$B$32,0)))*(1-IF(AND(ArtifactsInput!$M$27,Inputs!$B$4="Chapter Hunt"),CHOOSE(ArtifactsInput!$N$27+1,20,24,28,32,36,40),0)/100)),0)</f>
        <v/>
      </c>
      <c r="R1085">
        <f>IF(AND(Inputs!$B$38&lt;&gt;"pvp",Inputs!$B$43&gt;0),IF(MAX(0,Inputs!$B$43-B1115)&lt;=0,0,(INT(MAX(0,Inputs!$B$43-B1115)/(IF(Inputs!$B$38="pvp",15,MAX(0.1,Skills!D6-IF(TRUE=TRUE,Inputs!$B$32,0)))*(1-IF(AND(ArtifactsInput!$M$27,Inputs!$B$4="Chapter Hunt"),CHOOSE(ArtifactsInput!$N$27+1,20,24,28,32,36,40),0)/100)))+1)),0)</f>
        <v/>
      </c>
      <c r="S1085">
        <f>IFERROR(O1085/N1085,0)</f>
        <v/>
      </c>
      <c r="T1085">
        <f>IF(C1085,(H1085*N1085*IF(AND(Inputs!$B$38&lt;&gt;"pvp",Inputs!$B$43&gt;0),((Skills!G6*((R1085-1)*IF(Skills!H6&gt;0,INT(Skills!I6/Skills!H6+0.000000001),1)+IF(Skills!H6&gt;0,INT(MIN(Skills!I6,MAX(0,MAX(0,Inputs!$B$43-B1115)-((R1085-1)*(IF(Inputs!$B$38="pvp",15,MAX(0.1,Skills!D6-IF(TRUE=TRUE,Inputs!$B$32,0)))*(1-IF(AND(ArtifactsInput!$M$27,Inputs!$B$4="Chapter Hunt"),CHOOSE(ArtifactsInput!$N$27+1,20,24,28,32,36,40),0)/100)))))/Skills!H6+0.000000001),1)))/Inputs!$B$43),G1085*Q1085))*IF(Inputs!$B$38="pvp",1,1+(Inputs!$B$20+0+Skills!P6+(((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INT(Skills!I6/Skills!H6+0.000000001),1)+IF(Skills!H6&gt;0,INT(MIN(Skills!I6,MAX(0,MAX(0,Inputs!$B$43-B1115)-((R1085-1)*(IF(Inputs!$B$38="pvp",15,MAX(0.1,Skills!D6-IF(TRUE=TRUE,Inputs!$B$32,0)))*(1-IF(AND(ArtifactsInput!$M$27,Inputs!$B$4="Chapter Hunt"),CHOOSE(ArtifactsInput!$N$27+1,20,24,28,32,36,40),0)/100)))))/Skills!H6+0.000000001),1)))/Inputs!$B$43),G1085*Q1085))*IF(Inputs!$B$38="pvp",1,(1+(Inputs!$B$21+Skills!Q6+(((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Skills!G7*IF(Skills!H7&gt;0,INT(IF(Inputs!$B$38="pvp",MIN(Skills!I7,15),Skills!I7)/Skills!H7+0.000000001),1)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IFERROR(1/(IF(Inputs!$B$38="pvp",15,MAX(0.1,Skills!D7-IF(TRUE=TRUE,Inputs!$B$32,0)))*(1-IF(AND(ArtifactsInput!$M$27,Inputs!$B$4="Chapter Hunt"),CHOOSE(ArtifactsInput!$N$27+1,20,24,28,32,36,40),0)/100)),0)</f>
        <v/>
      </c>
      <c r="R1086">
        <f>IF(AND(Inputs!$B$38&lt;&gt;"pvp",Inputs!$B$43&gt;0),IF(MAX(0,Inputs!$B$43-B1115)&lt;=0,0,(INT(MAX(0,Inputs!$B$43-B1115)/(IF(Inputs!$B$38="pvp",15,MAX(0.1,Skills!D7-IF(TRUE=TRUE,Inputs!$B$32,0)))*(1-IF(AND(ArtifactsInput!$M$27,Inputs!$B$4="Chapter Hunt"),CHOOSE(ArtifactsInput!$N$27+1,20,24,28,32,36,40),0)/100)))+1)),0)</f>
        <v/>
      </c>
      <c r="S1086">
        <f>IFERROR(O1086/N1086,0)</f>
        <v/>
      </c>
      <c r="T1086">
        <f>IF(C1086,(H1086*N1086*IF(AND(Inputs!$B$38&lt;&gt;"pvp",Inputs!$B$43&gt;0),((Skills!G7*((R1086-1)*IF(Skills!H7&gt;0,INT(Skills!I7/Skills!H7+0.000000001),1)+IF(Skills!H7&gt;0,INT(MIN(Skills!I7,MAX(0,MAX(0,Inputs!$B$43-B1115)-((R1086-1)*(IF(Inputs!$B$38="pvp",15,MAX(0.1,Skills!D7-IF(TRUE=TRUE,Inputs!$B$32,0)))*(1-IF(AND(ArtifactsInput!$M$27,Inputs!$B$4="Chapter Hunt"),CHOOSE(ArtifactsInput!$N$27+1,20,24,28,32,36,40),0)/100)))))/Skills!H7+0.000000001),1)))/Inputs!$B$43),G1086*Q1086))*IF(Inputs!$B$38="pvp",1,1+(Inputs!$B$20+0+Skills!P7+(((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INT(Skills!I7/Skills!H7+0.000000001),1)+IF(Skills!H7&gt;0,INT(MIN(Skills!I7,MAX(0,MAX(0,Inputs!$B$43-B1115)-((R1086-1)*(IF(Inputs!$B$38="pvp",15,MAX(0.1,Skills!D7-IF(TRUE=TRUE,Inputs!$B$32,0)))*(1-IF(AND(ArtifactsInput!$M$27,Inputs!$B$4="Chapter Hunt"),CHOOSE(ArtifactsInput!$N$27+1,20,24,28,32,36,40),0)/100)))))/Skills!H7+0.000000001),1)))/Inputs!$B$43),G1086*Q1086))*IF(Inputs!$B$38="pvp",1,(1+(Inputs!$B$21+Skills!Q7+(((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Skills!G8*IF(Skills!H8&gt;0,INT(IF(Inputs!$B$38="pvp",MIN(Skills!I8,15),Skills!I8)/Skills!H8+0.000000001),1)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IFERROR(1/(IF(Inputs!$B$38="pvp",15,MAX(0.1,Skills!D8-IF(TRUE=TRUE,Inputs!$B$32,0)))*(1-IF(AND(ArtifactsInput!$M$27,Inputs!$B$4="Chapter Hunt"),CHOOSE(ArtifactsInput!$N$27+1,20,24,28,32,36,40),0)/100)),0)</f>
        <v/>
      </c>
      <c r="R1087">
        <f>IF(AND(Inputs!$B$38&lt;&gt;"pvp",Inputs!$B$43&gt;0),IF(MAX(0,Inputs!$B$43-B1115)&lt;=0,0,(INT(MAX(0,Inputs!$B$43-B1115)/(IF(Inputs!$B$38="pvp",15,MAX(0.1,Skills!D8-IF(TRUE=TRUE,Inputs!$B$32,0)))*(1-IF(AND(ArtifactsInput!$M$27,Inputs!$B$4="Chapter Hunt"),CHOOSE(ArtifactsInput!$N$27+1,20,24,28,32,36,40),0)/100)))+1)),0)</f>
        <v/>
      </c>
      <c r="S1087">
        <f>IFERROR(O1087/N1087,0)</f>
        <v/>
      </c>
      <c r="T1087">
        <f>IF(C1087,(H1087*N1087*IF(AND(Inputs!$B$38&lt;&gt;"pvp",Inputs!$B$43&gt;0),((Skills!G8*((R1087-1)*IF(Skills!H8&gt;0,INT(Skills!I8/Skills!H8+0.000000001),1)+IF(Skills!H8&gt;0,INT(MIN(Skills!I8,MAX(0,MAX(0,Inputs!$B$43-B1115)-((R1087-1)*(IF(Inputs!$B$38="pvp",15,MAX(0.1,Skills!D8-IF(TRUE=TRUE,Inputs!$B$32,0)))*(1-IF(AND(ArtifactsInput!$M$27,Inputs!$B$4="Chapter Hunt"),CHOOSE(ArtifactsInput!$N$27+1,20,24,28,32,36,40),0)/100)))))/Skills!H8+0.000000001),1)))/Inputs!$B$43),G1087*Q1087))*IF(Inputs!$B$38="pvp",1,1+(Inputs!$B$20+0+Skills!P8+(((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INT(Skills!I8/Skills!H8+0.000000001),1)+IF(Skills!H8&gt;0,INT(MIN(Skills!I8,MAX(0,MAX(0,Inputs!$B$43-B1115)-((R1087-1)*(IF(Inputs!$B$38="pvp",15,MAX(0.1,Skills!D8-IF(TRUE=TRUE,Inputs!$B$32,0)))*(1-IF(AND(ArtifactsInput!$M$27,Inputs!$B$4="Chapter Hunt"),CHOOSE(ArtifactsInput!$N$27+1,20,24,28,32,36,40),0)/100)))))/Skills!H8+0.000000001),1)))/Inputs!$B$43),G1087*Q1087))*IF(Inputs!$B$38="pvp",1,(1+(Inputs!$B$21+Skills!Q8+(((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Skills!G9*IF(Skills!H9&gt;0,INT(IF(Inputs!$B$38="pvp",MIN(Skills!I9,15),Skills!I9)/Skills!H9+0.000000001),1)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138,MAX(0,IF(Inputs!$B$3&gt;=118,8,IF(Inputs!$B$3&gt;=110,7,5))-5)*50,0),0)/100)*(1+(IF(Skills!A9="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IFERROR(1/(IF(Inputs!$B$38="pvp",15,MAX(0.1,Skills!D9-IF(TRUE=TRUE,Inputs!$B$32,0)))*(1-IF(AND(ArtifactsInput!$M$27,Inputs!$B$4="Chapter Hunt"),CHOOSE(ArtifactsInput!$N$27+1,20,24,28,32,36,40),0)/100)),0)</f>
        <v/>
      </c>
      <c r="R1088">
        <f>IF(AND(Inputs!$B$38&lt;&gt;"pvp",Inputs!$B$43&gt;0),IF(MAX(0,Inputs!$B$43-B1115)&lt;=0,0,(INT(MAX(0,Inputs!$B$43-B1115)/(IF(Inputs!$B$38="pvp",15,MAX(0.1,Skills!D9-IF(TRUE=TRUE,Inputs!$B$32,0)))*(1-IF(AND(ArtifactsInput!$M$27,Inputs!$B$4="Chapter Hunt"),CHOOSE(ArtifactsInput!$N$27+1,20,24,28,32,36,40),0)/100)))+1)),0)</f>
        <v/>
      </c>
      <c r="S1088">
        <f>IFERROR(O1088/N1088,0)</f>
        <v/>
      </c>
      <c r="T1088">
        <f>IF(C1088,(H1088*N1088*IF(AND(Inputs!$B$38&lt;&gt;"pvp",Inputs!$B$43&gt;0),((Skills!G9*((R1088-1)*IF(Skills!H9&gt;0,INT(Skills!I9/Skills!H9+0.000000001),1)+IF(Skills!H9&gt;0,INT(MIN(Skills!I9,MAX(0,MAX(0,Inputs!$B$43-B1115)-((R1088-1)*(IF(Inputs!$B$38="pvp",15,MAX(0.1,Skills!D9-IF(TRUE=TRUE,Inputs!$B$32,0)))*(1-IF(AND(ArtifactsInput!$M$27,Inputs!$B$4="Chapter Hunt"),CHOOSE(ArtifactsInput!$N$27+1,20,24,28,32,36,40),0)/100)))))/Skills!H9+0.000000001),1)))/Inputs!$B$43),G1088*Q1088))*IF(Inputs!$B$38="pvp",1,1+(Inputs!$B$20+0+Skills!P9+(((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INT(Skills!I9/Skills!H9+0.000000001),1)+IF(Skills!H9&gt;0,INT(MIN(Skills!I9,MAX(0,MAX(0,Inputs!$B$43-B1115)-((R1088-1)*(IF(Inputs!$B$38="pvp",15,MAX(0.1,Skills!D9-IF(TRUE=TRUE,Inputs!$B$32,0)))*(1-IF(AND(ArtifactsInput!$M$27,Inputs!$B$4="Chapter Hunt"),CHOOSE(ArtifactsInput!$N$27+1,20,24,28,32,36,40),0)/100)))))/Skills!H9+0.000000001),1)))/Inputs!$B$43),G1088*Q1088))*IF(Inputs!$B$38="pvp",1,(1+(Inputs!$B$21+Skills!Q9+(((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Skills!G10*IF(Skills!H10&gt;0,INT(IF(Inputs!$B$38="pvp",MIN(Skills!I10,15),Skills!I10)/Skills!H10+0.000000001),1)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138,MAX(0,IF(Inputs!$B$3&gt;=118,8,IF(Inputs!$B$3&gt;=110,7,5))-5)*50,0),0)/100)*(1+(IF(Skills!A10="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IFERROR(1/(IF(Inputs!$B$38="pvp",15,MAX(0.1,Skills!D10-IF(TRUE=TRUE,Inputs!$B$32,0)))*(1-IF(AND(ArtifactsInput!$M$27,Inputs!$B$4="Chapter Hunt"),CHOOSE(ArtifactsInput!$N$27+1,20,24,28,32,36,40),0)/100)),0)</f>
        <v/>
      </c>
      <c r="R1089">
        <f>IF(AND(Inputs!$B$38&lt;&gt;"pvp",Inputs!$B$43&gt;0),IF(MAX(0,Inputs!$B$43-B1115)&lt;=0,0,(INT(MAX(0,Inputs!$B$43-B1115)/(IF(Inputs!$B$38="pvp",15,MAX(0.1,Skills!D10-IF(TRUE=TRUE,Inputs!$B$32,0)))*(1-IF(AND(ArtifactsInput!$M$27,Inputs!$B$4="Chapter Hunt"),CHOOSE(ArtifactsInput!$N$27+1,20,24,28,32,36,40),0)/100)))+1)),0)</f>
        <v/>
      </c>
      <c r="S1089">
        <f>IFERROR(O1089/N1089,0)</f>
        <v/>
      </c>
      <c r="T1089">
        <f>IF(C1089,(H1089*N1089*IF(AND(Inputs!$B$38&lt;&gt;"pvp",Inputs!$B$43&gt;0),((Skills!G10*((R1089-1)*IF(Skills!H10&gt;0,INT(Skills!I10/Skills!H10+0.000000001),1)+IF(Skills!H10&gt;0,INT(MIN(Skills!I10,MAX(0,MAX(0,Inputs!$B$43-B1115)-((R1089-1)*(IF(Inputs!$B$38="pvp",15,MAX(0.1,Skills!D10-IF(TRUE=TRUE,Inputs!$B$32,0)))*(1-IF(AND(ArtifactsInput!$M$27,Inputs!$B$4="Chapter Hunt"),CHOOSE(ArtifactsInput!$N$27+1,20,24,28,32,36,40),0)/100)))))/Skills!H10+0.000000001),1)))/Inputs!$B$43),G1089*Q1089))*IF(Inputs!$B$38="pvp",1,1+(Inputs!$B$20+0+Skills!P10+(((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INT(Skills!I10/Skills!H10+0.000000001),1)+IF(Skills!H10&gt;0,INT(MIN(Skills!I10,MAX(0,MAX(0,Inputs!$B$43-B1115)-((R1089-1)*(IF(Inputs!$B$38="pvp",15,MAX(0.1,Skills!D10-IF(TRUE=TRUE,Inputs!$B$32,0)))*(1-IF(AND(ArtifactsInput!$M$27,Inputs!$B$4="Chapter Hunt"),CHOOSE(ArtifactsInput!$N$27+1,20,24,28,32,36,40),0)/100)))))/Skills!H10+0.000000001),1)))/Inputs!$B$43),G1089*Q1089))*IF(Inputs!$B$38="pvp",1,(1+(Inputs!$B$21+Skills!Q10+(((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Skills!G11*IF(Skills!H11&gt;0,INT(IF(Inputs!$B$38="pvp",MIN(Skills!I11,15),Skills!I11)/Skills!H11+0.000000001),1)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138,MAX(0,IF(Inputs!$B$3&gt;=118,8,IF(Inputs!$B$3&gt;=110,7,5))-5)*50,0),0)/100)*(1+(IF(Skills!A11="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IFERROR(1/(IF(Inputs!$B$38="pvp",15,MAX(0.1,Skills!D11-IF(TRUE=TRUE,Inputs!$B$32,0)))*(1-IF(AND(ArtifactsInput!$M$27,Inputs!$B$4="Chapter Hunt"),CHOOSE(ArtifactsInput!$N$27+1,20,24,28,32,36,40),0)/100)),0)</f>
        <v/>
      </c>
      <c r="R1090">
        <f>IF(AND(Inputs!$B$38&lt;&gt;"pvp",Inputs!$B$43&gt;0),IF(MAX(0,Inputs!$B$43-B1115)&lt;=0,0,(INT(MAX(0,Inputs!$B$43-B1115)/(IF(Inputs!$B$38="pvp",15,MAX(0.1,Skills!D11-IF(TRUE=TRUE,Inputs!$B$32,0)))*(1-IF(AND(ArtifactsInput!$M$27,Inputs!$B$4="Chapter Hunt"),CHOOSE(ArtifactsInput!$N$27+1,20,24,28,32,36,40),0)/100)))+1)),0)</f>
        <v/>
      </c>
      <c r="S1090">
        <f>IFERROR(O1090/N1090,0)</f>
        <v/>
      </c>
      <c r="T1090">
        <f>IF(C1090,(H1090*N1090*IF(AND(Inputs!$B$38&lt;&gt;"pvp",Inputs!$B$43&gt;0),((Skills!G11*((R1090-1)*IF(Skills!H11&gt;0,INT(Skills!I11/Skills!H11+0.000000001),1)+IF(Skills!H11&gt;0,INT(MIN(Skills!I11,MAX(0,MAX(0,Inputs!$B$43-B1115)-((R1090-1)*(IF(Inputs!$B$38="pvp",15,MAX(0.1,Skills!D11-IF(TRUE=TRUE,Inputs!$B$32,0)))*(1-IF(AND(ArtifactsInput!$M$27,Inputs!$B$4="Chapter Hunt"),CHOOSE(ArtifactsInput!$N$27+1,20,24,28,32,36,40),0)/100)))))/Skills!H11+0.000000001),1)))/Inputs!$B$43),G1090*Q1090))*IF(Inputs!$B$38="pvp",1,1+(Inputs!$B$20+0+Skills!P11+(((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INT(Skills!I11/Skills!H11+0.000000001),1)+IF(Skills!H11&gt;0,INT(MIN(Skills!I11,MAX(0,MAX(0,Inputs!$B$43-B1115)-((R1090-1)*(IF(Inputs!$B$38="pvp",15,MAX(0.1,Skills!D11-IF(TRUE=TRUE,Inputs!$B$32,0)))*(1-IF(AND(ArtifactsInput!$M$27,Inputs!$B$4="Chapter Hunt"),CHOOSE(ArtifactsInput!$N$27+1,20,24,28,32,36,40),0)/100)))))/Skills!H11+0.000000001),1)))/Inputs!$B$43),G1090*Q1090))*IF(Inputs!$B$38="pvp",1,(1+(Inputs!$B$21+Skills!Q11+(((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Skills!G13*IF(Skills!H13&gt;0,INT(IF(Inputs!$B$38="pvp",MIN(Skills!I13,15),Skills!I13)/Skills!H13+0.000000001),1)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Skills!G14*IF(Skills!H14&gt;0,INT(IF(Inputs!$B$38="pvp",MIN(Skills!I14,15),Skills!I14)/Skills!H14+0.000000001),1)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Skills!G15*IF(Skills!H15&gt;0,INT(IF(Inputs!$B$38="pvp",MIN(Skills!I15,15),Skills!I15)/Skills!H15+0.000000001),1)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IFERROR(1/(IF(Inputs!$B$38="pvp",15,MAX(0.1,Skills!D15-IF(TRUE=TRUE,Inputs!$B$32,0)))*(1-IF(AND(ArtifactsInput!$M$27,Inputs!$B$4="Chapter Hunt"),CHOOSE(ArtifactsInput!$N$27+1,20,24,28,32,36,40),0)/100)),0)</f>
        <v/>
      </c>
      <c r="R1094">
        <f>IF(AND(Inputs!$B$38&lt;&gt;"pvp",Inputs!$B$43&gt;0),IF(Inputs!$B$43&lt;=0,0,(INT(Inputs!$B$43/(IF(Inputs!$B$38="pvp",15,MAX(0.1,Skills!D15-IF(TRUE=TRUE,Inputs!$B$32,0)))*(1-IF(AND(ArtifactsInput!$M$27,Inputs!$B$4="Chapter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Skills!G16*IF(Skills!H16&gt;0,INT(IF(Inputs!$B$38="pvp",MIN(Skills!I16,15),Skills!I16)/Skills!H16+0.000000001),1)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IFERROR(1/(IF(Inputs!$B$38="pvp",15,MAX(0.1,Skills!D16-IF(TRUE=TRUE,Inputs!$B$32,0)))*(1-IF(AND(ArtifactsInput!$M$27,Inputs!$B$4="Chapter Hunt"),CHOOSE(ArtifactsInput!$N$27+1,20,24,28,32,36,40),0)/100)),0)</f>
        <v/>
      </c>
      <c r="R1095">
        <f>IF(AND(Inputs!$B$38&lt;&gt;"pvp",Inputs!$B$43&gt;0),IF(Inputs!$B$43&lt;=0,0,(INT(Inputs!$B$43/(IF(Inputs!$B$38="pvp",15,MAX(0.1,Skills!D16-IF(TRUE=TRUE,Inputs!$B$32,0)))*(1-IF(AND(ArtifactsInput!$M$27,Inputs!$B$4="Chapter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Skills!G17*IF(Skills!H17&gt;0,INT(IF(Inputs!$B$38="pvp",MIN(Skills!I17,15),Skills!I17)/Skills!H17+0.000000001),1)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Skills!G18*IF(Skills!H18&gt;0,INT(IF(Inputs!$B$38="pvp",MIN(Skills!I18,15),Skills!I18)/Skills!H18+0.000000001),1)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Skills!G19*IF(Skills!H19&gt;0,INT(IF(Inputs!$B$38="pvp",MIN(Skills!I19,15),Skills!I19)/Skills!H19+0.000000001),1)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IFERROR(1/(IF(Inputs!$B$38="pvp",15,MAX(0.1,Skills!D19-IF(TRUE=TRUE,Inputs!$B$32,0)))*(1-IF(AND(ArtifactsInput!$M$27,Inputs!$B$4="Chapter Hunt"),CHOOSE(ArtifactsInput!$N$27+1,20,24,28,32,36,40),0)/100)),0)</f>
        <v/>
      </c>
      <c r="R1098">
        <f>IF(AND(Inputs!$B$38&lt;&gt;"pvp",Inputs!$B$43&gt;0),IF(Inputs!$B$43&lt;=0,0,(INT(Inputs!$B$43/(IF(Inputs!$B$38="pvp",15,MAX(0.1,Skills!D19-IF(TRUE=TRUE,Inputs!$B$32,0)))*(1-IF(AND(ArtifactsInput!$M$27,Inputs!$B$4="Chapter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Skills!G20*IF(Skills!H20&gt;0,INT(IF(Inputs!$B$38="pvp",MIN(Skills!I20,15),Skills!I20)/Skills!H20+0.000000001),1)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Skills!G21*IF(Skills!H21&gt;0,INT(IF(Inputs!$B$38="pvp",MIN(Skills!I21,15),Skills!I21)/Skills!H21+0.000000001),1)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Skills!G22*IF(Skills!H22&gt;0,INT(IF(Inputs!$B$38="pvp",MIN(Skills!I22,15),Skills!I22)/Skills!H22+0.000000001),1)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Skills!G23*IF(Skills!H23&gt;0,INT(IF(Inputs!$B$38="pvp",MIN(Skills!I23,15),Skills!I23)/Skills!H23+0.000000001),1)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Skills!G24*IF(Skills!H24&gt;0,INT(IF(Inputs!$B$38="pvp",MIN(Skills!I24,15),Skills!I24)/Skills!H24+0.000000001),1)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Skills!G25*IF(Skills!H25&gt;0,INT(IF(Inputs!$B$38="pvp",MIN(Skills!I25,15),Skills!I25)/Skills!H25+0.000000001),1)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Skills!G26*IF(Skills!H26&gt;0,INT(IF(Inputs!$B$38="pvp",MIN(Skills!I26,15),Skills!I26)/Skills!H26+0.000000001),1)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MIN((Skills!T19*(1+(Inputs!$B$34+(ArtifactsInput!$M$7-ArtifactsInput!$M$7)*CHOOSE(ArtifactsInput!$N$7+1,6,7.2,8.4,9.6,10.8,12))/100)),(1/Q1098))+MIN((Skills!T19*(1+(Inputs!$B$34+(ArtifactsInput!$M$7-ArtifactsInput!$M$7)*CHOOSE(ArtifactsInput!$N$7+1,6,7.2,8.4,9.6,10.8,12))/100)),MAX(0,Inputs!$B$43-((R1098-1)*(1/Q1098)))))/Inputs!$B$43),IF(Inputs!$B$38="pvp",MIN((Skills!T19*(1+(Inputs!$B$34+(ArtifactsInput!$M$7-ArtifactsInput!$M$7)*CHOOSE(ArtifactsInput!$N$7+1,6,7.2,8.4,9.6,10.8,12))/100)),15)/15,MIN(1,(Skills!T19*(1+(Inputs!$B$34+(ArtifactsInput!$M$7-ArtifactsInput!$M$7)*CHOOSE(ArtifactsInput!$N$7+1,6,7.2,8.4,9.6,10.8,12))/100))/(1/Q1098)))))</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MIN((Skills!T18*(1+(Inputs!$B$34+(ArtifactsInput!$M$7-ArtifactsInput!$M$7)*CHOOSE(ArtifactsInput!$N$7+1,6,7.2,8.4,9.6,10.8,12))/100)),(1/Q1097))+MIN((Skills!T18*(1+(Inputs!$B$34+(ArtifactsInput!$M$7-ArtifactsInput!$M$7)*CHOOSE(ArtifactsInput!$N$7+1,6,7.2,8.4,9.6,10.8,12))/100)),MAX(0,Inputs!$B$43-((R1097-1)*(1/Q1097)))))/Inputs!$B$43),IF(Inputs!$B$38="pvp",MIN((Skills!T18*(1+(Inputs!$B$34+(ArtifactsInput!$M$7-ArtifactsInput!$M$7)*CHOOSE(ArtifactsInput!$N$7+1,6,7.2,8.4,9.6,10.8,12))/100)),15)/15,MIN(1,(Skills!T18*(1+(Inputs!$B$34+(ArtifactsInput!$M$7-ArtifactsInput!$M$7)*CHOOSE(ArtifactsInput!$N$7+1,6,7.2,8.4,9.6,10.8,12))/100))/(1/Q1097)))))</f>
        <v/>
      </c>
    </row>
    <row r="1114">
      <c r="A1114" t="inlineStr">
        <is>
          <t>Global Final Damage Bonus % (Enrage + Combo Synergy)</t>
        </is>
      </c>
      <c r="B1114">
        <f>((C1096=TRUE)*F1096*IF(AND(Inputs!$B$38&lt;&gt;"pvp",Inputs!$B$43&gt;0),(((R1096-1)*MIN((Skills!T17*(1+(Inputs!$B$34+(ArtifactsInput!$M$7-ArtifactsInput!$M$7)*CHOOSE(ArtifactsInput!$N$7+1,6,7.2,8.4,9.6,10.8,12))/100)),(1/Q1096))+MIN((Skills!T17*(1+(Inputs!$B$34+(ArtifactsInput!$M$7-ArtifactsInput!$M$7)*CHOOSE(ArtifactsInput!$N$7+1,6,7.2,8.4,9.6,10.8,12))/100)),MAX(0,Inputs!$B$43-((R1096-1)*(1/Q1096)))))/Inputs!$B$43),IF(Inputs!$B$38="pvp",MIN((Skills!T17*(1+(Inputs!$B$34+(ArtifactsInput!$M$7-ArtifactsInput!$M$7)*CHOOSE(ArtifactsInput!$N$7+1,6,7.2,8.4,9.6,10.8,12))/100)),15)/15,MIN(1,(Skills!T17*(1+(Inputs!$B$34+(ArtifactsInput!$M$7-ArtifactsInput!$M$7)*CHOOSE(ArtifactsInput!$N$7+1,6,7.2,8.4,9.6,10.8,12))/100))/(1/Q1096)))))+((C1093=TRUE)*F1093*IF(Inputs!$B$3&gt;=118,8,IF(Inputs!$B$3&gt;=110,7,5)))+IF(Inputs!$B$3&gt;=98,5,0)</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Skills!G2*IF(Skills!H2&gt;0,INT(IF(Inputs!$B$38="pvp",MIN(Skills!I2,15),Skills!I2)/Skills!H2+0.000000001),1)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Skills!G5*IF(Skills!H5&gt;0,INT(IF(Inputs!$B$38="pvp",MIN(Skills!I5,15),Skills!I5)/Skills!H5+0.000000001),1)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IFERROR(1/(IF(Inputs!$B$38="pvp",15,MAX(0.1,Skills!D5-IF(TRUE=TRUE,Inputs!$B$32,0)))*(1-IF(AND(ArtifactsInput!$M$27,Inputs!$B$4="Chapter Hunt"),CHOOSE(ArtifactsInput!$N$27+1,20,24,28,32,36,40),0)/100)),0)</f>
        <v/>
      </c>
      <c r="R1126">
        <f>IF(AND(Inputs!$B$38&lt;&gt;"pvp",Inputs!$B$43&gt;0),IF(MAX(0,Inputs!$B$43-B1157)&lt;=0,0,(INT(MAX(0,Inputs!$B$43-B1157)/(IF(Inputs!$B$38="pvp",15,MAX(0.1,Skills!D5-IF(TRUE=TRUE,Inputs!$B$32,0)))*(1-IF(AND(ArtifactsInput!$M$27,Inputs!$B$4="Chapter Hunt"),CHOOSE(ArtifactsInput!$N$27+1,20,24,28,32,36,40),0)/100)))+1)),0)</f>
        <v/>
      </c>
      <c r="S1126">
        <f>IFERROR(O1126/N1126,0)</f>
        <v/>
      </c>
      <c r="T1126">
        <f>IF(C1126,(H1126*N1126*IF(AND(Inputs!$B$38&lt;&gt;"pvp",Inputs!$B$43&gt;0),((Skills!G5*((R1126-1)*IF(Skills!H5&gt;0,INT(Skills!I5/Skills!H5+0.000000001),1)+IF(Skills!H5&gt;0,INT(MIN(Skills!I5,MAX(0,MAX(0,Inputs!$B$43-B1157)-((R1126-1)*(IF(Inputs!$B$38="pvp",15,MAX(0.1,Skills!D5-IF(TRUE=TRUE,Inputs!$B$32,0)))*(1-IF(AND(ArtifactsInput!$M$27,Inputs!$B$4="Chapter Hunt"),CHOOSE(ArtifactsInput!$N$27+1,20,24,28,32,36,40),0)/100)))))/Skills!H5+0.000000001),1)))/Inputs!$B$43),G1126*Q1126))*IF(Inputs!$B$38="pvp",1,1+(Inputs!$B$20+0+Skills!P5+(((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INT(Skills!I5/Skills!H5+0.000000001),1)+IF(Skills!H5&gt;0,INT(MIN(Skills!I5,MAX(0,MAX(0,Inputs!$B$43-B1157)-((R1126-1)*(IF(Inputs!$B$38="pvp",15,MAX(0.1,Skills!D5-IF(TRUE=TRUE,Inputs!$B$32,0)))*(1-IF(AND(ArtifactsInput!$M$27,Inputs!$B$4="Chapter Hunt"),CHOOSE(ArtifactsInput!$N$27+1,20,24,28,32,36,40),0)/100)))))/Skills!H5+0.000000001),1)))/Inputs!$B$43),G1126*Q1126))*IF(Inputs!$B$38="pvp",1,(1+(Inputs!$B$21+Skills!Q5+(((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Skills!G6*IF(Skills!H6&gt;0,INT(IF(Inputs!$B$38="pvp",MIN(Skills!I6,15),Skills!I6)/Skills!H6+0.000000001),1)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IFERROR(1/(IF(Inputs!$B$38="pvp",15,MAX(0.1,Skills!D6-IF(TRUE=TRUE,Inputs!$B$32,0)))*(1-IF(AND(ArtifactsInput!$M$27,Inputs!$B$4="Chapter Hunt"),CHOOSE(ArtifactsInput!$N$27+1,20,24,28,32,36,40),0)/100)),0)</f>
        <v/>
      </c>
      <c r="R1127">
        <f>IF(AND(Inputs!$B$38&lt;&gt;"pvp",Inputs!$B$43&gt;0),IF(MAX(0,Inputs!$B$43-B1157)&lt;=0,0,(INT(MAX(0,Inputs!$B$43-B1157)/(IF(Inputs!$B$38="pvp",15,MAX(0.1,Skills!D6-IF(TRUE=TRUE,Inputs!$B$32,0)))*(1-IF(AND(ArtifactsInput!$M$27,Inputs!$B$4="Chapter Hunt"),CHOOSE(ArtifactsInput!$N$27+1,20,24,28,32,36,40),0)/100)))+1)),0)</f>
        <v/>
      </c>
      <c r="S1127">
        <f>IFERROR(O1127/N1127,0)</f>
        <v/>
      </c>
      <c r="T1127">
        <f>IF(C1127,(H1127*N1127*IF(AND(Inputs!$B$38&lt;&gt;"pvp",Inputs!$B$43&gt;0),((Skills!G6*((R1127-1)*IF(Skills!H6&gt;0,INT(Skills!I6/Skills!H6+0.000000001),1)+IF(Skills!H6&gt;0,INT(MIN(Skills!I6,MAX(0,MAX(0,Inputs!$B$43-B1157)-((R1127-1)*(IF(Inputs!$B$38="pvp",15,MAX(0.1,Skills!D6-IF(TRUE=TRUE,Inputs!$B$32,0)))*(1-IF(AND(ArtifactsInput!$M$27,Inputs!$B$4="Chapter Hunt"),CHOOSE(ArtifactsInput!$N$27+1,20,24,28,32,36,40),0)/100)))))/Skills!H6+0.000000001),1)))/Inputs!$B$43),G1127*Q1127))*IF(Inputs!$B$38="pvp",1,1+(Inputs!$B$20+0+Skills!P6+(((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INT(Skills!I6/Skills!H6+0.000000001),1)+IF(Skills!H6&gt;0,INT(MIN(Skills!I6,MAX(0,MAX(0,Inputs!$B$43-B1157)-((R1127-1)*(IF(Inputs!$B$38="pvp",15,MAX(0.1,Skills!D6-IF(TRUE=TRUE,Inputs!$B$32,0)))*(1-IF(AND(ArtifactsInput!$M$27,Inputs!$B$4="Chapter Hunt"),CHOOSE(ArtifactsInput!$N$27+1,20,24,28,32,36,40),0)/100)))))/Skills!H6+0.000000001),1)))/Inputs!$B$43),G1127*Q1127))*IF(Inputs!$B$38="pvp",1,(1+(Inputs!$B$21+Skills!Q6+(((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Skills!G7*IF(Skills!H7&gt;0,INT(IF(Inputs!$B$38="pvp",MIN(Skills!I7,15),Skills!I7)/Skills!H7+0.000000001),1)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IFERROR(1/(IF(Inputs!$B$38="pvp",15,MAX(0.1,Skills!D7-IF(TRUE=TRUE,Inputs!$B$32,0)))*(1-IF(AND(ArtifactsInput!$M$27,Inputs!$B$4="Chapter Hunt"),CHOOSE(ArtifactsInput!$N$27+1,20,24,28,32,36,40),0)/100)),0)</f>
        <v/>
      </c>
      <c r="R1128">
        <f>IF(AND(Inputs!$B$38&lt;&gt;"pvp",Inputs!$B$43&gt;0),IF(MAX(0,Inputs!$B$43-B1157)&lt;=0,0,(INT(MAX(0,Inputs!$B$43-B1157)/(IF(Inputs!$B$38="pvp",15,MAX(0.1,Skills!D7-IF(TRUE=TRUE,Inputs!$B$32,0)))*(1-IF(AND(ArtifactsInput!$M$27,Inputs!$B$4="Chapter Hunt"),CHOOSE(ArtifactsInput!$N$27+1,20,24,28,32,36,40),0)/100)))+1)),0)</f>
        <v/>
      </c>
      <c r="S1128">
        <f>IFERROR(O1128/N1128,0)</f>
        <v/>
      </c>
      <c r="T1128">
        <f>IF(C1128,(H1128*N1128*IF(AND(Inputs!$B$38&lt;&gt;"pvp",Inputs!$B$43&gt;0),((Skills!G7*((R1128-1)*IF(Skills!H7&gt;0,INT(Skills!I7/Skills!H7+0.000000001),1)+IF(Skills!H7&gt;0,INT(MIN(Skills!I7,MAX(0,MAX(0,Inputs!$B$43-B1157)-((R1128-1)*(IF(Inputs!$B$38="pvp",15,MAX(0.1,Skills!D7-IF(TRUE=TRUE,Inputs!$B$32,0)))*(1-IF(AND(ArtifactsInput!$M$27,Inputs!$B$4="Chapter Hunt"),CHOOSE(ArtifactsInput!$N$27+1,20,24,28,32,36,40),0)/100)))))/Skills!H7+0.000000001),1)))/Inputs!$B$43),G1128*Q1128))*IF(Inputs!$B$38="pvp",1,1+(Inputs!$B$20+0+Skills!P7+(((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INT(Skills!I7/Skills!H7+0.000000001),1)+IF(Skills!H7&gt;0,INT(MIN(Skills!I7,MAX(0,MAX(0,Inputs!$B$43-B1157)-((R1128-1)*(IF(Inputs!$B$38="pvp",15,MAX(0.1,Skills!D7-IF(TRUE=TRUE,Inputs!$B$32,0)))*(1-IF(AND(ArtifactsInput!$M$27,Inputs!$B$4="Chapter Hunt"),CHOOSE(ArtifactsInput!$N$27+1,20,24,28,32,36,40),0)/100)))))/Skills!H7+0.000000001),1)))/Inputs!$B$43),G1128*Q1128))*IF(Inputs!$B$38="pvp",1,(1+(Inputs!$B$21+Skills!Q7+(((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Skills!G8*IF(Skills!H8&gt;0,INT(IF(Inputs!$B$38="pvp",MIN(Skills!I8,15),Skills!I8)/Skills!H8+0.000000001),1)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IFERROR(1/(IF(Inputs!$B$38="pvp",15,MAX(0.1,Skills!D8-IF(TRUE=TRUE,Inputs!$B$32,0)))*(1-IF(AND(ArtifactsInput!$M$27,Inputs!$B$4="Chapter Hunt"),CHOOSE(ArtifactsInput!$N$27+1,20,24,28,32,36,40),0)/100)),0)</f>
        <v/>
      </c>
      <c r="R1129">
        <f>IF(AND(Inputs!$B$38&lt;&gt;"pvp",Inputs!$B$43&gt;0),IF(MAX(0,Inputs!$B$43-B1157)&lt;=0,0,(INT(MAX(0,Inputs!$B$43-B1157)/(IF(Inputs!$B$38="pvp",15,MAX(0.1,Skills!D8-IF(TRUE=TRUE,Inputs!$B$32,0)))*(1-IF(AND(ArtifactsInput!$M$27,Inputs!$B$4="Chapter Hunt"),CHOOSE(ArtifactsInput!$N$27+1,20,24,28,32,36,40),0)/100)))+1)),0)</f>
        <v/>
      </c>
      <c r="S1129">
        <f>IFERROR(O1129/N1129,0)</f>
        <v/>
      </c>
      <c r="T1129">
        <f>IF(C1129,(H1129*N1129*IF(AND(Inputs!$B$38&lt;&gt;"pvp",Inputs!$B$43&gt;0),((Skills!G8*((R1129-1)*IF(Skills!H8&gt;0,INT(Skills!I8/Skills!H8+0.000000001),1)+IF(Skills!H8&gt;0,INT(MIN(Skills!I8,MAX(0,MAX(0,Inputs!$B$43-B1157)-((R1129-1)*(IF(Inputs!$B$38="pvp",15,MAX(0.1,Skills!D8-IF(TRUE=TRUE,Inputs!$B$32,0)))*(1-IF(AND(ArtifactsInput!$M$27,Inputs!$B$4="Chapter Hunt"),CHOOSE(ArtifactsInput!$N$27+1,20,24,28,32,36,40),0)/100)))))/Skills!H8+0.000000001),1)))/Inputs!$B$43),G1129*Q1129))*IF(Inputs!$B$38="pvp",1,1+(Inputs!$B$20+0+Skills!P8+(((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INT(Skills!I8/Skills!H8+0.000000001),1)+IF(Skills!H8&gt;0,INT(MIN(Skills!I8,MAX(0,MAX(0,Inputs!$B$43-B1157)-((R1129-1)*(IF(Inputs!$B$38="pvp",15,MAX(0.1,Skills!D8-IF(TRUE=TRUE,Inputs!$B$32,0)))*(1-IF(AND(ArtifactsInput!$M$27,Inputs!$B$4="Chapter Hunt"),CHOOSE(ArtifactsInput!$N$27+1,20,24,28,32,36,40),0)/100)))))/Skills!H8+0.000000001),1)))/Inputs!$B$43),G1129*Q1129))*IF(Inputs!$B$38="pvp",1,(1+(Inputs!$B$21+Skills!Q8+(((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Skills!G9*IF(Skills!H9&gt;0,INT(IF(Inputs!$B$38="pvp",MIN(Skills!I9,15),Skills!I9)/Skills!H9+0.000000001),1)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138,MAX(0,IF(Inputs!$B$3&gt;=118,8,IF(Inputs!$B$3&gt;=110,7,5))-5)*50,0),0)/100)*(1+(IF(Skills!A9="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IFERROR(1/(IF(Inputs!$B$38="pvp",15,MAX(0.1,Skills!D9-IF(TRUE=TRUE,Inputs!$B$32,0)))*(1-IF(AND(ArtifactsInput!$M$27,Inputs!$B$4="Chapter Hunt"),CHOOSE(ArtifactsInput!$N$27+1,20,24,28,32,36,40),0)/100)),0)</f>
        <v/>
      </c>
      <c r="R1130">
        <f>IF(AND(Inputs!$B$38&lt;&gt;"pvp",Inputs!$B$43&gt;0),IF(MAX(0,Inputs!$B$43-B1157)&lt;=0,0,(INT(MAX(0,Inputs!$B$43-B1157)/(IF(Inputs!$B$38="pvp",15,MAX(0.1,Skills!D9-IF(TRUE=TRUE,Inputs!$B$32,0)))*(1-IF(AND(ArtifactsInput!$M$27,Inputs!$B$4="Chapter Hunt"),CHOOSE(ArtifactsInput!$N$27+1,20,24,28,32,36,40),0)/100)))+1)),0)</f>
        <v/>
      </c>
      <c r="S1130">
        <f>IFERROR(O1130/N1130,0)</f>
        <v/>
      </c>
      <c r="T1130">
        <f>IF(C1130,(H1130*N1130*IF(AND(Inputs!$B$38&lt;&gt;"pvp",Inputs!$B$43&gt;0),((Skills!G9*((R1130-1)*IF(Skills!H9&gt;0,INT(Skills!I9/Skills!H9+0.000000001),1)+IF(Skills!H9&gt;0,INT(MIN(Skills!I9,MAX(0,MAX(0,Inputs!$B$43-B1157)-((R1130-1)*(IF(Inputs!$B$38="pvp",15,MAX(0.1,Skills!D9-IF(TRUE=TRUE,Inputs!$B$32,0)))*(1-IF(AND(ArtifactsInput!$M$27,Inputs!$B$4="Chapter Hunt"),CHOOSE(ArtifactsInput!$N$27+1,20,24,28,32,36,40),0)/100)))))/Skills!H9+0.000000001),1)))/Inputs!$B$43),G1130*Q1130))*IF(Inputs!$B$38="pvp",1,1+(Inputs!$B$20+0+Skills!P9+(((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INT(Skills!I9/Skills!H9+0.000000001),1)+IF(Skills!H9&gt;0,INT(MIN(Skills!I9,MAX(0,MAX(0,Inputs!$B$43-B1157)-((R1130-1)*(IF(Inputs!$B$38="pvp",15,MAX(0.1,Skills!D9-IF(TRUE=TRUE,Inputs!$B$32,0)))*(1-IF(AND(ArtifactsInput!$M$27,Inputs!$B$4="Chapter Hunt"),CHOOSE(ArtifactsInput!$N$27+1,20,24,28,32,36,40),0)/100)))))/Skills!H9+0.000000001),1)))/Inputs!$B$43),G1130*Q1130))*IF(Inputs!$B$38="pvp",1,(1+(Inputs!$B$21+Skills!Q9+(((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Skills!G10*IF(Skills!H10&gt;0,INT(IF(Inputs!$B$38="pvp",MIN(Skills!I10,15),Skills!I10)/Skills!H10+0.000000001),1)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138,MAX(0,IF(Inputs!$B$3&gt;=118,8,IF(Inputs!$B$3&gt;=110,7,5))-5)*50,0),0)/100)*(1+(IF(Skills!A10="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IFERROR(1/(IF(Inputs!$B$38="pvp",15,MAX(0.1,Skills!D10-IF(TRUE=TRUE,Inputs!$B$32,0)))*(1-IF(AND(ArtifactsInput!$M$27,Inputs!$B$4="Chapter Hunt"),CHOOSE(ArtifactsInput!$N$27+1,20,24,28,32,36,40),0)/100)),0)</f>
        <v/>
      </c>
      <c r="R1131">
        <f>IF(AND(Inputs!$B$38&lt;&gt;"pvp",Inputs!$B$43&gt;0),IF(MAX(0,Inputs!$B$43-B1157)&lt;=0,0,(INT(MAX(0,Inputs!$B$43-B1157)/(IF(Inputs!$B$38="pvp",15,MAX(0.1,Skills!D10-IF(TRUE=TRUE,Inputs!$B$32,0)))*(1-IF(AND(ArtifactsInput!$M$27,Inputs!$B$4="Chapter Hunt"),CHOOSE(ArtifactsInput!$N$27+1,20,24,28,32,36,40),0)/100)))+1)),0)</f>
        <v/>
      </c>
      <c r="S1131">
        <f>IFERROR(O1131/N1131,0)</f>
        <v/>
      </c>
      <c r="T1131">
        <f>IF(C1131,(H1131*N1131*IF(AND(Inputs!$B$38&lt;&gt;"pvp",Inputs!$B$43&gt;0),((Skills!G10*((R1131-1)*IF(Skills!H10&gt;0,INT(Skills!I10/Skills!H10+0.000000001),1)+IF(Skills!H10&gt;0,INT(MIN(Skills!I10,MAX(0,MAX(0,Inputs!$B$43-B1157)-((R1131-1)*(IF(Inputs!$B$38="pvp",15,MAX(0.1,Skills!D10-IF(TRUE=TRUE,Inputs!$B$32,0)))*(1-IF(AND(ArtifactsInput!$M$27,Inputs!$B$4="Chapter Hunt"),CHOOSE(ArtifactsInput!$N$27+1,20,24,28,32,36,40),0)/100)))))/Skills!H10+0.000000001),1)))/Inputs!$B$43),G1131*Q1131))*IF(Inputs!$B$38="pvp",1,1+(Inputs!$B$20+0+Skills!P10+(((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INT(Skills!I10/Skills!H10+0.000000001),1)+IF(Skills!H10&gt;0,INT(MIN(Skills!I10,MAX(0,MAX(0,Inputs!$B$43-B1157)-((R1131-1)*(IF(Inputs!$B$38="pvp",15,MAX(0.1,Skills!D10-IF(TRUE=TRUE,Inputs!$B$32,0)))*(1-IF(AND(ArtifactsInput!$M$27,Inputs!$B$4="Chapter Hunt"),CHOOSE(ArtifactsInput!$N$27+1,20,24,28,32,36,40),0)/100)))))/Skills!H10+0.000000001),1)))/Inputs!$B$43),G1131*Q1131))*IF(Inputs!$B$38="pvp",1,(1+(Inputs!$B$21+Skills!Q10+(((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Skills!G11*IF(Skills!H11&gt;0,INT(IF(Inputs!$B$38="pvp",MIN(Skills!I11,15),Skills!I11)/Skills!H11+0.000000001),1)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138,MAX(0,IF(Inputs!$B$3&gt;=118,8,IF(Inputs!$B$3&gt;=110,7,5))-5)*50,0),0)/100)*(1+(IF(Skills!A11="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IFERROR(1/(IF(Inputs!$B$38="pvp",15,MAX(0.1,Skills!D11-IF(TRUE=TRUE,Inputs!$B$32,0)))*(1-IF(AND(ArtifactsInput!$M$27,Inputs!$B$4="Chapter Hunt"),CHOOSE(ArtifactsInput!$N$27+1,20,24,28,32,36,40),0)/100)),0)</f>
        <v/>
      </c>
      <c r="R1132">
        <f>IF(AND(Inputs!$B$38&lt;&gt;"pvp",Inputs!$B$43&gt;0),IF(MAX(0,Inputs!$B$43-B1157)&lt;=0,0,(INT(MAX(0,Inputs!$B$43-B1157)/(IF(Inputs!$B$38="pvp",15,MAX(0.1,Skills!D11-IF(TRUE=TRUE,Inputs!$B$32,0)))*(1-IF(AND(ArtifactsInput!$M$27,Inputs!$B$4="Chapter Hunt"),CHOOSE(ArtifactsInput!$N$27+1,20,24,28,32,36,40),0)/100)))+1)),0)</f>
        <v/>
      </c>
      <c r="S1132">
        <f>IFERROR(O1132/N1132,0)</f>
        <v/>
      </c>
      <c r="T1132">
        <f>IF(C1132,(H1132*N1132*IF(AND(Inputs!$B$38&lt;&gt;"pvp",Inputs!$B$43&gt;0),((Skills!G11*((R1132-1)*IF(Skills!H11&gt;0,INT(Skills!I11/Skills!H11+0.000000001),1)+IF(Skills!H11&gt;0,INT(MIN(Skills!I11,MAX(0,MAX(0,Inputs!$B$43-B1157)-((R1132-1)*(IF(Inputs!$B$38="pvp",15,MAX(0.1,Skills!D11-IF(TRUE=TRUE,Inputs!$B$32,0)))*(1-IF(AND(ArtifactsInput!$M$27,Inputs!$B$4="Chapter Hunt"),CHOOSE(ArtifactsInput!$N$27+1,20,24,28,32,36,40),0)/100)))))/Skills!H11+0.000000001),1)))/Inputs!$B$43),G1132*Q1132))*IF(Inputs!$B$38="pvp",1,1+(Inputs!$B$20+0+Skills!P11+(((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INT(Skills!I11/Skills!H11+0.000000001),1)+IF(Skills!H11&gt;0,INT(MIN(Skills!I11,MAX(0,MAX(0,Inputs!$B$43-B1157)-((R1132-1)*(IF(Inputs!$B$38="pvp",15,MAX(0.1,Skills!D11-IF(TRUE=TRUE,Inputs!$B$32,0)))*(1-IF(AND(ArtifactsInput!$M$27,Inputs!$B$4="Chapter Hunt"),CHOOSE(ArtifactsInput!$N$27+1,20,24,28,32,36,40),0)/100)))))/Skills!H11+0.000000001),1)))/Inputs!$B$43),G1132*Q1132))*IF(Inputs!$B$38="pvp",1,(1+(Inputs!$B$21+Skills!Q11+(((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Skills!G13*IF(Skills!H13&gt;0,INT(IF(Inputs!$B$38="pvp",MIN(Skills!I13,15),Skills!I13)/Skills!H13+0.000000001),1)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Skills!G14*IF(Skills!H14&gt;0,INT(IF(Inputs!$B$38="pvp",MIN(Skills!I14,15),Skills!I14)/Skills!H14+0.000000001),1)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Skills!G15*IF(Skills!H15&gt;0,INT(IF(Inputs!$B$38="pvp",MIN(Skills!I15,15),Skills!I15)/Skills!H15+0.000000001),1)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IFERROR(1/(IF(Inputs!$B$38="pvp",15,MAX(0.1,Skills!D15-IF(TRUE=TRUE,Inputs!$B$32,0)))*(1-IF(AND(ArtifactsInput!$M$27,Inputs!$B$4="Chapter Hunt"),CHOOSE(ArtifactsInput!$N$27+1,20,24,28,32,36,40),0)/100)),0)</f>
        <v/>
      </c>
      <c r="R1136">
        <f>IF(AND(Inputs!$B$38&lt;&gt;"pvp",Inputs!$B$43&gt;0),IF(Inputs!$B$43&lt;=0,0,(INT(Inputs!$B$43/(IF(Inputs!$B$38="pvp",15,MAX(0.1,Skills!D15-IF(TRUE=TRUE,Inputs!$B$32,0)))*(1-IF(AND(ArtifactsInput!$M$27,Inputs!$B$4="Chapter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Skills!G16*IF(Skills!H16&gt;0,INT(IF(Inputs!$B$38="pvp",MIN(Skills!I16,15),Skills!I16)/Skills!H16+0.000000001),1)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IFERROR(1/(IF(Inputs!$B$38="pvp",15,MAX(0.1,Skills!D16-IF(TRUE=TRUE,Inputs!$B$32,0)))*(1-IF(AND(ArtifactsInput!$M$27,Inputs!$B$4="Chapter Hunt"),CHOOSE(ArtifactsInput!$N$27+1,20,24,28,32,36,40),0)/100)),0)</f>
        <v/>
      </c>
      <c r="R1137">
        <f>IF(AND(Inputs!$B$38&lt;&gt;"pvp",Inputs!$B$43&gt;0),IF(Inputs!$B$43&lt;=0,0,(INT(Inputs!$B$43/(IF(Inputs!$B$38="pvp",15,MAX(0.1,Skills!D16-IF(TRUE=TRUE,Inputs!$B$32,0)))*(1-IF(AND(ArtifactsInput!$M$27,Inputs!$B$4="Chapter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Skills!G17*IF(Skills!H17&gt;0,INT(IF(Inputs!$B$38="pvp",MIN(Skills!I17,15),Skills!I17)/Skills!H17+0.000000001),1)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IFERROR(1/(IF(Inputs!$B$38="pvp",15,MAX(0.1,Skills!D17-IF(TRUE=TRUE,Inputs!$B$32,0)))*(1-IF(AND(ArtifactsInput!$M$27,Inputs!$B$4="Chapter Hunt"),CHOOSE(ArtifactsInput!$N$27+1,20,24,28,32,36,40),0)/100)),0)</f>
        <v/>
      </c>
      <c r="R1138">
        <f>IF(AND(Inputs!$B$38&lt;&gt;"pvp",Inputs!$B$43&gt;0),IF(Inputs!$B$43&lt;=0,0,(INT(Inputs!$B$43/(IF(Inputs!$B$38="pvp",15,MAX(0.1,Skills!D17-IF(TRUE=TRUE,Inputs!$B$32,0)))*(1-IF(AND(ArtifactsInput!$M$27,Inputs!$B$4="Chapter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Skills!G18*IF(Skills!H18&gt;0,INT(IF(Inputs!$B$38="pvp",MIN(Skills!I18,15),Skills!I18)/Skills!H18+0.000000001),1)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IFERROR(1/(IF(Inputs!$B$38="pvp",15,MAX(0.1,Skills!D18-IF(TRUE=TRUE,Inputs!$B$32,0)))*(1-IF(AND(ArtifactsInput!$M$27,Inputs!$B$4="Chapter Hunt"),CHOOSE(ArtifactsInput!$N$27+1,20,24,28,32,36,40),0)/100)),0)</f>
        <v/>
      </c>
      <c r="R1139">
        <f>IF(AND(Inputs!$B$38&lt;&gt;"pvp",Inputs!$B$43&gt;0),IF(Inputs!$B$43&lt;=0,0,(INT(Inputs!$B$43/(IF(Inputs!$B$38="pvp",15,MAX(0.1,Skills!D18-IF(TRUE=TRUE,Inputs!$B$32,0)))*(1-IF(AND(ArtifactsInput!$M$27,Inputs!$B$4="Chapter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Skills!G19*IF(Skills!H19&gt;0,INT(IF(Inputs!$B$38="pvp",MIN(Skills!I19,15),Skills!I19)/Skills!H19+0.000000001),1)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IFERROR(1/(IF(Inputs!$B$38="pvp",15,MAX(0.1,Skills!D19-IF(TRUE=TRUE,Inputs!$B$32,0)))*(1-IF(AND(ArtifactsInput!$M$27,Inputs!$B$4="Chapter Hunt"),CHOOSE(ArtifactsInput!$N$27+1,20,24,28,32,36,40),0)/100)),0)</f>
        <v/>
      </c>
      <c r="R1140">
        <f>IF(AND(Inputs!$B$38&lt;&gt;"pvp",Inputs!$B$43&gt;0),IF(Inputs!$B$43&lt;=0,0,(INT(Inputs!$B$43/(IF(Inputs!$B$38="pvp",15,MAX(0.1,Skills!D19-IF(TRUE=TRUE,Inputs!$B$32,0)))*(1-IF(AND(ArtifactsInput!$M$27,Inputs!$B$4="Chapter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Skills!G20*IF(Skills!H20&gt;0,INT(IF(Inputs!$B$38="pvp",MIN(Skills!I20,15),Skills!I20)/Skills!H20+0.000000001),1)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Skills!G21*IF(Skills!H21&gt;0,INT(IF(Inputs!$B$38="pvp",MIN(Skills!I21,15),Skills!I21)/Skills!H21+0.000000001),1)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Skills!G22*IF(Skills!H22&gt;0,INT(IF(Inputs!$B$38="pvp",MIN(Skills!I22,15),Skills!I22)/Skills!H22+0.000000001),1)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Skills!G23*IF(Skills!H23&gt;0,INT(IF(Inputs!$B$38="pvp",MIN(Skills!I23,15),Skills!I23)/Skills!H23+0.000000001),1)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Skills!G24*IF(Skills!H24&gt;0,INT(IF(Inputs!$B$38="pvp",MIN(Skills!I24,15),Skills!I24)/Skills!H24+0.000000001),1)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Skills!G25*IF(Skills!H25&gt;0,INT(IF(Inputs!$B$38="pvp",MIN(Skills!I25,15),Skills!I25)/Skills!H25+0.000000001),1)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Skills!G26*IF(Skills!H26&gt;0,INT(IF(Inputs!$B$38="pvp",MIN(Skills!I26,15),Skills!I26)/Skills!H26+0.000000001),1)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MIN((Skills!T19*(1+((Inputs!$B$34+1)+(ArtifactsInput!$M$7-ArtifactsInput!$M$7)*CHOOSE(ArtifactsInput!$N$7+1,6,7.2,8.4,9.6,10.8,12))/100)),(1/Q1140))+MIN((Skills!T19*(1+((Inputs!$B$34+1)+(ArtifactsInput!$M$7-ArtifactsInput!$M$7)*CHOOSE(ArtifactsInput!$N$7+1,6,7.2,8.4,9.6,10.8,12))/100)),MAX(0,Inputs!$B$43-((R1140-1)*(1/Q1140)))))/Inputs!$B$43),IF(Inputs!$B$38="pvp",MIN((Skills!T19*(1+((Inputs!$B$34+1)+(ArtifactsInput!$M$7-ArtifactsInput!$M$7)*CHOOSE(ArtifactsInput!$N$7+1,6,7.2,8.4,9.6,10.8,12))/100)),15)/15,MIN(1,(Skills!T19*(1+((Inputs!$B$34+1)+(ArtifactsInput!$M$7-ArtifactsInput!$M$7)*CHOOSE(ArtifactsInput!$N$7+1,6,7.2,8.4,9.6,10.8,12))/100))/(1/Q1140)))))</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MIN((Skills!T18*(1+((Inputs!$B$34+1)+(ArtifactsInput!$M$7-ArtifactsInput!$M$7)*CHOOSE(ArtifactsInput!$N$7+1,6,7.2,8.4,9.6,10.8,12))/100)),(1/Q1139))+MIN((Skills!T18*(1+((Inputs!$B$34+1)+(ArtifactsInput!$M$7-ArtifactsInput!$M$7)*CHOOSE(ArtifactsInput!$N$7+1,6,7.2,8.4,9.6,10.8,12))/100)),MAX(0,Inputs!$B$43-((R1139-1)*(1/Q1139)))))/Inputs!$B$43),IF(Inputs!$B$38="pvp",MIN((Skills!T18*(1+((Inputs!$B$34+1)+(ArtifactsInput!$M$7-ArtifactsInput!$M$7)*CHOOSE(ArtifactsInput!$N$7+1,6,7.2,8.4,9.6,10.8,12))/100)),15)/15,MIN(1,(Skills!T18*(1+((Inputs!$B$34+1)+(ArtifactsInput!$M$7-ArtifactsInput!$M$7)*CHOOSE(ArtifactsInput!$N$7+1,6,7.2,8.4,9.6,10.8,12))/100))/(1/Q1139)))))</f>
        <v/>
      </c>
    </row>
    <row r="1156">
      <c r="A1156" t="inlineStr">
        <is>
          <t>Global Final Damage Bonus % (Enrage + Combo Synergy)</t>
        </is>
      </c>
      <c r="B1156">
        <f>((C1138=TRUE)*F1138*IF(AND(Inputs!$B$38&lt;&gt;"pvp",Inputs!$B$43&gt;0),(((R1138-1)*MIN((Skills!T17*(1+((Inputs!$B$34+1)+(ArtifactsInput!$M$7-ArtifactsInput!$M$7)*CHOOSE(ArtifactsInput!$N$7+1,6,7.2,8.4,9.6,10.8,12))/100)),(1/Q1138))+MIN((Skills!T17*(1+((Inputs!$B$34+1)+(ArtifactsInput!$M$7-ArtifactsInput!$M$7)*CHOOSE(ArtifactsInput!$N$7+1,6,7.2,8.4,9.6,10.8,12))/100)),MAX(0,Inputs!$B$43-((R1138-1)*(1/Q1138)))))/Inputs!$B$43),IF(Inputs!$B$38="pvp",MIN((Skills!T17*(1+((Inputs!$B$34+1)+(ArtifactsInput!$M$7-ArtifactsInput!$M$7)*CHOOSE(ArtifactsInput!$N$7+1,6,7.2,8.4,9.6,10.8,12))/100)),15)/15,MIN(1,(Skills!T17*(1+((Inputs!$B$34+1)+(ArtifactsInput!$M$7-ArtifactsInput!$M$7)*CHOOSE(ArtifactsInput!$N$7+1,6,7.2,8.4,9.6,10.8,12))/100))/(1/Q1138)))))+((C1135=TRUE)*F1135*IF(Inputs!$B$3&gt;=118,8,IF(Inputs!$B$3&gt;=110,7,5)))+IF(Inputs!$B$3&gt;=98,5,0)</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Skills!G2*IF(Skills!H2&gt;0,INT(IF(Inputs!$B$38="pvp",MIN(Skills!I2,15),Skills!I2)/Skills!H2+0.000000001),1)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Skills!G5*IF(Skills!H5&gt;0,INT(IF(Inputs!$B$38="pvp",MIN(Skills!I5,15),Skills!I5)/Skills!H5+0.000000001),1)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IFERROR(1/(IF(Inputs!$B$38="pvp",15,MAX(0.1,Skills!D5-IF(TRUE=TRUE,Inputs!$B$32,0)))*(1-IF(AND(ArtifactsInput!$M$27,Inputs!$B$4="Chapter Hunt"),CHOOSE(ArtifactsInput!$N$27+1,20,24,28,32,36,40),0)/100)),0)</f>
        <v/>
      </c>
      <c r="R1168">
        <f>IF(AND(Inputs!$B$38&lt;&gt;"pvp",Inputs!$B$43&gt;0),IF(MAX(0,Inputs!$B$43-B1199)&lt;=0,0,(INT(MAX(0,Inputs!$B$43-B1199)/(IF(Inputs!$B$38="pvp",15,MAX(0.1,Skills!D5-IF(TRUE=TRUE,Inputs!$B$32,0)))*(1-IF(AND(ArtifactsInput!$M$27,Inputs!$B$4="Chapter Hunt"),CHOOSE(ArtifactsInput!$N$27+1,20,24,28,32,36,40),0)/100)))+1)),0)</f>
        <v/>
      </c>
      <c r="S1168">
        <f>IFERROR(O1168/N1168,0)</f>
        <v/>
      </c>
      <c r="T1168">
        <f>IF(C1168,(H1168*N1168*IF(AND(Inputs!$B$38&lt;&gt;"pvp",Inputs!$B$43&gt;0),((Skills!G5*((R1168-1)*IF(Skills!H5&gt;0,INT(Skills!I5/Skills!H5+0.000000001),1)+IF(Skills!H5&gt;0,INT(MIN(Skills!I5,MAX(0,MAX(0,Inputs!$B$43-B1199)-((R1168-1)*(IF(Inputs!$B$38="pvp",15,MAX(0.1,Skills!D5-IF(TRUE=TRUE,Inputs!$B$32,0)))*(1-IF(AND(ArtifactsInput!$M$27,Inputs!$B$4="Chapter Hunt"),CHOOSE(ArtifactsInput!$N$27+1,20,24,28,32,36,40),0)/100)))))/Skills!H5+0.000000001),1)))/Inputs!$B$43),G1168*Q1168))*IF(Inputs!$B$38="pvp",1,1+(Inputs!$B$20+0+Skills!P5+(((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INT(Skills!I5/Skills!H5+0.000000001),1)+IF(Skills!H5&gt;0,INT(MIN(Skills!I5,MAX(0,MAX(0,Inputs!$B$43-B1199)-((R1168-1)*(IF(Inputs!$B$38="pvp",15,MAX(0.1,Skills!D5-IF(TRUE=TRUE,Inputs!$B$32,0)))*(1-IF(AND(ArtifactsInput!$M$27,Inputs!$B$4="Chapter Hunt"),CHOOSE(ArtifactsInput!$N$27+1,20,24,28,32,36,40),0)/100)))))/Skills!H5+0.000000001),1)))/Inputs!$B$43),G1168*Q1168))*IF(Inputs!$B$38="pvp",1,(1+(Inputs!$B$21+Skills!Q5+(((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Skills!G6*IF(Skills!H6&gt;0,INT(IF(Inputs!$B$38="pvp",MIN(Skills!I6,15),Skills!I6)/Skills!H6+0.000000001),1)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IFERROR(1/(IF(Inputs!$B$38="pvp",15,MAX(0.1,Skills!D6-IF(TRUE=TRUE,Inputs!$B$32,0)))*(1-IF(AND(ArtifactsInput!$M$27,Inputs!$B$4="Chapter Hunt"),CHOOSE(ArtifactsInput!$N$27+1,20,24,28,32,36,40),0)/100)),0)</f>
        <v/>
      </c>
      <c r="R1169">
        <f>IF(AND(Inputs!$B$38&lt;&gt;"pvp",Inputs!$B$43&gt;0),IF(MAX(0,Inputs!$B$43-B1199)&lt;=0,0,(INT(MAX(0,Inputs!$B$43-B1199)/(IF(Inputs!$B$38="pvp",15,MAX(0.1,Skills!D6-IF(TRUE=TRUE,Inputs!$B$32,0)))*(1-IF(AND(ArtifactsInput!$M$27,Inputs!$B$4="Chapter Hunt"),CHOOSE(ArtifactsInput!$N$27+1,20,24,28,32,36,40),0)/100)))+1)),0)</f>
        <v/>
      </c>
      <c r="S1169">
        <f>IFERROR(O1169/N1169,0)</f>
        <v/>
      </c>
      <c r="T1169">
        <f>IF(C1169,(H1169*N1169*IF(AND(Inputs!$B$38&lt;&gt;"pvp",Inputs!$B$43&gt;0),((Skills!G6*((R1169-1)*IF(Skills!H6&gt;0,INT(Skills!I6/Skills!H6+0.000000001),1)+IF(Skills!H6&gt;0,INT(MIN(Skills!I6,MAX(0,MAX(0,Inputs!$B$43-B1199)-((R1169-1)*(IF(Inputs!$B$38="pvp",15,MAX(0.1,Skills!D6-IF(TRUE=TRUE,Inputs!$B$32,0)))*(1-IF(AND(ArtifactsInput!$M$27,Inputs!$B$4="Chapter Hunt"),CHOOSE(ArtifactsInput!$N$27+1,20,24,28,32,36,40),0)/100)))))/Skills!H6+0.000000001),1)))/Inputs!$B$43),G1169*Q1169))*IF(Inputs!$B$38="pvp",1,1+(Inputs!$B$20+0+Skills!P6+(((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INT(Skills!I6/Skills!H6+0.000000001),1)+IF(Skills!H6&gt;0,INT(MIN(Skills!I6,MAX(0,MAX(0,Inputs!$B$43-B1199)-((R1169-1)*(IF(Inputs!$B$38="pvp",15,MAX(0.1,Skills!D6-IF(TRUE=TRUE,Inputs!$B$32,0)))*(1-IF(AND(ArtifactsInput!$M$27,Inputs!$B$4="Chapter Hunt"),CHOOSE(ArtifactsInput!$N$27+1,20,24,28,32,36,40),0)/100)))))/Skills!H6+0.000000001),1)))/Inputs!$B$43),G1169*Q1169))*IF(Inputs!$B$38="pvp",1,(1+(Inputs!$B$21+Skills!Q6+(((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Skills!G7*IF(Skills!H7&gt;0,INT(IF(Inputs!$B$38="pvp",MIN(Skills!I7,15),Skills!I7)/Skills!H7+0.000000001),1)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IFERROR(1/(IF(Inputs!$B$38="pvp",15,MAX(0.1,Skills!D7-IF(TRUE=TRUE,Inputs!$B$32,0)))*(1-IF(AND(ArtifactsInput!$M$27,Inputs!$B$4="Chapter Hunt"),CHOOSE(ArtifactsInput!$N$27+1,20,24,28,32,36,40),0)/100)),0)</f>
        <v/>
      </c>
      <c r="R1170">
        <f>IF(AND(Inputs!$B$38&lt;&gt;"pvp",Inputs!$B$43&gt;0),IF(MAX(0,Inputs!$B$43-B1199)&lt;=0,0,(INT(MAX(0,Inputs!$B$43-B1199)/(IF(Inputs!$B$38="pvp",15,MAX(0.1,Skills!D7-IF(TRUE=TRUE,Inputs!$B$32,0)))*(1-IF(AND(ArtifactsInput!$M$27,Inputs!$B$4="Chapter Hunt"),CHOOSE(ArtifactsInput!$N$27+1,20,24,28,32,36,40),0)/100)))+1)),0)</f>
        <v/>
      </c>
      <c r="S1170">
        <f>IFERROR(O1170/N1170,0)</f>
        <v/>
      </c>
      <c r="T1170">
        <f>IF(C1170,(H1170*N1170*IF(AND(Inputs!$B$38&lt;&gt;"pvp",Inputs!$B$43&gt;0),((Skills!G7*((R1170-1)*IF(Skills!H7&gt;0,INT(Skills!I7/Skills!H7+0.000000001),1)+IF(Skills!H7&gt;0,INT(MIN(Skills!I7,MAX(0,MAX(0,Inputs!$B$43-B1199)-((R1170-1)*(IF(Inputs!$B$38="pvp",15,MAX(0.1,Skills!D7-IF(TRUE=TRUE,Inputs!$B$32,0)))*(1-IF(AND(ArtifactsInput!$M$27,Inputs!$B$4="Chapter Hunt"),CHOOSE(ArtifactsInput!$N$27+1,20,24,28,32,36,40),0)/100)))))/Skills!H7+0.000000001),1)))/Inputs!$B$43),G1170*Q1170))*IF(Inputs!$B$38="pvp",1,1+(Inputs!$B$20+0+Skills!P7+(((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INT(Skills!I7/Skills!H7+0.000000001),1)+IF(Skills!H7&gt;0,INT(MIN(Skills!I7,MAX(0,MAX(0,Inputs!$B$43-B1199)-((R1170-1)*(IF(Inputs!$B$38="pvp",15,MAX(0.1,Skills!D7-IF(TRUE=TRUE,Inputs!$B$32,0)))*(1-IF(AND(ArtifactsInput!$M$27,Inputs!$B$4="Chapter Hunt"),CHOOSE(ArtifactsInput!$N$27+1,20,24,28,32,36,40),0)/100)))))/Skills!H7+0.000000001),1)))/Inputs!$B$43),G1170*Q1170))*IF(Inputs!$B$38="pvp",1,(1+(Inputs!$B$21+Skills!Q7+(((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Skills!G8*IF(Skills!H8&gt;0,INT(IF(Inputs!$B$38="pvp",MIN(Skills!I8,15),Skills!I8)/Skills!H8+0.000000001),1)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IFERROR(1/(IF(Inputs!$B$38="pvp",15,MAX(0.1,Skills!D8-IF(TRUE=TRUE,Inputs!$B$32,0)))*(1-IF(AND(ArtifactsInput!$M$27,Inputs!$B$4="Chapter Hunt"),CHOOSE(ArtifactsInput!$N$27+1,20,24,28,32,36,40),0)/100)),0)</f>
        <v/>
      </c>
      <c r="R1171">
        <f>IF(AND(Inputs!$B$38&lt;&gt;"pvp",Inputs!$B$43&gt;0),IF(MAX(0,Inputs!$B$43-B1199)&lt;=0,0,(INT(MAX(0,Inputs!$B$43-B1199)/(IF(Inputs!$B$38="pvp",15,MAX(0.1,Skills!D8-IF(TRUE=TRUE,Inputs!$B$32,0)))*(1-IF(AND(ArtifactsInput!$M$27,Inputs!$B$4="Chapter Hunt"),CHOOSE(ArtifactsInput!$N$27+1,20,24,28,32,36,40),0)/100)))+1)),0)</f>
        <v/>
      </c>
      <c r="S1171">
        <f>IFERROR(O1171/N1171,0)</f>
        <v/>
      </c>
      <c r="T1171">
        <f>IF(C1171,(H1171*N1171*IF(AND(Inputs!$B$38&lt;&gt;"pvp",Inputs!$B$43&gt;0),((Skills!G8*((R1171-1)*IF(Skills!H8&gt;0,INT(Skills!I8/Skills!H8+0.000000001),1)+IF(Skills!H8&gt;0,INT(MIN(Skills!I8,MAX(0,MAX(0,Inputs!$B$43-B1199)-((R1171-1)*(IF(Inputs!$B$38="pvp",15,MAX(0.1,Skills!D8-IF(TRUE=TRUE,Inputs!$B$32,0)))*(1-IF(AND(ArtifactsInput!$M$27,Inputs!$B$4="Chapter Hunt"),CHOOSE(ArtifactsInput!$N$27+1,20,24,28,32,36,40),0)/100)))))/Skills!H8+0.000000001),1)))/Inputs!$B$43),G1171*Q1171))*IF(Inputs!$B$38="pvp",1,1+(Inputs!$B$20+0+Skills!P8+(((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INT(Skills!I8/Skills!H8+0.000000001),1)+IF(Skills!H8&gt;0,INT(MIN(Skills!I8,MAX(0,MAX(0,Inputs!$B$43-B1199)-((R1171-1)*(IF(Inputs!$B$38="pvp",15,MAX(0.1,Skills!D8-IF(TRUE=TRUE,Inputs!$B$32,0)))*(1-IF(AND(ArtifactsInput!$M$27,Inputs!$B$4="Chapter Hunt"),CHOOSE(ArtifactsInput!$N$27+1,20,24,28,32,36,40),0)/100)))))/Skills!H8+0.000000001),1)))/Inputs!$B$43),G1171*Q1171))*IF(Inputs!$B$38="pvp",1,(1+(Inputs!$B$21+Skills!Q8+(((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Skills!G9*IF(Skills!H9&gt;0,INT(IF(Inputs!$B$38="pvp",MIN(Skills!I9,15),Skills!I9)/Skills!H9+0.000000001),1)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138,MAX(0,IF(Inputs!$B$3&gt;=118,8,IF(Inputs!$B$3&gt;=110,7,5))-5)*50,0),0)/100)*(1+(IF(Skills!A9="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IFERROR(1/(IF(Inputs!$B$38="pvp",15,MAX(0.1,Skills!D9-IF(TRUE=TRUE,Inputs!$B$32,0)))*(1-IF(AND(ArtifactsInput!$M$27,Inputs!$B$4="Chapter Hunt"),CHOOSE(ArtifactsInput!$N$27+1,20,24,28,32,36,40),0)/100)),0)</f>
        <v/>
      </c>
      <c r="R1172">
        <f>IF(AND(Inputs!$B$38&lt;&gt;"pvp",Inputs!$B$43&gt;0),IF(MAX(0,Inputs!$B$43-B1199)&lt;=0,0,(INT(MAX(0,Inputs!$B$43-B1199)/(IF(Inputs!$B$38="pvp",15,MAX(0.1,Skills!D9-IF(TRUE=TRUE,Inputs!$B$32,0)))*(1-IF(AND(ArtifactsInput!$M$27,Inputs!$B$4="Chapter Hunt"),CHOOSE(ArtifactsInput!$N$27+1,20,24,28,32,36,40),0)/100)))+1)),0)</f>
        <v/>
      </c>
      <c r="S1172">
        <f>IFERROR(O1172/N1172,0)</f>
        <v/>
      </c>
      <c r="T1172">
        <f>IF(C1172,(H1172*N1172*IF(AND(Inputs!$B$38&lt;&gt;"pvp",Inputs!$B$43&gt;0),((Skills!G9*((R1172-1)*IF(Skills!H9&gt;0,INT(Skills!I9/Skills!H9+0.000000001),1)+IF(Skills!H9&gt;0,INT(MIN(Skills!I9,MAX(0,MAX(0,Inputs!$B$43-B1199)-((R1172-1)*(IF(Inputs!$B$38="pvp",15,MAX(0.1,Skills!D9-IF(TRUE=TRUE,Inputs!$B$32,0)))*(1-IF(AND(ArtifactsInput!$M$27,Inputs!$B$4="Chapter Hunt"),CHOOSE(ArtifactsInput!$N$27+1,20,24,28,32,36,40),0)/100)))))/Skills!H9+0.000000001),1)))/Inputs!$B$43),G1172*Q1172))*IF(Inputs!$B$38="pvp",1,1+(Inputs!$B$20+0+Skills!P9+(((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INT(Skills!I9/Skills!H9+0.000000001),1)+IF(Skills!H9&gt;0,INT(MIN(Skills!I9,MAX(0,MAX(0,Inputs!$B$43-B1199)-((R1172-1)*(IF(Inputs!$B$38="pvp",15,MAX(0.1,Skills!D9-IF(TRUE=TRUE,Inputs!$B$32,0)))*(1-IF(AND(ArtifactsInput!$M$27,Inputs!$B$4="Chapter Hunt"),CHOOSE(ArtifactsInput!$N$27+1,20,24,28,32,36,40),0)/100)))))/Skills!H9+0.000000001),1)))/Inputs!$B$43),G1172*Q1172))*IF(Inputs!$B$38="pvp",1,(1+(Inputs!$B$21+Skills!Q9+(((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Skills!G10*IF(Skills!H10&gt;0,INT(IF(Inputs!$B$38="pvp",MIN(Skills!I10,15),Skills!I10)/Skills!H10+0.000000001),1)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138,MAX(0,IF(Inputs!$B$3&gt;=118,8,IF(Inputs!$B$3&gt;=110,7,5))-5)*50,0),0)/100)*(1+(IF(Skills!A10="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IFERROR(1/(IF(Inputs!$B$38="pvp",15,MAX(0.1,Skills!D10-IF(TRUE=TRUE,Inputs!$B$32,0)))*(1-IF(AND(ArtifactsInput!$M$27,Inputs!$B$4="Chapter Hunt"),CHOOSE(ArtifactsInput!$N$27+1,20,24,28,32,36,40),0)/100)),0)</f>
        <v/>
      </c>
      <c r="R1173">
        <f>IF(AND(Inputs!$B$38&lt;&gt;"pvp",Inputs!$B$43&gt;0),IF(MAX(0,Inputs!$B$43-B1199)&lt;=0,0,(INT(MAX(0,Inputs!$B$43-B1199)/(IF(Inputs!$B$38="pvp",15,MAX(0.1,Skills!D10-IF(TRUE=TRUE,Inputs!$B$32,0)))*(1-IF(AND(ArtifactsInput!$M$27,Inputs!$B$4="Chapter Hunt"),CHOOSE(ArtifactsInput!$N$27+1,20,24,28,32,36,40),0)/100)))+1)),0)</f>
        <v/>
      </c>
      <c r="S1173">
        <f>IFERROR(O1173/N1173,0)</f>
        <v/>
      </c>
      <c r="T1173">
        <f>IF(C1173,(H1173*N1173*IF(AND(Inputs!$B$38&lt;&gt;"pvp",Inputs!$B$43&gt;0),((Skills!G10*((R1173-1)*IF(Skills!H10&gt;0,INT(Skills!I10/Skills!H10+0.000000001),1)+IF(Skills!H10&gt;0,INT(MIN(Skills!I10,MAX(0,MAX(0,Inputs!$B$43-B1199)-((R1173-1)*(IF(Inputs!$B$38="pvp",15,MAX(0.1,Skills!D10-IF(TRUE=TRUE,Inputs!$B$32,0)))*(1-IF(AND(ArtifactsInput!$M$27,Inputs!$B$4="Chapter Hunt"),CHOOSE(ArtifactsInput!$N$27+1,20,24,28,32,36,40),0)/100)))))/Skills!H10+0.000000001),1)))/Inputs!$B$43),G1173*Q1173))*IF(Inputs!$B$38="pvp",1,1+(Inputs!$B$20+0+Skills!P10+(((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INT(Skills!I10/Skills!H10+0.000000001),1)+IF(Skills!H10&gt;0,INT(MIN(Skills!I10,MAX(0,MAX(0,Inputs!$B$43-B1199)-((R1173-1)*(IF(Inputs!$B$38="pvp",15,MAX(0.1,Skills!D10-IF(TRUE=TRUE,Inputs!$B$32,0)))*(1-IF(AND(ArtifactsInput!$M$27,Inputs!$B$4="Chapter Hunt"),CHOOSE(ArtifactsInput!$N$27+1,20,24,28,32,36,40),0)/100)))))/Skills!H10+0.000000001),1)))/Inputs!$B$43),G1173*Q1173))*IF(Inputs!$B$38="pvp",1,(1+(Inputs!$B$21+Skills!Q10+(((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Skills!G11*IF(Skills!H11&gt;0,INT(IF(Inputs!$B$38="pvp",MIN(Skills!I11,15),Skills!I11)/Skills!H11+0.000000001),1)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138,MAX(0,IF(Inputs!$B$3&gt;=118,8,IF(Inputs!$B$3&gt;=110,7,5))-5)*50,0),0)/100)*(1+(IF(Skills!A11="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IFERROR(1/(IF(Inputs!$B$38="pvp",15,MAX(0.1,Skills!D11-IF(TRUE=TRUE,Inputs!$B$32,0)))*(1-IF(AND(ArtifactsInput!$M$27,Inputs!$B$4="Chapter Hunt"),CHOOSE(ArtifactsInput!$N$27+1,20,24,28,32,36,40),0)/100)),0)</f>
        <v/>
      </c>
      <c r="R1174">
        <f>IF(AND(Inputs!$B$38&lt;&gt;"pvp",Inputs!$B$43&gt;0),IF(MAX(0,Inputs!$B$43-B1199)&lt;=0,0,(INT(MAX(0,Inputs!$B$43-B1199)/(IF(Inputs!$B$38="pvp",15,MAX(0.1,Skills!D11-IF(TRUE=TRUE,Inputs!$B$32,0)))*(1-IF(AND(ArtifactsInput!$M$27,Inputs!$B$4="Chapter Hunt"),CHOOSE(ArtifactsInput!$N$27+1,20,24,28,32,36,40),0)/100)))+1)),0)</f>
        <v/>
      </c>
      <c r="S1174">
        <f>IFERROR(O1174/N1174,0)</f>
        <v/>
      </c>
      <c r="T1174">
        <f>IF(C1174,(H1174*N1174*IF(AND(Inputs!$B$38&lt;&gt;"pvp",Inputs!$B$43&gt;0),((Skills!G11*((R1174-1)*IF(Skills!H11&gt;0,INT(Skills!I11/Skills!H11+0.000000001),1)+IF(Skills!H11&gt;0,INT(MIN(Skills!I11,MAX(0,MAX(0,Inputs!$B$43-B1199)-((R1174-1)*(IF(Inputs!$B$38="pvp",15,MAX(0.1,Skills!D11-IF(TRUE=TRUE,Inputs!$B$32,0)))*(1-IF(AND(ArtifactsInput!$M$27,Inputs!$B$4="Chapter Hunt"),CHOOSE(ArtifactsInput!$N$27+1,20,24,28,32,36,40),0)/100)))))/Skills!H11+0.000000001),1)))/Inputs!$B$43),G1174*Q1174))*IF(Inputs!$B$38="pvp",1,1+(Inputs!$B$20+0+Skills!P11+(((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INT(Skills!I11/Skills!H11+0.000000001),1)+IF(Skills!H11&gt;0,INT(MIN(Skills!I11,MAX(0,MAX(0,Inputs!$B$43-B1199)-((R1174-1)*(IF(Inputs!$B$38="pvp",15,MAX(0.1,Skills!D11-IF(TRUE=TRUE,Inputs!$B$32,0)))*(1-IF(AND(ArtifactsInput!$M$27,Inputs!$B$4="Chapter Hunt"),CHOOSE(ArtifactsInput!$N$27+1,20,24,28,32,36,40),0)/100)))))/Skills!H11+0.000000001),1)))/Inputs!$B$43),G1174*Q1174))*IF(Inputs!$B$38="pvp",1,(1+(Inputs!$B$21+Skills!Q11+(((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Skills!G13*IF(Skills!H13&gt;0,INT(IF(Inputs!$B$38="pvp",MIN(Skills!I13,15),Skills!I13)/Skills!H13+0.000000001),1)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Skills!G14*IF(Skills!H14&gt;0,INT(IF(Inputs!$B$38="pvp",MIN(Skills!I14,15),Skills!I14)/Skills!H14+0.000000001),1)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Skills!G15*IF(Skills!H15&gt;0,INT(IF(Inputs!$B$38="pvp",MIN(Skills!I15,15),Skills!I15)/Skills!H15+0.000000001),1)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IFERROR(1/(IF(Inputs!$B$38="pvp",15,MAX(0.1,Skills!D15-IF(TRUE=TRUE,Inputs!$B$32,0)))*(1-IF(AND(ArtifactsInput!$M$27,Inputs!$B$4="Chapter Hunt"),CHOOSE(ArtifactsInput!$N$27+1,20,24,28,32,36,40),0)/100)),0)</f>
        <v/>
      </c>
      <c r="R1178">
        <f>IF(AND(Inputs!$B$38&lt;&gt;"pvp",Inputs!$B$43&gt;0),IF(Inputs!$B$43&lt;=0,0,(INT(Inputs!$B$43/(IF(Inputs!$B$38="pvp",15,MAX(0.1,Skills!D15-IF(TRUE=TRUE,Inputs!$B$32,0)))*(1-IF(AND(ArtifactsInput!$M$27,Inputs!$B$4="Chapter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Skills!G16*IF(Skills!H16&gt;0,INT(IF(Inputs!$B$38="pvp",MIN(Skills!I16,15),Skills!I16)/Skills!H16+0.000000001),1)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IFERROR(1/(IF(Inputs!$B$38="pvp",15,MAX(0.1,Skills!D16-IF(TRUE=TRUE,Inputs!$B$32,0)))*(1-IF(AND(ArtifactsInput!$M$27,Inputs!$B$4="Chapter Hunt"),CHOOSE(ArtifactsInput!$N$27+1,20,24,28,32,36,40),0)/100)),0)</f>
        <v/>
      </c>
      <c r="R1179">
        <f>IF(AND(Inputs!$B$38&lt;&gt;"pvp",Inputs!$B$43&gt;0),IF(Inputs!$B$43&lt;=0,0,(INT(Inputs!$B$43/(IF(Inputs!$B$38="pvp",15,MAX(0.1,Skills!D16-IF(TRUE=TRUE,Inputs!$B$32,0)))*(1-IF(AND(ArtifactsInput!$M$27,Inputs!$B$4="Chapter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Skills!G17*IF(Skills!H17&gt;0,INT(IF(Inputs!$B$38="pvp",MIN(Skills!I17,15),Skills!I17)/Skills!H17+0.000000001),1)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IFERROR(1/(IF(Inputs!$B$38="pvp",15,MAX(0.1,Skills!D17-IF(TRUE=TRUE,Inputs!$B$32,0)))*(1-IF(AND(ArtifactsInput!$M$27,Inputs!$B$4="Chapter Hunt"),CHOOSE(ArtifactsInput!$N$27+1,20,24,28,32,36,40),0)/100)),0)</f>
        <v/>
      </c>
      <c r="R1180">
        <f>IF(AND(Inputs!$B$38&lt;&gt;"pvp",Inputs!$B$43&gt;0),IF(Inputs!$B$43&lt;=0,0,(INT(Inputs!$B$43/(IF(Inputs!$B$38="pvp",15,MAX(0.1,Skills!D17-IF(TRUE=TRUE,Inputs!$B$32,0)))*(1-IF(AND(ArtifactsInput!$M$27,Inputs!$B$4="Chapter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Skills!G18*IF(Skills!H18&gt;0,INT(IF(Inputs!$B$38="pvp",MIN(Skills!I18,15),Skills!I18)/Skills!H18+0.000000001),1)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IFERROR(1/(IF(Inputs!$B$38="pvp",15,MAX(0.1,Skills!D18-IF(TRUE=TRUE,Inputs!$B$32,0)))*(1-IF(AND(ArtifactsInput!$M$27,Inputs!$B$4="Chapter Hunt"),CHOOSE(ArtifactsInput!$N$27+1,20,24,28,32,36,40),0)/100)),0)</f>
        <v/>
      </c>
      <c r="R1181">
        <f>IF(AND(Inputs!$B$38&lt;&gt;"pvp",Inputs!$B$43&gt;0),IF(Inputs!$B$43&lt;=0,0,(INT(Inputs!$B$43/(IF(Inputs!$B$38="pvp",15,MAX(0.1,Skills!D18-IF(TRUE=TRUE,Inputs!$B$32,0)))*(1-IF(AND(ArtifactsInput!$M$27,Inputs!$B$4="Chapter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Skills!G19*IF(Skills!H19&gt;0,INT(IF(Inputs!$B$38="pvp",MIN(Skills!I19,15),Skills!I19)/Skills!H19+0.000000001),1)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IFERROR(1/(IF(Inputs!$B$38="pvp",15,MAX(0.1,Skills!D19-IF(TRUE=TRUE,Inputs!$B$32,0)))*(1-IF(AND(ArtifactsInput!$M$27,Inputs!$B$4="Chapter Hunt"),CHOOSE(ArtifactsInput!$N$27+1,20,24,28,32,36,40),0)/100)),0)</f>
        <v/>
      </c>
      <c r="R1182">
        <f>IF(AND(Inputs!$B$38&lt;&gt;"pvp",Inputs!$B$43&gt;0),IF(Inputs!$B$43&lt;=0,0,(INT(Inputs!$B$43/(IF(Inputs!$B$38="pvp",15,MAX(0.1,Skills!D19-IF(TRUE=TRUE,Inputs!$B$32,0)))*(1-IF(AND(ArtifactsInput!$M$27,Inputs!$B$4="Chapter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Skills!G20*IF(Skills!H20&gt;0,INT(IF(Inputs!$B$38="pvp",MIN(Skills!I20,15),Skills!I20)/Skills!H20+0.000000001),1)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Skills!G21*IF(Skills!H21&gt;0,INT(IF(Inputs!$B$38="pvp",MIN(Skills!I21,15),Skills!I21)/Skills!H21+0.000000001),1)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Skills!G22*IF(Skills!H22&gt;0,INT(IF(Inputs!$B$38="pvp",MIN(Skills!I22,15),Skills!I22)/Skills!H22+0.000000001),1)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Skills!G23*IF(Skills!H23&gt;0,INT(IF(Inputs!$B$38="pvp",MIN(Skills!I23,15),Skills!I23)/Skills!H23+0.000000001),1)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Skills!G24*IF(Skills!H24&gt;0,INT(IF(Inputs!$B$38="pvp",MIN(Skills!I24,15),Skills!I24)/Skills!H24+0.000000001),1)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Skills!G25*IF(Skills!H25&gt;0,INT(IF(Inputs!$B$38="pvp",MIN(Skills!I25,15),Skills!I25)/Skills!H25+0.000000001),1)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Skills!G26*IF(Skills!H26&gt;0,INT(IF(Inputs!$B$38="pvp",MIN(Skills!I26,15),Skills!I26)/Skills!H26+0.000000001),1)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MIN((Skills!T19*(1+(Inputs!$B$34+(ArtifactsInput!$M$7-ArtifactsInput!$M$7)*CHOOSE(ArtifactsInput!$N$7+1,6,7.2,8.4,9.6,10.8,12))/100)),(1/Q1182))+MIN((Skills!T19*(1+(Inputs!$B$34+(ArtifactsInput!$M$7-ArtifactsInput!$M$7)*CHOOSE(ArtifactsInput!$N$7+1,6,7.2,8.4,9.6,10.8,12))/100)),MAX(0,Inputs!$B$43-((R1182-1)*(1/Q1182)))))/Inputs!$B$43),IF(Inputs!$B$38="pvp",MIN((Skills!T19*(1+(Inputs!$B$34+(ArtifactsInput!$M$7-ArtifactsInput!$M$7)*CHOOSE(ArtifactsInput!$N$7+1,6,7.2,8.4,9.6,10.8,12))/100)),15)/15,MIN(1,(Skills!T19*(1+(Inputs!$B$34+(ArtifactsInput!$M$7-ArtifactsInput!$M$7)*CHOOSE(ArtifactsInput!$N$7+1,6,7.2,8.4,9.6,10.8,12))/100))/(1/Q1182)))))</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MIN((Skills!T18*(1+(Inputs!$B$34+(ArtifactsInput!$M$7-ArtifactsInput!$M$7)*CHOOSE(ArtifactsInput!$N$7+1,6,7.2,8.4,9.6,10.8,12))/100)),(1/Q1181))+MIN((Skills!T18*(1+(Inputs!$B$34+(ArtifactsInput!$M$7-ArtifactsInput!$M$7)*CHOOSE(ArtifactsInput!$N$7+1,6,7.2,8.4,9.6,10.8,12))/100)),MAX(0,Inputs!$B$43-((R1181-1)*(1/Q1181)))))/Inputs!$B$43),IF(Inputs!$B$38="pvp",MIN((Skills!T18*(1+(Inputs!$B$34+(ArtifactsInput!$M$7-ArtifactsInput!$M$7)*CHOOSE(ArtifactsInput!$N$7+1,6,7.2,8.4,9.6,10.8,12))/100)),15)/15,MIN(1,(Skills!T18*(1+(Inputs!$B$34+(ArtifactsInput!$M$7-ArtifactsInput!$M$7)*CHOOSE(ArtifactsInput!$N$7+1,6,7.2,8.4,9.6,10.8,12))/100))/(1/Q1181)))))</f>
        <v/>
      </c>
    </row>
    <row r="1198">
      <c r="A1198" t="inlineStr">
        <is>
          <t>Global Final Damage Bonus % (Enrage + Combo Synergy)</t>
        </is>
      </c>
      <c r="B1198">
        <f>((C1180=TRUE)*F1180*IF(AND(Inputs!$B$38&lt;&gt;"pvp",Inputs!$B$43&gt;0),(((R1180-1)*MIN((Skills!T17*(1+(Inputs!$B$34+(ArtifactsInput!$M$7-ArtifactsInput!$M$7)*CHOOSE(ArtifactsInput!$N$7+1,6,7.2,8.4,9.6,10.8,12))/100)),(1/Q1180))+MIN((Skills!T17*(1+(Inputs!$B$34+(ArtifactsInput!$M$7-ArtifactsInput!$M$7)*CHOOSE(ArtifactsInput!$N$7+1,6,7.2,8.4,9.6,10.8,12))/100)),MAX(0,Inputs!$B$43-((R1180-1)*(1/Q1180)))))/Inputs!$B$43),IF(Inputs!$B$38="pvp",MIN((Skills!T17*(1+(Inputs!$B$34+(ArtifactsInput!$M$7-ArtifactsInput!$M$7)*CHOOSE(ArtifactsInput!$N$7+1,6,7.2,8.4,9.6,10.8,12))/100)),15)/15,MIN(1,(Skills!T17*(1+(Inputs!$B$34+(ArtifactsInput!$M$7-ArtifactsInput!$M$7)*CHOOSE(ArtifactsInput!$N$7+1,6,7.2,8.4,9.6,10.8,12))/100))/(1/Q1180)))))+((C1177=TRUE)*F1177*IF(Inputs!$B$3&gt;=118,8,IF(Inputs!$B$3&gt;=110,7,5)))+IF(Inputs!$B$3&gt;=98,5,0)</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Skills!G2*IF(Skills!H2&gt;0,INT(IF(Inputs!$B$38="pvp",MIN(Skills!I2,15),Skills!I2)/Skills!H2+0.000000001),1)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Skills!G5*IF(Skills!H5&gt;0,INT(IF(Inputs!$B$38="pvp",MIN(Skills!I5,15),Skills!I5)/Skills!H5+0.000000001),1)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IFERROR(1/(IF(Inputs!$B$38="pvp",15,MAX(0.1,Skills!D5-IF(TRUE=TRUE,Inputs!$B$32,0)))*(1-IF(AND(ArtifactsInput!$M$27,Inputs!$B$4="Chapter Hunt"),CHOOSE(ArtifactsInput!$N$27+1,20,24,28,32,36,40),0)/100)),0)</f>
        <v/>
      </c>
      <c r="R1210">
        <f>IF(AND(Inputs!$B$38&lt;&gt;"pvp",Inputs!$B$43&gt;0),IF(MAX(0,Inputs!$B$43-B1241)&lt;=0,0,(INT(MAX(0,Inputs!$B$43-B1241)/(IF(Inputs!$B$38="pvp",15,MAX(0.1,Skills!D5-IF(TRUE=TRUE,Inputs!$B$32,0)))*(1-IF(AND(ArtifactsInput!$M$27,Inputs!$B$4="Chapter Hunt"),CHOOSE(ArtifactsInput!$N$27+1,20,24,28,32,36,40),0)/100)))+1)),0)</f>
        <v/>
      </c>
      <c r="S1210">
        <f>IFERROR(O1210/N1210,0)</f>
        <v/>
      </c>
      <c r="T1210">
        <f>IF(C1210,(H1210*N1210*IF(AND(Inputs!$B$38&lt;&gt;"pvp",Inputs!$B$43&gt;0),((Skills!G5*((R1210-1)*IF(Skills!H5&gt;0,INT(Skills!I5/Skills!H5+0.000000001),1)+IF(Skills!H5&gt;0,INT(MIN(Skills!I5,MAX(0,MAX(0,Inputs!$B$43-B1241)-((R1210-1)*(IF(Inputs!$B$38="pvp",15,MAX(0.1,Skills!D5-IF(TRUE=TRUE,Inputs!$B$32,0)))*(1-IF(AND(ArtifactsInput!$M$27,Inputs!$B$4="Chapter Hunt"),CHOOSE(ArtifactsInput!$N$27+1,20,24,28,32,36,40),0)/100)))))/Skills!H5+0.000000001),1)))/Inputs!$B$43),G1210*Q1210))*IF(Inputs!$B$38="pvp",1,1+(Inputs!$B$20+0+Skills!P5+(((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INT(Skills!I5/Skills!H5+0.000000001),1)+IF(Skills!H5&gt;0,INT(MIN(Skills!I5,MAX(0,MAX(0,Inputs!$B$43-B1241)-((R1210-1)*(IF(Inputs!$B$38="pvp",15,MAX(0.1,Skills!D5-IF(TRUE=TRUE,Inputs!$B$32,0)))*(1-IF(AND(ArtifactsInput!$M$27,Inputs!$B$4="Chapter Hunt"),CHOOSE(ArtifactsInput!$N$27+1,20,24,28,32,36,40),0)/100)))))/Skills!H5+0.000000001),1)))/Inputs!$B$43),G1210*Q1210))*IF(Inputs!$B$38="pvp",1,(1+(Inputs!$B$21+Skills!Q5+(((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Skills!G6*IF(Skills!H6&gt;0,INT(IF(Inputs!$B$38="pvp",MIN(Skills!I6,15),Skills!I6)/Skills!H6+0.000000001),1)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IFERROR(1/(IF(Inputs!$B$38="pvp",15,MAX(0.1,Skills!D6-IF(TRUE=TRUE,Inputs!$B$32,0)))*(1-IF(AND(ArtifactsInput!$M$27,Inputs!$B$4="Chapter Hunt"),CHOOSE(ArtifactsInput!$N$27+1,20,24,28,32,36,40),0)/100)),0)</f>
        <v/>
      </c>
      <c r="R1211">
        <f>IF(AND(Inputs!$B$38&lt;&gt;"pvp",Inputs!$B$43&gt;0),IF(MAX(0,Inputs!$B$43-B1241)&lt;=0,0,(INT(MAX(0,Inputs!$B$43-B1241)/(IF(Inputs!$B$38="pvp",15,MAX(0.1,Skills!D6-IF(TRUE=TRUE,Inputs!$B$32,0)))*(1-IF(AND(ArtifactsInput!$M$27,Inputs!$B$4="Chapter Hunt"),CHOOSE(ArtifactsInput!$N$27+1,20,24,28,32,36,40),0)/100)))+1)),0)</f>
        <v/>
      </c>
      <c r="S1211">
        <f>IFERROR(O1211/N1211,0)</f>
        <v/>
      </c>
      <c r="T1211">
        <f>IF(C1211,(H1211*N1211*IF(AND(Inputs!$B$38&lt;&gt;"pvp",Inputs!$B$43&gt;0),((Skills!G6*((R1211-1)*IF(Skills!H6&gt;0,INT(Skills!I6/Skills!H6+0.000000001),1)+IF(Skills!H6&gt;0,INT(MIN(Skills!I6,MAX(0,MAX(0,Inputs!$B$43-B1241)-((R1211-1)*(IF(Inputs!$B$38="pvp",15,MAX(0.1,Skills!D6-IF(TRUE=TRUE,Inputs!$B$32,0)))*(1-IF(AND(ArtifactsInput!$M$27,Inputs!$B$4="Chapter Hunt"),CHOOSE(ArtifactsInput!$N$27+1,20,24,28,32,36,40),0)/100)))))/Skills!H6+0.000000001),1)))/Inputs!$B$43),G1211*Q1211))*IF(Inputs!$B$38="pvp",1,1+(Inputs!$B$20+0+Skills!P6+(((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INT(Skills!I6/Skills!H6+0.000000001),1)+IF(Skills!H6&gt;0,INT(MIN(Skills!I6,MAX(0,MAX(0,Inputs!$B$43-B1241)-((R1211-1)*(IF(Inputs!$B$38="pvp",15,MAX(0.1,Skills!D6-IF(TRUE=TRUE,Inputs!$B$32,0)))*(1-IF(AND(ArtifactsInput!$M$27,Inputs!$B$4="Chapter Hunt"),CHOOSE(ArtifactsInput!$N$27+1,20,24,28,32,36,40),0)/100)))))/Skills!H6+0.000000001),1)))/Inputs!$B$43),G1211*Q1211))*IF(Inputs!$B$38="pvp",1,(1+(Inputs!$B$21+Skills!Q6+(((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Skills!G7*IF(Skills!H7&gt;0,INT(IF(Inputs!$B$38="pvp",MIN(Skills!I7,15),Skills!I7)/Skills!H7+0.000000001),1)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IFERROR(1/(IF(Inputs!$B$38="pvp",15,MAX(0.1,Skills!D7-IF(TRUE=TRUE,Inputs!$B$32,0)))*(1-IF(AND(ArtifactsInput!$M$27,Inputs!$B$4="Chapter Hunt"),CHOOSE(ArtifactsInput!$N$27+1,20,24,28,32,36,40),0)/100)),0)</f>
        <v/>
      </c>
      <c r="R1212">
        <f>IF(AND(Inputs!$B$38&lt;&gt;"pvp",Inputs!$B$43&gt;0),IF(MAX(0,Inputs!$B$43-B1241)&lt;=0,0,(INT(MAX(0,Inputs!$B$43-B1241)/(IF(Inputs!$B$38="pvp",15,MAX(0.1,Skills!D7-IF(TRUE=TRUE,Inputs!$B$32,0)))*(1-IF(AND(ArtifactsInput!$M$27,Inputs!$B$4="Chapter Hunt"),CHOOSE(ArtifactsInput!$N$27+1,20,24,28,32,36,40),0)/100)))+1)),0)</f>
        <v/>
      </c>
      <c r="S1212">
        <f>IFERROR(O1212/N1212,0)</f>
        <v/>
      </c>
      <c r="T1212">
        <f>IF(C1212,(H1212*N1212*IF(AND(Inputs!$B$38&lt;&gt;"pvp",Inputs!$B$43&gt;0),((Skills!G7*((R1212-1)*IF(Skills!H7&gt;0,INT(Skills!I7/Skills!H7+0.000000001),1)+IF(Skills!H7&gt;0,INT(MIN(Skills!I7,MAX(0,MAX(0,Inputs!$B$43-B1241)-((R1212-1)*(IF(Inputs!$B$38="pvp",15,MAX(0.1,Skills!D7-IF(TRUE=TRUE,Inputs!$B$32,0)))*(1-IF(AND(ArtifactsInput!$M$27,Inputs!$B$4="Chapter Hunt"),CHOOSE(ArtifactsInput!$N$27+1,20,24,28,32,36,40),0)/100)))))/Skills!H7+0.000000001),1)))/Inputs!$B$43),G1212*Q1212))*IF(Inputs!$B$38="pvp",1,1+(Inputs!$B$20+0+Skills!P7+(((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INT(Skills!I7/Skills!H7+0.000000001),1)+IF(Skills!H7&gt;0,INT(MIN(Skills!I7,MAX(0,MAX(0,Inputs!$B$43-B1241)-((R1212-1)*(IF(Inputs!$B$38="pvp",15,MAX(0.1,Skills!D7-IF(TRUE=TRUE,Inputs!$B$32,0)))*(1-IF(AND(ArtifactsInput!$M$27,Inputs!$B$4="Chapter Hunt"),CHOOSE(ArtifactsInput!$N$27+1,20,24,28,32,36,40),0)/100)))))/Skills!H7+0.000000001),1)))/Inputs!$B$43),G1212*Q1212))*IF(Inputs!$B$38="pvp",1,(1+(Inputs!$B$21+Skills!Q7+(((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Skills!G8*IF(Skills!H8&gt;0,INT(IF(Inputs!$B$38="pvp",MIN(Skills!I8,15),Skills!I8)/Skills!H8+0.000000001),1)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IFERROR(1/(IF(Inputs!$B$38="pvp",15,MAX(0.1,Skills!D8-IF(TRUE=TRUE,Inputs!$B$32,0)))*(1-IF(AND(ArtifactsInput!$M$27,Inputs!$B$4="Chapter Hunt"),CHOOSE(ArtifactsInput!$N$27+1,20,24,28,32,36,40),0)/100)),0)</f>
        <v/>
      </c>
      <c r="R1213">
        <f>IF(AND(Inputs!$B$38&lt;&gt;"pvp",Inputs!$B$43&gt;0),IF(MAX(0,Inputs!$B$43-B1241)&lt;=0,0,(INT(MAX(0,Inputs!$B$43-B1241)/(IF(Inputs!$B$38="pvp",15,MAX(0.1,Skills!D8-IF(TRUE=TRUE,Inputs!$B$32,0)))*(1-IF(AND(ArtifactsInput!$M$27,Inputs!$B$4="Chapter Hunt"),CHOOSE(ArtifactsInput!$N$27+1,20,24,28,32,36,40),0)/100)))+1)),0)</f>
        <v/>
      </c>
      <c r="S1213">
        <f>IFERROR(O1213/N1213,0)</f>
        <v/>
      </c>
      <c r="T1213">
        <f>IF(C1213,(H1213*N1213*IF(AND(Inputs!$B$38&lt;&gt;"pvp",Inputs!$B$43&gt;0),((Skills!G8*((R1213-1)*IF(Skills!H8&gt;0,INT(Skills!I8/Skills!H8+0.000000001),1)+IF(Skills!H8&gt;0,INT(MIN(Skills!I8,MAX(0,MAX(0,Inputs!$B$43-B1241)-((R1213-1)*(IF(Inputs!$B$38="pvp",15,MAX(0.1,Skills!D8-IF(TRUE=TRUE,Inputs!$B$32,0)))*(1-IF(AND(ArtifactsInput!$M$27,Inputs!$B$4="Chapter Hunt"),CHOOSE(ArtifactsInput!$N$27+1,20,24,28,32,36,40),0)/100)))))/Skills!H8+0.000000001),1)))/Inputs!$B$43),G1213*Q1213))*IF(Inputs!$B$38="pvp",1,1+(Inputs!$B$20+0+Skills!P8+(((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INT(Skills!I8/Skills!H8+0.000000001),1)+IF(Skills!H8&gt;0,INT(MIN(Skills!I8,MAX(0,MAX(0,Inputs!$B$43-B1241)-((R1213-1)*(IF(Inputs!$B$38="pvp",15,MAX(0.1,Skills!D8-IF(TRUE=TRUE,Inputs!$B$32,0)))*(1-IF(AND(ArtifactsInput!$M$27,Inputs!$B$4="Chapter Hunt"),CHOOSE(ArtifactsInput!$N$27+1,20,24,28,32,36,40),0)/100)))))/Skills!H8+0.000000001),1)))/Inputs!$B$43),G1213*Q1213))*IF(Inputs!$B$38="pvp",1,(1+(Inputs!$B$21+Skills!Q8+(((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Skills!G9*IF(Skills!H9&gt;0,INT(IF(Inputs!$B$38="pvp",MIN(Skills!I9,15),Skills!I9)/Skills!H9+0.000000001),1)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138,MAX(0,IF(Inputs!$B$3&gt;=118,8,IF(Inputs!$B$3&gt;=110,7,5))-5)*50,0),0)/100)*(1+(IF(Skills!A9="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IFERROR(1/(IF(Inputs!$B$38="pvp",15,MAX(0.1,Skills!D9-IF(TRUE=TRUE,Inputs!$B$32,0)))*(1-IF(AND(ArtifactsInput!$M$27,Inputs!$B$4="Chapter Hunt"),CHOOSE(ArtifactsInput!$N$27+1,20,24,28,32,36,40),0)/100)),0)</f>
        <v/>
      </c>
      <c r="R1214">
        <f>IF(AND(Inputs!$B$38&lt;&gt;"pvp",Inputs!$B$43&gt;0),IF(MAX(0,Inputs!$B$43-B1241)&lt;=0,0,(INT(MAX(0,Inputs!$B$43-B1241)/(IF(Inputs!$B$38="pvp",15,MAX(0.1,Skills!D9-IF(TRUE=TRUE,Inputs!$B$32,0)))*(1-IF(AND(ArtifactsInput!$M$27,Inputs!$B$4="Chapter Hunt"),CHOOSE(ArtifactsInput!$N$27+1,20,24,28,32,36,40),0)/100)))+1)),0)</f>
        <v/>
      </c>
      <c r="S1214">
        <f>IFERROR(O1214/N1214,0)</f>
        <v/>
      </c>
      <c r="T1214">
        <f>IF(C1214,(H1214*N1214*IF(AND(Inputs!$B$38&lt;&gt;"pvp",Inputs!$B$43&gt;0),((Skills!G9*((R1214-1)*IF(Skills!H9&gt;0,INT(Skills!I9/Skills!H9+0.000000001),1)+IF(Skills!H9&gt;0,INT(MIN(Skills!I9,MAX(0,MAX(0,Inputs!$B$43-B1241)-((R1214-1)*(IF(Inputs!$B$38="pvp",15,MAX(0.1,Skills!D9-IF(TRUE=TRUE,Inputs!$B$32,0)))*(1-IF(AND(ArtifactsInput!$M$27,Inputs!$B$4="Chapter Hunt"),CHOOSE(ArtifactsInput!$N$27+1,20,24,28,32,36,40),0)/100)))))/Skills!H9+0.000000001),1)))/Inputs!$B$43),G1214*Q1214))*IF(Inputs!$B$38="pvp",1,1+(Inputs!$B$20+0+Skills!P9+(((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INT(Skills!I9/Skills!H9+0.000000001),1)+IF(Skills!H9&gt;0,INT(MIN(Skills!I9,MAX(0,MAX(0,Inputs!$B$43-B1241)-((R1214-1)*(IF(Inputs!$B$38="pvp",15,MAX(0.1,Skills!D9-IF(TRUE=TRUE,Inputs!$B$32,0)))*(1-IF(AND(ArtifactsInput!$M$27,Inputs!$B$4="Chapter Hunt"),CHOOSE(ArtifactsInput!$N$27+1,20,24,28,32,36,40),0)/100)))))/Skills!H9+0.000000001),1)))/Inputs!$B$43),G1214*Q1214))*IF(Inputs!$B$38="pvp",1,(1+(Inputs!$B$21+Skills!Q9+(((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Skills!G10*IF(Skills!H10&gt;0,INT(IF(Inputs!$B$38="pvp",MIN(Skills!I10,15),Skills!I10)/Skills!H10+0.000000001),1)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138,MAX(0,IF(Inputs!$B$3&gt;=118,8,IF(Inputs!$B$3&gt;=110,7,5))-5)*50,0),0)/100)*(1+(IF(Skills!A10="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IFERROR(1/(IF(Inputs!$B$38="pvp",15,MAX(0.1,Skills!D10-IF(TRUE=TRUE,Inputs!$B$32,0)))*(1-IF(AND(ArtifactsInput!$M$27,Inputs!$B$4="Chapter Hunt"),CHOOSE(ArtifactsInput!$N$27+1,20,24,28,32,36,40),0)/100)),0)</f>
        <v/>
      </c>
      <c r="R1215">
        <f>IF(AND(Inputs!$B$38&lt;&gt;"pvp",Inputs!$B$43&gt;0),IF(MAX(0,Inputs!$B$43-B1241)&lt;=0,0,(INT(MAX(0,Inputs!$B$43-B1241)/(IF(Inputs!$B$38="pvp",15,MAX(0.1,Skills!D10-IF(TRUE=TRUE,Inputs!$B$32,0)))*(1-IF(AND(ArtifactsInput!$M$27,Inputs!$B$4="Chapter Hunt"),CHOOSE(ArtifactsInput!$N$27+1,20,24,28,32,36,40),0)/100)))+1)),0)</f>
        <v/>
      </c>
      <c r="S1215">
        <f>IFERROR(O1215/N1215,0)</f>
        <v/>
      </c>
      <c r="T1215">
        <f>IF(C1215,(H1215*N1215*IF(AND(Inputs!$B$38&lt;&gt;"pvp",Inputs!$B$43&gt;0),((Skills!G10*((R1215-1)*IF(Skills!H10&gt;0,INT(Skills!I10/Skills!H10+0.000000001),1)+IF(Skills!H10&gt;0,INT(MIN(Skills!I10,MAX(0,MAX(0,Inputs!$B$43-B1241)-((R1215-1)*(IF(Inputs!$B$38="pvp",15,MAX(0.1,Skills!D10-IF(TRUE=TRUE,Inputs!$B$32,0)))*(1-IF(AND(ArtifactsInput!$M$27,Inputs!$B$4="Chapter Hunt"),CHOOSE(ArtifactsInput!$N$27+1,20,24,28,32,36,40),0)/100)))))/Skills!H10+0.000000001),1)))/Inputs!$B$43),G1215*Q1215))*IF(Inputs!$B$38="pvp",1,1+(Inputs!$B$20+0+Skills!P10+(((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INT(Skills!I10/Skills!H10+0.000000001),1)+IF(Skills!H10&gt;0,INT(MIN(Skills!I10,MAX(0,MAX(0,Inputs!$B$43-B1241)-((R1215-1)*(IF(Inputs!$B$38="pvp",15,MAX(0.1,Skills!D10-IF(TRUE=TRUE,Inputs!$B$32,0)))*(1-IF(AND(ArtifactsInput!$M$27,Inputs!$B$4="Chapter Hunt"),CHOOSE(ArtifactsInput!$N$27+1,20,24,28,32,36,40),0)/100)))))/Skills!H10+0.000000001),1)))/Inputs!$B$43),G1215*Q1215))*IF(Inputs!$B$38="pvp",1,(1+(Inputs!$B$21+Skills!Q10+(((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Skills!G11*IF(Skills!H11&gt;0,INT(IF(Inputs!$B$38="pvp",MIN(Skills!I11,15),Skills!I11)/Skills!H11+0.000000001),1)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138,MAX(0,IF(Inputs!$B$3&gt;=118,8,IF(Inputs!$B$3&gt;=110,7,5))-5)*50,0),0)/100)*(1+(IF(Skills!A11="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IFERROR(1/(IF(Inputs!$B$38="pvp",15,MAX(0.1,Skills!D11-IF(TRUE=TRUE,Inputs!$B$32,0)))*(1-IF(AND(ArtifactsInput!$M$27,Inputs!$B$4="Chapter Hunt"),CHOOSE(ArtifactsInput!$N$27+1,20,24,28,32,36,40),0)/100)),0)</f>
        <v/>
      </c>
      <c r="R1216">
        <f>IF(AND(Inputs!$B$38&lt;&gt;"pvp",Inputs!$B$43&gt;0),IF(MAX(0,Inputs!$B$43-B1241)&lt;=0,0,(INT(MAX(0,Inputs!$B$43-B1241)/(IF(Inputs!$B$38="pvp",15,MAX(0.1,Skills!D11-IF(TRUE=TRUE,Inputs!$B$32,0)))*(1-IF(AND(ArtifactsInput!$M$27,Inputs!$B$4="Chapter Hunt"),CHOOSE(ArtifactsInput!$N$27+1,20,24,28,32,36,40),0)/100)))+1)),0)</f>
        <v/>
      </c>
      <c r="S1216">
        <f>IFERROR(O1216/N1216,0)</f>
        <v/>
      </c>
      <c r="T1216">
        <f>IF(C1216,(H1216*N1216*IF(AND(Inputs!$B$38&lt;&gt;"pvp",Inputs!$B$43&gt;0),((Skills!G11*((R1216-1)*IF(Skills!H11&gt;0,INT(Skills!I11/Skills!H11+0.000000001),1)+IF(Skills!H11&gt;0,INT(MIN(Skills!I11,MAX(0,MAX(0,Inputs!$B$43-B1241)-((R1216-1)*(IF(Inputs!$B$38="pvp",15,MAX(0.1,Skills!D11-IF(TRUE=TRUE,Inputs!$B$32,0)))*(1-IF(AND(ArtifactsInput!$M$27,Inputs!$B$4="Chapter Hunt"),CHOOSE(ArtifactsInput!$N$27+1,20,24,28,32,36,40),0)/100)))))/Skills!H11+0.000000001),1)))/Inputs!$B$43),G1216*Q1216))*IF(Inputs!$B$38="pvp",1,1+(Inputs!$B$20+0+Skills!P11+(((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INT(Skills!I11/Skills!H11+0.000000001),1)+IF(Skills!H11&gt;0,INT(MIN(Skills!I11,MAX(0,MAX(0,Inputs!$B$43-B1241)-((R1216-1)*(IF(Inputs!$B$38="pvp",15,MAX(0.1,Skills!D11-IF(TRUE=TRUE,Inputs!$B$32,0)))*(1-IF(AND(ArtifactsInput!$M$27,Inputs!$B$4="Chapter Hunt"),CHOOSE(ArtifactsInput!$N$27+1,20,24,28,32,36,40),0)/100)))))/Skills!H11+0.000000001),1)))/Inputs!$B$43),G1216*Q1216))*IF(Inputs!$B$38="pvp",1,(1+(Inputs!$B$21+Skills!Q11+(((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Skills!G13*IF(Skills!H13&gt;0,INT(IF(Inputs!$B$38="pvp",MIN(Skills!I13,15),Skills!I13)/Skills!H13+0.000000001),1)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Skills!G14*IF(Skills!H14&gt;0,INT(IF(Inputs!$B$38="pvp",MIN(Skills!I14,15),Skills!I14)/Skills!H14+0.000000001),1)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Skills!G15*IF(Skills!H15&gt;0,INT(IF(Inputs!$B$38="pvp",MIN(Skills!I15,15),Skills!I15)/Skills!H15+0.000000001),1)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IFERROR(1/(IF(Inputs!$B$38="pvp",15,MAX(0.1,Skills!D15-IF(TRUE=TRUE,Inputs!$B$32,0)))*(1-IF(AND(ArtifactsInput!$M$27,Inputs!$B$4="Chapter Hunt"),CHOOSE(ArtifactsInput!$N$27+1,20,24,28,32,36,40),0)/100)),0)</f>
        <v/>
      </c>
      <c r="R1220">
        <f>IF(AND(Inputs!$B$38&lt;&gt;"pvp",Inputs!$B$43&gt;0),IF(Inputs!$B$43&lt;=0,0,(INT(Inputs!$B$43/(IF(Inputs!$B$38="pvp",15,MAX(0.1,Skills!D15-IF(TRUE=TRUE,Inputs!$B$32,0)))*(1-IF(AND(ArtifactsInput!$M$27,Inputs!$B$4="Chapter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Skills!G16*IF(Skills!H16&gt;0,INT(IF(Inputs!$B$38="pvp",MIN(Skills!I16,15),Skills!I16)/Skills!H16+0.000000001),1)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IFERROR(1/(IF(Inputs!$B$38="pvp",15,MAX(0.1,Skills!D16-IF(TRUE=TRUE,Inputs!$B$32,0)))*(1-IF(AND(ArtifactsInput!$M$27,Inputs!$B$4="Chapter Hunt"),CHOOSE(ArtifactsInput!$N$27+1,20,24,28,32,36,40),0)/100)),0)</f>
        <v/>
      </c>
      <c r="R1221">
        <f>IF(AND(Inputs!$B$38&lt;&gt;"pvp",Inputs!$B$43&gt;0),IF(Inputs!$B$43&lt;=0,0,(INT(Inputs!$B$43/(IF(Inputs!$B$38="pvp",15,MAX(0.1,Skills!D16-IF(TRUE=TRUE,Inputs!$B$32,0)))*(1-IF(AND(ArtifactsInput!$M$27,Inputs!$B$4="Chapter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Skills!G17*IF(Skills!H17&gt;0,INT(IF(Inputs!$B$38="pvp",MIN(Skills!I17,15),Skills!I17)/Skills!H17+0.000000001),1)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IFERROR(1/(IF(Inputs!$B$38="pvp",15,MAX(0.1,Skills!D17-IF(TRUE=TRUE,Inputs!$B$32,0)))*(1-IF(AND(ArtifactsInput!$M$27,Inputs!$B$4="Chapter Hunt"),CHOOSE(ArtifactsInput!$N$27+1,20,24,28,32,36,40),0)/100)),0)</f>
        <v/>
      </c>
      <c r="R1222">
        <f>IF(AND(Inputs!$B$38&lt;&gt;"pvp",Inputs!$B$43&gt;0),IF(Inputs!$B$43&lt;=0,0,(INT(Inputs!$B$43/(IF(Inputs!$B$38="pvp",15,MAX(0.1,Skills!D17-IF(TRUE=TRUE,Inputs!$B$32,0)))*(1-IF(AND(ArtifactsInput!$M$27,Inputs!$B$4="Chapter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Skills!G18*IF(Skills!H18&gt;0,INT(IF(Inputs!$B$38="pvp",MIN(Skills!I18,15),Skills!I18)/Skills!H18+0.000000001),1)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IFERROR(1/(IF(Inputs!$B$38="pvp",15,MAX(0.1,Skills!D18-IF(TRUE=TRUE,Inputs!$B$32,0)))*(1-IF(AND(ArtifactsInput!$M$27,Inputs!$B$4="Chapter Hunt"),CHOOSE(ArtifactsInput!$N$27+1,20,24,28,32,36,40),0)/100)),0)</f>
        <v/>
      </c>
      <c r="R1223">
        <f>IF(AND(Inputs!$B$38&lt;&gt;"pvp",Inputs!$B$43&gt;0),IF(Inputs!$B$43&lt;=0,0,(INT(Inputs!$B$43/(IF(Inputs!$B$38="pvp",15,MAX(0.1,Skills!D18-IF(TRUE=TRUE,Inputs!$B$32,0)))*(1-IF(AND(ArtifactsInput!$M$27,Inputs!$B$4="Chapter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Skills!G19*IF(Skills!H19&gt;0,INT(IF(Inputs!$B$38="pvp",MIN(Skills!I19,15),Skills!I19)/Skills!H19+0.000000001),1)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IFERROR(1/(IF(Inputs!$B$38="pvp",15,MAX(0.1,Skills!D19-IF(TRUE=TRUE,Inputs!$B$32,0)))*(1-IF(AND(ArtifactsInput!$M$27,Inputs!$B$4="Chapter Hunt"),CHOOSE(ArtifactsInput!$N$27+1,20,24,28,32,36,40),0)/100)),0)</f>
        <v/>
      </c>
      <c r="R1224">
        <f>IF(AND(Inputs!$B$38&lt;&gt;"pvp",Inputs!$B$43&gt;0),IF(Inputs!$B$43&lt;=0,0,(INT(Inputs!$B$43/(IF(Inputs!$B$38="pvp",15,MAX(0.1,Skills!D19-IF(TRUE=TRUE,Inputs!$B$32,0)))*(1-IF(AND(ArtifactsInput!$M$27,Inputs!$B$4="Chapter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Skills!G20*IF(Skills!H20&gt;0,INT(IF(Inputs!$B$38="pvp",MIN(Skills!I20,15),Skills!I20)/Skills!H20+0.000000001),1)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Skills!G21*IF(Skills!H21&gt;0,INT(IF(Inputs!$B$38="pvp",MIN(Skills!I21,15),Skills!I21)/Skills!H21+0.000000001),1)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Skills!G22*IF(Skills!H22&gt;0,INT(IF(Inputs!$B$38="pvp",MIN(Skills!I22,15),Skills!I22)/Skills!H22+0.000000001),1)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Skills!G23*IF(Skills!H23&gt;0,INT(IF(Inputs!$B$38="pvp",MIN(Skills!I23,15),Skills!I23)/Skills!H23+0.000000001),1)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Skills!G24*IF(Skills!H24&gt;0,INT(IF(Inputs!$B$38="pvp",MIN(Skills!I24,15),Skills!I24)/Skills!H24+0.000000001),1)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Skills!G25*IF(Skills!H25&gt;0,INT(IF(Inputs!$B$38="pvp",MIN(Skills!I25,15),Skills!I25)/Skills!H25+0.000000001),1)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Skills!G26*IF(Skills!H26&gt;0,INT(IF(Inputs!$B$38="pvp",MIN(Skills!I26,15),Skills!I26)/Skills!H26+0.000000001),1)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MIN((Skills!T19*(1+(Inputs!$B$34+(ArtifactsInput!$M$7-ArtifactsInput!$M$7)*CHOOSE(ArtifactsInput!$N$7+1,6,7.2,8.4,9.6,10.8,12))/100)),(1/Q1224))+MIN((Skills!T19*(1+(Inputs!$B$34+(ArtifactsInput!$M$7-ArtifactsInput!$M$7)*CHOOSE(ArtifactsInput!$N$7+1,6,7.2,8.4,9.6,10.8,12))/100)),MAX(0,Inputs!$B$43-((R1224-1)*(1/Q1224)))))/Inputs!$B$43),IF(Inputs!$B$38="pvp",MIN((Skills!T19*(1+(Inputs!$B$34+(ArtifactsInput!$M$7-ArtifactsInput!$M$7)*CHOOSE(ArtifactsInput!$N$7+1,6,7.2,8.4,9.6,10.8,12))/100)),15)/15,MIN(1,(Skills!T19*(1+(Inputs!$B$34+(ArtifactsInput!$M$7-ArtifactsInput!$M$7)*CHOOSE(ArtifactsInput!$N$7+1,6,7.2,8.4,9.6,10.8,12))/100))/(1/Q1224)))))</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MIN((Skills!T18*(1+(Inputs!$B$34+(ArtifactsInput!$M$7-ArtifactsInput!$M$7)*CHOOSE(ArtifactsInput!$N$7+1,6,7.2,8.4,9.6,10.8,12))/100)),(1/Q1223))+MIN((Skills!T18*(1+(Inputs!$B$34+(ArtifactsInput!$M$7-ArtifactsInput!$M$7)*CHOOSE(ArtifactsInput!$N$7+1,6,7.2,8.4,9.6,10.8,12))/100)),MAX(0,Inputs!$B$43-((R1223-1)*(1/Q1223)))))/Inputs!$B$43),IF(Inputs!$B$38="pvp",MIN((Skills!T18*(1+(Inputs!$B$34+(ArtifactsInput!$M$7-ArtifactsInput!$M$7)*CHOOSE(ArtifactsInput!$N$7+1,6,7.2,8.4,9.6,10.8,12))/100)),15)/15,MIN(1,(Skills!T18*(1+(Inputs!$B$34+(ArtifactsInput!$M$7-ArtifactsInput!$M$7)*CHOOSE(ArtifactsInput!$N$7+1,6,7.2,8.4,9.6,10.8,12))/100))/(1/Q1223)))))</f>
        <v/>
      </c>
    </row>
    <row r="1240">
      <c r="A1240" t="inlineStr">
        <is>
          <t>Global Final Damage Bonus % (Enrage + Combo Synergy)</t>
        </is>
      </c>
      <c r="B1240">
        <f>((C1222=TRUE)*F1222*IF(AND(Inputs!$B$38&lt;&gt;"pvp",Inputs!$B$43&gt;0),(((R1222-1)*MIN((Skills!T17*(1+(Inputs!$B$34+(ArtifactsInput!$M$7-ArtifactsInput!$M$7)*CHOOSE(ArtifactsInput!$N$7+1,6,7.2,8.4,9.6,10.8,12))/100)),(1/Q1222))+MIN((Skills!T17*(1+(Inputs!$B$34+(ArtifactsInput!$M$7-ArtifactsInput!$M$7)*CHOOSE(ArtifactsInput!$N$7+1,6,7.2,8.4,9.6,10.8,12))/100)),MAX(0,Inputs!$B$43-((R1222-1)*(1/Q1222)))))/Inputs!$B$43),IF(Inputs!$B$38="pvp",MIN((Skills!T17*(1+(Inputs!$B$34+(ArtifactsInput!$M$7-ArtifactsInput!$M$7)*CHOOSE(ArtifactsInput!$N$7+1,6,7.2,8.4,9.6,10.8,12))/100)),15)/15,MIN(1,(Skills!T17*(1+(Inputs!$B$34+(ArtifactsInput!$M$7-ArtifactsInput!$M$7)*CHOOSE(ArtifactsInput!$N$7+1,6,7.2,8.4,9.6,10.8,12))/100))/(1/Q1222)))))+((C1219=TRUE)*F1219*IF(Inputs!$B$3&gt;=118,8,IF(Inputs!$B$3&gt;=110,7,5)))+IF(Inputs!$B$3&gt;=98,5,0)</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Skills!G2*IF(Skills!H2&gt;0,INT(IF(Inputs!$B$38="pvp",MIN(Skills!I2,15),Skills!I2)/Skills!H2+0.000000001),1)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Skills!G5*IF(Skills!H5&gt;0,INT(IF(Inputs!$B$38="pvp",MIN(Skills!I5,15),Skills!I5)/Skills!H5+0.000000001),1)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IFERROR(1/(IF(Inputs!$B$38="pvp",15,MAX(0.1,Skills!D5-IF(TRUE=TRUE,Inputs!$B$32,0)))*(1-IF(AND(ArtifactsInput!$M$27,Inputs!$B$4="Chapter Hunt"),CHOOSE(ArtifactsInput!$N$27+1,20,24,28,32,36,40),0)/100)),0)</f>
        <v/>
      </c>
      <c r="R1252">
        <f>IF(AND(Inputs!$B$38&lt;&gt;"pvp",Inputs!$B$43&gt;0),IF(MAX(0,Inputs!$B$43-B1283)&lt;=0,0,(INT(MAX(0,Inputs!$B$43-B1283)/(IF(Inputs!$B$38="pvp",15,MAX(0.1,Skills!D5-IF(TRUE=TRUE,Inputs!$B$32,0)))*(1-IF(AND(ArtifactsInput!$M$27,Inputs!$B$4="Chapter Hunt"),CHOOSE(ArtifactsInput!$N$27+1,20,24,28,32,36,40),0)/100)))+1)),0)</f>
        <v/>
      </c>
      <c r="S1252">
        <f>IFERROR(O1252/N1252,0)</f>
        <v/>
      </c>
      <c r="T1252">
        <f>IF(C1252,(H1252*N1252*IF(AND(Inputs!$B$38&lt;&gt;"pvp",Inputs!$B$43&gt;0),((Skills!G5*((R1252-1)*IF(Skills!H5&gt;0,INT(Skills!I5/Skills!H5+0.000000001),1)+IF(Skills!H5&gt;0,INT(MIN(Skills!I5,MAX(0,MAX(0,Inputs!$B$43-B1283)-((R1252-1)*(IF(Inputs!$B$38="pvp",15,MAX(0.1,Skills!D5-IF(TRUE=TRUE,Inputs!$B$32,0)))*(1-IF(AND(ArtifactsInput!$M$27,Inputs!$B$4="Chapter Hunt"),CHOOSE(ArtifactsInput!$N$27+1,20,24,28,32,36,40),0)/100)))))/Skills!H5+0.000000001),1)))/Inputs!$B$43),G1252*Q1252))*IF(Inputs!$B$38="pvp",1,1+(Inputs!$B$20+0+Skills!P5+(((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INT(Skills!I5/Skills!H5+0.000000001),1)+IF(Skills!H5&gt;0,INT(MIN(Skills!I5,MAX(0,MAX(0,Inputs!$B$43-B1283)-((R1252-1)*(IF(Inputs!$B$38="pvp",15,MAX(0.1,Skills!D5-IF(TRUE=TRUE,Inputs!$B$32,0)))*(1-IF(AND(ArtifactsInput!$M$27,Inputs!$B$4="Chapter Hunt"),CHOOSE(ArtifactsInput!$N$27+1,20,24,28,32,36,40),0)/100)))))/Skills!H5+0.000000001),1)))/Inputs!$B$43),G1252*Q1252))*IF(Inputs!$B$38="pvp",1,(1+(Inputs!$B$21+Skills!Q5+(((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Skills!G6*IF(Skills!H6&gt;0,INT(IF(Inputs!$B$38="pvp",MIN(Skills!I6,15),Skills!I6)/Skills!H6+0.000000001),1)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IFERROR(1/(IF(Inputs!$B$38="pvp",15,MAX(0.1,Skills!D6-IF(TRUE=TRUE,Inputs!$B$32,0)))*(1-IF(AND(ArtifactsInput!$M$27,Inputs!$B$4="Chapter Hunt"),CHOOSE(ArtifactsInput!$N$27+1,20,24,28,32,36,40),0)/100)),0)</f>
        <v/>
      </c>
      <c r="R1253">
        <f>IF(AND(Inputs!$B$38&lt;&gt;"pvp",Inputs!$B$43&gt;0),IF(MAX(0,Inputs!$B$43-B1283)&lt;=0,0,(INT(MAX(0,Inputs!$B$43-B1283)/(IF(Inputs!$B$38="pvp",15,MAX(0.1,Skills!D6-IF(TRUE=TRUE,Inputs!$B$32,0)))*(1-IF(AND(ArtifactsInput!$M$27,Inputs!$B$4="Chapter Hunt"),CHOOSE(ArtifactsInput!$N$27+1,20,24,28,32,36,40),0)/100)))+1)),0)</f>
        <v/>
      </c>
      <c r="S1253">
        <f>IFERROR(O1253/N1253,0)</f>
        <v/>
      </c>
      <c r="T1253">
        <f>IF(C1253,(H1253*N1253*IF(AND(Inputs!$B$38&lt;&gt;"pvp",Inputs!$B$43&gt;0),((Skills!G6*((R1253-1)*IF(Skills!H6&gt;0,INT(Skills!I6/Skills!H6+0.000000001),1)+IF(Skills!H6&gt;0,INT(MIN(Skills!I6,MAX(0,MAX(0,Inputs!$B$43-B1283)-((R1253-1)*(IF(Inputs!$B$38="pvp",15,MAX(0.1,Skills!D6-IF(TRUE=TRUE,Inputs!$B$32,0)))*(1-IF(AND(ArtifactsInput!$M$27,Inputs!$B$4="Chapter Hunt"),CHOOSE(ArtifactsInput!$N$27+1,20,24,28,32,36,40),0)/100)))))/Skills!H6+0.000000001),1)))/Inputs!$B$43),G1253*Q1253))*IF(Inputs!$B$38="pvp",1,1+(Inputs!$B$20+0+Skills!P6+(((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INT(Skills!I6/Skills!H6+0.000000001),1)+IF(Skills!H6&gt;0,INT(MIN(Skills!I6,MAX(0,MAX(0,Inputs!$B$43-B1283)-((R1253-1)*(IF(Inputs!$B$38="pvp",15,MAX(0.1,Skills!D6-IF(TRUE=TRUE,Inputs!$B$32,0)))*(1-IF(AND(ArtifactsInput!$M$27,Inputs!$B$4="Chapter Hunt"),CHOOSE(ArtifactsInput!$N$27+1,20,24,28,32,36,40),0)/100)))))/Skills!H6+0.000000001),1)))/Inputs!$B$43),G1253*Q1253))*IF(Inputs!$B$38="pvp",1,(1+(Inputs!$B$21+Skills!Q6+(((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Skills!G7*IF(Skills!H7&gt;0,INT(IF(Inputs!$B$38="pvp",MIN(Skills!I7,15),Skills!I7)/Skills!H7+0.000000001),1)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IFERROR(1/(IF(Inputs!$B$38="pvp",15,MAX(0.1,Skills!D7-IF(TRUE=TRUE,Inputs!$B$32,0)))*(1-IF(AND(ArtifactsInput!$M$27,Inputs!$B$4="Chapter Hunt"),CHOOSE(ArtifactsInput!$N$27+1,20,24,28,32,36,40),0)/100)),0)</f>
        <v/>
      </c>
      <c r="R1254">
        <f>IF(AND(Inputs!$B$38&lt;&gt;"pvp",Inputs!$B$43&gt;0),IF(MAX(0,Inputs!$B$43-B1283)&lt;=0,0,(INT(MAX(0,Inputs!$B$43-B1283)/(IF(Inputs!$B$38="pvp",15,MAX(0.1,Skills!D7-IF(TRUE=TRUE,Inputs!$B$32,0)))*(1-IF(AND(ArtifactsInput!$M$27,Inputs!$B$4="Chapter Hunt"),CHOOSE(ArtifactsInput!$N$27+1,20,24,28,32,36,40),0)/100)))+1)),0)</f>
        <v/>
      </c>
      <c r="S1254">
        <f>IFERROR(O1254/N1254,0)</f>
        <v/>
      </c>
      <c r="T1254">
        <f>IF(C1254,(H1254*N1254*IF(AND(Inputs!$B$38&lt;&gt;"pvp",Inputs!$B$43&gt;0),((Skills!G7*((R1254-1)*IF(Skills!H7&gt;0,INT(Skills!I7/Skills!H7+0.000000001),1)+IF(Skills!H7&gt;0,INT(MIN(Skills!I7,MAX(0,MAX(0,Inputs!$B$43-B1283)-((R1254-1)*(IF(Inputs!$B$38="pvp",15,MAX(0.1,Skills!D7-IF(TRUE=TRUE,Inputs!$B$32,0)))*(1-IF(AND(ArtifactsInput!$M$27,Inputs!$B$4="Chapter Hunt"),CHOOSE(ArtifactsInput!$N$27+1,20,24,28,32,36,40),0)/100)))))/Skills!H7+0.000000001),1)))/Inputs!$B$43),G1254*Q1254))*IF(Inputs!$B$38="pvp",1,1+(Inputs!$B$20+0+Skills!P7+(((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INT(Skills!I7/Skills!H7+0.000000001),1)+IF(Skills!H7&gt;0,INT(MIN(Skills!I7,MAX(0,MAX(0,Inputs!$B$43-B1283)-((R1254-1)*(IF(Inputs!$B$38="pvp",15,MAX(0.1,Skills!D7-IF(TRUE=TRUE,Inputs!$B$32,0)))*(1-IF(AND(ArtifactsInput!$M$27,Inputs!$B$4="Chapter Hunt"),CHOOSE(ArtifactsInput!$N$27+1,20,24,28,32,36,40),0)/100)))))/Skills!H7+0.000000001),1)))/Inputs!$B$43),G1254*Q1254))*IF(Inputs!$B$38="pvp",1,(1+(Inputs!$B$21+Skills!Q7+(((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Skills!G8*IF(Skills!H8&gt;0,INT(IF(Inputs!$B$38="pvp",MIN(Skills!I8,15),Skills!I8)/Skills!H8+0.000000001),1)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IFERROR(1/(IF(Inputs!$B$38="pvp",15,MAX(0.1,Skills!D8-IF(TRUE=TRUE,Inputs!$B$32,0)))*(1-IF(AND(ArtifactsInput!$M$27,Inputs!$B$4="Chapter Hunt"),CHOOSE(ArtifactsInput!$N$27+1,20,24,28,32,36,40),0)/100)),0)</f>
        <v/>
      </c>
      <c r="R1255">
        <f>IF(AND(Inputs!$B$38&lt;&gt;"pvp",Inputs!$B$43&gt;0),IF(MAX(0,Inputs!$B$43-B1283)&lt;=0,0,(INT(MAX(0,Inputs!$B$43-B1283)/(IF(Inputs!$B$38="pvp",15,MAX(0.1,Skills!D8-IF(TRUE=TRUE,Inputs!$B$32,0)))*(1-IF(AND(ArtifactsInput!$M$27,Inputs!$B$4="Chapter Hunt"),CHOOSE(ArtifactsInput!$N$27+1,20,24,28,32,36,40),0)/100)))+1)),0)</f>
        <v/>
      </c>
      <c r="S1255">
        <f>IFERROR(O1255/N1255,0)</f>
        <v/>
      </c>
      <c r="T1255">
        <f>IF(C1255,(H1255*N1255*IF(AND(Inputs!$B$38&lt;&gt;"pvp",Inputs!$B$43&gt;0),((Skills!G8*((R1255-1)*IF(Skills!H8&gt;0,INT(Skills!I8/Skills!H8+0.000000001),1)+IF(Skills!H8&gt;0,INT(MIN(Skills!I8,MAX(0,MAX(0,Inputs!$B$43-B1283)-((R1255-1)*(IF(Inputs!$B$38="pvp",15,MAX(0.1,Skills!D8-IF(TRUE=TRUE,Inputs!$B$32,0)))*(1-IF(AND(ArtifactsInput!$M$27,Inputs!$B$4="Chapter Hunt"),CHOOSE(ArtifactsInput!$N$27+1,20,24,28,32,36,40),0)/100)))))/Skills!H8+0.000000001),1)))/Inputs!$B$43),G1255*Q1255))*IF(Inputs!$B$38="pvp",1,1+(Inputs!$B$20+0+Skills!P8+(((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INT(Skills!I8/Skills!H8+0.000000001),1)+IF(Skills!H8&gt;0,INT(MIN(Skills!I8,MAX(0,MAX(0,Inputs!$B$43-B1283)-((R1255-1)*(IF(Inputs!$B$38="pvp",15,MAX(0.1,Skills!D8-IF(TRUE=TRUE,Inputs!$B$32,0)))*(1-IF(AND(ArtifactsInput!$M$27,Inputs!$B$4="Chapter Hunt"),CHOOSE(ArtifactsInput!$N$27+1,20,24,28,32,36,40),0)/100)))))/Skills!H8+0.000000001),1)))/Inputs!$B$43),G1255*Q1255))*IF(Inputs!$B$38="pvp",1,(1+(Inputs!$B$21+Skills!Q8+(((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Skills!G9*IF(Skills!H9&gt;0,INT(IF(Inputs!$B$38="pvp",MIN(Skills!I9,15),Skills!I9)/Skills!H9+0.000000001),1)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138,MAX(0,IF(Inputs!$B$3&gt;=118,8,IF(Inputs!$B$3&gt;=110,7,5))-5)*50,0),0)/100)*(1+(IF(Skills!A9="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IFERROR(1/(IF(Inputs!$B$38="pvp",15,MAX(0.1,Skills!D9-IF(TRUE=TRUE,Inputs!$B$32,0)))*(1-IF(AND(ArtifactsInput!$M$27,Inputs!$B$4="Chapter Hunt"),CHOOSE(ArtifactsInput!$N$27+1,20,24,28,32,36,40),0)/100)),0)</f>
        <v/>
      </c>
      <c r="R1256">
        <f>IF(AND(Inputs!$B$38&lt;&gt;"pvp",Inputs!$B$43&gt;0),IF(MAX(0,Inputs!$B$43-B1283)&lt;=0,0,(INT(MAX(0,Inputs!$B$43-B1283)/(IF(Inputs!$B$38="pvp",15,MAX(0.1,Skills!D9-IF(TRUE=TRUE,Inputs!$B$32,0)))*(1-IF(AND(ArtifactsInput!$M$27,Inputs!$B$4="Chapter Hunt"),CHOOSE(ArtifactsInput!$N$27+1,20,24,28,32,36,40),0)/100)))+1)),0)</f>
        <v/>
      </c>
      <c r="S1256">
        <f>IFERROR(O1256/N1256,0)</f>
        <v/>
      </c>
      <c r="T1256">
        <f>IF(C1256,(H1256*N1256*IF(AND(Inputs!$B$38&lt;&gt;"pvp",Inputs!$B$43&gt;0),((Skills!G9*((R1256-1)*IF(Skills!H9&gt;0,INT(Skills!I9/Skills!H9+0.000000001),1)+IF(Skills!H9&gt;0,INT(MIN(Skills!I9,MAX(0,MAX(0,Inputs!$B$43-B1283)-((R1256-1)*(IF(Inputs!$B$38="pvp",15,MAX(0.1,Skills!D9-IF(TRUE=TRUE,Inputs!$B$32,0)))*(1-IF(AND(ArtifactsInput!$M$27,Inputs!$B$4="Chapter Hunt"),CHOOSE(ArtifactsInput!$N$27+1,20,24,28,32,36,40),0)/100)))))/Skills!H9+0.000000001),1)))/Inputs!$B$43),G1256*Q1256))*IF(Inputs!$B$38="pvp",1,1+(Inputs!$B$20+0+Skills!P9+(((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INT(Skills!I9/Skills!H9+0.000000001),1)+IF(Skills!H9&gt;0,INT(MIN(Skills!I9,MAX(0,MAX(0,Inputs!$B$43-B1283)-((R1256-1)*(IF(Inputs!$B$38="pvp",15,MAX(0.1,Skills!D9-IF(TRUE=TRUE,Inputs!$B$32,0)))*(1-IF(AND(ArtifactsInput!$M$27,Inputs!$B$4="Chapter Hunt"),CHOOSE(ArtifactsInput!$N$27+1,20,24,28,32,36,40),0)/100)))))/Skills!H9+0.000000001),1)))/Inputs!$B$43),G1256*Q1256))*IF(Inputs!$B$38="pvp",1,(1+(Inputs!$B$21+Skills!Q9+(((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Skills!G10*IF(Skills!H10&gt;0,INT(IF(Inputs!$B$38="pvp",MIN(Skills!I10,15),Skills!I10)/Skills!H10+0.000000001),1)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138,MAX(0,IF(Inputs!$B$3&gt;=118,8,IF(Inputs!$B$3&gt;=110,7,5))-5)*50,0),0)/100)*(1+(IF(Skills!A10="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IFERROR(1/(IF(Inputs!$B$38="pvp",15,MAX(0.1,Skills!D10-IF(TRUE=TRUE,Inputs!$B$32,0)))*(1-IF(AND(ArtifactsInput!$M$27,Inputs!$B$4="Chapter Hunt"),CHOOSE(ArtifactsInput!$N$27+1,20,24,28,32,36,40),0)/100)),0)</f>
        <v/>
      </c>
      <c r="R1257">
        <f>IF(AND(Inputs!$B$38&lt;&gt;"pvp",Inputs!$B$43&gt;0),IF(MAX(0,Inputs!$B$43-B1283)&lt;=0,0,(INT(MAX(0,Inputs!$B$43-B1283)/(IF(Inputs!$B$38="pvp",15,MAX(0.1,Skills!D10-IF(TRUE=TRUE,Inputs!$B$32,0)))*(1-IF(AND(ArtifactsInput!$M$27,Inputs!$B$4="Chapter Hunt"),CHOOSE(ArtifactsInput!$N$27+1,20,24,28,32,36,40),0)/100)))+1)),0)</f>
        <v/>
      </c>
      <c r="S1257">
        <f>IFERROR(O1257/N1257,0)</f>
        <v/>
      </c>
      <c r="T1257">
        <f>IF(C1257,(H1257*N1257*IF(AND(Inputs!$B$38&lt;&gt;"pvp",Inputs!$B$43&gt;0),((Skills!G10*((R1257-1)*IF(Skills!H10&gt;0,INT(Skills!I10/Skills!H10+0.000000001),1)+IF(Skills!H10&gt;0,INT(MIN(Skills!I10,MAX(0,MAX(0,Inputs!$B$43-B1283)-((R1257-1)*(IF(Inputs!$B$38="pvp",15,MAX(0.1,Skills!D10-IF(TRUE=TRUE,Inputs!$B$32,0)))*(1-IF(AND(ArtifactsInput!$M$27,Inputs!$B$4="Chapter Hunt"),CHOOSE(ArtifactsInput!$N$27+1,20,24,28,32,36,40),0)/100)))))/Skills!H10+0.000000001),1)))/Inputs!$B$43),G1257*Q1257))*IF(Inputs!$B$38="pvp",1,1+(Inputs!$B$20+0+Skills!P10+(((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INT(Skills!I10/Skills!H10+0.000000001),1)+IF(Skills!H10&gt;0,INT(MIN(Skills!I10,MAX(0,MAX(0,Inputs!$B$43-B1283)-((R1257-1)*(IF(Inputs!$B$38="pvp",15,MAX(0.1,Skills!D10-IF(TRUE=TRUE,Inputs!$B$32,0)))*(1-IF(AND(ArtifactsInput!$M$27,Inputs!$B$4="Chapter Hunt"),CHOOSE(ArtifactsInput!$N$27+1,20,24,28,32,36,40),0)/100)))))/Skills!H10+0.000000001),1)))/Inputs!$B$43),G1257*Q1257))*IF(Inputs!$B$38="pvp",1,(1+(Inputs!$B$21+Skills!Q10+(((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Skills!G11*IF(Skills!H11&gt;0,INT(IF(Inputs!$B$38="pvp",MIN(Skills!I11,15),Skills!I11)/Skills!H11+0.000000001),1)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138,MAX(0,IF(Inputs!$B$3&gt;=118,8,IF(Inputs!$B$3&gt;=110,7,5))-5)*50,0),0)/100)*(1+(IF(Skills!A11="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IFERROR(1/(IF(Inputs!$B$38="pvp",15,MAX(0.1,Skills!D11-IF(TRUE=TRUE,Inputs!$B$32,0)))*(1-IF(AND(ArtifactsInput!$M$27,Inputs!$B$4="Chapter Hunt"),CHOOSE(ArtifactsInput!$N$27+1,20,24,28,32,36,40),0)/100)),0)</f>
        <v/>
      </c>
      <c r="R1258">
        <f>IF(AND(Inputs!$B$38&lt;&gt;"pvp",Inputs!$B$43&gt;0),IF(MAX(0,Inputs!$B$43-B1283)&lt;=0,0,(INT(MAX(0,Inputs!$B$43-B1283)/(IF(Inputs!$B$38="pvp",15,MAX(0.1,Skills!D11-IF(TRUE=TRUE,Inputs!$B$32,0)))*(1-IF(AND(ArtifactsInput!$M$27,Inputs!$B$4="Chapter Hunt"),CHOOSE(ArtifactsInput!$N$27+1,20,24,28,32,36,40),0)/100)))+1)),0)</f>
        <v/>
      </c>
      <c r="S1258">
        <f>IFERROR(O1258/N1258,0)</f>
        <v/>
      </c>
      <c r="T1258">
        <f>IF(C1258,(H1258*N1258*IF(AND(Inputs!$B$38&lt;&gt;"pvp",Inputs!$B$43&gt;0),((Skills!G11*((R1258-1)*IF(Skills!H11&gt;0,INT(Skills!I11/Skills!H11+0.000000001),1)+IF(Skills!H11&gt;0,INT(MIN(Skills!I11,MAX(0,MAX(0,Inputs!$B$43-B1283)-((R1258-1)*(IF(Inputs!$B$38="pvp",15,MAX(0.1,Skills!D11-IF(TRUE=TRUE,Inputs!$B$32,0)))*(1-IF(AND(ArtifactsInput!$M$27,Inputs!$B$4="Chapter Hunt"),CHOOSE(ArtifactsInput!$N$27+1,20,24,28,32,36,40),0)/100)))))/Skills!H11+0.000000001),1)))/Inputs!$B$43),G1258*Q1258))*IF(Inputs!$B$38="pvp",1,1+(Inputs!$B$20+0+Skills!P11+(((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INT(Skills!I11/Skills!H11+0.000000001),1)+IF(Skills!H11&gt;0,INT(MIN(Skills!I11,MAX(0,MAX(0,Inputs!$B$43-B1283)-((R1258-1)*(IF(Inputs!$B$38="pvp",15,MAX(0.1,Skills!D11-IF(TRUE=TRUE,Inputs!$B$32,0)))*(1-IF(AND(ArtifactsInput!$M$27,Inputs!$B$4="Chapter Hunt"),CHOOSE(ArtifactsInput!$N$27+1,20,24,28,32,36,40),0)/100)))))/Skills!H11+0.000000001),1)))/Inputs!$B$43),G1258*Q1258))*IF(Inputs!$B$38="pvp",1,(1+(Inputs!$B$21+Skills!Q11+(((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Skills!G13*IF(Skills!H13&gt;0,INT(IF(Inputs!$B$38="pvp",MIN(Skills!I13,15),Skills!I13)/Skills!H13+0.000000001),1)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Skills!G14*IF(Skills!H14&gt;0,INT(IF(Inputs!$B$38="pvp",MIN(Skills!I14,15),Skills!I14)/Skills!H14+0.000000001),1)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Skills!G15*IF(Skills!H15&gt;0,INT(IF(Inputs!$B$38="pvp",MIN(Skills!I15,15),Skills!I15)/Skills!H15+0.000000001),1)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IFERROR(1/(IF(Inputs!$B$38="pvp",15,MAX(0.1,Skills!D15-IF(TRUE=TRUE,Inputs!$B$32,0)))*(1-IF(AND(ArtifactsInput!$M$27,Inputs!$B$4="Chapter Hunt"),CHOOSE(ArtifactsInput!$N$27+1,20,24,28,32,36,40),0)/100)),0)</f>
        <v/>
      </c>
      <c r="R1262">
        <f>IF(AND(Inputs!$B$38&lt;&gt;"pvp",Inputs!$B$43&gt;0),IF(Inputs!$B$43&lt;=0,0,(INT(Inputs!$B$43/(IF(Inputs!$B$38="pvp",15,MAX(0.1,Skills!D15-IF(TRUE=TRUE,Inputs!$B$32,0)))*(1-IF(AND(ArtifactsInput!$M$27,Inputs!$B$4="Chapter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Skills!G16*IF(Skills!H16&gt;0,INT(IF(Inputs!$B$38="pvp",MIN(Skills!I16,15),Skills!I16)/Skills!H16+0.000000001),1)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IFERROR(1/(IF(Inputs!$B$38="pvp",15,MAX(0.1,Skills!D16-IF(TRUE=TRUE,Inputs!$B$32,0)))*(1-IF(AND(ArtifactsInput!$M$27,Inputs!$B$4="Chapter Hunt"),CHOOSE(ArtifactsInput!$N$27+1,20,24,28,32,36,40),0)/100)),0)</f>
        <v/>
      </c>
      <c r="R1263">
        <f>IF(AND(Inputs!$B$38&lt;&gt;"pvp",Inputs!$B$43&gt;0),IF(Inputs!$B$43&lt;=0,0,(INT(Inputs!$B$43/(IF(Inputs!$B$38="pvp",15,MAX(0.1,Skills!D16-IF(TRUE=TRUE,Inputs!$B$32,0)))*(1-IF(AND(ArtifactsInput!$M$27,Inputs!$B$4="Chapter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Skills!G17*IF(Skills!H17&gt;0,INT(IF(Inputs!$B$38="pvp",MIN(Skills!I17,15),Skills!I17)/Skills!H17+0.000000001),1)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IFERROR(1/(IF(Inputs!$B$38="pvp",15,MAX(0.1,Skills!D17-IF(TRUE=TRUE,Inputs!$B$32,0)))*(1-IF(AND(ArtifactsInput!$M$27,Inputs!$B$4="Chapter Hunt"),CHOOSE(ArtifactsInput!$N$27+1,20,24,28,32,36,40),0)/100)),0)</f>
        <v/>
      </c>
      <c r="R1264">
        <f>IF(AND(Inputs!$B$38&lt;&gt;"pvp",Inputs!$B$43&gt;0),IF(Inputs!$B$43&lt;=0,0,(INT(Inputs!$B$43/(IF(Inputs!$B$38="pvp",15,MAX(0.1,Skills!D17-IF(TRUE=TRUE,Inputs!$B$32,0)))*(1-IF(AND(ArtifactsInput!$M$27,Inputs!$B$4="Chapter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Skills!G18*IF(Skills!H18&gt;0,INT(IF(Inputs!$B$38="pvp",MIN(Skills!I18,15),Skills!I18)/Skills!H18+0.000000001),1)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IFERROR(1/(IF(Inputs!$B$38="pvp",15,MAX(0.1,Skills!D18-IF(TRUE=TRUE,Inputs!$B$32,0)))*(1-IF(AND(ArtifactsInput!$M$27,Inputs!$B$4="Chapter Hunt"),CHOOSE(ArtifactsInput!$N$27+1,20,24,28,32,36,40),0)/100)),0)</f>
        <v/>
      </c>
      <c r="R1265">
        <f>IF(AND(Inputs!$B$38&lt;&gt;"pvp",Inputs!$B$43&gt;0),IF(Inputs!$B$43&lt;=0,0,(INT(Inputs!$B$43/(IF(Inputs!$B$38="pvp",15,MAX(0.1,Skills!D18-IF(TRUE=TRUE,Inputs!$B$32,0)))*(1-IF(AND(ArtifactsInput!$M$27,Inputs!$B$4="Chapter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Skills!G19*IF(Skills!H19&gt;0,INT(IF(Inputs!$B$38="pvp",MIN(Skills!I19,15),Skills!I19)/Skills!H19+0.000000001),1)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IFERROR(1/(IF(Inputs!$B$38="pvp",15,MAX(0.1,Skills!D19-IF(TRUE=TRUE,Inputs!$B$32,0)))*(1-IF(AND(ArtifactsInput!$M$27,Inputs!$B$4="Chapter Hunt"),CHOOSE(ArtifactsInput!$N$27+1,20,24,28,32,36,40),0)/100)),0)</f>
        <v/>
      </c>
      <c r="R1266">
        <f>IF(AND(Inputs!$B$38&lt;&gt;"pvp",Inputs!$B$43&gt;0),IF(Inputs!$B$43&lt;=0,0,(INT(Inputs!$B$43/(IF(Inputs!$B$38="pvp",15,MAX(0.1,Skills!D19-IF(TRUE=TRUE,Inputs!$B$32,0)))*(1-IF(AND(ArtifactsInput!$M$27,Inputs!$B$4="Chapter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Skills!G20*IF(Skills!H20&gt;0,INT(IF(Inputs!$B$38="pvp",MIN(Skills!I20,15),Skills!I20)/Skills!H20+0.000000001),1)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Skills!G21*IF(Skills!H21&gt;0,INT(IF(Inputs!$B$38="pvp",MIN(Skills!I21,15),Skills!I21)/Skills!H21+0.000000001),1)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Skills!G22*IF(Skills!H22&gt;0,INT(IF(Inputs!$B$38="pvp",MIN(Skills!I22,15),Skills!I22)/Skills!H22+0.000000001),1)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Skills!G23*IF(Skills!H23&gt;0,INT(IF(Inputs!$B$38="pvp",MIN(Skills!I23,15),Skills!I23)/Skills!H23+0.000000001),1)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Skills!G24*IF(Skills!H24&gt;0,INT(IF(Inputs!$B$38="pvp",MIN(Skills!I24,15),Skills!I24)/Skills!H24+0.000000001),1)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Skills!G25*IF(Skills!H25&gt;0,INT(IF(Inputs!$B$38="pvp",MIN(Skills!I25,15),Skills!I25)/Skills!H25+0.000000001),1)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Skills!G26*IF(Skills!H26&gt;0,INT(IF(Inputs!$B$38="pvp",MIN(Skills!I26,15),Skills!I26)/Skills!H26+0.000000001),1)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MIN((Skills!T19*(1+(Inputs!$B$34+(IF(ArtifactsInput!$M$7,FALSE,TRUE)-ArtifactsInput!$M$7)*CHOOSE(ArtifactsInput!$N$7+1,6,7.2,8.4,9.6,10.8,12))/100)),(1/Q1266))+MIN((Skills!T19*(1+(Inputs!$B$34+(IF(ArtifactsInput!$M$7,FALSE,TRUE)-ArtifactsInput!$M$7)*CHOOSE(ArtifactsInput!$N$7+1,6,7.2,8.4,9.6,10.8,12))/100)),MAX(0,Inputs!$B$43-((R1266-1)*(1/Q1266)))))/Inputs!$B$43),IF(Inputs!$B$38="pvp",MIN((Skills!T19*(1+(Inputs!$B$34+(IF(ArtifactsInput!$M$7,FALSE,TRUE)-ArtifactsInput!$M$7)*CHOOSE(ArtifactsInput!$N$7+1,6,7.2,8.4,9.6,10.8,12))/100)),15)/15,MIN(1,(Skills!T19*(1+(Inputs!$B$34+(IF(ArtifactsInput!$M$7,FALSE,TRUE)-ArtifactsInput!$M$7)*CHOOSE(ArtifactsInput!$N$7+1,6,7.2,8.4,9.6,10.8,12))/100))/(1/Q1266)))))</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MIN((Skills!T18*(1+(Inputs!$B$34+(IF(ArtifactsInput!$M$7,FALSE,TRUE)-ArtifactsInput!$M$7)*CHOOSE(ArtifactsInput!$N$7+1,6,7.2,8.4,9.6,10.8,12))/100)),(1/Q1265))+MIN((Skills!T18*(1+(Inputs!$B$34+(IF(ArtifactsInput!$M$7,FALSE,TRUE)-ArtifactsInput!$M$7)*CHOOSE(ArtifactsInput!$N$7+1,6,7.2,8.4,9.6,10.8,12))/100)),MAX(0,Inputs!$B$43-((R1265-1)*(1/Q1265)))))/Inputs!$B$43),IF(Inputs!$B$38="pvp",MIN((Skills!T18*(1+(Inputs!$B$34+(IF(ArtifactsInput!$M$7,FALSE,TRUE)-ArtifactsInput!$M$7)*CHOOSE(ArtifactsInput!$N$7+1,6,7.2,8.4,9.6,10.8,12))/100)),15)/15,MIN(1,(Skills!T18*(1+(Inputs!$B$34+(IF(ArtifactsInput!$M$7,FALSE,TRUE)-ArtifactsInput!$M$7)*CHOOSE(ArtifactsInput!$N$7+1,6,7.2,8.4,9.6,10.8,12))/100))/(1/Q1265)))))</f>
        <v/>
      </c>
    </row>
    <row r="1282">
      <c r="A1282" t="inlineStr">
        <is>
          <t>Global Final Damage Bonus % (Enrage + Combo Synergy)</t>
        </is>
      </c>
      <c r="B1282">
        <f>((C1264=TRUE)*F1264*IF(AND(Inputs!$B$38&lt;&gt;"pvp",Inputs!$B$43&gt;0),(((R1264-1)*MIN((Skills!T17*(1+(Inputs!$B$34+(IF(ArtifactsInput!$M$7,FALSE,TRUE)-ArtifactsInput!$M$7)*CHOOSE(ArtifactsInput!$N$7+1,6,7.2,8.4,9.6,10.8,12))/100)),(1/Q1264))+MIN((Skills!T17*(1+(Inputs!$B$34+(IF(ArtifactsInput!$M$7,FALSE,TRUE)-ArtifactsInput!$M$7)*CHOOSE(ArtifactsInput!$N$7+1,6,7.2,8.4,9.6,10.8,12))/100)),MAX(0,Inputs!$B$43-((R1264-1)*(1/Q1264)))))/Inputs!$B$43),IF(Inputs!$B$38="pvp",MIN((Skills!T17*(1+(Inputs!$B$34+(IF(ArtifactsInput!$M$7,FALSE,TRUE)-ArtifactsInput!$M$7)*CHOOSE(ArtifactsInput!$N$7+1,6,7.2,8.4,9.6,10.8,12))/100)),15)/15,MIN(1,(Skills!T17*(1+(Inputs!$B$34+(IF(ArtifactsInput!$M$7,FALSE,TRUE)-ArtifactsInput!$M$7)*CHOOSE(ArtifactsInput!$N$7+1,6,7.2,8.4,9.6,10.8,12))/100))/(1/Q1264)))))+((C1261=TRUE)*F1261*IF(Inputs!$B$3&gt;=118,8,IF(Inputs!$B$3&gt;=110,7,5)))+IF(Inputs!$B$3&gt;=98,5,0)</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Skills!G2*IF(Skills!H2&gt;0,INT(IF(Inputs!$B$38="pvp",MIN(Skills!I2,15),Skills!I2)/Skills!H2+0.000000001),1)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Skills!G5*IF(Skills!H5&gt;0,INT(IF(Inputs!$B$38="pvp",MIN(Skills!I5,15),Skills!I5)/Skills!H5+0.000000001),1)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IFERROR(1/(IF(Inputs!$B$38="pvp",15,MAX(0.1,Skills!D5-IF(TRUE=TRUE,Inputs!$B$32,0)))*(1-IF(AND(ArtifactsInput!$M$27,Inputs!$B$4="Chapter Hunt"),CHOOSE(ArtifactsInput!$N$27+1,20,24,28,32,36,40),0)/100)),0)</f>
        <v/>
      </c>
      <c r="R1294">
        <f>IF(AND(Inputs!$B$38&lt;&gt;"pvp",Inputs!$B$43&gt;0),IF(MAX(0,Inputs!$B$43-B1325)&lt;=0,0,(INT(MAX(0,Inputs!$B$43-B1325)/(IF(Inputs!$B$38="pvp",15,MAX(0.1,Skills!D5-IF(TRUE=TRUE,Inputs!$B$32,0)))*(1-IF(AND(ArtifactsInput!$M$27,Inputs!$B$4="Chapter Hunt"),CHOOSE(ArtifactsInput!$N$27+1,20,24,28,32,36,40),0)/100)))+1)),0)</f>
        <v/>
      </c>
      <c r="S1294">
        <f>IFERROR(O1294/N1294,0)</f>
        <v/>
      </c>
      <c r="T1294">
        <f>IF(C1294,(H1294*N1294*IF(AND(Inputs!$B$38&lt;&gt;"pvp",Inputs!$B$43&gt;0),((Skills!G5*((R1294-1)*IF(Skills!H5&gt;0,INT(Skills!I5/Skills!H5+0.000000001),1)+IF(Skills!H5&gt;0,INT(MIN(Skills!I5,MAX(0,MAX(0,Inputs!$B$43-B1325)-((R1294-1)*(IF(Inputs!$B$38="pvp",15,MAX(0.1,Skills!D5-IF(TRUE=TRUE,Inputs!$B$32,0)))*(1-IF(AND(ArtifactsInput!$M$27,Inputs!$B$4="Chapter Hunt"),CHOOSE(ArtifactsInput!$N$27+1,20,24,28,32,36,40),0)/100)))))/Skills!H5+0.000000001),1)))/Inputs!$B$43),G1294*Q1294))*IF(Inputs!$B$38="pvp",1,1+(Inputs!$B$20+0+Skills!P5+(((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INT(Skills!I5/Skills!H5+0.000000001),1)+IF(Skills!H5&gt;0,INT(MIN(Skills!I5,MAX(0,MAX(0,Inputs!$B$43-B1325)-((R1294-1)*(IF(Inputs!$B$38="pvp",15,MAX(0.1,Skills!D5-IF(TRUE=TRUE,Inputs!$B$32,0)))*(1-IF(AND(ArtifactsInput!$M$27,Inputs!$B$4="Chapter Hunt"),CHOOSE(ArtifactsInput!$N$27+1,20,24,28,32,36,40),0)/100)))))/Skills!H5+0.000000001),1)))/Inputs!$B$43),G1294*Q1294))*IF(Inputs!$B$38="pvp",1,(1+(Inputs!$B$21+Skills!Q5+(((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Skills!G6*IF(Skills!H6&gt;0,INT(IF(Inputs!$B$38="pvp",MIN(Skills!I6,15),Skills!I6)/Skills!H6+0.000000001),1)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IFERROR(1/(IF(Inputs!$B$38="pvp",15,MAX(0.1,Skills!D6-IF(TRUE=TRUE,Inputs!$B$32,0)))*(1-IF(AND(ArtifactsInput!$M$27,Inputs!$B$4="Chapter Hunt"),CHOOSE(ArtifactsInput!$N$27+1,20,24,28,32,36,40),0)/100)),0)</f>
        <v/>
      </c>
      <c r="R1295">
        <f>IF(AND(Inputs!$B$38&lt;&gt;"pvp",Inputs!$B$43&gt;0),IF(MAX(0,Inputs!$B$43-B1325)&lt;=0,0,(INT(MAX(0,Inputs!$B$43-B1325)/(IF(Inputs!$B$38="pvp",15,MAX(0.1,Skills!D6-IF(TRUE=TRUE,Inputs!$B$32,0)))*(1-IF(AND(ArtifactsInput!$M$27,Inputs!$B$4="Chapter Hunt"),CHOOSE(ArtifactsInput!$N$27+1,20,24,28,32,36,40),0)/100)))+1)),0)</f>
        <v/>
      </c>
      <c r="S1295">
        <f>IFERROR(O1295/N1295,0)</f>
        <v/>
      </c>
      <c r="T1295">
        <f>IF(C1295,(H1295*N1295*IF(AND(Inputs!$B$38&lt;&gt;"pvp",Inputs!$B$43&gt;0),((Skills!G6*((R1295-1)*IF(Skills!H6&gt;0,INT(Skills!I6/Skills!H6+0.000000001),1)+IF(Skills!H6&gt;0,INT(MIN(Skills!I6,MAX(0,MAX(0,Inputs!$B$43-B1325)-((R1295-1)*(IF(Inputs!$B$38="pvp",15,MAX(0.1,Skills!D6-IF(TRUE=TRUE,Inputs!$B$32,0)))*(1-IF(AND(ArtifactsInput!$M$27,Inputs!$B$4="Chapter Hunt"),CHOOSE(ArtifactsInput!$N$27+1,20,24,28,32,36,40),0)/100)))))/Skills!H6+0.000000001),1)))/Inputs!$B$43),G1295*Q1295))*IF(Inputs!$B$38="pvp",1,1+(Inputs!$B$20+0+Skills!P6+(((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INT(Skills!I6/Skills!H6+0.000000001),1)+IF(Skills!H6&gt;0,INT(MIN(Skills!I6,MAX(0,MAX(0,Inputs!$B$43-B1325)-((R1295-1)*(IF(Inputs!$B$38="pvp",15,MAX(0.1,Skills!D6-IF(TRUE=TRUE,Inputs!$B$32,0)))*(1-IF(AND(ArtifactsInput!$M$27,Inputs!$B$4="Chapter Hunt"),CHOOSE(ArtifactsInput!$N$27+1,20,24,28,32,36,40),0)/100)))))/Skills!H6+0.000000001),1)))/Inputs!$B$43),G1295*Q1295))*IF(Inputs!$B$38="pvp",1,(1+(Inputs!$B$21+Skills!Q6+(((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Skills!G7*IF(Skills!H7&gt;0,INT(IF(Inputs!$B$38="pvp",MIN(Skills!I7,15),Skills!I7)/Skills!H7+0.000000001),1)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IFERROR(1/(IF(Inputs!$B$38="pvp",15,MAX(0.1,Skills!D7-IF(TRUE=TRUE,Inputs!$B$32,0)))*(1-IF(AND(ArtifactsInput!$M$27,Inputs!$B$4="Chapter Hunt"),CHOOSE(ArtifactsInput!$N$27+1,20,24,28,32,36,40),0)/100)),0)</f>
        <v/>
      </c>
      <c r="R1296">
        <f>IF(AND(Inputs!$B$38&lt;&gt;"pvp",Inputs!$B$43&gt;0),IF(MAX(0,Inputs!$B$43-B1325)&lt;=0,0,(INT(MAX(0,Inputs!$B$43-B1325)/(IF(Inputs!$B$38="pvp",15,MAX(0.1,Skills!D7-IF(TRUE=TRUE,Inputs!$B$32,0)))*(1-IF(AND(ArtifactsInput!$M$27,Inputs!$B$4="Chapter Hunt"),CHOOSE(ArtifactsInput!$N$27+1,20,24,28,32,36,40),0)/100)))+1)),0)</f>
        <v/>
      </c>
      <c r="S1296">
        <f>IFERROR(O1296/N1296,0)</f>
        <v/>
      </c>
      <c r="T1296">
        <f>IF(C1296,(H1296*N1296*IF(AND(Inputs!$B$38&lt;&gt;"pvp",Inputs!$B$43&gt;0),((Skills!G7*((R1296-1)*IF(Skills!H7&gt;0,INT(Skills!I7/Skills!H7+0.000000001),1)+IF(Skills!H7&gt;0,INT(MIN(Skills!I7,MAX(0,MAX(0,Inputs!$B$43-B1325)-((R1296-1)*(IF(Inputs!$B$38="pvp",15,MAX(0.1,Skills!D7-IF(TRUE=TRUE,Inputs!$B$32,0)))*(1-IF(AND(ArtifactsInput!$M$27,Inputs!$B$4="Chapter Hunt"),CHOOSE(ArtifactsInput!$N$27+1,20,24,28,32,36,40),0)/100)))))/Skills!H7+0.000000001),1)))/Inputs!$B$43),G1296*Q1296))*IF(Inputs!$B$38="pvp",1,1+(Inputs!$B$20+0+Skills!P7+(((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INT(Skills!I7/Skills!H7+0.000000001),1)+IF(Skills!H7&gt;0,INT(MIN(Skills!I7,MAX(0,MAX(0,Inputs!$B$43-B1325)-((R1296-1)*(IF(Inputs!$B$38="pvp",15,MAX(0.1,Skills!D7-IF(TRUE=TRUE,Inputs!$B$32,0)))*(1-IF(AND(ArtifactsInput!$M$27,Inputs!$B$4="Chapter Hunt"),CHOOSE(ArtifactsInput!$N$27+1,20,24,28,32,36,40),0)/100)))))/Skills!H7+0.000000001),1)))/Inputs!$B$43),G1296*Q1296))*IF(Inputs!$B$38="pvp",1,(1+(Inputs!$B$21+Skills!Q7+(((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Skills!G8*IF(Skills!H8&gt;0,INT(IF(Inputs!$B$38="pvp",MIN(Skills!I8,15),Skills!I8)/Skills!H8+0.000000001),1)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IFERROR(1/(IF(Inputs!$B$38="pvp",15,MAX(0.1,Skills!D8-IF(TRUE=TRUE,Inputs!$B$32,0)))*(1-IF(AND(ArtifactsInput!$M$27,Inputs!$B$4="Chapter Hunt"),CHOOSE(ArtifactsInput!$N$27+1,20,24,28,32,36,40),0)/100)),0)</f>
        <v/>
      </c>
      <c r="R1297">
        <f>IF(AND(Inputs!$B$38&lt;&gt;"pvp",Inputs!$B$43&gt;0),IF(MAX(0,Inputs!$B$43-B1325)&lt;=0,0,(INT(MAX(0,Inputs!$B$43-B1325)/(IF(Inputs!$B$38="pvp",15,MAX(0.1,Skills!D8-IF(TRUE=TRUE,Inputs!$B$32,0)))*(1-IF(AND(ArtifactsInput!$M$27,Inputs!$B$4="Chapter Hunt"),CHOOSE(ArtifactsInput!$N$27+1,20,24,28,32,36,40),0)/100)))+1)),0)</f>
        <v/>
      </c>
      <c r="S1297">
        <f>IFERROR(O1297/N1297,0)</f>
        <v/>
      </c>
      <c r="T1297">
        <f>IF(C1297,(H1297*N1297*IF(AND(Inputs!$B$38&lt;&gt;"pvp",Inputs!$B$43&gt;0),((Skills!G8*((R1297-1)*IF(Skills!H8&gt;0,INT(Skills!I8/Skills!H8+0.000000001),1)+IF(Skills!H8&gt;0,INT(MIN(Skills!I8,MAX(0,MAX(0,Inputs!$B$43-B1325)-((R1297-1)*(IF(Inputs!$B$38="pvp",15,MAX(0.1,Skills!D8-IF(TRUE=TRUE,Inputs!$B$32,0)))*(1-IF(AND(ArtifactsInput!$M$27,Inputs!$B$4="Chapter Hunt"),CHOOSE(ArtifactsInput!$N$27+1,20,24,28,32,36,40),0)/100)))))/Skills!H8+0.000000001),1)))/Inputs!$B$43),G1297*Q1297))*IF(Inputs!$B$38="pvp",1,1+(Inputs!$B$20+0+Skills!P8+(((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INT(Skills!I8/Skills!H8+0.000000001),1)+IF(Skills!H8&gt;0,INT(MIN(Skills!I8,MAX(0,MAX(0,Inputs!$B$43-B1325)-((R1297-1)*(IF(Inputs!$B$38="pvp",15,MAX(0.1,Skills!D8-IF(TRUE=TRUE,Inputs!$B$32,0)))*(1-IF(AND(ArtifactsInput!$M$27,Inputs!$B$4="Chapter Hunt"),CHOOSE(ArtifactsInput!$N$27+1,20,24,28,32,36,40),0)/100)))))/Skills!H8+0.000000001),1)))/Inputs!$B$43),G1297*Q1297))*IF(Inputs!$B$38="pvp",1,(1+(Inputs!$B$21+Skills!Q8+(((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Skills!G9*IF(Skills!H9&gt;0,INT(IF(Inputs!$B$38="pvp",MIN(Skills!I9,15),Skills!I9)/Skills!H9+0.000000001),1)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138,MAX(0,IF(Inputs!$B$3&gt;=118,8,IF(Inputs!$B$3&gt;=110,7,5))-5)*50,0),0)/100)*(1+(IF(Skills!A9="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IFERROR(1/(IF(Inputs!$B$38="pvp",15,MAX(0.1,Skills!D9-IF(TRUE=TRUE,Inputs!$B$32,0)))*(1-IF(AND(ArtifactsInput!$M$27,Inputs!$B$4="Chapter Hunt"),CHOOSE(ArtifactsInput!$N$27+1,20,24,28,32,36,40),0)/100)),0)</f>
        <v/>
      </c>
      <c r="R1298">
        <f>IF(AND(Inputs!$B$38&lt;&gt;"pvp",Inputs!$B$43&gt;0),IF(MAX(0,Inputs!$B$43-B1325)&lt;=0,0,(INT(MAX(0,Inputs!$B$43-B1325)/(IF(Inputs!$B$38="pvp",15,MAX(0.1,Skills!D9-IF(TRUE=TRUE,Inputs!$B$32,0)))*(1-IF(AND(ArtifactsInput!$M$27,Inputs!$B$4="Chapter Hunt"),CHOOSE(ArtifactsInput!$N$27+1,20,24,28,32,36,40),0)/100)))+1)),0)</f>
        <v/>
      </c>
      <c r="S1298">
        <f>IFERROR(O1298/N1298,0)</f>
        <v/>
      </c>
      <c r="T1298">
        <f>IF(C1298,(H1298*N1298*IF(AND(Inputs!$B$38&lt;&gt;"pvp",Inputs!$B$43&gt;0),((Skills!G9*((R1298-1)*IF(Skills!H9&gt;0,INT(Skills!I9/Skills!H9+0.000000001),1)+IF(Skills!H9&gt;0,INT(MIN(Skills!I9,MAX(0,MAX(0,Inputs!$B$43-B1325)-((R1298-1)*(IF(Inputs!$B$38="pvp",15,MAX(0.1,Skills!D9-IF(TRUE=TRUE,Inputs!$B$32,0)))*(1-IF(AND(ArtifactsInput!$M$27,Inputs!$B$4="Chapter Hunt"),CHOOSE(ArtifactsInput!$N$27+1,20,24,28,32,36,40),0)/100)))))/Skills!H9+0.000000001),1)))/Inputs!$B$43),G1298*Q1298))*IF(Inputs!$B$38="pvp",1,1+(Inputs!$B$20+0+Skills!P9+(((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INT(Skills!I9/Skills!H9+0.000000001),1)+IF(Skills!H9&gt;0,INT(MIN(Skills!I9,MAX(0,MAX(0,Inputs!$B$43-B1325)-((R1298-1)*(IF(Inputs!$B$38="pvp",15,MAX(0.1,Skills!D9-IF(TRUE=TRUE,Inputs!$B$32,0)))*(1-IF(AND(ArtifactsInput!$M$27,Inputs!$B$4="Chapter Hunt"),CHOOSE(ArtifactsInput!$N$27+1,20,24,28,32,36,40),0)/100)))))/Skills!H9+0.000000001),1)))/Inputs!$B$43),G1298*Q1298))*IF(Inputs!$B$38="pvp",1,(1+(Inputs!$B$21+Skills!Q9+(((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Skills!G10*IF(Skills!H10&gt;0,INT(IF(Inputs!$B$38="pvp",MIN(Skills!I10,15),Skills!I10)/Skills!H10+0.000000001),1)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138,MAX(0,IF(Inputs!$B$3&gt;=118,8,IF(Inputs!$B$3&gt;=110,7,5))-5)*50,0),0)/100)*(1+(IF(Skills!A10="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IFERROR(1/(IF(Inputs!$B$38="pvp",15,MAX(0.1,Skills!D10-IF(TRUE=TRUE,Inputs!$B$32,0)))*(1-IF(AND(ArtifactsInput!$M$27,Inputs!$B$4="Chapter Hunt"),CHOOSE(ArtifactsInput!$N$27+1,20,24,28,32,36,40),0)/100)),0)</f>
        <v/>
      </c>
      <c r="R1299">
        <f>IF(AND(Inputs!$B$38&lt;&gt;"pvp",Inputs!$B$43&gt;0),IF(MAX(0,Inputs!$B$43-B1325)&lt;=0,0,(INT(MAX(0,Inputs!$B$43-B1325)/(IF(Inputs!$B$38="pvp",15,MAX(0.1,Skills!D10-IF(TRUE=TRUE,Inputs!$B$32,0)))*(1-IF(AND(ArtifactsInput!$M$27,Inputs!$B$4="Chapter Hunt"),CHOOSE(ArtifactsInput!$N$27+1,20,24,28,32,36,40),0)/100)))+1)),0)</f>
        <v/>
      </c>
      <c r="S1299">
        <f>IFERROR(O1299/N1299,0)</f>
        <v/>
      </c>
      <c r="T1299">
        <f>IF(C1299,(H1299*N1299*IF(AND(Inputs!$B$38&lt;&gt;"pvp",Inputs!$B$43&gt;0),((Skills!G10*((R1299-1)*IF(Skills!H10&gt;0,INT(Skills!I10/Skills!H10+0.000000001),1)+IF(Skills!H10&gt;0,INT(MIN(Skills!I10,MAX(0,MAX(0,Inputs!$B$43-B1325)-((R1299-1)*(IF(Inputs!$B$38="pvp",15,MAX(0.1,Skills!D10-IF(TRUE=TRUE,Inputs!$B$32,0)))*(1-IF(AND(ArtifactsInput!$M$27,Inputs!$B$4="Chapter Hunt"),CHOOSE(ArtifactsInput!$N$27+1,20,24,28,32,36,40),0)/100)))))/Skills!H10+0.000000001),1)))/Inputs!$B$43),G1299*Q1299))*IF(Inputs!$B$38="pvp",1,1+(Inputs!$B$20+0+Skills!P10+(((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INT(Skills!I10/Skills!H10+0.000000001),1)+IF(Skills!H10&gt;0,INT(MIN(Skills!I10,MAX(0,MAX(0,Inputs!$B$43-B1325)-((R1299-1)*(IF(Inputs!$B$38="pvp",15,MAX(0.1,Skills!D10-IF(TRUE=TRUE,Inputs!$B$32,0)))*(1-IF(AND(ArtifactsInput!$M$27,Inputs!$B$4="Chapter Hunt"),CHOOSE(ArtifactsInput!$N$27+1,20,24,28,32,36,40),0)/100)))))/Skills!H10+0.000000001),1)))/Inputs!$B$43),G1299*Q1299))*IF(Inputs!$B$38="pvp",1,(1+(Inputs!$B$21+Skills!Q10+(((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Skills!G11*IF(Skills!H11&gt;0,INT(IF(Inputs!$B$38="pvp",MIN(Skills!I11,15),Skills!I11)/Skills!H11+0.000000001),1)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138,MAX(0,IF(Inputs!$B$3&gt;=118,8,IF(Inputs!$B$3&gt;=110,7,5))-5)*50,0),0)/100)*(1+(IF(Skills!A11="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IFERROR(1/(IF(Inputs!$B$38="pvp",15,MAX(0.1,Skills!D11-IF(TRUE=TRUE,Inputs!$B$32,0)))*(1-IF(AND(ArtifactsInput!$M$27,Inputs!$B$4="Chapter Hunt"),CHOOSE(ArtifactsInput!$N$27+1,20,24,28,32,36,40),0)/100)),0)</f>
        <v/>
      </c>
      <c r="R1300">
        <f>IF(AND(Inputs!$B$38&lt;&gt;"pvp",Inputs!$B$43&gt;0),IF(MAX(0,Inputs!$B$43-B1325)&lt;=0,0,(INT(MAX(0,Inputs!$B$43-B1325)/(IF(Inputs!$B$38="pvp",15,MAX(0.1,Skills!D11-IF(TRUE=TRUE,Inputs!$B$32,0)))*(1-IF(AND(ArtifactsInput!$M$27,Inputs!$B$4="Chapter Hunt"),CHOOSE(ArtifactsInput!$N$27+1,20,24,28,32,36,40),0)/100)))+1)),0)</f>
        <v/>
      </c>
      <c r="S1300">
        <f>IFERROR(O1300/N1300,0)</f>
        <v/>
      </c>
      <c r="T1300">
        <f>IF(C1300,(H1300*N1300*IF(AND(Inputs!$B$38&lt;&gt;"pvp",Inputs!$B$43&gt;0),((Skills!G11*((R1300-1)*IF(Skills!H11&gt;0,INT(Skills!I11/Skills!H11+0.000000001),1)+IF(Skills!H11&gt;0,INT(MIN(Skills!I11,MAX(0,MAX(0,Inputs!$B$43-B1325)-((R1300-1)*(IF(Inputs!$B$38="pvp",15,MAX(0.1,Skills!D11-IF(TRUE=TRUE,Inputs!$B$32,0)))*(1-IF(AND(ArtifactsInput!$M$27,Inputs!$B$4="Chapter Hunt"),CHOOSE(ArtifactsInput!$N$27+1,20,24,28,32,36,40),0)/100)))))/Skills!H11+0.000000001),1)))/Inputs!$B$43),G1300*Q1300))*IF(Inputs!$B$38="pvp",1,1+(Inputs!$B$20+0+Skills!P11+(((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INT(Skills!I11/Skills!H11+0.000000001),1)+IF(Skills!H11&gt;0,INT(MIN(Skills!I11,MAX(0,MAX(0,Inputs!$B$43-B1325)-((R1300-1)*(IF(Inputs!$B$38="pvp",15,MAX(0.1,Skills!D11-IF(TRUE=TRUE,Inputs!$B$32,0)))*(1-IF(AND(ArtifactsInput!$M$27,Inputs!$B$4="Chapter Hunt"),CHOOSE(ArtifactsInput!$N$27+1,20,24,28,32,36,40),0)/100)))))/Skills!H11+0.000000001),1)))/Inputs!$B$43),G1300*Q1300))*IF(Inputs!$B$38="pvp",1,(1+(Inputs!$B$21+Skills!Q11+(((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Skills!G13*IF(Skills!H13&gt;0,INT(IF(Inputs!$B$38="pvp",MIN(Skills!I13,15),Skills!I13)/Skills!H13+0.000000001),1)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Skills!G14*IF(Skills!H14&gt;0,INT(IF(Inputs!$B$38="pvp",MIN(Skills!I14,15),Skills!I14)/Skills!H14+0.000000001),1)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Skills!G15*IF(Skills!H15&gt;0,INT(IF(Inputs!$B$38="pvp",MIN(Skills!I15,15),Skills!I15)/Skills!H15+0.000000001),1)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IFERROR(1/(IF(Inputs!$B$38="pvp",15,MAX(0.1,Skills!D15-IF(TRUE=TRUE,Inputs!$B$32,0)))*(1-IF(AND(ArtifactsInput!$M$27,Inputs!$B$4="Chapter Hunt"),CHOOSE(ArtifactsInput!$N$27+1,20,24,28,32,36,40),0)/100)),0)</f>
        <v/>
      </c>
      <c r="R1304">
        <f>IF(AND(Inputs!$B$38&lt;&gt;"pvp",Inputs!$B$43&gt;0),IF(Inputs!$B$43&lt;=0,0,(INT(Inputs!$B$43/(IF(Inputs!$B$38="pvp",15,MAX(0.1,Skills!D15-IF(TRUE=TRUE,Inputs!$B$32,0)))*(1-IF(AND(ArtifactsInput!$M$27,Inputs!$B$4="Chapter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Skills!G16*IF(Skills!H16&gt;0,INT(IF(Inputs!$B$38="pvp",MIN(Skills!I16,15),Skills!I16)/Skills!H16+0.000000001),1)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IFERROR(1/(IF(Inputs!$B$38="pvp",15,MAX(0.1,Skills!D16-IF(TRUE=TRUE,Inputs!$B$32,0)))*(1-IF(AND(ArtifactsInput!$M$27,Inputs!$B$4="Chapter Hunt"),CHOOSE(ArtifactsInput!$N$27+1,20,24,28,32,36,40),0)/100)),0)</f>
        <v/>
      </c>
      <c r="R1305">
        <f>IF(AND(Inputs!$B$38&lt;&gt;"pvp",Inputs!$B$43&gt;0),IF(Inputs!$B$43&lt;=0,0,(INT(Inputs!$B$43/(IF(Inputs!$B$38="pvp",15,MAX(0.1,Skills!D16-IF(TRUE=TRUE,Inputs!$B$32,0)))*(1-IF(AND(ArtifactsInput!$M$27,Inputs!$B$4="Chapter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Skills!G17*IF(Skills!H17&gt;0,INT(IF(Inputs!$B$38="pvp",MIN(Skills!I17,15),Skills!I17)/Skills!H17+0.000000001),1)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IFERROR(1/(IF(Inputs!$B$38="pvp",15,MAX(0.1,Skills!D17-IF(TRUE=TRUE,Inputs!$B$32,0)))*(1-IF(AND(ArtifactsInput!$M$27,Inputs!$B$4="Chapter Hunt"),CHOOSE(ArtifactsInput!$N$27+1,20,24,28,32,36,40),0)/100)),0)</f>
        <v/>
      </c>
      <c r="R1306">
        <f>IF(AND(Inputs!$B$38&lt;&gt;"pvp",Inputs!$B$43&gt;0),IF(Inputs!$B$43&lt;=0,0,(INT(Inputs!$B$43/(IF(Inputs!$B$38="pvp",15,MAX(0.1,Skills!D17-IF(TRUE=TRUE,Inputs!$B$32,0)))*(1-IF(AND(ArtifactsInput!$M$27,Inputs!$B$4="Chapter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Skills!G18*IF(Skills!H18&gt;0,INT(IF(Inputs!$B$38="pvp",MIN(Skills!I18,15),Skills!I18)/Skills!H18+0.000000001),1)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IFERROR(1/(IF(Inputs!$B$38="pvp",15,MAX(0.1,Skills!D18-IF(TRUE=TRUE,Inputs!$B$32,0)))*(1-IF(AND(ArtifactsInput!$M$27,Inputs!$B$4="Chapter Hunt"),CHOOSE(ArtifactsInput!$N$27+1,20,24,28,32,36,40),0)/100)),0)</f>
        <v/>
      </c>
      <c r="R1307">
        <f>IF(AND(Inputs!$B$38&lt;&gt;"pvp",Inputs!$B$43&gt;0),IF(Inputs!$B$43&lt;=0,0,(INT(Inputs!$B$43/(IF(Inputs!$B$38="pvp",15,MAX(0.1,Skills!D18-IF(TRUE=TRUE,Inputs!$B$32,0)))*(1-IF(AND(ArtifactsInput!$M$27,Inputs!$B$4="Chapter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Skills!G19*IF(Skills!H19&gt;0,INT(IF(Inputs!$B$38="pvp",MIN(Skills!I19,15),Skills!I19)/Skills!H19+0.000000001),1)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IFERROR(1/(IF(Inputs!$B$38="pvp",15,MAX(0.1,Skills!D19-IF(TRUE=TRUE,Inputs!$B$32,0)))*(1-IF(AND(ArtifactsInput!$M$27,Inputs!$B$4="Chapter Hunt"),CHOOSE(ArtifactsInput!$N$27+1,20,24,28,32,36,40),0)/100)),0)</f>
        <v/>
      </c>
      <c r="R1308">
        <f>IF(AND(Inputs!$B$38&lt;&gt;"pvp",Inputs!$B$43&gt;0),IF(Inputs!$B$43&lt;=0,0,(INT(Inputs!$B$43/(IF(Inputs!$B$38="pvp",15,MAX(0.1,Skills!D19-IF(TRUE=TRUE,Inputs!$B$32,0)))*(1-IF(AND(ArtifactsInput!$M$27,Inputs!$B$4="Chapter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Skills!G20*IF(Skills!H20&gt;0,INT(IF(Inputs!$B$38="pvp",MIN(Skills!I20,15),Skills!I20)/Skills!H20+0.000000001),1)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Skills!G21*IF(Skills!H21&gt;0,INT(IF(Inputs!$B$38="pvp",MIN(Skills!I21,15),Skills!I21)/Skills!H21+0.000000001),1)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Skills!G22*IF(Skills!H22&gt;0,INT(IF(Inputs!$B$38="pvp",MIN(Skills!I22,15),Skills!I22)/Skills!H22+0.000000001),1)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Skills!G23*IF(Skills!H23&gt;0,INT(IF(Inputs!$B$38="pvp",MIN(Skills!I23,15),Skills!I23)/Skills!H23+0.000000001),1)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Skills!G24*IF(Skills!H24&gt;0,INT(IF(Inputs!$B$38="pvp",MIN(Skills!I24,15),Skills!I24)/Skills!H24+0.000000001),1)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Skills!G25*IF(Skills!H25&gt;0,INT(IF(Inputs!$B$38="pvp",MIN(Skills!I25,15),Skills!I25)/Skills!H25+0.000000001),1)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Skills!G26*IF(Skills!H26&gt;0,INT(IF(Inputs!$B$38="pvp",MIN(Skills!I26,15),Skills!I26)/Skills!H26+0.000000001),1)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MIN((Skills!T19*(1+(Inputs!$B$34+(ArtifactsInput!$M$7-ArtifactsInput!$M$7)*CHOOSE(ArtifactsInput!$N$7+1,6,7.2,8.4,9.6,10.8,12))/100)),(1/Q1308))+MIN((Skills!T19*(1+(Inputs!$B$34+(ArtifactsInput!$M$7-ArtifactsInput!$M$7)*CHOOSE(ArtifactsInput!$N$7+1,6,7.2,8.4,9.6,10.8,12))/100)),MAX(0,Inputs!$B$43-((R1308-1)*(1/Q1308)))))/Inputs!$B$43),IF(Inputs!$B$38="pvp",MIN((Skills!T19*(1+(Inputs!$B$34+(ArtifactsInput!$M$7-ArtifactsInput!$M$7)*CHOOSE(ArtifactsInput!$N$7+1,6,7.2,8.4,9.6,10.8,12))/100)),15)/15,MIN(1,(Skills!T19*(1+(Inputs!$B$34+(ArtifactsInput!$M$7-ArtifactsInput!$M$7)*CHOOSE(ArtifactsInput!$N$7+1,6,7.2,8.4,9.6,10.8,12))/100))/(1/Q1308)))))</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MIN((Skills!T18*(1+(Inputs!$B$34+(ArtifactsInput!$M$7-ArtifactsInput!$M$7)*CHOOSE(ArtifactsInput!$N$7+1,6,7.2,8.4,9.6,10.8,12))/100)),(1/Q1307))+MIN((Skills!T18*(1+(Inputs!$B$34+(ArtifactsInput!$M$7-ArtifactsInput!$M$7)*CHOOSE(ArtifactsInput!$N$7+1,6,7.2,8.4,9.6,10.8,12))/100)),MAX(0,Inputs!$B$43-((R1307-1)*(1/Q1307)))))/Inputs!$B$43),IF(Inputs!$B$38="pvp",MIN((Skills!T18*(1+(Inputs!$B$34+(ArtifactsInput!$M$7-ArtifactsInput!$M$7)*CHOOSE(ArtifactsInput!$N$7+1,6,7.2,8.4,9.6,10.8,12))/100)),15)/15,MIN(1,(Skills!T18*(1+(Inputs!$B$34+(ArtifactsInput!$M$7-ArtifactsInput!$M$7)*CHOOSE(ArtifactsInput!$N$7+1,6,7.2,8.4,9.6,10.8,12))/100))/(1/Q1307)))))</f>
        <v/>
      </c>
    </row>
    <row r="1324">
      <c r="A1324" t="inlineStr">
        <is>
          <t>Global Final Damage Bonus % (Enrage + Combo Synergy)</t>
        </is>
      </c>
      <c r="B1324">
        <f>((C1306=TRUE)*F1306*IF(AND(Inputs!$B$38&lt;&gt;"pvp",Inputs!$B$43&gt;0),(((R1306-1)*MIN((Skills!T17*(1+(Inputs!$B$34+(ArtifactsInput!$M$7-ArtifactsInput!$M$7)*CHOOSE(ArtifactsInput!$N$7+1,6,7.2,8.4,9.6,10.8,12))/100)),(1/Q1306))+MIN((Skills!T17*(1+(Inputs!$B$34+(ArtifactsInput!$M$7-ArtifactsInput!$M$7)*CHOOSE(ArtifactsInput!$N$7+1,6,7.2,8.4,9.6,10.8,12))/100)),MAX(0,Inputs!$B$43-((R1306-1)*(1/Q1306)))))/Inputs!$B$43),IF(Inputs!$B$38="pvp",MIN((Skills!T17*(1+(Inputs!$B$34+(ArtifactsInput!$M$7-ArtifactsInput!$M$7)*CHOOSE(ArtifactsInput!$N$7+1,6,7.2,8.4,9.6,10.8,12))/100)),15)/15,MIN(1,(Skills!T17*(1+(Inputs!$B$34+(ArtifactsInput!$M$7-ArtifactsInput!$M$7)*CHOOSE(ArtifactsInput!$N$7+1,6,7.2,8.4,9.6,10.8,12))/100))/(1/Q1306)))))+((C1303=TRUE)*F1303*IF(Inputs!$B$3&gt;=118,8,IF(Inputs!$B$3&gt;=110,7,5)))+IF(Inputs!$B$3&gt;=98,5,0)</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Skills!G2*IF(Skills!H2&gt;0,INT(IF(Inputs!$B$38="pvp",MIN(Skills!I2,15),Skills!I2)/Skills!H2+0.000000001),1)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Skills!G5*IF(Skills!H5&gt;0,INT(IF(Inputs!$B$38="pvp",MIN(Skills!I5,15),Skills!I5)/Skills!H5+0.000000001),1)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IFERROR(1/(IF(Inputs!$B$38="pvp",15,MAX(0.1,Skills!D5-IF(TRUE=TRUE,Inputs!$B$32,0)))*(1-IF(AND(ArtifactsInput!$M$27,Inputs!$B$4="Chapter Hunt"),CHOOSE(ArtifactsInput!$N$27+1,20,24,28,32,36,40),0)/100)),0)</f>
        <v/>
      </c>
      <c r="R1336">
        <f>IF(AND(Inputs!$B$38&lt;&gt;"pvp",Inputs!$B$43&gt;0),IF(MAX(0,Inputs!$B$43-B1367)&lt;=0,0,(INT(MAX(0,Inputs!$B$43-B1367)/(IF(Inputs!$B$38="pvp",15,MAX(0.1,Skills!D5-IF(TRUE=TRUE,Inputs!$B$32,0)))*(1-IF(AND(ArtifactsInput!$M$27,Inputs!$B$4="Chapter Hunt"),CHOOSE(ArtifactsInput!$N$27+1,20,24,28,32,36,40),0)/100)))+1)),0)</f>
        <v/>
      </c>
      <c r="S1336">
        <f>IFERROR(O1336/N1336,0)</f>
        <v/>
      </c>
      <c r="T1336">
        <f>IF(C1336,(H1336*N1336*IF(AND(Inputs!$B$38&lt;&gt;"pvp",Inputs!$B$43&gt;0),((Skills!G5*((R1336-1)*IF(Skills!H5&gt;0,INT(Skills!I5/Skills!H5+0.000000001),1)+IF(Skills!H5&gt;0,INT(MIN(Skills!I5,MAX(0,MAX(0,Inputs!$B$43-B1367)-((R1336-1)*(IF(Inputs!$B$38="pvp",15,MAX(0.1,Skills!D5-IF(TRUE=TRUE,Inputs!$B$32,0)))*(1-IF(AND(ArtifactsInput!$M$27,Inputs!$B$4="Chapter Hunt"),CHOOSE(ArtifactsInput!$N$27+1,20,24,28,32,36,40),0)/100)))))/Skills!H5+0.000000001),1)))/Inputs!$B$43),G1336*Q1336))*IF(Inputs!$B$38="pvp",1,1+(Inputs!$B$20+0+Skills!P5+(((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INT(Skills!I5/Skills!H5+0.000000001),1)+IF(Skills!H5&gt;0,INT(MIN(Skills!I5,MAX(0,MAX(0,Inputs!$B$43-B1367)-((R1336-1)*(IF(Inputs!$B$38="pvp",15,MAX(0.1,Skills!D5-IF(TRUE=TRUE,Inputs!$B$32,0)))*(1-IF(AND(ArtifactsInput!$M$27,Inputs!$B$4="Chapter Hunt"),CHOOSE(ArtifactsInput!$N$27+1,20,24,28,32,36,40),0)/100)))))/Skills!H5+0.000000001),1)))/Inputs!$B$43),G1336*Q1336))*IF(Inputs!$B$38="pvp",1,(1+(Inputs!$B$21+Skills!Q5+(((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Skills!G6*IF(Skills!H6&gt;0,INT(IF(Inputs!$B$38="pvp",MIN(Skills!I6,15),Skills!I6)/Skills!H6+0.000000001),1)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INT(Skills!I6/Skills!H6+0.000000001),1)+IF(Skills!H6&gt;0,INT(MIN(Skills!I6,MAX(0,MAX(0,Inputs!$B$43-B1367)-((R1337-1)*(IF(Inputs!$B$38="pvp",15,MAX(0.1,Skills!D6-IF(TRUE=TRUE,Inputs!$B$32,0)))*(1-IF(AND(ArtifactsInput!$M$27,Inputs!$B$4="Chapter Hunt"),CHOOSE(ArtifactsInput!$N$27+1,20,24,28,32,36,40),0)/100)))))/Skills!H6+0.000000001),1)))/Inputs!$B$43),G1337*Q1337))*IF(Inputs!$B$38="pvp",1,1+(Inputs!$B$20+0+Skills!P6+(((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INT(Skills!I6/Skills!H6+0.000000001),1)+IF(Skills!H6&gt;0,INT(MIN(Skills!I6,MAX(0,MAX(0,Inputs!$B$43-B1367)-((R1337-1)*(IF(Inputs!$B$38="pvp",15,MAX(0.1,Skills!D6-IF(TRUE=TRUE,Inputs!$B$32,0)))*(1-IF(AND(ArtifactsInput!$M$27,Inputs!$B$4="Chapter Hunt"),CHOOSE(ArtifactsInput!$N$27+1,20,24,28,32,36,40),0)/100)))))/Skills!H6+0.000000001),1)))/Inputs!$B$43),G1337*Q1337))*IF(Inputs!$B$38="pvp",1,(1+(Inputs!$B$21+Skills!Q6+(((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Skills!G7*IF(Skills!H7&gt;0,INT(IF(Inputs!$B$38="pvp",MIN(Skills!I7,15),Skills!I7)/Skills!H7+0.000000001),1)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INT(Skills!I7/Skills!H7+0.000000001),1)+IF(Skills!H7&gt;0,INT(MIN(Skills!I7,MAX(0,MAX(0,Inputs!$B$43-B1367)-((R1338-1)*(IF(Inputs!$B$38="pvp",15,MAX(0.1,Skills!D7-IF(TRUE=TRUE,Inputs!$B$32,0)))*(1-IF(AND(ArtifactsInput!$M$27,Inputs!$B$4="Chapter Hunt"),CHOOSE(ArtifactsInput!$N$27+1,20,24,28,32,36,40),0)/100)))))/Skills!H7+0.000000001),1)))/Inputs!$B$43),G1338*Q1338))*IF(Inputs!$B$38="pvp",1,1+(Inputs!$B$20+0+Skills!P7+(((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INT(Skills!I7/Skills!H7+0.000000001),1)+IF(Skills!H7&gt;0,INT(MIN(Skills!I7,MAX(0,MAX(0,Inputs!$B$43-B1367)-((R1338-1)*(IF(Inputs!$B$38="pvp",15,MAX(0.1,Skills!D7-IF(TRUE=TRUE,Inputs!$B$32,0)))*(1-IF(AND(ArtifactsInput!$M$27,Inputs!$B$4="Chapter Hunt"),CHOOSE(ArtifactsInput!$N$27+1,20,24,28,32,36,40),0)/100)))))/Skills!H7+0.000000001),1)))/Inputs!$B$43),G1338*Q1338))*IF(Inputs!$B$38="pvp",1,(1+(Inputs!$B$21+Skills!Q7+(((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Skills!G8*IF(Skills!H8&gt;0,INT(IF(Inputs!$B$38="pvp",MIN(Skills!I8,15),Skills!I8)/Skills!H8+0.000000001),1)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INT(Skills!I8/Skills!H8+0.000000001),1)+IF(Skills!H8&gt;0,INT(MIN(Skills!I8,MAX(0,MAX(0,Inputs!$B$43-B1367)-((R1339-1)*(IF(Inputs!$B$38="pvp",15,MAX(0.1,Skills!D8-IF(TRUE=TRUE,Inputs!$B$32,0)))*(1-IF(AND(ArtifactsInput!$M$27,Inputs!$B$4="Chapter Hunt"),CHOOSE(ArtifactsInput!$N$27+1,20,24,28,32,36,40),0)/100)))))/Skills!H8+0.000000001),1)))/Inputs!$B$43),G1339*Q1339))*IF(Inputs!$B$38="pvp",1,1+(Inputs!$B$20+0+Skills!P8+(((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INT(Skills!I8/Skills!H8+0.000000001),1)+IF(Skills!H8&gt;0,INT(MIN(Skills!I8,MAX(0,MAX(0,Inputs!$B$43-B1367)-((R1339-1)*(IF(Inputs!$B$38="pvp",15,MAX(0.1,Skills!D8-IF(TRUE=TRUE,Inputs!$B$32,0)))*(1-IF(AND(ArtifactsInput!$M$27,Inputs!$B$4="Chapter Hunt"),CHOOSE(ArtifactsInput!$N$27+1,20,24,28,32,36,40),0)/100)))))/Skills!H8+0.000000001),1)))/Inputs!$B$43),G1339*Q1339))*IF(Inputs!$B$38="pvp",1,(1+(Inputs!$B$21+Skills!Q8+(((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Skills!G9*IF(Skills!H9&gt;0,INT(IF(Inputs!$B$38="pvp",MIN(Skills!I9,15),Skills!I9)/Skills!H9+0.000000001),1)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138,MAX(0,IF(Inputs!$B$3&gt;=118,8,IF(Inputs!$B$3&gt;=110,7,5))-5)*50,0),0)/100)*(1+(IF(Skills!A9="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IFERROR(1/(IF(Inputs!$B$38="pvp",15,MAX(0.1,Skills!D9-IF(TRUE=TRUE,Inputs!$B$32,0)))*(1-IF(AND(ArtifactsInput!$M$27,Inputs!$B$4="Chapter Hunt"),CHOOSE(ArtifactsInput!$N$27+1,20,24,28,32,36,40),0)/100)),0)</f>
        <v/>
      </c>
      <c r="R1340">
        <f>IF(AND(Inputs!$B$38&lt;&gt;"pvp",Inputs!$B$43&gt;0),IF(MAX(0,Inputs!$B$43-B1367)&lt;=0,0,(INT(MAX(0,Inputs!$B$43-B1367)/(IF(Inputs!$B$38="pvp",15,MAX(0.1,Skills!D9-IF(TRUE=TRUE,Inputs!$B$32,0)))*(1-IF(AND(ArtifactsInput!$M$27,Inputs!$B$4="Chapter Hunt"),CHOOSE(ArtifactsInput!$N$27+1,20,24,28,32,36,40),0)/100)))+1)),0)</f>
        <v/>
      </c>
      <c r="S1340">
        <f>IFERROR(O1340/N1340,0)</f>
        <v/>
      </c>
      <c r="T1340">
        <f>IF(C1340,(H1340*N1340*IF(AND(Inputs!$B$38&lt;&gt;"pvp",Inputs!$B$43&gt;0),((Skills!G9*((R1340-1)*IF(Skills!H9&gt;0,INT(Skills!I9/Skills!H9+0.000000001),1)+IF(Skills!H9&gt;0,INT(MIN(Skills!I9,MAX(0,MAX(0,Inputs!$B$43-B1367)-((R1340-1)*(IF(Inputs!$B$38="pvp",15,MAX(0.1,Skills!D9-IF(TRUE=TRUE,Inputs!$B$32,0)))*(1-IF(AND(ArtifactsInput!$M$27,Inputs!$B$4="Chapter Hunt"),CHOOSE(ArtifactsInput!$N$27+1,20,24,28,32,36,40),0)/100)))))/Skills!H9+0.000000001),1)))/Inputs!$B$43),G1340*Q1340))*IF(Inputs!$B$38="pvp",1,1+(Inputs!$B$20+0+Skills!P9+(((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INT(Skills!I9/Skills!H9+0.000000001),1)+IF(Skills!H9&gt;0,INT(MIN(Skills!I9,MAX(0,MAX(0,Inputs!$B$43-B1367)-((R1340-1)*(IF(Inputs!$B$38="pvp",15,MAX(0.1,Skills!D9-IF(TRUE=TRUE,Inputs!$B$32,0)))*(1-IF(AND(ArtifactsInput!$M$27,Inputs!$B$4="Chapter Hunt"),CHOOSE(ArtifactsInput!$N$27+1,20,24,28,32,36,40),0)/100)))))/Skills!H9+0.000000001),1)))/Inputs!$B$43),G1340*Q1340))*IF(Inputs!$B$38="pvp",1,(1+(Inputs!$B$21+Skills!Q9+(((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Skills!G10*IF(Skills!H10&gt;0,INT(IF(Inputs!$B$38="pvp",MIN(Skills!I10,15),Skills!I10)/Skills!H10+0.000000001),1)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138,MAX(0,IF(Inputs!$B$3&gt;=118,8,IF(Inputs!$B$3&gt;=110,7,5))-5)*50,0),0)/100)*(1+(IF(Skills!A10="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INT(Skills!I10/Skills!H10+0.000000001),1)+IF(Skills!H10&gt;0,INT(MIN(Skills!I10,MAX(0,MAX(0,Inputs!$B$43-B1367)-((R1341-1)*(IF(Inputs!$B$38="pvp",15,MAX(0.1,Skills!D10-IF(TRUE=TRUE,Inputs!$B$32,0)))*(1-IF(AND(ArtifactsInput!$M$27,Inputs!$B$4="Chapter Hunt"),CHOOSE(ArtifactsInput!$N$27+1,20,24,28,32,36,40),0)/100)))))/Skills!H10+0.000000001),1)))/Inputs!$B$43),G1341*Q1341))*IF(Inputs!$B$38="pvp",1,1+(Inputs!$B$20+0+Skills!P10+(((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INT(Skills!I10/Skills!H10+0.000000001),1)+IF(Skills!H10&gt;0,INT(MIN(Skills!I10,MAX(0,MAX(0,Inputs!$B$43-B1367)-((R1341-1)*(IF(Inputs!$B$38="pvp",15,MAX(0.1,Skills!D10-IF(TRUE=TRUE,Inputs!$B$32,0)))*(1-IF(AND(ArtifactsInput!$M$27,Inputs!$B$4="Chapter Hunt"),CHOOSE(ArtifactsInput!$N$27+1,20,24,28,32,36,40),0)/100)))))/Skills!H10+0.000000001),1)))/Inputs!$B$43),G1341*Q1341))*IF(Inputs!$B$38="pvp",1,(1+(Inputs!$B$21+Skills!Q10+(((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Skills!G11*IF(Skills!H11&gt;0,INT(IF(Inputs!$B$38="pvp",MIN(Skills!I11,15),Skills!I11)/Skills!H11+0.000000001),1)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138,MAX(0,IF(Inputs!$B$3&gt;=118,8,IF(Inputs!$B$3&gt;=110,7,5))-5)*50,0),0)/100)*(1+(IF(Skills!A11="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IFERROR(1/(IF(Inputs!$B$38="pvp",15,MAX(0.1,Skills!D11-IF(TRUE=TRUE,Inputs!$B$32,0)))*(1-IF(AND(ArtifactsInput!$M$27,Inputs!$B$4="Chapter Hunt"),CHOOSE(ArtifactsInput!$N$27+1,20,24,28,32,36,40),0)/100)),0)</f>
        <v/>
      </c>
      <c r="R1342">
        <f>IF(AND(Inputs!$B$38&lt;&gt;"pvp",Inputs!$B$43&gt;0),IF(MAX(0,Inputs!$B$43-B1367)&lt;=0,0,(INT(MAX(0,Inputs!$B$43-B1367)/(IF(Inputs!$B$38="pvp",15,MAX(0.1,Skills!D11-IF(TRUE=TRUE,Inputs!$B$32,0)))*(1-IF(AND(ArtifactsInput!$M$27,Inputs!$B$4="Chapter Hunt"),CHOOSE(ArtifactsInput!$N$27+1,20,24,28,32,36,40),0)/100)))+1)),0)</f>
        <v/>
      </c>
      <c r="S1342">
        <f>IFERROR(O1342/N1342,0)</f>
        <v/>
      </c>
      <c r="T1342">
        <f>IF(C1342,(H1342*N1342*IF(AND(Inputs!$B$38&lt;&gt;"pvp",Inputs!$B$43&gt;0),((Skills!G11*((R1342-1)*IF(Skills!H11&gt;0,INT(Skills!I11/Skills!H11+0.000000001),1)+IF(Skills!H11&gt;0,INT(MIN(Skills!I11,MAX(0,MAX(0,Inputs!$B$43-B1367)-((R1342-1)*(IF(Inputs!$B$38="pvp",15,MAX(0.1,Skills!D11-IF(TRUE=TRUE,Inputs!$B$32,0)))*(1-IF(AND(ArtifactsInput!$M$27,Inputs!$B$4="Chapter Hunt"),CHOOSE(ArtifactsInput!$N$27+1,20,24,28,32,36,40),0)/100)))))/Skills!H11+0.000000001),1)))/Inputs!$B$43),G1342*Q1342))*IF(Inputs!$B$38="pvp",1,1+(Inputs!$B$20+0+Skills!P11+(((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INT(Skills!I11/Skills!H11+0.000000001),1)+IF(Skills!H11&gt;0,INT(MIN(Skills!I11,MAX(0,MAX(0,Inputs!$B$43-B1367)-((R1342-1)*(IF(Inputs!$B$38="pvp",15,MAX(0.1,Skills!D11-IF(TRUE=TRUE,Inputs!$B$32,0)))*(1-IF(AND(ArtifactsInput!$M$27,Inputs!$B$4="Chapter Hunt"),CHOOSE(ArtifactsInput!$N$27+1,20,24,28,32,36,40),0)/100)))))/Skills!H11+0.000000001),1)))/Inputs!$B$43),G1342*Q1342))*IF(Inputs!$B$38="pvp",1,(1+(Inputs!$B$21+Skills!Q11+(((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Skills!G13*IF(Skills!H13&gt;0,INT(IF(Inputs!$B$38="pvp",MIN(Skills!I13,15),Skills!I13)/Skills!H13+0.000000001),1)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Skills!G14*IF(Skills!H14&gt;0,INT(IF(Inputs!$B$38="pvp",MIN(Skills!I14,15),Skills!I14)/Skills!H14+0.000000001),1)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Skills!G15*IF(Skills!H15&gt;0,INT(IF(Inputs!$B$38="pvp",MIN(Skills!I15,15),Skills!I15)/Skills!H15+0.000000001),1)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Skills!G16*IF(Skills!H16&gt;0,INT(IF(Inputs!$B$38="pvp",MIN(Skills!I16,15),Skills!I16)/Skills!H16+0.000000001),1)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IFERROR(1/(IF(Inputs!$B$38="pvp",15,MAX(0.1,Skills!D16-IF(TRUE=TRUE,Inputs!$B$32,0)))*(1-IF(AND(ArtifactsInput!$M$27,Inputs!$B$4="Chapter Hunt"),CHOOSE(ArtifactsInput!$N$27+1,20,24,28,32,36,40),0)/100)),0)</f>
        <v/>
      </c>
      <c r="R1347">
        <f>IF(AND(Inputs!$B$38&lt;&gt;"pvp",Inputs!$B$43&gt;0),IF(Inputs!$B$43&lt;=0,0,(INT(Inputs!$B$43/(IF(Inputs!$B$38="pvp",15,MAX(0.1,Skills!D16-IF(TRUE=TRUE,Inputs!$B$32,0)))*(1-IF(AND(ArtifactsInput!$M$27,Inputs!$B$4="Chapter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Skills!G17*IF(Skills!H17&gt;0,INT(IF(Inputs!$B$38="pvp",MIN(Skills!I17,15),Skills!I17)/Skills!H17+0.000000001),1)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IFERROR(1/(IF(Inputs!$B$38="pvp",15,MAX(0.1,Skills!D17-IF(TRUE=TRUE,Inputs!$B$32,0)))*(1-IF(AND(ArtifactsInput!$M$27,Inputs!$B$4="Chapter Hunt"),CHOOSE(ArtifactsInput!$N$27+1,20,24,28,32,36,40),0)/100)),0)</f>
        <v/>
      </c>
      <c r="R1348">
        <f>IF(AND(Inputs!$B$38&lt;&gt;"pvp",Inputs!$B$43&gt;0),IF(Inputs!$B$43&lt;=0,0,(INT(Inputs!$B$43/(IF(Inputs!$B$38="pvp",15,MAX(0.1,Skills!D17-IF(TRUE=TRUE,Inputs!$B$32,0)))*(1-IF(AND(ArtifactsInput!$M$27,Inputs!$B$4="Chapter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Skills!G18*IF(Skills!H18&gt;0,INT(IF(Inputs!$B$38="pvp",MIN(Skills!I18,15),Skills!I18)/Skills!H18+0.000000001),1)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IFERROR(1/(IF(Inputs!$B$38="pvp",15,MAX(0.1,Skills!D18-IF(TRUE=TRUE,Inputs!$B$32,0)))*(1-IF(AND(ArtifactsInput!$M$27,Inputs!$B$4="Chapter Hunt"),CHOOSE(ArtifactsInput!$N$27+1,20,24,28,32,36,40),0)/100)),0)</f>
        <v/>
      </c>
      <c r="R1349">
        <f>IF(AND(Inputs!$B$38&lt;&gt;"pvp",Inputs!$B$43&gt;0),IF(Inputs!$B$43&lt;=0,0,(INT(Inputs!$B$43/(IF(Inputs!$B$38="pvp",15,MAX(0.1,Skills!D18-IF(TRUE=TRUE,Inputs!$B$32,0)))*(1-IF(AND(ArtifactsInput!$M$27,Inputs!$B$4="Chapter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Skills!G19*IF(Skills!H19&gt;0,INT(IF(Inputs!$B$38="pvp",MIN(Skills!I19,15),Skills!I19)/Skills!H19+0.000000001),1)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IFERROR(1/(IF(Inputs!$B$38="pvp",15,MAX(0.1,Skills!D19-IF(TRUE=TRUE,Inputs!$B$32,0)))*(1-IF(AND(ArtifactsInput!$M$27,Inputs!$B$4="Chapter Hunt"),CHOOSE(ArtifactsInput!$N$27+1,20,24,28,32,36,40),0)/100)),0)</f>
        <v/>
      </c>
      <c r="R1350">
        <f>IF(AND(Inputs!$B$38&lt;&gt;"pvp",Inputs!$B$43&gt;0),IF(Inputs!$B$43&lt;=0,0,(INT(Inputs!$B$43/(IF(Inputs!$B$38="pvp",15,MAX(0.1,Skills!D19-IF(TRUE=TRUE,Inputs!$B$32,0)))*(1-IF(AND(ArtifactsInput!$M$27,Inputs!$B$4="Chapter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Skills!G20*IF(Skills!H20&gt;0,INT(IF(Inputs!$B$38="pvp",MIN(Skills!I20,15),Skills!I20)/Skills!H20+0.000000001),1)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Skills!G21*IF(Skills!H21&gt;0,INT(IF(Inputs!$B$38="pvp",MIN(Skills!I21,15),Skills!I21)/Skills!H21+0.000000001),1)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Skills!G22*IF(Skills!H22&gt;0,INT(IF(Inputs!$B$38="pvp",MIN(Skills!I22,15),Skills!I22)/Skills!H22+0.000000001),1)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Skills!G23*IF(Skills!H23&gt;0,INT(IF(Inputs!$B$38="pvp",MIN(Skills!I23,15),Skills!I23)/Skills!H23+0.000000001),1)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Skills!G24*IF(Skills!H24&gt;0,INT(IF(Inputs!$B$38="pvp",MIN(Skills!I24,15),Skills!I24)/Skills!H24+0.000000001),1)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Skills!G25*IF(Skills!H25&gt;0,INT(IF(Inputs!$B$38="pvp",MIN(Skills!I25,15),Skills!I25)/Skills!H25+0.000000001),1)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Skills!G26*IF(Skills!H26&gt;0,INT(IF(Inputs!$B$38="pvp",MIN(Skills!I26,15),Skills!I26)/Skills!H26+0.000000001),1)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MIN((Skills!T19*(1+(Inputs!$B$34+(ArtifactsInput!$M$7-ArtifactsInput!$M$7)*CHOOSE(ArtifactsInput!$N$7+1,6,7.2,8.4,9.6,10.8,12))/100)),(1/Q1350))+MIN((Skills!T19*(1+(Inputs!$B$34+(ArtifactsInput!$M$7-ArtifactsInput!$M$7)*CHOOSE(ArtifactsInput!$N$7+1,6,7.2,8.4,9.6,10.8,12))/100)),MAX(0,Inputs!$B$43-((R1350-1)*(1/Q1350)))))/Inputs!$B$43),IF(Inputs!$B$38="pvp",MIN((Skills!T19*(1+(Inputs!$B$34+(ArtifactsInput!$M$7-ArtifactsInput!$M$7)*CHOOSE(ArtifactsInput!$N$7+1,6,7.2,8.4,9.6,10.8,12))/100)),15)/15,MIN(1,(Skills!T19*(1+(Inputs!$B$34+(ArtifactsInput!$M$7-ArtifactsInput!$M$7)*CHOOSE(ArtifactsInput!$N$7+1,6,7.2,8.4,9.6,10.8,12))/100))/(1/Q1350)))))</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MIN((Skills!T18*(1+(Inputs!$B$34+(ArtifactsInput!$M$7-ArtifactsInput!$M$7)*CHOOSE(ArtifactsInput!$N$7+1,6,7.2,8.4,9.6,10.8,12))/100)),(1/Q1349))+MIN((Skills!T18*(1+(Inputs!$B$34+(ArtifactsInput!$M$7-ArtifactsInput!$M$7)*CHOOSE(ArtifactsInput!$N$7+1,6,7.2,8.4,9.6,10.8,12))/100)),MAX(0,Inputs!$B$43-((R1349-1)*(1/Q1349)))))/Inputs!$B$43),IF(Inputs!$B$38="pvp",MIN((Skills!T18*(1+(Inputs!$B$34+(ArtifactsInput!$M$7-ArtifactsInput!$M$7)*CHOOSE(ArtifactsInput!$N$7+1,6,7.2,8.4,9.6,10.8,12))/100)),15)/15,MIN(1,(Skills!T18*(1+(Inputs!$B$34+(ArtifactsInput!$M$7-ArtifactsInput!$M$7)*CHOOSE(ArtifactsInput!$N$7+1,6,7.2,8.4,9.6,10.8,12))/100))/(1/Q1349)))))</f>
        <v/>
      </c>
    </row>
    <row r="1366">
      <c r="A1366" t="inlineStr">
        <is>
          <t>Global Final Damage Bonus % (Enrage + Combo Synergy)</t>
        </is>
      </c>
      <c r="B1366">
        <f>((C1348=TRUE)*F1348*IF(AND(Inputs!$B$38&lt;&gt;"pvp",Inputs!$B$43&gt;0),(((R1348-1)*MIN((Skills!T17*(1+(Inputs!$B$34+(ArtifactsInput!$M$7-ArtifactsInput!$M$7)*CHOOSE(ArtifactsInput!$N$7+1,6,7.2,8.4,9.6,10.8,12))/100)),(1/Q1348))+MIN((Skills!T17*(1+(Inputs!$B$34+(ArtifactsInput!$M$7-ArtifactsInput!$M$7)*CHOOSE(ArtifactsInput!$N$7+1,6,7.2,8.4,9.6,10.8,12))/100)),MAX(0,Inputs!$B$43-((R1348-1)*(1/Q1348)))))/Inputs!$B$43),IF(Inputs!$B$38="pvp",MIN((Skills!T17*(1+(Inputs!$B$34+(ArtifactsInput!$M$7-ArtifactsInput!$M$7)*CHOOSE(ArtifactsInput!$N$7+1,6,7.2,8.4,9.6,10.8,12))/100)),15)/15,MIN(1,(Skills!T17*(1+(Inputs!$B$34+(ArtifactsInput!$M$7-ArtifactsInput!$M$7)*CHOOSE(ArtifactsInput!$N$7+1,6,7.2,8.4,9.6,10.8,12))/100))/(1/Q1348)))))+((C1345=TRUE)*F1345*IF(Inputs!$B$3&gt;=118,8,IF(Inputs!$B$3&gt;=110,7,5)))+IF(Inputs!$B$3&gt;=98,5,0)</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Skills!G2*IF(Skills!H2&gt;0,INT(IF(Inputs!$B$38="pvp",MIN(Skills!I2,15),Skills!I2)/Skills!H2+0.000000001),1)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Skills!G5*IF(Skills!H5&gt;0,INT(IF(Inputs!$B$38="pvp",MIN(Skills!I5,15),Skills!I5)/Skills!H5+0.000000001),1)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IFERROR(1/(IF(Inputs!$B$38="pvp",15,MAX(0.1,Skills!D5-IF(TRUE=TRUE,Inputs!$B$32,0)))*(1-IF(AND(ArtifactsInput!$M$27,Inputs!$B$4="Chapter Hunt"),CHOOSE(ArtifactsInput!$N$27+1,20,24,28,32,36,40),0)/100)),0)</f>
        <v/>
      </c>
      <c r="R1378">
        <f>IF(AND(Inputs!$B$38&lt;&gt;"pvp",Inputs!$B$43&gt;0),IF(MAX(0,Inputs!$B$43-B1409)&lt;=0,0,(INT(MAX(0,Inputs!$B$43-B1409)/(IF(Inputs!$B$38="pvp",15,MAX(0.1,Skills!D5-IF(TRUE=TRUE,Inputs!$B$32,0)))*(1-IF(AND(ArtifactsInput!$M$27,Inputs!$B$4="Chapter Hunt"),CHOOSE(ArtifactsInput!$N$27+1,20,24,28,32,36,40),0)/100)))+1)),0)</f>
        <v/>
      </c>
      <c r="S1378">
        <f>IFERROR(O1378/N1378,0)</f>
        <v/>
      </c>
      <c r="T1378">
        <f>IF(C1378,(H1378*N1378*IF(AND(Inputs!$B$38&lt;&gt;"pvp",Inputs!$B$43&gt;0),((Skills!G5*((R1378-1)*IF(Skills!H5&gt;0,INT(Skills!I5/Skills!H5+0.000000001),1)+IF(Skills!H5&gt;0,INT(MIN(Skills!I5,MAX(0,MAX(0,Inputs!$B$43-B1409)-((R1378-1)*(IF(Inputs!$B$38="pvp",15,MAX(0.1,Skills!D5-IF(TRUE=TRUE,Inputs!$B$32,0)))*(1-IF(AND(ArtifactsInput!$M$27,Inputs!$B$4="Chapter Hunt"),CHOOSE(ArtifactsInput!$N$27+1,20,24,28,32,36,40),0)/100)))))/Skills!H5+0.000000001),1)))/Inputs!$B$43),G1378*Q1378))*IF(Inputs!$B$38="pvp",1,1+(Inputs!$B$20+0+Skills!P5+(((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INT(Skills!I5/Skills!H5+0.000000001),1)+IF(Skills!H5&gt;0,INT(MIN(Skills!I5,MAX(0,MAX(0,Inputs!$B$43-B1409)-((R1378-1)*(IF(Inputs!$B$38="pvp",15,MAX(0.1,Skills!D5-IF(TRUE=TRUE,Inputs!$B$32,0)))*(1-IF(AND(ArtifactsInput!$M$27,Inputs!$B$4="Chapter Hunt"),CHOOSE(ArtifactsInput!$N$27+1,20,24,28,32,36,40),0)/100)))))/Skills!H5+0.000000001),1)))/Inputs!$B$43),G1378*Q1378))*IF(Inputs!$B$38="pvp",1,(1+(Inputs!$B$21+Skills!Q5+(((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Skills!G6*IF(Skills!H6&gt;0,INT(IF(Inputs!$B$38="pvp",MIN(Skills!I6,15),Skills!I6)/Skills!H6+0.000000001),1)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IFERROR(1/(IF(Inputs!$B$38="pvp",15,MAX(0.1,Skills!D6-IF(TRUE=TRUE,Inputs!$B$32,0)))*(1-IF(AND(ArtifactsInput!$M$27,Inputs!$B$4="Chapter Hunt"),CHOOSE(ArtifactsInput!$N$27+1,20,24,28,32,36,40),0)/100)),0)</f>
        <v/>
      </c>
      <c r="R1379">
        <f>IF(AND(Inputs!$B$38&lt;&gt;"pvp",Inputs!$B$43&gt;0),IF(MAX(0,Inputs!$B$43-B1409)&lt;=0,0,(INT(MAX(0,Inputs!$B$43-B1409)/(IF(Inputs!$B$38="pvp",15,MAX(0.1,Skills!D6-IF(TRUE=TRUE,Inputs!$B$32,0)))*(1-IF(AND(ArtifactsInput!$M$27,Inputs!$B$4="Chapter Hunt"),CHOOSE(ArtifactsInput!$N$27+1,20,24,28,32,36,40),0)/100)))+1)),0)</f>
        <v/>
      </c>
      <c r="S1379">
        <f>IFERROR(O1379/N1379,0)</f>
        <v/>
      </c>
      <c r="T1379">
        <f>IF(C1379,(H1379*N1379*IF(AND(Inputs!$B$38&lt;&gt;"pvp",Inputs!$B$43&gt;0),((Skills!G6*((R1379-1)*IF(Skills!H6&gt;0,INT(Skills!I6/Skills!H6+0.000000001),1)+IF(Skills!H6&gt;0,INT(MIN(Skills!I6,MAX(0,MAX(0,Inputs!$B$43-B1409)-((R1379-1)*(IF(Inputs!$B$38="pvp",15,MAX(0.1,Skills!D6-IF(TRUE=TRUE,Inputs!$B$32,0)))*(1-IF(AND(ArtifactsInput!$M$27,Inputs!$B$4="Chapter Hunt"),CHOOSE(ArtifactsInput!$N$27+1,20,24,28,32,36,40),0)/100)))))/Skills!H6+0.000000001),1)))/Inputs!$B$43),G1379*Q1379))*IF(Inputs!$B$38="pvp",1,1+(Inputs!$B$20+0+Skills!P6+(((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INT(Skills!I6/Skills!H6+0.000000001),1)+IF(Skills!H6&gt;0,INT(MIN(Skills!I6,MAX(0,MAX(0,Inputs!$B$43-B1409)-((R1379-1)*(IF(Inputs!$B$38="pvp",15,MAX(0.1,Skills!D6-IF(TRUE=TRUE,Inputs!$B$32,0)))*(1-IF(AND(ArtifactsInput!$M$27,Inputs!$B$4="Chapter Hunt"),CHOOSE(ArtifactsInput!$N$27+1,20,24,28,32,36,40),0)/100)))))/Skills!H6+0.000000001),1)))/Inputs!$B$43),G1379*Q1379))*IF(Inputs!$B$38="pvp",1,(1+(Inputs!$B$21+Skills!Q6+(((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Skills!G7*IF(Skills!H7&gt;0,INT(IF(Inputs!$B$38="pvp",MIN(Skills!I7,15),Skills!I7)/Skills!H7+0.000000001),1)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IFERROR(1/(IF(Inputs!$B$38="pvp",15,MAX(0.1,Skills!D7-IF(TRUE=TRUE,Inputs!$B$32,0)))*(1-IF(AND(ArtifactsInput!$M$27,Inputs!$B$4="Chapter Hunt"),CHOOSE(ArtifactsInput!$N$27+1,20,24,28,32,36,40),0)/100)),0)</f>
        <v/>
      </c>
      <c r="R1380">
        <f>IF(AND(Inputs!$B$38&lt;&gt;"pvp",Inputs!$B$43&gt;0),IF(MAX(0,Inputs!$B$43-B1409)&lt;=0,0,(INT(MAX(0,Inputs!$B$43-B1409)/(IF(Inputs!$B$38="pvp",15,MAX(0.1,Skills!D7-IF(TRUE=TRUE,Inputs!$B$32,0)))*(1-IF(AND(ArtifactsInput!$M$27,Inputs!$B$4="Chapter Hunt"),CHOOSE(ArtifactsInput!$N$27+1,20,24,28,32,36,40),0)/100)))+1)),0)</f>
        <v/>
      </c>
      <c r="S1380">
        <f>IFERROR(O1380/N1380,0)</f>
        <v/>
      </c>
      <c r="T1380">
        <f>IF(C1380,(H1380*N1380*IF(AND(Inputs!$B$38&lt;&gt;"pvp",Inputs!$B$43&gt;0),((Skills!G7*((R1380-1)*IF(Skills!H7&gt;0,INT(Skills!I7/Skills!H7+0.000000001),1)+IF(Skills!H7&gt;0,INT(MIN(Skills!I7,MAX(0,MAX(0,Inputs!$B$43-B1409)-((R1380-1)*(IF(Inputs!$B$38="pvp",15,MAX(0.1,Skills!D7-IF(TRUE=TRUE,Inputs!$B$32,0)))*(1-IF(AND(ArtifactsInput!$M$27,Inputs!$B$4="Chapter Hunt"),CHOOSE(ArtifactsInput!$N$27+1,20,24,28,32,36,40),0)/100)))))/Skills!H7+0.000000001),1)))/Inputs!$B$43),G1380*Q1380))*IF(Inputs!$B$38="pvp",1,1+(Inputs!$B$20+0+Skills!P7+(((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INT(Skills!I7/Skills!H7+0.000000001),1)+IF(Skills!H7&gt;0,INT(MIN(Skills!I7,MAX(0,MAX(0,Inputs!$B$43-B1409)-((R1380-1)*(IF(Inputs!$B$38="pvp",15,MAX(0.1,Skills!D7-IF(TRUE=TRUE,Inputs!$B$32,0)))*(1-IF(AND(ArtifactsInput!$M$27,Inputs!$B$4="Chapter Hunt"),CHOOSE(ArtifactsInput!$N$27+1,20,24,28,32,36,40),0)/100)))))/Skills!H7+0.000000001),1)))/Inputs!$B$43),G1380*Q1380))*IF(Inputs!$B$38="pvp",1,(1+(Inputs!$B$21+Skills!Q7+(((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Skills!G8*IF(Skills!H8&gt;0,INT(IF(Inputs!$B$38="pvp",MIN(Skills!I8,15),Skills!I8)/Skills!H8+0.000000001),1)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IFERROR(1/(IF(Inputs!$B$38="pvp",15,MAX(0.1,Skills!D8-IF(TRUE=TRUE,Inputs!$B$32,0)))*(1-IF(AND(ArtifactsInput!$M$27,Inputs!$B$4="Chapter Hunt"),CHOOSE(ArtifactsInput!$N$27+1,20,24,28,32,36,40),0)/100)),0)</f>
        <v/>
      </c>
      <c r="R1381">
        <f>IF(AND(Inputs!$B$38&lt;&gt;"pvp",Inputs!$B$43&gt;0),IF(MAX(0,Inputs!$B$43-B1409)&lt;=0,0,(INT(MAX(0,Inputs!$B$43-B1409)/(IF(Inputs!$B$38="pvp",15,MAX(0.1,Skills!D8-IF(TRUE=TRUE,Inputs!$B$32,0)))*(1-IF(AND(ArtifactsInput!$M$27,Inputs!$B$4="Chapter Hunt"),CHOOSE(ArtifactsInput!$N$27+1,20,24,28,32,36,40),0)/100)))+1)),0)</f>
        <v/>
      </c>
      <c r="S1381">
        <f>IFERROR(O1381/N1381,0)</f>
        <v/>
      </c>
      <c r="T1381">
        <f>IF(C1381,(H1381*N1381*IF(AND(Inputs!$B$38&lt;&gt;"pvp",Inputs!$B$43&gt;0),((Skills!G8*((R1381-1)*IF(Skills!H8&gt;0,INT(Skills!I8/Skills!H8+0.000000001),1)+IF(Skills!H8&gt;0,INT(MIN(Skills!I8,MAX(0,MAX(0,Inputs!$B$43-B1409)-((R1381-1)*(IF(Inputs!$B$38="pvp",15,MAX(0.1,Skills!D8-IF(TRUE=TRUE,Inputs!$B$32,0)))*(1-IF(AND(ArtifactsInput!$M$27,Inputs!$B$4="Chapter Hunt"),CHOOSE(ArtifactsInput!$N$27+1,20,24,28,32,36,40),0)/100)))))/Skills!H8+0.000000001),1)))/Inputs!$B$43),G1381*Q1381))*IF(Inputs!$B$38="pvp",1,1+(Inputs!$B$20+0+Skills!P8+(((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INT(Skills!I8/Skills!H8+0.000000001),1)+IF(Skills!H8&gt;0,INT(MIN(Skills!I8,MAX(0,MAX(0,Inputs!$B$43-B1409)-((R1381-1)*(IF(Inputs!$B$38="pvp",15,MAX(0.1,Skills!D8-IF(TRUE=TRUE,Inputs!$B$32,0)))*(1-IF(AND(ArtifactsInput!$M$27,Inputs!$B$4="Chapter Hunt"),CHOOSE(ArtifactsInput!$N$27+1,20,24,28,32,36,40),0)/100)))))/Skills!H8+0.000000001),1)))/Inputs!$B$43),G1381*Q1381))*IF(Inputs!$B$38="pvp",1,(1+(Inputs!$B$21+Skills!Q8+(((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Skills!G9*IF(Skills!H9&gt;0,INT(IF(Inputs!$B$38="pvp",MIN(Skills!I9,15),Skills!I9)/Skills!H9+0.000000001),1)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138,MAX(0,IF(Inputs!$B$3&gt;=118,8,IF(Inputs!$B$3&gt;=110,7,5))-5)*50,0),0)/100)*(1+(IF(Skills!A9="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IFERROR(1/(IF(Inputs!$B$38="pvp",15,MAX(0.1,Skills!D9-IF(TRUE=TRUE,Inputs!$B$32,0)))*(1-IF(AND(ArtifactsInput!$M$27,Inputs!$B$4="Chapter Hunt"),CHOOSE(ArtifactsInput!$N$27+1,20,24,28,32,36,40),0)/100)),0)</f>
        <v/>
      </c>
      <c r="R1382">
        <f>IF(AND(Inputs!$B$38&lt;&gt;"pvp",Inputs!$B$43&gt;0),IF(MAX(0,Inputs!$B$43-B1409)&lt;=0,0,(INT(MAX(0,Inputs!$B$43-B1409)/(IF(Inputs!$B$38="pvp",15,MAX(0.1,Skills!D9-IF(TRUE=TRUE,Inputs!$B$32,0)))*(1-IF(AND(ArtifactsInput!$M$27,Inputs!$B$4="Chapter Hunt"),CHOOSE(ArtifactsInput!$N$27+1,20,24,28,32,36,40),0)/100)))+1)),0)</f>
        <v/>
      </c>
      <c r="S1382">
        <f>IFERROR(O1382/N1382,0)</f>
        <v/>
      </c>
      <c r="T1382">
        <f>IF(C1382,(H1382*N1382*IF(AND(Inputs!$B$38&lt;&gt;"pvp",Inputs!$B$43&gt;0),((Skills!G9*((R1382-1)*IF(Skills!H9&gt;0,INT(Skills!I9/Skills!H9+0.000000001),1)+IF(Skills!H9&gt;0,INT(MIN(Skills!I9,MAX(0,MAX(0,Inputs!$B$43-B1409)-((R1382-1)*(IF(Inputs!$B$38="pvp",15,MAX(0.1,Skills!D9-IF(TRUE=TRUE,Inputs!$B$32,0)))*(1-IF(AND(ArtifactsInput!$M$27,Inputs!$B$4="Chapter Hunt"),CHOOSE(ArtifactsInput!$N$27+1,20,24,28,32,36,40),0)/100)))))/Skills!H9+0.000000001),1)))/Inputs!$B$43),G1382*Q1382))*IF(Inputs!$B$38="pvp",1,1+(Inputs!$B$20+0+Skills!P9+(((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INT(Skills!I9/Skills!H9+0.000000001),1)+IF(Skills!H9&gt;0,INT(MIN(Skills!I9,MAX(0,MAX(0,Inputs!$B$43-B1409)-((R1382-1)*(IF(Inputs!$B$38="pvp",15,MAX(0.1,Skills!D9-IF(TRUE=TRUE,Inputs!$B$32,0)))*(1-IF(AND(ArtifactsInput!$M$27,Inputs!$B$4="Chapter Hunt"),CHOOSE(ArtifactsInput!$N$27+1,20,24,28,32,36,40),0)/100)))))/Skills!H9+0.000000001),1)))/Inputs!$B$43),G1382*Q1382))*IF(Inputs!$B$38="pvp",1,(1+(Inputs!$B$21+Skills!Q9+(((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Skills!G10*IF(Skills!H10&gt;0,INT(IF(Inputs!$B$38="pvp",MIN(Skills!I10,15),Skills!I10)/Skills!H10+0.000000001),1)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138,MAX(0,IF(Inputs!$B$3&gt;=118,8,IF(Inputs!$B$3&gt;=110,7,5))-5)*50,0),0)/100)*(1+(IF(Skills!A10="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IFERROR(1/(IF(Inputs!$B$38="pvp",15,MAX(0.1,Skills!D10-IF(TRUE=TRUE,Inputs!$B$32,0)))*(1-IF(AND(ArtifactsInput!$M$27,Inputs!$B$4="Chapter Hunt"),CHOOSE(ArtifactsInput!$N$27+1,20,24,28,32,36,40),0)/100)),0)</f>
        <v/>
      </c>
      <c r="R1383">
        <f>IF(AND(Inputs!$B$38&lt;&gt;"pvp",Inputs!$B$43&gt;0),IF(MAX(0,Inputs!$B$43-B1409)&lt;=0,0,(INT(MAX(0,Inputs!$B$43-B1409)/(IF(Inputs!$B$38="pvp",15,MAX(0.1,Skills!D10-IF(TRUE=TRUE,Inputs!$B$32,0)))*(1-IF(AND(ArtifactsInput!$M$27,Inputs!$B$4="Chapter Hunt"),CHOOSE(ArtifactsInput!$N$27+1,20,24,28,32,36,40),0)/100)))+1)),0)</f>
        <v/>
      </c>
      <c r="S1383">
        <f>IFERROR(O1383/N1383,0)</f>
        <v/>
      </c>
      <c r="T1383">
        <f>IF(C1383,(H1383*N1383*IF(AND(Inputs!$B$38&lt;&gt;"pvp",Inputs!$B$43&gt;0),((Skills!G10*((R1383-1)*IF(Skills!H10&gt;0,INT(Skills!I10/Skills!H10+0.000000001),1)+IF(Skills!H10&gt;0,INT(MIN(Skills!I10,MAX(0,MAX(0,Inputs!$B$43-B1409)-((R1383-1)*(IF(Inputs!$B$38="pvp",15,MAX(0.1,Skills!D10-IF(TRUE=TRUE,Inputs!$B$32,0)))*(1-IF(AND(ArtifactsInput!$M$27,Inputs!$B$4="Chapter Hunt"),CHOOSE(ArtifactsInput!$N$27+1,20,24,28,32,36,40),0)/100)))))/Skills!H10+0.000000001),1)))/Inputs!$B$43),G1383*Q1383))*IF(Inputs!$B$38="pvp",1,1+(Inputs!$B$20+0+Skills!P10+(((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INT(Skills!I10/Skills!H10+0.000000001),1)+IF(Skills!H10&gt;0,INT(MIN(Skills!I10,MAX(0,MAX(0,Inputs!$B$43-B1409)-((R1383-1)*(IF(Inputs!$B$38="pvp",15,MAX(0.1,Skills!D10-IF(TRUE=TRUE,Inputs!$B$32,0)))*(1-IF(AND(ArtifactsInput!$M$27,Inputs!$B$4="Chapter Hunt"),CHOOSE(ArtifactsInput!$N$27+1,20,24,28,32,36,40),0)/100)))))/Skills!H10+0.000000001),1)))/Inputs!$B$43),G1383*Q1383))*IF(Inputs!$B$38="pvp",1,(1+(Inputs!$B$21+Skills!Q10+(((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Skills!G11*IF(Skills!H11&gt;0,INT(IF(Inputs!$B$38="pvp",MIN(Skills!I11,15),Skills!I11)/Skills!H11+0.000000001),1)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138,MAX(0,IF(Inputs!$B$3&gt;=118,8,IF(Inputs!$B$3&gt;=110,7,5))-5)*50,0),0)/100)*(1+(IF(Skills!A11="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IFERROR(1/(IF(Inputs!$B$38="pvp",15,MAX(0.1,Skills!D11-IF(TRUE=TRUE,Inputs!$B$32,0)))*(1-IF(AND(ArtifactsInput!$M$27,Inputs!$B$4="Chapter Hunt"),CHOOSE(ArtifactsInput!$N$27+1,20,24,28,32,36,40),0)/100)),0)</f>
        <v/>
      </c>
      <c r="R1384">
        <f>IF(AND(Inputs!$B$38&lt;&gt;"pvp",Inputs!$B$43&gt;0),IF(MAX(0,Inputs!$B$43-B1409)&lt;=0,0,(INT(MAX(0,Inputs!$B$43-B1409)/(IF(Inputs!$B$38="pvp",15,MAX(0.1,Skills!D11-IF(TRUE=TRUE,Inputs!$B$32,0)))*(1-IF(AND(ArtifactsInput!$M$27,Inputs!$B$4="Chapter Hunt"),CHOOSE(ArtifactsInput!$N$27+1,20,24,28,32,36,40),0)/100)))+1)),0)</f>
        <v/>
      </c>
      <c r="S1384">
        <f>IFERROR(O1384/N1384,0)</f>
        <v/>
      </c>
      <c r="T1384">
        <f>IF(C1384,(H1384*N1384*IF(AND(Inputs!$B$38&lt;&gt;"pvp",Inputs!$B$43&gt;0),((Skills!G11*((R1384-1)*IF(Skills!H11&gt;0,INT(Skills!I11/Skills!H11+0.000000001),1)+IF(Skills!H11&gt;0,INT(MIN(Skills!I11,MAX(0,MAX(0,Inputs!$B$43-B1409)-((R1384-1)*(IF(Inputs!$B$38="pvp",15,MAX(0.1,Skills!D11-IF(TRUE=TRUE,Inputs!$B$32,0)))*(1-IF(AND(ArtifactsInput!$M$27,Inputs!$B$4="Chapter Hunt"),CHOOSE(ArtifactsInput!$N$27+1,20,24,28,32,36,40),0)/100)))))/Skills!H11+0.000000001),1)))/Inputs!$B$43),G1384*Q1384))*IF(Inputs!$B$38="pvp",1,1+(Inputs!$B$20+0+Skills!P11+(((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INT(Skills!I11/Skills!H11+0.000000001),1)+IF(Skills!H11&gt;0,INT(MIN(Skills!I11,MAX(0,MAX(0,Inputs!$B$43-B1409)-((R1384-1)*(IF(Inputs!$B$38="pvp",15,MAX(0.1,Skills!D11-IF(TRUE=TRUE,Inputs!$B$32,0)))*(1-IF(AND(ArtifactsInput!$M$27,Inputs!$B$4="Chapter Hunt"),CHOOSE(ArtifactsInput!$N$27+1,20,24,28,32,36,40),0)/100)))))/Skills!H11+0.000000001),1)))/Inputs!$B$43),G1384*Q1384))*IF(Inputs!$B$38="pvp",1,(1+(Inputs!$B$21+Skills!Q11+(((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Skills!G13*IF(Skills!H13&gt;0,INT(IF(Inputs!$B$38="pvp",MIN(Skills!I13,15),Skills!I13)/Skills!H13+0.000000001),1)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Skills!G14*IF(Skills!H14&gt;0,INT(IF(Inputs!$B$38="pvp",MIN(Skills!I14,15),Skills!I14)/Skills!H14+0.000000001),1)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Skills!G15*IF(Skills!H15&gt;0,INT(IF(Inputs!$B$38="pvp",MIN(Skills!I15,15),Skills!I15)/Skills!H15+0.000000001),1)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IFERROR(1/(IF(Inputs!$B$38="pvp",15,MAX(0.1,Skills!D15-IF(TRUE=TRUE,Inputs!$B$32,0)))*(1-IF(AND(ArtifactsInput!$M$27,Inputs!$B$4="Chapter Hunt"),CHOOSE(ArtifactsInput!$N$27+1,20,24,28,32,36,40),0)/100)),0)</f>
        <v/>
      </c>
      <c r="R1388">
        <f>IF(AND(Inputs!$B$38&lt;&gt;"pvp",Inputs!$B$43&gt;0),IF(Inputs!$B$43&lt;=0,0,(INT(Inputs!$B$43/(IF(Inputs!$B$38="pvp",15,MAX(0.1,Skills!D15-IF(TRUE=TRUE,Inputs!$B$32,0)))*(1-IF(AND(ArtifactsInput!$M$27,Inputs!$B$4="Chapter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Skills!G16*IF(Skills!H16&gt;0,INT(IF(Inputs!$B$38="pvp",MIN(Skills!I16,15),Skills!I16)/Skills!H16+0.000000001),1)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IFERROR(1/(IF(Inputs!$B$38="pvp",15,MAX(0.1,Skills!D16-IF(TRUE=TRUE,Inputs!$B$32,0)))*(1-IF(AND(ArtifactsInput!$M$27,Inputs!$B$4="Chapter Hunt"),CHOOSE(ArtifactsInput!$N$27+1,20,24,28,32,36,40),0)/100)),0)</f>
        <v/>
      </c>
      <c r="R1389">
        <f>IF(AND(Inputs!$B$38&lt;&gt;"pvp",Inputs!$B$43&gt;0),IF(Inputs!$B$43&lt;=0,0,(INT(Inputs!$B$43/(IF(Inputs!$B$38="pvp",15,MAX(0.1,Skills!D16-IF(TRUE=TRUE,Inputs!$B$32,0)))*(1-IF(AND(ArtifactsInput!$M$27,Inputs!$B$4="Chapter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Skills!G17*IF(Skills!H17&gt;0,INT(IF(Inputs!$B$38="pvp",MIN(Skills!I17,15),Skills!I17)/Skills!H17+0.000000001),1)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IFERROR(1/(IF(Inputs!$B$38="pvp",15,MAX(0.1,Skills!D17-IF(TRUE=TRUE,Inputs!$B$32,0)))*(1-IF(AND(ArtifactsInput!$M$27,Inputs!$B$4="Chapter Hunt"),CHOOSE(ArtifactsInput!$N$27+1,20,24,28,32,36,40),0)/100)),0)</f>
        <v/>
      </c>
      <c r="R1390">
        <f>IF(AND(Inputs!$B$38&lt;&gt;"pvp",Inputs!$B$43&gt;0),IF(Inputs!$B$43&lt;=0,0,(INT(Inputs!$B$43/(IF(Inputs!$B$38="pvp",15,MAX(0.1,Skills!D17-IF(TRUE=TRUE,Inputs!$B$32,0)))*(1-IF(AND(ArtifactsInput!$M$27,Inputs!$B$4="Chapter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Skills!G18*IF(Skills!H18&gt;0,INT(IF(Inputs!$B$38="pvp",MIN(Skills!I18,15),Skills!I18)/Skills!H18+0.000000001),1)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IFERROR(1/(IF(Inputs!$B$38="pvp",15,MAX(0.1,Skills!D18-IF(TRUE=TRUE,Inputs!$B$32,0)))*(1-IF(AND(ArtifactsInput!$M$27,Inputs!$B$4="Chapter Hunt"),CHOOSE(ArtifactsInput!$N$27+1,20,24,28,32,36,40),0)/100)),0)</f>
        <v/>
      </c>
      <c r="R1391">
        <f>IF(AND(Inputs!$B$38&lt;&gt;"pvp",Inputs!$B$43&gt;0),IF(Inputs!$B$43&lt;=0,0,(INT(Inputs!$B$43/(IF(Inputs!$B$38="pvp",15,MAX(0.1,Skills!D18-IF(TRUE=TRUE,Inputs!$B$32,0)))*(1-IF(AND(ArtifactsInput!$M$27,Inputs!$B$4="Chapter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Skills!G19*IF(Skills!H19&gt;0,INT(IF(Inputs!$B$38="pvp",MIN(Skills!I19,15),Skills!I19)/Skills!H19+0.000000001),1)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IFERROR(1/(IF(Inputs!$B$38="pvp",15,MAX(0.1,Skills!D19-IF(TRUE=TRUE,Inputs!$B$32,0)))*(1-IF(AND(ArtifactsInput!$M$27,Inputs!$B$4="Chapter Hunt"),CHOOSE(ArtifactsInput!$N$27+1,20,24,28,32,36,40),0)/100)),0)</f>
        <v/>
      </c>
      <c r="R1392">
        <f>IF(AND(Inputs!$B$38&lt;&gt;"pvp",Inputs!$B$43&gt;0),IF(Inputs!$B$43&lt;=0,0,(INT(Inputs!$B$43/(IF(Inputs!$B$38="pvp",15,MAX(0.1,Skills!D19-IF(TRUE=TRUE,Inputs!$B$32,0)))*(1-IF(AND(ArtifactsInput!$M$27,Inputs!$B$4="Chapter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Skills!G20*IF(Skills!H20&gt;0,INT(IF(Inputs!$B$38="pvp",MIN(Skills!I20,15),Skills!I20)/Skills!H20+0.000000001),1)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Skills!G21*IF(Skills!H21&gt;0,INT(IF(Inputs!$B$38="pvp",MIN(Skills!I21,15),Skills!I21)/Skills!H21+0.000000001),1)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Skills!G22*IF(Skills!H22&gt;0,INT(IF(Inputs!$B$38="pvp",MIN(Skills!I22,15),Skills!I22)/Skills!H22+0.000000001),1)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Skills!G23*IF(Skills!H23&gt;0,INT(IF(Inputs!$B$38="pvp",MIN(Skills!I23,15),Skills!I23)/Skills!H23+0.000000001),1)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Skills!G24*IF(Skills!H24&gt;0,INT(IF(Inputs!$B$38="pvp",MIN(Skills!I24,15),Skills!I24)/Skills!H24+0.000000001),1)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Skills!G25*IF(Skills!H25&gt;0,INT(IF(Inputs!$B$38="pvp",MIN(Skills!I25,15),Skills!I25)/Skills!H25+0.000000001),1)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Skills!G26*IF(Skills!H26&gt;0,INT(IF(Inputs!$B$38="pvp",MIN(Skills!I26,15),Skills!I26)/Skills!H26+0.000000001),1)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MIN((Skills!T19*(1+(Inputs!$B$34+(ArtifactsInput!$M$7-ArtifactsInput!$M$7)*CHOOSE(ArtifactsInput!$N$7+1,6,7.2,8.4,9.6,10.8,12))/100)),(1/Q1392))+MIN((Skills!T19*(1+(Inputs!$B$34+(ArtifactsInput!$M$7-ArtifactsInput!$M$7)*CHOOSE(ArtifactsInput!$N$7+1,6,7.2,8.4,9.6,10.8,12))/100)),MAX(0,Inputs!$B$43-((R1392-1)*(1/Q1392)))))/Inputs!$B$43),IF(Inputs!$B$38="pvp",MIN((Skills!T19*(1+(Inputs!$B$34+(ArtifactsInput!$M$7-ArtifactsInput!$M$7)*CHOOSE(ArtifactsInput!$N$7+1,6,7.2,8.4,9.6,10.8,12))/100)),15)/15,MIN(1,(Skills!T19*(1+(Inputs!$B$34+(ArtifactsInput!$M$7-ArtifactsInput!$M$7)*CHOOSE(ArtifactsInput!$N$7+1,6,7.2,8.4,9.6,10.8,12))/100))/(1/Q1392)))))</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MIN((Skills!T18*(1+(Inputs!$B$34+(ArtifactsInput!$M$7-ArtifactsInput!$M$7)*CHOOSE(ArtifactsInput!$N$7+1,6,7.2,8.4,9.6,10.8,12))/100)),(1/Q1391))+MIN((Skills!T18*(1+(Inputs!$B$34+(ArtifactsInput!$M$7-ArtifactsInput!$M$7)*CHOOSE(ArtifactsInput!$N$7+1,6,7.2,8.4,9.6,10.8,12))/100)),MAX(0,Inputs!$B$43-((R1391-1)*(1/Q1391)))))/Inputs!$B$43),IF(Inputs!$B$38="pvp",MIN((Skills!T18*(1+(Inputs!$B$34+(ArtifactsInput!$M$7-ArtifactsInput!$M$7)*CHOOSE(ArtifactsInput!$N$7+1,6,7.2,8.4,9.6,10.8,12))/100)),15)/15,MIN(1,(Skills!T18*(1+(Inputs!$B$34+(ArtifactsInput!$M$7-ArtifactsInput!$M$7)*CHOOSE(ArtifactsInput!$N$7+1,6,7.2,8.4,9.6,10.8,12))/100))/(1/Q1391)))))</f>
        <v/>
      </c>
    </row>
    <row r="1408">
      <c r="A1408" t="inlineStr">
        <is>
          <t>Global Final Damage Bonus % (Enrage + Combo Synergy)</t>
        </is>
      </c>
      <c r="B1408">
        <f>((C1390=TRUE)*F1390*IF(AND(Inputs!$B$38&lt;&gt;"pvp",Inputs!$B$43&gt;0),(((R1390-1)*MIN((Skills!T17*(1+(Inputs!$B$34+(ArtifactsInput!$M$7-ArtifactsInput!$M$7)*CHOOSE(ArtifactsInput!$N$7+1,6,7.2,8.4,9.6,10.8,12))/100)),(1/Q1390))+MIN((Skills!T17*(1+(Inputs!$B$34+(ArtifactsInput!$M$7-ArtifactsInput!$M$7)*CHOOSE(ArtifactsInput!$N$7+1,6,7.2,8.4,9.6,10.8,12))/100)),MAX(0,Inputs!$B$43-((R1390-1)*(1/Q1390)))))/Inputs!$B$43),IF(Inputs!$B$38="pvp",MIN((Skills!T17*(1+(Inputs!$B$34+(ArtifactsInput!$M$7-ArtifactsInput!$M$7)*CHOOSE(ArtifactsInput!$N$7+1,6,7.2,8.4,9.6,10.8,12))/100)),15)/15,MIN(1,(Skills!T17*(1+(Inputs!$B$34+(ArtifactsInput!$M$7-ArtifactsInput!$M$7)*CHOOSE(ArtifactsInput!$N$7+1,6,7.2,8.4,9.6,10.8,12))/100))/(1/Q1390)))))+((C1387=TRUE)*F1387*IF(Inputs!$B$3&gt;=118,8,IF(Inputs!$B$3&gt;=110,7,5)))+IF(Inputs!$B$3&gt;=98,5,0)</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Skills!G2*IF(Skills!H2&gt;0,INT(IF(Inputs!$B$38="pvp",MIN(Skills!I2,15),Skills!I2)/Skills!H2+0.000000001),1)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Skills!G5*IF(Skills!H5&gt;0,INT(IF(Inputs!$B$38="pvp",MIN(Skills!I5,15),Skills!I5)/Skills!H5+0.000000001),1)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IFERROR(1/(IF(Inputs!$B$38="pvp",15,MAX(0.1,Skills!D5-IF(TRUE=TRUE,Inputs!$B$32,0)))*(1-IF(AND(ArtifactsInput!$M$27,Inputs!$B$4="Chapter Hunt"),CHOOSE(ArtifactsInput!$N$27+1,20,24,28,32,36,40),0)/100)),0)</f>
        <v/>
      </c>
      <c r="R1420">
        <f>IF(AND(Inputs!$B$38&lt;&gt;"pvp",Inputs!$B$43&gt;0),IF(MAX(0,Inputs!$B$43-B1451)&lt;=0,0,(INT(MAX(0,Inputs!$B$43-B1451)/(IF(Inputs!$B$38="pvp",15,MAX(0.1,Skills!D5-IF(TRUE=TRUE,Inputs!$B$32,0)))*(1-IF(AND(ArtifactsInput!$M$27,Inputs!$B$4="Chapter Hunt"),CHOOSE(ArtifactsInput!$N$27+1,20,24,28,32,36,40),0)/100)))+1)),0)</f>
        <v/>
      </c>
      <c r="S1420">
        <f>IFERROR(O1420/N1420,0)</f>
        <v/>
      </c>
      <c r="T1420">
        <f>IF(C1420,(H1420*N1420*IF(AND(Inputs!$B$38&lt;&gt;"pvp",Inputs!$B$43&gt;0),((Skills!G5*((R1420-1)*IF(Skills!H5&gt;0,INT(Skills!I5/Skills!H5+0.000000001),1)+IF(Skills!H5&gt;0,INT(MIN(Skills!I5,MAX(0,MAX(0,Inputs!$B$43-B1451)-((R1420-1)*(IF(Inputs!$B$38="pvp",15,MAX(0.1,Skills!D5-IF(TRUE=TRUE,Inputs!$B$32,0)))*(1-IF(AND(ArtifactsInput!$M$27,Inputs!$B$4="Chapter Hunt"),CHOOSE(ArtifactsInput!$N$27+1,20,24,28,32,36,40),0)/100)))))/Skills!H5+0.000000001),1)))/Inputs!$B$43),G1420*Q1420))*IF(Inputs!$B$38="pvp",1,1+(Inputs!$B$20+0+Skills!P5+(((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INT(Skills!I5/Skills!H5+0.000000001),1)+IF(Skills!H5&gt;0,INT(MIN(Skills!I5,MAX(0,MAX(0,Inputs!$B$43-B1451)-((R1420-1)*(IF(Inputs!$B$38="pvp",15,MAX(0.1,Skills!D5-IF(TRUE=TRUE,Inputs!$B$32,0)))*(1-IF(AND(ArtifactsInput!$M$27,Inputs!$B$4="Chapter Hunt"),CHOOSE(ArtifactsInput!$N$27+1,20,24,28,32,36,40),0)/100)))))/Skills!H5+0.000000001),1)))/Inputs!$B$43),G1420*Q1420))*IF(Inputs!$B$38="pvp",1,(1+(Inputs!$B$21+Skills!Q5+(((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Skills!G6*IF(Skills!H6&gt;0,INT(IF(Inputs!$B$38="pvp",MIN(Skills!I6,15),Skills!I6)/Skills!H6+0.000000001),1)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IFERROR(1/(IF(Inputs!$B$38="pvp",15,MAX(0.1,Skills!D6-IF(TRUE=TRUE,Inputs!$B$32,0)))*(1-IF(AND(ArtifactsInput!$M$27,Inputs!$B$4="Chapter Hunt"),CHOOSE(ArtifactsInput!$N$27+1,20,24,28,32,36,40),0)/100)),0)</f>
        <v/>
      </c>
      <c r="R1421">
        <f>IF(AND(Inputs!$B$38&lt;&gt;"pvp",Inputs!$B$43&gt;0),IF(MAX(0,Inputs!$B$43-B1451)&lt;=0,0,(INT(MAX(0,Inputs!$B$43-B1451)/(IF(Inputs!$B$38="pvp",15,MAX(0.1,Skills!D6-IF(TRUE=TRUE,Inputs!$B$32,0)))*(1-IF(AND(ArtifactsInput!$M$27,Inputs!$B$4="Chapter Hunt"),CHOOSE(ArtifactsInput!$N$27+1,20,24,28,32,36,40),0)/100)))+1)),0)</f>
        <v/>
      </c>
      <c r="S1421">
        <f>IFERROR(O1421/N1421,0)</f>
        <v/>
      </c>
      <c r="T1421">
        <f>IF(C1421,(H1421*N1421*IF(AND(Inputs!$B$38&lt;&gt;"pvp",Inputs!$B$43&gt;0),((Skills!G6*((R1421-1)*IF(Skills!H6&gt;0,INT(Skills!I6/Skills!H6+0.000000001),1)+IF(Skills!H6&gt;0,INT(MIN(Skills!I6,MAX(0,MAX(0,Inputs!$B$43-B1451)-((R1421-1)*(IF(Inputs!$B$38="pvp",15,MAX(0.1,Skills!D6-IF(TRUE=TRUE,Inputs!$B$32,0)))*(1-IF(AND(ArtifactsInput!$M$27,Inputs!$B$4="Chapter Hunt"),CHOOSE(ArtifactsInput!$N$27+1,20,24,28,32,36,40),0)/100)))))/Skills!H6+0.000000001),1)))/Inputs!$B$43),G1421*Q1421))*IF(Inputs!$B$38="pvp",1,1+(Inputs!$B$20+0+Skills!P6+(((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INT(Skills!I6/Skills!H6+0.000000001),1)+IF(Skills!H6&gt;0,INT(MIN(Skills!I6,MAX(0,MAX(0,Inputs!$B$43-B1451)-((R1421-1)*(IF(Inputs!$B$38="pvp",15,MAX(0.1,Skills!D6-IF(TRUE=TRUE,Inputs!$B$32,0)))*(1-IF(AND(ArtifactsInput!$M$27,Inputs!$B$4="Chapter Hunt"),CHOOSE(ArtifactsInput!$N$27+1,20,24,28,32,36,40),0)/100)))))/Skills!H6+0.000000001),1)))/Inputs!$B$43),G1421*Q1421))*IF(Inputs!$B$38="pvp",1,(1+(Inputs!$B$21+Skills!Q6+(((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Skills!G7*IF(Skills!H7&gt;0,INT(IF(Inputs!$B$38="pvp",MIN(Skills!I7,15),Skills!I7)/Skills!H7+0.000000001),1)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IFERROR(1/(IF(Inputs!$B$38="pvp",15,MAX(0.1,Skills!D7-IF(TRUE=TRUE,Inputs!$B$32,0)))*(1-IF(AND(ArtifactsInput!$M$27,Inputs!$B$4="Chapter Hunt"),CHOOSE(ArtifactsInput!$N$27+1,20,24,28,32,36,40),0)/100)),0)</f>
        <v/>
      </c>
      <c r="R1422">
        <f>IF(AND(Inputs!$B$38&lt;&gt;"pvp",Inputs!$B$43&gt;0),IF(MAX(0,Inputs!$B$43-B1451)&lt;=0,0,(INT(MAX(0,Inputs!$B$43-B1451)/(IF(Inputs!$B$38="pvp",15,MAX(0.1,Skills!D7-IF(TRUE=TRUE,Inputs!$B$32,0)))*(1-IF(AND(ArtifactsInput!$M$27,Inputs!$B$4="Chapter Hunt"),CHOOSE(ArtifactsInput!$N$27+1,20,24,28,32,36,40),0)/100)))+1)),0)</f>
        <v/>
      </c>
      <c r="S1422">
        <f>IFERROR(O1422/N1422,0)</f>
        <v/>
      </c>
      <c r="T1422">
        <f>IF(C1422,(H1422*N1422*IF(AND(Inputs!$B$38&lt;&gt;"pvp",Inputs!$B$43&gt;0),((Skills!G7*((R1422-1)*IF(Skills!H7&gt;0,INT(Skills!I7/Skills!H7+0.000000001),1)+IF(Skills!H7&gt;0,INT(MIN(Skills!I7,MAX(0,MAX(0,Inputs!$B$43-B1451)-((R1422-1)*(IF(Inputs!$B$38="pvp",15,MAX(0.1,Skills!D7-IF(TRUE=TRUE,Inputs!$B$32,0)))*(1-IF(AND(ArtifactsInput!$M$27,Inputs!$B$4="Chapter Hunt"),CHOOSE(ArtifactsInput!$N$27+1,20,24,28,32,36,40),0)/100)))))/Skills!H7+0.000000001),1)))/Inputs!$B$43),G1422*Q1422))*IF(Inputs!$B$38="pvp",1,1+(Inputs!$B$20+0+Skills!P7+(((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INT(Skills!I7/Skills!H7+0.000000001),1)+IF(Skills!H7&gt;0,INT(MIN(Skills!I7,MAX(0,MAX(0,Inputs!$B$43-B1451)-((R1422-1)*(IF(Inputs!$B$38="pvp",15,MAX(0.1,Skills!D7-IF(TRUE=TRUE,Inputs!$B$32,0)))*(1-IF(AND(ArtifactsInput!$M$27,Inputs!$B$4="Chapter Hunt"),CHOOSE(ArtifactsInput!$N$27+1,20,24,28,32,36,40),0)/100)))))/Skills!H7+0.000000001),1)))/Inputs!$B$43),G1422*Q1422))*IF(Inputs!$B$38="pvp",1,(1+(Inputs!$B$21+Skills!Q7+(((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Skills!G8*IF(Skills!H8&gt;0,INT(IF(Inputs!$B$38="pvp",MIN(Skills!I8,15),Skills!I8)/Skills!H8+0.000000001),1)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IFERROR(1/(IF(Inputs!$B$38="pvp",15,MAX(0.1,Skills!D8-IF(TRUE=TRUE,Inputs!$B$32,0)))*(1-IF(AND(ArtifactsInput!$M$27,Inputs!$B$4="Chapter Hunt"),CHOOSE(ArtifactsInput!$N$27+1,20,24,28,32,36,40),0)/100)),0)</f>
        <v/>
      </c>
      <c r="R1423">
        <f>IF(AND(Inputs!$B$38&lt;&gt;"pvp",Inputs!$B$43&gt;0),IF(MAX(0,Inputs!$B$43-B1451)&lt;=0,0,(INT(MAX(0,Inputs!$B$43-B1451)/(IF(Inputs!$B$38="pvp",15,MAX(0.1,Skills!D8-IF(TRUE=TRUE,Inputs!$B$32,0)))*(1-IF(AND(ArtifactsInput!$M$27,Inputs!$B$4="Chapter Hunt"),CHOOSE(ArtifactsInput!$N$27+1,20,24,28,32,36,40),0)/100)))+1)),0)</f>
        <v/>
      </c>
      <c r="S1423">
        <f>IFERROR(O1423/N1423,0)</f>
        <v/>
      </c>
      <c r="T1423">
        <f>IF(C1423,(H1423*N1423*IF(AND(Inputs!$B$38&lt;&gt;"pvp",Inputs!$B$43&gt;0),((Skills!G8*((R1423-1)*IF(Skills!H8&gt;0,INT(Skills!I8/Skills!H8+0.000000001),1)+IF(Skills!H8&gt;0,INT(MIN(Skills!I8,MAX(0,MAX(0,Inputs!$B$43-B1451)-((R1423-1)*(IF(Inputs!$B$38="pvp",15,MAX(0.1,Skills!D8-IF(TRUE=TRUE,Inputs!$B$32,0)))*(1-IF(AND(ArtifactsInput!$M$27,Inputs!$B$4="Chapter Hunt"),CHOOSE(ArtifactsInput!$N$27+1,20,24,28,32,36,40),0)/100)))))/Skills!H8+0.000000001),1)))/Inputs!$B$43),G1423*Q1423))*IF(Inputs!$B$38="pvp",1,1+(Inputs!$B$20+0+Skills!P8+(((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INT(Skills!I8/Skills!H8+0.000000001),1)+IF(Skills!H8&gt;0,INT(MIN(Skills!I8,MAX(0,MAX(0,Inputs!$B$43-B1451)-((R1423-1)*(IF(Inputs!$B$38="pvp",15,MAX(0.1,Skills!D8-IF(TRUE=TRUE,Inputs!$B$32,0)))*(1-IF(AND(ArtifactsInput!$M$27,Inputs!$B$4="Chapter Hunt"),CHOOSE(ArtifactsInput!$N$27+1,20,24,28,32,36,40),0)/100)))))/Skills!H8+0.000000001),1)))/Inputs!$B$43),G1423*Q1423))*IF(Inputs!$B$38="pvp",1,(1+(Inputs!$B$21+Skills!Q8+(((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Skills!G9*IF(Skills!H9&gt;0,INT(IF(Inputs!$B$38="pvp",MIN(Skills!I9,15),Skills!I9)/Skills!H9+0.000000001),1)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138,MAX(0,IF(Inputs!$B$3&gt;=118,8,IF(Inputs!$B$3&gt;=110,7,5))-5)*50,0),0)/100)*(1+(IF(Skills!A9="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IFERROR(1/(IF(Inputs!$B$38="pvp",15,MAX(0.1,Skills!D9-IF(TRUE=TRUE,Inputs!$B$32,0)))*(1-IF(AND(ArtifactsInput!$M$27,Inputs!$B$4="Chapter Hunt"),CHOOSE(ArtifactsInput!$N$27+1,20,24,28,32,36,40),0)/100)),0)</f>
        <v/>
      </c>
      <c r="R1424">
        <f>IF(AND(Inputs!$B$38&lt;&gt;"pvp",Inputs!$B$43&gt;0),IF(MAX(0,Inputs!$B$43-B1451)&lt;=0,0,(INT(MAX(0,Inputs!$B$43-B1451)/(IF(Inputs!$B$38="pvp",15,MAX(0.1,Skills!D9-IF(TRUE=TRUE,Inputs!$B$32,0)))*(1-IF(AND(ArtifactsInput!$M$27,Inputs!$B$4="Chapter Hunt"),CHOOSE(ArtifactsInput!$N$27+1,20,24,28,32,36,40),0)/100)))+1)),0)</f>
        <v/>
      </c>
      <c r="S1424">
        <f>IFERROR(O1424/N1424,0)</f>
        <v/>
      </c>
      <c r="T1424">
        <f>IF(C1424,(H1424*N1424*IF(AND(Inputs!$B$38&lt;&gt;"pvp",Inputs!$B$43&gt;0),((Skills!G9*((R1424-1)*IF(Skills!H9&gt;0,INT(Skills!I9/Skills!H9+0.000000001),1)+IF(Skills!H9&gt;0,INT(MIN(Skills!I9,MAX(0,MAX(0,Inputs!$B$43-B1451)-((R1424-1)*(IF(Inputs!$B$38="pvp",15,MAX(0.1,Skills!D9-IF(TRUE=TRUE,Inputs!$B$32,0)))*(1-IF(AND(ArtifactsInput!$M$27,Inputs!$B$4="Chapter Hunt"),CHOOSE(ArtifactsInput!$N$27+1,20,24,28,32,36,40),0)/100)))))/Skills!H9+0.000000001),1)))/Inputs!$B$43),G1424*Q1424))*IF(Inputs!$B$38="pvp",1,1+(Inputs!$B$20+0+Skills!P9+(((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INT(Skills!I9/Skills!H9+0.000000001),1)+IF(Skills!H9&gt;0,INT(MIN(Skills!I9,MAX(0,MAX(0,Inputs!$B$43-B1451)-((R1424-1)*(IF(Inputs!$B$38="pvp",15,MAX(0.1,Skills!D9-IF(TRUE=TRUE,Inputs!$B$32,0)))*(1-IF(AND(ArtifactsInput!$M$27,Inputs!$B$4="Chapter Hunt"),CHOOSE(ArtifactsInput!$N$27+1,20,24,28,32,36,40),0)/100)))))/Skills!H9+0.000000001),1)))/Inputs!$B$43),G1424*Q1424))*IF(Inputs!$B$38="pvp",1,(1+(Inputs!$B$21+Skills!Q9+(((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Skills!G10*IF(Skills!H10&gt;0,INT(IF(Inputs!$B$38="pvp",MIN(Skills!I10,15),Skills!I10)/Skills!H10+0.000000001),1)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138,MAX(0,IF(Inputs!$B$3&gt;=118,8,IF(Inputs!$B$3&gt;=110,7,5))-5)*50,0),0)/100)*(1+(IF(Skills!A10="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IFERROR(1/(IF(Inputs!$B$38="pvp",15,MAX(0.1,Skills!D10-IF(TRUE=TRUE,Inputs!$B$32,0)))*(1-IF(AND(ArtifactsInput!$M$27,Inputs!$B$4="Chapter Hunt"),CHOOSE(ArtifactsInput!$N$27+1,20,24,28,32,36,40),0)/100)),0)</f>
        <v/>
      </c>
      <c r="R1425">
        <f>IF(AND(Inputs!$B$38&lt;&gt;"pvp",Inputs!$B$43&gt;0),IF(MAX(0,Inputs!$B$43-B1451)&lt;=0,0,(INT(MAX(0,Inputs!$B$43-B1451)/(IF(Inputs!$B$38="pvp",15,MAX(0.1,Skills!D10-IF(TRUE=TRUE,Inputs!$B$32,0)))*(1-IF(AND(ArtifactsInput!$M$27,Inputs!$B$4="Chapter Hunt"),CHOOSE(ArtifactsInput!$N$27+1,20,24,28,32,36,40),0)/100)))+1)),0)</f>
        <v/>
      </c>
      <c r="S1425">
        <f>IFERROR(O1425/N1425,0)</f>
        <v/>
      </c>
      <c r="T1425">
        <f>IF(C1425,(H1425*N1425*IF(AND(Inputs!$B$38&lt;&gt;"pvp",Inputs!$B$43&gt;0),((Skills!G10*((R1425-1)*IF(Skills!H10&gt;0,INT(Skills!I10/Skills!H10+0.000000001),1)+IF(Skills!H10&gt;0,INT(MIN(Skills!I10,MAX(0,MAX(0,Inputs!$B$43-B1451)-((R1425-1)*(IF(Inputs!$B$38="pvp",15,MAX(0.1,Skills!D10-IF(TRUE=TRUE,Inputs!$B$32,0)))*(1-IF(AND(ArtifactsInput!$M$27,Inputs!$B$4="Chapter Hunt"),CHOOSE(ArtifactsInput!$N$27+1,20,24,28,32,36,40),0)/100)))))/Skills!H10+0.000000001),1)))/Inputs!$B$43),G1425*Q1425))*IF(Inputs!$B$38="pvp",1,1+(Inputs!$B$20+0+Skills!P10+(((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INT(Skills!I10/Skills!H10+0.000000001),1)+IF(Skills!H10&gt;0,INT(MIN(Skills!I10,MAX(0,MAX(0,Inputs!$B$43-B1451)-((R1425-1)*(IF(Inputs!$B$38="pvp",15,MAX(0.1,Skills!D10-IF(TRUE=TRUE,Inputs!$B$32,0)))*(1-IF(AND(ArtifactsInput!$M$27,Inputs!$B$4="Chapter Hunt"),CHOOSE(ArtifactsInput!$N$27+1,20,24,28,32,36,40),0)/100)))))/Skills!H10+0.000000001),1)))/Inputs!$B$43),G1425*Q1425))*IF(Inputs!$B$38="pvp",1,(1+(Inputs!$B$21+Skills!Q10+(((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Skills!G11*IF(Skills!H11&gt;0,INT(IF(Inputs!$B$38="pvp",MIN(Skills!I11,15),Skills!I11)/Skills!H11+0.000000001),1)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138,MAX(0,IF(Inputs!$B$3&gt;=118,8,IF(Inputs!$B$3&gt;=110,7,5))-5)*50,0),0)/100)*(1+(IF(Skills!A11="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IFERROR(1/(IF(Inputs!$B$38="pvp",15,MAX(0.1,Skills!D11-IF(TRUE=TRUE,Inputs!$B$32,0)))*(1-IF(AND(ArtifactsInput!$M$27,Inputs!$B$4="Chapter Hunt"),CHOOSE(ArtifactsInput!$N$27+1,20,24,28,32,36,40),0)/100)),0)</f>
        <v/>
      </c>
      <c r="R1426">
        <f>IF(AND(Inputs!$B$38&lt;&gt;"pvp",Inputs!$B$43&gt;0),IF(MAX(0,Inputs!$B$43-B1451)&lt;=0,0,(INT(MAX(0,Inputs!$B$43-B1451)/(IF(Inputs!$B$38="pvp",15,MAX(0.1,Skills!D11-IF(TRUE=TRUE,Inputs!$B$32,0)))*(1-IF(AND(ArtifactsInput!$M$27,Inputs!$B$4="Chapter Hunt"),CHOOSE(ArtifactsInput!$N$27+1,20,24,28,32,36,40),0)/100)))+1)),0)</f>
        <v/>
      </c>
      <c r="S1426">
        <f>IFERROR(O1426/N1426,0)</f>
        <v/>
      </c>
      <c r="T1426">
        <f>IF(C1426,(H1426*N1426*IF(AND(Inputs!$B$38&lt;&gt;"pvp",Inputs!$B$43&gt;0),((Skills!G11*((R1426-1)*IF(Skills!H11&gt;0,INT(Skills!I11/Skills!H11+0.000000001),1)+IF(Skills!H11&gt;0,INT(MIN(Skills!I11,MAX(0,MAX(0,Inputs!$B$43-B1451)-((R1426-1)*(IF(Inputs!$B$38="pvp",15,MAX(0.1,Skills!D11-IF(TRUE=TRUE,Inputs!$B$32,0)))*(1-IF(AND(ArtifactsInput!$M$27,Inputs!$B$4="Chapter Hunt"),CHOOSE(ArtifactsInput!$N$27+1,20,24,28,32,36,40),0)/100)))))/Skills!H11+0.000000001),1)))/Inputs!$B$43),G1426*Q1426))*IF(Inputs!$B$38="pvp",1,1+(Inputs!$B$20+0+Skills!P11+(((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INT(Skills!I11/Skills!H11+0.000000001),1)+IF(Skills!H11&gt;0,INT(MIN(Skills!I11,MAX(0,MAX(0,Inputs!$B$43-B1451)-((R1426-1)*(IF(Inputs!$B$38="pvp",15,MAX(0.1,Skills!D11-IF(TRUE=TRUE,Inputs!$B$32,0)))*(1-IF(AND(ArtifactsInput!$M$27,Inputs!$B$4="Chapter Hunt"),CHOOSE(ArtifactsInput!$N$27+1,20,24,28,32,36,40),0)/100)))))/Skills!H11+0.000000001),1)))/Inputs!$B$43),G1426*Q1426))*IF(Inputs!$B$38="pvp",1,(1+(Inputs!$B$21+Skills!Q11+(((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Skills!G13*IF(Skills!H13&gt;0,INT(IF(Inputs!$B$38="pvp",MIN(Skills!I13,15),Skills!I13)/Skills!H13+0.000000001),1)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Skills!G14*IF(Skills!H14&gt;0,INT(IF(Inputs!$B$38="pvp",MIN(Skills!I14,15),Skills!I14)/Skills!H14+0.000000001),1)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Skills!G15*IF(Skills!H15&gt;0,INT(IF(Inputs!$B$38="pvp",MIN(Skills!I15,15),Skills!I15)/Skills!H15+0.000000001),1)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IFERROR(1/(IF(Inputs!$B$38="pvp",15,MAX(0.1,Skills!D15-IF(TRUE=TRUE,Inputs!$B$32,0)))*(1-IF(AND(ArtifactsInput!$M$27,Inputs!$B$4="Chapter Hunt"),CHOOSE(ArtifactsInput!$N$27+1,20,24,28,32,36,40),0)/100)),0)</f>
        <v/>
      </c>
      <c r="R1430">
        <f>IF(AND(Inputs!$B$38&lt;&gt;"pvp",Inputs!$B$43&gt;0),IF(Inputs!$B$43&lt;=0,0,(INT(Inputs!$B$43/(IF(Inputs!$B$38="pvp",15,MAX(0.1,Skills!D15-IF(TRUE=TRUE,Inputs!$B$32,0)))*(1-IF(AND(ArtifactsInput!$M$27,Inputs!$B$4="Chapter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Skills!G16*IF(Skills!H16&gt;0,INT(IF(Inputs!$B$38="pvp",MIN(Skills!I16,15),Skills!I16)/Skills!H16+0.000000001),1)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IFERROR(1/(IF(Inputs!$B$38="pvp",15,MAX(0.1,Skills!D16-IF(TRUE=TRUE,Inputs!$B$32,0)))*(1-IF(AND(ArtifactsInput!$M$27,Inputs!$B$4="Chapter Hunt"),CHOOSE(ArtifactsInput!$N$27+1,20,24,28,32,36,40),0)/100)),0)</f>
        <v/>
      </c>
      <c r="R1431">
        <f>IF(AND(Inputs!$B$38&lt;&gt;"pvp",Inputs!$B$43&gt;0),IF(Inputs!$B$43&lt;=0,0,(INT(Inputs!$B$43/(IF(Inputs!$B$38="pvp",15,MAX(0.1,Skills!D16-IF(TRUE=TRUE,Inputs!$B$32,0)))*(1-IF(AND(ArtifactsInput!$M$27,Inputs!$B$4="Chapter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Skills!G17*IF(Skills!H17&gt;0,INT(IF(Inputs!$B$38="pvp",MIN(Skills!I17,15),Skills!I17)/Skills!H17+0.000000001),1)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Skills!G18*IF(Skills!H18&gt;0,INT(IF(Inputs!$B$38="pvp",MIN(Skills!I18,15),Skills!I18)/Skills!H18+0.000000001),1)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Skills!G19*IF(Skills!H19&gt;0,INT(IF(Inputs!$B$38="pvp",MIN(Skills!I19,15),Skills!I19)/Skills!H19+0.000000001),1)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IFERROR(1/(IF(Inputs!$B$38="pvp",15,MAX(0.1,Skills!D19-IF(TRUE=TRUE,Inputs!$B$32,0)))*(1-IF(AND(ArtifactsInput!$M$27,Inputs!$B$4="Chapter Hunt"),CHOOSE(ArtifactsInput!$N$27+1,20,24,28,32,36,40),0)/100)),0)</f>
        <v/>
      </c>
      <c r="R1434">
        <f>IF(AND(Inputs!$B$38&lt;&gt;"pvp",Inputs!$B$43&gt;0),IF(Inputs!$B$43&lt;=0,0,(INT(Inputs!$B$43/(IF(Inputs!$B$38="pvp",15,MAX(0.1,Skills!D19-IF(TRUE=TRUE,Inputs!$B$32,0)))*(1-IF(AND(ArtifactsInput!$M$27,Inputs!$B$4="Chapter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Skills!G20*IF(Skills!H20&gt;0,INT(IF(Inputs!$B$38="pvp",MIN(Skills!I20,15),Skills!I20)/Skills!H20+0.000000001),1)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Skills!G21*IF(Skills!H21&gt;0,INT(IF(Inputs!$B$38="pvp",MIN(Skills!I21,15),Skills!I21)/Skills!H21+0.000000001),1)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Skills!G22*IF(Skills!H22&gt;0,INT(IF(Inputs!$B$38="pvp",MIN(Skills!I22,15),Skills!I22)/Skills!H22+0.000000001),1)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Skills!G23*IF(Skills!H23&gt;0,INT(IF(Inputs!$B$38="pvp",MIN(Skills!I23,15),Skills!I23)/Skills!H23+0.000000001),1)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Skills!G24*IF(Skills!H24&gt;0,INT(IF(Inputs!$B$38="pvp",MIN(Skills!I24,15),Skills!I24)/Skills!H24+0.000000001),1)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Skills!G25*IF(Skills!H25&gt;0,INT(IF(Inputs!$B$38="pvp",MIN(Skills!I25,15),Skills!I25)/Skills!H25+0.000000001),1)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Skills!G26*IF(Skills!H26&gt;0,INT(IF(Inputs!$B$38="pvp",MIN(Skills!I26,15),Skills!I26)/Skills!H26+0.000000001),1)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MIN((Skills!T19*(1+(Inputs!$B$34+(ArtifactsInput!$M$7-ArtifactsInput!$M$7)*CHOOSE(ArtifactsInput!$N$7+1,6,7.2,8.4,9.6,10.8,12))/100)),(1/Q1434))+MIN((Skills!T19*(1+(Inputs!$B$34+(ArtifactsInput!$M$7-ArtifactsInput!$M$7)*CHOOSE(ArtifactsInput!$N$7+1,6,7.2,8.4,9.6,10.8,12))/100)),MAX(0,Inputs!$B$43-((R1434-1)*(1/Q1434)))))/Inputs!$B$43),IF(Inputs!$B$38="pvp",MIN((Skills!T19*(1+(Inputs!$B$34+(ArtifactsInput!$M$7-ArtifactsInput!$M$7)*CHOOSE(ArtifactsInput!$N$7+1,6,7.2,8.4,9.6,10.8,12))/100)),15)/15,MIN(1,(Skills!T19*(1+(Inputs!$B$34+(ArtifactsInput!$M$7-ArtifactsInput!$M$7)*CHOOSE(ArtifactsInput!$N$7+1,6,7.2,8.4,9.6,10.8,12))/100))/(1/Q1434)))))</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MIN((Skills!T18*(1+(Inputs!$B$34+(ArtifactsInput!$M$7-ArtifactsInput!$M$7)*CHOOSE(ArtifactsInput!$N$7+1,6,7.2,8.4,9.6,10.8,12))/100)),(1/Q1433))+MIN((Skills!T18*(1+(Inputs!$B$34+(ArtifactsInput!$M$7-ArtifactsInput!$M$7)*CHOOSE(ArtifactsInput!$N$7+1,6,7.2,8.4,9.6,10.8,12))/100)),MAX(0,Inputs!$B$43-((R1433-1)*(1/Q1433)))))/Inputs!$B$43),IF(Inputs!$B$38="pvp",MIN((Skills!T18*(1+(Inputs!$B$34+(ArtifactsInput!$M$7-ArtifactsInput!$M$7)*CHOOSE(ArtifactsInput!$N$7+1,6,7.2,8.4,9.6,10.8,12))/100)),15)/15,MIN(1,(Skills!T18*(1+(Inputs!$B$34+(ArtifactsInput!$M$7-ArtifactsInput!$M$7)*CHOOSE(ArtifactsInput!$N$7+1,6,7.2,8.4,9.6,10.8,12))/100))/(1/Q1433)))))</f>
        <v/>
      </c>
    </row>
    <row r="1450">
      <c r="A1450" t="inlineStr">
        <is>
          <t>Global Final Damage Bonus % (Enrage + Combo Synergy)</t>
        </is>
      </c>
      <c r="B1450">
        <f>((C1432=TRUE)*F1432*IF(AND(Inputs!$B$38&lt;&gt;"pvp",Inputs!$B$43&gt;0),(((R1432-1)*MIN((Skills!T17*(1+(Inputs!$B$34+(ArtifactsInput!$M$7-ArtifactsInput!$M$7)*CHOOSE(ArtifactsInput!$N$7+1,6,7.2,8.4,9.6,10.8,12))/100)),(1/Q1432))+MIN((Skills!T17*(1+(Inputs!$B$34+(ArtifactsInput!$M$7-ArtifactsInput!$M$7)*CHOOSE(ArtifactsInput!$N$7+1,6,7.2,8.4,9.6,10.8,12))/100)),MAX(0,Inputs!$B$43-((R1432-1)*(1/Q1432)))))/Inputs!$B$43),IF(Inputs!$B$38="pvp",MIN((Skills!T17*(1+(Inputs!$B$34+(ArtifactsInput!$M$7-ArtifactsInput!$M$7)*CHOOSE(ArtifactsInput!$N$7+1,6,7.2,8.4,9.6,10.8,12))/100)),15)/15,MIN(1,(Skills!T17*(1+(Inputs!$B$34+(ArtifactsInput!$M$7-ArtifactsInput!$M$7)*CHOOSE(ArtifactsInput!$N$7+1,6,7.2,8.4,9.6,10.8,12))/100))/(1/Q1432)))))+((C1429=TRUE)*F1429*IF(Inputs!$B$3&gt;=118,8,IF(Inputs!$B$3&gt;=110,7,5)))+IF(Inputs!$B$3&gt;=98,5,0)</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Skills!G2*IF(Skills!H2&gt;0,INT(IF(Inputs!$B$38="pvp",MIN(Skills!I2,15),Skills!I2)/Skills!H2+0.000000001),1)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Skills!G5*IF(Skills!H5&gt;0,INT(IF(Inputs!$B$38="pvp",MIN(Skills!I5,15),Skills!I5)/Skills!H5+0.000000001),1)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IFERROR(1/(IF(Inputs!$B$38="pvp",15,MAX(0.1,Skills!D5-IF(TRUE=TRUE,Inputs!$B$32,0)))*(1-IF(AND(ArtifactsInput!$M$27,Inputs!$B$4="Chapter Hunt"),CHOOSE(ArtifactsInput!$N$27+1,20,24,28,32,36,40),0)/100)),0)</f>
        <v/>
      </c>
      <c r="R1462">
        <f>IF(AND(Inputs!$B$38&lt;&gt;"pvp",Inputs!$B$43&gt;0),IF(MAX(0,Inputs!$B$43-B1493)&lt;=0,0,(INT(MAX(0,Inputs!$B$43-B1493)/(IF(Inputs!$B$38="pvp",15,MAX(0.1,Skills!D5-IF(TRUE=TRUE,Inputs!$B$32,0)))*(1-IF(AND(ArtifactsInput!$M$27,Inputs!$B$4="Chapter Hunt"),CHOOSE(ArtifactsInput!$N$27+1,20,24,28,32,36,40),0)/100)))+1)),0)</f>
        <v/>
      </c>
      <c r="S1462">
        <f>IFERROR(O1462/N1462,0)</f>
        <v/>
      </c>
      <c r="T1462">
        <f>IF(C1462,(H1462*N1462*IF(AND(Inputs!$B$38&lt;&gt;"pvp",Inputs!$B$43&gt;0),((Skills!G5*((R1462-1)*IF(Skills!H5&gt;0,INT(Skills!I5/Skills!H5+0.000000001),1)+IF(Skills!H5&gt;0,INT(MIN(Skills!I5,MAX(0,MAX(0,Inputs!$B$43-B1493)-((R1462-1)*(IF(Inputs!$B$38="pvp",15,MAX(0.1,Skills!D5-IF(TRUE=TRUE,Inputs!$B$32,0)))*(1-IF(AND(ArtifactsInput!$M$27,Inputs!$B$4="Chapter Hunt"),CHOOSE(ArtifactsInput!$N$27+1,20,24,28,32,36,40),0)/100)))))/Skills!H5+0.000000001),1)))/Inputs!$B$43),G1462*Q1462))*IF(Inputs!$B$38="pvp",1,1+(Inputs!$B$20+0+Skills!P5+(((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INT(Skills!I5/Skills!H5+0.000000001),1)+IF(Skills!H5&gt;0,INT(MIN(Skills!I5,MAX(0,MAX(0,Inputs!$B$43-B1493)-((R1462-1)*(IF(Inputs!$B$38="pvp",15,MAX(0.1,Skills!D5-IF(TRUE=TRUE,Inputs!$B$32,0)))*(1-IF(AND(ArtifactsInput!$M$27,Inputs!$B$4="Chapter Hunt"),CHOOSE(ArtifactsInput!$N$27+1,20,24,28,32,36,40),0)/100)))))/Skills!H5+0.000000001),1)))/Inputs!$B$43),G1462*Q1462))*IF(Inputs!$B$38="pvp",1,(1+(Inputs!$B$21+Skills!Q5+(((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Skills!G6*IF(Skills!H6&gt;0,INT(IF(Inputs!$B$38="pvp",MIN(Skills!I6,15),Skills!I6)/Skills!H6+0.000000001),1)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IFERROR(1/(IF(Inputs!$B$38="pvp",15,MAX(0.1,Skills!D6-IF(TRUE=TRUE,Inputs!$B$32,0)))*(1-IF(AND(ArtifactsInput!$M$27,Inputs!$B$4="Chapter Hunt"),CHOOSE(ArtifactsInput!$N$27+1,20,24,28,32,36,40),0)/100)),0)</f>
        <v/>
      </c>
      <c r="R1463">
        <f>IF(AND(Inputs!$B$38&lt;&gt;"pvp",Inputs!$B$43&gt;0),IF(MAX(0,Inputs!$B$43-B1493)&lt;=0,0,(INT(MAX(0,Inputs!$B$43-B1493)/(IF(Inputs!$B$38="pvp",15,MAX(0.1,Skills!D6-IF(TRUE=TRUE,Inputs!$B$32,0)))*(1-IF(AND(ArtifactsInput!$M$27,Inputs!$B$4="Chapter Hunt"),CHOOSE(ArtifactsInput!$N$27+1,20,24,28,32,36,40),0)/100)))+1)),0)</f>
        <v/>
      </c>
      <c r="S1463">
        <f>IFERROR(O1463/N1463,0)</f>
        <v/>
      </c>
      <c r="T1463">
        <f>IF(C1463,(H1463*N1463*IF(AND(Inputs!$B$38&lt;&gt;"pvp",Inputs!$B$43&gt;0),((Skills!G6*((R1463-1)*IF(Skills!H6&gt;0,INT(Skills!I6/Skills!H6+0.000000001),1)+IF(Skills!H6&gt;0,INT(MIN(Skills!I6,MAX(0,MAX(0,Inputs!$B$43-B1493)-((R1463-1)*(IF(Inputs!$B$38="pvp",15,MAX(0.1,Skills!D6-IF(TRUE=TRUE,Inputs!$B$32,0)))*(1-IF(AND(ArtifactsInput!$M$27,Inputs!$B$4="Chapter Hunt"),CHOOSE(ArtifactsInput!$N$27+1,20,24,28,32,36,40),0)/100)))))/Skills!H6+0.000000001),1)))/Inputs!$B$43),G1463*Q1463))*IF(Inputs!$B$38="pvp",1,1+(Inputs!$B$20+0+Skills!P6+(((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INT(Skills!I6/Skills!H6+0.000000001),1)+IF(Skills!H6&gt;0,INT(MIN(Skills!I6,MAX(0,MAX(0,Inputs!$B$43-B1493)-((R1463-1)*(IF(Inputs!$B$38="pvp",15,MAX(0.1,Skills!D6-IF(TRUE=TRUE,Inputs!$B$32,0)))*(1-IF(AND(ArtifactsInput!$M$27,Inputs!$B$4="Chapter Hunt"),CHOOSE(ArtifactsInput!$N$27+1,20,24,28,32,36,40),0)/100)))))/Skills!H6+0.000000001),1)))/Inputs!$B$43),G1463*Q1463))*IF(Inputs!$B$38="pvp",1,(1+(Inputs!$B$21+Skills!Q6+(((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Skills!G7*IF(Skills!H7&gt;0,INT(IF(Inputs!$B$38="pvp",MIN(Skills!I7,15),Skills!I7)/Skills!H7+0.000000001),1)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IFERROR(1/(IF(Inputs!$B$38="pvp",15,MAX(0.1,Skills!D7-IF(TRUE=TRUE,Inputs!$B$32,0)))*(1-IF(AND(ArtifactsInput!$M$27,Inputs!$B$4="Chapter Hunt"),CHOOSE(ArtifactsInput!$N$27+1,20,24,28,32,36,40),0)/100)),0)</f>
        <v/>
      </c>
      <c r="R1464">
        <f>IF(AND(Inputs!$B$38&lt;&gt;"pvp",Inputs!$B$43&gt;0),IF(MAX(0,Inputs!$B$43-B1493)&lt;=0,0,(INT(MAX(0,Inputs!$B$43-B1493)/(IF(Inputs!$B$38="pvp",15,MAX(0.1,Skills!D7-IF(TRUE=TRUE,Inputs!$B$32,0)))*(1-IF(AND(ArtifactsInput!$M$27,Inputs!$B$4="Chapter Hunt"),CHOOSE(ArtifactsInput!$N$27+1,20,24,28,32,36,40),0)/100)))+1)),0)</f>
        <v/>
      </c>
      <c r="S1464">
        <f>IFERROR(O1464/N1464,0)</f>
        <v/>
      </c>
      <c r="T1464">
        <f>IF(C1464,(H1464*N1464*IF(AND(Inputs!$B$38&lt;&gt;"pvp",Inputs!$B$43&gt;0),((Skills!G7*((R1464-1)*IF(Skills!H7&gt;0,INT(Skills!I7/Skills!H7+0.000000001),1)+IF(Skills!H7&gt;0,INT(MIN(Skills!I7,MAX(0,MAX(0,Inputs!$B$43-B1493)-((R1464-1)*(IF(Inputs!$B$38="pvp",15,MAX(0.1,Skills!D7-IF(TRUE=TRUE,Inputs!$B$32,0)))*(1-IF(AND(ArtifactsInput!$M$27,Inputs!$B$4="Chapter Hunt"),CHOOSE(ArtifactsInput!$N$27+1,20,24,28,32,36,40),0)/100)))))/Skills!H7+0.000000001),1)))/Inputs!$B$43),G1464*Q1464))*IF(Inputs!$B$38="pvp",1,1+(Inputs!$B$20+0+Skills!P7+(((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INT(Skills!I7/Skills!H7+0.000000001),1)+IF(Skills!H7&gt;0,INT(MIN(Skills!I7,MAX(0,MAX(0,Inputs!$B$43-B1493)-((R1464-1)*(IF(Inputs!$B$38="pvp",15,MAX(0.1,Skills!D7-IF(TRUE=TRUE,Inputs!$B$32,0)))*(1-IF(AND(ArtifactsInput!$M$27,Inputs!$B$4="Chapter Hunt"),CHOOSE(ArtifactsInput!$N$27+1,20,24,28,32,36,40),0)/100)))))/Skills!H7+0.000000001),1)))/Inputs!$B$43),G1464*Q1464))*IF(Inputs!$B$38="pvp",1,(1+(Inputs!$B$21+Skills!Q7+(((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Skills!G8*IF(Skills!H8&gt;0,INT(IF(Inputs!$B$38="pvp",MIN(Skills!I8,15),Skills!I8)/Skills!H8+0.000000001),1)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IFERROR(1/(IF(Inputs!$B$38="pvp",15,MAX(0.1,Skills!D8-IF(TRUE=TRUE,Inputs!$B$32,0)))*(1-IF(AND(ArtifactsInput!$M$27,Inputs!$B$4="Chapter Hunt"),CHOOSE(ArtifactsInput!$N$27+1,20,24,28,32,36,40),0)/100)),0)</f>
        <v/>
      </c>
      <c r="R1465">
        <f>IF(AND(Inputs!$B$38&lt;&gt;"pvp",Inputs!$B$43&gt;0),IF(MAX(0,Inputs!$B$43-B1493)&lt;=0,0,(INT(MAX(0,Inputs!$B$43-B1493)/(IF(Inputs!$B$38="pvp",15,MAX(0.1,Skills!D8-IF(TRUE=TRUE,Inputs!$B$32,0)))*(1-IF(AND(ArtifactsInput!$M$27,Inputs!$B$4="Chapter Hunt"),CHOOSE(ArtifactsInput!$N$27+1,20,24,28,32,36,40),0)/100)))+1)),0)</f>
        <v/>
      </c>
      <c r="S1465">
        <f>IFERROR(O1465/N1465,0)</f>
        <v/>
      </c>
      <c r="T1465">
        <f>IF(C1465,(H1465*N1465*IF(AND(Inputs!$B$38&lt;&gt;"pvp",Inputs!$B$43&gt;0),((Skills!G8*((R1465-1)*IF(Skills!H8&gt;0,INT(Skills!I8/Skills!H8+0.000000001),1)+IF(Skills!H8&gt;0,INT(MIN(Skills!I8,MAX(0,MAX(0,Inputs!$B$43-B1493)-((R1465-1)*(IF(Inputs!$B$38="pvp",15,MAX(0.1,Skills!D8-IF(TRUE=TRUE,Inputs!$B$32,0)))*(1-IF(AND(ArtifactsInput!$M$27,Inputs!$B$4="Chapter Hunt"),CHOOSE(ArtifactsInput!$N$27+1,20,24,28,32,36,40),0)/100)))))/Skills!H8+0.000000001),1)))/Inputs!$B$43),G1465*Q1465))*IF(Inputs!$B$38="pvp",1,1+(Inputs!$B$20+0+Skills!P8+(((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INT(Skills!I8/Skills!H8+0.000000001),1)+IF(Skills!H8&gt;0,INT(MIN(Skills!I8,MAX(0,MAX(0,Inputs!$B$43-B1493)-((R1465-1)*(IF(Inputs!$B$38="pvp",15,MAX(0.1,Skills!D8-IF(TRUE=TRUE,Inputs!$B$32,0)))*(1-IF(AND(ArtifactsInput!$M$27,Inputs!$B$4="Chapter Hunt"),CHOOSE(ArtifactsInput!$N$27+1,20,24,28,32,36,40),0)/100)))))/Skills!H8+0.000000001),1)))/Inputs!$B$43),G1465*Q1465))*IF(Inputs!$B$38="pvp",1,(1+(Inputs!$B$21+Skills!Q8+(((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Skills!G9*IF(Skills!H9&gt;0,INT(IF(Inputs!$B$38="pvp",MIN(Skills!I9,15),Skills!I9)/Skills!H9+0.000000001),1)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138,MAX(0,IF(Inputs!$B$3&gt;=118,8,IF(Inputs!$B$3&gt;=110,7,5))-5)*50,0),0)/100)*(1+(IF(Skills!A9="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IFERROR(1/(IF(Inputs!$B$38="pvp",15,MAX(0.1,Skills!D9-IF(TRUE=TRUE,Inputs!$B$32,0)))*(1-IF(AND(ArtifactsInput!$M$27,Inputs!$B$4="Chapter Hunt"),CHOOSE(ArtifactsInput!$N$27+1,20,24,28,32,36,40),0)/100)),0)</f>
        <v/>
      </c>
      <c r="R1466">
        <f>IF(AND(Inputs!$B$38&lt;&gt;"pvp",Inputs!$B$43&gt;0),IF(MAX(0,Inputs!$B$43-B1493)&lt;=0,0,(INT(MAX(0,Inputs!$B$43-B1493)/(IF(Inputs!$B$38="pvp",15,MAX(0.1,Skills!D9-IF(TRUE=TRUE,Inputs!$B$32,0)))*(1-IF(AND(ArtifactsInput!$M$27,Inputs!$B$4="Chapter Hunt"),CHOOSE(ArtifactsInput!$N$27+1,20,24,28,32,36,40),0)/100)))+1)),0)</f>
        <v/>
      </c>
      <c r="S1466">
        <f>IFERROR(O1466/N1466,0)</f>
        <v/>
      </c>
      <c r="T1466">
        <f>IF(C1466,(H1466*N1466*IF(AND(Inputs!$B$38&lt;&gt;"pvp",Inputs!$B$43&gt;0),((Skills!G9*((R1466-1)*IF(Skills!H9&gt;0,INT(Skills!I9/Skills!H9+0.000000001),1)+IF(Skills!H9&gt;0,INT(MIN(Skills!I9,MAX(0,MAX(0,Inputs!$B$43-B1493)-((R1466-1)*(IF(Inputs!$B$38="pvp",15,MAX(0.1,Skills!D9-IF(TRUE=TRUE,Inputs!$B$32,0)))*(1-IF(AND(ArtifactsInput!$M$27,Inputs!$B$4="Chapter Hunt"),CHOOSE(ArtifactsInput!$N$27+1,20,24,28,32,36,40),0)/100)))))/Skills!H9+0.000000001),1)))/Inputs!$B$43),G1466*Q1466))*IF(Inputs!$B$38="pvp",1,1+(Inputs!$B$20+0+Skills!P9+(((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INT(Skills!I9/Skills!H9+0.000000001),1)+IF(Skills!H9&gt;0,INT(MIN(Skills!I9,MAX(0,MAX(0,Inputs!$B$43-B1493)-((R1466-1)*(IF(Inputs!$B$38="pvp",15,MAX(0.1,Skills!D9-IF(TRUE=TRUE,Inputs!$B$32,0)))*(1-IF(AND(ArtifactsInput!$M$27,Inputs!$B$4="Chapter Hunt"),CHOOSE(ArtifactsInput!$N$27+1,20,24,28,32,36,40),0)/100)))))/Skills!H9+0.000000001),1)))/Inputs!$B$43),G1466*Q1466))*IF(Inputs!$B$38="pvp",1,(1+(Inputs!$B$21+Skills!Q9+(((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Skills!G10*IF(Skills!H10&gt;0,INT(IF(Inputs!$B$38="pvp",MIN(Skills!I10,15),Skills!I10)/Skills!H10+0.000000001),1)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138,MAX(0,IF(Inputs!$B$3&gt;=118,8,IF(Inputs!$B$3&gt;=110,7,5))-5)*50,0),0)/100)*(1+(IF(Skills!A10="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IFERROR(1/(IF(Inputs!$B$38="pvp",15,MAX(0.1,Skills!D10-IF(TRUE=TRUE,Inputs!$B$32,0)))*(1-IF(AND(ArtifactsInput!$M$27,Inputs!$B$4="Chapter Hunt"),CHOOSE(ArtifactsInput!$N$27+1,20,24,28,32,36,40),0)/100)),0)</f>
        <v/>
      </c>
      <c r="R1467">
        <f>IF(AND(Inputs!$B$38&lt;&gt;"pvp",Inputs!$B$43&gt;0),IF(MAX(0,Inputs!$B$43-B1493)&lt;=0,0,(INT(MAX(0,Inputs!$B$43-B1493)/(IF(Inputs!$B$38="pvp",15,MAX(0.1,Skills!D10-IF(TRUE=TRUE,Inputs!$B$32,0)))*(1-IF(AND(ArtifactsInput!$M$27,Inputs!$B$4="Chapter Hunt"),CHOOSE(ArtifactsInput!$N$27+1,20,24,28,32,36,40),0)/100)))+1)),0)</f>
        <v/>
      </c>
      <c r="S1467">
        <f>IFERROR(O1467/N1467,0)</f>
        <v/>
      </c>
      <c r="T1467">
        <f>IF(C1467,(H1467*N1467*IF(AND(Inputs!$B$38&lt;&gt;"pvp",Inputs!$B$43&gt;0),((Skills!G10*((R1467-1)*IF(Skills!H10&gt;0,INT(Skills!I10/Skills!H10+0.000000001),1)+IF(Skills!H10&gt;0,INT(MIN(Skills!I10,MAX(0,MAX(0,Inputs!$B$43-B1493)-((R1467-1)*(IF(Inputs!$B$38="pvp",15,MAX(0.1,Skills!D10-IF(TRUE=TRUE,Inputs!$B$32,0)))*(1-IF(AND(ArtifactsInput!$M$27,Inputs!$B$4="Chapter Hunt"),CHOOSE(ArtifactsInput!$N$27+1,20,24,28,32,36,40),0)/100)))))/Skills!H10+0.000000001),1)))/Inputs!$B$43),G1467*Q1467))*IF(Inputs!$B$38="pvp",1,1+(Inputs!$B$20+0+Skills!P10+(((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INT(Skills!I10/Skills!H10+0.000000001),1)+IF(Skills!H10&gt;0,INT(MIN(Skills!I10,MAX(0,MAX(0,Inputs!$B$43-B1493)-((R1467-1)*(IF(Inputs!$B$38="pvp",15,MAX(0.1,Skills!D10-IF(TRUE=TRUE,Inputs!$B$32,0)))*(1-IF(AND(ArtifactsInput!$M$27,Inputs!$B$4="Chapter Hunt"),CHOOSE(ArtifactsInput!$N$27+1,20,24,28,32,36,40),0)/100)))))/Skills!H10+0.000000001),1)))/Inputs!$B$43),G1467*Q1467))*IF(Inputs!$B$38="pvp",1,(1+(Inputs!$B$21+Skills!Q10+(((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Skills!G11*IF(Skills!H11&gt;0,INT(IF(Inputs!$B$38="pvp",MIN(Skills!I11,15),Skills!I11)/Skills!H11+0.000000001),1)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138,MAX(0,IF(Inputs!$B$3&gt;=118,8,IF(Inputs!$B$3&gt;=110,7,5))-5)*50,0),0)/100)*(1+(IF(Skills!A11="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IFERROR(1/(IF(Inputs!$B$38="pvp",15,MAX(0.1,Skills!D11-IF(TRUE=TRUE,Inputs!$B$32,0)))*(1-IF(AND(ArtifactsInput!$M$27,Inputs!$B$4="Chapter Hunt"),CHOOSE(ArtifactsInput!$N$27+1,20,24,28,32,36,40),0)/100)),0)</f>
        <v/>
      </c>
      <c r="R1468">
        <f>IF(AND(Inputs!$B$38&lt;&gt;"pvp",Inputs!$B$43&gt;0),IF(MAX(0,Inputs!$B$43-B1493)&lt;=0,0,(INT(MAX(0,Inputs!$B$43-B1493)/(IF(Inputs!$B$38="pvp",15,MAX(0.1,Skills!D11-IF(TRUE=TRUE,Inputs!$B$32,0)))*(1-IF(AND(ArtifactsInput!$M$27,Inputs!$B$4="Chapter Hunt"),CHOOSE(ArtifactsInput!$N$27+1,20,24,28,32,36,40),0)/100)))+1)),0)</f>
        <v/>
      </c>
      <c r="S1468">
        <f>IFERROR(O1468/N1468,0)</f>
        <v/>
      </c>
      <c r="T1468">
        <f>IF(C1468,(H1468*N1468*IF(AND(Inputs!$B$38&lt;&gt;"pvp",Inputs!$B$43&gt;0),((Skills!G11*((R1468-1)*IF(Skills!H11&gt;0,INT(Skills!I11/Skills!H11+0.000000001),1)+IF(Skills!H11&gt;0,INT(MIN(Skills!I11,MAX(0,MAX(0,Inputs!$B$43-B1493)-((R1468-1)*(IF(Inputs!$B$38="pvp",15,MAX(0.1,Skills!D11-IF(TRUE=TRUE,Inputs!$B$32,0)))*(1-IF(AND(ArtifactsInput!$M$27,Inputs!$B$4="Chapter Hunt"),CHOOSE(ArtifactsInput!$N$27+1,20,24,28,32,36,40),0)/100)))))/Skills!H11+0.000000001),1)))/Inputs!$B$43),G1468*Q1468))*IF(Inputs!$B$38="pvp",1,1+(Inputs!$B$20+0+Skills!P11+(((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INT(Skills!I11/Skills!H11+0.000000001),1)+IF(Skills!H11&gt;0,INT(MIN(Skills!I11,MAX(0,MAX(0,Inputs!$B$43-B1493)-((R1468-1)*(IF(Inputs!$B$38="pvp",15,MAX(0.1,Skills!D11-IF(TRUE=TRUE,Inputs!$B$32,0)))*(1-IF(AND(ArtifactsInput!$M$27,Inputs!$B$4="Chapter Hunt"),CHOOSE(ArtifactsInput!$N$27+1,20,24,28,32,36,40),0)/100)))))/Skills!H11+0.000000001),1)))/Inputs!$B$43),G1468*Q1468))*IF(Inputs!$B$38="pvp",1,(1+(Inputs!$B$21+Skills!Q11+(((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Skills!G13*IF(Skills!H13&gt;0,INT(IF(Inputs!$B$38="pvp",MIN(Skills!I13,15),Skills!I13)/Skills!H13+0.000000001),1)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Skills!G14*IF(Skills!H14&gt;0,INT(IF(Inputs!$B$38="pvp",MIN(Skills!I14,15),Skills!I14)/Skills!H14+0.000000001),1)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Skills!G15*IF(Skills!H15&gt;0,INT(IF(Inputs!$B$38="pvp",MIN(Skills!I15,15),Skills!I15)/Skills!H15+0.000000001),1)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IFERROR(1/(IF(Inputs!$B$38="pvp",15,MAX(0.1,Skills!D15-IF(TRUE=TRUE,Inputs!$B$32,0)))*(1-IF(AND(ArtifactsInput!$M$27,Inputs!$B$4="Chapter Hunt"),CHOOSE(ArtifactsInput!$N$27+1,20,24,28,32,36,40),0)/100)),0)</f>
        <v/>
      </c>
      <c r="R1472">
        <f>IF(AND(Inputs!$B$38&lt;&gt;"pvp",Inputs!$B$43&gt;0),IF(Inputs!$B$43&lt;=0,0,(INT(Inputs!$B$43/(IF(Inputs!$B$38="pvp",15,MAX(0.1,Skills!D15-IF(TRUE=TRUE,Inputs!$B$32,0)))*(1-IF(AND(ArtifactsInput!$M$27,Inputs!$B$4="Chapter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Skills!G16*IF(Skills!H16&gt;0,INT(IF(Inputs!$B$38="pvp",MIN(Skills!I16,15),Skills!I16)/Skills!H16+0.000000001),1)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IFERROR(1/(IF(Inputs!$B$38="pvp",15,MAX(0.1,Skills!D16-IF(TRUE=TRUE,Inputs!$B$32,0)))*(1-IF(AND(ArtifactsInput!$M$27,Inputs!$B$4="Chapter Hunt"),CHOOSE(ArtifactsInput!$N$27+1,20,24,28,32,36,40),0)/100)),0)</f>
        <v/>
      </c>
      <c r="R1473">
        <f>IF(AND(Inputs!$B$38&lt;&gt;"pvp",Inputs!$B$43&gt;0),IF(Inputs!$B$43&lt;=0,0,(INT(Inputs!$B$43/(IF(Inputs!$B$38="pvp",15,MAX(0.1,Skills!D16-IF(TRUE=TRUE,Inputs!$B$32,0)))*(1-IF(AND(ArtifactsInput!$M$27,Inputs!$B$4="Chapter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Skills!G17*IF(Skills!H17&gt;0,INT(IF(Inputs!$B$38="pvp",MIN(Skills!I17,15),Skills!I17)/Skills!H17+0.000000001),1)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IFERROR(1/(IF(Inputs!$B$38="pvp",15,MAX(0.1,Skills!D17-IF(TRUE=TRUE,Inputs!$B$32,0)))*(1-IF(AND(ArtifactsInput!$M$27,Inputs!$B$4="Chapter Hunt"),CHOOSE(ArtifactsInput!$N$27+1,20,24,28,32,36,40),0)/100)),0)</f>
        <v/>
      </c>
      <c r="R1474">
        <f>IF(AND(Inputs!$B$38&lt;&gt;"pvp",Inputs!$B$43&gt;0),IF(Inputs!$B$43&lt;=0,0,(INT(Inputs!$B$43/(IF(Inputs!$B$38="pvp",15,MAX(0.1,Skills!D17-IF(TRUE=TRUE,Inputs!$B$32,0)))*(1-IF(AND(ArtifactsInput!$M$27,Inputs!$B$4="Chapter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Skills!G18*IF(Skills!H18&gt;0,INT(IF(Inputs!$B$38="pvp",MIN(Skills!I18,15),Skills!I18)/Skills!H18+0.000000001),1)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IFERROR(1/(IF(Inputs!$B$38="pvp",15,MAX(0.1,Skills!D18-IF(TRUE=TRUE,Inputs!$B$32,0)))*(1-IF(AND(ArtifactsInput!$M$27,Inputs!$B$4="Chapter Hunt"),CHOOSE(ArtifactsInput!$N$27+1,20,24,28,32,36,40),0)/100)),0)</f>
        <v/>
      </c>
      <c r="R1475">
        <f>IF(AND(Inputs!$B$38&lt;&gt;"pvp",Inputs!$B$43&gt;0),IF(Inputs!$B$43&lt;=0,0,(INT(Inputs!$B$43/(IF(Inputs!$B$38="pvp",15,MAX(0.1,Skills!D18-IF(TRUE=TRUE,Inputs!$B$32,0)))*(1-IF(AND(ArtifactsInput!$M$27,Inputs!$B$4="Chapter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Skills!G19*IF(Skills!H19&gt;0,INT(IF(Inputs!$B$38="pvp",MIN(Skills!I19,15),Skills!I19)/Skills!H19+0.000000001),1)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IFERROR(1/(IF(Inputs!$B$38="pvp",15,MAX(0.1,Skills!D19-IF(TRUE=TRUE,Inputs!$B$32,0)))*(1-IF(AND(ArtifactsInput!$M$27,Inputs!$B$4="Chapter Hunt"),CHOOSE(ArtifactsInput!$N$27+1,20,24,28,32,36,40),0)/100)),0)</f>
        <v/>
      </c>
      <c r="R1476">
        <f>IF(AND(Inputs!$B$38&lt;&gt;"pvp",Inputs!$B$43&gt;0),IF(Inputs!$B$43&lt;=0,0,(INT(Inputs!$B$43/(IF(Inputs!$B$38="pvp",15,MAX(0.1,Skills!D19-IF(TRUE=TRUE,Inputs!$B$32,0)))*(1-IF(AND(ArtifactsInput!$M$27,Inputs!$B$4="Chapter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Skills!G20*IF(Skills!H20&gt;0,INT(IF(Inputs!$B$38="pvp",MIN(Skills!I20,15),Skills!I20)/Skills!H20+0.000000001),1)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Skills!G21*IF(Skills!H21&gt;0,INT(IF(Inputs!$B$38="pvp",MIN(Skills!I21,15),Skills!I21)/Skills!H21+0.000000001),1)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Skills!G22*IF(Skills!H22&gt;0,INT(IF(Inputs!$B$38="pvp",MIN(Skills!I22,15),Skills!I22)/Skills!H22+0.000000001),1)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Skills!G23*IF(Skills!H23&gt;0,INT(IF(Inputs!$B$38="pvp",MIN(Skills!I23,15),Skills!I23)/Skills!H23+0.000000001),1)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Skills!G24*IF(Skills!H24&gt;0,INT(IF(Inputs!$B$38="pvp",MIN(Skills!I24,15),Skills!I24)/Skills!H24+0.000000001),1)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Skills!G25*IF(Skills!H25&gt;0,INT(IF(Inputs!$B$38="pvp",MIN(Skills!I25,15),Skills!I25)/Skills!H25+0.000000001),1)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Skills!G26*IF(Skills!H26&gt;0,INT(IF(Inputs!$B$38="pvp",MIN(Skills!I26,15),Skills!I26)/Skills!H26+0.000000001),1)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MIN((Skills!T19*(1+(Inputs!$B$34+(ArtifactsInput!$M$7-ArtifactsInput!$M$7)*CHOOSE(ArtifactsInput!$N$7+1,6,7.2,8.4,9.6,10.8,12))/100)),(1/Q1476))+MIN((Skills!T19*(1+(Inputs!$B$34+(ArtifactsInput!$M$7-ArtifactsInput!$M$7)*CHOOSE(ArtifactsInput!$N$7+1,6,7.2,8.4,9.6,10.8,12))/100)),MAX(0,Inputs!$B$43-((R1476-1)*(1/Q1476)))))/Inputs!$B$43),IF(Inputs!$B$38="pvp",MIN((Skills!T19*(1+(Inputs!$B$34+(ArtifactsInput!$M$7-ArtifactsInput!$M$7)*CHOOSE(ArtifactsInput!$N$7+1,6,7.2,8.4,9.6,10.8,12))/100)),15)/15,MIN(1,(Skills!T19*(1+(Inputs!$B$34+(ArtifactsInput!$M$7-ArtifactsInput!$M$7)*CHOOSE(ArtifactsInput!$N$7+1,6,7.2,8.4,9.6,10.8,12))/100))/(1/Q1476)))))</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MIN((Skills!T18*(1+(Inputs!$B$34+(ArtifactsInput!$M$7-ArtifactsInput!$M$7)*CHOOSE(ArtifactsInput!$N$7+1,6,7.2,8.4,9.6,10.8,12))/100)),(1/Q1475))+MIN((Skills!T18*(1+(Inputs!$B$34+(ArtifactsInput!$M$7-ArtifactsInput!$M$7)*CHOOSE(ArtifactsInput!$N$7+1,6,7.2,8.4,9.6,10.8,12))/100)),MAX(0,Inputs!$B$43-((R1475-1)*(1/Q1475)))))/Inputs!$B$43),IF(Inputs!$B$38="pvp",MIN((Skills!T18*(1+(Inputs!$B$34+(ArtifactsInput!$M$7-ArtifactsInput!$M$7)*CHOOSE(ArtifactsInput!$N$7+1,6,7.2,8.4,9.6,10.8,12))/100)),15)/15,MIN(1,(Skills!T18*(1+(Inputs!$B$34+(ArtifactsInput!$M$7-ArtifactsInput!$M$7)*CHOOSE(ArtifactsInput!$N$7+1,6,7.2,8.4,9.6,10.8,12))/100))/(1/Q1475)))))</f>
        <v/>
      </c>
    </row>
    <row r="1492">
      <c r="A1492" t="inlineStr">
        <is>
          <t>Global Final Damage Bonus % (Enrage + Combo Synergy)</t>
        </is>
      </c>
      <c r="B1492">
        <f>((C1474=TRUE)*F1474*IF(AND(Inputs!$B$38&lt;&gt;"pvp",Inputs!$B$43&gt;0),(((R1474-1)*MIN((Skills!T17*(1+(Inputs!$B$34+(ArtifactsInput!$M$7-ArtifactsInput!$M$7)*CHOOSE(ArtifactsInput!$N$7+1,6,7.2,8.4,9.6,10.8,12))/100)),(1/Q1474))+MIN((Skills!T17*(1+(Inputs!$B$34+(ArtifactsInput!$M$7-ArtifactsInput!$M$7)*CHOOSE(ArtifactsInput!$N$7+1,6,7.2,8.4,9.6,10.8,12))/100)),MAX(0,Inputs!$B$43-((R1474-1)*(1/Q1474)))))/Inputs!$B$43),IF(Inputs!$B$38="pvp",MIN((Skills!T17*(1+(Inputs!$B$34+(ArtifactsInput!$M$7-ArtifactsInput!$M$7)*CHOOSE(ArtifactsInput!$N$7+1,6,7.2,8.4,9.6,10.8,12))/100)),15)/15,MIN(1,(Skills!T17*(1+(Inputs!$B$34+(ArtifactsInput!$M$7-ArtifactsInput!$M$7)*CHOOSE(ArtifactsInput!$N$7+1,6,7.2,8.4,9.6,10.8,12))/100))/(1/Q1474)))))+((C1471=TRUE)*F1471*IF(Inputs!$B$3&gt;=118,8,IF(Inputs!$B$3&gt;=110,7,5)))+IF(Inputs!$B$3&gt;=98,5,0)</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Skills!G2*IF(Skills!H2&gt;0,INT(IF(Inputs!$B$38="pvp",MIN(Skills!I2,15),Skills!I2)/Skills!H2+0.000000001),1)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Skills!G5*IF(Skills!H5&gt;0,INT(IF(Inputs!$B$38="pvp",MIN(Skills!I5,15),Skills!I5)/Skills!H5+0.000000001),1)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IFERROR(1/(IF(Inputs!$B$38="pvp",15,MAX(0.1,Skills!D5-IF(TRUE=TRUE,Inputs!$B$32,0)))*(1-IF(AND(ArtifactsInput!$M$27,Inputs!$B$4="Chapter Hunt"),CHOOSE(ArtifactsInput!$N$27+1,20,24,28,32,36,40),0)/100)),0)</f>
        <v/>
      </c>
      <c r="R1504">
        <f>IF(AND(Inputs!$B$38&lt;&gt;"pvp",Inputs!$B$43&gt;0),IF(MAX(0,Inputs!$B$43-B1535)&lt;=0,0,(INT(MAX(0,Inputs!$B$43-B1535)/(IF(Inputs!$B$38="pvp",15,MAX(0.1,Skills!D5-IF(TRUE=TRUE,Inputs!$B$32,0)))*(1-IF(AND(ArtifactsInput!$M$27,Inputs!$B$4="Chapter Hunt"),CHOOSE(ArtifactsInput!$N$27+1,20,24,28,32,36,40),0)/100)))+1)),0)</f>
        <v/>
      </c>
      <c r="S1504">
        <f>IFERROR(O1504/N1504,0)</f>
        <v/>
      </c>
      <c r="T1504">
        <f>IF(C1504,(H1504*N1504*IF(AND(Inputs!$B$38&lt;&gt;"pvp",Inputs!$B$43&gt;0),((Skills!G5*((R1504-1)*IF(Skills!H5&gt;0,INT(Skills!I5/Skills!H5+0.000000001),1)+IF(Skills!H5&gt;0,INT(MIN(Skills!I5,MAX(0,MAX(0,Inputs!$B$43-B1535)-((R1504-1)*(IF(Inputs!$B$38="pvp",15,MAX(0.1,Skills!D5-IF(TRUE=TRUE,Inputs!$B$32,0)))*(1-IF(AND(ArtifactsInput!$M$27,Inputs!$B$4="Chapter Hunt"),CHOOSE(ArtifactsInput!$N$27+1,20,24,28,32,36,40),0)/100)))))/Skills!H5+0.000000001),1)))/Inputs!$B$43),G1504*Q1504))*IF(Inputs!$B$38="pvp",1,1+(Inputs!$B$20+0+Skills!P5+(((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INT(Skills!I5/Skills!H5+0.000000001),1)+IF(Skills!H5&gt;0,INT(MIN(Skills!I5,MAX(0,MAX(0,Inputs!$B$43-B1535)-((R1504-1)*(IF(Inputs!$B$38="pvp",15,MAX(0.1,Skills!D5-IF(TRUE=TRUE,Inputs!$B$32,0)))*(1-IF(AND(ArtifactsInput!$M$27,Inputs!$B$4="Chapter Hunt"),CHOOSE(ArtifactsInput!$N$27+1,20,24,28,32,36,40),0)/100)))))/Skills!H5+0.000000001),1)))/Inputs!$B$43),G1504*Q1504))*IF(Inputs!$B$38="pvp",1,(1+(Inputs!$B$21+Skills!Q5+(((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Skills!G6*IF(Skills!H6&gt;0,INT(IF(Inputs!$B$38="pvp",MIN(Skills!I6,15),Skills!I6)/Skills!H6+0.000000001),1)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IFERROR(1/(IF(Inputs!$B$38="pvp",15,MAX(0.1,Skills!D6-IF(TRUE=TRUE,Inputs!$B$32,0)))*(1-IF(AND(ArtifactsInput!$M$27,Inputs!$B$4="Chapter Hunt"),CHOOSE(ArtifactsInput!$N$27+1,20,24,28,32,36,40),0)/100)),0)</f>
        <v/>
      </c>
      <c r="R1505">
        <f>IF(AND(Inputs!$B$38&lt;&gt;"pvp",Inputs!$B$43&gt;0),IF(MAX(0,Inputs!$B$43-B1535)&lt;=0,0,(INT(MAX(0,Inputs!$B$43-B1535)/(IF(Inputs!$B$38="pvp",15,MAX(0.1,Skills!D6-IF(TRUE=TRUE,Inputs!$B$32,0)))*(1-IF(AND(ArtifactsInput!$M$27,Inputs!$B$4="Chapter Hunt"),CHOOSE(ArtifactsInput!$N$27+1,20,24,28,32,36,40),0)/100)))+1)),0)</f>
        <v/>
      </c>
      <c r="S1505">
        <f>IFERROR(O1505/N1505,0)</f>
        <v/>
      </c>
      <c r="T1505">
        <f>IF(C1505,(H1505*N1505*IF(AND(Inputs!$B$38&lt;&gt;"pvp",Inputs!$B$43&gt;0),((Skills!G6*((R1505-1)*IF(Skills!H6&gt;0,INT(Skills!I6/Skills!H6+0.000000001),1)+IF(Skills!H6&gt;0,INT(MIN(Skills!I6,MAX(0,MAX(0,Inputs!$B$43-B1535)-((R1505-1)*(IF(Inputs!$B$38="pvp",15,MAX(0.1,Skills!D6-IF(TRUE=TRUE,Inputs!$B$32,0)))*(1-IF(AND(ArtifactsInput!$M$27,Inputs!$B$4="Chapter Hunt"),CHOOSE(ArtifactsInput!$N$27+1,20,24,28,32,36,40),0)/100)))))/Skills!H6+0.000000001),1)))/Inputs!$B$43),G1505*Q1505))*IF(Inputs!$B$38="pvp",1,1+(Inputs!$B$20+0+Skills!P6+(((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INT(Skills!I6/Skills!H6+0.000000001),1)+IF(Skills!H6&gt;0,INT(MIN(Skills!I6,MAX(0,MAX(0,Inputs!$B$43-B1535)-((R1505-1)*(IF(Inputs!$B$38="pvp",15,MAX(0.1,Skills!D6-IF(TRUE=TRUE,Inputs!$B$32,0)))*(1-IF(AND(ArtifactsInput!$M$27,Inputs!$B$4="Chapter Hunt"),CHOOSE(ArtifactsInput!$N$27+1,20,24,28,32,36,40),0)/100)))))/Skills!H6+0.000000001),1)))/Inputs!$B$43),G1505*Q1505))*IF(Inputs!$B$38="pvp",1,(1+(Inputs!$B$21+Skills!Q6+(((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Skills!G7*IF(Skills!H7&gt;0,INT(IF(Inputs!$B$38="pvp",MIN(Skills!I7,15),Skills!I7)/Skills!H7+0.000000001),1)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IFERROR(1/(IF(Inputs!$B$38="pvp",15,MAX(0.1,Skills!D7-IF(TRUE=TRUE,Inputs!$B$32,0)))*(1-IF(AND(ArtifactsInput!$M$27,Inputs!$B$4="Chapter Hunt"),CHOOSE(ArtifactsInput!$N$27+1,20,24,28,32,36,40),0)/100)),0)</f>
        <v/>
      </c>
      <c r="R1506">
        <f>IF(AND(Inputs!$B$38&lt;&gt;"pvp",Inputs!$B$43&gt;0),IF(MAX(0,Inputs!$B$43-B1535)&lt;=0,0,(INT(MAX(0,Inputs!$B$43-B1535)/(IF(Inputs!$B$38="pvp",15,MAX(0.1,Skills!D7-IF(TRUE=TRUE,Inputs!$B$32,0)))*(1-IF(AND(ArtifactsInput!$M$27,Inputs!$B$4="Chapter Hunt"),CHOOSE(ArtifactsInput!$N$27+1,20,24,28,32,36,40),0)/100)))+1)),0)</f>
        <v/>
      </c>
      <c r="S1506">
        <f>IFERROR(O1506/N1506,0)</f>
        <v/>
      </c>
      <c r="T1506">
        <f>IF(C1506,(H1506*N1506*IF(AND(Inputs!$B$38&lt;&gt;"pvp",Inputs!$B$43&gt;0),((Skills!G7*((R1506-1)*IF(Skills!H7&gt;0,INT(Skills!I7/Skills!H7+0.000000001),1)+IF(Skills!H7&gt;0,INT(MIN(Skills!I7,MAX(0,MAX(0,Inputs!$B$43-B1535)-((R1506-1)*(IF(Inputs!$B$38="pvp",15,MAX(0.1,Skills!D7-IF(TRUE=TRUE,Inputs!$B$32,0)))*(1-IF(AND(ArtifactsInput!$M$27,Inputs!$B$4="Chapter Hunt"),CHOOSE(ArtifactsInput!$N$27+1,20,24,28,32,36,40),0)/100)))))/Skills!H7+0.000000001),1)))/Inputs!$B$43),G1506*Q1506))*IF(Inputs!$B$38="pvp",1,1+(Inputs!$B$20+0+Skills!P7+(((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INT(Skills!I7/Skills!H7+0.000000001),1)+IF(Skills!H7&gt;0,INT(MIN(Skills!I7,MAX(0,MAX(0,Inputs!$B$43-B1535)-((R1506-1)*(IF(Inputs!$B$38="pvp",15,MAX(0.1,Skills!D7-IF(TRUE=TRUE,Inputs!$B$32,0)))*(1-IF(AND(ArtifactsInput!$M$27,Inputs!$B$4="Chapter Hunt"),CHOOSE(ArtifactsInput!$N$27+1,20,24,28,32,36,40),0)/100)))))/Skills!H7+0.000000001),1)))/Inputs!$B$43),G1506*Q1506))*IF(Inputs!$B$38="pvp",1,(1+(Inputs!$B$21+Skills!Q7+(((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Skills!G8*IF(Skills!H8&gt;0,INT(IF(Inputs!$B$38="pvp",MIN(Skills!I8,15),Skills!I8)/Skills!H8+0.000000001),1)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IFERROR(1/(IF(Inputs!$B$38="pvp",15,MAX(0.1,Skills!D8-IF(TRUE=TRUE,Inputs!$B$32,0)))*(1-IF(AND(ArtifactsInput!$M$27,Inputs!$B$4="Chapter Hunt"),CHOOSE(ArtifactsInput!$N$27+1,20,24,28,32,36,40),0)/100)),0)</f>
        <v/>
      </c>
      <c r="R1507">
        <f>IF(AND(Inputs!$B$38&lt;&gt;"pvp",Inputs!$B$43&gt;0),IF(MAX(0,Inputs!$B$43-B1535)&lt;=0,0,(INT(MAX(0,Inputs!$B$43-B1535)/(IF(Inputs!$B$38="pvp",15,MAX(0.1,Skills!D8-IF(TRUE=TRUE,Inputs!$B$32,0)))*(1-IF(AND(ArtifactsInput!$M$27,Inputs!$B$4="Chapter Hunt"),CHOOSE(ArtifactsInput!$N$27+1,20,24,28,32,36,40),0)/100)))+1)),0)</f>
        <v/>
      </c>
      <c r="S1507">
        <f>IFERROR(O1507/N1507,0)</f>
        <v/>
      </c>
      <c r="T1507">
        <f>IF(C1507,(H1507*N1507*IF(AND(Inputs!$B$38&lt;&gt;"pvp",Inputs!$B$43&gt;0),((Skills!G8*((R1507-1)*IF(Skills!H8&gt;0,INT(Skills!I8/Skills!H8+0.000000001),1)+IF(Skills!H8&gt;0,INT(MIN(Skills!I8,MAX(0,MAX(0,Inputs!$B$43-B1535)-((R1507-1)*(IF(Inputs!$B$38="pvp",15,MAX(0.1,Skills!D8-IF(TRUE=TRUE,Inputs!$B$32,0)))*(1-IF(AND(ArtifactsInput!$M$27,Inputs!$B$4="Chapter Hunt"),CHOOSE(ArtifactsInput!$N$27+1,20,24,28,32,36,40),0)/100)))))/Skills!H8+0.000000001),1)))/Inputs!$B$43),G1507*Q1507))*IF(Inputs!$B$38="pvp",1,1+(Inputs!$B$20+0+Skills!P8+(((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INT(Skills!I8/Skills!H8+0.000000001),1)+IF(Skills!H8&gt;0,INT(MIN(Skills!I8,MAX(0,MAX(0,Inputs!$B$43-B1535)-((R1507-1)*(IF(Inputs!$B$38="pvp",15,MAX(0.1,Skills!D8-IF(TRUE=TRUE,Inputs!$B$32,0)))*(1-IF(AND(ArtifactsInput!$M$27,Inputs!$B$4="Chapter Hunt"),CHOOSE(ArtifactsInput!$N$27+1,20,24,28,32,36,40),0)/100)))))/Skills!H8+0.000000001),1)))/Inputs!$B$43),G1507*Q1507))*IF(Inputs!$B$38="pvp",1,(1+(Inputs!$B$21+Skills!Q8+(((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Skills!G9*IF(Skills!H9&gt;0,INT(IF(Inputs!$B$38="pvp",MIN(Skills!I9,15),Skills!I9)/Skills!H9+0.000000001),1)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138,MAX(0,IF(Inputs!$B$3&gt;=118,8,IF(Inputs!$B$3&gt;=110,7,5))-5)*50,0),0)/100)*(1+(IF(Skills!A9="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IFERROR(1/(IF(Inputs!$B$38="pvp",15,MAX(0.1,Skills!D9-IF(TRUE=TRUE,Inputs!$B$32,0)))*(1-IF(AND(ArtifactsInput!$M$27,Inputs!$B$4="Chapter Hunt"),CHOOSE(ArtifactsInput!$N$27+1,20,24,28,32,36,40),0)/100)),0)</f>
        <v/>
      </c>
      <c r="R1508">
        <f>IF(AND(Inputs!$B$38&lt;&gt;"pvp",Inputs!$B$43&gt;0),IF(MAX(0,Inputs!$B$43-B1535)&lt;=0,0,(INT(MAX(0,Inputs!$B$43-B1535)/(IF(Inputs!$B$38="pvp",15,MAX(0.1,Skills!D9-IF(TRUE=TRUE,Inputs!$B$32,0)))*(1-IF(AND(ArtifactsInput!$M$27,Inputs!$B$4="Chapter Hunt"),CHOOSE(ArtifactsInput!$N$27+1,20,24,28,32,36,40),0)/100)))+1)),0)</f>
        <v/>
      </c>
      <c r="S1508">
        <f>IFERROR(O1508/N1508,0)</f>
        <v/>
      </c>
      <c r="T1508">
        <f>IF(C1508,(H1508*N1508*IF(AND(Inputs!$B$38&lt;&gt;"pvp",Inputs!$B$43&gt;0),((Skills!G9*((R1508-1)*IF(Skills!H9&gt;0,INT(Skills!I9/Skills!H9+0.000000001),1)+IF(Skills!H9&gt;0,INT(MIN(Skills!I9,MAX(0,MAX(0,Inputs!$B$43-B1535)-((R1508-1)*(IF(Inputs!$B$38="pvp",15,MAX(0.1,Skills!D9-IF(TRUE=TRUE,Inputs!$B$32,0)))*(1-IF(AND(ArtifactsInput!$M$27,Inputs!$B$4="Chapter Hunt"),CHOOSE(ArtifactsInput!$N$27+1,20,24,28,32,36,40),0)/100)))))/Skills!H9+0.000000001),1)))/Inputs!$B$43),G1508*Q1508))*IF(Inputs!$B$38="pvp",1,1+(Inputs!$B$20+0+Skills!P9+(((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INT(Skills!I9/Skills!H9+0.000000001),1)+IF(Skills!H9&gt;0,INT(MIN(Skills!I9,MAX(0,MAX(0,Inputs!$B$43-B1535)-((R1508-1)*(IF(Inputs!$B$38="pvp",15,MAX(0.1,Skills!D9-IF(TRUE=TRUE,Inputs!$B$32,0)))*(1-IF(AND(ArtifactsInput!$M$27,Inputs!$B$4="Chapter Hunt"),CHOOSE(ArtifactsInput!$N$27+1,20,24,28,32,36,40),0)/100)))))/Skills!H9+0.000000001),1)))/Inputs!$B$43),G1508*Q1508))*IF(Inputs!$B$38="pvp",1,(1+(Inputs!$B$21+Skills!Q9+(((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Skills!G10*IF(Skills!H10&gt;0,INT(IF(Inputs!$B$38="pvp",MIN(Skills!I10,15),Skills!I10)/Skills!H10+0.000000001),1)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138,MAX(0,IF(Inputs!$B$3&gt;=118,8,IF(Inputs!$B$3&gt;=110,7,5))-5)*50,0),0)/100)*(1+(IF(Skills!A10="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IFERROR(1/(IF(Inputs!$B$38="pvp",15,MAX(0.1,Skills!D10-IF(TRUE=TRUE,Inputs!$B$32,0)))*(1-IF(AND(ArtifactsInput!$M$27,Inputs!$B$4="Chapter Hunt"),CHOOSE(ArtifactsInput!$N$27+1,20,24,28,32,36,40),0)/100)),0)</f>
        <v/>
      </c>
      <c r="R1509">
        <f>IF(AND(Inputs!$B$38&lt;&gt;"pvp",Inputs!$B$43&gt;0),IF(MAX(0,Inputs!$B$43-B1535)&lt;=0,0,(INT(MAX(0,Inputs!$B$43-B1535)/(IF(Inputs!$B$38="pvp",15,MAX(0.1,Skills!D10-IF(TRUE=TRUE,Inputs!$B$32,0)))*(1-IF(AND(ArtifactsInput!$M$27,Inputs!$B$4="Chapter Hunt"),CHOOSE(ArtifactsInput!$N$27+1,20,24,28,32,36,40),0)/100)))+1)),0)</f>
        <v/>
      </c>
      <c r="S1509">
        <f>IFERROR(O1509/N1509,0)</f>
        <v/>
      </c>
      <c r="T1509">
        <f>IF(C1509,(H1509*N1509*IF(AND(Inputs!$B$38&lt;&gt;"pvp",Inputs!$B$43&gt;0),((Skills!G10*((R1509-1)*IF(Skills!H10&gt;0,INT(Skills!I10/Skills!H10+0.000000001),1)+IF(Skills!H10&gt;0,INT(MIN(Skills!I10,MAX(0,MAX(0,Inputs!$B$43-B1535)-((R1509-1)*(IF(Inputs!$B$38="pvp",15,MAX(0.1,Skills!D10-IF(TRUE=TRUE,Inputs!$B$32,0)))*(1-IF(AND(ArtifactsInput!$M$27,Inputs!$B$4="Chapter Hunt"),CHOOSE(ArtifactsInput!$N$27+1,20,24,28,32,36,40),0)/100)))))/Skills!H10+0.000000001),1)))/Inputs!$B$43),G1509*Q1509))*IF(Inputs!$B$38="pvp",1,1+(Inputs!$B$20+0+Skills!P10+(((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INT(Skills!I10/Skills!H10+0.000000001),1)+IF(Skills!H10&gt;0,INT(MIN(Skills!I10,MAX(0,MAX(0,Inputs!$B$43-B1535)-((R1509-1)*(IF(Inputs!$B$38="pvp",15,MAX(0.1,Skills!D10-IF(TRUE=TRUE,Inputs!$B$32,0)))*(1-IF(AND(ArtifactsInput!$M$27,Inputs!$B$4="Chapter Hunt"),CHOOSE(ArtifactsInput!$N$27+1,20,24,28,32,36,40),0)/100)))))/Skills!H10+0.000000001),1)))/Inputs!$B$43),G1509*Q1509))*IF(Inputs!$B$38="pvp",1,(1+(Inputs!$B$21+Skills!Q10+(((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Skills!G11*IF(Skills!H11&gt;0,INT(IF(Inputs!$B$38="pvp",MIN(Skills!I11,15),Skills!I11)/Skills!H11+0.000000001),1)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138,MAX(0,IF(Inputs!$B$3&gt;=118,8,IF(Inputs!$B$3&gt;=110,7,5))-5)*50,0),0)/100)*(1+(IF(Skills!A11="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IFERROR(1/(IF(Inputs!$B$38="pvp",15,MAX(0.1,Skills!D11-IF(TRUE=TRUE,Inputs!$B$32,0)))*(1-IF(AND(ArtifactsInput!$M$27,Inputs!$B$4="Chapter Hunt"),CHOOSE(ArtifactsInput!$N$27+1,20,24,28,32,36,40),0)/100)),0)</f>
        <v/>
      </c>
      <c r="R1510">
        <f>IF(AND(Inputs!$B$38&lt;&gt;"pvp",Inputs!$B$43&gt;0),IF(MAX(0,Inputs!$B$43-B1535)&lt;=0,0,(INT(MAX(0,Inputs!$B$43-B1535)/(IF(Inputs!$B$38="pvp",15,MAX(0.1,Skills!D11-IF(TRUE=TRUE,Inputs!$B$32,0)))*(1-IF(AND(ArtifactsInput!$M$27,Inputs!$B$4="Chapter Hunt"),CHOOSE(ArtifactsInput!$N$27+1,20,24,28,32,36,40),0)/100)))+1)),0)</f>
        <v/>
      </c>
      <c r="S1510">
        <f>IFERROR(O1510/N1510,0)</f>
        <v/>
      </c>
      <c r="T1510">
        <f>IF(C1510,(H1510*N1510*IF(AND(Inputs!$B$38&lt;&gt;"pvp",Inputs!$B$43&gt;0),((Skills!G11*((R1510-1)*IF(Skills!H11&gt;0,INT(Skills!I11/Skills!H11+0.000000001),1)+IF(Skills!H11&gt;0,INT(MIN(Skills!I11,MAX(0,MAX(0,Inputs!$B$43-B1535)-((R1510-1)*(IF(Inputs!$B$38="pvp",15,MAX(0.1,Skills!D11-IF(TRUE=TRUE,Inputs!$B$32,0)))*(1-IF(AND(ArtifactsInput!$M$27,Inputs!$B$4="Chapter Hunt"),CHOOSE(ArtifactsInput!$N$27+1,20,24,28,32,36,40),0)/100)))))/Skills!H11+0.000000001),1)))/Inputs!$B$43),G1510*Q1510))*IF(Inputs!$B$38="pvp",1,1+(Inputs!$B$20+0+Skills!P11+(((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INT(Skills!I11/Skills!H11+0.000000001),1)+IF(Skills!H11&gt;0,INT(MIN(Skills!I11,MAX(0,MAX(0,Inputs!$B$43-B1535)-((R1510-1)*(IF(Inputs!$B$38="pvp",15,MAX(0.1,Skills!D11-IF(TRUE=TRUE,Inputs!$B$32,0)))*(1-IF(AND(ArtifactsInput!$M$27,Inputs!$B$4="Chapter Hunt"),CHOOSE(ArtifactsInput!$N$27+1,20,24,28,32,36,40),0)/100)))))/Skills!H11+0.000000001),1)))/Inputs!$B$43),G1510*Q1510))*IF(Inputs!$B$38="pvp",1,(1+(Inputs!$B$21+Skills!Q11+(((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Skills!G13*IF(Skills!H13&gt;0,INT(IF(Inputs!$B$38="pvp",MIN(Skills!I13,15),Skills!I13)/Skills!H13+0.000000001),1)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Skills!G14*IF(Skills!H14&gt;0,INT(IF(Inputs!$B$38="pvp",MIN(Skills!I14,15),Skills!I14)/Skills!H14+0.000000001),1)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Skills!G15*IF(Skills!H15&gt;0,INT(IF(Inputs!$B$38="pvp",MIN(Skills!I15,15),Skills!I15)/Skills!H15+0.000000001),1)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IFERROR(1/(IF(Inputs!$B$38="pvp",15,MAX(0.1,Skills!D15-IF(TRUE=TRUE,Inputs!$B$32,0)))*(1-IF(AND(ArtifactsInput!$M$27,Inputs!$B$4="Chapter Hunt"),CHOOSE(ArtifactsInput!$N$27+1,20,24,28,32,36,40),0)/100)),0)</f>
        <v/>
      </c>
      <c r="R1514">
        <f>IF(AND(Inputs!$B$38&lt;&gt;"pvp",Inputs!$B$43&gt;0),IF(Inputs!$B$43&lt;=0,0,(INT(Inputs!$B$43/(IF(Inputs!$B$38="pvp",15,MAX(0.1,Skills!D15-IF(TRUE=TRUE,Inputs!$B$32,0)))*(1-IF(AND(ArtifactsInput!$M$27,Inputs!$B$4="Chapter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Skills!G16*IF(Skills!H16&gt;0,INT(IF(Inputs!$B$38="pvp",MIN(Skills!I16,15),Skills!I16)/Skills!H16+0.000000001),1)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IFERROR(1/(IF(Inputs!$B$38="pvp",15,MAX(0.1,Skills!D16-IF(TRUE=TRUE,Inputs!$B$32,0)))*(1-IF(AND(ArtifactsInput!$M$27,Inputs!$B$4="Chapter Hunt"),CHOOSE(ArtifactsInput!$N$27+1,20,24,28,32,36,40),0)/100)),0)</f>
        <v/>
      </c>
      <c r="R1515">
        <f>IF(AND(Inputs!$B$38&lt;&gt;"pvp",Inputs!$B$43&gt;0),IF(Inputs!$B$43&lt;=0,0,(INT(Inputs!$B$43/(IF(Inputs!$B$38="pvp",15,MAX(0.1,Skills!D16-IF(TRUE=TRUE,Inputs!$B$32,0)))*(1-IF(AND(ArtifactsInput!$M$27,Inputs!$B$4="Chapter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Skills!G17*IF(Skills!H17&gt;0,INT(IF(Inputs!$B$38="pvp",MIN(Skills!I17,15),Skills!I17)/Skills!H17+0.000000001),1)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IFERROR(1/(IF(Inputs!$B$38="pvp",15,MAX(0.1,Skills!D17-IF(TRUE=TRUE,Inputs!$B$32,0)))*(1-IF(AND(ArtifactsInput!$M$27,Inputs!$B$4="Chapter Hunt"),CHOOSE(ArtifactsInput!$N$27+1,20,24,28,32,36,40),0)/100)),0)</f>
        <v/>
      </c>
      <c r="R1516">
        <f>IF(AND(Inputs!$B$38&lt;&gt;"pvp",Inputs!$B$43&gt;0),IF(Inputs!$B$43&lt;=0,0,(INT(Inputs!$B$43/(IF(Inputs!$B$38="pvp",15,MAX(0.1,Skills!D17-IF(TRUE=TRUE,Inputs!$B$32,0)))*(1-IF(AND(ArtifactsInput!$M$27,Inputs!$B$4="Chapter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Skills!G18*IF(Skills!H18&gt;0,INT(IF(Inputs!$B$38="pvp",MIN(Skills!I18,15),Skills!I18)/Skills!H18+0.000000001),1)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IFERROR(1/(IF(Inputs!$B$38="pvp",15,MAX(0.1,Skills!D18-IF(TRUE=TRUE,Inputs!$B$32,0)))*(1-IF(AND(ArtifactsInput!$M$27,Inputs!$B$4="Chapter Hunt"),CHOOSE(ArtifactsInput!$N$27+1,20,24,28,32,36,40),0)/100)),0)</f>
        <v/>
      </c>
      <c r="R1517">
        <f>IF(AND(Inputs!$B$38&lt;&gt;"pvp",Inputs!$B$43&gt;0),IF(Inputs!$B$43&lt;=0,0,(INT(Inputs!$B$43/(IF(Inputs!$B$38="pvp",15,MAX(0.1,Skills!D18-IF(TRUE=TRUE,Inputs!$B$32,0)))*(1-IF(AND(ArtifactsInput!$M$27,Inputs!$B$4="Chapter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Skills!G19*IF(Skills!H19&gt;0,INT(IF(Inputs!$B$38="pvp",MIN(Skills!I19,15),Skills!I19)/Skills!H19+0.000000001),1)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IFERROR(1/(IF(Inputs!$B$38="pvp",15,MAX(0.1,Skills!D19-IF(TRUE=TRUE,Inputs!$B$32,0)))*(1-IF(AND(ArtifactsInput!$M$27,Inputs!$B$4="Chapter Hunt"),CHOOSE(ArtifactsInput!$N$27+1,20,24,28,32,36,40),0)/100)),0)</f>
        <v/>
      </c>
      <c r="R1518">
        <f>IF(AND(Inputs!$B$38&lt;&gt;"pvp",Inputs!$B$43&gt;0),IF(Inputs!$B$43&lt;=0,0,(INT(Inputs!$B$43/(IF(Inputs!$B$38="pvp",15,MAX(0.1,Skills!D19-IF(TRUE=TRUE,Inputs!$B$32,0)))*(1-IF(AND(ArtifactsInput!$M$27,Inputs!$B$4="Chapter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Skills!G20*IF(Skills!H20&gt;0,INT(IF(Inputs!$B$38="pvp",MIN(Skills!I20,15),Skills!I20)/Skills!H20+0.000000001),1)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Skills!G21*IF(Skills!H21&gt;0,INT(IF(Inputs!$B$38="pvp",MIN(Skills!I21,15),Skills!I21)/Skills!H21+0.000000001),1)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Skills!G22*IF(Skills!H22&gt;0,INT(IF(Inputs!$B$38="pvp",MIN(Skills!I22,15),Skills!I22)/Skills!H22+0.000000001),1)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Skills!G23*IF(Skills!H23&gt;0,INT(IF(Inputs!$B$38="pvp",MIN(Skills!I23,15),Skills!I23)/Skills!H23+0.000000001),1)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Skills!G24*IF(Skills!H24&gt;0,INT(IF(Inputs!$B$38="pvp",MIN(Skills!I24,15),Skills!I24)/Skills!H24+0.000000001),1)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Skills!G25*IF(Skills!H25&gt;0,INT(IF(Inputs!$B$38="pvp",MIN(Skills!I25,15),Skills!I25)/Skills!H25+0.000000001),1)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Skills!G26*IF(Skills!H26&gt;0,INT(IF(Inputs!$B$38="pvp",MIN(Skills!I26,15),Skills!I26)/Skills!H26+0.000000001),1)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MIN((Skills!T19*(1+(Inputs!$B$34+(ArtifactsInput!$M$7-ArtifactsInput!$M$7)*CHOOSE(ArtifactsInput!$N$7+1,6,7.2,8.4,9.6,10.8,12))/100)),(1/Q1518))+MIN((Skills!T19*(1+(Inputs!$B$34+(ArtifactsInput!$M$7-ArtifactsInput!$M$7)*CHOOSE(ArtifactsInput!$N$7+1,6,7.2,8.4,9.6,10.8,12))/100)),MAX(0,Inputs!$B$43-((R1518-1)*(1/Q1518)))))/Inputs!$B$43),IF(Inputs!$B$38="pvp",MIN((Skills!T19*(1+(Inputs!$B$34+(ArtifactsInput!$M$7-ArtifactsInput!$M$7)*CHOOSE(ArtifactsInput!$N$7+1,6,7.2,8.4,9.6,10.8,12))/100)),15)/15,MIN(1,(Skills!T19*(1+(Inputs!$B$34+(ArtifactsInput!$M$7-ArtifactsInput!$M$7)*CHOOSE(ArtifactsInput!$N$7+1,6,7.2,8.4,9.6,10.8,12))/100))/(1/Q1518)))))</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MIN((Skills!T18*(1+(Inputs!$B$34+(ArtifactsInput!$M$7-ArtifactsInput!$M$7)*CHOOSE(ArtifactsInput!$N$7+1,6,7.2,8.4,9.6,10.8,12))/100)),(1/Q1517))+MIN((Skills!T18*(1+(Inputs!$B$34+(ArtifactsInput!$M$7-ArtifactsInput!$M$7)*CHOOSE(ArtifactsInput!$N$7+1,6,7.2,8.4,9.6,10.8,12))/100)),MAX(0,Inputs!$B$43-((R1517-1)*(1/Q1517)))))/Inputs!$B$43),IF(Inputs!$B$38="pvp",MIN((Skills!T18*(1+(Inputs!$B$34+(ArtifactsInput!$M$7-ArtifactsInput!$M$7)*CHOOSE(ArtifactsInput!$N$7+1,6,7.2,8.4,9.6,10.8,12))/100)),15)/15,MIN(1,(Skills!T18*(1+(Inputs!$B$34+(ArtifactsInput!$M$7-ArtifactsInput!$M$7)*CHOOSE(ArtifactsInput!$N$7+1,6,7.2,8.4,9.6,10.8,12))/100))/(1/Q1517)))))</f>
        <v/>
      </c>
    </row>
    <row r="1534">
      <c r="A1534" t="inlineStr">
        <is>
          <t>Global Final Damage Bonus % (Enrage + Combo Synergy)</t>
        </is>
      </c>
      <c r="B1534">
        <f>((C1516=TRUE)*F1516*IF(AND(Inputs!$B$38&lt;&gt;"pvp",Inputs!$B$43&gt;0),(((R1516-1)*MIN((Skills!T17*(1+(Inputs!$B$34+(ArtifactsInput!$M$7-ArtifactsInput!$M$7)*CHOOSE(ArtifactsInput!$N$7+1,6,7.2,8.4,9.6,10.8,12))/100)),(1/Q1516))+MIN((Skills!T17*(1+(Inputs!$B$34+(ArtifactsInput!$M$7-ArtifactsInput!$M$7)*CHOOSE(ArtifactsInput!$N$7+1,6,7.2,8.4,9.6,10.8,12))/100)),MAX(0,Inputs!$B$43-((R1516-1)*(1/Q1516)))))/Inputs!$B$43),IF(Inputs!$B$38="pvp",MIN((Skills!T17*(1+(Inputs!$B$34+(ArtifactsInput!$M$7-ArtifactsInput!$M$7)*CHOOSE(ArtifactsInput!$N$7+1,6,7.2,8.4,9.6,10.8,12))/100)),15)/15,MIN(1,(Skills!T17*(1+(Inputs!$B$34+(ArtifactsInput!$M$7-ArtifactsInput!$M$7)*CHOOSE(ArtifactsInput!$N$7+1,6,7.2,8.4,9.6,10.8,12))/100))/(1/Q1516)))))+((C1513=TRUE)*F1513*IF(Inputs!$B$3&gt;=118,8,IF(Inputs!$B$3&gt;=110,7,5)))+IF(Inputs!$B$3&gt;=98,5,0)</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Skills!G2*IF(Skills!H2&gt;0,INT(IF(Inputs!$B$38="pvp",MIN(Skills!I2,15),Skills!I2)/Skills!H2+0.000000001),1)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Skills!G5*IF(Skills!H5&gt;0,INT(IF(Inputs!$B$38="pvp",MIN(Skills!I5,15),Skills!I5)/Skills!H5+0.000000001),1)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IFERROR(1/(IF(Inputs!$B$38="pvp",15,MAX(0.1,Skills!D5-IF(TRUE=TRUE,Inputs!$B$32,0)))*(1-IF(AND(ArtifactsInput!$M$27,Inputs!$B$4="Chapter Hunt"),CHOOSE(ArtifactsInput!$N$27+1,20,24,28,32,36,40),0)/100)),0)</f>
        <v/>
      </c>
      <c r="R1546">
        <f>IF(AND(Inputs!$B$38&lt;&gt;"pvp",Inputs!$B$43&gt;0),IF(MAX(0,Inputs!$B$43-B1577)&lt;=0,0,(INT(MAX(0,Inputs!$B$43-B1577)/(IF(Inputs!$B$38="pvp",15,MAX(0.1,Skills!D5-IF(TRUE=TRUE,Inputs!$B$32,0)))*(1-IF(AND(ArtifactsInput!$M$27,Inputs!$B$4="Chapter Hunt"),CHOOSE(ArtifactsInput!$N$27+1,20,24,28,32,36,40),0)/100)))+1)),0)</f>
        <v/>
      </c>
      <c r="S1546">
        <f>IFERROR(O1546/N1546,0)</f>
        <v/>
      </c>
      <c r="T1546">
        <f>IF(C1546,(H1546*N1546*IF(AND(Inputs!$B$38&lt;&gt;"pvp",Inputs!$B$43&gt;0),((Skills!G5*((R1546-1)*IF(Skills!H5&gt;0,INT(Skills!I5/Skills!H5+0.000000001),1)+IF(Skills!H5&gt;0,INT(MIN(Skills!I5,MAX(0,MAX(0,Inputs!$B$43-B1577)-((R1546-1)*(IF(Inputs!$B$38="pvp",15,MAX(0.1,Skills!D5-IF(TRUE=TRUE,Inputs!$B$32,0)))*(1-IF(AND(ArtifactsInput!$M$27,Inputs!$B$4="Chapter Hunt"),CHOOSE(ArtifactsInput!$N$27+1,20,24,28,32,36,40),0)/100)))))/Skills!H5+0.000000001),1)))/Inputs!$B$43),G1546*Q1546))*IF(Inputs!$B$38="pvp",1,1+(Inputs!$B$20+0+Skills!P5+(((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INT(Skills!I5/Skills!H5+0.000000001),1)+IF(Skills!H5&gt;0,INT(MIN(Skills!I5,MAX(0,MAX(0,Inputs!$B$43-B1577)-((R1546-1)*(IF(Inputs!$B$38="pvp",15,MAX(0.1,Skills!D5-IF(TRUE=TRUE,Inputs!$B$32,0)))*(1-IF(AND(ArtifactsInput!$M$27,Inputs!$B$4="Chapter Hunt"),CHOOSE(ArtifactsInput!$N$27+1,20,24,28,32,36,40),0)/100)))))/Skills!H5+0.000000001),1)))/Inputs!$B$43),G1546*Q1546))*IF(Inputs!$B$38="pvp",1,(1+(Inputs!$B$21+Skills!Q5+(((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Skills!G6*IF(Skills!H6&gt;0,INT(IF(Inputs!$B$38="pvp",MIN(Skills!I6,15),Skills!I6)/Skills!H6+0.000000001),1)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IFERROR(1/(IF(Inputs!$B$38="pvp",15,MAX(0.1,Skills!D6-IF(TRUE=TRUE,Inputs!$B$32,0)))*(1-IF(AND(ArtifactsInput!$M$27,Inputs!$B$4="Chapter Hunt"),CHOOSE(ArtifactsInput!$N$27+1,20,24,28,32,36,40),0)/100)),0)</f>
        <v/>
      </c>
      <c r="R1547">
        <f>IF(AND(Inputs!$B$38&lt;&gt;"pvp",Inputs!$B$43&gt;0),IF(MAX(0,Inputs!$B$43-B1577)&lt;=0,0,(INT(MAX(0,Inputs!$B$43-B1577)/(IF(Inputs!$B$38="pvp",15,MAX(0.1,Skills!D6-IF(TRUE=TRUE,Inputs!$B$32,0)))*(1-IF(AND(ArtifactsInput!$M$27,Inputs!$B$4="Chapter Hunt"),CHOOSE(ArtifactsInput!$N$27+1,20,24,28,32,36,40),0)/100)))+1)),0)</f>
        <v/>
      </c>
      <c r="S1547">
        <f>IFERROR(O1547/N1547,0)</f>
        <v/>
      </c>
      <c r="T1547">
        <f>IF(C1547,(H1547*N1547*IF(AND(Inputs!$B$38&lt;&gt;"pvp",Inputs!$B$43&gt;0),((Skills!G6*((R1547-1)*IF(Skills!H6&gt;0,INT(Skills!I6/Skills!H6+0.000000001),1)+IF(Skills!H6&gt;0,INT(MIN(Skills!I6,MAX(0,MAX(0,Inputs!$B$43-B1577)-((R1547-1)*(IF(Inputs!$B$38="pvp",15,MAX(0.1,Skills!D6-IF(TRUE=TRUE,Inputs!$B$32,0)))*(1-IF(AND(ArtifactsInput!$M$27,Inputs!$B$4="Chapter Hunt"),CHOOSE(ArtifactsInput!$N$27+1,20,24,28,32,36,40),0)/100)))))/Skills!H6+0.000000001),1)))/Inputs!$B$43),G1547*Q1547))*IF(Inputs!$B$38="pvp",1,1+(Inputs!$B$20+0+Skills!P6+(((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INT(Skills!I6/Skills!H6+0.000000001),1)+IF(Skills!H6&gt;0,INT(MIN(Skills!I6,MAX(0,MAX(0,Inputs!$B$43-B1577)-((R1547-1)*(IF(Inputs!$B$38="pvp",15,MAX(0.1,Skills!D6-IF(TRUE=TRUE,Inputs!$B$32,0)))*(1-IF(AND(ArtifactsInput!$M$27,Inputs!$B$4="Chapter Hunt"),CHOOSE(ArtifactsInput!$N$27+1,20,24,28,32,36,40),0)/100)))))/Skills!H6+0.000000001),1)))/Inputs!$B$43),G1547*Q1547))*IF(Inputs!$B$38="pvp",1,(1+(Inputs!$B$21+Skills!Q6+(((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Skills!G7*IF(Skills!H7&gt;0,INT(IF(Inputs!$B$38="pvp",MIN(Skills!I7,15),Skills!I7)/Skills!H7+0.000000001),1)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IFERROR(1/(IF(Inputs!$B$38="pvp",15,MAX(0.1,Skills!D7-IF(TRUE=TRUE,Inputs!$B$32,0)))*(1-IF(AND(ArtifactsInput!$M$27,Inputs!$B$4="Chapter Hunt"),CHOOSE(ArtifactsInput!$N$27+1,20,24,28,32,36,40),0)/100)),0)</f>
        <v/>
      </c>
      <c r="R1548">
        <f>IF(AND(Inputs!$B$38&lt;&gt;"pvp",Inputs!$B$43&gt;0),IF(MAX(0,Inputs!$B$43-B1577)&lt;=0,0,(INT(MAX(0,Inputs!$B$43-B1577)/(IF(Inputs!$B$38="pvp",15,MAX(0.1,Skills!D7-IF(TRUE=TRUE,Inputs!$B$32,0)))*(1-IF(AND(ArtifactsInput!$M$27,Inputs!$B$4="Chapter Hunt"),CHOOSE(ArtifactsInput!$N$27+1,20,24,28,32,36,40),0)/100)))+1)),0)</f>
        <v/>
      </c>
      <c r="S1548">
        <f>IFERROR(O1548/N1548,0)</f>
        <v/>
      </c>
      <c r="T1548">
        <f>IF(C1548,(H1548*N1548*IF(AND(Inputs!$B$38&lt;&gt;"pvp",Inputs!$B$43&gt;0),((Skills!G7*((R1548-1)*IF(Skills!H7&gt;0,INT(Skills!I7/Skills!H7+0.000000001),1)+IF(Skills!H7&gt;0,INT(MIN(Skills!I7,MAX(0,MAX(0,Inputs!$B$43-B1577)-((R1548-1)*(IF(Inputs!$B$38="pvp",15,MAX(0.1,Skills!D7-IF(TRUE=TRUE,Inputs!$B$32,0)))*(1-IF(AND(ArtifactsInput!$M$27,Inputs!$B$4="Chapter Hunt"),CHOOSE(ArtifactsInput!$N$27+1,20,24,28,32,36,40),0)/100)))))/Skills!H7+0.000000001),1)))/Inputs!$B$43),G1548*Q1548))*IF(Inputs!$B$38="pvp",1,1+(Inputs!$B$20+0+Skills!P7+(((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INT(Skills!I7/Skills!H7+0.000000001),1)+IF(Skills!H7&gt;0,INT(MIN(Skills!I7,MAX(0,MAX(0,Inputs!$B$43-B1577)-((R1548-1)*(IF(Inputs!$B$38="pvp",15,MAX(0.1,Skills!D7-IF(TRUE=TRUE,Inputs!$B$32,0)))*(1-IF(AND(ArtifactsInput!$M$27,Inputs!$B$4="Chapter Hunt"),CHOOSE(ArtifactsInput!$N$27+1,20,24,28,32,36,40),0)/100)))))/Skills!H7+0.000000001),1)))/Inputs!$B$43),G1548*Q1548))*IF(Inputs!$B$38="pvp",1,(1+(Inputs!$B$21+Skills!Q7+(((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Skills!G8*IF(Skills!H8&gt;0,INT(IF(Inputs!$B$38="pvp",MIN(Skills!I8,15),Skills!I8)/Skills!H8+0.000000001),1)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IFERROR(1/(IF(Inputs!$B$38="pvp",15,MAX(0.1,Skills!D8-IF(TRUE=TRUE,Inputs!$B$32,0)))*(1-IF(AND(ArtifactsInput!$M$27,Inputs!$B$4="Chapter Hunt"),CHOOSE(ArtifactsInput!$N$27+1,20,24,28,32,36,40),0)/100)),0)</f>
        <v/>
      </c>
      <c r="R1549">
        <f>IF(AND(Inputs!$B$38&lt;&gt;"pvp",Inputs!$B$43&gt;0),IF(MAX(0,Inputs!$B$43-B1577)&lt;=0,0,(INT(MAX(0,Inputs!$B$43-B1577)/(IF(Inputs!$B$38="pvp",15,MAX(0.1,Skills!D8-IF(TRUE=TRUE,Inputs!$B$32,0)))*(1-IF(AND(ArtifactsInput!$M$27,Inputs!$B$4="Chapter Hunt"),CHOOSE(ArtifactsInput!$N$27+1,20,24,28,32,36,40),0)/100)))+1)),0)</f>
        <v/>
      </c>
      <c r="S1549">
        <f>IFERROR(O1549/N1549,0)</f>
        <v/>
      </c>
      <c r="T1549">
        <f>IF(C1549,(H1549*N1549*IF(AND(Inputs!$B$38&lt;&gt;"pvp",Inputs!$B$43&gt;0),((Skills!G8*((R1549-1)*IF(Skills!H8&gt;0,INT(Skills!I8/Skills!H8+0.000000001),1)+IF(Skills!H8&gt;0,INT(MIN(Skills!I8,MAX(0,MAX(0,Inputs!$B$43-B1577)-((R1549-1)*(IF(Inputs!$B$38="pvp",15,MAX(0.1,Skills!D8-IF(TRUE=TRUE,Inputs!$B$32,0)))*(1-IF(AND(ArtifactsInput!$M$27,Inputs!$B$4="Chapter Hunt"),CHOOSE(ArtifactsInput!$N$27+1,20,24,28,32,36,40),0)/100)))))/Skills!H8+0.000000001),1)))/Inputs!$B$43),G1549*Q1549))*IF(Inputs!$B$38="pvp",1,1+(Inputs!$B$20+0+Skills!P8+(((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INT(Skills!I8/Skills!H8+0.000000001),1)+IF(Skills!H8&gt;0,INT(MIN(Skills!I8,MAX(0,MAX(0,Inputs!$B$43-B1577)-((R1549-1)*(IF(Inputs!$B$38="pvp",15,MAX(0.1,Skills!D8-IF(TRUE=TRUE,Inputs!$B$32,0)))*(1-IF(AND(ArtifactsInput!$M$27,Inputs!$B$4="Chapter Hunt"),CHOOSE(ArtifactsInput!$N$27+1,20,24,28,32,36,40),0)/100)))))/Skills!H8+0.000000001),1)))/Inputs!$B$43),G1549*Q1549))*IF(Inputs!$B$38="pvp",1,(1+(Inputs!$B$21+Skills!Q8+(((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Skills!G9*IF(Skills!H9&gt;0,INT(IF(Inputs!$B$38="pvp",MIN(Skills!I9,15),Skills!I9)/Skills!H9+0.000000001),1)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138,MAX(0,IF(Inputs!$B$3&gt;=118,8,IF(Inputs!$B$3&gt;=110,7,5))-5)*50,0),0)/100)*(1+(IF(Skills!A9="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IFERROR(1/(IF(Inputs!$B$38="pvp",15,MAX(0.1,Skills!D9-IF(TRUE=TRUE,Inputs!$B$32,0)))*(1-IF(AND(ArtifactsInput!$M$27,Inputs!$B$4="Chapter Hunt"),CHOOSE(ArtifactsInput!$N$27+1,20,24,28,32,36,40),0)/100)),0)</f>
        <v/>
      </c>
      <c r="R1550">
        <f>IF(AND(Inputs!$B$38&lt;&gt;"pvp",Inputs!$B$43&gt;0),IF(MAX(0,Inputs!$B$43-B1577)&lt;=0,0,(INT(MAX(0,Inputs!$B$43-B1577)/(IF(Inputs!$B$38="pvp",15,MAX(0.1,Skills!D9-IF(TRUE=TRUE,Inputs!$B$32,0)))*(1-IF(AND(ArtifactsInput!$M$27,Inputs!$B$4="Chapter Hunt"),CHOOSE(ArtifactsInput!$N$27+1,20,24,28,32,36,40),0)/100)))+1)),0)</f>
        <v/>
      </c>
      <c r="S1550">
        <f>IFERROR(O1550/N1550,0)</f>
        <v/>
      </c>
      <c r="T1550">
        <f>IF(C1550,(H1550*N1550*IF(AND(Inputs!$B$38&lt;&gt;"pvp",Inputs!$B$43&gt;0),((Skills!G9*((R1550-1)*IF(Skills!H9&gt;0,INT(Skills!I9/Skills!H9+0.000000001),1)+IF(Skills!H9&gt;0,INT(MIN(Skills!I9,MAX(0,MAX(0,Inputs!$B$43-B1577)-((R1550-1)*(IF(Inputs!$B$38="pvp",15,MAX(0.1,Skills!D9-IF(TRUE=TRUE,Inputs!$B$32,0)))*(1-IF(AND(ArtifactsInput!$M$27,Inputs!$B$4="Chapter Hunt"),CHOOSE(ArtifactsInput!$N$27+1,20,24,28,32,36,40),0)/100)))))/Skills!H9+0.000000001),1)))/Inputs!$B$43),G1550*Q1550))*IF(Inputs!$B$38="pvp",1,1+(Inputs!$B$20+0+Skills!P9+(((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INT(Skills!I9/Skills!H9+0.000000001),1)+IF(Skills!H9&gt;0,INT(MIN(Skills!I9,MAX(0,MAX(0,Inputs!$B$43-B1577)-((R1550-1)*(IF(Inputs!$B$38="pvp",15,MAX(0.1,Skills!D9-IF(TRUE=TRUE,Inputs!$B$32,0)))*(1-IF(AND(ArtifactsInput!$M$27,Inputs!$B$4="Chapter Hunt"),CHOOSE(ArtifactsInput!$N$27+1,20,24,28,32,36,40),0)/100)))))/Skills!H9+0.000000001),1)))/Inputs!$B$43),G1550*Q1550))*IF(Inputs!$B$38="pvp",1,(1+(Inputs!$B$21+Skills!Q9+(((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Skills!G10*IF(Skills!H10&gt;0,INT(IF(Inputs!$B$38="pvp",MIN(Skills!I10,15),Skills!I10)/Skills!H10+0.000000001),1)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138,MAX(0,IF(Inputs!$B$3&gt;=118,8,IF(Inputs!$B$3&gt;=110,7,5))-5)*50,0),0)/100)*(1+(IF(Skills!A10="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IFERROR(1/(IF(Inputs!$B$38="pvp",15,MAX(0.1,Skills!D10-IF(TRUE=TRUE,Inputs!$B$32,0)))*(1-IF(AND(ArtifactsInput!$M$27,Inputs!$B$4="Chapter Hunt"),CHOOSE(ArtifactsInput!$N$27+1,20,24,28,32,36,40),0)/100)),0)</f>
        <v/>
      </c>
      <c r="R1551">
        <f>IF(AND(Inputs!$B$38&lt;&gt;"pvp",Inputs!$B$43&gt;0),IF(MAX(0,Inputs!$B$43-B1577)&lt;=0,0,(INT(MAX(0,Inputs!$B$43-B1577)/(IF(Inputs!$B$38="pvp",15,MAX(0.1,Skills!D10-IF(TRUE=TRUE,Inputs!$B$32,0)))*(1-IF(AND(ArtifactsInput!$M$27,Inputs!$B$4="Chapter Hunt"),CHOOSE(ArtifactsInput!$N$27+1,20,24,28,32,36,40),0)/100)))+1)),0)</f>
        <v/>
      </c>
      <c r="S1551">
        <f>IFERROR(O1551/N1551,0)</f>
        <v/>
      </c>
      <c r="T1551">
        <f>IF(C1551,(H1551*N1551*IF(AND(Inputs!$B$38&lt;&gt;"pvp",Inputs!$B$43&gt;0),((Skills!G10*((R1551-1)*IF(Skills!H10&gt;0,INT(Skills!I10/Skills!H10+0.000000001),1)+IF(Skills!H10&gt;0,INT(MIN(Skills!I10,MAX(0,MAX(0,Inputs!$B$43-B1577)-((R1551-1)*(IF(Inputs!$B$38="pvp",15,MAX(0.1,Skills!D10-IF(TRUE=TRUE,Inputs!$B$32,0)))*(1-IF(AND(ArtifactsInput!$M$27,Inputs!$B$4="Chapter Hunt"),CHOOSE(ArtifactsInput!$N$27+1,20,24,28,32,36,40),0)/100)))))/Skills!H10+0.000000001),1)))/Inputs!$B$43),G1551*Q1551))*IF(Inputs!$B$38="pvp",1,1+(Inputs!$B$20+0+Skills!P10+(((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INT(Skills!I10/Skills!H10+0.000000001),1)+IF(Skills!H10&gt;0,INT(MIN(Skills!I10,MAX(0,MAX(0,Inputs!$B$43-B1577)-((R1551-1)*(IF(Inputs!$B$38="pvp",15,MAX(0.1,Skills!D10-IF(TRUE=TRUE,Inputs!$B$32,0)))*(1-IF(AND(ArtifactsInput!$M$27,Inputs!$B$4="Chapter Hunt"),CHOOSE(ArtifactsInput!$N$27+1,20,24,28,32,36,40),0)/100)))))/Skills!H10+0.000000001),1)))/Inputs!$B$43),G1551*Q1551))*IF(Inputs!$B$38="pvp",1,(1+(Inputs!$B$21+Skills!Q10+(((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Skills!G11*IF(Skills!H11&gt;0,INT(IF(Inputs!$B$38="pvp",MIN(Skills!I11,15),Skills!I11)/Skills!H11+0.000000001),1)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138,MAX(0,IF(Inputs!$B$3&gt;=118,8,IF(Inputs!$B$3&gt;=110,7,5))-5)*50,0),0)/100)*(1+(IF(Skills!A11="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IFERROR(1/(IF(Inputs!$B$38="pvp",15,MAX(0.1,Skills!D11-IF(TRUE=TRUE,Inputs!$B$32,0)))*(1-IF(AND(ArtifactsInput!$M$27,Inputs!$B$4="Chapter Hunt"),CHOOSE(ArtifactsInput!$N$27+1,20,24,28,32,36,40),0)/100)),0)</f>
        <v/>
      </c>
      <c r="R1552">
        <f>IF(AND(Inputs!$B$38&lt;&gt;"pvp",Inputs!$B$43&gt;0),IF(MAX(0,Inputs!$B$43-B1577)&lt;=0,0,(INT(MAX(0,Inputs!$B$43-B1577)/(IF(Inputs!$B$38="pvp",15,MAX(0.1,Skills!D11-IF(TRUE=TRUE,Inputs!$B$32,0)))*(1-IF(AND(ArtifactsInput!$M$27,Inputs!$B$4="Chapter Hunt"),CHOOSE(ArtifactsInput!$N$27+1,20,24,28,32,36,40),0)/100)))+1)),0)</f>
        <v/>
      </c>
      <c r="S1552">
        <f>IFERROR(O1552/N1552,0)</f>
        <v/>
      </c>
      <c r="T1552">
        <f>IF(C1552,(H1552*N1552*IF(AND(Inputs!$B$38&lt;&gt;"pvp",Inputs!$B$43&gt;0),((Skills!G11*((R1552-1)*IF(Skills!H11&gt;0,INT(Skills!I11/Skills!H11+0.000000001),1)+IF(Skills!H11&gt;0,INT(MIN(Skills!I11,MAX(0,MAX(0,Inputs!$B$43-B1577)-((R1552-1)*(IF(Inputs!$B$38="pvp",15,MAX(0.1,Skills!D11-IF(TRUE=TRUE,Inputs!$B$32,0)))*(1-IF(AND(ArtifactsInput!$M$27,Inputs!$B$4="Chapter Hunt"),CHOOSE(ArtifactsInput!$N$27+1,20,24,28,32,36,40),0)/100)))))/Skills!H11+0.000000001),1)))/Inputs!$B$43),G1552*Q1552))*IF(Inputs!$B$38="pvp",1,1+(Inputs!$B$20+0+Skills!P11+(((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INT(Skills!I11/Skills!H11+0.000000001),1)+IF(Skills!H11&gt;0,INT(MIN(Skills!I11,MAX(0,MAX(0,Inputs!$B$43-B1577)-((R1552-1)*(IF(Inputs!$B$38="pvp",15,MAX(0.1,Skills!D11-IF(TRUE=TRUE,Inputs!$B$32,0)))*(1-IF(AND(ArtifactsInput!$M$27,Inputs!$B$4="Chapter Hunt"),CHOOSE(ArtifactsInput!$N$27+1,20,24,28,32,36,40),0)/100)))))/Skills!H11+0.000000001),1)))/Inputs!$B$43),G1552*Q1552))*IF(Inputs!$B$38="pvp",1,(1+(Inputs!$B$21+Skills!Q11+(((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Skills!G13*IF(Skills!H13&gt;0,INT(IF(Inputs!$B$38="pvp",MIN(Skills!I13,15),Skills!I13)/Skills!H13+0.000000001),1)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Skills!G14*IF(Skills!H14&gt;0,INT(IF(Inputs!$B$38="pvp",MIN(Skills!I14,15),Skills!I14)/Skills!H14+0.000000001),1)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Skills!G15*IF(Skills!H15&gt;0,INT(IF(Inputs!$B$38="pvp",MIN(Skills!I15,15),Skills!I15)/Skills!H15+0.000000001),1)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IFERROR(1/(IF(Inputs!$B$38="pvp",15,MAX(0.1,Skills!D15-IF(TRUE=TRUE,Inputs!$B$32,0)))*(1-IF(AND(ArtifactsInput!$M$27,Inputs!$B$4="Chapter Hunt"),CHOOSE(ArtifactsInput!$N$27+1,20,24,28,32,36,40),0)/100)),0)</f>
        <v/>
      </c>
      <c r="R1556">
        <f>IF(AND(Inputs!$B$38&lt;&gt;"pvp",Inputs!$B$43&gt;0),IF(Inputs!$B$43&lt;=0,0,(INT(Inputs!$B$43/(IF(Inputs!$B$38="pvp",15,MAX(0.1,Skills!D15-IF(TRUE=TRUE,Inputs!$B$32,0)))*(1-IF(AND(ArtifactsInput!$M$27,Inputs!$B$4="Chapter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Skills!G16*IF(Skills!H16&gt;0,INT(IF(Inputs!$B$38="pvp",MIN(Skills!I16,15),Skills!I16)/Skills!H16+0.000000001),1)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IFERROR(1/(IF(Inputs!$B$38="pvp",15,MAX(0.1,Skills!D16-IF(TRUE=TRUE,Inputs!$B$32,0)))*(1-IF(AND(ArtifactsInput!$M$27,Inputs!$B$4="Chapter Hunt"),CHOOSE(ArtifactsInput!$N$27+1,20,24,28,32,36,40),0)/100)),0)</f>
        <v/>
      </c>
      <c r="R1557">
        <f>IF(AND(Inputs!$B$38&lt;&gt;"pvp",Inputs!$B$43&gt;0),IF(Inputs!$B$43&lt;=0,0,(INT(Inputs!$B$43/(IF(Inputs!$B$38="pvp",15,MAX(0.1,Skills!D16-IF(TRUE=TRUE,Inputs!$B$32,0)))*(1-IF(AND(ArtifactsInput!$M$27,Inputs!$B$4="Chapter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Skills!G17*IF(Skills!H17&gt;0,INT(IF(Inputs!$B$38="pvp",MIN(Skills!I17,15),Skills!I17)/Skills!H17+0.000000001),1)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IFERROR(1/(IF(Inputs!$B$38="pvp",15,MAX(0.1,Skills!D17-IF(TRUE=TRUE,Inputs!$B$32,0)))*(1-IF(AND(ArtifactsInput!$M$27,Inputs!$B$4="Chapter Hunt"),CHOOSE(ArtifactsInput!$N$27+1,20,24,28,32,36,40),0)/100)),0)</f>
        <v/>
      </c>
      <c r="R1558">
        <f>IF(AND(Inputs!$B$38&lt;&gt;"pvp",Inputs!$B$43&gt;0),IF(Inputs!$B$43&lt;=0,0,(INT(Inputs!$B$43/(IF(Inputs!$B$38="pvp",15,MAX(0.1,Skills!D17-IF(TRUE=TRUE,Inputs!$B$32,0)))*(1-IF(AND(ArtifactsInput!$M$27,Inputs!$B$4="Chapter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Skills!G18*IF(Skills!H18&gt;0,INT(IF(Inputs!$B$38="pvp",MIN(Skills!I18,15),Skills!I18)/Skills!H18+0.000000001),1)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IFERROR(1/(IF(Inputs!$B$38="pvp",15,MAX(0.1,Skills!D18-IF(TRUE=TRUE,Inputs!$B$32,0)))*(1-IF(AND(ArtifactsInput!$M$27,Inputs!$B$4="Chapter Hunt"),CHOOSE(ArtifactsInput!$N$27+1,20,24,28,32,36,40),0)/100)),0)</f>
        <v/>
      </c>
      <c r="R1559">
        <f>IF(AND(Inputs!$B$38&lt;&gt;"pvp",Inputs!$B$43&gt;0),IF(Inputs!$B$43&lt;=0,0,(INT(Inputs!$B$43/(IF(Inputs!$B$38="pvp",15,MAX(0.1,Skills!D18-IF(TRUE=TRUE,Inputs!$B$32,0)))*(1-IF(AND(ArtifactsInput!$M$27,Inputs!$B$4="Chapter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Skills!G19*IF(Skills!H19&gt;0,INT(IF(Inputs!$B$38="pvp",MIN(Skills!I19,15),Skills!I19)/Skills!H19+0.000000001),1)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IFERROR(1/(IF(Inputs!$B$38="pvp",15,MAX(0.1,Skills!D19-IF(TRUE=TRUE,Inputs!$B$32,0)))*(1-IF(AND(ArtifactsInput!$M$27,Inputs!$B$4="Chapter Hunt"),CHOOSE(ArtifactsInput!$N$27+1,20,24,28,32,36,40),0)/100)),0)</f>
        <v/>
      </c>
      <c r="R1560">
        <f>IF(AND(Inputs!$B$38&lt;&gt;"pvp",Inputs!$B$43&gt;0),IF(Inputs!$B$43&lt;=0,0,(INT(Inputs!$B$43/(IF(Inputs!$B$38="pvp",15,MAX(0.1,Skills!D19-IF(TRUE=TRUE,Inputs!$B$32,0)))*(1-IF(AND(ArtifactsInput!$M$27,Inputs!$B$4="Chapter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Skills!G20*IF(Skills!H20&gt;0,INT(IF(Inputs!$B$38="pvp",MIN(Skills!I20,15),Skills!I20)/Skills!H20+0.000000001),1)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Skills!G21*IF(Skills!H21&gt;0,INT(IF(Inputs!$B$38="pvp",MIN(Skills!I21,15),Skills!I21)/Skills!H21+0.000000001),1)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Skills!G22*IF(Skills!H22&gt;0,INT(IF(Inputs!$B$38="pvp",MIN(Skills!I22,15),Skills!I22)/Skills!H22+0.000000001),1)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Skills!G23*IF(Skills!H23&gt;0,INT(IF(Inputs!$B$38="pvp",MIN(Skills!I23,15),Skills!I23)/Skills!H23+0.000000001),1)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Skills!G24*IF(Skills!H24&gt;0,INT(IF(Inputs!$B$38="pvp",MIN(Skills!I24,15),Skills!I24)/Skills!H24+0.000000001),1)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Skills!G25*IF(Skills!H25&gt;0,INT(IF(Inputs!$B$38="pvp",MIN(Skills!I25,15),Skills!I25)/Skills!H25+0.000000001),1)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Skills!G26*IF(Skills!H26&gt;0,INT(IF(Inputs!$B$38="pvp",MIN(Skills!I26,15),Skills!I26)/Skills!H26+0.000000001),1)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MIN((Skills!T19*(1+(Inputs!$B$34+(ArtifactsInput!$M$7-ArtifactsInput!$M$7)*CHOOSE(ArtifactsInput!$N$7+1,6,7.2,8.4,9.6,10.8,12))/100)),(1/Q1560))+MIN((Skills!T19*(1+(Inputs!$B$34+(ArtifactsInput!$M$7-ArtifactsInput!$M$7)*CHOOSE(ArtifactsInput!$N$7+1,6,7.2,8.4,9.6,10.8,12))/100)),MAX(0,Inputs!$B$43-((R1560-1)*(1/Q1560)))))/Inputs!$B$43),IF(Inputs!$B$38="pvp",MIN((Skills!T19*(1+(Inputs!$B$34+(ArtifactsInput!$M$7-ArtifactsInput!$M$7)*CHOOSE(ArtifactsInput!$N$7+1,6,7.2,8.4,9.6,10.8,12))/100)),15)/15,MIN(1,(Skills!T19*(1+(Inputs!$B$34+(ArtifactsInput!$M$7-ArtifactsInput!$M$7)*CHOOSE(ArtifactsInput!$N$7+1,6,7.2,8.4,9.6,10.8,12))/100))/(1/Q1560)))))</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MIN((Skills!T18*(1+(Inputs!$B$34+(ArtifactsInput!$M$7-ArtifactsInput!$M$7)*CHOOSE(ArtifactsInput!$N$7+1,6,7.2,8.4,9.6,10.8,12))/100)),(1/Q1559))+MIN((Skills!T18*(1+(Inputs!$B$34+(ArtifactsInput!$M$7-ArtifactsInput!$M$7)*CHOOSE(ArtifactsInput!$N$7+1,6,7.2,8.4,9.6,10.8,12))/100)),MAX(0,Inputs!$B$43-((R1559-1)*(1/Q1559)))))/Inputs!$B$43),IF(Inputs!$B$38="pvp",MIN((Skills!T18*(1+(Inputs!$B$34+(ArtifactsInput!$M$7-ArtifactsInput!$M$7)*CHOOSE(ArtifactsInput!$N$7+1,6,7.2,8.4,9.6,10.8,12))/100)),15)/15,MIN(1,(Skills!T18*(1+(Inputs!$B$34+(ArtifactsInput!$M$7-ArtifactsInput!$M$7)*CHOOSE(ArtifactsInput!$N$7+1,6,7.2,8.4,9.6,10.8,12))/100))/(1/Q1559)))))</f>
        <v/>
      </c>
    </row>
    <row r="1576">
      <c r="A1576" t="inlineStr">
        <is>
          <t>Global Final Damage Bonus % (Enrage + Combo Synergy)</t>
        </is>
      </c>
      <c r="B1576">
        <f>((C1558=TRUE)*F1558*IF(AND(Inputs!$B$38&lt;&gt;"pvp",Inputs!$B$43&gt;0),(((R1558-1)*MIN((Skills!T17*(1+(Inputs!$B$34+(ArtifactsInput!$M$7-ArtifactsInput!$M$7)*CHOOSE(ArtifactsInput!$N$7+1,6,7.2,8.4,9.6,10.8,12))/100)),(1/Q1558))+MIN((Skills!T17*(1+(Inputs!$B$34+(ArtifactsInput!$M$7-ArtifactsInput!$M$7)*CHOOSE(ArtifactsInput!$N$7+1,6,7.2,8.4,9.6,10.8,12))/100)),MAX(0,Inputs!$B$43-((R1558-1)*(1/Q1558)))))/Inputs!$B$43),IF(Inputs!$B$38="pvp",MIN((Skills!T17*(1+(Inputs!$B$34+(ArtifactsInput!$M$7-ArtifactsInput!$M$7)*CHOOSE(ArtifactsInput!$N$7+1,6,7.2,8.4,9.6,10.8,12))/100)),15)/15,MIN(1,(Skills!T17*(1+(Inputs!$B$34+(ArtifactsInput!$M$7-ArtifactsInput!$M$7)*CHOOSE(ArtifactsInput!$N$7+1,6,7.2,8.4,9.6,10.8,12))/100))/(1/Q1558)))))+((C1555=TRUE)*F1555*IF(Inputs!$B$3&gt;=118,8,IF(Inputs!$B$3&gt;=110,7,5)))+IF(Inputs!$B$3&gt;=98,5,0)</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Skills!G2*IF(Skills!H2&gt;0,INT(IF(Inputs!$B$38="pvp",MIN(Skills!I2,15),Skills!I2)/Skills!H2+0.000000001),1)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Skills!G5*IF(Skills!H5&gt;0,INT(IF(Inputs!$B$38="pvp",MIN(Skills!I5,15),Skills!I5)/Skills!H5+0.000000001),1)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IFERROR(1/(IF(Inputs!$B$38="pvp",15,MAX(0.1,Skills!D5-IF(TRUE=TRUE,Inputs!$B$32,0)))*(1-IF(AND(ArtifactsInput!$M$27,Inputs!$B$4="Chapter Hunt"),CHOOSE(ArtifactsInput!$N$27+1,20,24,28,32,36,40),0)/100)),0)</f>
        <v/>
      </c>
      <c r="R1588">
        <f>IF(AND(Inputs!$B$38&lt;&gt;"pvp",Inputs!$B$43&gt;0),IF(MAX(0,Inputs!$B$43-B1619)&lt;=0,0,(INT(MAX(0,Inputs!$B$43-B1619)/(IF(Inputs!$B$38="pvp",15,MAX(0.1,Skills!D5-IF(TRUE=TRUE,Inputs!$B$32,0)))*(1-IF(AND(ArtifactsInput!$M$27,Inputs!$B$4="Chapter Hunt"),CHOOSE(ArtifactsInput!$N$27+1,20,24,28,32,36,40),0)/100)))+1)),0)</f>
        <v/>
      </c>
      <c r="S1588">
        <f>IFERROR(O1588/N1588,0)</f>
        <v/>
      </c>
      <c r="T1588">
        <f>IF(C1588,(H1588*N1588*IF(AND(Inputs!$B$38&lt;&gt;"pvp",Inputs!$B$43&gt;0),((Skills!G5*((R1588-1)*IF(Skills!H5&gt;0,INT(Skills!I5/Skills!H5+0.000000001),1)+IF(Skills!H5&gt;0,INT(MIN(Skills!I5,MAX(0,MAX(0,Inputs!$B$43-B1619)-((R1588-1)*(IF(Inputs!$B$38="pvp",15,MAX(0.1,Skills!D5-IF(TRUE=TRUE,Inputs!$B$32,0)))*(1-IF(AND(ArtifactsInput!$M$27,Inputs!$B$4="Chapter Hunt"),CHOOSE(ArtifactsInput!$N$27+1,20,24,28,32,36,40),0)/100)))))/Skills!H5+0.000000001),1)))/Inputs!$B$43),G1588*Q1588))*IF(Inputs!$B$38="pvp",1,1+(Inputs!$B$20+0+Skills!P5+(((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INT(Skills!I5/Skills!H5+0.000000001),1)+IF(Skills!H5&gt;0,INT(MIN(Skills!I5,MAX(0,MAX(0,Inputs!$B$43-B1619)-((R1588-1)*(IF(Inputs!$B$38="pvp",15,MAX(0.1,Skills!D5-IF(TRUE=TRUE,Inputs!$B$32,0)))*(1-IF(AND(ArtifactsInput!$M$27,Inputs!$B$4="Chapter Hunt"),CHOOSE(ArtifactsInput!$N$27+1,20,24,28,32,36,40),0)/100)))))/Skills!H5+0.000000001),1)))/Inputs!$B$43),G1588*Q1588))*IF(Inputs!$B$38="pvp",1,(1+(Inputs!$B$21+Skills!Q5+(((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Skills!G6*IF(Skills!H6&gt;0,INT(IF(Inputs!$B$38="pvp",MIN(Skills!I6,15),Skills!I6)/Skills!H6+0.000000001),1)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IFERROR(1/(IF(Inputs!$B$38="pvp",15,MAX(0.1,Skills!D6-IF(TRUE=TRUE,Inputs!$B$32,0)))*(1-IF(AND(ArtifactsInput!$M$27,Inputs!$B$4="Chapter Hunt"),CHOOSE(ArtifactsInput!$N$27+1,20,24,28,32,36,40),0)/100)),0)</f>
        <v/>
      </c>
      <c r="R1589">
        <f>IF(AND(Inputs!$B$38&lt;&gt;"pvp",Inputs!$B$43&gt;0),IF(MAX(0,Inputs!$B$43-B1619)&lt;=0,0,(INT(MAX(0,Inputs!$B$43-B1619)/(IF(Inputs!$B$38="pvp",15,MAX(0.1,Skills!D6-IF(TRUE=TRUE,Inputs!$B$32,0)))*(1-IF(AND(ArtifactsInput!$M$27,Inputs!$B$4="Chapter Hunt"),CHOOSE(ArtifactsInput!$N$27+1,20,24,28,32,36,40),0)/100)))+1)),0)</f>
        <v/>
      </c>
      <c r="S1589">
        <f>IFERROR(O1589/N1589,0)</f>
        <v/>
      </c>
      <c r="T1589">
        <f>IF(C1589,(H1589*N1589*IF(AND(Inputs!$B$38&lt;&gt;"pvp",Inputs!$B$43&gt;0),((Skills!G6*((R1589-1)*IF(Skills!H6&gt;0,INT(Skills!I6/Skills!H6+0.000000001),1)+IF(Skills!H6&gt;0,INT(MIN(Skills!I6,MAX(0,MAX(0,Inputs!$B$43-B1619)-((R1589-1)*(IF(Inputs!$B$38="pvp",15,MAX(0.1,Skills!D6-IF(TRUE=TRUE,Inputs!$B$32,0)))*(1-IF(AND(ArtifactsInput!$M$27,Inputs!$B$4="Chapter Hunt"),CHOOSE(ArtifactsInput!$N$27+1,20,24,28,32,36,40),0)/100)))))/Skills!H6+0.000000001),1)))/Inputs!$B$43),G1589*Q1589))*IF(Inputs!$B$38="pvp",1,1+(Inputs!$B$20+0+Skills!P6+(((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INT(Skills!I6/Skills!H6+0.000000001),1)+IF(Skills!H6&gt;0,INT(MIN(Skills!I6,MAX(0,MAX(0,Inputs!$B$43-B1619)-((R1589-1)*(IF(Inputs!$B$38="pvp",15,MAX(0.1,Skills!D6-IF(TRUE=TRUE,Inputs!$B$32,0)))*(1-IF(AND(ArtifactsInput!$M$27,Inputs!$B$4="Chapter Hunt"),CHOOSE(ArtifactsInput!$N$27+1,20,24,28,32,36,40),0)/100)))))/Skills!H6+0.000000001),1)))/Inputs!$B$43),G1589*Q1589))*IF(Inputs!$B$38="pvp",1,(1+(Inputs!$B$21+Skills!Q6+(((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Skills!G7*IF(Skills!H7&gt;0,INT(IF(Inputs!$B$38="pvp",MIN(Skills!I7,15),Skills!I7)/Skills!H7+0.000000001),1)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IFERROR(1/(IF(Inputs!$B$38="pvp",15,MAX(0.1,Skills!D7-IF(TRUE=TRUE,Inputs!$B$32,0)))*(1-IF(AND(ArtifactsInput!$M$27,Inputs!$B$4="Chapter Hunt"),CHOOSE(ArtifactsInput!$N$27+1,20,24,28,32,36,40),0)/100)),0)</f>
        <v/>
      </c>
      <c r="R1590">
        <f>IF(AND(Inputs!$B$38&lt;&gt;"pvp",Inputs!$B$43&gt;0),IF(MAX(0,Inputs!$B$43-B1619)&lt;=0,0,(INT(MAX(0,Inputs!$B$43-B1619)/(IF(Inputs!$B$38="pvp",15,MAX(0.1,Skills!D7-IF(TRUE=TRUE,Inputs!$B$32,0)))*(1-IF(AND(ArtifactsInput!$M$27,Inputs!$B$4="Chapter Hunt"),CHOOSE(ArtifactsInput!$N$27+1,20,24,28,32,36,40),0)/100)))+1)),0)</f>
        <v/>
      </c>
      <c r="S1590">
        <f>IFERROR(O1590/N1590,0)</f>
        <v/>
      </c>
      <c r="T1590">
        <f>IF(C1590,(H1590*N1590*IF(AND(Inputs!$B$38&lt;&gt;"pvp",Inputs!$B$43&gt;0),((Skills!G7*((R1590-1)*IF(Skills!H7&gt;0,INT(Skills!I7/Skills!H7+0.000000001),1)+IF(Skills!H7&gt;0,INT(MIN(Skills!I7,MAX(0,MAX(0,Inputs!$B$43-B1619)-((R1590-1)*(IF(Inputs!$B$38="pvp",15,MAX(0.1,Skills!D7-IF(TRUE=TRUE,Inputs!$B$32,0)))*(1-IF(AND(ArtifactsInput!$M$27,Inputs!$B$4="Chapter Hunt"),CHOOSE(ArtifactsInput!$N$27+1,20,24,28,32,36,40),0)/100)))))/Skills!H7+0.000000001),1)))/Inputs!$B$43),G1590*Q1590))*IF(Inputs!$B$38="pvp",1,1+(Inputs!$B$20+0+Skills!P7+(((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INT(Skills!I7/Skills!H7+0.000000001),1)+IF(Skills!H7&gt;0,INT(MIN(Skills!I7,MAX(0,MAX(0,Inputs!$B$43-B1619)-((R1590-1)*(IF(Inputs!$B$38="pvp",15,MAX(0.1,Skills!D7-IF(TRUE=TRUE,Inputs!$B$32,0)))*(1-IF(AND(ArtifactsInput!$M$27,Inputs!$B$4="Chapter Hunt"),CHOOSE(ArtifactsInput!$N$27+1,20,24,28,32,36,40),0)/100)))))/Skills!H7+0.000000001),1)))/Inputs!$B$43),G1590*Q1590))*IF(Inputs!$B$38="pvp",1,(1+(Inputs!$B$21+Skills!Q7+(((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Skills!G8*IF(Skills!H8&gt;0,INT(IF(Inputs!$B$38="pvp",MIN(Skills!I8,15),Skills!I8)/Skills!H8+0.000000001),1)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IFERROR(1/(IF(Inputs!$B$38="pvp",15,MAX(0.1,Skills!D8-IF(TRUE=TRUE,Inputs!$B$32,0)))*(1-IF(AND(ArtifactsInput!$M$27,Inputs!$B$4="Chapter Hunt"),CHOOSE(ArtifactsInput!$N$27+1,20,24,28,32,36,40),0)/100)),0)</f>
        <v/>
      </c>
      <c r="R1591">
        <f>IF(AND(Inputs!$B$38&lt;&gt;"pvp",Inputs!$B$43&gt;0),IF(MAX(0,Inputs!$B$43-B1619)&lt;=0,0,(INT(MAX(0,Inputs!$B$43-B1619)/(IF(Inputs!$B$38="pvp",15,MAX(0.1,Skills!D8-IF(TRUE=TRUE,Inputs!$B$32,0)))*(1-IF(AND(ArtifactsInput!$M$27,Inputs!$B$4="Chapter Hunt"),CHOOSE(ArtifactsInput!$N$27+1,20,24,28,32,36,40),0)/100)))+1)),0)</f>
        <v/>
      </c>
      <c r="S1591">
        <f>IFERROR(O1591/N1591,0)</f>
        <v/>
      </c>
      <c r="T1591">
        <f>IF(C1591,(H1591*N1591*IF(AND(Inputs!$B$38&lt;&gt;"pvp",Inputs!$B$43&gt;0),((Skills!G8*((R1591-1)*IF(Skills!H8&gt;0,INT(Skills!I8/Skills!H8+0.000000001),1)+IF(Skills!H8&gt;0,INT(MIN(Skills!I8,MAX(0,MAX(0,Inputs!$B$43-B1619)-((R1591-1)*(IF(Inputs!$B$38="pvp",15,MAX(0.1,Skills!D8-IF(TRUE=TRUE,Inputs!$B$32,0)))*(1-IF(AND(ArtifactsInput!$M$27,Inputs!$B$4="Chapter Hunt"),CHOOSE(ArtifactsInput!$N$27+1,20,24,28,32,36,40),0)/100)))))/Skills!H8+0.000000001),1)))/Inputs!$B$43),G1591*Q1591))*IF(Inputs!$B$38="pvp",1,1+(Inputs!$B$20+0+Skills!P8+(((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INT(Skills!I8/Skills!H8+0.000000001),1)+IF(Skills!H8&gt;0,INT(MIN(Skills!I8,MAX(0,MAX(0,Inputs!$B$43-B1619)-((R1591-1)*(IF(Inputs!$B$38="pvp",15,MAX(0.1,Skills!D8-IF(TRUE=TRUE,Inputs!$B$32,0)))*(1-IF(AND(ArtifactsInput!$M$27,Inputs!$B$4="Chapter Hunt"),CHOOSE(ArtifactsInput!$N$27+1,20,24,28,32,36,40),0)/100)))))/Skills!H8+0.000000001),1)))/Inputs!$B$43),G1591*Q1591))*IF(Inputs!$B$38="pvp",1,(1+(Inputs!$B$21+Skills!Q8+(((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Skills!G9*IF(Skills!H9&gt;0,INT(IF(Inputs!$B$38="pvp",MIN(Skills!I9,15),Skills!I9)/Skills!H9+0.000000001),1)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138,MAX(0,IF(Inputs!$B$3&gt;=118,8,IF(Inputs!$B$3&gt;=110,7,5))-5)*50,0),0)/100)*(1+(IF(Skills!A9="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IFERROR(1/(IF(Inputs!$B$38="pvp",15,MAX(0.1,Skills!D9-IF(TRUE=TRUE,Inputs!$B$32,0)))*(1-IF(AND(ArtifactsInput!$M$27,Inputs!$B$4="Chapter Hunt"),CHOOSE(ArtifactsInput!$N$27+1,20,24,28,32,36,40),0)/100)),0)</f>
        <v/>
      </c>
      <c r="R1592">
        <f>IF(AND(Inputs!$B$38&lt;&gt;"pvp",Inputs!$B$43&gt;0),IF(MAX(0,Inputs!$B$43-B1619)&lt;=0,0,(INT(MAX(0,Inputs!$B$43-B1619)/(IF(Inputs!$B$38="pvp",15,MAX(0.1,Skills!D9-IF(TRUE=TRUE,Inputs!$B$32,0)))*(1-IF(AND(ArtifactsInput!$M$27,Inputs!$B$4="Chapter Hunt"),CHOOSE(ArtifactsInput!$N$27+1,20,24,28,32,36,40),0)/100)))+1)),0)</f>
        <v/>
      </c>
      <c r="S1592">
        <f>IFERROR(O1592/N1592,0)</f>
        <v/>
      </c>
      <c r="T1592">
        <f>IF(C1592,(H1592*N1592*IF(AND(Inputs!$B$38&lt;&gt;"pvp",Inputs!$B$43&gt;0),((Skills!G9*((R1592-1)*IF(Skills!H9&gt;0,INT(Skills!I9/Skills!H9+0.000000001),1)+IF(Skills!H9&gt;0,INT(MIN(Skills!I9,MAX(0,MAX(0,Inputs!$B$43-B1619)-((R1592-1)*(IF(Inputs!$B$38="pvp",15,MAX(0.1,Skills!D9-IF(TRUE=TRUE,Inputs!$B$32,0)))*(1-IF(AND(ArtifactsInput!$M$27,Inputs!$B$4="Chapter Hunt"),CHOOSE(ArtifactsInput!$N$27+1,20,24,28,32,36,40),0)/100)))))/Skills!H9+0.000000001),1)))/Inputs!$B$43),G1592*Q1592))*IF(Inputs!$B$38="pvp",1,1+(Inputs!$B$20+0+Skills!P9+(((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INT(Skills!I9/Skills!H9+0.000000001),1)+IF(Skills!H9&gt;0,INT(MIN(Skills!I9,MAX(0,MAX(0,Inputs!$B$43-B1619)-((R1592-1)*(IF(Inputs!$B$38="pvp",15,MAX(0.1,Skills!D9-IF(TRUE=TRUE,Inputs!$B$32,0)))*(1-IF(AND(ArtifactsInput!$M$27,Inputs!$B$4="Chapter Hunt"),CHOOSE(ArtifactsInput!$N$27+1,20,24,28,32,36,40),0)/100)))))/Skills!H9+0.000000001),1)))/Inputs!$B$43),G1592*Q1592))*IF(Inputs!$B$38="pvp",1,(1+(Inputs!$B$21+Skills!Q9+(((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Skills!G10*IF(Skills!H10&gt;0,INT(IF(Inputs!$B$38="pvp",MIN(Skills!I10,15),Skills!I10)/Skills!H10+0.000000001),1)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138,MAX(0,IF(Inputs!$B$3&gt;=118,8,IF(Inputs!$B$3&gt;=110,7,5))-5)*50,0),0)/100)*(1+(IF(Skills!A10="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IFERROR(1/(IF(Inputs!$B$38="pvp",15,MAX(0.1,Skills!D10-IF(TRUE=TRUE,Inputs!$B$32,0)))*(1-IF(AND(ArtifactsInput!$M$27,Inputs!$B$4="Chapter Hunt"),CHOOSE(ArtifactsInput!$N$27+1,20,24,28,32,36,40),0)/100)),0)</f>
        <v/>
      </c>
      <c r="R1593">
        <f>IF(AND(Inputs!$B$38&lt;&gt;"pvp",Inputs!$B$43&gt;0),IF(MAX(0,Inputs!$B$43-B1619)&lt;=0,0,(INT(MAX(0,Inputs!$B$43-B1619)/(IF(Inputs!$B$38="pvp",15,MAX(0.1,Skills!D10-IF(TRUE=TRUE,Inputs!$B$32,0)))*(1-IF(AND(ArtifactsInput!$M$27,Inputs!$B$4="Chapter Hunt"),CHOOSE(ArtifactsInput!$N$27+1,20,24,28,32,36,40),0)/100)))+1)),0)</f>
        <v/>
      </c>
      <c r="S1593">
        <f>IFERROR(O1593/N1593,0)</f>
        <v/>
      </c>
      <c r="T1593">
        <f>IF(C1593,(H1593*N1593*IF(AND(Inputs!$B$38&lt;&gt;"pvp",Inputs!$B$43&gt;0),((Skills!G10*((R1593-1)*IF(Skills!H10&gt;0,INT(Skills!I10/Skills!H10+0.000000001),1)+IF(Skills!H10&gt;0,INT(MIN(Skills!I10,MAX(0,MAX(0,Inputs!$B$43-B1619)-((R1593-1)*(IF(Inputs!$B$38="pvp",15,MAX(0.1,Skills!D10-IF(TRUE=TRUE,Inputs!$B$32,0)))*(1-IF(AND(ArtifactsInput!$M$27,Inputs!$B$4="Chapter Hunt"),CHOOSE(ArtifactsInput!$N$27+1,20,24,28,32,36,40),0)/100)))))/Skills!H10+0.000000001),1)))/Inputs!$B$43),G1593*Q1593))*IF(Inputs!$B$38="pvp",1,1+(Inputs!$B$20+0+Skills!P10+(((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INT(Skills!I10/Skills!H10+0.000000001),1)+IF(Skills!H10&gt;0,INT(MIN(Skills!I10,MAX(0,MAX(0,Inputs!$B$43-B1619)-((R1593-1)*(IF(Inputs!$B$38="pvp",15,MAX(0.1,Skills!D10-IF(TRUE=TRUE,Inputs!$B$32,0)))*(1-IF(AND(ArtifactsInput!$M$27,Inputs!$B$4="Chapter Hunt"),CHOOSE(ArtifactsInput!$N$27+1,20,24,28,32,36,40),0)/100)))))/Skills!H10+0.000000001),1)))/Inputs!$B$43),G1593*Q1593))*IF(Inputs!$B$38="pvp",1,(1+(Inputs!$B$21+Skills!Q10+(((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Skills!G11*IF(Skills!H11&gt;0,INT(IF(Inputs!$B$38="pvp",MIN(Skills!I11,15),Skills!I11)/Skills!H11+0.000000001),1)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138,MAX(0,IF(Inputs!$B$3&gt;=118,8,IF(Inputs!$B$3&gt;=110,7,5))-5)*50,0),0)/100)*(1+(IF(Skills!A11="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IFERROR(1/(IF(Inputs!$B$38="pvp",15,MAX(0.1,Skills!D11-IF(TRUE=TRUE,Inputs!$B$32,0)))*(1-IF(AND(ArtifactsInput!$M$27,Inputs!$B$4="Chapter Hunt"),CHOOSE(ArtifactsInput!$N$27+1,20,24,28,32,36,40),0)/100)),0)</f>
        <v/>
      </c>
      <c r="R1594">
        <f>IF(AND(Inputs!$B$38&lt;&gt;"pvp",Inputs!$B$43&gt;0),IF(MAX(0,Inputs!$B$43-B1619)&lt;=0,0,(INT(MAX(0,Inputs!$B$43-B1619)/(IF(Inputs!$B$38="pvp",15,MAX(0.1,Skills!D11-IF(TRUE=TRUE,Inputs!$B$32,0)))*(1-IF(AND(ArtifactsInput!$M$27,Inputs!$B$4="Chapter Hunt"),CHOOSE(ArtifactsInput!$N$27+1,20,24,28,32,36,40),0)/100)))+1)),0)</f>
        <v/>
      </c>
      <c r="S1594">
        <f>IFERROR(O1594/N1594,0)</f>
        <v/>
      </c>
      <c r="T1594">
        <f>IF(C1594,(H1594*N1594*IF(AND(Inputs!$B$38&lt;&gt;"pvp",Inputs!$B$43&gt;0),((Skills!G11*((R1594-1)*IF(Skills!H11&gt;0,INT(Skills!I11/Skills!H11+0.000000001),1)+IF(Skills!H11&gt;0,INT(MIN(Skills!I11,MAX(0,MAX(0,Inputs!$B$43-B1619)-((R1594-1)*(IF(Inputs!$B$38="pvp",15,MAX(0.1,Skills!D11-IF(TRUE=TRUE,Inputs!$B$32,0)))*(1-IF(AND(ArtifactsInput!$M$27,Inputs!$B$4="Chapter Hunt"),CHOOSE(ArtifactsInput!$N$27+1,20,24,28,32,36,40),0)/100)))))/Skills!H11+0.000000001),1)))/Inputs!$B$43),G1594*Q1594))*IF(Inputs!$B$38="pvp",1,1+(Inputs!$B$20+0+Skills!P11+(((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INT(Skills!I11/Skills!H11+0.000000001),1)+IF(Skills!H11&gt;0,INT(MIN(Skills!I11,MAX(0,MAX(0,Inputs!$B$43-B1619)-((R1594-1)*(IF(Inputs!$B$38="pvp",15,MAX(0.1,Skills!D11-IF(TRUE=TRUE,Inputs!$B$32,0)))*(1-IF(AND(ArtifactsInput!$M$27,Inputs!$B$4="Chapter Hunt"),CHOOSE(ArtifactsInput!$N$27+1,20,24,28,32,36,40),0)/100)))))/Skills!H11+0.000000001),1)))/Inputs!$B$43),G1594*Q1594))*IF(Inputs!$B$38="pvp",1,(1+(Inputs!$B$21+Skills!Q11+(((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Skills!G13*IF(Skills!H13&gt;0,INT(IF(Inputs!$B$38="pvp",MIN(Skills!I13,15),Skills!I13)/Skills!H13+0.000000001),1)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Skills!G14*IF(Skills!H14&gt;0,INT(IF(Inputs!$B$38="pvp",MIN(Skills!I14,15),Skills!I14)/Skills!H14+0.000000001),1)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Skills!G15*IF(Skills!H15&gt;0,INT(IF(Inputs!$B$38="pvp",MIN(Skills!I15,15),Skills!I15)/Skills!H15+0.000000001),1)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IFERROR(1/(IF(Inputs!$B$38="pvp",15,MAX(0.1,Skills!D15-IF(TRUE=TRUE,Inputs!$B$32,0)))*(1-IF(AND(ArtifactsInput!$M$27,Inputs!$B$4="Chapter Hunt"),CHOOSE(ArtifactsInput!$N$27+1,20,24,28,32,36,40),0)/100)),0)</f>
        <v/>
      </c>
      <c r="R1598">
        <f>IF(AND(Inputs!$B$38&lt;&gt;"pvp",Inputs!$B$43&gt;0),IF(Inputs!$B$43&lt;=0,0,(INT(Inputs!$B$43/(IF(Inputs!$B$38="pvp",15,MAX(0.1,Skills!D15-IF(TRUE=TRUE,Inputs!$B$32,0)))*(1-IF(AND(ArtifactsInput!$M$27,Inputs!$B$4="Chapter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Skills!G16*IF(Skills!H16&gt;0,INT(IF(Inputs!$B$38="pvp",MIN(Skills!I16,15),Skills!I16)/Skills!H16+0.000000001),1)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IFERROR(1/(IF(Inputs!$B$38="pvp",15,MAX(0.1,Skills!D16-IF(TRUE=TRUE,Inputs!$B$32,0)))*(1-IF(AND(ArtifactsInput!$M$27,Inputs!$B$4="Chapter Hunt"),CHOOSE(ArtifactsInput!$N$27+1,20,24,28,32,36,40),0)/100)),0)</f>
        <v/>
      </c>
      <c r="R1599">
        <f>IF(AND(Inputs!$B$38&lt;&gt;"pvp",Inputs!$B$43&gt;0),IF(Inputs!$B$43&lt;=0,0,(INT(Inputs!$B$43/(IF(Inputs!$B$38="pvp",15,MAX(0.1,Skills!D16-IF(TRUE=TRUE,Inputs!$B$32,0)))*(1-IF(AND(ArtifactsInput!$M$27,Inputs!$B$4="Chapter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Skills!G17*IF(Skills!H17&gt;0,INT(IF(Inputs!$B$38="pvp",MIN(Skills!I17,15),Skills!I17)/Skills!H17+0.000000001),1)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IFERROR(1/(IF(Inputs!$B$38="pvp",15,MAX(0.1,Skills!D17-IF(TRUE=TRUE,Inputs!$B$32,0)))*(1-IF(AND(ArtifactsInput!$M$27,Inputs!$B$4="Chapter Hunt"),CHOOSE(ArtifactsInput!$N$27+1,20,24,28,32,36,40),0)/100)),0)</f>
        <v/>
      </c>
      <c r="R1600">
        <f>IF(AND(Inputs!$B$38&lt;&gt;"pvp",Inputs!$B$43&gt;0),IF(Inputs!$B$43&lt;=0,0,(INT(Inputs!$B$43/(IF(Inputs!$B$38="pvp",15,MAX(0.1,Skills!D17-IF(TRUE=TRUE,Inputs!$B$32,0)))*(1-IF(AND(ArtifactsInput!$M$27,Inputs!$B$4="Chapter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Skills!G18*IF(Skills!H18&gt;0,INT(IF(Inputs!$B$38="pvp",MIN(Skills!I18,15),Skills!I18)/Skills!H18+0.000000001),1)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IFERROR(1/(IF(Inputs!$B$38="pvp",15,MAX(0.1,Skills!D18-IF(TRUE=TRUE,Inputs!$B$32,0)))*(1-IF(AND(ArtifactsInput!$M$27,Inputs!$B$4="Chapter Hunt"),CHOOSE(ArtifactsInput!$N$27+1,20,24,28,32,36,40),0)/100)),0)</f>
        <v/>
      </c>
      <c r="R1601">
        <f>IF(AND(Inputs!$B$38&lt;&gt;"pvp",Inputs!$B$43&gt;0),IF(Inputs!$B$43&lt;=0,0,(INT(Inputs!$B$43/(IF(Inputs!$B$38="pvp",15,MAX(0.1,Skills!D18-IF(TRUE=TRUE,Inputs!$B$32,0)))*(1-IF(AND(ArtifactsInput!$M$27,Inputs!$B$4="Chapter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Skills!G19*IF(Skills!H19&gt;0,INT(IF(Inputs!$B$38="pvp",MIN(Skills!I19,15),Skills!I19)/Skills!H19+0.000000001),1)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IFERROR(1/(IF(Inputs!$B$38="pvp",15,MAX(0.1,Skills!D19-IF(TRUE=TRUE,Inputs!$B$32,0)))*(1-IF(AND(ArtifactsInput!$M$27,Inputs!$B$4="Chapter Hunt"),CHOOSE(ArtifactsInput!$N$27+1,20,24,28,32,36,40),0)/100)),0)</f>
        <v/>
      </c>
      <c r="R1602">
        <f>IF(AND(Inputs!$B$38&lt;&gt;"pvp",Inputs!$B$43&gt;0),IF(Inputs!$B$43&lt;=0,0,(INT(Inputs!$B$43/(IF(Inputs!$B$38="pvp",15,MAX(0.1,Skills!D19-IF(TRUE=TRUE,Inputs!$B$32,0)))*(1-IF(AND(ArtifactsInput!$M$27,Inputs!$B$4="Chapter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Skills!G20*IF(Skills!H20&gt;0,INT(IF(Inputs!$B$38="pvp",MIN(Skills!I20,15),Skills!I20)/Skills!H20+0.000000001),1)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Skills!G21*IF(Skills!H21&gt;0,INT(IF(Inputs!$B$38="pvp",MIN(Skills!I21,15),Skills!I21)/Skills!H21+0.000000001),1)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Skills!G22*IF(Skills!H22&gt;0,INT(IF(Inputs!$B$38="pvp",MIN(Skills!I22,15),Skills!I22)/Skills!H22+0.000000001),1)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Skills!G23*IF(Skills!H23&gt;0,INT(IF(Inputs!$B$38="pvp",MIN(Skills!I23,15),Skills!I23)/Skills!H23+0.000000001),1)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Skills!G24*IF(Skills!H24&gt;0,INT(IF(Inputs!$B$38="pvp",MIN(Skills!I24,15),Skills!I24)/Skills!H24+0.000000001),1)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Skills!G25*IF(Skills!H25&gt;0,INT(IF(Inputs!$B$38="pvp",MIN(Skills!I25,15),Skills!I25)/Skills!H25+0.000000001),1)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Skills!G26*IF(Skills!H26&gt;0,INT(IF(Inputs!$B$38="pvp",MIN(Skills!I26,15),Skills!I26)/Skills!H26+0.000000001),1)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MIN((Skills!T19*(1+(Inputs!$B$34+(ArtifactsInput!$M$7-ArtifactsInput!$M$7)*CHOOSE(ArtifactsInput!$N$7+1,6,7.2,8.4,9.6,10.8,12))/100)),(1/Q1602))+MIN((Skills!T19*(1+(Inputs!$B$34+(ArtifactsInput!$M$7-ArtifactsInput!$M$7)*CHOOSE(ArtifactsInput!$N$7+1,6,7.2,8.4,9.6,10.8,12))/100)),MAX(0,Inputs!$B$43-((R1602-1)*(1/Q1602)))))/Inputs!$B$43),IF(Inputs!$B$38="pvp",MIN((Skills!T19*(1+(Inputs!$B$34+(ArtifactsInput!$M$7-ArtifactsInput!$M$7)*CHOOSE(ArtifactsInput!$N$7+1,6,7.2,8.4,9.6,10.8,12))/100)),15)/15,MIN(1,(Skills!T19*(1+(Inputs!$B$34+(ArtifactsInput!$M$7-ArtifactsInput!$M$7)*CHOOSE(ArtifactsInput!$N$7+1,6,7.2,8.4,9.6,10.8,12))/100))/(1/Q1602)))))</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MIN((Skills!T18*(1+(Inputs!$B$34+(ArtifactsInput!$M$7-ArtifactsInput!$M$7)*CHOOSE(ArtifactsInput!$N$7+1,6,7.2,8.4,9.6,10.8,12))/100)),(1/Q1601))+MIN((Skills!T18*(1+(Inputs!$B$34+(ArtifactsInput!$M$7-ArtifactsInput!$M$7)*CHOOSE(ArtifactsInput!$N$7+1,6,7.2,8.4,9.6,10.8,12))/100)),MAX(0,Inputs!$B$43-((R1601-1)*(1/Q1601)))))/Inputs!$B$43),IF(Inputs!$B$38="pvp",MIN((Skills!T18*(1+(Inputs!$B$34+(ArtifactsInput!$M$7-ArtifactsInput!$M$7)*CHOOSE(ArtifactsInput!$N$7+1,6,7.2,8.4,9.6,10.8,12))/100)),15)/15,MIN(1,(Skills!T18*(1+(Inputs!$B$34+(ArtifactsInput!$M$7-ArtifactsInput!$M$7)*CHOOSE(ArtifactsInput!$N$7+1,6,7.2,8.4,9.6,10.8,12))/100))/(1/Q1601)))))</f>
        <v/>
      </c>
    </row>
    <row r="1618">
      <c r="A1618" t="inlineStr">
        <is>
          <t>Global Final Damage Bonus % (Enrage + Combo Synergy)</t>
        </is>
      </c>
      <c r="B1618">
        <f>((C1600=TRUE)*F1600*IF(AND(Inputs!$B$38&lt;&gt;"pvp",Inputs!$B$43&gt;0),(((R1600-1)*MIN((Skills!T17*(1+(Inputs!$B$34+(ArtifactsInput!$M$7-ArtifactsInput!$M$7)*CHOOSE(ArtifactsInput!$N$7+1,6,7.2,8.4,9.6,10.8,12))/100)),(1/Q1600))+MIN((Skills!T17*(1+(Inputs!$B$34+(ArtifactsInput!$M$7-ArtifactsInput!$M$7)*CHOOSE(ArtifactsInput!$N$7+1,6,7.2,8.4,9.6,10.8,12))/100)),MAX(0,Inputs!$B$43-((R1600-1)*(1/Q1600)))))/Inputs!$B$43),IF(Inputs!$B$38="pvp",MIN((Skills!T17*(1+(Inputs!$B$34+(ArtifactsInput!$M$7-ArtifactsInput!$M$7)*CHOOSE(ArtifactsInput!$N$7+1,6,7.2,8.4,9.6,10.8,12))/100)),15)/15,MIN(1,(Skills!T17*(1+(Inputs!$B$34+(ArtifactsInput!$M$7-ArtifactsInput!$M$7)*CHOOSE(ArtifactsInput!$N$7+1,6,7.2,8.4,9.6,10.8,12))/100))/(1/Q1600)))))+((C1597=TRUE)*F1597*IF(Inputs!$B$3&gt;=118,8,IF(Inputs!$B$3&gt;=110,7,5)))+IF(Inputs!$B$3&gt;=98,5,0)</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Skills!G2*IF(Skills!H2&gt;0,INT(IF(Inputs!$B$38="pvp",MIN(Skills!I2,15),Skills!I2)/Skills!H2+0.000000001),1)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Skills!G5*IF(Skills!H5&gt;0,INT(IF(Inputs!$B$38="pvp",MIN(Skills!I5,15),Skills!I5)/Skills!H5+0.000000001),1)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IFERROR(1/(IF(Inputs!$B$38="pvp",15,MAX(0.1,Skills!D5-IF(TRUE=TRUE,Inputs!$B$32,0)))*(1-IF(AND(ArtifactsInput!$M$27,Inputs!$B$4="Chapter Hunt"),CHOOSE(ArtifactsInput!$N$27+1,20,24,28,32,36,40),0)/100)),0)</f>
        <v/>
      </c>
      <c r="R1630">
        <f>IF(AND(Inputs!$B$38&lt;&gt;"pvp",Inputs!$B$43&gt;0),IF(MAX(0,Inputs!$B$43-B1661)&lt;=0,0,(INT(MAX(0,Inputs!$B$43-B1661)/(IF(Inputs!$B$38="pvp",15,MAX(0.1,Skills!D5-IF(TRUE=TRUE,Inputs!$B$32,0)))*(1-IF(AND(ArtifactsInput!$M$27,Inputs!$B$4="Chapter Hunt"),CHOOSE(ArtifactsInput!$N$27+1,20,24,28,32,36,40),0)/100)))+1)),0)</f>
        <v/>
      </c>
      <c r="S1630">
        <f>IFERROR(O1630/N1630,0)</f>
        <v/>
      </c>
      <c r="T1630">
        <f>IF(C1630,(H1630*N1630*IF(AND(Inputs!$B$38&lt;&gt;"pvp",Inputs!$B$43&gt;0),((Skills!G5*((R1630-1)*IF(Skills!H5&gt;0,INT(Skills!I5/Skills!H5+0.000000001),1)+IF(Skills!H5&gt;0,INT(MIN(Skills!I5,MAX(0,MAX(0,Inputs!$B$43-B1661)-((R1630-1)*(IF(Inputs!$B$38="pvp",15,MAX(0.1,Skills!D5-IF(TRUE=TRUE,Inputs!$B$32,0)))*(1-IF(AND(ArtifactsInput!$M$27,Inputs!$B$4="Chapter Hunt"),CHOOSE(ArtifactsInput!$N$27+1,20,24,28,32,36,40),0)/100)))))/Skills!H5+0.000000001),1)))/Inputs!$B$43),G1630*Q1630))*IF(Inputs!$B$38="pvp",1,1+(Inputs!$B$20+0+Skills!P5+(((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INT(Skills!I5/Skills!H5+0.000000001),1)+IF(Skills!H5&gt;0,INT(MIN(Skills!I5,MAX(0,MAX(0,Inputs!$B$43-B1661)-((R1630-1)*(IF(Inputs!$B$38="pvp",15,MAX(0.1,Skills!D5-IF(TRUE=TRUE,Inputs!$B$32,0)))*(1-IF(AND(ArtifactsInput!$M$27,Inputs!$B$4="Chapter Hunt"),CHOOSE(ArtifactsInput!$N$27+1,20,24,28,32,36,40),0)/100)))))/Skills!H5+0.000000001),1)))/Inputs!$B$43),G1630*Q1630))*IF(Inputs!$B$38="pvp",1,(1+(Inputs!$B$21+Skills!Q5+(((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Skills!G6*IF(Skills!H6&gt;0,INT(IF(Inputs!$B$38="pvp",MIN(Skills!I6,15),Skills!I6)/Skills!H6+0.000000001),1)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IFERROR(1/(IF(Inputs!$B$38="pvp",15,MAX(0.1,Skills!D6-IF(TRUE=TRUE,Inputs!$B$32,0)))*(1-IF(AND(ArtifactsInput!$M$27,Inputs!$B$4="Chapter Hunt"),CHOOSE(ArtifactsInput!$N$27+1,20,24,28,32,36,40),0)/100)),0)</f>
        <v/>
      </c>
      <c r="R1631">
        <f>IF(AND(Inputs!$B$38&lt;&gt;"pvp",Inputs!$B$43&gt;0),IF(MAX(0,Inputs!$B$43-B1661)&lt;=0,0,(INT(MAX(0,Inputs!$B$43-B1661)/(IF(Inputs!$B$38="pvp",15,MAX(0.1,Skills!D6-IF(TRUE=TRUE,Inputs!$B$32,0)))*(1-IF(AND(ArtifactsInput!$M$27,Inputs!$B$4="Chapter Hunt"),CHOOSE(ArtifactsInput!$N$27+1,20,24,28,32,36,40),0)/100)))+1)),0)</f>
        <v/>
      </c>
      <c r="S1631">
        <f>IFERROR(O1631/N1631,0)</f>
        <v/>
      </c>
      <c r="T1631">
        <f>IF(C1631,(H1631*N1631*IF(AND(Inputs!$B$38&lt;&gt;"pvp",Inputs!$B$43&gt;0),((Skills!G6*((R1631-1)*IF(Skills!H6&gt;0,INT(Skills!I6/Skills!H6+0.000000001),1)+IF(Skills!H6&gt;0,INT(MIN(Skills!I6,MAX(0,MAX(0,Inputs!$B$43-B1661)-((R1631-1)*(IF(Inputs!$B$38="pvp",15,MAX(0.1,Skills!D6-IF(TRUE=TRUE,Inputs!$B$32,0)))*(1-IF(AND(ArtifactsInput!$M$27,Inputs!$B$4="Chapter Hunt"),CHOOSE(ArtifactsInput!$N$27+1,20,24,28,32,36,40),0)/100)))))/Skills!H6+0.000000001),1)))/Inputs!$B$43),G1631*Q1631))*IF(Inputs!$B$38="pvp",1,1+(Inputs!$B$20+0+Skills!P6+(((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INT(Skills!I6/Skills!H6+0.000000001),1)+IF(Skills!H6&gt;0,INT(MIN(Skills!I6,MAX(0,MAX(0,Inputs!$B$43-B1661)-((R1631-1)*(IF(Inputs!$B$38="pvp",15,MAX(0.1,Skills!D6-IF(TRUE=TRUE,Inputs!$B$32,0)))*(1-IF(AND(ArtifactsInput!$M$27,Inputs!$B$4="Chapter Hunt"),CHOOSE(ArtifactsInput!$N$27+1,20,24,28,32,36,40),0)/100)))))/Skills!H6+0.000000001),1)))/Inputs!$B$43),G1631*Q1631))*IF(Inputs!$B$38="pvp",1,(1+(Inputs!$B$21+Skills!Q6+(((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Skills!G7*IF(Skills!H7&gt;0,INT(IF(Inputs!$B$38="pvp",MIN(Skills!I7,15),Skills!I7)/Skills!H7+0.000000001),1)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IFERROR(1/(IF(Inputs!$B$38="pvp",15,MAX(0.1,Skills!D7-IF(TRUE=TRUE,Inputs!$B$32,0)))*(1-IF(AND(ArtifactsInput!$M$27,Inputs!$B$4="Chapter Hunt"),CHOOSE(ArtifactsInput!$N$27+1,20,24,28,32,36,40),0)/100)),0)</f>
        <v/>
      </c>
      <c r="R1632">
        <f>IF(AND(Inputs!$B$38&lt;&gt;"pvp",Inputs!$B$43&gt;0),IF(MAX(0,Inputs!$B$43-B1661)&lt;=0,0,(INT(MAX(0,Inputs!$B$43-B1661)/(IF(Inputs!$B$38="pvp",15,MAX(0.1,Skills!D7-IF(TRUE=TRUE,Inputs!$B$32,0)))*(1-IF(AND(ArtifactsInput!$M$27,Inputs!$B$4="Chapter Hunt"),CHOOSE(ArtifactsInput!$N$27+1,20,24,28,32,36,40),0)/100)))+1)),0)</f>
        <v/>
      </c>
      <c r="S1632">
        <f>IFERROR(O1632/N1632,0)</f>
        <v/>
      </c>
      <c r="T1632">
        <f>IF(C1632,(H1632*N1632*IF(AND(Inputs!$B$38&lt;&gt;"pvp",Inputs!$B$43&gt;0),((Skills!G7*((R1632-1)*IF(Skills!H7&gt;0,INT(Skills!I7/Skills!H7+0.000000001),1)+IF(Skills!H7&gt;0,INT(MIN(Skills!I7,MAX(0,MAX(0,Inputs!$B$43-B1661)-((R1632-1)*(IF(Inputs!$B$38="pvp",15,MAX(0.1,Skills!D7-IF(TRUE=TRUE,Inputs!$B$32,0)))*(1-IF(AND(ArtifactsInput!$M$27,Inputs!$B$4="Chapter Hunt"),CHOOSE(ArtifactsInput!$N$27+1,20,24,28,32,36,40),0)/100)))))/Skills!H7+0.000000001),1)))/Inputs!$B$43),G1632*Q1632))*IF(Inputs!$B$38="pvp",1,1+(Inputs!$B$20+0+Skills!P7+(((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INT(Skills!I7/Skills!H7+0.000000001),1)+IF(Skills!H7&gt;0,INT(MIN(Skills!I7,MAX(0,MAX(0,Inputs!$B$43-B1661)-((R1632-1)*(IF(Inputs!$B$38="pvp",15,MAX(0.1,Skills!D7-IF(TRUE=TRUE,Inputs!$B$32,0)))*(1-IF(AND(ArtifactsInput!$M$27,Inputs!$B$4="Chapter Hunt"),CHOOSE(ArtifactsInput!$N$27+1,20,24,28,32,36,40),0)/100)))))/Skills!H7+0.000000001),1)))/Inputs!$B$43),G1632*Q1632))*IF(Inputs!$B$38="pvp",1,(1+(Inputs!$B$21+Skills!Q7+(((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Skills!G8*IF(Skills!H8&gt;0,INT(IF(Inputs!$B$38="pvp",MIN(Skills!I8,15),Skills!I8)/Skills!H8+0.000000001),1)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IFERROR(1/(IF(Inputs!$B$38="pvp",15,MAX(0.1,Skills!D8-IF(TRUE=TRUE,Inputs!$B$32,0)))*(1-IF(AND(ArtifactsInput!$M$27,Inputs!$B$4="Chapter Hunt"),CHOOSE(ArtifactsInput!$N$27+1,20,24,28,32,36,40),0)/100)),0)</f>
        <v/>
      </c>
      <c r="R1633">
        <f>IF(AND(Inputs!$B$38&lt;&gt;"pvp",Inputs!$B$43&gt;0),IF(MAX(0,Inputs!$B$43-B1661)&lt;=0,0,(INT(MAX(0,Inputs!$B$43-B1661)/(IF(Inputs!$B$38="pvp",15,MAX(0.1,Skills!D8-IF(TRUE=TRUE,Inputs!$B$32,0)))*(1-IF(AND(ArtifactsInput!$M$27,Inputs!$B$4="Chapter Hunt"),CHOOSE(ArtifactsInput!$N$27+1,20,24,28,32,36,40),0)/100)))+1)),0)</f>
        <v/>
      </c>
      <c r="S1633">
        <f>IFERROR(O1633/N1633,0)</f>
        <v/>
      </c>
      <c r="T1633">
        <f>IF(C1633,(H1633*N1633*IF(AND(Inputs!$B$38&lt;&gt;"pvp",Inputs!$B$43&gt;0),((Skills!G8*((R1633-1)*IF(Skills!H8&gt;0,INT(Skills!I8/Skills!H8+0.000000001),1)+IF(Skills!H8&gt;0,INT(MIN(Skills!I8,MAX(0,MAX(0,Inputs!$B$43-B1661)-((R1633-1)*(IF(Inputs!$B$38="pvp",15,MAX(0.1,Skills!D8-IF(TRUE=TRUE,Inputs!$B$32,0)))*(1-IF(AND(ArtifactsInput!$M$27,Inputs!$B$4="Chapter Hunt"),CHOOSE(ArtifactsInput!$N$27+1,20,24,28,32,36,40),0)/100)))))/Skills!H8+0.000000001),1)))/Inputs!$B$43),G1633*Q1633))*IF(Inputs!$B$38="pvp",1,1+(Inputs!$B$20+0+Skills!P8+(((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INT(Skills!I8/Skills!H8+0.000000001),1)+IF(Skills!H8&gt;0,INT(MIN(Skills!I8,MAX(0,MAX(0,Inputs!$B$43-B1661)-((R1633-1)*(IF(Inputs!$B$38="pvp",15,MAX(0.1,Skills!D8-IF(TRUE=TRUE,Inputs!$B$32,0)))*(1-IF(AND(ArtifactsInput!$M$27,Inputs!$B$4="Chapter Hunt"),CHOOSE(ArtifactsInput!$N$27+1,20,24,28,32,36,40),0)/100)))))/Skills!H8+0.000000001),1)))/Inputs!$B$43),G1633*Q1633))*IF(Inputs!$B$38="pvp",1,(1+(Inputs!$B$21+Skills!Q8+(((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Skills!G9*IF(Skills!H9&gt;0,INT(IF(Inputs!$B$38="pvp",MIN(Skills!I9,15),Skills!I9)/Skills!H9+0.000000001),1)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138,MAX(0,IF(Inputs!$B$3&gt;=118,8,IF(Inputs!$B$3&gt;=110,7,5))-5)*50,0),0)/100)*(1+(IF(Skills!A9="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IFERROR(1/(IF(Inputs!$B$38="pvp",15,MAX(0.1,Skills!D9-IF(TRUE=TRUE,Inputs!$B$32,0)))*(1-IF(AND(ArtifactsInput!$M$27,Inputs!$B$4="Chapter Hunt"),CHOOSE(ArtifactsInput!$N$27+1,20,24,28,32,36,40),0)/100)),0)</f>
        <v/>
      </c>
      <c r="R1634">
        <f>IF(AND(Inputs!$B$38&lt;&gt;"pvp",Inputs!$B$43&gt;0),IF(MAX(0,Inputs!$B$43-B1661)&lt;=0,0,(INT(MAX(0,Inputs!$B$43-B1661)/(IF(Inputs!$B$38="pvp",15,MAX(0.1,Skills!D9-IF(TRUE=TRUE,Inputs!$B$32,0)))*(1-IF(AND(ArtifactsInput!$M$27,Inputs!$B$4="Chapter Hunt"),CHOOSE(ArtifactsInput!$N$27+1,20,24,28,32,36,40),0)/100)))+1)),0)</f>
        <v/>
      </c>
      <c r="S1634">
        <f>IFERROR(O1634/N1634,0)</f>
        <v/>
      </c>
      <c r="T1634">
        <f>IF(C1634,(H1634*N1634*IF(AND(Inputs!$B$38&lt;&gt;"pvp",Inputs!$B$43&gt;0),((Skills!G9*((R1634-1)*IF(Skills!H9&gt;0,INT(Skills!I9/Skills!H9+0.000000001),1)+IF(Skills!H9&gt;0,INT(MIN(Skills!I9,MAX(0,MAX(0,Inputs!$B$43-B1661)-((R1634-1)*(IF(Inputs!$B$38="pvp",15,MAX(0.1,Skills!D9-IF(TRUE=TRUE,Inputs!$B$32,0)))*(1-IF(AND(ArtifactsInput!$M$27,Inputs!$B$4="Chapter Hunt"),CHOOSE(ArtifactsInput!$N$27+1,20,24,28,32,36,40),0)/100)))))/Skills!H9+0.000000001),1)))/Inputs!$B$43),G1634*Q1634))*IF(Inputs!$B$38="pvp",1,1+(Inputs!$B$20+0+Skills!P9+(((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INT(Skills!I9/Skills!H9+0.000000001),1)+IF(Skills!H9&gt;0,INT(MIN(Skills!I9,MAX(0,MAX(0,Inputs!$B$43-B1661)-((R1634-1)*(IF(Inputs!$B$38="pvp",15,MAX(0.1,Skills!D9-IF(TRUE=TRUE,Inputs!$B$32,0)))*(1-IF(AND(ArtifactsInput!$M$27,Inputs!$B$4="Chapter Hunt"),CHOOSE(ArtifactsInput!$N$27+1,20,24,28,32,36,40),0)/100)))))/Skills!H9+0.000000001),1)))/Inputs!$B$43),G1634*Q1634))*IF(Inputs!$B$38="pvp",1,(1+(Inputs!$B$21+Skills!Q9+(((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Skills!G10*IF(Skills!H10&gt;0,INT(IF(Inputs!$B$38="pvp",MIN(Skills!I10,15),Skills!I10)/Skills!H10+0.000000001),1)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138,MAX(0,IF(Inputs!$B$3&gt;=118,8,IF(Inputs!$B$3&gt;=110,7,5))-5)*50,0),0)/100)*(1+(IF(Skills!A10="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IFERROR(1/(IF(Inputs!$B$38="pvp",15,MAX(0.1,Skills!D10-IF(TRUE=TRUE,Inputs!$B$32,0)))*(1-IF(AND(ArtifactsInput!$M$27,Inputs!$B$4="Chapter Hunt"),CHOOSE(ArtifactsInput!$N$27+1,20,24,28,32,36,40),0)/100)),0)</f>
        <v/>
      </c>
      <c r="R1635">
        <f>IF(AND(Inputs!$B$38&lt;&gt;"pvp",Inputs!$B$43&gt;0),IF(MAX(0,Inputs!$B$43-B1661)&lt;=0,0,(INT(MAX(0,Inputs!$B$43-B1661)/(IF(Inputs!$B$38="pvp",15,MAX(0.1,Skills!D10-IF(TRUE=TRUE,Inputs!$B$32,0)))*(1-IF(AND(ArtifactsInput!$M$27,Inputs!$B$4="Chapter Hunt"),CHOOSE(ArtifactsInput!$N$27+1,20,24,28,32,36,40),0)/100)))+1)),0)</f>
        <v/>
      </c>
      <c r="S1635">
        <f>IFERROR(O1635/N1635,0)</f>
        <v/>
      </c>
      <c r="T1635">
        <f>IF(C1635,(H1635*N1635*IF(AND(Inputs!$B$38&lt;&gt;"pvp",Inputs!$B$43&gt;0),((Skills!G10*((R1635-1)*IF(Skills!H10&gt;0,INT(Skills!I10/Skills!H10+0.000000001),1)+IF(Skills!H10&gt;0,INT(MIN(Skills!I10,MAX(0,MAX(0,Inputs!$B$43-B1661)-((R1635-1)*(IF(Inputs!$B$38="pvp",15,MAX(0.1,Skills!D10-IF(TRUE=TRUE,Inputs!$B$32,0)))*(1-IF(AND(ArtifactsInput!$M$27,Inputs!$B$4="Chapter Hunt"),CHOOSE(ArtifactsInput!$N$27+1,20,24,28,32,36,40),0)/100)))))/Skills!H10+0.000000001),1)))/Inputs!$B$43),G1635*Q1635))*IF(Inputs!$B$38="pvp",1,1+(Inputs!$B$20+0+Skills!P10+(((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INT(Skills!I10/Skills!H10+0.000000001),1)+IF(Skills!H10&gt;0,INT(MIN(Skills!I10,MAX(0,MAX(0,Inputs!$B$43-B1661)-((R1635-1)*(IF(Inputs!$B$38="pvp",15,MAX(0.1,Skills!D10-IF(TRUE=TRUE,Inputs!$B$32,0)))*(1-IF(AND(ArtifactsInput!$M$27,Inputs!$B$4="Chapter Hunt"),CHOOSE(ArtifactsInput!$N$27+1,20,24,28,32,36,40),0)/100)))))/Skills!H10+0.000000001),1)))/Inputs!$B$43),G1635*Q1635))*IF(Inputs!$B$38="pvp",1,(1+(Inputs!$B$21+Skills!Q10+(((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Skills!G11*IF(Skills!H11&gt;0,INT(IF(Inputs!$B$38="pvp",MIN(Skills!I11,15),Skills!I11)/Skills!H11+0.000000001),1)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138,MAX(0,IF(Inputs!$B$3&gt;=118,8,IF(Inputs!$B$3&gt;=110,7,5))-5)*50,0),0)/100)*(1+(IF(Skills!A11="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IFERROR(1/(IF(Inputs!$B$38="pvp",15,MAX(0.1,Skills!D11-IF(TRUE=TRUE,Inputs!$B$32,0)))*(1-IF(AND(ArtifactsInput!$M$27,Inputs!$B$4="Chapter Hunt"),CHOOSE(ArtifactsInput!$N$27+1,20,24,28,32,36,40),0)/100)),0)</f>
        <v/>
      </c>
      <c r="R1636">
        <f>IF(AND(Inputs!$B$38&lt;&gt;"pvp",Inputs!$B$43&gt;0),IF(MAX(0,Inputs!$B$43-B1661)&lt;=0,0,(INT(MAX(0,Inputs!$B$43-B1661)/(IF(Inputs!$B$38="pvp",15,MAX(0.1,Skills!D11-IF(TRUE=TRUE,Inputs!$B$32,0)))*(1-IF(AND(ArtifactsInput!$M$27,Inputs!$B$4="Chapter Hunt"),CHOOSE(ArtifactsInput!$N$27+1,20,24,28,32,36,40),0)/100)))+1)),0)</f>
        <v/>
      </c>
      <c r="S1636">
        <f>IFERROR(O1636/N1636,0)</f>
        <v/>
      </c>
      <c r="T1636">
        <f>IF(C1636,(H1636*N1636*IF(AND(Inputs!$B$38&lt;&gt;"pvp",Inputs!$B$43&gt;0),((Skills!G11*((R1636-1)*IF(Skills!H11&gt;0,INT(Skills!I11/Skills!H11+0.000000001),1)+IF(Skills!H11&gt;0,INT(MIN(Skills!I11,MAX(0,MAX(0,Inputs!$B$43-B1661)-((R1636-1)*(IF(Inputs!$B$38="pvp",15,MAX(0.1,Skills!D11-IF(TRUE=TRUE,Inputs!$B$32,0)))*(1-IF(AND(ArtifactsInput!$M$27,Inputs!$B$4="Chapter Hunt"),CHOOSE(ArtifactsInput!$N$27+1,20,24,28,32,36,40),0)/100)))))/Skills!H11+0.000000001),1)))/Inputs!$B$43),G1636*Q1636))*IF(Inputs!$B$38="pvp",1,1+(Inputs!$B$20+0+Skills!P11+(((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INT(Skills!I11/Skills!H11+0.000000001),1)+IF(Skills!H11&gt;0,INT(MIN(Skills!I11,MAX(0,MAX(0,Inputs!$B$43-B1661)-((R1636-1)*(IF(Inputs!$B$38="pvp",15,MAX(0.1,Skills!D11-IF(TRUE=TRUE,Inputs!$B$32,0)))*(1-IF(AND(ArtifactsInput!$M$27,Inputs!$B$4="Chapter Hunt"),CHOOSE(ArtifactsInput!$N$27+1,20,24,28,32,36,40),0)/100)))))/Skills!H11+0.000000001),1)))/Inputs!$B$43),G1636*Q1636))*IF(Inputs!$B$38="pvp",1,(1+(Inputs!$B$21+Skills!Q11+(((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Skills!G13*IF(Skills!H13&gt;0,INT(IF(Inputs!$B$38="pvp",MIN(Skills!I13,15),Skills!I13)/Skills!H13+0.000000001),1)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Skills!G14*IF(Skills!H14&gt;0,INT(IF(Inputs!$B$38="pvp",MIN(Skills!I14,15),Skills!I14)/Skills!H14+0.000000001),1)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Skills!G15*IF(Skills!H15&gt;0,INT(IF(Inputs!$B$38="pvp",MIN(Skills!I15,15),Skills!I15)/Skills!H15+0.000000001),1)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IFERROR(1/(IF(Inputs!$B$38="pvp",15,MAX(0.1,Skills!D15-IF(TRUE=TRUE,Inputs!$B$32,0)))*(1-IF(AND(ArtifactsInput!$M$27,Inputs!$B$4="Chapter Hunt"),CHOOSE(ArtifactsInput!$N$27+1,20,24,28,32,36,40),0)/100)),0)</f>
        <v/>
      </c>
      <c r="R1640">
        <f>IF(AND(Inputs!$B$38&lt;&gt;"pvp",Inputs!$B$43&gt;0),IF(Inputs!$B$43&lt;=0,0,(INT(Inputs!$B$43/(IF(Inputs!$B$38="pvp",15,MAX(0.1,Skills!D15-IF(TRUE=TRUE,Inputs!$B$32,0)))*(1-IF(AND(ArtifactsInput!$M$27,Inputs!$B$4="Chapter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Skills!G16*IF(Skills!H16&gt;0,INT(IF(Inputs!$B$38="pvp",MIN(Skills!I16,15),Skills!I16)/Skills!H16+0.000000001),1)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IFERROR(1/(IF(Inputs!$B$38="pvp",15,MAX(0.1,Skills!D16-IF(TRUE=TRUE,Inputs!$B$32,0)))*(1-IF(AND(ArtifactsInput!$M$27,Inputs!$B$4="Chapter Hunt"),CHOOSE(ArtifactsInput!$N$27+1,20,24,28,32,36,40),0)/100)),0)</f>
        <v/>
      </c>
      <c r="R1641">
        <f>IF(AND(Inputs!$B$38&lt;&gt;"pvp",Inputs!$B$43&gt;0),IF(Inputs!$B$43&lt;=0,0,(INT(Inputs!$B$43/(IF(Inputs!$B$38="pvp",15,MAX(0.1,Skills!D16-IF(TRUE=TRUE,Inputs!$B$32,0)))*(1-IF(AND(ArtifactsInput!$M$27,Inputs!$B$4="Chapter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Skills!G17*IF(Skills!H17&gt;0,INT(IF(Inputs!$B$38="pvp",MIN(Skills!I17,15),Skills!I17)/Skills!H17+0.000000001),1)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IFERROR(1/(IF(Inputs!$B$38="pvp",15,MAX(0.1,Skills!D17-IF(TRUE=TRUE,Inputs!$B$32,0)))*(1-IF(AND(ArtifactsInput!$M$27,Inputs!$B$4="Chapter Hunt"),CHOOSE(ArtifactsInput!$N$27+1,20,24,28,32,36,40),0)/100)),0)</f>
        <v/>
      </c>
      <c r="R1642">
        <f>IF(AND(Inputs!$B$38&lt;&gt;"pvp",Inputs!$B$43&gt;0),IF(Inputs!$B$43&lt;=0,0,(INT(Inputs!$B$43/(IF(Inputs!$B$38="pvp",15,MAX(0.1,Skills!D17-IF(TRUE=TRUE,Inputs!$B$32,0)))*(1-IF(AND(ArtifactsInput!$M$27,Inputs!$B$4="Chapter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Skills!G18*IF(Skills!H18&gt;0,INT(IF(Inputs!$B$38="pvp",MIN(Skills!I18,15),Skills!I18)/Skills!H18+0.000000001),1)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IFERROR(1/(IF(Inputs!$B$38="pvp",15,MAX(0.1,Skills!D18-IF(TRUE=TRUE,Inputs!$B$32,0)))*(1-IF(AND(ArtifactsInput!$M$27,Inputs!$B$4="Chapter Hunt"),CHOOSE(ArtifactsInput!$N$27+1,20,24,28,32,36,40),0)/100)),0)</f>
        <v/>
      </c>
      <c r="R1643">
        <f>IF(AND(Inputs!$B$38&lt;&gt;"pvp",Inputs!$B$43&gt;0),IF(Inputs!$B$43&lt;=0,0,(INT(Inputs!$B$43/(IF(Inputs!$B$38="pvp",15,MAX(0.1,Skills!D18-IF(TRUE=TRUE,Inputs!$B$32,0)))*(1-IF(AND(ArtifactsInput!$M$27,Inputs!$B$4="Chapter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Skills!G19*IF(Skills!H19&gt;0,INT(IF(Inputs!$B$38="pvp",MIN(Skills!I19,15),Skills!I19)/Skills!H19+0.000000001),1)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IFERROR(1/(IF(Inputs!$B$38="pvp",15,MAX(0.1,Skills!D19-IF(TRUE=TRUE,Inputs!$B$32,0)))*(1-IF(AND(ArtifactsInput!$M$27,Inputs!$B$4="Chapter Hunt"),CHOOSE(ArtifactsInput!$N$27+1,20,24,28,32,36,40),0)/100)),0)</f>
        <v/>
      </c>
      <c r="R1644">
        <f>IF(AND(Inputs!$B$38&lt;&gt;"pvp",Inputs!$B$43&gt;0),IF(Inputs!$B$43&lt;=0,0,(INT(Inputs!$B$43/(IF(Inputs!$B$38="pvp",15,MAX(0.1,Skills!D19-IF(TRUE=TRUE,Inputs!$B$32,0)))*(1-IF(AND(ArtifactsInput!$M$27,Inputs!$B$4="Chapter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Skills!G20*IF(Skills!H20&gt;0,INT(IF(Inputs!$B$38="pvp",MIN(Skills!I20,15),Skills!I20)/Skills!H20+0.000000001),1)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Skills!G21*IF(Skills!H21&gt;0,INT(IF(Inputs!$B$38="pvp",MIN(Skills!I21,15),Skills!I21)/Skills!H21+0.000000001),1)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Skills!G22*IF(Skills!H22&gt;0,INT(IF(Inputs!$B$38="pvp",MIN(Skills!I22,15),Skills!I22)/Skills!H22+0.000000001),1)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Skills!G23*IF(Skills!H23&gt;0,INT(IF(Inputs!$B$38="pvp",MIN(Skills!I23,15),Skills!I23)/Skills!H23+0.000000001),1)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Skills!G24*IF(Skills!H24&gt;0,INT(IF(Inputs!$B$38="pvp",MIN(Skills!I24,15),Skills!I24)/Skills!H24+0.000000001),1)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Skills!G25*IF(Skills!H25&gt;0,INT(IF(Inputs!$B$38="pvp",MIN(Skills!I25,15),Skills!I25)/Skills!H25+0.000000001),1)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Skills!G26*IF(Skills!H26&gt;0,INT(IF(Inputs!$B$38="pvp",MIN(Skills!I26,15),Skills!I26)/Skills!H26+0.000000001),1)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MIN((Skills!T19*(1+(Inputs!$B$34+(ArtifactsInput!$M$7-ArtifactsInput!$M$7)*CHOOSE(ArtifactsInput!$N$7+1,6,7.2,8.4,9.6,10.8,12))/100)),(1/Q1644))+MIN((Skills!T19*(1+(Inputs!$B$34+(ArtifactsInput!$M$7-ArtifactsInput!$M$7)*CHOOSE(ArtifactsInput!$N$7+1,6,7.2,8.4,9.6,10.8,12))/100)),MAX(0,Inputs!$B$43-((R1644-1)*(1/Q1644)))))/Inputs!$B$43),IF(Inputs!$B$38="pvp",MIN((Skills!T19*(1+(Inputs!$B$34+(ArtifactsInput!$M$7-ArtifactsInput!$M$7)*CHOOSE(ArtifactsInput!$N$7+1,6,7.2,8.4,9.6,10.8,12))/100)),15)/15,MIN(1,(Skills!T19*(1+(Inputs!$B$34+(ArtifactsInput!$M$7-ArtifactsInput!$M$7)*CHOOSE(ArtifactsInput!$N$7+1,6,7.2,8.4,9.6,10.8,12))/100))/(1/Q1644)))))</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MIN((Skills!T18*(1+(Inputs!$B$34+(ArtifactsInput!$M$7-ArtifactsInput!$M$7)*CHOOSE(ArtifactsInput!$N$7+1,6,7.2,8.4,9.6,10.8,12))/100)),(1/Q1643))+MIN((Skills!T18*(1+(Inputs!$B$34+(ArtifactsInput!$M$7-ArtifactsInput!$M$7)*CHOOSE(ArtifactsInput!$N$7+1,6,7.2,8.4,9.6,10.8,12))/100)),MAX(0,Inputs!$B$43-((R1643-1)*(1/Q1643)))))/Inputs!$B$43),IF(Inputs!$B$38="pvp",MIN((Skills!T18*(1+(Inputs!$B$34+(ArtifactsInput!$M$7-ArtifactsInput!$M$7)*CHOOSE(ArtifactsInput!$N$7+1,6,7.2,8.4,9.6,10.8,12))/100)),15)/15,MIN(1,(Skills!T18*(1+(Inputs!$B$34+(ArtifactsInput!$M$7-ArtifactsInput!$M$7)*CHOOSE(ArtifactsInput!$N$7+1,6,7.2,8.4,9.6,10.8,12))/100))/(1/Q1643)))))</f>
        <v/>
      </c>
    </row>
    <row r="1660">
      <c r="A1660" t="inlineStr">
        <is>
          <t>Global Final Damage Bonus % (Enrage + Combo Synergy)</t>
        </is>
      </c>
      <c r="B1660">
        <f>((C1642=TRUE)*F1642*IF(AND(Inputs!$B$38&lt;&gt;"pvp",Inputs!$B$43&gt;0),(((R1642-1)*MIN((Skills!T17*(1+(Inputs!$B$34+(ArtifactsInput!$M$7-ArtifactsInput!$M$7)*CHOOSE(ArtifactsInput!$N$7+1,6,7.2,8.4,9.6,10.8,12))/100)),(1/Q1642))+MIN((Skills!T17*(1+(Inputs!$B$34+(ArtifactsInput!$M$7-ArtifactsInput!$M$7)*CHOOSE(ArtifactsInput!$N$7+1,6,7.2,8.4,9.6,10.8,12))/100)),MAX(0,Inputs!$B$43-((R1642-1)*(1/Q1642)))))/Inputs!$B$43),IF(Inputs!$B$38="pvp",MIN((Skills!T17*(1+(Inputs!$B$34+(ArtifactsInput!$M$7-ArtifactsInput!$M$7)*CHOOSE(ArtifactsInput!$N$7+1,6,7.2,8.4,9.6,10.8,12))/100)),15)/15,MIN(1,(Skills!T17*(1+(Inputs!$B$34+(ArtifactsInput!$M$7-ArtifactsInput!$M$7)*CHOOSE(ArtifactsInput!$N$7+1,6,7.2,8.4,9.6,10.8,12))/100))/(1/Q1642)))))+((C1639=TRUE)*F1639*IF(Inputs!$B$3&gt;=118,8,IF(Inputs!$B$3&gt;=110,7,5)))+IF(Inputs!$B$3&gt;=98,5,0)</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Skills!G2*IF(Skills!H2&gt;0,INT(IF(Inputs!$B$38="pvp",MIN(Skills!I2,15),Skills!I2)/Skills!H2+0.000000001),1)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Skills!G5*IF(Skills!H5&gt;0,INT(IF(Inputs!$B$38="pvp",MIN(Skills!I5,15),Skills!I5)/Skills!H5+0.000000001),1)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IFERROR(1/(IF(Inputs!$B$38="pvp",15,MAX(0.1,Skills!D5-IF(TRUE=TRUE,Inputs!$B$32,0)))*(1-IF(AND(ArtifactsInput!$M$27,Inputs!$B$4="Chapter Hunt"),CHOOSE(ArtifactsInput!$N$27+1,20,24,28,32,36,40),0)/100)),0)</f>
        <v/>
      </c>
      <c r="R1672">
        <f>IF(AND(Inputs!$B$38&lt;&gt;"pvp",Inputs!$B$43&gt;0),IF(MAX(0,Inputs!$B$43-B1703)&lt;=0,0,(INT(MAX(0,Inputs!$B$43-B1703)/(IF(Inputs!$B$38="pvp",15,MAX(0.1,Skills!D5-IF(TRUE=TRUE,Inputs!$B$32,0)))*(1-IF(AND(ArtifactsInput!$M$27,Inputs!$B$4="Chapter Hunt"),CHOOSE(ArtifactsInput!$N$27+1,20,24,28,32,36,40),0)/100)))+1)),0)</f>
        <v/>
      </c>
      <c r="S1672">
        <f>IFERROR(O1672/N1672,0)</f>
        <v/>
      </c>
      <c r="T1672">
        <f>IF(C1672,(H1672*N1672*IF(AND(Inputs!$B$38&lt;&gt;"pvp",Inputs!$B$43&gt;0),((Skills!G5*((R1672-1)*IF(Skills!H5&gt;0,INT(Skills!I5/Skills!H5+0.000000001),1)+IF(Skills!H5&gt;0,INT(MIN(Skills!I5,MAX(0,MAX(0,Inputs!$B$43-B1703)-((R1672-1)*(IF(Inputs!$B$38="pvp",15,MAX(0.1,Skills!D5-IF(TRUE=TRUE,Inputs!$B$32,0)))*(1-IF(AND(ArtifactsInput!$M$27,Inputs!$B$4="Chapter Hunt"),CHOOSE(ArtifactsInput!$N$27+1,20,24,28,32,36,40),0)/100)))))/Skills!H5+0.000000001),1)))/Inputs!$B$43),G1672*Q1672))*IF(Inputs!$B$38="pvp",1,1+(Inputs!$B$20+0+Skills!P5+(((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INT(Skills!I5/Skills!H5+0.000000001),1)+IF(Skills!H5&gt;0,INT(MIN(Skills!I5,MAX(0,MAX(0,Inputs!$B$43-B1703)-((R1672-1)*(IF(Inputs!$B$38="pvp",15,MAX(0.1,Skills!D5-IF(TRUE=TRUE,Inputs!$B$32,0)))*(1-IF(AND(ArtifactsInput!$M$27,Inputs!$B$4="Chapter Hunt"),CHOOSE(ArtifactsInput!$N$27+1,20,24,28,32,36,40),0)/100)))))/Skills!H5+0.000000001),1)))/Inputs!$B$43),G1672*Q1672))*IF(Inputs!$B$38="pvp",1,(1+(Inputs!$B$21+Skills!Q5+(((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Skills!G6*IF(Skills!H6&gt;0,INT(IF(Inputs!$B$38="pvp",MIN(Skills!I6,15),Skills!I6)/Skills!H6+0.000000001),1)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IFERROR(1/(IF(Inputs!$B$38="pvp",15,MAX(0.1,Skills!D6-IF(TRUE=TRUE,Inputs!$B$32,0)))*(1-IF(AND(ArtifactsInput!$M$27,Inputs!$B$4="Chapter Hunt"),CHOOSE(ArtifactsInput!$N$27+1,20,24,28,32,36,40),0)/100)),0)</f>
        <v/>
      </c>
      <c r="R1673">
        <f>IF(AND(Inputs!$B$38&lt;&gt;"pvp",Inputs!$B$43&gt;0),IF(MAX(0,Inputs!$B$43-B1703)&lt;=0,0,(INT(MAX(0,Inputs!$B$43-B1703)/(IF(Inputs!$B$38="pvp",15,MAX(0.1,Skills!D6-IF(TRUE=TRUE,Inputs!$B$32,0)))*(1-IF(AND(ArtifactsInput!$M$27,Inputs!$B$4="Chapter Hunt"),CHOOSE(ArtifactsInput!$N$27+1,20,24,28,32,36,40),0)/100)))+1)),0)</f>
        <v/>
      </c>
      <c r="S1673">
        <f>IFERROR(O1673/N1673,0)</f>
        <v/>
      </c>
      <c r="T1673">
        <f>IF(C1673,(H1673*N1673*IF(AND(Inputs!$B$38&lt;&gt;"pvp",Inputs!$B$43&gt;0),((Skills!G6*((R1673-1)*IF(Skills!H6&gt;0,INT(Skills!I6/Skills!H6+0.000000001),1)+IF(Skills!H6&gt;0,INT(MIN(Skills!I6,MAX(0,MAX(0,Inputs!$B$43-B1703)-((R1673-1)*(IF(Inputs!$B$38="pvp",15,MAX(0.1,Skills!D6-IF(TRUE=TRUE,Inputs!$B$32,0)))*(1-IF(AND(ArtifactsInput!$M$27,Inputs!$B$4="Chapter Hunt"),CHOOSE(ArtifactsInput!$N$27+1,20,24,28,32,36,40),0)/100)))))/Skills!H6+0.000000001),1)))/Inputs!$B$43),G1673*Q1673))*IF(Inputs!$B$38="pvp",1,1+(Inputs!$B$20+0+Skills!P6+(((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INT(Skills!I6/Skills!H6+0.000000001),1)+IF(Skills!H6&gt;0,INT(MIN(Skills!I6,MAX(0,MAX(0,Inputs!$B$43-B1703)-((R1673-1)*(IF(Inputs!$B$38="pvp",15,MAX(0.1,Skills!D6-IF(TRUE=TRUE,Inputs!$B$32,0)))*(1-IF(AND(ArtifactsInput!$M$27,Inputs!$B$4="Chapter Hunt"),CHOOSE(ArtifactsInput!$N$27+1,20,24,28,32,36,40),0)/100)))))/Skills!H6+0.000000001),1)))/Inputs!$B$43),G1673*Q1673))*IF(Inputs!$B$38="pvp",1,(1+(Inputs!$B$21+Skills!Q6+(((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Skills!G7*IF(Skills!H7&gt;0,INT(IF(Inputs!$B$38="pvp",MIN(Skills!I7,15),Skills!I7)/Skills!H7+0.000000001),1)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IFERROR(1/(IF(Inputs!$B$38="pvp",15,MAX(0.1,Skills!D7-IF(TRUE=TRUE,Inputs!$B$32,0)))*(1-IF(AND(ArtifactsInput!$M$27,Inputs!$B$4="Chapter Hunt"),CHOOSE(ArtifactsInput!$N$27+1,20,24,28,32,36,40),0)/100)),0)</f>
        <v/>
      </c>
      <c r="R1674">
        <f>IF(AND(Inputs!$B$38&lt;&gt;"pvp",Inputs!$B$43&gt;0),IF(MAX(0,Inputs!$B$43-B1703)&lt;=0,0,(INT(MAX(0,Inputs!$B$43-B1703)/(IF(Inputs!$B$38="pvp",15,MAX(0.1,Skills!D7-IF(TRUE=TRUE,Inputs!$B$32,0)))*(1-IF(AND(ArtifactsInput!$M$27,Inputs!$B$4="Chapter Hunt"),CHOOSE(ArtifactsInput!$N$27+1,20,24,28,32,36,40),0)/100)))+1)),0)</f>
        <v/>
      </c>
      <c r="S1674">
        <f>IFERROR(O1674/N1674,0)</f>
        <v/>
      </c>
      <c r="T1674">
        <f>IF(C1674,(H1674*N1674*IF(AND(Inputs!$B$38&lt;&gt;"pvp",Inputs!$B$43&gt;0),((Skills!G7*((R1674-1)*IF(Skills!H7&gt;0,INT(Skills!I7/Skills!H7+0.000000001),1)+IF(Skills!H7&gt;0,INT(MIN(Skills!I7,MAX(0,MAX(0,Inputs!$B$43-B1703)-((R1674-1)*(IF(Inputs!$B$38="pvp",15,MAX(0.1,Skills!D7-IF(TRUE=TRUE,Inputs!$B$32,0)))*(1-IF(AND(ArtifactsInput!$M$27,Inputs!$B$4="Chapter Hunt"),CHOOSE(ArtifactsInput!$N$27+1,20,24,28,32,36,40),0)/100)))))/Skills!H7+0.000000001),1)))/Inputs!$B$43),G1674*Q1674))*IF(Inputs!$B$38="pvp",1,1+(Inputs!$B$20+0+Skills!P7+(((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INT(Skills!I7/Skills!H7+0.000000001),1)+IF(Skills!H7&gt;0,INT(MIN(Skills!I7,MAX(0,MAX(0,Inputs!$B$43-B1703)-((R1674-1)*(IF(Inputs!$B$38="pvp",15,MAX(0.1,Skills!D7-IF(TRUE=TRUE,Inputs!$B$32,0)))*(1-IF(AND(ArtifactsInput!$M$27,Inputs!$B$4="Chapter Hunt"),CHOOSE(ArtifactsInput!$N$27+1,20,24,28,32,36,40),0)/100)))))/Skills!H7+0.000000001),1)))/Inputs!$B$43),G1674*Q1674))*IF(Inputs!$B$38="pvp",1,(1+(Inputs!$B$21+Skills!Q7+(((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Skills!G8*IF(Skills!H8&gt;0,INT(IF(Inputs!$B$38="pvp",MIN(Skills!I8,15),Skills!I8)/Skills!H8+0.000000001),1)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IFERROR(1/(IF(Inputs!$B$38="pvp",15,MAX(0.1,Skills!D8-IF(TRUE=TRUE,Inputs!$B$32,0)))*(1-IF(AND(ArtifactsInput!$M$27,Inputs!$B$4="Chapter Hunt"),CHOOSE(ArtifactsInput!$N$27+1,20,24,28,32,36,40),0)/100)),0)</f>
        <v/>
      </c>
      <c r="R1675">
        <f>IF(AND(Inputs!$B$38&lt;&gt;"pvp",Inputs!$B$43&gt;0),IF(MAX(0,Inputs!$B$43-B1703)&lt;=0,0,(INT(MAX(0,Inputs!$B$43-B1703)/(IF(Inputs!$B$38="pvp",15,MAX(0.1,Skills!D8-IF(TRUE=TRUE,Inputs!$B$32,0)))*(1-IF(AND(ArtifactsInput!$M$27,Inputs!$B$4="Chapter Hunt"),CHOOSE(ArtifactsInput!$N$27+1,20,24,28,32,36,40),0)/100)))+1)),0)</f>
        <v/>
      </c>
      <c r="S1675">
        <f>IFERROR(O1675/N1675,0)</f>
        <v/>
      </c>
      <c r="T1675">
        <f>IF(C1675,(H1675*N1675*IF(AND(Inputs!$B$38&lt;&gt;"pvp",Inputs!$B$43&gt;0),((Skills!G8*((R1675-1)*IF(Skills!H8&gt;0,INT(Skills!I8/Skills!H8+0.000000001),1)+IF(Skills!H8&gt;0,INT(MIN(Skills!I8,MAX(0,MAX(0,Inputs!$B$43-B1703)-((R1675-1)*(IF(Inputs!$B$38="pvp",15,MAX(0.1,Skills!D8-IF(TRUE=TRUE,Inputs!$B$32,0)))*(1-IF(AND(ArtifactsInput!$M$27,Inputs!$B$4="Chapter Hunt"),CHOOSE(ArtifactsInput!$N$27+1,20,24,28,32,36,40),0)/100)))))/Skills!H8+0.000000001),1)))/Inputs!$B$43),G1675*Q1675))*IF(Inputs!$B$38="pvp",1,1+(Inputs!$B$20+0+Skills!P8+(((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INT(Skills!I8/Skills!H8+0.000000001),1)+IF(Skills!H8&gt;0,INT(MIN(Skills!I8,MAX(0,MAX(0,Inputs!$B$43-B1703)-((R1675-1)*(IF(Inputs!$B$38="pvp",15,MAX(0.1,Skills!D8-IF(TRUE=TRUE,Inputs!$B$32,0)))*(1-IF(AND(ArtifactsInput!$M$27,Inputs!$B$4="Chapter Hunt"),CHOOSE(ArtifactsInput!$N$27+1,20,24,28,32,36,40),0)/100)))))/Skills!H8+0.000000001),1)))/Inputs!$B$43),G1675*Q1675))*IF(Inputs!$B$38="pvp",1,(1+(Inputs!$B$21+Skills!Q8+(((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Skills!G9*IF(Skills!H9&gt;0,INT(IF(Inputs!$B$38="pvp",MIN(Skills!I9,15),Skills!I9)/Skills!H9+0.000000001),1)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138,MAX(0,IF(Inputs!$B$3&gt;=118,8,IF(Inputs!$B$3&gt;=110,7,5))-5)*50,0),0)/100)*(1+(IF(Skills!A9="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IFERROR(1/(IF(Inputs!$B$38="pvp",15,MAX(0.1,Skills!D9-IF(TRUE=TRUE,Inputs!$B$32,0)))*(1-IF(AND(ArtifactsInput!$M$27,Inputs!$B$4="Chapter Hunt"),CHOOSE(ArtifactsInput!$N$27+1,20,24,28,32,36,40),0)/100)),0)</f>
        <v/>
      </c>
      <c r="R1676">
        <f>IF(AND(Inputs!$B$38&lt;&gt;"pvp",Inputs!$B$43&gt;0),IF(MAX(0,Inputs!$B$43-B1703)&lt;=0,0,(INT(MAX(0,Inputs!$B$43-B1703)/(IF(Inputs!$B$38="pvp",15,MAX(0.1,Skills!D9-IF(TRUE=TRUE,Inputs!$B$32,0)))*(1-IF(AND(ArtifactsInput!$M$27,Inputs!$B$4="Chapter Hunt"),CHOOSE(ArtifactsInput!$N$27+1,20,24,28,32,36,40),0)/100)))+1)),0)</f>
        <v/>
      </c>
      <c r="S1676">
        <f>IFERROR(O1676/N1676,0)</f>
        <v/>
      </c>
      <c r="T1676">
        <f>IF(C1676,(H1676*N1676*IF(AND(Inputs!$B$38&lt;&gt;"pvp",Inputs!$B$43&gt;0),((Skills!G9*((R1676-1)*IF(Skills!H9&gt;0,INT(Skills!I9/Skills!H9+0.000000001),1)+IF(Skills!H9&gt;0,INT(MIN(Skills!I9,MAX(0,MAX(0,Inputs!$B$43-B1703)-((R1676-1)*(IF(Inputs!$B$38="pvp",15,MAX(0.1,Skills!D9-IF(TRUE=TRUE,Inputs!$B$32,0)))*(1-IF(AND(ArtifactsInput!$M$27,Inputs!$B$4="Chapter Hunt"),CHOOSE(ArtifactsInput!$N$27+1,20,24,28,32,36,40),0)/100)))))/Skills!H9+0.000000001),1)))/Inputs!$B$43),G1676*Q1676))*IF(Inputs!$B$38="pvp",1,1+(Inputs!$B$20+0+Skills!P9+(((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INT(Skills!I9/Skills!H9+0.000000001),1)+IF(Skills!H9&gt;0,INT(MIN(Skills!I9,MAX(0,MAX(0,Inputs!$B$43-B1703)-((R1676-1)*(IF(Inputs!$B$38="pvp",15,MAX(0.1,Skills!D9-IF(TRUE=TRUE,Inputs!$B$32,0)))*(1-IF(AND(ArtifactsInput!$M$27,Inputs!$B$4="Chapter Hunt"),CHOOSE(ArtifactsInput!$N$27+1,20,24,28,32,36,40),0)/100)))))/Skills!H9+0.000000001),1)))/Inputs!$B$43),G1676*Q1676))*IF(Inputs!$B$38="pvp",1,(1+(Inputs!$B$21+Skills!Q9+(((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Skills!G10*IF(Skills!H10&gt;0,INT(IF(Inputs!$B$38="pvp",MIN(Skills!I10,15),Skills!I10)/Skills!H10+0.000000001),1)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138,MAX(0,IF(Inputs!$B$3&gt;=118,8,IF(Inputs!$B$3&gt;=110,7,5))-5)*50,0),0)/100)*(1+(IF(Skills!A10="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IFERROR(1/(IF(Inputs!$B$38="pvp",15,MAX(0.1,Skills!D10-IF(TRUE=TRUE,Inputs!$B$32,0)))*(1-IF(AND(ArtifactsInput!$M$27,Inputs!$B$4="Chapter Hunt"),CHOOSE(ArtifactsInput!$N$27+1,20,24,28,32,36,40),0)/100)),0)</f>
        <v/>
      </c>
      <c r="R1677">
        <f>IF(AND(Inputs!$B$38&lt;&gt;"pvp",Inputs!$B$43&gt;0),IF(MAX(0,Inputs!$B$43-B1703)&lt;=0,0,(INT(MAX(0,Inputs!$B$43-B1703)/(IF(Inputs!$B$38="pvp",15,MAX(0.1,Skills!D10-IF(TRUE=TRUE,Inputs!$B$32,0)))*(1-IF(AND(ArtifactsInput!$M$27,Inputs!$B$4="Chapter Hunt"),CHOOSE(ArtifactsInput!$N$27+1,20,24,28,32,36,40),0)/100)))+1)),0)</f>
        <v/>
      </c>
      <c r="S1677">
        <f>IFERROR(O1677/N1677,0)</f>
        <v/>
      </c>
      <c r="T1677">
        <f>IF(C1677,(H1677*N1677*IF(AND(Inputs!$B$38&lt;&gt;"pvp",Inputs!$B$43&gt;0),((Skills!G10*((R1677-1)*IF(Skills!H10&gt;0,INT(Skills!I10/Skills!H10+0.000000001),1)+IF(Skills!H10&gt;0,INT(MIN(Skills!I10,MAX(0,MAX(0,Inputs!$B$43-B1703)-((R1677-1)*(IF(Inputs!$B$38="pvp",15,MAX(0.1,Skills!D10-IF(TRUE=TRUE,Inputs!$B$32,0)))*(1-IF(AND(ArtifactsInput!$M$27,Inputs!$B$4="Chapter Hunt"),CHOOSE(ArtifactsInput!$N$27+1,20,24,28,32,36,40),0)/100)))))/Skills!H10+0.000000001),1)))/Inputs!$B$43),G1677*Q1677))*IF(Inputs!$B$38="pvp",1,1+(Inputs!$B$20+0+Skills!P10+(((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INT(Skills!I10/Skills!H10+0.000000001),1)+IF(Skills!H10&gt;0,INT(MIN(Skills!I10,MAX(0,MAX(0,Inputs!$B$43-B1703)-((R1677-1)*(IF(Inputs!$B$38="pvp",15,MAX(0.1,Skills!D10-IF(TRUE=TRUE,Inputs!$B$32,0)))*(1-IF(AND(ArtifactsInput!$M$27,Inputs!$B$4="Chapter Hunt"),CHOOSE(ArtifactsInput!$N$27+1,20,24,28,32,36,40),0)/100)))))/Skills!H10+0.000000001),1)))/Inputs!$B$43),G1677*Q1677))*IF(Inputs!$B$38="pvp",1,(1+(Inputs!$B$21+Skills!Q10+(((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Skills!G11*IF(Skills!H11&gt;0,INT(IF(Inputs!$B$38="pvp",MIN(Skills!I11,15),Skills!I11)/Skills!H11+0.000000001),1)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138,MAX(0,IF(Inputs!$B$3&gt;=118,8,IF(Inputs!$B$3&gt;=110,7,5))-5)*50,0),0)/100)*(1+(IF(Skills!A11="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IFERROR(1/(IF(Inputs!$B$38="pvp",15,MAX(0.1,Skills!D11-IF(TRUE=TRUE,Inputs!$B$32,0)))*(1-IF(AND(ArtifactsInput!$M$27,Inputs!$B$4="Chapter Hunt"),CHOOSE(ArtifactsInput!$N$27+1,20,24,28,32,36,40),0)/100)),0)</f>
        <v/>
      </c>
      <c r="R1678">
        <f>IF(AND(Inputs!$B$38&lt;&gt;"pvp",Inputs!$B$43&gt;0),IF(MAX(0,Inputs!$B$43-B1703)&lt;=0,0,(INT(MAX(0,Inputs!$B$43-B1703)/(IF(Inputs!$B$38="pvp",15,MAX(0.1,Skills!D11-IF(TRUE=TRUE,Inputs!$B$32,0)))*(1-IF(AND(ArtifactsInput!$M$27,Inputs!$B$4="Chapter Hunt"),CHOOSE(ArtifactsInput!$N$27+1,20,24,28,32,36,40),0)/100)))+1)),0)</f>
        <v/>
      </c>
      <c r="S1678">
        <f>IFERROR(O1678/N1678,0)</f>
        <v/>
      </c>
      <c r="T1678">
        <f>IF(C1678,(H1678*N1678*IF(AND(Inputs!$B$38&lt;&gt;"pvp",Inputs!$B$43&gt;0),((Skills!G11*((R1678-1)*IF(Skills!H11&gt;0,INT(Skills!I11/Skills!H11+0.000000001),1)+IF(Skills!H11&gt;0,INT(MIN(Skills!I11,MAX(0,MAX(0,Inputs!$B$43-B1703)-((R1678-1)*(IF(Inputs!$B$38="pvp",15,MAX(0.1,Skills!D11-IF(TRUE=TRUE,Inputs!$B$32,0)))*(1-IF(AND(ArtifactsInput!$M$27,Inputs!$B$4="Chapter Hunt"),CHOOSE(ArtifactsInput!$N$27+1,20,24,28,32,36,40),0)/100)))))/Skills!H11+0.000000001),1)))/Inputs!$B$43),G1678*Q1678))*IF(Inputs!$B$38="pvp",1,1+(Inputs!$B$20+0+Skills!P11+(((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INT(Skills!I11/Skills!H11+0.000000001),1)+IF(Skills!H11&gt;0,INT(MIN(Skills!I11,MAX(0,MAX(0,Inputs!$B$43-B1703)-((R1678-1)*(IF(Inputs!$B$38="pvp",15,MAX(0.1,Skills!D11-IF(TRUE=TRUE,Inputs!$B$32,0)))*(1-IF(AND(ArtifactsInput!$M$27,Inputs!$B$4="Chapter Hunt"),CHOOSE(ArtifactsInput!$N$27+1,20,24,28,32,36,40),0)/100)))))/Skills!H11+0.000000001),1)))/Inputs!$B$43),G1678*Q1678))*IF(Inputs!$B$38="pvp",1,(1+(Inputs!$B$21+Skills!Q11+(((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Skills!G13*IF(Skills!H13&gt;0,INT(IF(Inputs!$B$38="pvp",MIN(Skills!I13,15),Skills!I13)/Skills!H13+0.000000001),1)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Skills!G14*IF(Skills!H14&gt;0,INT(IF(Inputs!$B$38="pvp",MIN(Skills!I14,15),Skills!I14)/Skills!H14+0.000000001),1)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Skills!G15*IF(Skills!H15&gt;0,INT(IF(Inputs!$B$38="pvp",MIN(Skills!I15,15),Skills!I15)/Skills!H15+0.000000001),1)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IFERROR(1/(IF(Inputs!$B$38="pvp",15,MAX(0.1,Skills!D15-IF(TRUE=TRUE,Inputs!$B$32,0)))*(1-IF(AND(ArtifactsInput!$M$27,Inputs!$B$4="Chapter Hunt"),CHOOSE(ArtifactsInput!$N$27+1,20,24,28,32,36,40),0)/100)),0)</f>
        <v/>
      </c>
      <c r="R1682">
        <f>IF(AND(Inputs!$B$38&lt;&gt;"pvp",Inputs!$B$43&gt;0),IF(Inputs!$B$43&lt;=0,0,(INT(Inputs!$B$43/(IF(Inputs!$B$38="pvp",15,MAX(0.1,Skills!D15-IF(TRUE=TRUE,Inputs!$B$32,0)))*(1-IF(AND(ArtifactsInput!$M$27,Inputs!$B$4="Chapter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Skills!G16*IF(Skills!H16&gt;0,INT(IF(Inputs!$B$38="pvp",MIN(Skills!I16,15),Skills!I16)/Skills!H16+0.000000001),1)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IFERROR(1/(IF(Inputs!$B$38="pvp",15,MAX(0.1,Skills!D16-IF(TRUE=TRUE,Inputs!$B$32,0)))*(1-IF(AND(ArtifactsInput!$M$27,Inputs!$B$4="Chapter Hunt"),CHOOSE(ArtifactsInput!$N$27+1,20,24,28,32,36,40),0)/100)),0)</f>
        <v/>
      </c>
      <c r="R1683">
        <f>IF(AND(Inputs!$B$38&lt;&gt;"pvp",Inputs!$B$43&gt;0),IF(Inputs!$B$43&lt;=0,0,(INT(Inputs!$B$43/(IF(Inputs!$B$38="pvp",15,MAX(0.1,Skills!D16-IF(TRUE=TRUE,Inputs!$B$32,0)))*(1-IF(AND(ArtifactsInput!$M$27,Inputs!$B$4="Chapter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Skills!G17*IF(Skills!H17&gt;0,INT(IF(Inputs!$B$38="pvp",MIN(Skills!I17,15),Skills!I17)/Skills!H17+0.000000001),1)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IFERROR(1/(IF(Inputs!$B$38="pvp",15,MAX(0.1,Skills!D17-IF(TRUE=TRUE,Inputs!$B$32,0)))*(1-IF(AND(ArtifactsInput!$M$27,Inputs!$B$4="Chapter Hunt"),CHOOSE(ArtifactsInput!$N$27+1,20,24,28,32,36,40),0)/100)),0)</f>
        <v/>
      </c>
      <c r="R1684">
        <f>IF(AND(Inputs!$B$38&lt;&gt;"pvp",Inputs!$B$43&gt;0),IF(Inputs!$B$43&lt;=0,0,(INT(Inputs!$B$43/(IF(Inputs!$B$38="pvp",15,MAX(0.1,Skills!D17-IF(TRUE=TRUE,Inputs!$B$32,0)))*(1-IF(AND(ArtifactsInput!$M$27,Inputs!$B$4="Chapter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Skills!G18*IF(Skills!H18&gt;0,INT(IF(Inputs!$B$38="pvp",MIN(Skills!I18,15),Skills!I18)/Skills!H18+0.000000001),1)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IFERROR(1/(IF(Inputs!$B$38="pvp",15,MAX(0.1,Skills!D18-IF(TRUE=TRUE,Inputs!$B$32,0)))*(1-IF(AND(ArtifactsInput!$M$27,Inputs!$B$4="Chapter Hunt"),CHOOSE(ArtifactsInput!$N$27+1,20,24,28,32,36,40),0)/100)),0)</f>
        <v/>
      </c>
      <c r="R1685">
        <f>IF(AND(Inputs!$B$38&lt;&gt;"pvp",Inputs!$B$43&gt;0),IF(Inputs!$B$43&lt;=0,0,(INT(Inputs!$B$43/(IF(Inputs!$B$38="pvp",15,MAX(0.1,Skills!D18-IF(TRUE=TRUE,Inputs!$B$32,0)))*(1-IF(AND(ArtifactsInput!$M$27,Inputs!$B$4="Chapter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Skills!G19*IF(Skills!H19&gt;0,INT(IF(Inputs!$B$38="pvp",MIN(Skills!I19,15),Skills!I19)/Skills!H19+0.000000001),1)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IFERROR(1/(IF(Inputs!$B$38="pvp",15,MAX(0.1,Skills!D19-IF(TRUE=TRUE,Inputs!$B$32,0)))*(1-IF(AND(ArtifactsInput!$M$27,Inputs!$B$4="Chapter Hunt"),CHOOSE(ArtifactsInput!$N$27+1,20,24,28,32,36,40),0)/100)),0)</f>
        <v/>
      </c>
      <c r="R1686">
        <f>IF(AND(Inputs!$B$38&lt;&gt;"pvp",Inputs!$B$43&gt;0),IF(Inputs!$B$43&lt;=0,0,(INT(Inputs!$B$43/(IF(Inputs!$B$38="pvp",15,MAX(0.1,Skills!D19-IF(TRUE=TRUE,Inputs!$B$32,0)))*(1-IF(AND(ArtifactsInput!$M$27,Inputs!$B$4="Chapter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Skills!G20*IF(Skills!H20&gt;0,INT(IF(Inputs!$B$38="pvp",MIN(Skills!I20,15),Skills!I20)/Skills!H20+0.000000001),1)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Skills!G21*IF(Skills!H21&gt;0,INT(IF(Inputs!$B$38="pvp",MIN(Skills!I21,15),Skills!I21)/Skills!H21+0.000000001),1)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Skills!G22*IF(Skills!H22&gt;0,INT(IF(Inputs!$B$38="pvp",MIN(Skills!I22,15),Skills!I22)/Skills!H22+0.000000001),1)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Skills!G23*IF(Skills!H23&gt;0,INT(IF(Inputs!$B$38="pvp",MIN(Skills!I23,15),Skills!I23)/Skills!H23+0.000000001),1)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Skills!G24*IF(Skills!H24&gt;0,INT(IF(Inputs!$B$38="pvp",MIN(Skills!I24,15),Skills!I24)/Skills!H24+0.000000001),1)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Skills!G25*IF(Skills!H25&gt;0,INT(IF(Inputs!$B$38="pvp",MIN(Skills!I25,15),Skills!I25)/Skills!H25+0.000000001),1)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Skills!G26*IF(Skills!H26&gt;0,INT(IF(Inputs!$B$38="pvp",MIN(Skills!I26,15),Skills!I26)/Skills!H26+0.000000001),1)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MIN((Skills!T19*(1+(Inputs!$B$34+(ArtifactsInput!$M$7-ArtifactsInput!$M$7)*CHOOSE(ArtifactsInput!$N$7+1,6,7.2,8.4,9.6,10.8,12))/100)),(1/Q1686))+MIN((Skills!T19*(1+(Inputs!$B$34+(ArtifactsInput!$M$7-ArtifactsInput!$M$7)*CHOOSE(ArtifactsInput!$N$7+1,6,7.2,8.4,9.6,10.8,12))/100)),MAX(0,Inputs!$B$43-((R1686-1)*(1/Q1686)))))/Inputs!$B$43),IF(Inputs!$B$38="pvp",MIN((Skills!T19*(1+(Inputs!$B$34+(ArtifactsInput!$M$7-ArtifactsInput!$M$7)*CHOOSE(ArtifactsInput!$N$7+1,6,7.2,8.4,9.6,10.8,12))/100)),15)/15,MIN(1,(Skills!T19*(1+(Inputs!$B$34+(ArtifactsInput!$M$7-ArtifactsInput!$M$7)*CHOOSE(ArtifactsInput!$N$7+1,6,7.2,8.4,9.6,10.8,12))/100))/(1/Q1686)))))</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MIN((Skills!T18*(1+(Inputs!$B$34+(ArtifactsInput!$M$7-ArtifactsInput!$M$7)*CHOOSE(ArtifactsInput!$N$7+1,6,7.2,8.4,9.6,10.8,12))/100)),(1/Q1685))+MIN((Skills!T18*(1+(Inputs!$B$34+(ArtifactsInput!$M$7-ArtifactsInput!$M$7)*CHOOSE(ArtifactsInput!$N$7+1,6,7.2,8.4,9.6,10.8,12))/100)),MAX(0,Inputs!$B$43-((R1685-1)*(1/Q1685)))))/Inputs!$B$43),IF(Inputs!$B$38="pvp",MIN((Skills!T18*(1+(Inputs!$B$34+(ArtifactsInput!$M$7-ArtifactsInput!$M$7)*CHOOSE(ArtifactsInput!$N$7+1,6,7.2,8.4,9.6,10.8,12))/100)),15)/15,MIN(1,(Skills!T18*(1+(Inputs!$B$34+(ArtifactsInput!$M$7-ArtifactsInput!$M$7)*CHOOSE(ArtifactsInput!$N$7+1,6,7.2,8.4,9.6,10.8,12))/100))/(1/Q1685)))))</f>
        <v/>
      </c>
    </row>
    <row r="1702">
      <c r="A1702" t="inlineStr">
        <is>
          <t>Global Final Damage Bonus % (Enrage + Combo Synergy)</t>
        </is>
      </c>
      <c r="B1702">
        <f>((C1684=TRUE)*F1684*IF(AND(Inputs!$B$38&lt;&gt;"pvp",Inputs!$B$43&gt;0),(((R1684-1)*MIN((Skills!T17*(1+(Inputs!$B$34+(ArtifactsInput!$M$7-ArtifactsInput!$M$7)*CHOOSE(ArtifactsInput!$N$7+1,6,7.2,8.4,9.6,10.8,12))/100)),(1/Q1684))+MIN((Skills!T17*(1+(Inputs!$B$34+(ArtifactsInput!$M$7-ArtifactsInput!$M$7)*CHOOSE(ArtifactsInput!$N$7+1,6,7.2,8.4,9.6,10.8,12))/100)),MAX(0,Inputs!$B$43-((R1684-1)*(1/Q1684)))))/Inputs!$B$43),IF(Inputs!$B$38="pvp",MIN((Skills!T17*(1+(Inputs!$B$34+(ArtifactsInput!$M$7-ArtifactsInput!$M$7)*CHOOSE(ArtifactsInput!$N$7+1,6,7.2,8.4,9.6,10.8,12))/100)),15)/15,MIN(1,(Skills!T17*(1+(Inputs!$B$34+(ArtifactsInput!$M$7-ArtifactsInput!$M$7)*CHOOSE(ArtifactsInput!$N$7+1,6,7.2,8.4,9.6,10.8,12))/100))/(1/Q1684)))))+((C1681=TRUE)*F1681*IF(Inputs!$B$3&gt;=118,8,IF(Inputs!$B$3&gt;=110,7,5)))+IF(Inputs!$B$3&gt;=98,5,0)</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Skills!G2*IF(Skills!H2&gt;0,INT(IF(Inputs!$B$38="pvp",MIN(Skills!I2,15),Skills!I2)/Skills!H2+0.000000001),1)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Skills!G5*IF(Skills!H5&gt;0,INT(IF(Inputs!$B$38="pvp",MIN(Skills!I5,15),Skills!I5)/Skills!H5+0.000000001),1)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IFERROR(1/(IF(Inputs!$B$38="pvp",15,MAX(0.1,Skills!D5-IF(TRUE=TRUE,Inputs!$B$32,0)))*(1-IF(AND(ArtifactsInput!$M$27,Inputs!$B$4="Chapter Hunt"),CHOOSE(ArtifactsInput!$N$27+1,20,24,28,32,36,40),0)/100)),0)</f>
        <v/>
      </c>
      <c r="R1714">
        <f>IF(AND(Inputs!$B$38&lt;&gt;"pvp",Inputs!$B$43&gt;0),IF(MAX(0,Inputs!$B$43-B1745)&lt;=0,0,(INT(MAX(0,Inputs!$B$43-B1745)/(IF(Inputs!$B$38="pvp",15,MAX(0.1,Skills!D5-IF(TRUE=TRUE,Inputs!$B$32,0)))*(1-IF(AND(ArtifactsInput!$M$27,Inputs!$B$4="Chapter Hunt"),CHOOSE(ArtifactsInput!$N$27+1,20,24,28,32,36,40),0)/100)))+1)),0)</f>
        <v/>
      </c>
      <c r="S1714">
        <f>IFERROR(O1714/N1714,0)</f>
        <v/>
      </c>
      <c r="T1714">
        <f>IF(C1714,(H1714*N1714*IF(AND(Inputs!$B$38&lt;&gt;"pvp",Inputs!$B$43&gt;0),((Skills!G5*((R1714-1)*IF(Skills!H5&gt;0,INT(Skills!I5/Skills!H5+0.000000001),1)+IF(Skills!H5&gt;0,INT(MIN(Skills!I5,MAX(0,MAX(0,Inputs!$B$43-B1745)-((R1714-1)*(IF(Inputs!$B$38="pvp",15,MAX(0.1,Skills!D5-IF(TRUE=TRUE,Inputs!$B$32,0)))*(1-IF(AND(ArtifactsInput!$M$27,Inputs!$B$4="Chapter Hunt"),CHOOSE(ArtifactsInput!$N$27+1,20,24,28,32,36,40),0)/100)))))/Skills!H5+0.000000001),1)))/Inputs!$B$43),G1714*Q1714))*IF(Inputs!$B$38="pvp",1,1+(Inputs!$B$20+0+Skills!P5+(((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INT(Skills!I5/Skills!H5+0.000000001),1)+IF(Skills!H5&gt;0,INT(MIN(Skills!I5,MAX(0,MAX(0,Inputs!$B$43-B1745)-((R1714-1)*(IF(Inputs!$B$38="pvp",15,MAX(0.1,Skills!D5-IF(TRUE=TRUE,Inputs!$B$32,0)))*(1-IF(AND(ArtifactsInput!$M$27,Inputs!$B$4="Chapter Hunt"),CHOOSE(ArtifactsInput!$N$27+1,20,24,28,32,36,40),0)/100)))))/Skills!H5+0.000000001),1)))/Inputs!$B$43),G1714*Q1714))*IF(Inputs!$B$38="pvp",1,(1+(Inputs!$B$21+Skills!Q5+(((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Skills!G6*IF(Skills!H6&gt;0,INT(IF(Inputs!$B$38="pvp",MIN(Skills!I6,15),Skills!I6)/Skills!H6+0.000000001),1)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IFERROR(1/(IF(Inputs!$B$38="pvp",15,MAX(0.1,Skills!D6-IF(TRUE=TRUE,Inputs!$B$32,0)))*(1-IF(AND(ArtifactsInput!$M$27,Inputs!$B$4="Chapter Hunt"),CHOOSE(ArtifactsInput!$N$27+1,20,24,28,32,36,40),0)/100)),0)</f>
        <v/>
      </c>
      <c r="R1715">
        <f>IF(AND(Inputs!$B$38&lt;&gt;"pvp",Inputs!$B$43&gt;0),IF(MAX(0,Inputs!$B$43-B1745)&lt;=0,0,(INT(MAX(0,Inputs!$B$43-B1745)/(IF(Inputs!$B$38="pvp",15,MAX(0.1,Skills!D6-IF(TRUE=TRUE,Inputs!$B$32,0)))*(1-IF(AND(ArtifactsInput!$M$27,Inputs!$B$4="Chapter Hunt"),CHOOSE(ArtifactsInput!$N$27+1,20,24,28,32,36,40),0)/100)))+1)),0)</f>
        <v/>
      </c>
      <c r="S1715">
        <f>IFERROR(O1715/N1715,0)</f>
        <v/>
      </c>
      <c r="T1715">
        <f>IF(C1715,(H1715*N1715*IF(AND(Inputs!$B$38&lt;&gt;"pvp",Inputs!$B$43&gt;0),((Skills!G6*((R1715-1)*IF(Skills!H6&gt;0,INT(Skills!I6/Skills!H6+0.000000001),1)+IF(Skills!H6&gt;0,INT(MIN(Skills!I6,MAX(0,MAX(0,Inputs!$B$43-B1745)-((R1715-1)*(IF(Inputs!$B$38="pvp",15,MAX(0.1,Skills!D6-IF(TRUE=TRUE,Inputs!$B$32,0)))*(1-IF(AND(ArtifactsInput!$M$27,Inputs!$B$4="Chapter Hunt"),CHOOSE(ArtifactsInput!$N$27+1,20,24,28,32,36,40),0)/100)))))/Skills!H6+0.000000001),1)))/Inputs!$B$43),G1715*Q1715))*IF(Inputs!$B$38="pvp",1,1+(Inputs!$B$20+0+Skills!P6+(((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INT(Skills!I6/Skills!H6+0.000000001),1)+IF(Skills!H6&gt;0,INT(MIN(Skills!I6,MAX(0,MAX(0,Inputs!$B$43-B1745)-((R1715-1)*(IF(Inputs!$B$38="pvp",15,MAX(0.1,Skills!D6-IF(TRUE=TRUE,Inputs!$B$32,0)))*(1-IF(AND(ArtifactsInput!$M$27,Inputs!$B$4="Chapter Hunt"),CHOOSE(ArtifactsInput!$N$27+1,20,24,28,32,36,40),0)/100)))))/Skills!H6+0.000000001),1)))/Inputs!$B$43),G1715*Q1715))*IF(Inputs!$B$38="pvp",1,(1+(Inputs!$B$21+Skills!Q6+(((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Skills!G7*IF(Skills!H7&gt;0,INT(IF(Inputs!$B$38="pvp",MIN(Skills!I7,15),Skills!I7)/Skills!H7+0.000000001),1)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IFERROR(1/(IF(Inputs!$B$38="pvp",15,MAX(0.1,Skills!D7-IF(TRUE=TRUE,Inputs!$B$32,0)))*(1-IF(AND(ArtifactsInput!$M$27,Inputs!$B$4="Chapter Hunt"),CHOOSE(ArtifactsInput!$N$27+1,20,24,28,32,36,40),0)/100)),0)</f>
        <v/>
      </c>
      <c r="R1716">
        <f>IF(AND(Inputs!$B$38&lt;&gt;"pvp",Inputs!$B$43&gt;0),IF(MAX(0,Inputs!$B$43-B1745)&lt;=0,0,(INT(MAX(0,Inputs!$B$43-B1745)/(IF(Inputs!$B$38="pvp",15,MAX(0.1,Skills!D7-IF(TRUE=TRUE,Inputs!$B$32,0)))*(1-IF(AND(ArtifactsInput!$M$27,Inputs!$B$4="Chapter Hunt"),CHOOSE(ArtifactsInput!$N$27+1,20,24,28,32,36,40),0)/100)))+1)),0)</f>
        <v/>
      </c>
      <c r="S1716">
        <f>IFERROR(O1716/N1716,0)</f>
        <v/>
      </c>
      <c r="T1716">
        <f>IF(C1716,(H1716*N1716*IF(AND(Inputs!$B$38&lt;&gt;"pvp",Inputs!$B$43&gt;0),((Skills!G7*((R1716-1)*IF(Skills!H7&gt;0,INT(Skills!I7/Skills!H7+0.000000001),1)+IF(Skills!H7&gt;0,INT(MIN(Skills!I7,MAX(0,MAX(0,Inputs!$B$43-B1745)-((R1716-1)*(IF(Inputs!$B$38="pvp",15,MAX(0.1,Skills!D7-IF(TRUE=TRUE,Inputs!$B$32,0)))*(1-IF(AND(ArtifactsInput!$M$27,Inputs!$B$4="Chapter Hunt"),CHOOSE(ArtifactsInput!$N$27+1,20,24,28,32,36,40),0)/100)))))/Skills!H7+0.000000001),1)))/Inputs!$B$43),G1716*Q1716))*IF(Inputs!$B$38="pvp",1,1+(Inputs!$B$20+0+Skills!P7+(((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INT(Skills!I7/Skills!H7+0.000000001),1)+IF(Skills!H7&gt;0,INT(MIN(Skills!I7,MAX(0,MAX(0,Inputs!$B$43-B1745)-((R1716-1)*(IF(Inputs!$B$38="pvp",15,MAX(0.1,Skills!D7-IF(TRUE=TRUE,Inputs!$B$32,0)))*(1-IF(AND(ArtifactsInput!$M$27,Inputs!$B$4="Chapter Hunt"),CHOOSE(ArtifactsInput!$N$27+1,20,24,28,32,36,40),0)/100)))))/Skills!H7+0.000000001),1)))/Inputs!$B$43),G1716*Q1716))*IF(Inputs!$B$38="pvp",1,(1+(Inputs!$B$21+Skills!Q7+(((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Skills!G8*IF(Skills!H8&gt;0,INT(IF(Inputs!$B$38="pvp",MIN(Skills!I8,15),Skills!I8)/Skills!H8+0.000000001),1)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IFERROR(1/(IF(Inputs!$B$38="pvp",15,MAX(0.1,Skills!D8-IF(TRUE=TRUE,Inputs!$B$32,0)))*(1-IF(AND(ArtifactsInput!$M$27,Inputs!$B$4="Chapter Hunt"),CHOOSE(ArtifactsInput!$N$27+1,20,24,28,32,36,40),0)/100)),0)</f>
        <v/>
      </c>
      <c r="R1717">
        <f>IF(AND(Inputs!$B$38&lt;&gt;"pvp",Inputs!$B$43&gt;0),IF(MAX(0,Inputs!$B$43-B1745)&lt;=0,0,(INT(MAX(0,Inputs!$B$43-B1745)/(IF(Inputs!$B$38="pvp",15,MAX(0.1,Skills!D8-IF(TRUE=TRUE,Inputs!$B$32,0)))*(1-IF(AND(ArtifactsInput!$M$27,Inputs!$B$4="Chapter Hunt"),CHOOSE(ArtifactsInput!$N$27+1,20,24,28,32,36,40),0)/100)))+1)),0)</f>
        <v/>
      </c>
      <c r="S1717">
        <f>IFERROR(O1717/N1717,0)</f>
        <v/>
      </c>
      <c r="T1717">
        <f>IF(C1717,(H1717*N1717*IF(AND(Inputs!$B$38&lt;&gt;"pvp",Inputs!$B$43&gt;0),((Skills!G8*((R1717-1)*IF(Skills!H8&gt;0,INT(Skills!I8/Skills!H8+0.000000001),1)+IF(Skills!H8&gt;0,INT(MIN(Skills!I8,MAX(0,MAX(0,Inputs!$B$43-B1745)-((R1717-1)*(IF(Inputs!$B$38="pvp",15,MAX(0.1,Skills!D8-IF(TRUE=TRUE,Inputs!$B$32,0)))*(1-IF(AND(ArtifactsInput!$M$27,Inputs!$B$4="Chapter Hunt"),CHOOSE(ArtifactsInput!$N$27+1,20,24,28,32,36,40),0)/100)))))/Skills!H8+0.000000001),1)))/Inputs!$B$43),G1717*Q1717))*IF(Inputs!$B$38="pvp",1,1+(Inputs!$B$20+0+Skills!P8+(((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INT(Skills!I8/Skills!H8+0.000000001),1)+IF(Skills!H8&gt;0,INT(MIN(Skills!I8,MAX(0,MAX(0,Inputs!$B$43-B1745)-((R1717-1)*(IF(Inputs!$B$38="pvp",15,MAX(0.1,Skills!D8-IF(TRUE=TRUE,Inputs!$B$32,0)))*(1-IF(AND(ArtifactsInput!$M$27,Inputs!$B$4="Chapter Hunt"),CHOOSE(ArtifactsInput!$N$27+1,20,24,28,32,36,40),0)/100)))))/Skills!H8+0.000000001),1)))/Inputs!$B$43),G1717*Q1717))*IF(Inputs!$B$38="pvp",1,(1+(Inputs!$B$21+Skills!Q8+(((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Skills!G9*IF(Skills!H9&gt;0,INT(IF(Inputs!$B$38="pvp",MIN(Skills!I9,15),Skills!I9)/Skills!H9+0.000000001),1)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138,MAX(0,IF(Inputs!$B$3&gt;=118,8,IF(Inputs!$B$3&gt;=110,7,5))-5)*50,0),0)/100)*(1+(IF(Skills!A9="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IFERROR(1/(IF(Inputs!$B$38="pvp",15,MAX(0.1,Skills!D9-IF(TRUE=TRUE,Inputs!$B$32,0)))*(1-IF(AND(ArtifactsInput!$M$27,Inputs!$B$4="Chapter Hunt"),CHOOSE(ArtifactsInput!$N$27+1,20,24,28,32,36,40),0)/100)),0)</f>
        <v/>
      </c>
      <c r="R1718">
        <f>IF(AND(Inputs!$B$38&lt;&gt;"pvp",Inputs!$B$43&gt;0),IF(MAX(0,Inputs!$B$43-B1745)&lt;=0,0,(INT(MAX(0,Inputs!$B$43-B1745)/(IF(Inputs!$B$38="pvp",15,MAX(0.1,Skills!D9-IF(TRUE=TRUE,Inputs!$B$32,0)))*(1-IF(AND(ArtifactsInput!$M$27,Inputs!$B$4="Chapter Hunt"),CHOOSE(ArtifactsInput!$N$27+1,20,24,28,32,36,40),0)/100)))+1)),0)</f>
        <v/>
      </c>
      <c r="S1718">
        <f>IFERROR(O1718/N1718,0)</f>
        <v/>
      </c>
      <c r="T1718">
        <f>IF(C1718,(H1718*N1718*IF(AND(Inputs!$B$38&lt;&gt;"pvp",Inputs!$B$43&gt;0),((Skills!G9*((R1718-1)*IF(Skills!H9&gt;0,INT(Skills!I9/Skills!H9+0.000000001),1)+IF(Skills!H9&gt;0,INT(MIN(Skills!I9,MAX(0,MAX(0,Inputs!$B$43-B1745)-((R1718-1)*(IF(Inputs!$B$38="pvp",15,MAX(0.1,Skills!D9-IF(TRUE=TRUE,Inputs!$B$32,0)))*(1-IF(AND(ArtifactsInput!$M$27,Inputs!$B$4="Chapter Hunt"),CHOOSE(ArtifactsInput!$N$27+1,20,24,28,32,36,40),0)/100)))))/Skills!H9+0.000000001),1)))/Inputs!$B$43),G1718*Q1718))*IF(Inputs!$B$38="pvp",1,1+(Inputs!$B$20+0+Skills!P9+(((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INT(Skills!I9/Skills!H9+0.000000001),1)+IF(Skills!H9&gt;0,INT(MIN(Skills!I9,MAX(0,MAX(0,Inputs!$B$43-B1745)-((R1718-1)*(IF(Inputs!$B$38="pvp",15,MAX(0.1,Skills!D9-IF(TRUE=TRUE,Inputs!$B$32,0)))*(1-IF(AND(ArtifactsInput!$M$27,Inputs!$B$4="Chapter Hunt"),CHOOSE(ArtifactsInput!$N$27+1,20,24,28,32,36,40),0)/100)))))/Skills!H9+0.000000001),1)))/Inputs!$B$43),G1718*Q1718))*IF(Inputs!$B$38="pvp",1,(1+(Inputs!$B$21+Skills!Q9+(((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Skills!G10*IF(Skills!H10&gt;0,INT(IF(Inputs!$B$38="pvp",MIN(Skills!I10,15),Skills!I10)/Skills!H10+0.000000001),1)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138,MAX(0,IF(Inputs!$B$3&gt;=118,8,IF(Inputs!$B$3&gt;=110,7,5))-5)*50,0),0)/100)*(1+(IF(Skills!A10="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IFERROR(1/(IF(Inputs!$B$38="pvp",15,MAX(0.1,Skills!D10-IF(TRUE=TRUE,Inputs!$B$32,0)))*(1-IF(AND(ArtifactsInput!$M$27,Inputs!$B$4="Chapter Hunt"),CHOOSE(ArtifactsInput!$N$27+1,20,24,28,32,36,40),0)/100)),0)</f>
        <v/>
      </c>
      <c r="R1719">
        <f>IF(AND(Inputs!$B$38&lt;&gt;"pvp",Inputs!$B$43&gt;0),IF(MAX(0,Inputs!$B$43-B1745)&lt;=0,0,(INT(MAX(0,Inputs!$B$43-B1745)/(IF(Inputs!$B$38="pvp",15,MAX(0.1,Skills!D10-IF(TRUE=TRUE,Inputs!$B$32,0)))*(1-IF(AND(ArtifactsInput!$M$27,Inputs!$B$4="Chapter Hunt"),CHOOSE(ArtifactsInput!$N$27+1,20,24,28,32,36,40),0)/100)))+1)),0)</f>
        <v/>
      </c>
      <c r="S1719">
        <f>IFERROR(O1719/N1719,0)</f>
        <v/>
      </c>
      <c r="T1719">
        <f>IF(C1719,(H1719*N1719*IF(AND(Inputs!$B$38&lt;&gt;"pvp",Inputs!$B$43&gt;0),((Skills!G10*((R1719-1)*IF(Skills!H10&gt;0,INT(Skills!I10/Skills!H10+0.000000001),1)+IF(Skills!H10&gt;0,INT(MIN(Skills!I10,MAX(0,MAX(0,Inputs!$B$43-B1745)-((R1719-1)*(IF(Inputs!$B$38="pvp",15,MAX(0.1,Skills!D10-IF(TRUE=TRUE,Inputs!$B$32,0)))*(1-IF(AND(ArtifactsInput!$M$27,Inputs!$B$4="Chapter Hunt"),CHOOSE(ArtifactsInput!$N$27+1,20,24,28,32,36,40),0)/100)))))/Skills!H10+0.000000001),1)))/Inputs!$B$43),G1719*Q1719))*IF(Inputs!$B$38="pvp",1,1+(Inputs!$B$20+0+Skills!P10+(((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INT(Skills!I10/Skills!H10+0.000000001),1)+IF(Skills!H10&gt;0,INT(MIN(Skills!I10,MAX(0,MAX(0,Inputs!$B$43-B1745)-((R1719-1)*(IF(Inputs!$B$38="pvp",15,MAX(0.1,Skills!D10-IF(TRUE=TRUE,Inputs!$B$32,0)))*(1-IF(AND(ArtifactsInput!$M$27,Inputs!$B$4="Chapter Hunt"),CHOOSE(ArtifactsInput!$N$27+1,20,24,28,32,36,40),0)/100)))))/Skills!H10+0.000000001),1)))/Inputs!$B$43),G1719*Q1719))*IF(Inputs!$B$38="pvp",1,(1+(Inputs!$B$21+Skills!Q10+(((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Skills!G11*IF(Skills!H11&gt;0,INT(IF(Inputs!$B$38="pvp",MIN(Skills!I11,15),Skills!I11)/Skills!H11+0.000000001),1)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138,MAX(0,IF(Inputs!$B$3&gt;=118,8,IF(Inputs!$B$3&gt;=110,7,5))-5)*50,0),0)/100)*(1+(IF(Skills!A11="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IFERROR(1/(IF(Inputs!$B$38="pvp",15,MAX(0.1,Skills!D11-IF(TRUE=TRUE,Inputs!$B$32,0)))*(1-IF(AND(ArtifactsInput!$M$27,Inputs!$B$4="Chapter Hunt"),CHOOSE(ArtifactsInput!$N$27+1,20,24,28,32,36,40),0)/100)),0)</f>
        <v/>
      </c>
      <c r="R1720">
        <f>IF(AND(Inputs!$B$38&lt;&gt;"pvp",Inputs!$B$43&gt;0),IF(MAX(0,Inputs!$B$43-B1745)&lt;=0,0,(INT(MAX(0,Inputs!$B$43-B1745)/(IF(Inputs!$B$38="pvp",15,MAX(0.1,Skills!D11-IF(TRUE=TRUE,Inputs!$B$32,0)))*(1-IF(AND(ArtifactsInput!$M$27,Inputs!$B$4="Chapter Hunt"),CHOOSE(ArtifactsInput!$N$27+1,20,24,28,32,36,40),0)/100)))+1)),0)</f>
        <v/>
      </c>
      <c r="S1720">
        <f>IFERROR(O1720/N1720,0)</f>
        <v/>
      </c>
      <c r="T1720">
        <f>IF(C1720,(H1720*N1720*IF(AND(Inputs!$B$38&lt;&gt;"pvp",Inputs!$B$43&gt;0),((Skills!G11*((R1720-1)*IF(Skills!H11&gt;0,INT(Skills!I11/Skills!H11+0.000000001),1)+IF(Skills!H11&gt;0,INT(MIN(Skills!I11,MAX(0,MAX(0,Inputs!$B$43-B1745)-((R1720-1)*(IF(Inputs!$B$38="pvp",15,MAX(0.1,Skills!D11-IF(TRUE=TRUE,Inputs!$B$32,0)))*(1-IF(AND(ArtifactsInput!$M$27,Inputs!$B$4="Chapter Hunt"),CHOOSE(ArtifactsInput!$N$27+1,20,24,28,32,36,40),0)/100)))))/Skills!H11+0.000000001),1)))/Inputs!$B$43),G1720*Q1720))*IF(Inputs!$B$38="pvp",1,1+(Inputs!$B$20+0+Skills!P11+(((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INT(Skills!I11/Skills!H11+0.000000001),1)+IF(Skills!H11&gt;0,INT(MIN(Skills!I11,MAX(0,MAX(0,Inputs!$B$43-B1745)-((R1720-1)*(IF(Inputs!$B$38="pvp",15,MAX(0.1,Skills!D11-IF(TRUE=TRUE,Inputs!$B$32,0)))*(1-IF(AND(ArtifactsInput!$M$27,Inputs!$B$4="Chapter Hunt"),CHOOSE(ArtifactsInput!$N$27+1,20,24,28,32,36,40),0)/100)))))/Skills!H11+0.000000001),1)))/Inputs!$B$43),G1720*Q1720))*IF(Inputs!$B$38="pvp",1,(1+(Inputs!$B$21+Skills!Q11+(((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Skills!G13*IF(Skills!H13&gt;0,INT(IF(Inputs!$B$38="pvp",MIN(Skills!I13,15),Skills!I13)/Skills!H13+0.000000001),1)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Skills!G14*IF(Skills!H14&gt;0,INT(IF(Inputs!$B$38="pvp",MIN(Skills!I14,15),Skills!I14)/Skills!H14+0.000000001),1)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Skills!G15*IF(Skills!H15&gt;0,INT(IF(Inputs!$B$38="pvp",MIN(Skills!I15,15),Skills!I15)/Skills!H15+0.000000001),1)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IFERROR(1/(IF(Inputs!$B$38="pvp",15,MAX(0.1,Skills!D15-IF(TRUE=TRUE,Inputs!$B$32,0)))*(1-IF(AND(ArtifactsInput!$M$27,Inputs!$B$4="Chapter Hunt"),CHOOSE(ArtifactsInput!$N$27+1,20,24,28,32,36,40),0)/100)),0)</f>
        <v/>
      </c>
      <c r="R1724">
        <f>IF(AND(Inputs!$B$38&lt;&gt;"pvp",Inputs!$B$43&gt;0),IF(Inputs!$B$43&lt;=0,0,(INT(Inputs!$B$43/(IF(Inputs!$B$38="pvp",15,MAX(0.1,Skills!D15-IF(TRUE=TRUE,Inputs!$B$32,0)))*(1-IF(AND(ArtifactsInput!$M$27,Inputs!$B$4="Chapter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Skills!G16*IF(Skills!H16&gt;0,INT(IF(Inputs!$B$38="pvp",MIN(Skills!I16,15),Skills!I16)/Skills!H16+0.000000001),1)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IFERROR(1/(IF(Inputs!$B$38="pvp",15,MAX(0.1,Skills!D16-IF(TRUE=TRUE,Inputs!$B$32,0)))*(1-IF(AND(ArtifactsInput!$M$27,Inputs!$B$4="Chapter Hunt"),CHOOSE(ArtifactsInput!$N$27+1,20,24,28,32,36,40),0)/100)),0)</f>
        <v/>
      </c>
      <c r="R1725">
        <f>IF(AND(Inputs!$B$38&lt;&gt;"pvp",Inputs!$B$43&gt;0),IF(Inputs!$B$43&lt;=0,0,(INT(Inputs!$B$43/(IF(Inputs!$B$38="pvp",15,MAX(0.1,Skills!D16-IF(TRUE=TRUE,Inputs!$B$32,0)))*(1-IF(AND(ArtifactsInput!$M$27,Inputs!$B$4="Chapter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Skills!G17*IF(Skills!H17&gt;0,INT(IF(Inputs!$B$38="pvp",MIN(Skills!I17,15),Skills!I17)/Skills!H17+0.000000001),1)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IFERROR(1/(IF(Inputs!$B$38="pvp",15,MAX(0.1,Skills!D17-IF(TRUE=TRUE,Inputs!$B$32,0)))*(1-IF(AND(ArtifactsInput!$M$27,Inputs!$B$4="Chapter Hunt"),CHOOSE(ArtifactsInput!$N$27+1,20,24,28,32,36,40),0)/100)),0)</f>
        <v/>
      </c>
      <c r="R1726">
        <f>IF(AND(Inputs!$B$38&lt;&gt;"pvp",Inputs!$B$43&gt;0),IF(Inputs!$B$43&lt;=0,0,(INT(Inputs!$B$43/(IF(Inputs!$B$38="pvp",15,MAX(0.1,Skills!D17-IF(TRUE=TRUE,Inputs!$B$32,0)))*(1-IF(AND(ArtifactsInput!$M$27,Inputs!$B$4="Chapter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Skills!G18*IF(Skills!H18&gt;0,INT(IF(Inputs!$B$38="pvp",MIN(Skills!I18,15),Skills!I18)/Skills!H18+0.000000001),1)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IFERROR(1/(IF(Inputs!$B$38="pvp",15,MAX(0.1,Skills!D18-IF(TRUE=TRUE,Inputs!$B$32,0)))*(1-IF(AND(ArtifactsInput!$M$27,Inputs!$B$4="Chapter Hunt"),CHOOSE(ArtifactsInput!$N$27+1,20,24,28,32,36,40),0)/100)),0)</f>
        <v/>
      </c>
      <c r="R1727">
        <f>IF(AND(Inputs!$B$38&lt;&gt;"pvp",Inputs!$B$43&gt;0),IF(Inputs!$B$43&lt;=0,0,(INT(Inputs!$B$43/(IF(Inputs!$B$38="pvp",15,MAX(0.1,Skills!D18-IF(TRUE=TRUE,Inputs!$B$32,0)))*(1-IF(AND(ArtifactsInput!$M$27,Inputs!$B$4="Chapter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Skills!G19*IF(Skills!H19&gt;0,INT(IF(Inputs!$B$38="pvp",MIN(Skills!I19,15),Skills!I19)/Skills!H19+0.000000001),1)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IFERROR(1/(IF(Inputs!$B$38="pvp",15,MAX(0.1,Skills!D19-IF(TRUE=TRUE,Inputs!$B$32,0)))*(1-IF(AND(ArtifactsInput!$M$27,Inputs!$B$4="Chapter Hunt"),CHOOSE(ArtifactsInput!$N$27+1,20,24,28,32,36,40),0)/100)),0)</f>
        <v/>
      </c>
      <c r="R1728">
        <f>IF(AND(Inputs!$B$38&lt;&gt;"pvp",Inputs!$B$43&gt;0),IF(Inputs!$B$43&lt;=0,0,(INT(Inputs!$B$43/(IF(Inputs!$B$38="pvp",15,MAX(0.1,Skills!D19-IF(TRUE=TRUE,Inputs!$B$32,0)))*(1-IF(AND(ArtifactsInput!$M$27,Inputs!$B$4="Chapter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Skills!G20*IF(Skills!H20&gt;0,INT(IF(Inputs!$B$38="pvp",MIN(Skills!I20,15),Skills!I20)/Skills!H20+0.000000001),1)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Skills!G21*IF(Skills!H21&gt;0,INT(IF(Inputs!$B$38="pvp",MIN(Skills!I21,15),Skills!I21)/Skills!H21+0.000000001),1)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Skills!G22*IF(Skills!H22&gt;0,INT(IF(Inputs!$B$38="pvp",MIN(Skills!I22,15),Skills!I22)/Skills!H22+0.000000001),1)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Skills!G23*IF(Skills!H23&gt;0,INT(IF(Inputs!$B$38="pvp",MIN(Skills!I23,15),Skills!I23)/Skills!H23+0.000000001),1)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Skills!G24*IF(Skills!H24&gt;0,INT(IF(Inputs!$B$38="pvp",MIN(Skills!I24,15),Skills!I24)/Skills!H24+0.000000001),1)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Skills!G25*IF(Skills!H25&gt;0,INT(IF(Inputs!$B$38="pvp",MIN(Skills!I25,15),Skills!I25)/Skills!H25+0.000000001),1)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Skills!G26*IF(Skills!H26&gt;0,INT(IF(Inputs!$B$38="pvp",MIN(Skills!I26,15),Skills!I26)/Skills!H26+0.000000001),1)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MIN((Skills!T19*(1+(Inputs!$B$34+(ArtifactsInput!$M$7-ArtifactsInput!$M$7)*CHOOSE(ArtifactsInput!$N$7+1,6,7.2,8.4,9.6,10.8,12))/100)),(1/Q1728))+MIN((Skills!T19*(1+(Inputs!$B$34+(ArtifactsInput!$M$7-ArtifactsInput!$M$7)*CHOOSE(ArtifactsInput!$N$7+1,6,7.2,8.4,9.6,10.8,12))/100)),MAX(0,Inputs!$B$43-((R1728-1)*(1/Q1728)))))/Inputs!$B$43),IF(Inputs!$B$38="pvp",MIN((Skills!T19*(1+(Inputs!$B$34+(ArtifactsInput!$M$7-ArtifactsInput!$M$7)*CHOOSE(ArtifactsInput!$N$7+1,6,7.2,8.4,9.6,10.8,12))/100)),15)/15,MIN(1,(Skills!T19*(1+(Inputs!$B$34+(ArtifactsInput!$M$7-ArtifactsInput!$M$7)*CHOOSE(ArtifactsInput!$N$7+1,6,7.2,8.4,9.6,10.8,12))/100))/(1/Q1728)))))</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MIN((Skills!T18*(1+(Inputs!$B$34+(ArtifactsInput!$M$7-ArtifactsInput!$M$7)*CHOOSE(ArtifactsInput!$N$7+1,6,7.2,8.4,9.6,10.8,12))/100)),(1/Q1727))+MIN((Skills!T18*(1+(Inputs!$B$34+(ArtifactsInput!$M$7-ArtifactsInput!$M$7)*CHOOSE(ArtifactsInput!$N$7+1,6,7.2,8.4,9.6,10.8,12))/100)),MAX(0,Inputs!$B$43-((R1727-1)*(1/Q1727)))))/Inputs!$B$43),IF(Inputs!$B$38="pvp",MIN((Skills!T18*(1+(Inputs!$B$34+(ArtifactsInput!$M$7-ArtifactsInput!$M$7)*CHOOSE(ArtifactsInput!$N$7+1,6,7.2,8.4,9.6,10.8,12))/100)),15)/15,MIN(1,(Skills!T18*(1+(Inputs!$B$34+(ArtifactsInput!$M$7-ArtifactsInput!$M$7)*CHOOSE(ArtifactsInput!$N$7+1,6,7.2,8.4,9.6,10.8,12))/100))/(1/Q1727)))))</f>
        <v/>
      </c>
    </row>
    <row r="1744">
      <c r="A1744" t="inlineStr">
        <is>
          <t>Global Final Damage Bonus % (Enrage + Combo Synergy)</t>
        </is>
      </c>
      <c r="B1744">
        <f>((C1726=TRUE)*F1726*IF(AND(Inputs!$B$38&lt;&gt;"pvp",Inputs!$B$43&gt;0),(((R1726-1)*MIN((Skills!T17*(1+(Inputs!$B$34+(ArtifactsInput!$M$7-ArtifactsInput!$M$7)*CHOOSE(ArtifactsInput!$N$7+1,6,7.2,8.4,9.6,10.8,12))/100)),(1/Q1726))+MIN((Skills!T17*(1+(Inputs!$B$34+(ArtifactsInput!$M$7-ArtifactsInput!$M$7)*CHOOSE(ArtifactsInput!$N$7+1,6,7.2,8.4,9.6,10.8,12))/100)),MAX(0,Inputs!$B$43-((R1726-1)*(1/Q1726)))))/Inputs!$B$43),IF(Inputs!$B$38="pvp",MIN((Skills!T17*(1+(Inputs!$B$34+(ArtifactsInput!$M$7-ArtifactsInput!$M$7)*CHOOSE(ArtifactsInput!$N$7+1,6,7.2,8.4,9.6,10.8,12))/100)),15)/15,MIN(1,(Skills!T17*(1+(Inputs!$B$34+(ArtifactsInput!$M$7-ArtifactsInput!$M$7)*CHOOSE(ArtifactsInput!$N$7+1,6,7.2,8.4,9.6,10.8,12))/100))/(1/Q1726)))))+((C1723=TRUE)*F1723*IF(Inputs!$B$3&gt;=118,8,IF(Inputs!$B$3&gt;=110,7,5)))+IF(Inputs!$B$3&gt;=98,5,0)</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Skills!G2*IF(Skills!H2&gt;0,INT(IF(Inputs!$B$38="pvp",MIN(Skills!I2,15),Skills!I2)/Skills!H2+0.000000001),1)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Skills!G5*IF(Skills!H5&gt;0,INT(IF(Inputs!$B$38="pvp",MIN(Skills!I5,15),Skills!I5)/Skills!H5+0.000000001),1)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IFERROR(1/(IF(Inputs!$B$38="pvp",15,MAX(0.1,Skills!D5-IF(TRUE=TRUE,Inputs!$B$32,0)))*(1-IF(AND(ArtifactsInput!$M$27,Inputs!$B$4="Chapter Hunt"),CHOOSE(ArtifactsInput!$N$27+1,20,24,28,32,36,40),0)/100)),0)</f>
        <v/>
      </c>
      <c r="R1756">
        <f>IF(AND(Inputs!$B$38&lt;&gt;"pvp",Inputs!$B$43&gt;0),IF(MAX(0,Inputs!$B$43-B1787)&lt;=0,0,(INT(MAX(0,Inputs!$B$43-B1787)/(IF(Inputs!$B$38="pvp",15,MAX(0.1,Skills!D5-IF(TRUE=TRUE,Inputs!$B$32,0)))*(1-IF(AND(ArtifactsInput!$M$27,Inputs!$B$4="Chapter Hunt"),CHOOSE(ArtifactsInput!$N$27+1,20,24,28,32,36,40),0)/100)))+1)),0)</f>
        <v/>
      </c>
      <c r="S1756">
        <f>IFERROR(O1756/N1756,0)</f>
        <v/>
      </c>
      <c r="T1756">
        <f>IF(C1756,(H1756*N1756*IF(AND(Inputs!$B$38&lt;&gt;"pvp",Inputs!$B$43&gt;0),((Skills!G5*((R1756-1)*IF(Skills!H5&gt;0,INT(Skills!I5/Skills!H5+0.000000001),1)+IF(Skills!H5&gt;0,INT(MIN(Skills!I5,MAX(0,MAX(0,Inputs!$B$43-B1787)-((R1756-1)*(IF(Inputs!$B$38="pvp",15,MAX(0.1,Skills!D5-IF(TRUE=TRUE,Inputs!$B$32,0)))*(1-IF(AND(ArtifactsInput!$M$27,Inputs!$B$4="Chapter Hunt"),CHOOSE(ArtifactsInput!$N$27+1,20,24,28,32,36,40),0)/100)))))/Skills!H5+0.000000001),1)))/Inputs!$B$43),G1756*Q1756))*IF(Inputs!$B$38="pvp",1,1+(Inputs!$B$20+0+Skills!P5+(((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INT(Skills!I5/Skills!H5+0.000000001),1)+IF(Skills!H5&gt;0,INT(MIN(Skills!I5,MAX(0,MAX(0,Inputs!$B$43-B1787)-((R1756-1)*(IF(Inputs!$B$38="pvp",15,MAX(0.1,Skills!D5-IF(TRUE=TRUE,Inputs!$B$32,0)))*(1-IF(AND(ArtifactsInput!$M$27,Inputs!$B$4="Chapter Hunt"),CHOOSE(ArtifactsInput!$N$27+1,20,24,28,32,36,40),0)/100)))))/Skills!H5+0.000000001),1)))/Inputs!$B$43),G1756*Q1756))*IF(Inputs!$B$38="pvp",1,(1+(Inputs!$B$21+Skills!Q5+(((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Skills!G6*IF(Skills!H6&gt;0,INT(IF(Inputs!$B$38="pvp",MIN(Skills!I6,15),Skills!I6)/Skills!H6+0.000000001),1)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IFERROR(1/(IF(Inputs!$B$38="pvp",15,MAX(0.1,Skills!D6-IF(TRUE=TRUE,Inputs!$B$32,0)))*(1-IF(AND(ArtifactsInput!$M$27,Inputs!$B$4="Chapter Hunt"),CHOOSE(ArtifactsInput!$N$27+1,20,24,28,32,36,40),0)/100)),0)</f>
        <v/>
      </c>
      <c r="R1757">
        <f>IF(AND(Inputs!$B$38&lt;&gt;"pvp",Inputs!$B$43&gt;0),IF(MAX(0,Inputs!$B$43-B1787)&lt;=0,0,(INT(MAX(0,Inputs!$B$43-B1787)/(IF(Inputs!$B$38="pvp",15,MAX(0.1,Skills!D6-IF(TRUE=TRUE,Inputs!$B$32,0)))*(1-IF(AND(ArtifactsInput!$M$27,Inputs!$B$4="Chapter Hunt"),CHOOSE(ArtifactsInput!$N$27+1,20,24,28,32,36,40),0)/100)))+1)),0)</f>
        <v/>
      </c>
      <c r="S1757">
        <f>IFERROR(O1757/N1757,0)</f>
        <v/>
      </c>
      <c r="T1757">
        <f>IF(C1757,(H1757*N1757*IF(AND(Inputs!$B$38&lt;&gt;"pvp",Inputs!$B$43&gt;0),((Skills!G6*((R1757-1)*IF(Skills!H6&gt;0,INT(Skills!I6/Skills!H6+0.000000001),1)+IF(Skills!H6&gt;0,INT(MIN(Skills!I6,MAX(0,MAX(0,Inputs!$B$43-B1787)-((R1757-1)*(IF(Inputs!$B$38="pvp",15,MAX(0.1,Skills!D6-IF(TRUE=TRUE,Inputs!$B$32,0)))*(1-IF(AND(ArtifactsInput!$M$27,Inputs!$B$4="Chapter Hunt"),CHOOSE(ArtifactsInput!$N$27+1,20,24,28,32,36,40),0)/100)))))/Skills!H6+0.000000001),1)))/Inputs!$B$43),G1757*Q1757))*IF(Inputs!$B$38="pvp",1,1+(Inputs!$B$20+0+Skills!P6+(((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INT(Skills!I6/Skills!H6+0.000000001),1)+IF(Skills!H6&gt;0,INT(MIN(Skills!I6,MAX(0,MAX(0,Inputs!$B$43-B1787)-((R1757-1)*(IF(Inputs!$B$38="pvp",15,MAX(0.1,Skills!D6-IF(TRUE=TRUE,Inputs!$B$32,0)))*(1-IF(AND(ArtifactsInput!$M$27,Inputs!$B$4="Chapter Hunt"),CHOOSE(ArtifactsInput!$N$27+1,20,24,28,32,36,40),0)/100)))))/Skills!H6+0.000000001),1)))/Inputs!$B$43),G1757*Q1757))*IF(Inputs!$B$38="pvp",1,(1+(Inputs!$B$21+Skills!Q6+(((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Skills!G7*IF(Skills!H7&gt;0,INT(IF(Inputs!$B$38="pvp",MIN(Skills!I7,15),Skills!I7)/Skills!H7+0.000000001),1)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IFERROR(1/(IF(Inputs!$B$38="pvp",15,MAX(0.1,Skills!D7-IF(TRUE=TRUE,Inputs!$B$32,0)))*(1-IF(AND(ArtifactsInput!$M$27,Inputs!$B$4="Chapter Hunt"),CHOOSE(ArtifactsInput!$N$27+1,20,24,28,32,36,40),0)/100)),0)</f>
        <v/>
      </c>
      <c r="R1758">
        <f>IF(AND(Inputs!$B$38&lt;&gt;"pvp",Inputs!$B$43&gt;0),IF(MAX(0,Inputs!$B$43-B1787)&lt;=0,0,(INT(MAX(0,Inputs!$B$43-B1787)/(IF(Inputs!$B$38="pvp",15,MAX(0.1,Skills!D7-IF(TRUE=TRUE,Inputs!$B$32,0)))*(1-IF(AND(ArtifactsInput!$M$27,Inputs!$B$4="Chapter Hunt"),CHOOSE(ArtifactsInput!$N$27+1,20,24,28,32,36,40),0)/100)))+1)),0)</f>
        <v/>
      </c>
      <c r="S1758">
        <f>IFERROR(O1758/N1758,0)</f>
        <v/>
      </c>
      <c r="T1758">
        <f>IF(C1758,(H1758*N1758*IF(AND(Inputs!$B$38&lt;&gt;"pvp",Inputs!$B$43&gt;0),((Skills!G7*((R1758-1)*IF(Skills!H7&gt;0,INT(Skills!I7/Skills!H7+0.000000001),1)+IF(Skills!H7&gt;0,INT(MIN(Skills!I7,MAX(0,MAX(0,Inputs!$B$43-B1787)-((R1758-1)*(IF(Inputs!$B$38="pvp",15,MAX(0.1,Skills!D7-IF(TRUE=TRUE,Inputs!$B$32,0)))*(1-IF(AND(ArtifactsInput!$M$27,Inputs!$B$4="Chapter Hunt"),CHOOSE(ArtifactsInput!$N$27+1,20,24,28,32,36,40),0)/100)))))/Skills!H7+0.000000001),1)))/Inputs!$B$43),G1758*Q1758))*IF(Inputs!$B$38="pvp",1,1+(Inputs!$B$20+0+Skills!P7+(((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INT(Skills!I7/Skills!H7+0.000000001),1)+IF(Skills!H7&gt;0,INT(MIN(Skills!I7,MAX(0,MAX(0,Inputs!$B$43-B1787)-((R1758-1)*(IF(Inputs!$B$38="pvp",15,MAX(0.1,Skills!D7-IF(TRUE=TRUE,Inputs!$B$32,0)))*(1-IF(AND(ArtifactsInput!$M$27,Inputs!$B$4="Chapter Hunt"),CHOOSE(ArtifactsInput!$N$27+1,20,24,28,32,36,40),0)/100)))))/Skills!H7+0.000000001),1)))/Inputs!$B$43),G1758*Q1758))*IF(Inputs!$B$38="pvp",1,(1+(Inputs!$B$21+Skills!Q7+(((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Skills!G8*IF(Skills!H8&gt;0,INT(IF(Inputs!$B$38="pvp",MIN(Skills!I8,15),Skills!I8)/Skills!H8+0.000000001),1)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IFERROR(1/(IF(Inputs!$B$38="pvp",15,MAX(0.1,Skills!D8-IF(TRUE=TRUE,Inputs!$B$32,0)))*(1-IF(AND(ArtifactsInput!$M$27,Inputs!$B$4="Chapter Hunt"),CHOOSE(ArtifactsInput!$N$27+1,20,24,28,32,36,40),0)/100)),0)</f>
        <v/>
      </c>
      <c r="R1759">
        <f>IF(AND(Inputs!$B$38&lt;&gt;"pvp",Inputs!$B$43&gt;0),IF(MAX(0,Inputs!$B$43-B1787)&lt;=0,0,(INT(MAX(0,Inputs!$B$43-B1787)/(IF(Inputs!$B$38="pvp",15,MAX(0.1,Skills!D8-IF(TRUE=TRUE,Inputs!$B$32,0)))*(1-IF(AND(ArtifactsInput!$M$27,Inputs!$B$4="Chapter Hunt"),CHOOSE(ArtifactsInput!$N$27+1,20,24,28,32,36,40),0)/100)))+1)),0)</f>
        <v/>
      </c>
      <c r="S1759">
        <f>IFERROR(O1759/N1759,0)</f>
        <v/>
      </c>
      <c r="T1759">
        <f>IF(C1759,(H1759*N1759*IF(AND(Inputs!$B$38&lt;&gt;"pvp",Inputs!$B$43&gt;0),((Skills!G8*((R1759-1)*IF(Skills!H8&gt;0,INT(Skills!I8/Skills!H8+0.000000001),1)+IF(Skills!H8&gt;0,INT(MIN(Skills!I8,MAX(0,MAX(0,Inputs!$B$43-B1787)-((R1759-1)*(IF(Inputs!$B$38="pvp",15,MAX(0.1,Skills!D8-IF(TRUE=TRUE,Inputs!$B$32,0)))*(1-IF(AND(ArtifactsInput!$M$27,Inputs!$B$4="Chapter Hunt"),CHOOSE(ArtifactsInput!$N$27+1,20,24,28,32,36,40),0)/100)))))/Skills!H8+0.000000001),1)))/Inputs!$B$43),G1759*Q1759))*IF(Inputs!$B$38="pvp",1,1+(Inputs!$B$20+0+Skills!P8+(((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INT(Skills!I8/Skills!H8+0.000000001),1)+IF(Skills!H8&gt;0,INT(MIN(Skills!I8,MAX(0,MAX(0,Inputs!$B$43-B1787)-((R1759-1)*(IF(Inputs!$B$38="pvp",15,MAX(0.1,Skills!D8-IF(TRUE=TRUE,Inputs!$B$32,0)))*(1-IF(AND(ArtifactsInput!$M$27,Inputs!$B$4="Chapter Hunt"),CHOOSE(ArtifactsInput!$N$27+1,20,24,28,32,36,40),0)/100)))))/Skills!H8+0.000000001),1)))/Inputs!$B$43),G1759*Q1759))*IF(Inputs!$B$38="pvp",1,(1+(Inputs!$B$21+Skills!Q8+(((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Skills!G9*IF(Skills!H9&gt;0,INT(IF(Inputs!$B$38="pvp",MIN(Skills!I9,15),Skills!I9)/Skills!H9+0.000000001),1)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138,MAX(0,IF(Inputs!$B$3&gt;=118,8,IF(Inputs!$B$3&gt;=110,7,5))-5)*50,0),0)/100)*(1+(IF(Skills!A9="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IFERROR(1/(IF(Inputs!$B$38="pvp",15,MAX(0.1,Skills!D9-IF(TRUE=TRUE,Inputs!$B$32,0)))*(1-IF(AND(ArtifactsInput!$M$27,Inputs!$B$4="Chapter Hunt"),CHOOSE(ArtifactsInput!$N$27+1,20,24,28,32,36,40),0)/100)),0)</f>
        <v/>
      </c>
      <c r="R1760">
        <f>IF(AND(Inputs!$B$38&lt;&gt;"pvp",Inputs!$B$43&gt;0),IF(MAX(0,Inputs!$B$43-B1787)&lt;=0,0,(INT(MAX(0,Inputs!$B$43-B1787)/(IF(Inputs!$B$38="pvp",15,MAX(0.1,Skills!D9-IF(TRUE=TRUE,Inputs!$B$32,0)))*(1-IF(AND(ArtifactsInput!$M$27,Inputs!$B$4="Chapter Hunt"),CHOOSE(ArtifactsInput!$N$27+1,20,24,28,32,36,40),0)/100)))+1)),0)</f>
        <v/>
      </c>
      <c r="S1760">
        <f>IFERROR(O1760/N1760,0)</f>
        <v/>
      </c>
      <c r="T1760">
        <f>IF(C1760,(H1760*N1760*IF(AND(Inputs!$B$38&lt;&gt;"pvp",Inputs!$B$43&gt;0),((Skills!G9*((R1760-1)*IF(Skills!H9&gt;0,INT(Skills!I9/Skills!H9+0.000000001),1)+IF(Skills!H9&gt;0,INT(MIN(Skills!I9,MAX(0,MAX(0,Inputs!$B$43-B1787)-((R1760-1)*(IF(Inputs!$B$38="pvp",15,MAX(0.1,Skills!D9-IF(TRUE=TRUE,Inputs!$B$32,0)))*(1-IF(AND(ArtifactsInput!$M$27,Inputs!$B$4="Chapter Hunt"),CHOOSE(ArtifactsInput!$N$27+1,20,24,28,32,36,40),0)/100)))))/Skills!H9+0.000000001),1)))/Inputs!$B$43),G1760*Q1760))*IF(Inputs!$B$38="pvp",1,1+(Inputs!$B$20+0+Skills!P9+(((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INT(Skills!I9/Skills!H9+0.000000001),1)+IF(Skills!H9&gt;0,INT(MIN(Skills!I9,MAX(0,MAX(0,Inputs!$B$43-B1787)-((R1760-1)*(IF(Inputs!$B$38="pvp",15,MAX(0.1,Skills!D9-IF(TRUE=TRUE,Inputs!$B$32,0)))*(1-IF(AND(ArtifactsInput!$M$27,Inputs!$B$4="Chapter Hunt"),CHOOSE(ArtifactsInput!$N$27+1,20,24,28,32,36,40),0)/100)))))/Skills!H9+0.000000001),1)))/Inputs!$B$43),G1760*Q1760))*IF(Inputs!$B$38="pvp",1,(1+(Inputs!$B$21+Skills!Q9+(((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Skills!G10*IF(Skills!H10&gt;0,INT(IF(Inputs!$B$38="pvp",MIN(Skills!I10,15),Skills!I10)/Skills!H10+0.000000001),1)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138,MAX(0,IF(Inputs!$B$3&gt;=118,8,IF(Inputs!$B$3&gt;=110,7,5))-5)*50,0),0)/100)*(1+(IF(Skills!A10="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IFERROR(1/(IF(Inputs!$B$38="pvp",15,MAX(0.1,Skills!D10-IF(TRUE=TRUE,Inputs!$B$32,0)))*(1-IF(AND(ArtifactsInput!$M$27,Inputs!$B$4="Chapter Hunt"),CHOOSE(ArtifactsInput!$N$27+1,20,24,28,32,36,40),0)/100)),0)</f>
        <v/>
      </c>
      <c r="R1761">
        <f>IF(AND(Inputs!$B$38&lt;&gt;"pvp",Inputs!$B$43&gt;0),IF(MAX(0,Inputs!$B$43-B1787)&lt;=0,0,(INT(MAX(0,Inputs!$B$43-B1787)/(IF(Inputs!$B$38="pvp",15,MAX(0.1,Skills!D10-IF(TRUE=TRUE,Inputs!$B$32,0)))*(1-IF(AND(ArtifactsInput!$M$27,Inputs!$B$4="Chapter Hunt"),CHOOSE(ArtifactsInput!$N$27+1,20,24,28,32,36,40),0)/100)))+1)),0)</f>
        <v/>
      </c>
      <c r="S1761">
        <f>IFERROR(O1761/N1761,0)</f>
        <v/>
      </c>
      <c r="T1761">
        <f>IF(C1761,(H1761*N1761*IF(AND(Inputs!$B$38&lt;&gt;"pvp",Inputs!$B$43&gt;0),((Skills!G10*((R1761-1)*IF(Skills!H10&gt;0,INT(Skills!I10/Skills!H10+0.000000001),1)+IF(Skills!H10&gt;0,INT(MIN(Skills!I10,MAX(0,MAX(0,Inputs!$B$43-B1787)-((R1761-1)*(IF(Inputs!$B$38="pvp",15,MAX(0.1,Skills!D10-IF(TRUE=TRUE,Inputs!$B$32,0)))*(1-IF(AND(ArtifactsInput!$M$27,Inputs!$B$4="Chapter Hunt"),CHOOSE(ArtifactsInput!$N$27+1,20,24,28,32,36,40),0)/100)))))/Skills!H10+0.000000001),1)))/Inputs!$B$43),G1761*Q1761))*IF(Inputs!$B$38="pvp",1,1+(Inputs!$B$20+0+Skills!P10+(((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INT(Skills!I10/Skills!H10+0.000000001),1)+IF(Skills!H10&gt;0,INT(MIN(Skills!I10,MAX(0,MAX(0,Inputs!$B$43-B1787)-((R1761-1)*(IF(Inputs!$B$38="pvp",15,MAX(0.1,Skills!D10-IF(TRUE=TRUE,Inputs!$B$32,0)))*(1-IF(AND(ArtifactsInput!$M$27,Inputs!$B$4="Chapter Hunt"),CHOOSE(ArtifactsInput!$N$27+1,20,24,28,32,36,40),0)/100)))))/Skills!H10+0.000000001),1)))/Inputs!$B$43),G1761*Q1761))*IF(Inputs!$B$38="pvp",1,(1+(Inputs!$B$21+Skills!Q10+(((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Skills!G11*IF(Skills!H11&gt;0,INT(IF(Inputs!$B$38="pvp",MIN(Skills!I11,15),Skills!I11)/Skills!H11+0.000000001),1)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138,MAX(0,IF(Inputs!$B$3&gt;=118,8,IF(Inputs!$B$3&gt;=110,7,5))-5)*50,0),0)/100)*(1+(IF(Skills!A11="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IFERROR(1/(IF(Inputs!$B$38="pvp",15,MAX(0.1,Skills!D11-IF(TRUE=TRUE,Inputs!$B$32,0)))*(1-IF(AND(ArtifactsInput!$M$27,Inputs!$B$4="Chapter Hunt"),CHOOSE(ArtifactsInput!$N$27+1,20,24,28,32,36,40),0)/100)),0)</f>
        <v/>
      </c>
      <c r="R1762">
        <f>IF(AND(Inputs!$B$38&lt;&gt;"pvp",Inputs!$B$43&gt;0),IF(MAX(0,Inputs!$B$43-B1787)&lt;=0,0,(INT(MAX(0,Inputs!$B$43-B1787)/(IF(Inputs!$B$38="pvp",15,MAX(0.1,Skills!D11-IF(TRUE=TRUE,Inputs!$B$32,0)))*(1-IF(AND(ArtifactsInput!$M$27,Inputs!$B$4="Chapter Hunt"),CHOOSE(ArtifactsInput!$N$27+1,20,24,28,32,36,40),0)/100)))+1)),0)</f>
        <v/>
      </c>
      <c r="S1762">
        <f>IFERROR(O1762/N1762,0)</f>
        <v/>
      </c>
      <c r="T1762">
        <f>IF(C1762,(H1762*N1762*IF(AND(Inputs!$B$38&lt;&gt;"pvp",Inputs!$B$43&gt;0),((Skills!G11*((R1762-1)*IF(Skills!H11&gt;0,INT(Skills!I11/Skills!H11+0.000000001),1)+IF(Skills!H11&gt;0,INT(MIN(Skills!I11,MAX(0,MAX(0,Inputs!$B$43-B1787)-((R1762-1)*(IF(Inputs!$B$38="pvp",15,MAX(0.1,Skills!D11-IF(TRUE=TRUE,Inputs!$B$32,0)))*(1-IF(AND(ArtifactsInput!$M$27,Inputs!$B$4="Chapter Hunt"),CHOOSE(ArtifactsInput!$N$27+1,20,24,28,32,36,40),0)/100)))))/Skills!H11+0.000000001),1)))/Inputs!$B$43),G1762*Q1762))*IF(Inputs!$B$38="pvp",1,1+(Inputs!$B$20+0+Skills!P11+(((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INT(Skills!I11/Skills!H11+0.000000001),1)+IF(Skills!H11&gt;0,INT(MIN(Skills!I11,MAX(0,MAX(0,Inputs!$B$43-B1787)-((R1762-1)*(IF(Inputs!$B$38="pvp",15,MAX(0.1,Skills!D11-IF(TRUE=TRUE,Inputs!$B$32,0)))*(1-IF(AND(ArtifactsInput!$M$27,Inputs!$B$4="Chapter Hunt"),CHOOSE(ArtifactsInput!$N$27+1,20,24,28,32,36,40),0)/100)))))/Skills!H11+0.000000001),1)))/Inputs!$B$43),G1762*Q1762))*IF(Inputs!$B$38="pvp",1,(1+(Inputs!$B$21+Skills!Q11+(((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Skills!G13*IF(Skills!H13&gt;0,INT(IF(Inputs!$B$38="pvp",MIN(Skills!I13,15),Skills!I13)/Skills!H13+0.000000001),1)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Skills!G14*IF(Skills!H14&gt;0,INT(IF(Inputs!$B$38="pvp",MIN(Skills!I14,15),Skills!I14)/Skills!H14+0.000000001),1)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Skills!G15*IF(Skills!H15&gt;0,INT(IF(Inputs!$B$38="pvp",MIN(Skills!I15,15),Skills!I15)/Skills!H15+0.000000001),1)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IFERROR(1/(IF(Inputs!$B$38="pvp",15,MAX(0.1,Skills!D15-IF(TRUE=TRUE,Inputs!$B$32,0)))*(1-IF(AND(ArtifactsInput!$M$27,Inputs!$B$4="Chapter Hunt"),CHOOSE(ArtifactsInput!$N$27+1,20,24,28,32,36,40),0)/100)),0)</f>
        <v/>
      </c>
      <c r="R1766">
        <f>IF(AND(Inputs!$B$38&lt;&gt;"pvp",Inputs!$B$43&gt;0),IF(Inputs!$B$43&lt;=0,0,(INT(Inputs!$B$43/(IF(Inputs!$B$38="pvp",15,MAX(0.1,Skills!D15-IF(TRUE=TRUE,Inputs!$B$32,0)))*(1-IF(AND(ArtifactsInput!$M$27,Inputs!$B$4="Chapter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Skills!G16*IF(Skills!H16&gt;0,INT(IF(Inputs!$B$38="pvp",MIN(Skills!I16,15),Skills!I16)/Skills!H16+0.000000001),1)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Skills!G17*IF(Skills!H17&gt;0,INT(IF(Inputs!$B$38="pvp",MIN(Skills!I17,15),Skills!I17)/Skills!H17+0.000000001),1)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Skills!G18*IF(Skills!H18&gt;0,INT(IF(Inputs!$B$38="pvp",MIN(Skills!I18,15),Skills!I18)/Skills!H18+0.000000001),1)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Skills!G19*IF(Skills!H19&gt;0,INT(IF(Inputs!$B$38="pvp",MIN(Skills!I19,15),Skills!I19)/Skills!H19+0.000000001),1)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IFERROR(1/(IF(Inputs!$B$38="pvp",15,MAX(0.1,Skills!D19-IF(TRUE=TRUE,Inputs!$B$32,0)))*(1-IF(AND(ArtifactsInput!$M$27,Inputs!$B$4="Chapter Hunt"),CHOOSE(ArtifactsInput!$N$27+1,20,24,28,32,36,40),0)/100)),0)</f>
        <v/>
      </c>
      <c r="R1770">
        <f>IF(AND(Inputs!$B$38&lt;&gt;"pvp",Inputs!$B$43&gt;0),IF(Inputs!$B$43&lt;=0,0,(INT(Inputs!$B$43/(IF(Inputs!$B$38="pvp",15,MAX(0.1,Skills!D19-IF(TRUE=TRUE,Inputs!$B$32,0)))*(1-IF(AND(ArtifactsInput!$M$27,Inputs!$B$4="Chapter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Skills!G20*IF(Skills!H20&gt;0,INT(IF(Inputs!$B$38="pvp",MIN(Skills!I20,15),Skills!I20)/Skills!H20+0.000000001),1)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Skills!G21*IF(Skills!H21&gt;0,INT(IF(Inputs!$B$38="pvp",MIN(Skills!I21,15),Skills!I21)/Skills!H21+0.000000001),1)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Skills!G22*IF(Skills!H22&gt;0,INT(IF(Inputs!$B$38="pvp",MIN(Skills!I22,15),Skills!I22)/Skills!H22+0.000000001),1)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Skills!G23*IF(Skills!H23&gt;0,INT(IF(Inputs!$B$38="pvp",MIN(Skills!I23,15),Skills!I23)/Skills!H23+0.000000001),1)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Skills!G24*IF(Skills!H24&gt;0,INT(IF(Inputs!$B$38="pvp",MIN(Skills!I24,15),Skills!I24)/Skills!H24+0.000000001),1)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Skills!G25*IF(Skills!H25&gt;0,INT(IF(Inputs!$B$38="pvp",MIN(Skills!I25,15),Skills!I25)/Skills!H25+0.000000001),1)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Skills!G26*IF(Skills!H26&gt;0,INT(IF(Inputs!$B$38="pvp",MIN(Skills!I26,15),Skills!I26)/Skills!H26+0.000000001),1)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MIN((Skills!T19*(1+(Inputs!$B$34+(ArtifactsInput!$M$7-ArtifactsInput!$M$7)*CHOOSE(ArtifactsInput!$N$7+1,6,7.2,8.4,9.6,10.8,12))/100)),(1/Q1770))+MIN((Skills!T19*(1+(Inputs!$B$34+(ArtifactsInput!$M$7-ArtifactsInput!$M$7)*CHOOSE(ArtifactsInput!$N$7+1,6,7.2,8.4,9.6,10.8,12))/100)),MAX(0,Inputs!$B$43-((R1770-1)*(1/Q1770)))))/Inputs!$B$43),IF(Inputs!$B$38="pvp",MIN((Skills!T19*(1+(Inputs!$B$34+(ArtifactsInput!$M$7-ArtifactsInput!$M$7)*CHOOSE(ArtifactsInput!$N$7+1,6,7.2,8.4,9.6,10.8,12))/100)),15)/15,MIN(1,(Skills!T19*(1+(Inputs!$B$34+(ArtifactsInput!$M$7-ArtifactsInput!$M$7)*CHOOSE(ArtifactsInput!$N$7+1,6,7.2,8.4,9.6,10.8,12))/100))/(1/Q1770)))))</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MIN((Skills!T18*(1+(Inputs!$B$34+(ArtifactsInput!$M$7-ArtifactsInput!$M$7)*CHOOSE(ArtifactsInput!$N$7+1,6,7.2,8.4,9.6,10.8,12))/100)),(1/Q1769))+MIN((Skills!T18*(1+(Inputs!$B$34+(ArtifactsInput!$M$7-ArtifactsInput!$M$7)*CHOOSE(ArtifactsInput!$N$7+1,6,7.2,8.4,9.6,10.8,12))/100)),MAX(0,Inputs!$B$43-((R1769-1)*(1/Q1769)))))/Inputs!$B$43),IF(Inputs!$B$38="pvp",MIN((Skills!T18*(1+(Inputs!$B$34+(ArtifactsInput!$M$7-ArtifactsInput!$M$7)*CHOOSE(ArtifactsInput!$N$7+1,6,7.2,8.4,9.6,10.8,12))/100)),15)/15,MIN(1,(Skills!T18*(1+(Inputs!$B$34+(ArtifactsInput!$M$7-ArtifactsInput!$M$7)*CHOOSE(ArtifactsInput!$N$7+1,6,7.2,8.4,9.6,10.8,12))/100))/(1/Q1769)))))</f>
        <v/>
      </c>
    </row>
    <row r="1786">
      <c r="A1786" t="inlineStr">
        <is>
          <t>Global Final Damage Bonus % (Enrage + Combo Synergy)</t>
        </is>
      </c>
      <c r="B1786">
        <f>((C1768=TRUE)*F1768*IF(AND(Inputs!$B$38&lt;&gt;"pvp",Inputs!$B$43&gt;0),(((R1768-1)*MIN((Skills!T17*(1+(Inputs!$B$34+(ArtifactsInput!$M$7-ArtifactsInput!$M$7)*CHOOSE(ArtifactsInput!$N$7+1,6,7.2,8.4,9.6,10.8,12))/100)),(1/Q1768))+MIN((Skills!T17*(1+(Inputs!$B$34+(ArtifactsInput!$M$7-ArtifactsInput!$M$7)*CHOOSE(ArtifactsInput!$N$7+1,6,7.2,8.4,9.6,10.8,12))/100)),MAX(0,Inputs!$B$43-((R1768-1)*(1/Q1768)))))/Inputs!$B$43),IF(Inputs!$B$38="pvp",MIN((Skills!T17*(1+(Inputs!$B$34+(ArtifactsInput!$M$7-ArtifactsInput!$M$7)*CHOOSE(ArtifactsInput!$N$7+1,6,7.2,8.4,9.6,10.8,12))/100)),15)/15,MIN(1,(Skills!T17*(1+(Inputs!$B$34+(ArtifactsInput!$M$7-ArtifactsInput!$M$7)*CHOOSE(ArtifactsInput!$N$7+1,6,7.2,8.4,9.6,10.8,12))/100))/(1/Q1768)))))+((C1765=TRUE)*F1765*IF(Inputs!$B$3&gt;=118,8,IF(Inputs!$B$3&gt;=110,7,5)))+IF(Inputs!$B$3&gt;=98,5,0)</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Skills!G2*IF(Skills!H2&gt;0,INT(IF(Inputs!$B$38="pvp",MIN(Skills!I2,15),Skills!I2)/Skills!H2+0.000000001),1)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Skills!G5*IF(Skills!H5&gt;0,INT(IF(Inputs!$B$38="pvp",MIN(Skills!I5,15),Skills!I5)/Skills!H5+0.000000001),1)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IFERROR(1/(IF(Inputs!$B$38="pvp",15,MAX(0.1,Skills!D5-IF(TRUE=TRUE,Inputs!$B$32,0)))*(1-IF(AND(ArtifactsInput!$M$27,Inputs!$B$4="Chapter Hunt"),CHOOSE(ArtifactsInput!$N$27+1,20,24,28,32,36,40),0)/100)),0)</f>
        <v/>
      </c>
      <c r="R1798">
        <f>IF(AND(Inputs!$B$38&lt;&gt;"pvp",Inputs!$B$43&gt;0),IF(MAX(0,Inputs!$B$43-B1829)&lt;=0,0,(INT(MAX(0,Inputs!$B$43-B1829)/(IF(Inputs!$B$38="pvp",15,MAX(0.1,Skills!D5-IF(TRUE=TRUE,Inputs!$B$32,0)))*(1-IF(AND(ArtifactsInput!$M$27,Inputs!$B$4="Chapter Hunt"),CHOOSE(ArtifactsInput!$N$27+1,20,24,28,32,36,40),0)/100)))+1)),0)</f>
        <v/>
      </c>
      <c r="S1798">
        <f>IFERROR(O1798/N1798,0)</f>
        <v/>
      </c>
      <c r="T1798">
        <f>IF(C1798,(H1798*N1798*IF(AND(Inputs!$B$38&lt;&gt;"pvp",Inputs!$B$43&gt;0),((Skills!G5*((R1798-1)*IF(Skills!H5&gt;0,INT(Skills!I5/Skills!H5+0.000000001),1)+IF(Skills!H5&gt;0,INT(MIN(Skills!I5,MAX(0,MAX(0,Inputs!$B$43-B1829)-((R1798-1)*(IF(Inputs!$B$38="pvp",15,MAX(0.1,Skills!D5-IF(TRUE=TRUE,Inputs!$B$32,0)))*(1-IF(AND(ArtifactsInput!$M$27,Inputs!$B$4="Chapter Hunt"),CHOOSE(ArtifactsInput!$N$27+1,20,24,28,32,36,40),0)/100)))))/Skills!H5+0.000000001),1)))/Inputs!$B$43),G1798*Q1798))*IF(Inputs!$B$38="pvp",1,1+(Inputs!$B$20+0+Skills!P5+(((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INT(Skills!I5/Skills!H5+0.000000001),1)+IF(Skills!H5&gt;0,INT(MIN(Skills!I5,MAX(0,MAX(0,Inputs!$B$43-B1829)-((R1798-1)*(IF(Inputs!$B$38="pvp",15,MAX(0.1,Skills!D5-IF(TRUE=TRUE,Inputs!$B$32,0)))*(1-IF(AND(ArtifactsInput!$M$27,Inputs!$B$4="Chapter Hunt"),CHOOSE(ArtifactsInput!$N$27+1,20,24,28,32,36,40),0)/100)))))/Skills!H5+0.000000001),1)))/Inputs!$B$43),G1798*Q1798))*IF(Inputs!$B$38="pvp",1,(1+(Inputs!$B$21+Skills!Q5+(((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Skills!G6*IF(Skills!H6&gt;0,INT(IF(Inputs!$B$38="pvp",MIN(Skills!I6,15),Skills!I6)/Skills!H6+0.000000001),1)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IFERROR(1/(IF(Inputs!$B$38="pvp",15,MAX(0.1,Skills!D6-IF(TRUE=TRUE,Inputs!$B$32,0)))*(1-IF(AND(ArtifactsInput!$M$27,Inputs!$B$4="Chapter Hunt"),CHOOSE(ArtifactsInput!$N$27+1,20,24,28,32,36,40),0)/100)),0)</f>
        <v/>
      </c>
      <c r="R1799">
        <f>IF(AND(Inputs!$B$38&lt;&gt;"pvp",Inputs!$B$43&gt;0),IF(MAX(0,Inputs!$B$43-B1829)&lt;=0,0,(INT(MAX(0,Inputs!$B$43-B1829)/(IF(Inputs!$B$38="pvp",15,MAX(0.1,Skills!D6-IF(TRUE=TRUE,Inputs!$B$32,0)))*(1-IF(AND(ArtifactsInput!$M$27,Inputs!$B$4="Chapter Hunt"),CHOOSE(ArtifactsInput!$N$27+1,20,24,28,32,36,40),0)/100)))+1)),0)</f>
        <v/>
      </c>
      <c r="S1799">
        <f>IFERROR(O1799/N1799,0)</f>
        <v/>
      </c>
      <c r="T1799">
        <f>IF(C1799,(H1799*N1799*IF(AND(Inputs!$B$38&lt;&gt;"pvp",Inputs!$B$43&gt;0),((Skills!G6*((R1799-1)*IF(Skills!H6&gt;0,INT(Skills!I6/Skills!H6+0.000000001),1)+IF(Skills!H6&gt;0,INT(MIN(Skills!I6,MAX(0,MAX(0,Inputs!$B$43-B1829)-((R1799-1)*(IF(Inputs!$B$38="pvp",15,MAX(0.1,Skills!D6-IF(TRUE=TRUE,Inputs!$B$32,0)))*(1-IF(AND(ArtifactsInput!$M$27,Inputs!$B$4="Chapter Hunt"),CHOOSE(ArtifactsInput!$N$27+1,20,24,28,32,36,40),0)/100)))))/Skills!H6+0.000000001),1)))/Inputs!$B$43),G1799*Q1799))*IF(Inputs!$B$38="pvp",1,1+(Inputs!$B$20+0+Skills!P6+(((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INT(Skills!I6/Skills!H6+0.000000001),1)+IF(Skills!H6&gt;0,INT(MIN(Skills!I6,MAX(0,MAX(0,Inputs!$B$43-B1829)-((R1799-1)*(IF(Inputs!$B$38="pvp",15,MAX(0.1,Skills!D6-IF(TRUE=TRUE,Inputs!$B$32,0)))*(1-IF(AND(ArtifactsInput!$M$27,Inputs!$B$4="Chapter Hunt"),CHOOSE(ArtifactsInput!$N$27+1,20,24,28,32,36,40),0)/100)))))/Skills!H6+0.000000001),1)))/Inputs!$B$43),G1799*Q1799))*IF(Inputs!$B$38="pvp",1,(1+(Inputs!$B$21+Skills!Q6+(((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Skills!G7*IF(Skills!H7&gt;0,INT(IF(Inputs!$B$38="pvp",MIN(Skills!I7,15),Skills!I7)/Skills!H7+0.000000001),1)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IFERROR(1/(IF(Inputs!$B$38="pvp",15,MAX(0.1,Skills!D7-IF(TRUE=TRUE,Inputs!$B$32,0)))*(1-IF(AND(ArtifactsInput!$M$27,Inputs!$B$4="Chapter Hunt"),CHOOSE(ArtifactsInput!$N$27+1,20,24,28,32,36,40),0)/100)),0)</f>
        <v/>
      </c>
      <c r="R1800">
        <f>IF(AND(Inputs!$B$38&lt;&gt;"pvp",Inputs!$B$43&gt;0),IF(MAX(0,Inputs!$B$43-B1829)&lt;=0,0,(INT(MAX(0,Inputs!$B$43-B1829)/(IF(Inputs!$B$38="pvp",15,MAX(0.1,Skills!D7-IF(TRUE=TRUE,Inputs!$B$32,0)))*(1-IF(AND(ArtifactsInput!$M$27,Inputs!$B$4="Chapter Hunt"),CHOOSE(ArtifactsInput!$N$27+1,20,24,28,32,36,40),0)/100)))+1)),0)</f>
        <v/>
      </c>
      <c r="S1800">
        <f>IFERROR(O1800/N1800,0)</f>
        <v/>
      </c>
      <c r="T1800">
        <f>IF(C1800,(H1800*N1800*IF(AND(Inputs!$B$38&lt;&gt;"pvp",Inputs!$B$43&gt;0),((Skills!G7*((R1800-1)*IF(Skills!H7&gt;0,INT(Skills!I7/Skills!H7+0.000000001),1)+IF(Skills!H7&gt;0,INT(MIN(Skills!I7,MAX(0,MAX(0,Inputs!$B$43-B1829)-((R1800-1)*(IF(Inputs!$B$38="pvp",15,MAX(0.1,Skills!D7-IF(TRUE=TRUE,Inputs!$B$32,0)))*(1-IF(AND(ArtifactsInput!$M$27,Inputs!$B$4="Chapter Hunt"),CHOOSE(ArtifactsInput!$N$27+1,20,24,28,32,36,40),0)/100)))))/Skills!H7+0.000000001),1)))/Inputs!$B$43),G1800*Q1800))*IF(Inputs!$B$38="pvp",1,1+(Inputs!$B$20+0+Skills!P7+(((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INT(Skills!I7/Skills!H7+0.000000001),1)+IF(Skills!H7&gt;0,INT(MIN(Skills!I7,MAX(0,MAX(0,Inputs!$B$43-B1829)-((R1800-1)*(IF(Inputs!$B$38="pvp",15,MAX(0.1,Skills!D7-IF(TRUE=TRUE,Inputs!$B$32,0)))*(1-IF(AND(ArtifactsInput!$M$27,Inputs!$B$4="Chapter Hunt"),CHOOSE(ArtifactsInput!$N$27+1,20,24,28,32,36,40),0)/100)))))/Skills!H7+0.000000001),1)))/Inputs!$B$43),G1800*Q1800))*IF(Inputs!$B$38="pvp",1,(1+(Inputs!$B$21+Skills!Q7+(((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Skills!G8*IF(Skills!H8&gt;0,INT(IF(Inputs!$B$38="pvp",MIN(Skills!I8,15),Skills!I8)/Skills!H8+0.000000001),1)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IFERROR(1/(IF(Inputs!$B$38="pvp",15,MAX(0.1,Skills!D8-IF(TRUE=TRUE,Inputs!$B$32,0)))*(1-IF(AND(ArtifactsInput!$M$27,Inputs!$B$4="Chapter Hunt"),CHOOSE(ArtifactsInput!$N$27+1,20,24,28,32,36,40),0)/100)),0)</f>
        <v/>
      </c>
      <c r="R1801">
        <f>IF(AND(Inputs!$B$38&lt;&gt;"pvp",Inputs!$B$43&gt;0),IF(MAX(0,Inputs!$B$43-B1829)&lt;=0,0,(INT(MAX(0,Inputs!$B$43-B1829)/(IF(Inputs!$B$38="pvp",15,MAX(0.1,Skills!D8-IF(TRUE=TRUE,Inputs!$B$32,0)))*(1-IF(AND(ArtifactsInput!$M$27,Inputs!$B$4="Chapter Hunt"),CHOOSE(ArtifactsInput!$N$27+1,20,24,28,32,36,40),0)/100)))+1)),0)</f>
        <v/>
      </c>
      <c r="S1801">
        <f>IFERROR(O1801/N1801,0)</f>
        <v/>
      </c>
      <c r="T1801">
        <f>IF(C1801,(H1801*N1801*IF(AND(Inputs!$B$38&lt;&gt;"pvp",Inputs!$B$43&gt;0),((Skills!G8*((R1801-1)*IF(Skills!H8&gt;0,INT(Skills!I8/Skills!H8+0.000000001),1)+IF(Skills!H8&gt;0,INT(MIN(Skills!I8,MAX(0,MAX(0,Inputs!$B$43-B1829)-((R1801-1)*(IF(Inputs!$B$38="pvp",15,MAX(0.1,Skills!D8-IF(TRUE=TRUE,Inputs!$B$32,0)))*(1-IF(AND(ArtifactsInput!$M$27,Inputs!$B$4="Chapter Hunt"),CHOOSE(ArtifactsInput!$N$27+1,20,24,28,32,36,40),0)/100)))))/Skills!H8+0.000000001),1)))/Inputs!$B$43),G1801*Q1801))*IF(Inputs!$B$38="pvp",1,1+(Inputs!$B$20+0+Skills!P8+(((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INT(Skills!I8/Skills!H8+0.000000001),1)+IF(Skills!H8&gt;0,INT(MIN(Skills!I8,MAX(0,MAX(0,Inputs!$B$43-B1829)-((R1801-1)*(IF(Inputs!$B$38="pvp",15,MAX(0.1,Skills!D8-IF(TRUE=TRUE,Inputs!$B$32,0)))*(1-IF(AND(ArtifactsInput!$M$27,Inputs!$B$4="Chapter Hunt"),CHOOSE(ArtifactsInput!$N$27+1,20,24,28,32,36,40),0)/100)))))/Skills!H8+0.000000001),1)))/Inputs!$B$43),G1801*Q1801))*IF(Inputs!$B$38="pvp",1,(1+(Inputs!$B$21+Skills!Q8+(((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Skills!G9*IF(Skills!H9&gt;0,INT(IF(Inputs!$B$38="pvp",MIN(Skills!I9,15),Skills!I9)/Skills!H9+0.000000001),1)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138,MAX(0,IF(Inputs!$B$3&gt;=118,8,IF(Inputs!$B$3&gt;=110,7,5))-5)*50,0),0)/100)*(1+(IF(Skills!A9="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IFERROR(1/(IF(Inputs!$B$38="pvp",15,MAX(0.1,Skills!D9-IF(TRUE=TRUE,Inputs!$B$32,0)))*(1-IF(AND(ArtifactsInput!$M$27,Inputs!$B$4="Chapter Hunt"),CHOOSE(ArtifactsInput!$N$27+1,20,24,28,32,36,40),0)/100)),0)</f>
        <v/>
      </c>
      <c r="R1802">
        <f>IF(AND(Inputs!$B$38&lt;&gt;"pvp",Inputs!$B$43&gt;0),IF(MAX(0,Inputs!$B$43-B1829)&lt;=0,0,(INT(MAX(0,Inputs!$B$43-B1829)/(IF(Inputs!$B$38="pvp",15,MAX(0.1,Skills!D9-IF(TRUE=TRUE,Inputs!$B$32,0)))*(1-IF(AND(ArtifactsInput!$M$27,Inputs!$B$4="Chapter Hunt"),CHOOSE(ArtifactsInput!$N$27+1,20,24,28,32,36,40),0)/100)))+1)),0)</f>
        <v/>
      </c>
      <c r="S1802">
        <f>IFERROR(O1802/N1802,0)</f>
        <v/>
      </c>
      <c r="T1802">
        <f>IF(C1802,(H1802*N1802*IF(AND(Inputs!$B$38&lt;&gt;"pvp",Inputs!$B$43&gt;0),((Skills!G9*((R1802-1)*IF(Skills!H9&gt;0,INT(Skills!I9/Skills!H9+0.000000001),1)+IF(Skills!H9&gt;0,INT(MIN(Skills!I9,MAX(0,MAX(0,Inputs!$B$43-B1829)-((R1802-1)*(IF(Inputs!$B$38="pvp",15,MAX(0.1,Skills!D9-IF(TRUE=TRUE,Inputs!$B$32,0)))*(1-IF(AND(ArtifactsInput!$M$27,Inputs!$B$4="Chapter Hunt"),CHOOSE(ArtifactsInput!$N$27+1,20,24,28,32,36,40),0)/100)))))/Skills!H9+0.000000001),1)))/Inputs!$B$43),G1802*Q1802))*IF(Inputs!$B$38="pvp",1,1+(Inputs!$B$20+0+Skills!P9+(((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INT(Skills!I9/Skills!H9+0.000000001),1)+IF(Skills!H9&gt;0,INT(MIN(Skills!I9,MAX(0,MAX(0,Inputs!$B$43-B1829)-((R1802-1)*(IF(Inputs!$B$38="pvp",15,MAX(0.1,Skills!D9-IF(TRUE=TRUE,Inputs!$B$32,0)))*(1-IF(AND(ArtifactsInput!$M$27,Inputs!$B$4="Chapter Hunt"),CHOOSE(ArtifactsInput!$N$27+1,20,24,28,32,36,40),0)/100)))))/Skills!H9+0.000000001),1)))/Inputs!$B$43),G1802*Q1802))*IF(Inputs!$B$38="pvp",1,(1+(Inputs!$B$21+Skills!Q9+(((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Skills!G10*IF(Skills!H10&gt;0,INT(IF(Inputs!$B$38="pvp",MIN(Skills!I10,15),Skills!I10)/Skills!H10+0.000000001),1)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138,MAX(0,IF(Inputs!$B$3&gt;=118,8,IF(Inputs!$B$3&gt;=110,7,5))-5)*50,0),0)/100)*(1+(IF(Skills!A10="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IFERROR(1/(IF(Inputs!$B$38="pvp",15,MAX(0.1,Skills!D10-IF(TRUE=TRUE,Inputs!$B$32,0)))*(1-IF(AND(ArtifactsInput!$M$27,Inputs!$B$4="Chapter Hunt"),CHOOSE(ArtifactsInput!$N$27+1,20,24,28,32,36,40),0)/100)),0)</f>
        <v/>
      </c>
      <c r="R1803">
        <f>IF(AND(Inputs!$B$38&lt;&gt;"pvp",Inputs!$B$43&gt;0),IF(MAX(0,Inputs!$B$43-B1829)&lt;=0,0,(INT(MAX(0,Inputs!$B$43-B1829)/(IF(Inputs!$B$38="pvp",15,MAX(0.1,Skills!D10-IF(TRUE=TRUE,Inputs!$B$32,0)))*(1-IF(AND(ArtifactsInput!$M$27,Inputs!$B$4="Chapter Hunt"),CHOOSE(ArtifactsInput!$N$27+1,20,24,28,32,36,40),0)/100)))+1)),0)</f>
        <v/>
      </c>
      <c r="S1803">
        <f>IFERROR(O1803/N1803,0)</f>
        <v/>
      </c>
      <c r="T1803">
        <f>IF(C1803,(H1803*N1803*IF(AND(Inputs!$B$38&lt;&gt;"pvp",Inputs!$B$43&gt;0),((Skills!G10*((R1803-1)*IF(Skills!H10&gt;0,INT(Skills!I10/Skills!H10+0.000000001),1)+IF(Skills!H10&gt;0,INT(MIN(Skills!I10,MAX(0,MAX(0,Inputs!$B$43-B1829)-((R1803-1)*(IF(Inputs!$B$38="pvp",15,MAX(0.1,Skills!D10-IF(TRUE=TRUE,Inputs!$B$32,0)))*(1-IF(AND(ArtifactsInput!$M$27,Inputs!$B$4="Chapter Hunt"),CHOOSE(ArtifactsInput!$N$27+1,20,24,28,32,36,40),0)/100)))))/Skills!H10+0.000000001),1)))/Inputs!$B$43),G1803*Q1803))*IF(Inputs!$B$38="pvp",1,1+(Inputs!$B$20+0+Skills!P10+(((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INT(Skills!I10/Skills!H10+0.000000001),1)+IF(Skills!H10&gt;0,INT(MIN(Skills!I10,MAX(0,MAX(0,Inputs!$B$43-B1829)-((R1803-1)*(IF(Inputs!$B$38="pvp",15,MAX(0.1,Skills!D10-IF(TRUE=TRUE,Inputs!$B$32,0)))*(1-IF(AND(ArtifactsInput!$M$27,Inputs!$B$4="Chapter Hunt"),CHOOSE(ArtifactsInput!$N$27+1,20,24,28,32,36,40),0)/100)))))/Skills!H10+0.000000001),1)))/Inputs!$B$43),G1803*Q1803))*IF(Inputs!$B$38="pvp",1,(1+(Inputs!$B$21+Skills!Q10+(((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Skills!G11*IF(Skills!H11&gt;0,INT(IF(Inputs!$B$38="pvp",MIN(Skills!I11,15),Skills!I11)/Skills!H11+0.000000001),1)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138,MAX(0,IF(Inputs!$B$3&gt;=118,8,IF(Inputs!$B$3&gt;=110,7,5))-5)*50,0),0)/100)*(1+(IF(Skills!A11="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IFERROR(1/(IF(Inputs!$B$38="pvp",15,MAX(0.1,Skills!D11-IF(TRUE=TRUE,Inputs!$B$32,0)))*(1-IF(AND(ArtifactsInput!$M$27,Inputs!$B$4="Chapter Hunt"),CHOOSE(ArtifactsInput!$N$27+1,20,24,28,32,36,40),0)/100)),0)</f>
        <v/>
      </c>
      <c r="R1804">
        <f>IF(AND(Inputs!$B$38&lt;&gt;"pvp",Inputs!$B$43&gt;0),IF(MAX(0,Inputs!$B$43-B1829)&lt;=0,0,(INT(MAX(0,Inputs!$B$43-B1829)/(IF(Inputs!$B$38="pvp",15,MAX(0.1,Skills!D11-IF(TRUE=TRUE,Inputs!$B$32,0)))*(1-IF(AND(ArtifactsInput!$M$27,Inputs!$B$4="Chapter Hunt"),CHOOSE(ArtifactsInput!$N$27+1,20,24,28,32,36,40),0)/100)))+1)),0)</f>
        <v/>
      </c>
      <c r="S1804">
        <f>IFERROR(O1804/N1804,0)</f>
        <v/>
      </c>
      <c r="T1804">
        <f>IF(C1804,(H1804*N1804*IF(AND(Inputs!$B$38&lt;&gt;"pvp",Inputs!$B$43&gt;0),((Skills!G11*((R1804-1)*IF(Skills!H11&gt;0,INT(Skills!I11/Skills!H11+0.000000001),1)+IF(Skills!H11&gt;0,INT(MIN(Skills!I11,MAX(0,MAX(0,Inputs!$B$43-B1829)-((R1804-1)*(IF(Inputs!$B$38="pvp",15,MAX(0.1,Skills!D11-IF(TRUE=TRUE,Inputs!$B$32,0)))*(1-IF(AND(ArtifactsInput!$M$27,Inputs!$B$4="Chapter Hunt"),CHOOSE(ArtifactsInput!$N$27+1,20,24,28,32,36,40),0)/100)))))/Skills!H11+0.000000001),1)))/Inputs!$B$43),G1804*Q1804))*IF(Inputs!$B$38="pvp",1,1+(Inputs!$B$20+0+Skills!P11+(((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INT(Skills!I11/Skills!H11+0.000000001),1)+IF(Skills!H11&gt;0,INT(MIN(Skills!I11,MAX(0,MAX(0,Inputs!$B$43-B1829)-((R1804-1)*(IF(Inputs!$B$38="pvp",15,MAX(0.1,Skills!D11-IF(TRUE=TRUE,Inputs!$B$32,0)))*(1-IF(AND(ArtifactsInput!$M$27,Inputs!$B$4="Chapter Hunt"),CHOOSE(ArtifactsInput!$N$27+1,20,24,28,32,36,40),0)/100)))))/Skills!H11+0.000000001),1)))/Inputs!$B$43),G1804*Q1804))*IF(Inputs!$B$38="pvp",1,(1+(Inputs!$B$21+Skills!Q11+(((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Skills!G13*IF(Skills!H13&gt;0,INT(IF(Inputs!$B$38="pvp",MIN(Skills!I13,15),Skills!I13)/Skills!H13+0.000000001),1)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Skills!G14*IF(Skills!H14&gt;0,INT(IF(Inputs!$B$38="pvp",MIN(Skills!I14,15),Skills!I14)/Skills!H14+0.000000001),1)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Skills!G15*IF(Skills!H15&gt;0,INT(IF(Inputs!$B$38="pvp",MIN(Skills!I15,15),Skills!I15)/Skills!H15+0.000000001),1)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IFERROR(1/(IF(Inputs!$B$38="pvp",15,MAX(0.1,Skills!D15-IF(TRUE=TRUE,Inputs!$B$32,0)))*(1-IF(AND(ArtifactsInput!$M$27,Inputs!$B$4="Chapter Hunt"),CHOOSE(ArtifactsInput!$N$27+1,20,24,28,32,36,40),0)/100)),0)</f>
        <v/>
      </c>
      <c r="R1808">
        <f>IF(AND(Inputs!$B$38&lt;&gt;"pvp",Inputs!$B$43&gt;0),IF(Inputs!$B$43&lt;=0,0,(INT(Inputs!$B$43/(IF(Inputs!$B$38="pvp",15,MAX(0.1,Skills!D15-IF(TRUE=TRUE,Inputs!$B$32,0)))*(1-IF(AND(ArtifactsInput!$M$27,Inputs!$B$4="Chapter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Skills!G16*IF(Skills!H16&gt;0,INT(IF(Inputs!$B$38="pvp",MIN(Skills!I16,15),Skills!I16)/Skills!H16+0.000000001),1)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IFERROR(1/(IF(Inputs!$B$38="pvp",15,MAX(0.1,Skills!D16-IF(TRUE=TRUE,Inputs!$B$32,0)))*(1-IF(AND(ArtifactsInput!$M$27,Inputs!$B$4="Chapter Hunt"),CHOOSE(ArtifactsInput!$N$27+1,20,24,28,32,36,40),0)/100)),0)</f>
        <v/>
      </c>
      <c r="R1809">
        <f>IF(AND(Inputs!$B$38&lt;&gt;"pvp",Inputs!$B$43&gt;0),IF(Inputs!$B$43&lt;=0,0,(INT(Inputs!$B$43/(IF(Inputs!$B$38="pvp",15,MAX(0.1,Skills!D16-IF(TRUE=TRUE,Inputs!$B$32,0)))*(1-IF(AND(ArtifactsInput!$M$27,Inputs!$B$4="Chapter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Skills!G17*IF(Skills!H17&gt;0,INT(IF(Inputs!$B$38="pvp",MIN(Skills!I17,15),Skills!I17)/Skills!H17+0.000000001),1)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IFERROR(1/(IF(Inputs!$B$38="pvp",15,MAX(0.1,Skills!D17-IF(TRUE=TRUE,Inputs!$B$32,0)))*(1-IF(AND(ArtifactsInput!$M$27,Inputs!$B$4="Chapter Hunt"),CHOOSE(ArtifactsInput!$N$27+1,20,24,28,32,36,40),0)/100)),0)</f>
        <v/>
      </c>
      <c r="R1810">
        <f>IF(AND(Inputs!$B$38&lt;&gt;"pvp",Inputs!$B$43&gt;0),IF(Inputs!$B$43&lt;=0,0,(INT(Inputs!$B$43/(IF(Inputs!$B$38="pvp",15,MAX(0.1,Skills!D17-IF(TRUE=TRUE,Inputs!$B$32,0)))*(1-IF(AND(ArtifactsInput!$M$27,Inputs!$B$4="Chapter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Skills!G18*IF(Skills!H18&gt;0,INT(IF(Inputs!$B$38="pvp",MIN(Skills!I18,15),Skills!I18)/Skills!H18+0.000000001),1)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IFERROR(1/(IF(Inputs!$B$38="pvp",15,MAX(0.1,Skills!D18-IF(TRUE=TRUE,Inputs!$B$32,0)))*(1-IF(AND(ArtifactsInput!$M$27,Inputs!$B$4="Chapter Hunt"),CHOOSE(ArtifactsInput!$N$27+1,20,24,28,32,36,40),0)/100)),0)</f>
        <v/>
      </c>
      <c r="R1811">
        <f>IF(AND(Inputs!$B$38&lt;&gt;"pvp",Inputs!$B$43&gt;0),IF(Inputs!$B$43&lt;=0,0,(INT(Inputs!$B$43/(IF(Inputs!$B$38="pvp",15,MAX(0.1,Skills!D18-IF(TRUE=TRUE,Inputs!$B$32,0)))*(1-IF(AND(ArtifactsInput!$M$27,Inputs!$B$4="Chapter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Skills!G19*IF(Skills!H19&gt;0,INT(IF(Inputs!$B$38="pvp",MIN(Skills!I19,15),Skills!I19)/Skills!H19+0.000000001),1)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IFERROR(1/(IF(Inputs!$B$38="pvp",15,MAX(0.1,Skills!D19-IF(TRUE=TRUE,Inputs!$B$32,0)))*(1-IF(AND(ArtifactsInput!$M$27,Inputs!$B$4="Chapter Hunt"),CHOOSE(ArtifactsInput!$N$27+1,20,24,28,32,36,40),0)/100)),0)</f>
        <v/>
      </c>
      <c r="R1812">
        <f>IF(AND(Inputs!$B$38&lt;&gt;"pvp",Inputs!$B$43&gt;0),IF(Inputs!$B$43&lt;=0,0,(INT(Inputs!$B$43/(IF(Inputs!$B$38="pvp",15,MAX(0.1,Skills!D19-IF(TRUE=TRUE,Inputs!$B$32,0)))*(1-IF(AND(ArtifactsInput!$M$27,Inputs!$B$4="Chapter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Skills!G20*IF(Skills!H20&gt;0,INT(IF(Inputs!$B$38="pvp",MIN(Skills!I20,15),Skills!I20)/Skills!H20+0.000000001),1)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Skills!G21*IF(Skills!H21&gt;0,INT(IF(Inputs!$B$38="pvp",MIN(Skills!I21,15),Skills!I21)/Skills!H21+0.000000001),1)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Skills!G22*IF(Skills!H22&gt;0,INT(IF(Inputs!$B$38="pvp",MIN(Skills!I22,15),Skills!I22)/Skills!H22+0.000000001),1)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Skills!G23*IF(Skills!H23&gt;0,INT(IF(Inputs!$B$38="pvp",MIN(Skills!I23,15),Skills!I23)/Skills!H23+0.000000001),1)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Skills!G24*IF(Skills!H24&gt;0,INT(IF(Inputs!$B$38="pvp",MIN(Skills!I24,15),Skills!I24)/Skills!H24+0.000000001),1)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Skills!G25*IF(Skills!H25&gt;0,INT(IF(Inputs!$B$38="pvp",MIN(Skills!I25,15),Skills!I25)/Skills!H25+0.000000001),1)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Skills!G26*IF(Skills!H26&gt;0,INT(IF(Inputs!$B$38="pvp",MIN(Skills!I26,15),Skills!I26)/Skills!H26+0.000000001),1)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MIN((Skills!T19*(1+(Inputs!$B$34+(ArtifactsInput!$M$7-ArtifactsInput!$M$7)*CHOOSE(ArtifactsInput!$N$7+1,6,7.2,8.4,9.6,10.8,12))/100)),(1/Q1812))+MIN((Skills!T19*(1+(Inputs!$B$34+(ArtifactsInput!$M$7-ArtifactsInput!$M$7)*CHOOSE(ArtifactsInput!$N$7+1,6,7.2,8.4,9.6,10.8,12))/100)),MAX(0,Inputs!$B$43-((R1812-1)*(1/Q1812)))))/Inputs!$B$43),IF(Inputs!$B$38="pvp",MIN((Skills!T19*(1+(Inputs!$B$34+(ArtifactsInput!$M$7-ArtifactsInput!$M$7)*CHOOSE(ArtifactsInput!$N$7+1,6,7.2,8.4,9.6,10.8,12))/100)),15)/15,MIN(1,(Skills!T19*(1+(Inputs!$B$34+(ArtifactsInput!$M$7-ArtifactsInput!$M$7)*CHOOSE(ArtifactsInput!$N$7+1,6,7.2,8.4,9.6,10.8,12))/100))/(1/Q1812)))))</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MIN((Skills!T18*(1+(Inputs!$B$34+(ArtifactsInput!$M$7-ArtifactsInput!$M$7)*CHOOSE(ArtifactsInput!$N$7+1,6,7.2,8.4,9.6,10.8,12))/100)),(1/Q1811))+MIN((Skills!T18*(1+(Inputs!$B$34+(ArtifactsInput!$M$7-ArtifactsInput!$M$7)*CHOOSE(ArtifactsInput!$N$7+1,6,7.2,8.4,9.6,10.8,12))/100)),MAX(0,Inputs!$B$43-((R1811-1)*(1/Q1811)))))/Inputs!$B$43),IF(Inputs!$B$38="pvp",MIN((Skills!T18*(1+(Inputs!$B$34+(ArtifactsInput!$M$7-ArtifactsInput!$M$7)*CHOOSE(ArtifactsInput!$N$7+1,6,7.2,8.4,9.6,10.8,12))/100)),15)/15,MIN(1,(Skills!T18*(1+(Inputs!$B$34+(ArtifactsInput!$M$7-ArtifactsInput!$M$7)*CHOOSE(ArtifactsInput!$N$7+1,6,7.2,8.4,9.6,10.8,12))/100))/(1/Q1811)))))</f>
        <v/>
      </c>
    </row>
    <row r="1828">
      <c r="A1828" t="inlineStr">
        <is>
          <t>Global Final Damage Bonus % (Enrage + Combo Synergy)</t>
        </is>
      </c>
      <c r="B1828">
        <f>((C1810=TRUE)*F1810*IF(AND(Inputs!$B$38&lt;&gt;"pvp",Inputs!$B$43&gt;0),(((R1810-1)*MIN((Skills!T17*(1+(Inputs!$B$34+(ArtifactsInput!$M$7-ArtifactsInput!$M$7)*CHOOSE(ArtifactsInput!$N$7+1,6,7.2,8.4,9.6,10.8,12))/100)),(1/Q1810))+MIN((Skills!T17*(1+(Inputs!$B$34+(ArtifactsInput!$M$7-ArtifactsInput!$M$7)*CHOOSE(ArtifactsInput!$N$7+1,6,7.2,8.4,9.6,10.8,12))/100)),MAX(0,Inputs!$B$43-((R1810-1)*(1/Q1810)))))/Inputs!$B$43),IF(Inputs!$B$38="pvp",MIN((Skills!T17*(1+(Inputs!$B$34+(ArtifactsInput!$M$7-ArtifactsInput!$M$7)*CHOOSE(ArtifactsInput!$N$7+1,6,7.2,8.4,9.6,10.8,12))/100)),15)/15,MIN(1,(Skills!T17*(1+(Inputs!$B$34+(ArtifactsInput!$M$7-ArtifactsInput!$M$7)*CHOOSE(ArtifactsInput!$N$7+1,6,7.2,8.4,9.6,10.8,12))/100))/(1/Q1810)))))+((C1807=TRUE)*F1807*IF(Inputs!$B$3&gt;=118,8,IF(Inputs!$B$3&gt;=110,7,5)))+IF(Inputs!$B$3&gt;=98,5,0)</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Skills!G2*IF(Skills!H2&gt;0,INT(IF(Inputs!$B$38="pvp",MIN(Skills!I2,15),Skills!I2)/Skills!H2+0.000000001),1)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Skills!G5*IF(Skills!H5&gt;0,INT(IF(Inputs!$B$38="pvp",MIN(Skills!I5,15),Skills!I5)/Skills!H5+0.000000001),1)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IFERROR(1/(IF(Inputs!$B$38="pvp",15,MAX(0.1,Skills!D5-IF(TRUE=TRUE,Inputs!$B$32,0)))*(1-IF(AND(ArtifactsInput!$M$27,Inputs!$B$4="Chapter Hunt"),CHOOSE(ArtifactsInput!$N$27+1,20,24,28,32,36,40),0)/100)),0)</f>
        <v/>
      </c>
      <c r="R1840">
        <f>IF(AND(Inputs!$B$38&lt;&gt;"pvp",Inputs!$B$43&gt;0),IF(MAX(0,Inputs!$B$43-B1871)&lt;=0,0,(INT(MAX(0,Inputs!$B$43-B1871)/(IF(Inputs!$B$38="pvp",15,MAX(0.1,Skills!D5-IF(TRUE=TRUE,Inputs!$B$32,0)))*(1-IF(AND(ArtifactsInput!$M$27,Inputs!$B$4="Chapter Hunt"),CHOOSE(ArtifactsInput!$N$27+1,20,24,28,32,36,40),0)/100)))+1)),0)</f>
        <v/>
      </c>
      <c r="S1840">
        <f>IFERROR(O1840/N1840,0)</f>
        <v/>
      </c>
      <c r="T1840">
        <f>IF(C1840,(H1840*N1840*IF(AND(Inputs!$B$38&lt;&gt;"pvp",Inputs!$B$43&gt;0),((Skills!G5*((R1840-1)*IF(Skills!H5&gt;0,INT(Skills!I5/Skills!H5+0.000000001),1)+IF(Skills!H5&gt;0,INT(MIN(Skills!I5,MAX(0,MAX(0,Inputs!$B$43-B1871)-((R1840-1)*(IF(Inputs!$B$38="pvp",15,MAX(0.1,Skills!D5-IF(TRUE=TRUE,Inputs!$B$32,0)))*(1-IF(AND(ArtifactsInput!$M$27,Inputs!$B$4="Chapter Hunt"),CHOOSE(ArtifactsInput!$N$27+1,20,24,28,32,36,40),0)/100)))))/Skills!H5+0.000000001),1)))/Inputs!$B$43),G1840*Q1840))*IF(Inputs!$B$38="pvp",1,1+(Inputs!$B$20+0+Skills!P5+(((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INT(Skills!I5/Skills!H5+0.000000001),1)+IF(Skills!H5&gt;0,INT(MIN(Skills!I5,MAX(0,MAX(0,Inputs!$B$43-B1871)-((R1840-1)*(IF(Inputs!$B$38="pvp",15,MAX(0.1,Skills!D5-IF(TRUE=TRUE,Inputs!$B$32,0)))*(1-IF(AND(ArtifactsInput!$M$27,Inputs!$B$4="Chapter Hunt"),CHOOSE(ArtifactsInput!$N$27+1,20,24,28,32,36,40),0)/100)))))/Skills!H5+0.000000001),1)))/Inputs!$B$43),G1840*Q1840))*IF(Inputs!$B$38="pvp",1,(1+(Inputs!$B$21+Skills!Q5+(((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Skills!G6*IF(Skills!H6&gt;0,INT(IF(Inputs!$B$38="pvp",MIN(Skills!I6,15),Skills!I6)/Skills!H6+0.000000001),1)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IFERROR(1/(IF(Inputs!$B$38="pvp",15,MAX(0.1,Skills!D6-IF(TRUE=TRUE,Inputs!$B$32,0)))*(1-IF(AND(ArtifactsInput!$M$27,Inputs!$B$4="Chapter Hunt"),CHOOSE(ArtifactsInput!$N$27+1,20,24,28,32,36,40),0)/100)),0)</f>
        <v/>
      </c>
      <c r="R1841">
        <f>IF(AND(Inputs!$B$38&lt;&gt;"pvp",Inputs!$B$43&gt;0),IF(MAX(0,Inputs!$B$43-B1871)&lt;=0,0,(INT(MAX(0,Inputs!$B$43-B1871)/(IF(Inputs!$B$38="pvp",15,MAX(0.1,Skills!D6-IF(TRUE=TRUE,Inputs!$B$32,0)))*(1-IF(AND(ArtifactsInput!$M$27,Inputs!$B$4="Chapter Hunt"),CHOOSE(ArtifactsInput!$N$27+1,20,24,28,32,36,40),0)/100)))+1)),0)</f>
        <v/>
      </c>
      <c r="S1841">
        <f>IFERROR(O1841/N1841,0)</f>
        <v/>
      </c>
      <c r="T1841">
        <f>IF(C1841,(H1841*N1841*IF(AND(Inputs!$B$38&lt;&gt;"pvp",Inputs!$B$43&gt;0),((Skills!G6*((R1841-1)*IF(Skills!H6&gt;0,INT(Skills!I6/Skills!H6+0.000000001),1)+IF(Skills!H6&gt;0,INT(MIN(Skills!I6,MAX(0,MAX(0,Inputs!$B$43-B1871)-((R1841-1)*(IF(Inputs!$B$38="pvp",15,MAX(0.1,Skills!D6-IF(TRUE=TRUE,Inputs!$B$32,0)))*(1-IF(AND(ArtifactsInput!$M$27,Inputs!$B$4="Chapter Hunt"),CHOOSE(ArtifactsInput!$N$27+1,20,24,28,32,36,40),0)/100)))))/Skills!H6+0.000000001),1)))/Inputs!$B$43),G1841*Q1841))*IF(Inputs!$B$38="pvp",1,1+(Inputs!$B$20+0+Skills!P6+(((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INT(Skills!I6/Skills!H6+0.000000001),1)+IF(Skills!H6&gt;0,INT(MIN(Skills!I6,MAX(0,MAX(0,Inputs!$B$43-B1871)-((R1841-1)*(IF(Inputs!$B$38="pvp",15,MAX(0.1,Skills!D6-IF(TRUE=TRUE,Inputs!$B$32,0)))*(1-IF(AND(ArtifactsInput!$M$27,Inputs!$B$4="Chapter Hunt"),CHOOSE(ArtifactsInput!$N$27+1,20,24,28,32,36,40),0)/100)))))/Skills!H6+0.000000001),1)))/Inputs!$B$43),G1841*Q1841))*IF(Inputs!$B$38="pvp",1,(1+(Inputs!$B$21+Skills!Q6+(((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Skills!G7*IF(Skills!H7&gt;0,INT(IF(Inputs!$B$38="pvp",MIN(Skills!I7,15),Skills!I7)/Skills!H7+0.000000001),1)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IFERROR(1/(IF(Inputs!$B$38="pvp",15,MAX(0.1,Skills!D7-IF(TRUE=TRUE,Inputs!$B$32,0)))*(1-IF(AND(ArtifactsInput!$M$27,Inputs!$B$4="Chapter Hunt"),CHOOSE(ArtifactsInput!$N$27+1,20,24,28,32,36,40),0)/100)),0)</f>
        <v/>
      </c>
      <c r="R1842">
        <f>IF(AND(Inputs!$B$38&lt;&gt;"pvp",Inputs!$B$43&gt;0),IF(MAX(0,Inputs!$B$43-B1871)&lt;=0,0,(INT(MAX(0,Inputs!$B$43-B1871)/(IF(Inputs!$B$38="pvp",15,MAX(0.1,Skills!D7-IF(TRUE=TRUE,Inputs!$B$32,0)))*(1-IF(AND(ArtifactsInput!$M$27,Inputs!$B$4="Chapter Hunt"),CHOOSE(ArtifactsInput!$N$27+1,20,24,28,32,36,40),0)/100)))+1)),0)</f>
        <v/>
      </c>
      <c r="S1842">
        <f>IFERROR(O1842/N1842,0)</f>
        <v/>
      </c>
      <c r="T1842">
        <f>IF(C1842,(H1842*N1842*IF(AND(Inputs!$B$38&lt;&gt;"pvp",Inputs!$B$43&gt;0),((Skills!G7*((R1842-1)*IF(Skills!H7&gt;0,INT(Skills!I7/Skills!H7+0.000000001),1)+IF(Skills!H7&gt;0,INT(MIN(Skills!I7,MAX(0,MAX(0,Inputs!$B$43-B1871)-((R1842-1)*(IF(Inputs!$B$38="pvp",15,MAX(0.1,Skills!D7-IF(TRUE=TRUE,Inputs!$B$32,0)))*(1-IF(AND(ArtifactsInput!$M$27,Inputs!$B$4="Chapter Hunt"),CHOOSE(ArtifactsInput!$N$27+1,20,24,28,32,36,40),0)/100)))))/Skills!H7+0.000000001),1)))/Inputs!$B$43),G1842*Q1842))*IF(Inputs!$B$38="pvp",1,1+(Inputs!$B$20+0+Skills!P7+(((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INT(Skills!I7/Skills!H7+0.000000001),1)+IF(Skills!H7&gt;0,INT(MIN(Skills!I7,MAX(0,MAX(0,Inputs!$B$43-B1871)-((R1842-1)*(IF(Inputs!$B$38="pvp",15,MAX(0.1,Skills!D7-IF(TRUE=TRUE,Inputs!$B$32,0)))*(1-IF(AND(ArtifactsInput!$M$27,Inputs!$B$4="Chapter Hunt"),CHOOSE(ArtifactsInput!$N$27+1,20,24,28,32,36,40),0)/100)))))/Skills!H7+0.000000001),1)))/Inputs!$B$43),G1842*Q1842))*IF(Inputs!$B$38="pvp",1,(1+(Inputs!$B$21+Skills!Q7+(((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Skills!G8*IF(Skills!H8&gt;0,INT(IF(Inputs!$B$38="pvp",MIN(Skills!I8,15),Skills!I8)/Skills!H8+0.000000001),1)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IFERROR(1/(IF(Inputs!$B$38="pvp",15,MAX(0.1,Skills!D8-IF(TRUE=TRUE,Inputs!$B$32,0)))*(1-IF(AND(ArtifactsInput!$M$27,Inputs!$B$4="Chapter Hunt"),CHOOSE(ArtifactsInput!$N$27+1,20,24,28,32,36,40),0)/100)),0)</f>
        <v/>
      </c>
      <c r="R1843">
        <f>IF(AND(Inputs!$B$38&lt;&gt;"pvp",Inputs!$B$43&gt;0),IF(MAX(0,Inputs!$B$43-B1871)&lt;=0,0,(INT(MAX(0,Inputs!$B$43-B1871)/(IF(Inputs!$B$38="pvp",15,MAX(0.1,Skills!D8-IF(TRUE=TRUE,Inputs!$B$32,0)))*(1-IF(AND(ArtifactsInput!$M$27,Inputs!$B$4="Chapter Hunt"),CHOOSE(ArtifactsInput!$N$27+1,20,24,28,32,36,40),0)/100)))+1)),0)</f>
        <v/>
      </c>
      <c r="S1843">
        <f>IFERROR(O1843/N1843,0)</f>
        <v/>
      </c>
      <c r="T1843">
        <f>IF(C1843,(H1843*N1843*IF(AND(Inputs!$B$38&lt;&gt;"pvp",Inputs!$B$43&gt;0),((Skills!G8*((R1843-1)*IF(Skills!H8&gt;0,INT(Skills!I8/Skills!H8+0.000000001),1)+IF(Skills!H8&gt;0,INT(MIN(Skills!I8,MAX(0,MAX(0,Inputs!$B$43-B1871)-((R1843-1)*(IF(Inputs!$B$38="pvp",15,MAX(0.1,Skills!D8-IF(TRUE=TRUE,Inputs!$B$32,0)))*(1-IF(AND(ArtifactsInput!$M$27,Inputs!$B$4="Chapter Hunt"),CHOOSE(ArtifactsInput!$N$27+1,20,24,28,32,36,40),0)/100)))))/Skills!H8+0.000000001),1)))/Inputs!$B$43),G1843*Q1843))*IF(Inputs!$B$38="pvp",1,1+(Inputs!$B$20+0+Skills!P8+(((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INT(Skills!I8/Skills!H8+0.000000001),1)+IF(Skills!H8&gt;0,INT(MIN(Skills!I8,MAX(0,MAX(0,Inputs!$B$43-B1871)-((R1843-1)*(IF(Inputs!$B$38="pvp",15,MAX(0.1,Skills!D8-IF(TRUE=TRUE,Inputs!$B$32,0)))*(1-IF(AND(ArtifactsInput!$M$27,Inputs!$B$4="Chapter Hunt"),CHOOSE(ArtifactsInput!$N$27+1,20,24,28,32,36,40),0)/100)))))/Skills!H8+0.000000001),1)))/Inputs!$B$43),G1843*Q1843))*IF(Inputs!$B$38="pvp",1,(1+(Inputs!$B$21+Skills!Q8+(((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Skills!G9*IF(Skills!H9&gt;0,INT(IF(Inputs!$B$38="pvp",MIN(Skills!I9,15),Skills!I9)/Skills!H9+0.000000001),1)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138,MAX(0,IF(Inputs!$B$3&gt;=118,8,IF(Inputs!$B$3&gt;=110,7,5))-5)*50,0),0)/100)*(1+(IF(Skills!A9="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IFERROR(1/(IF(Inputs!$B$38="pvp",15,MAX(0.1,Skills!D9-IF(TRUE=TRUE,Inputs!$B$32,0)))*(1-IF(AND(ArtifactsInput!$M$27,Inputs!$B$4="Chapter Hunt"),CHOOSE(ArtifactsInput!$N$27+1,20,24,28,32,36,40),0)/100)),0)</f>
        <v/>
      </c>
      <c r="R1844">
        <f>IF(AND(Inputs!$B$38&lt;&gt;"pvp",Inputs!$B$43&gt;0),IF(MAX(0,Inputs!$B$43-B1871)&lt;=0,0,(INT(MAX(0,Inputs!$B$43-B1871)/(IF(Inputs!$B$38="pvp",15,MAX(0.1,Skills!D9-IF(TRUE=TRUE,Inputs!$B$32,0)))*(1-IF(AND(ArtifactsInput!$M$27,Inputs!$B$4="Chapter Hunt"),CHOOSE(ArtifactsInput!$N$27+1,20,24,28,32,36,40),0)/100)))+1)),0)</f>
        <v/>
      </c>
      <c r="S1844">
        <f>IFERROR(O1844/N1844,0)</f>
        <v/>
      </c>
      <c r="T1844">
        <f>IF(C1844,(H1844*N1844*IF(AND(Inputs!$B$38&lt;&gt;"pvp",Inputs!$B$43&gt;0),((Skills!G9*((R1844-1)*IF(Skills!H9&gt;0,INT(Skills!I9/Skills!H9+0.000000001),1)+IF(Skills!H9&gt;0,INT(MIN(Skills!I9,MAX(0,MAX(0,Inputs!$B$43-B1871)-((R1844-1)*(IF(Inputs!$B$38="pvp",15,MAX(0.1,Skills!D9-IF(TRUE=TRUE,Inputs!$B$32,0)))*(1-IF(AND(ArtifactsInput!$M$27,Inputs!$B$4="Chapter Hunt"),CHOOSE(ArtifactsInput!$N$27+1,20,24,28,32,36,40),0)/100)))))/Skills!H9+0.000000001),1)))/Inputs!$B$43),G1844*Q1844))*IF(Inputs!$B$38="pvp",1,1+(Inputs!$B$20+0+Skills!P9+(((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INT(Skills!I9/Skills!H9+0.000000001),1)+IF(Skills!H9&gt;0,INT(MIN(Skills!I9,MAX(0,MAX(0,Inputs!$B$43-B1871)-((R1844-1)*(IF(Inputs!$B$38="pvp",15,MAX(0.1,Skills!D9-IF(TRUE=TRUE,Inputs!$B$32,0)))*(1-IF(AND(ArtifactsInput!$M$27,Inputs!$B$4="Chapter Hunt"),CHOOSE(ArtifactsInput!$N$27+1,20,24,28,32,36,40),0)/100)))))/Skills!H9+0.000000001),1)))/Inputs!$B$43),G1844*Q1844))*IF(Inputs!$B$38="pvp",1,(1+(Inputs!$B$21+Skills!Q9+(((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Skills!G10*IF(Skills!H10&gt;0,INT(IF(Inputs!$B$38="pvp",MIN(Skills!I10,15),Skills!I10)/Skills!H10+0.000000001),1)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138,MAX(0,IF(Inputs!$B$3&gt;=118,8,IF(Inputs!$B$3&gt;=110,7,5))-5)*50,0),0)/100)*(1+(IF(Skills!A10="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IFERROR(1/(IF(Inputs!$B$38="pvp",15,MAX(0.1,Skills!D10-IF(TRUE=TRUE,Inputs!$B$32,0)))*(1-IF(AND(ArtifactsInput!$M$27,Inputs!$B$4="Chapter Hunt"),CHOOSE(ArtifactsInput!$N$27+1,20,24,28,32,36,40),0)/100)),0)</f>
        <v/>
      </c>
      <c r="R1845">
        <f>IF(AND(Inputs!$B$38&lt;&gt;"pvp",Inputs!$B$43&gt;0),IF(MAX(0,Inputs!$B$43-B1871)&lt;=0,0,(INT(MAX(0,Inputs!$B$43-B1871)/(IF(Inputs!$B$38="pvp",15,MAX(0.1,Skills!D10-IF(TRUE=TRUE,Inputs!$B$32,0)))*(1-IF(AND(ArtifactsInput!$M$27,Inputs!$B$4="Chapter Hunt"),CHOOSE(ArtifactsInput!$N$27+1,20,24,28,32,36,40),0)/100)))+1)),0)</f>
        <v/>
      </c>
      <c r="S1845">
        <f>IFERROR(O1845/N1845,0)</f>
        <v/>
      </c>
      <c r="T1845">
        <f>IF(C1845,(H1845*N1845*IF(AND(Inputs!$B$38&lt;&gt;"pvp",Inputs!$B$43&gt;0),((Skills!G10*((R1845-1)*IF(Skills!H10&gt;0,INT(Skills!I10/Skills!H10+0.000000001),1)+IF(Skills!H10&gt;0,INT(MIN(Skills!I10,MAX(0,MAX(0,Inputs!$B$43-B1871)-((R1845-1)*(IF(Inputs!$B$38="pvp",15,MAX(0.1,Skills!D10-IF(TRUE=TRUE,Inputs!$B$32,0)))*(1-IF(AND(ArtifactsInput!$M$27,Inputs!$B$4="Chapter Hunt"),CHOOSE(ArtifactsInput!$N$27+1,20,24,28,32,36,40),0)/100)))))/Skills!H10+0.000000001),1)))/Inputs!$B$43),G1845*Q1845))*IF(Inputs!$B$38="pvp",1,1+(Inputs!$B$20+0+Skills!P10+(((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INT(Skills!I10/Skills!H10+0.000000001),1)+IF(Skills!H10&gt;0,INT(MIN(Skills!I10,MAX(0,MAX(0,Inputs!$B$43-B1871)-((R1845-1)*(IF(Inputs!$B$38="pvp",15,MAX(0.1,Skills!D10-IF(TRUE=TRUE,Inputs!$B$32,0)))*(1-IF(AND(ArtifactsInput!$M$27,Inputs!$B$4="Chapter Hunt"),CHOOSE(ArtifactsInput!$N$27+1,20,24,28,32,36,40),0)/100)))))/Skills!H10+0.000000001),1)))/Inputs!$B$43),G1845*Q1845))*IF(Inputs!$B$38="pvp",1,(1+(Inputs!$B$21+Skills!Q10+(((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Skills!G11*IF(Skills!H11&gt;0,INT(IF(Inputs!$B$38="pvp",MIN(Skills!I11,15),Skills!I11)/Skills!H11+0.000000001),1)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138,MAX(0,IF(Inputs!$B$3&gt;=118,8,IF(Inputs!$B$3&gt;=110,7,5))-5)*50,0),0)/100)*(1+(IF(Skills!A11="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IFERROR(1/(IF(Inputs!$B$38="pvp",15,MAX(0.1,Skills!D11-IF(TRUE=TRUE,Inputs!$B$32,0)))*(1-IF(AND(ArtifactsInput!$M$27,Inputs!$B$4="Chapter Hunt"),CHOOSE(ArtifactsInput!$N$27+1,20,24,28,32,36,40),0)/100)),0)</f>
        <v/>
      </c>
      <c r="R1846">
        <f>IF(AND(Inputs!$B$38&lt;&gt;"pvp",Inputs!$B$43&gt;0),IF(MAX(0,Inputs!$B$43-B1871)&lt;=0,0,(INT(MAX(0,Inputs!$B$43-B1871)/(IF(Inputs!$B$38="pvp",15,MAX(0.1,Skills!D11-IF(TRUE=TRUE,Inputs!$B$32,0)))*(1-IF(AND(ArtifactsInput!$M$27,Inputs!$B$4="Chapter Hunt"),CHOOSE(ArtifactsInput!$N$27+1,20,24,28,32,36,40),0)/100)))+1)),0)</f>
        <v/>
      </c>
      <c r="S1846">
        <f>IFERROR(O1846/N1846,0)</f>
        <v/>
      </c>
      <c r="T1846">
        <f>IF(C1846,(H1846*N1846*IF(AND(Inputs!$B$38&lt;&gt;"pvp",Inputs!$B$43&gt;0),((Skills!G11*((R1846-1)*IF(Skills!H11&gt;0,INT(Skills!I11/Skills!H11+0.000000001),1)+IF(Skills!H11&gt;0,INT(MIN(Skills!I11,MAX(0,MAX(0,Inputs!$B$43-B1871)-((R1846-1)*(IF(Inputs!$B$38="pvp",15,MAX(0.1,Skills!D11-IF(TRUE=TRUE,Inputs!$B$32,0)))*(1-IF(AND(ArtifactsInput!$M$27,Inputs!$B$4="Chapter Hunt"),CHOOSE(ArtifactsInput!$N$27+1,20,24,28,32,36,40),0)/100)))))/Skills!H11+0.000000001),1)))/Inputs!$B$43),G1846*Q1846))*IF(Inputs!$B$38="pvp",1,1+(Inputs!$B$20+0+Skills!P11+(((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INT(Skills!I11/Skills!H11+0.000000001),1)+IF(Skills!H11&gt;0,INT(MIN(Skills!I11,MAX(0,MAX(0,Inputs!$B$43-B1871)-((R1846-1)*(IF(Inputs!$B$38="pvp",15,MAX(0.1,Skills!D11-IF(TRUE=TRUE,Inputs!$B$32,0)))*(1-IF(AND(ArtifactsInput!$M$27,Inputs!$B$4="Chapter Hunt"),CHOOSE(ArtifactsInput!$N$27+1,20,24,28,32,36,40),0)/100)))))/Skills!H11+0.000000001),1)))/Inputs!$B$43),G1846*Q1846))*IF(Inputs!$B$38="pvp",1,(1+(Inputs!$B$21+Skills!Q11+(((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Skills!G13*IF(Skills!H13&gt;0,INT(IF(Inputs!$B$38="pvp",MIN(Skills!I13,15),Skills!I13)/Skills!H13+0.000000001),1)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Skills!G14*IF(Skills!H14&gt;0,INT(IF(Inputs!$B$38="pvp",MIN(Skills!I14,15),Skills!I14)/Skills!H14+0.000000001),1)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Skills!G15*IF(Skills!H15&gt;0,INT(IF(Inputs!$B$38="pvp",MIN(Skills!I15,15),Skills!I15)/Skills!H15+0.000000001),1)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IFERROR(1/(IF(Inputs!$B$38="pvp",15,MAX(0.1,Skills!D15-IF(TRUE=TRUE,Inputs!$B$32,0)))*(1-IF(AND(ArtifactsInput!$M$27,Inputs!$B$4="Chapter Hunt"),CHOOSE(ArtifactsInput!$N$27+1,20,24,28,32,36,40),0)/100)),0)</f>
        <v/>
      </c>
      <c r="R1850">
        <f>IF(AND(Inputs!$B$38&lt;&gt;"pvp",Inputs!$B$43&gt;0),IF(Inputs!$B$43&lt;=0,0,(INT(Inputs!$B$43/(IF(Inputs!$B$38="pvp",15,MAX(0.1,Skills!D15-IF(TRUE=TRUE,Inputs!$B$32,0)))*(1-IF(AND(ArtifactsInput!$M$27,Inputs!$B$4="Chapter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Skills!G16*IF(Skills!H16&gt;0,INT(IF(Inputs!$B$38="pvp",MIN(Skills!I16,15),Skills!I16)/Skills!H16+0.000000001),1)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IFERROR(1/(IF(Inputs!$B$38="pvp",15,MAX(0.1,Skills!D16-IF(TRUE=TRUE,Inputs!$B$32,0)))*(1-IF(AND(ArtifactsInput!$M$27,Inputs!$B$4="Chapter Hunt"),CHOOSE(ArtifactsInput!$N$27+1,20,24,28,32,36,40),0)/100)),0)</f>
        <v/>
      </c>
      <c r="R1851">
        <f>IF(AND(Inputs!$B$38&lt;&gt;"pvp",Inputs!$B$43&gt;0),IF(Inputs!$B$43&lt;=0,0,(INT(Inputs!$B$43/(IF(Inputs!$B$38="pvp",15,MAX(0.1,Skills!D16-IF(TRUE=TRUE,Inputs!$B$32,0)))*(1-IF(AND(ArtifactsInput!$M$27,Inputs!$B$4="Chapter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Skills!G17*IF(Skills!H17&gt;0,INT(IF(Inputs!$B$38="pvp",MIN(Skills!I17,15),Skills!I17)/Skills!H17+0.000000001),1)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IFERROR(1/(IF(Inputs!$B$38="pvp",15,MAX(0.1,Skills!D17-IF(TRUE=TRUE,Inputs!$B$32,0)))*(1-IF(AND(ArtifactsInput!$M$27,Inputs!$B$4="Chapter Hunt"),CHOOSE(ArtifactsInput!$N$27+1,20,24,28,32,36,40),0)/100)),0)</f>
        <v/>
      </c>
      <c r="R1852">
        <f>IF(AND(Inputs!$B$38&lt;&gt;"pvp",Inputs!$B$43&gt;0),IF(Inputs!$B$43&lt;=0,0,(INT(Inputs!$B$43/(IF(Inputs!$B$38="pvp",15,MAX(0.1,Skills!D17-IF(TRUE=TRUE,Inputs!$B$32,0)))*(1-IF(AND(ArtifactsInput!$M$27,Inputs!$B$4="Chapter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Skills!G18*IF(Skills!H18&gt;0,INT(IF(Inputs!$B$38="pvp",MIN(Skills!I18,15),Skills!I18)/Skills!H18+0.000000001),1)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IFERROR(1/(IF(Inputs!$B$38="pvp",15,MAX(0.1,Skills!D18-IF(TRUE=TRUE,Inputs!$B$32,0)))*(1-IF(AND(ArtifactsInput!$M$27,Inputs!$B$4="Chapter Hunt"),CHOOSE(ArtifactsInput!$N$27+1,20,24,28,32,36,40),0)/100)),0)</f>
        <v/>
      </c>
      <c r="R1853">
        <f>IF(AND(Inputs!$B$38&lt;&gt;"pvp",Inputs!$B$43&gt;0),IF(Inputs!$B$43&lt;=0,0,(INT(Inputs!$B$43/(IF(Inputs!$B$38="pvp",15,MAX(0.1,Skills!D18-IF(TRUE=TRUE,Inputs!$B$32,0)))*(1-IF(AND(ArtifactsInput!$M$27,Inputs!$B$4="Chapter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Skills!G19*IF(Skills!H19&gt;0,INT(IF(Inputs!$B$38="pvp",MIN(Skills!I19,15),Skills!I19)/Skills!H19+0.000000001),1)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IFERROR(1/(IF(Inputs!$B$38="pvp",15,MAX(0.1,Skills!D19-IF(TRUE=TRUE,Inputs!$B$32,0)))*(1-IF(AND(ArtifactsInput!$M$27,Inputs!$B$4="Chapter Hunt"),CHOOSE(ArtifactsInput!$N$27+1,20,24,28,32,36,40),0)/100)),0)</f>
        <v/>
      </c>
      <c r="R1854">
        <f>IF(AND(Inputs!$B$38&lt;&gt;"pvp",Inputs!$B$43&gt;0),IF(Inputs!$B$43&lt;=0,0,(INT(Inputs!$B$43/(IF(Inputs!$B$38="pvp",15,MAX(0.1,Skills!D19-IF(TRUE=TRUE,Inputs!$B$32,0)))*(1-IF(AND(ArtifactsInput!$M$27,Inputs!$B$4="Chapter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Skills!G20*IF(Skills!H20&gt;0,INT(IF(Inputs!$B$38="pvp",MIN(Skills!I20,15),Skills!I20)/Skills!H20+0.000000001),1)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Skills!G21*IF(Skills!H21&gt;0,INT(IF(Inputs!$B$38="pvp",MIN(Skills!I21,15),Skills!I21)/Skills!H21+0.000000001),1)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Skills!G22*IF(Skills!H22&gt;0,INT(IF(Inputs!$B$38="pvp",MIN(Skills!I22,15),Skills!I22)/Skills!H22+0.000000001),1)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Skills!G23*IF(Skills!H23&gt;0,INT(IF(Inputs!$B$38="pvp",MIN(Skills!I23,15),Skills!I23)/Skills!H23+0.000000001),1)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Skills!G24*IF(Skills!H24&gt;0,INT(IF(Inputs!$B$38="pvp",MIN(Skills!I24,15),Skills!I24)/Skills!H24+0.000000001),1)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Skills!G25*IF(Skills!H25&gt;0,INT(IF(Inputs!$B$38="pvp",MIN(Skills!I25,15),Skills!I25)/Skills!H25+0.000000001),1)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Skills!G26*IF(Skills!H26&gt;0,INT(IF(Inputs!$B$38="pvp",MIN(Skills!I26,15),Skills!I26)/Skills!H26+0.000000001),1)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MIN((Skills!T19*(1+(Inputs!$B$34+(ArtifactsInput!$M$7-ArtifactsInput!$M$7)*CHOOSE(ArtifactsInput!$N$7+1,6,7.2,8.4,9.6,10.8,12))/100)),(1/Q1854))+MIN((Skills!T19*(1+(Inputs!$B$34+(ArtifactsInput!$M$7-ArtifactsInput!$M$7)*CHOOSE(ArtifactsInput!$N$7+1,6,7.2,8.4,9.6,10.8,12))/100)),MAX(0,Inputs!$B$43-((R1854-1)*(1/Q1854)))))/Inputs!$B$43),IF(Inputs!$B$38="pvp",MIN((Skills!T19*(1+(Inputs!$B$34+(ArtifactsInput!$M$7-ArtifactsInput!$M$7)*CHOOSE(ArtifactsInput!$N$7+1,6,7.2,8.4,9.6,10.8,12))/100)),15)/15,MIN(1,(Skills!T19*(1+(Inputs!$B$34+(ArtifactsInput!$M$7-ArtifactsInput!$M$7)*CHOOSE(ArtifactsInput!$N$7+1,6,7.2,8.4,9.6,10.8,12))/100))/(1/Q1854)))))</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MIN((Skills!T18*(1+(Inputs!$B$34+(ArtifactsInput!$M$7-ArtifactsInput!$M$7)*CHOOSE(ArtifactsInput!$N$7+1,6,7.2,8.4,9.6,10.8,12))/100)),(1/Q1853))+MIN((Skills!T18*(1+(Inputs!$B$34+(ArtifactsInput!$M$7-ArtifactsInput!$M$7)*CHOOSE(ArtifactsInput!$N$7+1,6,7.2,8.4,9.6,10.8,12))/100)),MAX(0,Inputs!$B$43-((R1853-1)*(1/Q1853)))))/Inputs!$B$43),IF(Inputs!$B$38="pvp",MIN((Skills!T18*(1+(Inputs!$B$34+(ArtifactsInput!$M$7-ArtifactsInput!$M$7)*CHOOSE(ArtifactsInput!$N$7+1,6,7.2,8.4,9.6,10.8,12))/100)),15)/15,MIN(1,(Skills!T18*(1+(Inputs!$B$34+(ArtifactsInput!$M$7-ArtifactsInput!$M$7)*CHOOSE(ArtifactsInput!$N$7+1,6,7.2,8.4,9.6,10.8,12))/100))/(1/Q1853)))))</f>
        <v/>
      </c>
    </row>
    <row r="1870">
      <c r="A1870" t="inlineStr">
        <is>
          <t>Global Final Damage Bonus % (Enrage + Combo Synergy)</t>
        </is>
      </c>
      <c r="B1870">
        <f>((C1852=TRUE)*F1852*IF(AND(Inputs!$B$38&lt;&gt;"pvp",Inputs!$B$43&gt;0),(((R1852-1)*MIN((Skills!T17*(1+(Inputs!$B$34+(ArtifactsInput!$M$7-ArtifactsInput!$M$7)*CHOOSE(ArtifactsInput!$N$7+1,6,7.2,8.4,9.6,10.8,12))/100)),(1/Q1852))+MIN((Skills!T17*(1+(Inputs!$B$34+(ArtifactsInput!$M$7-ArtifactsInput!$M$7)*CHOOSE(ArtifactsInput!$N$7+1,6,7.2,8.4,9.6,10.8,12))/100)),MAX(0,Inputs!$B$43-((R1852-1)*(1/Q1852)))))/Inputs!$B$43),IF(Inputs!$B$38="pvp",MIN((Skills!T17*(1+(Inputs!$B$34+(ArtifactsInput!$M$7-ArtifactsInput!$M$7)*CHOOSE(ArtifactsInput!$N$7+1,6,7.2,8.4,9.6,10.8,12))/100)),15)/15,MIN(1,(Skills!T17*(1+(Inputs!$B$34+(ArtifactsInput!$M$7-ArtifactsInput!$M$7)*CHOOSE(ArtifactsInput!$N$7+1,6,7.2,8.4,9.6,10.8,12))/100))/(1/Q1852)))))+((C1849=TRUE)*F1849*IF(Inputs!$B$3&gt;=118,8,IF(Inputs!$B$3&gt;=110,7,5)))+IF(Inputs!$B$3&gt;=98,5,0)</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Skills!G2*IF(Skills!H2&gt;0,INT(IF(Inputs!$B$38="pvp",MIN(Skills!I2,15),Skills!I2)/Skills!H2+0.000000001),1)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Skills!G5*IF(Skills!H5&gt;0,INT(IF(Inputs!$B$38="pvp",MIN(Skills!I5,15),Skills!I5)/Skills!H5+0.000000001),1)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IFERROR(1/(IF(Inputs!$B$38="pvp",15,MAX(0.1,Skills!D5-IF(TRUE=TRUE,Inputs!$B$32,0)))*(1-IF(AND(ArtifactsInput!$M$27,Inputs!$B$4="Chapter Hunt"),CHOOSE(ArtifactsInput!$N$27+1,20,24,28,32,36,40),0)/100)),0)</f>
        <v/>
      </c>
      <c r="R1882">
        <f>IF(AND(Inputs!$B$38&lt;&gt;"pvp",Inputs!$B$43&gt;0),IF(MAX(0,Inputs!$B$43-B1913)&lt;=0,0,(INT(MAX(0,Inputs!$B$43-B1913)/(IF(Inputs!$B$38="pvp",15,MAX(0.1,Skills!D5-IF(TRUE=TRUE,Inputs!$B$32,0)))*(1-IF(AND(ArtifactsInput!$M$27,Inputs!$B$4="Chapter Hunt"),CHOOSE(ArtifactsInput!$N$27+1,20,24,28,32,36,40),0)/100)))+1)),0)</f>
        <v/>
      </c>
      <c r="S1882">
        <f>IFERROR(O1882/N1882,0)</f>
        <v/>
      </c>
      <c r="T1882">
        <f>IF(C1882,(H1882*N1882*IF(AND(Inputs!$B$38&lt;&gt;"pvp",Inputs!$B$43&gt;0),((Skills!G5*((R1882-1)*IF(Skills!H5&gt;0,INT(Skills!I5/Skills!H5+0.000000001),1)+IF(Skills!H5&gt;0,INT(MIN(Skills!I5,MAX(0,MAX(0,Inputs!$B$43-B1913)-((R1882-1)*(IF(Inputs!$B$38="pvp",15,MAX(0.1,Skills!D5-IF(TRUE=TRUE,Inputs!$B$32,0)))*(1-IF(AND(ArtifactsInput!$M$27,Inputs!$B$4="Chapter Hunt"),CHOOSE(ArtifactsInput!$N$27+1,20,24,28,32,36,40),0)/100)))))/Skills!H5+0.000000001),1)))/Inputs!$B$43),G1882*Q1882))*IF(Inputs!$B$38="pvp",1,1+(Inputs!$B$20+0+Skills!P5+(((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INT(Skills!I5/Skills!H5+0.000000001),1)+IF(Skills!H5&gt;0,INT(MIN(Skills!I5,MAX(0,MAX(0,Inputs!$B$43-B1913)-((R1882-1)*(IF(Inputs!$B$38="pvp",15,MAX(0.1,Skills!D5-IF(TRUE=TRUE,Inputs!$B$32,0)))*(1-IF(AND(ArtifactsInput!$M$27,Inputs!$B$4="Chapter Hunt"),CHOOSE(ArtifactsInput!$N$27+1,20,24,28,32,36,40),0)/100)))))/Skills!H5+0.000000001),1)))/Inputs!$B$43),G1882*Q1882))*IF(Inputs!$B$38="pvp",1,(1+(Inputs!$B$21+Skills!Q5+(((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Skills!G6*IF(Skills!H6&gt;0,INT(IF(Inputs!$B$38="pvp",MIN(Skills!I6,15),Skills!I6)/Skills!H6+0.000000001),1)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IFERROR(1/(IF(Inputs!$B$38="pvp",15,MAX(0.1,Skills!D6-IF(TRUE=TRUE,Inputs!$B$32,0)))*(1-IF(AND(ArtifactsInput!$M$27,Inputs!$B$4="Chapter Hunt"),CHOOSE(ArtifactsInput!$N$27+1,20,24,28,32,36,40),0)/100)),0)</f>
        <v/>
      </c>
      <c r="R1883">
        <f>IF(AND(Inputs!$B$38&lt;&gt;"pvp",Inputs!$B$43&gt;0),IF(MAX(0,Inputs!$B$43-B1913)&lt;=0,0,(INT(MAX(0,Inputs!$B$43-B1913)/(IF(Inputs!$B$38="pvp",15,MAX(0.1,Skills!D6-IF(TRUE=TRUE,Inputs!$B$32,0)))*(1-IF(AND(ArtifactsInput!$M$27,Inputs!$B$4="Chapter Hunt"),CHOOSE(ArtifactsInput!$N$27+1,20,24,28,32,36,40),0)/100)))+1)),0)</f>
        <v/>
      </c>
      <c r="S1883">
        <f>IFERROR(O1883/N1883,0)</f>
        <v/>
      </c>
      <c r="T1883">
        <f>IF(C1883,(H1883*N1883*IF(AND(Inputs!$B$38&lt;&gt;"pvp",Inputs!$B$43&gt;0),((Skills!G6*((R1883-1)*IF(Skills!H6&gt;0,INT(Skills!I6/Skills!H6+0.000000001),1)+IF(Skills!H6&gt;0,INT(MIN(Skills!I6,MAX(0,MAX(0,Inputs!$B$43-B1913)-((R1883-1)*(IF(Inputs!$B$38="pvp",15,MAX(0.1,Skills!D6-IF(TRUE=TRUE,Inputs!$B$32,0)))*(1-IF(AND(ArtifactsInput!$M$27,Inputs!$B$4="Chapter Hunt"),CHOOSE(ArtifactsInput!$N$27+1,20,24,28,32,36,40),0)/100)))))/Skills!H6+0.000000001),1)))/Inputs!$B$43),G1883*Q1883))*IF(Inputs!$B$38="pvp",1,1+(Inputs!$B$20+0+Skills!P6+(((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INT(Skills!I6/Skills!H6+0.000000001),1)+IF(Skills!H6&gt;0,INT(MIN(Skills!I6,MAX(0,MAX(0,Inputs!$B$43-B1913)-((R1883-1)*(IF(Inputs!$B$38="pvp",15,MAX(0.1,Skills!D6-IF(TRUE=TRUE,Inputs!$B$32,0)))*(1-IF(AND(ArtifactsInput!$M$27,Inputs!$B$4="Chapter Hunt"),CHOOSE(ArtifactsInput!$N$27+1,20,24,28,32,36,40),0)/100)))))/Skills!H6+0.000000001),1)))/Inputs!$B$43),G1883*Q1883))*IF(Inputs!$B$38="pvp",1,(1+(Inputs!$B$21+Skills!Q6+(((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Skills!G7*IF(Skills!H7&gt;0,INT(IF(Inputs!$B$38="pvp",MIN(Skills!I7,15),Skills!I7)/Skills!H7+0.000000001),1)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IFERROR(1/(IF(Inputs!$B$38="pvp",15,MAX(0.1,Skills!D7-IF(TRUE=TRUE,Inputs!$B$32,0)))*(1-IF(AND(ArtifactsInput!$M$27,Inputs!$B$4="Chapter Hunt"),CHOOSE(ArtifactsInput!$N$27+1,20,24,28,32,36,40),0)/100)),0)</f>
        <v/>
      </c>
      <c r="R1884">
        <f>IF(AND(Inputs!$B$38&lt;&gt;"pvp",Inputs!$B$43&gt;0),IF(MAX(0,Inputs!$B$43-B1913)&lt;=0,0,(INT(MAX(0,Inputs!$B$43-B1913)/(IF(Inputs!$B$38="pvp",15,MAX(0.1,Skills!D7-IF(TRUE=TRUE,Inputs!$B$32,0)))*(1-IF(AND(ArtifactsInput!$M$27,Inputs!$B$4="Chapter Hunt"),CHOOSE(ArtifactsInput!$N$27+1,20,24,28,32,36,40),0)/100)))+1)),0)</f>
        <v/>
      </c>
      <c r="S1884">
        <f>IFERROR(O1884/N1884,0)</f>
        <v/>
      </c>
      <c r="T1884">
        <f>IF(C1884,(H1884*N1884*IF(AND(Inputs!$B$38&lt;&gt;"pvp",Inputs!$B$43&gt;0),((Skills!G7*((R1884-1)*IF(Skills!H7&gt;0,INT(Skills!I7/Skills!H7+0.000000001),1)+IF(Skills!H7&gt;0,INT(MIN(Skills!I7,MAX(0,MAX(0,Inputs!$B$43-B1913)-((R1884-1)*(IF(Inputs!$B$38="pvp",15,MAX(0.1,Skills!D7-IF(TRUE=TRUE,Inputs!$B$32,0)))*(1-IF(AND(ArtifactsInput!$M$27,Inputs!$B$4="Chapter Hunt"),CHOOSE(ArtifactsInput!$N$27+1,20,24,28,32,36,40),0)/100)))))/Skills!H7+0.000000001),1)))/Inputs!$B$43),G1884*Q1884))*IF(Inputs!$B$38="pvp",1,1+(Inputs!$B$20+0+Skills!P7+(((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INT(Skills!I7/Skills!H7+0.000000001),1)+IF(Skills!H7&gt;0,INT(MIN(Skills!I7,MAX(0,MAX(0,Inputs!$B$43-B1913)-((R1884-1)*(IF(Inputs!$B$38="pvp",15,MAX(0.1,Skills!D7-IF(TRUE=TRUE,Inputs!$B$32,0)))*(1-IF(AND(ArtifactsInput!$M$27,Inputs!$B$4="Chapter Hunt"),CHOOSE(ArtifactsInput!$N$27+1,20,24,28,32,36,40),0)/100)))))/Skills!H7+0.000000001),1)))/Inputs!$B$43),G1884*Q1884))*IF(Inputs!$B$38="pvp",1,(1+(Inputs!$B$21+Skills!Q7+(((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Skills!G8*IF(Skills!H8&gt;0,INT(IF(Inputs!$B$38="pvp",MIN(Skills!I8,15),Skills!I8)/Skills!H8+0.000000001),1)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IFERROR(1/(IF(Inputs!$B$38="pvp",15,MAX(0.1,Skills!D8-IF(TRUE=TRUE,Inputs!$B$32,0)))*(1-IF(AND(ArtifactsInput!$M$27,Inputs!$B$4="Chapter Hunt"),CHOOSE(ArtifactsInput!$N$27+1,20,24,28,32,36,40),0)/100)),0)</f>
        <v/>
      </c>
      <c r="R1885">
        <f>IF(AND(Inputs!$B$38&lt;&gt;"pvp",Inputs!$B$43&gt;0),IF(MAX(0,Inputs!$B$43-B1913)&lt;=0,0,(INT(MAX(0,Inputs!$B$43-B1913)/(IF(Inputs!$B$38="pvp",15,MAX(0.1,Skills!D8-IF(TRUE=TRUE,Inputs!$B$32,0)))*(1-IF(AND(ArtifactsInput!$M$27,Inputs!$B$4="Chapter Hunt"),CHOOSE(ArtifactsInput!$N$27+1,20,24,28,32,36,40),0)/100)))+1)),0)</f>
        <v/>
      </c>
      <c r="S1885">
        <f>IFERROR(O1885/N1885,0)</f>
        <v/>
      </c>
      <c r="T1885">
        <f>IF(C1885,(H1885*N1885*IF(AND(Inputs!$B$38&lt;&gt;"pvp",Inputs!$B$43&gt;0),((Skills!G8*((R1885-1)*IF(Skills!H8&gt;0,INT(Skills!I8/Skills!H8+0.000000001),1)+IF(Skills!H8&gt;0,INT(MIN(Skills!I8,MAX(0,MAX(0,Inputs!$B$43-B1913)-((R1885-1)*(IF(Inputs!$B$38="pvp",15,MAX(0.1,Skills!D8-IF(TRUE=TRUE,Inputs!$B$32,0)))*(1-IF(AND(ArtifactsInput!$M$27,Inputs!$B$4="Chapter Hunt"),CHOOSE(ArtifactsInput!$N$27+1,20,24,28,32,36,40),0)/100)))))/Skills!H8+0.000000001),1)))/Inputs!$B$43),G1885*Q1885))*IF(Inputs!$B$38="pvp",1,1+(Inputs!$B$20+0+Skills!P8+(((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INT(Skills!I8/Skills!H8+0.000000001),1)+IF(Skills!H8&gt;0,INT(MIN(Skills!I8,MAX(0,MAX(0,Inputs!$B$43-B1913)-((R1885-1)*(IF(Inputs!$B$38="pvp",15,MAX(0.1,Skills!D8-IF(TRUE=TRUE,Inputs!$B$32,0)))*(1-IF(AND(ArtifactsInput!$M$27,Inputs!$B$4="Chapter Hunt"),CHOOSE(ArtifactsInput!$N$27+1,20,24,28,32,36,40),0)/100)))))/Skills!H8+0.000000001),1)))/Inputs!$B$43),G1885*Q1885))*IF(Inputs!$B$38="pvp",1,(1+(Inputs!$B$21+Skills!Q8+(((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Skills!G9*IF(Skills!H9&gt;0,INT(IF(Inputs!$B$38="pvp",MIN(Skills!I9,15),Skills!I9)/Skills!H9+0.000000001),1)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138,MAX(0,IF(Inputs!$B$3&gt;=118,8,IF(Inputs!$B$3&gt;=110,7,5))-5)*50,0),0)/100)*(1+(IF(Skills!A9="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IFERROR(1/(IF(Inputs!$B$38="pvp",15,MAX(0.1,Skills!D9-IF(TRUE=TRUE,Inputs!$B$32,0)))*(1-IF(AND(ArtifactsInput!$M$27,Inputs!$B$4="Chapter Hunt"),CHOOSE(ArtifactsInput!$N$27+1,20,24,28,32,36,40),0)/100)),0)</f>
        <v/>
      </c>
      <c r="R1886">
        <f>IF(AND(Inputs!$B$38&lt;&gt;"pvp",Inputs!$B$43&gt;0),IF(MAX(0,Inputs!$B$43-B1913)&lt;=0,0,(INT(MAX(0,Inputs!$B$43-B1913)/(IF(Inputs!$B$38="pvp",15,MAX(0.1,Skills!D9-IF(TRUE=TRUE,Inputs!$B$32,0)))*(1-IF(AND(ArtifactsInput!$M$27,Inputs!$B$4="Chapter Hunt"),CHOOSE(ArtifactsInput!$N$27+1,20,24,28,32,36,40),0)/100)))+1)),0)</f>
        <v/>
      </c>
      <c r="S1886">
        <f>IFERROR(O1886/N1886,0)</f>
        <v/>
      </c>
      <c r="T1886">
        <f>IF(C1886,(H1886*N1886*IF(AND(Inputs!$B$38&lt;&gt;"pvp",Inputs!$B$43&gt;0),((Skills!G9*((R1886-1)*IF(Skills!H9&gt;0,INT(Skills!I9/Skills!H9+0.000000001),1)+IF(Skills!H9&gt;0,INT(MIN(Skills!I9,MAX(0,MAX(0,Inputs!$B$43-B1913)-((R1886-1)*(IF(Inputs!$B$38="pvp",15,MAX(0.1,Skills!D9-IF(TRUE=TRUE,Inputs!$B$32,0)))*(1-IF(AND(ArtifactsInput!$M$27,Inputs!$B$4="Chapter Hunt"),CHOOSE(ArtifactsInput!$N$27+1,20,24,28,32,36,40),0)/100)))))/Skills!H9+0.000000001),1)))/Inputs!$B$43),G1886*Q1886))*IF(Inputs!$B$38="pvp",1,1+(Inputs!$B$20+0+Skills!P9+(((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INT(Skills!I9/Skills!H9+0.000000001),1)+IF(Skills!H9&gt;0,INT(MIN(Skills!I9,MAX(0,MAX(0,Inputs!$B$43-B1913)-((R1886-1)*(IF(Inputs!$B$38="pvp",15,MAX(0.1,Skills!D9-IF(TRUE=TRUE,Inputs!$B$32,0)))*(1-IF(AND(ArtifactsInput!$M$27,Inputs!$B$4="Chapter Hunt"),CHOOSE(ArtifactsInput!$N$27+1,20,24,28,32,36,40),0)/100)))))/Skills!H9+0.000000001),1)))/Inputs!$B$43),G1886*Q1886))*IF(Inputs!$B$38="pvp",1,(1+(Inputs!$B$21+Skills!Q9+(((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Skills!G10*IF(Skills!H10&gt;0,INT(IF(Inputs!$B$38="pvp",MIN(Skills!I10,15),Skills!I10)/Skills!H10+0.000000001),1)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138,MAX(0,IF(Inputs!$B$3&gt;=118,8,IF(Inputs!$B$3&gt;=110,7,5))-5)*50,0),0)/100)*(1+(IF(Skills!A10="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IFERROR(1/(IF(Inputs!$B$38="pvp",15,MAX(0.1,Skills!D10-IF(TRUE=TRUE,Inputs!$B$32,0)))*(1-IF(AND(ArtifactsInput!$M$27,Inputs!$B$4="Chapter Hunt"),CHOOSE(ArtifactsInput!$N$27+1,20,24,28,32,36,40),0)/100)),0)</f>
        <v/>
      </c>
      <c r="R1887">
        <f>IF(AND(Inputs!$B$38&lt;&gt;"pvp",Inputs!$B$43&gt;0),IF(MAX(0,Inputs!$B$43-B1913)&lt;=0,0,(INT(MAX(0,Inputs!$B$43-B1913)/(IF(Inputs!$B$38="pvp",15,MAX(0.1,Skills!D10-IF(TRUE=TRUE,Inputs!$B$32,0)))*(1-IF(AND(ArtifactsInput!$M$27,Inputs!$B$4="Chapter Hunt"),CHOOSE(ArtifactsInput!$N$27+1,20,24,28,32,36,40),0)/100)))+1)),0)</f>
        <v/>
      </c>
      <c r="S1887">
        <f>IFERROR(O1887/N1887,0)</f>
        <v/>
      </c>
      <c r="T1887">
        <f>IF(C1887,(H1887*N1887*IF(AND(Inputs!$B$38&lt;&gt;"pvp",Inputs!$B$43&gt;0),((Skills!G10*((R1887-1)*IF(Skills!H10&gt;0,INT(Skills!I10/Skills!H10+0.000000001),1)+IF(Skills!H10&gt;0,INT(MIN(Skills!I10,MAX(0,MAX(0,Inputs!$B$43-B1913)-((R1887-1)*(IF(Inputs!$B$38="pvp",15,MAX(0.1,Skills!D10-IF(TRUE=TRUE,Inputs!$B$32,0)))*(1-IF(AND(ArtifactsInput!$M$27,Inputs!$B$4="Chapter Hunt"),CHOOSE(ArtifactsInput!$N$27+1,20,24,28,32,36,40),0)/100)))))/Skills!H10+0.000000001),1)))/Inputs!$B$43),G1887*Q1887))*IF(Inputs!$B$38="pvp",1,1+(Inputs!$B$20+0+Skills!P10+(((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INT(Skills!I10/Skills!H10+0.000000001),1)+IF(Skills!H10&gt;0,INT(MIN(Skills!I10,MAX(0,MAX(0,Inputs!$B$43-B1913)-((R1887-1)*(IF(Inputs!$B$38="pvp",15,MAX(0.1,Skills!D10-IF(TRUE=TRUE,Inputs!$B$32,0)))*(1-IF(AND(ArtifactsInput!$M$27,Inputs!$B$4="Chapter Hunt"),CHOOSE(ArtifactsInput!$N$27+1,20,24,28,32,36,40),0)/100)))))/Skills!H10+0.000000001),1)))/Inputs!$B$43),G1887*Q1887))*IF(Inputs!$B$38="pvp",1,(1+(Inputs!$B$21+Skills!Q10+(((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Skills!G11*IF(Skills!H11&gt;0,INT(IF(Inputs!$B$38="pvp",MIN(Skills!I11,15),Skills!I11)/Skills!H11+0.000000001),1)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138,MAX(0,IF(Inputs!$B$3&gt;=118,8,IF(Inputs!$B$3&gt;=110,7,5))-5)*50,0),0)/100)*(1+(IF(Skills!A11="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IFERROR(1/(IF(Inputs!$B$38="pvp",15,MAX(0.1,Skills!D11-IF(TRUE=TRUE,Inputs!$B$32,0)))*(1-IF(AND(ArtifactsInput!$M$27,Inputs!$B$4="Chapter Hunt"),CHOOSE(ArtifactsInput!$N$27+1,20,24,28,32,36,40),0)/100)),0)</f>
        <v/>
      </c>
      <c r="R1888">
        <f>IF(AND(Inputs!$B$38&lt;&gt;"pvp",Inputs!$B$43&gt;0),IF(MAX(0,Inputs!$B$43-B1913)&lt;=0,0,(INT(MAX(0,Inputs!$B$43-B1913)/(IF(Inputs!$B$38="pvp",15,MAX(0.1,Skills!D11-IF(TRUE=TRUE,Inputs!$B$32,0)))*(1-IF(AND(ArtifactsInput!$M$27,Inputs!$B$4="Chapter Hunt"),CHOOSE(ArtifactsInput!$N$27+1,20,24,28,32,36,40),0)/100)))+1)),0)</f>
        <v/>
      </c>
      <c r="S1888">
        <f>IFERROR(O1888/N1888,0)</f>
        <v/>
      </c>
      <c r="T1888">
        <f>IF(C1888,(H1888*N1888*IF(AND(Inputs!$B$38&lt;&gt;"pvp",Inputs!$B$43&gt;0),((Skills!G11*((R1888-1)*IF(Skills!H11&gt;0,INT(Skills!I11/Skills!H11+0.000000001),1)+IF(Skills!H11&gt;0,INT(MIN(Skills!I11,MAX(0,MAX(0,Inputs!$B$43-B1913)-((R1888-1)*(IF(Inputs!$B$38="pvp",15,MAX(0.1,Skills!D11-IF(TRUE=TRUE,Inputs!$B$32,0)))*(1-IF(AND(ArtifactsInput!$M$27,Inputs!$B$4="Chapter Hunt"),CHOOSE(ArtifactsInput!$N$27+1,20,24,28,32,36,40),0)/100)))))/Skills!H11+0.000000001),1)))/Inputs!$B$43),G1888*Q1888))*IF(Inputs!$B$38="pvp",1,1+(Inputs!$B$20+0+Skills!P11+(((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INT(Skills!I11/Skills!H11+0.000000001),1)+IF(Skills!H11&gt;0,INT(MIN(Skills!I11,MAX(0,MAX(0,Inputs!$B$43-B1913)-((R1888-1)*(IF(Inputs!$B$38="pvp",15,MAX(0.1,Skills!D11-IF(TRUE=TRUE,Inputs!$B$32,0)))*(1-IF(AND(ArtifactsInput!$M$27,Inputs!$B$4="Chapter Hunt"),CHOOSE(ArtifactsInput!$N$27+1,20,24,28,32,36,40),0)/100)))))/Skills!H11+0.000000001),1)))/Inputs!$B$43),G1888*Q1888))*IF(Inputs!$B$38="pvp",1,(1+(Inputs!$B$21+Skills!Q11+(((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Skills!G13*IF(Skills!H13&gt;0,INT(IF(Inputs!$B$38="pvp",MIN(Skills!I13,15),Skills!I13)/Skills!H13+0.000000001),1)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Skills!G14*IF(Skills!H14&gt;0,INT(IF(Inputs!$B$38="pvp",MIN(Skills!I14,15),Skills!I14)/Skills!H14+0.000000001),1)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Skills!G15*IF(Skills!H15&gt;0,INT(IF(Inputs!$B$38="pvp",MIN(Skills!I15,15),Skills!I15)/Skills!H15+0.000000001),1)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IFERROR(1/(IF(Inputs!$B$38="pvp",15,MAX(0.1,Skills!D15-IF(TRUE=TRUE,Inputs!$B$32,0)))*(1-IF(AND(ArtifactsInput!$M$27,Inputs!$B$4="Chapter Hunt"),CHOOSE(ArtifactsInput!$N$27+1,20,24,28,32,36,40),0)/100)),0)</f>
        <v/>
      </c>
      <c r="R1892">
        <f>IF(AND(Inputs!$B$38&lt;&gt;"pvp",Inputs!$B$43&gt;0),IF(Inputs!$B$43&lt;=0,0,(INT(Inputs!$B$43/(IF(Inputs!$B$38="pvp",15,MAX(0.1,Skills!D15-IF(TRUE=TRUE,Inputs!$B$32,0)))*(1-IF(AND(ArtifactsInput!$M$27,Inputs!$B$4="Chapter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Skills!G16*IF(Skills!H16&gt;0,INT(IF(Inputs!$B$38="pvp",MIN(Skills!I16,15),Skills!I16)/Skills!H16+0.000000001),1)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IFERROR(1/(IF(Inputs!$B$38="pvp",15,MAX(0.1,Skills!D16-IF(TRUE=TRUE,Inputs!$B$32,0)))*(1-IF(AND(ArtifactsInput!$M$27,Inputs!$B$4="Chapter Hunt"),CHOOSE(ArtifactsInput!$N$27+1,20,24,28,32,36,40),0)/100)),0)</f>
        <v/>
      </c>
      <c r="R1893">
        <f>IF(AND(Inputs!$B$38&lt;&gt;"pvp",Inputs!$B$43&gt;0),IF(Inputs!$B$43&lt;=0,0,(INT(Inputs!$B$43/(IF(Inputs!$B$38="pvp",15,MAX(0.1,Skills!D16-IF(TRUE=TRUE,Inputs!$B$32,0)))*(1-IF(AND(ArtifactsInput!$M$27,Inputs!$B$4="Chapter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Skills!G17*IF(Skills!H17&gt;0,INT(IF(Inputs!$B$38="pvp",MIN(Skills!I17,15),Skills!I17)/Skills!H17+0.000000001),1)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IFERROR(1/(IF(Inputs!$B$38="pvp",15,MAX(0.1,Skills!D17-IF(TRUE=TRUE,Inputs!$B$32,0)))*(1-IF(AND(ArtifactsInput!$M$27,Inputs!$B$4="Chapter Hunt"),CHOOSE(ArtifactsInput!$N$27+1,20,24,28,32,36,40),0)/100)),0)</f>
        <v/>
      </c>
      <c r="R1894">
        <f>IF(AND(Inputs!$B$38&lt;&gt;"pvp",Inputs!$B$43&gt;0),IF(Inputs!$B$43&lt;=0,0,(INT(Inputs!$B$43/(IF(Inputs!$B$38="pvp",15,MAX(0.1,Skills!D17-IF(TRUE=TRUE,Inputs!$B$32,0)))*(1-IF(AND(ArtifactsInput!$M$27,Inputs!$B$4="Chapter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Skills!G18*IF(Skills!H18&gt;0,INT(IF(Inputs!$B$38="pvp",MIN(Skills!I18,15),Skills!I18)/Skills!H18+0.000000001),1)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IFERROR(1/(IF(Inputs!$B$38="pvp",15,MAX(0.1,Skills!D18-IF(TRUE=TRUE,Inputs!$B$32,0)))*(1-IF(AND(ArtifactsInput!$M$27,Inputs!$B$4="Chapter Hunt"),CHOOSE(ArtifactsInput!$N$27+1,20,24,28,32,36,40),0)/100)),0)</f>
        <v/>
      </c>
      <c r="R1895">
        <f>IF(AND(Inputs!$B$38&lt;&gt;"pvp",Inputs!$B$43&gt;0),IF(Inputs!$B$43&lt;=0,0,(INT(Inputs!$B$43/(IF(Inputs!$B$38="pvp",15,MAX(0.1,Skills!D18-IF(TRUE=TRUE,Inputs!$B$32,0)))*(1-IF(AND(ArtifactsInput!$M$27,Inputs!$B$4="Chapter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Skills!G19*IF(Skills!H19&gt;0,INT(IF(Inputs!$B$38="pvp",MIN(Skills!I19,15),Skills!I19)/Skills!H19+0.000000001),1)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IFERROR(1/(IF(Inputs!$B$38="pvp",15,MAX(0.1,Skills!D19-IF(TRUE=TRUE,Inputs!$B$32,0)))*(1-IF(AND(ArtifactsInput!$M$27,Inputs!$B$4="Chapter Hunt"),CHOOSE(ArtifactsInput!$N$27+1,20,24,28,32,36,40),0)/100)),0)</f>
        <v/>
      </c>
      <c r="R1896">
        <f>IF(AND(Inputs!$B$38&lt;&gt;"pvp",Inputs!$B$43&gt;0),IF(Inputs!$B$43&lt;=0,0,(INT(Inputs!$B$43/(IF(Inputs!$B$38="pvp",15,MAX(0.1,Skills!D19-IF(TRUE=TRUE,Inputs!$B$32,0)))*(1-IF(AND(ArtifactsInput!$M$27,Inputs!$B$4="Chapter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Skills!G20*IF(Skills!H20&gt;0,INT(IF(Inputs!$B$38="pvp",MIN(Skills!I20,15),Skills!I20)/Skills!H20+0.000000001),1)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Skills!G21*IF(Skills!H21&gt;0,INT(IF(Inputs!$B$38="pvp",MIN(Skills!I21,15),Skills!I21)/Skills!H21+0.000000001),1)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Skills!G22*IF(Skills!H22&gt;0,INT(IF(Inputs!$B$38="pvp",MIN(Skills!I22,15),Skills!I22)/Skills!H22+0.000000001),1)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Skills!G23*IF(Skills!H23&gt;0,INT(IF(Inputs!$B$38="pvp",MIN(Skills!I23,15),Skills!I23)/Skills!H23+0.000000001),1)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Skills!G24*IF(Skills!H24&gt;0,INT(IF(Inputs!$B$38="pvp",MIN(Skills!I24,15),Skills!I24)/Skills!H24+0.000000001),1)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Skills!G25*IF(Skills!H25&gt;0,INT(IF(Inputs!$B$38="pvp",MIN(Skills!I25,15),Skills!I25)/Skills!H25+0.000000001),1)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Skills!G26*IF(Skills!H26&gt;0,INT(IF(Inputs!$B$38="pvp",MIN(Skills!I26,15),Skills!I26)/Skills!H26+0.000000001),1)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MIN((Skills!T19*(1+(Inputs!$B$34+(ArtifactsInput!$M$7-ArtifactsInput!$M$7)*CHOOSE(ArtifactsInput!$N$7+1,6,7.2,8.4,9.6,10.8,12))/100)),(1/Q1896))+MIN((Skills!T19*(1+(Inputs!$B$34+(ArtifactsInput!$M$7-ArtifactsInput!$M$7)*CHOOSE(ArtifactsInput!$N$7+1,6,7.2,8.4,9.6,10.8,12))/100)),MAX(0,Inputs!$B$43-((R1896-1)*(1/Q1896)))))/Inputs!$B$43),IF(Inputs!$B$38="pvp",MIN((Skills!T19*(1+(Inputs!$B$34+(ArtifactsInput!$M$7-ArtifactsInput!$M$7)*CHOOSE(ArtifactsInput!$N$7+1,6,7.2,8.4,9.6,10.8,12))/100)),15)/15,MIN(1,(Skills!T19*(1+(Inputs!$B$34+(ArtifactsInput!$M$7-ArtifactsInput!$M$7)*CHOOSE(ArtifactsInput!$N$7+1,6,7.2,8.4,9.6,10.8,12))/100))/(1/Q1896)))))</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MIN((Skills!T18*(1+(Inputs!$B$34+(ArtifactsInput!$M$7-ArtifactsInput!$M$7)*CHOOSE(ArtifactsInput!$N$7+1,6,7.2,8.4,9.6,10.8,12))/100)),(1/Q1895))+MIN((Skills!T18*(1+(Inputs!$B$34+(ArtifactsInput!$M$7-ArtifactsInput!$M$7)*CHOOSE(ArtifactsInput!$N$7+1,6,7.2,8.4,9.6,10.8,12))/100)),MAX(0,Inputs!$B$43-((R1895-1)*(1/Q1895)))))/Inputs!$B$43),IF(Inputs!$B$38="pvp",MIN((Skills!T18*(1+(Inputs!$B$34+(ArtifactsInput!$M$7-ArtifactsInput!$M$7)*CHOOSE(ArtifactsInput!$N$7+1,6,7.2,8.4,9.6,10.8,12))/100)),15)/15,MIN(1,(Skills!T18*(1+(Inputs!$B$34+(ArtifactsInput!$M$7-ArtifactsInput!$M$7)*CHOOSE(ArtifactsInput!$N$7+1,6,7.2,8.4,9.6,10.8,12))/100))/(1/Q1895)))))</f>
        <v/>
      </c>
    </row>
    <row r="1912">
      <c r="A1912" t="inlineStr">
        <is>
          <t>Global Final Damage Bonus % (Enrage + Combo Synergy)</t>
        </is>
      </c>
      <c r="B1912">
        <f>((C1894=TRUE)*F1894*IF(AND(Inputs!$B$38&lt;&gt;"pvp",Inputs!$B$43&gt;0),(((R1894-1)*MIN((Skills!T17*(1+(Inputs!$B$34+(ArtifactsInput!$M$7-ArtifactsInput!$M$7)*CHOOSE(ArtifactsInput!$N$7+1,6,7.2,8.4,9.6,10.8,12))/100)),(1/Q1894))+MIN((Skills!T17*(1+(Inputs!$B$34+(ArtifactsInput!$M$7-ArtifactsInput!$M$7)*CHOOSE(ArtifactsInput!$N$7+1,6,7.2,8.4,9.6,10.8,12))/100)),MAX(0,Inputs!$B$43-((R1894-1)*(1/Q1894)))))/Inputs!$B$43),IF(Inputs!$B$38="pvp",MIN((Skills!T17*(1+(Inputs!$B$34+(ArtifactsInput!$M$7-ArtifactsInput!$M$7)*CHOOSE(ArtifactsInput!$N$7+1,6,7.2,8.4,9.6,10.8,12))/100)),15)/15,MIN(1,(Skills!T17*(1+(Inputs!$B$34+(ArtifactsInput!$M$7-ArtifactsInput!$M$7)*CHOOSE(ArtifactsInput!$N$7+1,6,7.2,8.4,9.6,10.8,12))/100))/(1/Q1894)))))+((C1891=TRUE)*F1891*IF(Inputs!$B$3&gt;=118,8,IF(Inputs!$B$3&gt;=110,7,5)))+IF(Inputs!$B$3&gt;=98,5,0)</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Skills!G2*IF(Skills!H2&gt;0,INT(IF(Inputs!$B$38="pvp",MIN(Skills!I2,15),Skills!I2)/Skills!H2+0.000000001),1)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Skills!G5*IF(Skills!H5&gt;0,INT(IF(Inputs!$B$38="pvp",MIN(Skills!I5,15),Skills!I5)/Skills!H5+0.000000001),1)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IFERROR(1/(IF(Inputs!$B$38="pvp",15,MAX(0.1,Skills!D5-IF(TRUE=TRUE,Inputs!$B$32,0)))*(1-IF(AND(ArtifactsInput!$M$27,Inputs!$B$4="Chapter Hunt"),CHOOSE(ArtifactsInput!$N$27+1,20,24,28,32,36,40),0)/100)),0)</f>
        <v/>
      </c>
      <c r="R1924">
        <f>IF(AND(Inputs!$B$38&lt;&gt;"pvp",Inputs!$B$43&gt;0),IF(MAX(0,Inputs!$B$43-B1955)&lt;=0,0,(INT(MAX(0,Inputs!$B$43-B1955)/(IF(Inputs!$B$38="pvp",15,MAX(0.1,Skills!D5-IF(TRUE=TRUE,Inputs!$B$32,0)))*(1-IF(AND(ArtifactsInput!$M$27,Inputs!$B$4="Chapter Hunt"),CHOOSE(ArtifactsInput!$N$27+1,20,24,28,32,36,40),0)/100)))+1)),0)</f>
        <v/>
      </c>
      <c r="S1924">
        <f>IFERROR(O1924/N1924,0)</f>
        <v/>
      </c>
      <c r="T1924">
        <f>IF(C1924,(H1924*N1924*IF(AND(Inputs!$B$38&lt;&gt;"pvp",Inputs!$B$43&gt;0),((Skills!G5*((R1924-1)*IF(Skills!H5&gt;0,INT(Skills!I5/Skills!H5+0.000000001),1)+IF(Skills!H5&gt;0,INT(MIN(Skills!I5,MAX(0,MAX(0,Inputs!$B$43-B1955)-((R1924-1)*(IF(Inputs!$B$38="pvp",15,MAX(0.1,Skills!D5-IF(TRUE=TRUE,Inputs!$B$32,0)))*(1-IF(AND(ArtifactsInput!$M$27,Inputs!$B$4="Chapter Hunt"),CHOOSE(ArtifactsInput!$N$27+1,20,24,28,32,36,40),0)/100)))))/Skills!H5+0.000000001),1)))/Inputs!$B$43),G1924*Q1924))*IF(Inputs!$B$38="pvp",1,1+(Inputs!$B$20+0+Skills!P5+(((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INT(Skills!I5/Skills!H5+0.000000001),1)+IF(Skills!H5&gt;0,INT(MIN(Skills!I5,MAX(0,MAX(0,Inputs!$B$43-B1955)-((R1924-1)*(IF(Inputs!$B$38="pvp",15,MAX(0.1,Skills!D5-IF(TRUE=TRUE,Inputs!$B$32,0)))*(1-IF(AND(ArtifactsInput!$M$27,Inputs!$B$4="Chapter Hunt"),CHOOSE(ArtifactsInput!$N$27+1,20,24,28,32,36,40),0)/100)))))/Skills!H5+0.000000001),1)))/Inputs!$B$43),G1924*Q1924))*IF(Inputs!$B$38="pvp",1,(1+(Inputs!$B$21+Skills!Q5+(((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Skills!G6*IF(Skills!H6&gt;0,INT(IF(Inputs!$B$38="pvp",MIN(Skills!I6,15),Skills!I6)/Skills!H6+0.000000001),1)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IFERROR(1/(IF(Inputs!$B$38="pvp",15,MAX(0.1,Skills!D6-IF(TRUE=TRUE,Inputs!$B$32,0)))*(1-IF(AND(ArtifactsInput!$M$27,Inputs!$B$4="Chapter Hunt"),CHOOSE(ArtifactsInput!$N$27+1,20,24,28,32,36,40),0)/100)),0)</f>
        <v/>
      </c>
      <c r="R1925">
        <f>IF(AND(Inputs!$B$38&lt;&gt;"pvp",Inputs!$B$43&gt;0),IF(MAX(0,Inputs!$B$43-B1955)&lt;=0,0,(INT(MAX(0,Inputs!$B$43-B1955)/(IF(Inputs!$B$38="pvp",15,MAX(0.1,Skills!D6-IF(TRUE=TRUE,Inputs!$B$32,0)))*(1-IF(AND(ArtifactsInput!$M$27,Inputs!$B$4="Chapter Hunt"),CHOOSE(ArtifactsInput!$N$27+1,20,24,28,32,36,40),0)/100)))+1)),0)</f>
        <v/>
      </c>
      <c r="S1925">
        <f>IFERROR(O1925/N1925,0)</f>
        <v/>
      </c>
      <c r="T1925">
        <f>IF(C1925,(H1925*N1925*IF(AND(Inputs!$B$38&lt;&gt;"pvp",Inputs!$B$43&gt;0),((Skills!G6*((R1925-1)*IF(Skills!H6&gt;0,INT(Skills!I6/Skills!H6+0.000000001),1)+IF(Skills!H6&gt;0,INT(MIN(Skills!I6,MAX(0,MAX(0,Inputs!$B$43-B1955)-((R1925-1)*(IF(Inputs!$B$38="pvp",15,MAX(0.1,Skills!D6-IF(TRUE=TRUE,Inputs!$B$32,0)))*(1-IF(AND(ArtifactsInput!$M$27,Inputs!$B$4="Chapter Hunt"),CHOOSE(ArtifactsInput!$N$27+1,20,24,28,32,36,40),0)/100)))))/Skills!H6+0.000000001),1)))/Inputs!$B$43),G1925*Q1925))*IF(Inputs!$B$38="pvp",1,1+(Inputs!$B$20+0+Skills!P6+(((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INT(Skills!I6/Skills!H6+0.000000001),1)+IF(Skills!H6&gt;0,INT(MIN(Skills!I6,MAX(0,MAX(0,Inputs!$B$43-B1955)-((R1925-1)*(IF(Inputs!$B$38="pvp",15,MAX(0.1,Skills!D6-IF(TRUE=TRUE,Inputs!$B$32,0)))*(1-IF(AND(ArtifactsInput!$M$27,Inputs!$B$4="Chapter Hunt"),CHOOSE(ArtifactsInput!$N$27+1,20,24,28,32,36,40),0)/100)))))/Skills!H6+0.000000001),1)))/Inputs!$B$43),G1925*Q1925))*IF(Inputs!$B$38="pvp",1,(1+(Inputs!$B$21+Skills!Q6+(((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Skills!G7*IF(Skills!H7&gt;0,INT(IF(Inputs!$B$38="pvp",MIN(Skills!I7,15),Skills!I7)/Skills!H7+0.000000001),1)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IFERROR(1/(IF(Inputs!$B$38="pvp",15,MAX(0.1,Skills!D7-IF(TRUE=TRUE,Inputs!$B$32,0)))*(1-IF(AND(ArtifactsInput!$M$27,Inputs!$B$4="Chapter Hunt"),CHOOSE(ArtifactsInput!$N$27+1,20,24,28,32,36,40),0)/100)),0)</f>
        <v/>
      </c>
      <c r="R1926">
        <f>IF(AND(Inputs!$B$38&lt;&gt;"pvp",Inputs!$B$43&gt;0),IF(MAX(0,Inputs!$B$43-B1955)&lt;=0,0,(INT(MAX(0,Inputs!$B$43-B1955)/(IF(Inputs!$B$38="pvp",15,MAX(0.1,Skills!D7-IF(TRUE=TRUE,Inputs!$B$32,0)))*(1-IF(AND(ArtifactsInput!$M$27,Inputs!$B$4="Chapter Hunt"),CHOOSE(ArtifactsInput!$N$27+1,20,24,28,32,36,40),0)/100)))+1)),0)</f>
        <v/>
      </c>
      <c r="S1926">
        <f>IFERROR(O1926/N1926,0)</f>
        <v/>
      </c>
      <c r="T1926">
        <f>IF(C1926,(H1926*N1926*IF(AND(Inputs!$B$38&lt;&gt;"pvp",Inputs!$B$43&gt;0),((Skills!G7*((R1926-1)*IF(Skills!H7&gt;0,INT(Skills!I7/Skills!H7+0.000000001),1)+IF(Skills!H7&gt;0,INT(MIN(Skills!I7,MAX(0,MAX(0,Inputs!$B$43-B1955)-((R1926-1)*(IF(Inputs!$B$38="pvp",15,MAX(0.1,Skills!D7-IF(TRUE=TRUE,Inputs!$B$32,0)))*(1-IF(AND(ArtifactsInput!$M$27,Inputs!$B$4="Chapter Hunt"),CHOOSE(ArtifactsInput!$N$27+1,20,24,28,32,36,40),0)/100)))))/Skills!H7+0.000000001),1)))/Inputs!$B$43),G1926*Q1926))*IF(Inputs!$B$38="pvp",1,1+(Inputs!$B$20+0+Skills!P7+(((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INT(Skills!I7/Skills!H7+0.000000001),1)+IF(Skills!H7&gt;0,INT(MIN(Skills!I7,MAX(0,MAX(0,Inputs!$B$43-B1955)-((R1926-1)*(IF(Inputs!$B$38="pvp",15,MAX(0.1,Skills!D7-IF(TRUE=TRUE,Inputs!$B$32,0)))*(1-IF(AND(ArtifactsInput!$M$27,Inputs!$B$4="Chapter Hunt"),CHOOSE(ArtifactsInput!$N$27+1,20,24,28,32,36,40),0)/100)))))/Skills!H7+0.000000001),1)))/Inputs!$B$43),G1926*Q1926))*IF(Inputs!$B$38="pvp",1,(1+(Inputs!$B$21+Skills!Q7+(((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Skills!G8*IF(Skills!H8&gt;0,INT(IF(Inputs!$B$38="pvp",MIN(Skills!I8,15),Skills!I8)/Skills!H8+0.000000001),1)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IFERROR(1/(IF(Inputs!$B$38="pvp",15,MAX(0.1,Skills!D8-IF(TRUE=TRUE,Inputs!$B$32,0)))*(1-IF(AND(ArtifactsInput!$M$27,Inputs!$B$4="Chapter Hunt"),CHOOSE(ArtifactsInput!$N$27+1,20,24,28,32,36,40),0)/100)),0)</f>
        <v/>
      </c>
      <c r="R1927">
        <f>IF(AND(Inputs!$B$38&lt;&gt;"pvp",Inputs!$B$43&gt;0),IF(MAX(0,Inputs!$B$43-B1955)&lt;=0,0,(INT(MAX(0,Inputs!$B$43-B1955)/(IF(Inputs!$B$38="pvp",15,MAX(0.1,Skills!D8-IF(TRUE=TRUE,Inputs!$B$32,0)))*(1-IF(AND(ArtifactsInput!$M$27,Inputs!$B$4="Chapter Hunt"),CHOOSE(ArtifactsInput!$N$27+1,20,24,28,32,36,40),0)/100)))+1)),0)</f>
        <v/>
      </c>
      <c r="S1927">
        <f>IFERROR(O1927/N1927,0)</f>
        <v/>
      </c>
      <c r="T1927">
        <f>IF(C1927,(H1927*N1927*IF(AND(Inputs!$B$38&lt;&gt;"pvp",Inputs!$B$43&gt;0),((Skills!G8*((R1927-1)*IF(Skills!H8&gt;0,INT(Skills!I8/Skills!H8+0.000000001),1)+IF(Skills!H8&gt;0,INT(MIN(Skills!I8,MAX(0,MAX(0,Inputs!$B$43-B1955)-((R1927-1)*(IF(Inputs!$B$38="pvp",15,MAX(0.1,Skills!D8-IF(TRUE=TRUE,Inputs!$B$32,0)))*(1-IF(AND(ArtifactsInput!$M$27,Inputs!$B$4="Chapter Hunt"),CHOOSE(ArtifactsInput!$N$27+1,20,24,28,32,36,40),0)/100)))))/Skills!H8+0.000000001),1)))/Inputs!$B$43),G1927*Q1927))*IF(Inputs!$B$38="pvp",1,1+(Inputs!$B$20+0+Skills!P8+(((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INT(Skills!I8/Skills!H8+0.000000001),1)+IF(Skills!H8&gt;0,INT(MIN(Skills!I8,MAX(0,MAX(0,Inputs!$B$43-B1955)-((R1927-1)*(IF(Inputs!$B$38="pvp",15,MAX(0.1,Skills!D8-IF(TRUE=TRUE,Inputs!$B$32,0)))*(1-IF(AND(ArtifactsInput!$M$27,Inputs!$B$4="Chapter Hunt"),CHOOSE(ArtifactsInput!$N$27+1,20,24,28,32,36,40),0)/100)))))/Skills!H8+0.000000001),1)))/Inputs!$B$43),G1927*Q1927))*IF(Inputs!$B$38="pvp",1,(1+(Inputs!$B$21+Skills!Q8+(((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Skills!G9*IF(Skills!H9&gt;0,INT(IF(Inputs!$B$38="pvp",MIN(Skills!I9,15),Skills!I9)/Skills!H9+0.000000001),1)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138,MAX(0,IF(Inputs!$B$3&gt;=118,8,IF(Inputs!$B$3&gt;=110,7,5))-5)*50,0),0)/100)*(1+(IF(Skills!A9="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IFERROR(1/(IF(Inputs!$B$38="pvp",15,MAX(0.1,Skills!D9-IF(TRUE=TRUE,Inputs!$B$32,0)))*(1-IF(AND(ArtifactsInput!$M$27,Inputs!$B$4="Chapter Hunt"),CHOOSE(ArtifactsInput!$N$27+1,20,24,28,32,36,40),0)/100)),0)</f>
        <v/>
      </c>
      <c r="R1928">
        <f>IF(AND(Inputs!$B$38&lt;&gt;"pvp",Inputs!$B$43&gt;0),IF(MAX(0,Inputs!$B$43-B1955)&lt;=0,0,(INT(MAX(0,Inputs!$B$43-B1955)/(IF(Inputs!$B$38="pvp",15,MAX(0.1,Skills!D9-IF(TRUE=TRUE,Inputs!$B$32,0)))*(1-IF(AND(ArtifactsInput!$M$27,Inputs!$B$4="Chapter Hunt"),CHOOSE(ArtifactsInput!$N$27+1,20,24,28,32,36,40),0)/100)))+1)),0)</f>
        <v/>
      </c>
      <c r="S1928">
        <f>IFERROR(O1928/N1928,0)</f>
        <v/>
      </c>
      <c r="T1928">
        <f>IF(C1928,(H1928*N1928*IF(AND(Inputs!$B$38&lt;&gt;"pvp",Inputs!$B$43&gt;0),((Skills!G9*((R1928-1)*IF(Skills!H9&gt;0,INT(Skills!I9/Skills!H9+0.000000001),1)+IF(Skills!H9&gt;0,INT(MIN(Skills!I9,MAX(0,MAX(0,Inputs!$B$43-B1955)-((R1928-1)*(IF(Inputs!$B$38="pvp",15,MAX(0.1,Skills!D9-IF(TRUE=TRUE,Inputs!$B$32,0)))*(1-IF(AND(ArtifactsInput!$M$27,Inputs!$B$4="Chapter Hunt"),CHOOSE(ArtifactsInput!$N$27+1,20,24,28,32,36,40),0)/100)))))/Skills!H9+0.000000001),1)))/Inputs!$B$43),G1928*Q1928))*IF(Inputs!$B$38="pvp",1,1+(Inputs!$B$20+0+Skills!P9+(((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INT(Skills!I9/Skills!H9+0.000000001),1)+IF(Skills!H9&gt;0,INT(MIN(Skills!I9,MAX(0,MAX(0,Inputs!$B$43-B1955)-((R1928-1)*(IF(Inputs!$B$38="pvp",15,MAX(0.1,Skills!D9-IF(TRUE=TRUE,Inputs!$B$32,0)))*(1-IF(AND(ArtifactsInput!$M$27,Inputs!$B$4="Chapter Hunt"),CHOOSE(ArtifactsInput!$N$27+1,20,24,28,32,36,40),0)/100)))))/Skills!H9+0.000000001),1)))/Inputs!$B$43),G1928*Q1928))*IF(Inputs!$B$38="pvp",1,(1+(Inputs!$B$21+Skills!Q9+(((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Skills!G10*IF(Skills!H10&gt;0,INT(IF(Inputs!$B$38="pvp",MIN(Skills!I10,15),Skills!I10)/Skills!H10+0.000000001),1)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138,MAX(0,IF(Inputs!$B$3&gt;=118,8,IF(Inputs!$B$3&gt;=110,7,5))-5)*50,0),0)/100)*(1+(IF(Skills!A10="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IFERROR(1/(IF(Inputs!$B$38="pvp",15,MAX(0.1,Skills!D10-IF(TRUE=TRUE,Inputs!$B$32,0)))*(1-IF(AND(ArtifactsInput!$M$27,Inputs!$B$4="Chapter Hunt"),CHOOSE(ArtifactsInput!$N$27+1,20,24,28,32,36,40),0)/100)),0)</f>
        <v/>
      </c>
      <c r="R1929">
        <f>IF(AND(Inputs!$B$38&lt;&gt;"pvp",Inputs!$B$43&gt;0),IF(MAX(0,Inputs!$B$43-B1955)&lt;=0,0,(INT(MAX(0,Inputs!$B$43-B1955)/(IF(Inputs!$B$38="pvp",15,MAX(0.1,Skills!D10-IF(TRUE=TRUE,Inputs!$B$32,0)))*(1-IF(AND(ArtifactsInput!$M$27,Inputs!$B$4="Chapter Hunt"),CHOOSE(ArtifactsInput!$N$27+1,20,24,28,32,36,40),0)/100)))+1)),0)</f>
        <v/>
      </c>
      <c r="S1929">
        <f>IFERROR(O1929/N1929,0)</f>
        <v/>
      </c>
      <c r="T1929">
        <f>IF(C1929,(H1929*N1929*IF(AND(Inputs!$B$38&lt;&gt;"pvp",Inputs!$B$43&gt;0),((Skills!G10*((R1929-1)*IF(Skills!H10&gt;0,INT(Skills!I10/Skills!H10+0.000000001),1)+IF(Skills!H10&gt;0,INT(MIN(Skills!I10,MAX(0,MAX(0,Inputs!$B$43-B1955)-((R1929-1)*(IF(Inputs!$B$38="pvp",15,MAX(0.1,Skills!D10-IF(TRUE=TRUE,Inputs!$B$32,0)))*(1-IF(AND(ArtifactsInput!$M$27,Inputs!$B$4="Chapter Hunt"),CHOOSE(ArtifactsInput!$N$27+1,20,24,28,32,36,40),0)/100)))))/Skills!H10+0.000000001),1)))/Inputs!$B$43),G1929*Q1929))*IF(Inputs!$B$38="pvp",1,1+(Inputs!$B$20+0+Skills!P10+(((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INT(Skills!I10/Skills!H10+0.000000001),1)+IF(Skills!H10&gt;0,INT(MIN(Skills!I10,MAX(0,MAX(0,Inputs!$B$43-B1955)-((R1929-1)*(IF(Inputs!$B$38="pvp",15,MAX(0.1,Skills!D10-IF(TRUE=TRUE,Inputs!$B$32,0)))*(1-IF(AND(ArtifactsInput!$M$27,Inputs!$B$4="Chapter Hunt"),CHOOSE(ArtifactsInput!$N$27+1,20,24,28,32,36,40),0)/100)))))/Skills!H10+0.000000001),1)))/Inputs!$B$43),G1929*Q1929))*IF(Inputs!$B$38="pvp",1,(1+(Inputs!$B$21+Skills!Q10+(((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Skills!G11*IF(Skills!H11&gt;0,INT(IF(Inputs!$B$38="pvp",MIN(Skills!I11,15),Skills!I11)/Skills!H11+0.000000001),1)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138,MAX(0,IF(Inputs!$B$3&gt;=118,8,IF(Inputs!$B$3&gt;=110,7,5))-5)*50,0),0)/100)*(1+(IF(Skills!A11="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IFERROR(1/(IF(Inputs!$B$38="pvp",15,MAX(0.1,Skills!D11-IF(TRUE=TRUE,Inputs!$B$32,0)))*(1-IF(AND(ArtifactsInput!$M$27,Inputs!$B$4="Chapter Hunt"),CHOOSE(ArtifactsInput!$N$27+1,20,24,28,32,36,40),0)/100)),0)</f>
        <v/>
      </c>
      <c r="R1930">
        <f>IF(AND(Inputs!$B$38&lt;&gt;"pvp",Inputs!$B$43&gt;0),IF(MAX(0,Inputs!$B$43-B1955)&lt;=0,0,(INT(MAX(0,Inputs!$B$43-B1955)/(IF(Inputs!$B$38="pvp",15,MAX(0.1,Skills!D11-IF(TRUE=TRUE,Inputs!$B$32,0)))*(1-IF(AND(ArtifactsInput!$M$27,Inputs!$B$4="Chapter Hunt"),CHOOSE(ArtifactsInput!$N$27+1,20,24,28,32,36,40),0)/100)))+1)),0)</f>
        <v/>
      </c>
      <c r="S1930">
        <f>IFERROR(O1930/N1930,0)</f>
        <v/>
      </c>
      <c r="T1930">
        <f>IF(C1930,(H1930*N1930*IF(AND(Inputs!$B$38&lt;&gt;"pvp",Inputs!$B$43&gt;0),((Skills!G11*((R1930-1)*IF(Skills!H11&gt;0,INT(Skills!I11/Skills!H11+0.000000001),1)+IF(Skills!H11&gt;0,INT(MIN(Skills!I11,MAX(0,MAX(0,Inputs!$B$43-B1955)-((R1930-1)*(IF(Inputs!$B$38="pvp",15,MAX(0.1,Skills!D11-IF(TRUE=TRUE,Inputs!$B$32,0)))*(1-IF(AND(ArtifactsInput!$M$27,Inputs!$B$4="Chapter Hunt"),CHOOSE(ArtifactsInput!$N$27+1,20,24,28,32,36,40),0)/100)))))/Skills!H11+0.000000001),1)))/Inputs!$B$43),G1930*Q1930))*IF(Inputs!$B$38="pvp",1,1+(Inputs!$B$20+0+Skills!P11+(((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INT(Skills!I11/Skills!H11+0.000000001),1)+IF(Skills!H11&gt;0,INT(MIN(Skills!I11,MAX(0,MAX(0,Inputs!$B$43-B1955)-((R1930-1)*(IF(Inputs!$B$38="pvp",15,MAX(0.1,Skills!D11-IF(TRUE=TRUE,Inputs!$B$32,0)))*(1-IF(AND(ArtifactsInput!$M$27,Inputs!$B$4="Chapter Hunt"),CHOOSE(ArtifactsInput!$N$27+1,20,24,28,32,36,40),0)/100)))))/Skills!H11+0.000000001),1)))/Inputs!$B$43),G1930*Q1930))*IF(Inputs!$B$38="pvp",1,(1+(Inputs!$B$21+Skills!Q11+(((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Skills!G13*IF(Skills!H13&gt;0,INT(IF(Inputs!$B$38="pvp",MIN(Skills!I13,15),Skills!I13)/Skills!H13+0.000000001),1)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Skills!G14*IF(Skills!H14&gt;0,INT(IF(Inputs!$B$38="pvp",MIN(Skills!I14,15),Skills!I14)/Skills!H14+0.000000001),1)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Skills!G15*IF(Skills!H15&gt;0,INT(IF(Inputs!$B$38="pvp",MIN(Skills!I15,15),Skills!I15)/Skills!H15+0.000000001),1)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IFERROR(1/(IF(Inputs!$B$38="pvp",15,MAX(0.1,Skills!D15-IF(TRUE=TRUE,Inputs!$B$32,0)))*(1-IF(AND(ArtifactsInput!$M$27,Inputs!$B$4="Chapter Hunt"),CHOOSE(ArtifactsInput!$N$27+1,20,24,28,32,36,40),0)/100)),0)</f>
        <v/>
      </c>
      <c r="R1934">
        <f>IF(AND(Inputs!$B$38&lt;&gt;"pvp",Inputs!$B$43&gt;0),IF(Inputs!$B$43&lt;=0,0,(INT(Inputs!$B$43/(IF(Inputs!$B$38="pvp",15,MAX(0.1,Skills!D15-IF(TRUE=TRUE,Inputs!$B$32,0)))*(1-IF(AND(ArtifactsInput!$M$27,Inputs!$B$4="Chapter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Skills!G16*IF(Skills!H16&gt;0,INT(IF(Inputs!$B$38="pvp",MIN(Skills!I16,15),Skills!I16)/Skills!H16+0.000000001),1)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IFERROR(1/(IF(Inputs!$B$38="pvp",15,MAX(0.1,Skills!D16-IF(TRUE=TRUE,Inputs!$B$32,0)))*(1-IF(AND(ArtifactsInput!$M$27,Inputs!$B$4="Chapter Hunt"),CHOOSE(ArtifactsInput!$N$27+1,20,24,28,32,36,40),0)/100)),0)</f>
        <v/>
      </c>
      <c r="R1935">
        <f>IF(AND(Inputs!$B$38&lt;&gt;"pvp",Inputs!$B$43&gt;0),IF(Inputs!$B$43&lt;=0,0,(INT(Inputs!$B$43/(IF(Inputs!$B$38="pvp",15,MAX(0.1,Skills!D16-IF(TRUE=TRUE,Inputs!$B$32,0)))*(1-IF(AND(ArtifactsInput!$M$27,Inputs!$B$4="Chapter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Skills!G17*IF(Skills!H17&gt;0,INT(IF(Inputs!$B$38="pvp",MIN(Skills!I17,15),Skills!I17)/Skills!H17+0.000000001),1)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IFERROR(1/(IF(Inputs!$B$38="pvp",15,MAX(0.1,Skills!D17-IF(TRUE=TRUE,Inputs!$B$32,0)))*(1-IF(AND(ArtifactsInput!$M$27,Inputs!$B$4="Chapter Hunt"),CHOOSE(ArtifactsInput!$N$27+1,20,24,28,32,36,40),0)/100)),0)</f>
        <v/>
      </c>
      <c r="R1936">
        <f>IF(AND(Inputs!$B$38&lt;&gt;"pvp",Inputs!$B$43&gt;0),IF(Inputs!$B$43&lt;=0,0,(INT(Inputs!$B$43/(IF(Inputs!$B$38="pvp",15,MAX(0.1,Skills!D17-IF(TRUE=TRUE,Inputs!$B$32,0)))*(1-IF(AND(ArtifactsInput!$M$27,Inputs!$B$4="Chapter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Skills!G18*IF(Skills!H18&gt;0,INT(IF(Inputs!$B$38="pvp",MIN(Skills!I18,15),Skills!I18)/Skills!H18+0.000000001),1)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IFERROR(1/(IF(Inputs!$B$38="pvp",15,MAX(0.1,Skills!D18-IF(TRUE=TRUE,Inputs!$B$32,0)))*(1-IF(AND(ArtifactsInput!$M$27,Inputs!$B$4="Chapter Hunt"),CHOOSE(ArtifactsInput!$N$27+1,20,24,28,32,36,40),0)/100)),0)</f>
        <v/>
      </c>
      <c r="R1937">
        <f>IF(AND(Inputs!$B$38&lt;&gt;"pvp",Inputs!$B$43&gt;0),IF(Inputs!$B$43&lt;=0,0,(INT(Inputs!$B$43/(IF(Inputs!$B$38="pvp",15,MAX(0.1,Skills!D18-IF(TRUE=TRUE,Inputs!$B$32,0)))*(1-IF(AND(ArtifactsInput!$M$27,Inputs!$B$4="Chapter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Skills!G19*IF(Skills!H19&gt;0,INT(IF(Inputs!$B$38="pvp",MIN(Skills!I19,15),Skills!I19)/Skills!H19+0.000000001),1)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IFERROR(1/(IF(Inputs!$B$38="pvp",15,MAX(0.1,Skills!D19-IF(TRUE=TRUE,Inputs!$B$32,0)))*(1-IF(AND(ArtifactsInput!$M$27,Inputs!$B$4="Chapter Hunt"),CHOOSE(ArtifactsInput!$N$27+1,20,24,28,32,36,40),0)/100)),0)</f>
        <v/>
      </c>
      <c r="R1938">
        <f>IF(AND(Inputs!$B$38&lt;&gt;"pvp",Inputs!$B$43&gt;0),IF(Inputs!$B$43&lt;=0,0,(INT(Inputs!$B$43/(IF(Inputs!$B$38="pvp",15,MAX(0.1,Skills!D19-IF(TRUE=TRUE,Inputs!$B$32,0)))*(1-IF(AND(ArtifactsInput!$M$27,Inputs!$B$4="Chapter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Skills!G20*IF(Skills!H20&gt;0,INT(IF(Inputs!$B$38="pvp",MIN(Skills!I20,15),Skills!I20)/Skills!H20+0.000000001),1)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Skills!G21*IF(Skills!H21&gt;0,INT(IF(Inputs!$B$38="pvp",MIN(Skills!I21,15),Skills!I21)/Skills!H21+0.000000001),1)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Skills!G22*IF(Skills!H22&gt;0,INT(IF(Inputs!$B$38="pvp",MIN(Skills!I22,15),Skills!I22)/Skills!H22+0.000000001),1)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Skills!G23*IF(Skills!H23&gt;0,INT(IF(Inputs!$B$38="pvp",MIN(Skills!I23,15),Skills!I23)/Skills!H23+0.000000001),1)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Skills!G24*IF(Skills!H24&gt;0,INT(IF(Inputs!$B$38="pvp",MIN(Skills!I24,15),Skills!I24)/Skills!H24+0.000000001),1)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Skills!G25*IF(Skills!H25&gt;0,INT(IF(Inputs!$B$38="pvp",MIN(Skills!I25,15),Skills!I25)/Skills!H25+0.000000001),1)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Skills!G26*IF(Skills!H26&gt;0,INT(IF(Inputs!$B$38="pvp",MIN(Skills!I26,15),Skills!I26)/Skills!H26+0.000000001),1)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MIN((Skills!T19*(1+(Inputs!$B$34+(ArtifactsInput!$M$7-ArtifactsInput!$M$7)*CHOOSE(ArtifactsInput!$N$7+1,6,7.2,8.4,9.6,10.8,12))/100)),(1/Q1938))+MIN((Skills!T19*(1+(Inputs!$B$34+(ArtifactsInput!$M$7-ArtifactsInput!$M$7)*CHOOSE(ArtifactsInput!$N$7+1,6,7.2,8.4,9.6,10.8,12))/100)),MAX(0,Inputs!$B$43-((R1938-1)*(1/Q1938)))))/Inputs!$B$43),IF(Inputs!$B$38="pvp",MIN((Skills!T19*(1+(Inputs!$B$34+(ArtifactsInput!$M$7-ArtifactsInput!$M$7)*CHOOSE(ArtifactsInput!$N$7+1,6,7.2,8.4,9.6,10.8,12))/100)),15)/15,MIN(1,(Skills!T19*(1+(Inputs!$B$34+(ArtifactsInput!$M$7-ArtifactsInput!$M$7)*CHOOSE(ArtifactsInput!$N$7+1,6,7.2,8.4,9.6,10.8,12))/100))/(1/Q1938)))))</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MIN((Skills!T18*(1+(Inputs!$B$34+(ArtifactsInput!$M$7-ArtifactsInput!$M$7)*CHOOSE(ArtifactsInput!$N$7+1,6,7.2,8.4,9.6,10.8,12))/100)),(1/Q1937))+MIN((Skills!T18*(1+(Inputs!$B$34+(ArtifactsInput!$M$7-ArtifactsInput!$M$7)*CHOOSE(ArtifactsInput!$N$7+1,6,7.2,8.4,9.6,10.8,12))/100)),MAX(0,Inputs!$B$43-((R1937-1)*(1/Q1937)))))/Inputs!$B$43),IF(Inputs!$B$38="pvp",MIN((Skills!T18*(1+(Inputs!$B$34+(ArtifactsInput!$M$7-ArtifactsInput!$M$7)*CHOOSE(ArtifactsInput!$N$7+1,6,7.2,8.4,9.6,10.8,12))/100)),15)/15,MIN(1,(Skills!T18*(1+(Inputs!$B$34+(ArtifactsInput!$M$7-ArtifactsInput!$M$7)*CHOOSE(ArtifactsInput!$N$7+1,6,7.2,8.4,9.6,10.8,12))/100))/(1/Q1937)))))</f>
        <v/>
      </c>
    </row>
    <row r="1954">
      <c r="A1954" t="inlineStr">
        <is>
          <t>Global Final Damage Bonus % (Enrage + Combo Synergy)</t>
        </is>
      </c>
      <c r="B1954">
        <f>((C1936=TRUE)*F1936*IF(AND(Inputs!$B$38&lt;&gt;"pvp",Inputs!$B$43&gt;0),(((R1936-1)*MIN((Skills!T17*(1+(Inputs!$B$34+(ArtifactsInput!$M$7-ArtifactsInput!$M$7)*CHOOSE(ArtifactsInput!$N$7+1,6,7.2,8.4,9.6,10.8,12))/100)),(1/Q1936))+MIN((Skills!T17*(1+(Inputs!$B$34+(ArtifactsInput!$M$7-ArtifactsInput!$M$7)*CHOOSE(ArtifactsInput!$N$7+1,6,7.2,8.4,9.6,10.8,12))/100)),MAX(0,Inputs!$B$43-((R1936-1)*(1/Q1936)))))/Inputs!$B$43),IF(Inputs!$B$38="pvp",MIN((Skills!T17*(1+(Inputs!$B$34+(ArtifactsInput!$M$7-ArtifactsInput!$M$7)*CHOOSE(ArtifactsInput!$N$7+1,6,7.2,8.4,9.6,10.8,12))/100)),15)/15,MIN(1,(Skills!T17*(1+(Inputs!$B$34+(ArtifactsInput!$M$7-ArtifactsInput!$M$7)*CHOOSE(ArtifactsInput!$N$7+1,6,7.2,8.4,9.6,10.8,12))/100))/(1/Q1936)))))+((C1933=TRUE)*F1933*IF(Inputs!$B$3&gt;=118,8,IF(Inputs!$B$3&gt;=110,7,5)))+IF(Inputs!$B$3&gt;=98,5,0)</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Skills!G2*IF(Skills!H2&gt;0,INT(IF(Inputs!$B$38="pvp",MIN(Skills!I2,15),Skills!I2)/Skills!H2+0.000000001),1)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Skills!G5*IF(Skills!H5&gt;0,INT(IF(Inputs!$B$38="pvp",MIN(Skills!I5,15),Skills!I5)/Skills!H5+0.000000001),1)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IFERROR(1/(IF(Inputs!$B$38="pvp",15,MAX(0.1,Skills!D5-IF(TRUE=TRUE,Inputs!$B$32,0)))*(1-IF(AND(ArtifactsInput!$M$27,Inputs!$B$4="Chapter Hunt"),CHOOSE(ArtifactsInput!$N$27+1,20,24,28,32,36,40),0)/100)),0)</f>
        <v/>
      </c>
      <c r="R1966">
        <f>IF(AND(Inputs!$B$38&lt;&gt;"pvp",Inputs!$B$43&gt;0),IF(MAX(0,Inputs!$B$43-B1997)&lt;=0,0,(INT(MAX(0,Inputs!$B$43-B1997)/(IF(Inputs!$B$38="pvp",15,MAX(0.1,Skills!D5-IF(TRUE=TRUE,Inputs!$B$32,0)))*(1-IF(AND(ArtifactsInput!$M$27,Inputs!$B$4="Chapter Hunt"),CHOOSE(ArtifactsInput!$N$27+1,20,24,28,32,36,40),0)/100)))+1)),0)</f>
        <v/>
      </c>
      <c r="S1966">
        <f>IFERROR(O1966/N1966,0)</f>
        <v/>
      </c>
      <c r="T1966">
        <f>IF(C1966,(H1966*N1966*IF(AND(Inputs!$B$38&lt;&gt;"pvp",Inputs!$B$43&gt;0),((Skills!G5*((R1966-1)*IF(Skills!H5&gt;0,INT(Skills!I5/Skills!H5+0.000000001),1)+IF(Skills!H5&gt;0,INT(MIN(Skills!I5,MAX(0,MAX(0,Inputs!$B$43-B1997)-((R1966-1)*(IF(Inputs!$B$38="pvp",15,MAX(0.1,Skills!D5-IF(TRUE=TRUE,Inputs!$B$32,0)))*(1-IF(AND(ArtifactsInput!$M$27,Inputs!$B$4="Chapter Hunt"),CHOOSE(ArtifactsInput!$N$27+1,20,24,28,32,36,40),0)/100)))))/Skills!H5+0.000000001),1)))/Inputs!$B$43),G1966*Q1966))*IF(Inputs!$B$38="pvp",1,1+(Inputs!$B$20+0+Skills!P5+(((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INT(Skills!I5/Skills!H5+0.000000001),1)+IF(Skills!H5&gt;0,INT(MIN(Skills!I5,MAX(0,MAX(0,Inputs!$B$43-B1997)-((R1966-1)*(IF(Inputs!$B$38="pvp",15,MAX(0.1,Skills!D5-IF(TRUE=TRUE,Inputs!$B$32,0)))*(1-IF(AND(ArtifactsInput!$M$27,Inputs!$B$4="Chapter Hunt"),CHOOSE(ArtifactsInput!$N$27+1,20,24,28,32,36,40),0)/100)))))/Skills!H5+0.000000001),1)))/Inputs!$B$43),G1966*Q1966))*IF(Inputs!$B$38="pvp",1,(1+(Inputs!$B$21+Skills!Q5+(((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Skills!G6*IF(Skills!H6&gt;0,INT(IF(Inputs!$B$38="pvp",MIN(Skills!I6,15),Skills!I6)/Skills!H6+0.000000001),1)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INT(Skills!I6/Skills!H6+0.000000001),1)+IF(Skills!H6&gt;0,INT(MIN(Skills!I6,MAX(0,MAX(0,Inputs!$B$43-B1997)-((R1967-1)*(IF(Inputs!$B$38="pvp",15,MAX(0.1,Skills!D6-IF(TRUE=TRUE,Inputs!$B$32,0)))*(1-IF(AND(ArtifactsInput!$M$27,Inputs!$B$4="Chapter Hunt"),CHOOSE(ArtifactsInput!$N$27+1,20,24,28,32,36,40),0)/100)))))/Skills!H6+0.000000001),1)))/Inputs!$B$43),G1967*Q1967))*IF(Inputs!$B$38="pvp",1,1+(Inputs!$B$20+0+Skills!P6+(((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INT(Skills!I6/Skills!H6+0.000000001),1)+IF(Skills!H6&gt;0,INT(MIN(Skills!I6,MAX(0,MAX(0,Inputs!$B$43-B1997)-((R1967-1)*(IF(Inputs!$B$38="pvp",15,MAX(0.1,Skills!D6-IF(TRUE=TRUE,Inputs!$B$32,0)))*(1-IF(AND(ArtifactsInput!$M$27,Inputs!$B$4="Chapter Hunt"),CHOOSE(ArtifactsInput!$N$27+1,20,24,28,32,36,40),0)/100)))))/Skills!H6+0.000000001),1)))/Inputs!$B$43),G1967*Q1967))*IF(Inputs!$B$38="pvp",1,(1+(Inputs!$B$21+Skills!Q6+(((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Skills!G7*IF(Skills!H7&gt;0,INT(IF(Inputs!$B$38="pvp",MIN(Skills!I7,15),Skills!I7)/Skills!H7+0.000000001),1)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INT(Skills!I7/Skills!H7+0.000000001),1)+IF(Skills!H7&gt;0,INT(MIN(Skills!I7,MAX(0,MAX(0,Inputs!$B$43-B1997)-((R1968-1)*(IF(Inputs!$B$38="pvp",15,MAX(0.1,Skills!D7-IF(TRUE=TRUE,Inputs!$B$32,0)))*(1-IF(AND(ArtifactsInput!$M$27,Inputs!$B$4="Chapter Hunt"),CHOOSE(ArtifactsInput!$N$27+1,20,24,28,32,36,40),0)/100)))))/Skills!H7+0.000000001),1)))/Inputs!$B$43),G1968*Q1968))*IF(Inputs!$B$38="pvp",1,1+(Inputs!$B$20+0+Skills!P7+(((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INT(Skills!I7/Skills!H7+0.000000001),1)+IF(Skills!H7&gt;0,INT(MIN(Skills!I7,MAX(0,MAX(0,Inputs!$B$43-B1997)-((R1968-1)*(IF(Inputs!$B$38="pvp",15,MAX(0.1,Skills!D7-IF(TRUE=TRUE,Inputs!$B$32,0)))*(1-IF(AND(ArtifactsInput!$M$27,Inputs!$B$4="Chapter Hunt"),CHOOSE(ArtifactsInput!$N$27+1,20,24,28,32,36,40),0)/100)))))/Skills!H7+0.000000001),1)))/Inputs!$B$43),G1968*Q1968))*IF(Inputs!$B$38="pvp",1,(1+(Inputs!$B$21+Skills!Q7+(((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Skills!G8*IF(Skills!H8&gt;0,INT(IF(Inputs!$B$38="pvp",MIN(Skills!I8,15),Skills!I8)/Skills!H8+0.000000001),1)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INT(Skills!I8/Skills!H8+0.000000001),1)+IF(Skills!H8&gt;0,INT(MIN(Skills!I8,MAX(0,MAX(0,Inputs!$B$43-B1997)-((R1969-1)*(IF(Inputs!$B$38="pvp",15,MAX(0.1,Skills!D8-IF(TRUE=TRUE,Inputs!$B$32,0)))*(1-IF(AND(ArtifactsInput!$M$27,Inputs!$B$4="Chapter Hunt"),CHOOSE(ArtifactsInput!$N$27+1,20,24,28,32,36,40),0)/100)))))/Skills!H8+0.000000001),1)))/Inputs!$B$43),G1969*Q1969))*IF(Inputs!$B$38="pvp",1,1+(Inputs!$B$20+0+Skills!P8+(((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INT(Skills!I8/Skills!H8+0.000000001),1)+IF(Skills!H8&gt;0,INT(MIN(Skills!I8,MAX(0,MAX(0,Inputs!$B$43-B1997)-((R1969-1)*(IF(Inputs!$B$38="pvp",15,MAX(0.1,Skills!D8-IF(TRUE=TRUE,Inputs!$B$32,0)))*(1-IF(AND(ArtifactsInput!$M$27,Inputs!$B$4="Chapter Hunt"),CHOOSE(ArtifactsInput!$N$27+1,20,24,28,32,36,40),0)/100)))))/Skills!H8+0.000000001),1)))/Inputs!$B$43),G1969*Q1969))*IF(Inputs!$B$38="pvp",1,(1+(Inputs!$B$21+Skills!Q8+(((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Skills!G9*IF(Skills!H9&gt;0,INT(IF(Inputs!$B$38="pvp",MIN(Skills!I9,15),Skills!I9)/Skills!H9+0.000000001),1)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138,MAX(0,IF(Inputs!$B$3&gt;=118,8,IF(Inputs!$B$3&gt;=110,7,5))-5)*50,0),0)/100)*(1+(IF(Skills!A9="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IFERROR(1/(IF(Inputs!$B$38="pvp",15,MAX(0.1,Skills!D9-IF(TRUE=TRUE,Inputs!$B$32,0)))*(1-IF(AND(ArtifactsInput!$M$27,Inputs!$B$4="Chapter Hunt"),CHOOSE(ArtifactsInput!$N$27+1,20,24,28,32,36,40),0)/100)),0)</f>
        <v/>
      </c>
      <c r="R1970">
        <f>IF(AND(Inputs!$B$38&lt;&gt;"pvp",Inputs!$B$43&gt;0),IF(MAX(0,Inputs!$B$43-B1997)&lt;=0,0,(INT(MAX(0,Inputs!$B$43-B1997)/(IF(Inputs!$B$38="pvp",15,MAX(0.1,Skills!D9-IF(TRUE=TRUE,Inputs!$B$32,0)))*(1-IF(AND(ArtifactsInput!$M$27,Inputs!$B$4="Chapter Hunt"),CHOOSE(ArtifactsInput!$N$27+1,20,24,28,32,36,40),0)/100)))+1)),0)</f>
        <v/>
      </c>
      <c r="S1970">
        <f>IFERROR(O1970/N1970,0)</f>
        <v/>
      </c>
      <c r="T1970">
        <f>IF(C1970,(H1970*N1970*IF(AND(Inputs!$B$38&lt;&gt;"pvp",Inputs!$B$43&gt;0),((Skills!G9*((R1970-1)*IF(Skills!H9&gt;0,INT(Skills!I9/Skills!H9+0.000000001),1)+IF(Skills!H9&gt;0,INT(MIN(Skills!I9,MAX(0,MAX(0,Inputs!$B$43-B1997)-((R1970-1)*(IF(Inputs!$B$38="pvp",15,MAX(0.1,Skills!D9-IF(TRUE=TRUE,Inputs!$B$32,0)))*(1-IF(AND(ArtifactsInput!$M$27,Inputs!$B$4="Chapter Hunt"),CHOOSE(ArtifactsInput!$N$27+1,20,24,28,32,36,40),0)/100)))))/Skills!H9+0.000000001),1)))/Inputs!$B$43),G1970*Q1970))*IF(Inputs!$B$38="pvp",1,1+(Inputs!$B$20+0+Skills!P9+(((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INT(Skills!I9/Skills!H9+0.000000001),1)+IF(Skills!H9&gt;0,INT(MIN(Skills!I9,MAX(0,MAX(0,Inputs!$B$43-B1997)-((R1970-1)*(IF(Inputs!$B$38="pvp",15,MAX(0.1,Skills!D9-IF(TRUE=TRUE,Inputs!$B$32,0)))*(1-IF(AND(ArtifactsInput!$M$27,Inputs!$B$4="Chapter Hunt"),CHOOSE(ArtifactsInput!$N$27+1,20,24,28,32,36,40),0)/100)))))/Skills!H9+0.000000001),1)))/Inputs!$B$43),G1970*Q1970))*IF(Inputs!$B$38="pvp",1,(1+(Inputs!$B$21+Skills!Q9+(((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Skills!G10*IF(Skills!H10&gt;0,INT(IF(Inputs!$B$38="pvp",MIN(Skills!I10,15),Skills!I10)/Skills!H10+0.000000001),1)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138,MAX(0,IF(Inputs!$B$3&gt;=118,8,IF(Inputs!$B$3&gt;=110,7,5))-5)*50,0),0)/100)*(1+(IF(Skills!A10="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INT(Skills!I10/Skills!H10+0.000000001),1)+IF(Skills!H10&gt;0,INT(MIN(Skills!I10,MAX(0,MAX(0,Inputs!$B$43-B1997)-((R1971-1)*(IF(Inputs!$B$38="pvp",15,MAX(0.1,Skills!D10-IF(TRUE=TRUE,Inputs!$B$32,0)))*(1-IF(AND(ArtifactsInput!$M$27,Inputs!$B$4="Chapter Hunt"),CHOOSE(ArtifactsInput!$N$27+1,20,24,28,32,36,40),0)/100)))))/Skills!H10+0.000000001),1)))/Inputs!$B$43),G1971*Q1971))*IF(Inputs!$B$38="pvp",1,1+(Inputs!$B$20+0+Skills!P10+(((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INT(Skills!I10/Skills!H10+0.000000001),1)+IF(Skills!H10&gt;0,INT(MIN(Skills!I10,MAX(0,MAX(0,Inputs!$B$43-B1997)-((R1971-1)*(IF(Inputs!$B$38="pvp",15,MAX(0.1,Skills!D10-IF(TRUE=TRUE,Inputs!$B$32,0)))*(1-IF(AND(ArtifactsInput!$M$27,Inputs!$B$4="Chapter Hunt"),CHOOSE(ArtifactsInput!$N$27+1,20,24,28,32,36,40),0)/100)))))/Skills!H10+0.000000001),1)))/Inputs!$B$43),G1971*Q1971))*IF(Inputs!$B$38="pvp",1,(1+(Inputs!$B$21+Skills!Q10+(((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Skills!G11*IF(Skills!H11&gt;0,INT(IF(Inputs!$B$38="pvp",MIN(Skills!I11,15),Skills!I11)/Skills!H11+0.000000001),1)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138,MAX(0,IF(Inputs!$B$3&gt;=118,8,IF(Inputs!$B$3&gt;=110,7,5))-5)*50,0),0)/100)*(1+(IF(Skills!A11="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IFERROR(1/(IF(Inputs!$B$38="pvp",15,MAX(0.1,Skills!D11-IF(TRUE=TRUE,Inputs!$B$32,0)))*(1-IF(AND(ArtifactsInput!$M$27,Inputs!$B$4="Chapter Hunt"),CHOOSE(ArtifactsInput!$N$27+1,20,24,28,32,36,40),0)/100)),0)</f>
        <v/>
      </c>
      <c r="R1972">
        <f>IF(AND(Inputs!$B$38&lt;&gt;"pvp",Inputs!$B$43&gt;0),IF(MAX(0,Inputs!$B$43-B1997)&lt;=0,0,(INT(MAX(0,Inputs!$B$43-B1997)/(IF(Inputs!$B$38="pvp",15,MAX(0.1,Skills!D11-IF(TRUE=TRUE,Inputs!$B$32,0)))*(1-IF(AND(ArtifactsInput!$M$27,Inputs!$B$4="Chapter Hunt"),CHOOSE(ArtifactsInput!$N$27+1,20,24,28,32,36,40),0)/100)))+1)),0)</f>
        <v/>
      </c>
      <c r="S1972">
        <f>IFERROR(O1972/N1972,0)</f>
        <v/>
      </c>
      <c r="T1972">
        <f>IF(C1972,(H1972*N1972*IF(AND(Inputs!$B$38&lt;&gt;"pvp",Inputs!$B$43&gt;0),((Skills!G11*((R1972-1)*IF(Skills!H11&gt;0,INT(Skills!I11/Skills!H11+0.000000001),1)+IF(Skills!H11&gt;0,INT(MIN(Skills!I11,MAX(0,MAX(0,Inputs!$B$43-B1997)-((R1972-1)*(IF(Inputs!$B$38="pvp",15,MAX(0.1,Skills!D11-IF(TRUE=TRUE,Inputs!$B$32,0)))*(1-IF(AND(ArtifactsInput!$M$27,Inputs!$B$4="Chapter Hunt"),CHOOSE(ArtifactsInput!$N$27+1,20,24,28,32,36,40),0)/100)))))/Skills!H11+0.000000001),1)))/Inputs!$B$43),G1972*Q1972))*IF(Inputs!$B$38="pvp",1,1+(Inputs!$B$20+0+Skills!P11+(((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INT(Skills!I11/Skills!H11+0.000000001),1)+IF(Skills!H11&gt;0,INT(MIN(Skills!I11,MAX(0,MAX(0,Inputs!$B$43-B1997)-((R1972-1)*(IF(Inputs!$B$38="pvp",15,MAX(0.1,Skills!D11-IF(TRUE=TRUE,Inputs!$B$32,0)))*(1-IF(AND(ArtifactsInput!$M$27,Inputs!$B$4="Chapter Hunt"),CHOOSE(ArtifactsInput!$N$27+1,20,24,28,32,36,40),0)/100)))))/Skills!H11+0.000000001),1)))/Inputs!$B$43),G1972*Q1972))*IF(Inputs!$B$38="pvp",1,(1+(Inputs!$B$21+Skills!Q11+(((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Skills!G13*IF(Skills!H13&gt;0,INT(IF(Inputs!$B$38="pvp",MIN(Skills!I13,15),Skills!I13)/Skills!H13+0.000000001),1)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Skills!G14*IF(Skills!H14&gt;0,INT(IF(Inputs!$B$38="pvp",MIN(Skills!I14,15),Skills!I14)/Skills!H14+0.000000001),1)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Skills!G15*IF(Skills!H15&gt;0,INT(IF(Inputs!$B$38="pvp",MIN(Skills!I15,15),Skills!I15)/Skills!H15+0.000000001),1)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Skills!G16*IF(Skills!H16&gt;0,INT(IF(Inputs!$B$38="pvp",MIN(Skills!I16,15),Skills!I16)/Skills!H16+0.000000001),1)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IFERROR(1/(IF(Inputs!$B$38="pvp",15,MAX(0.1,Skills!D16-IF(TRUE=TRUE,Inputs!$B$32,0)))*(1-IF(AND(ArtifactsInput!$M$27,Inputs!$B$4="Chapter Hunt"),CHOOSE(ArtifactsInput!$N$27+1,20,24,28,32,36,40),0)/100)),0)</f>
        <v/>
      </c>
      <c r="R1977">
        <f>IF(AND(Inputs!$B$38&lt;&gt;"pvp",Inputs!$B$43&gt;0),IF(Inputs!$B$43&lt;=0,0,(INT(Inputs!$B$43/(IF(Inputs!$B$38="pvp",15,MAX(0.1,Skills!D16-IF(TRUE=TRUE,Inputs!$B$32,0)))*(1-IF(AND(ArtifactsInput!$M$27,Inputs!$B$4="Chapter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Skills!G17*IF(Skills!H17&gt;0,INT(IF(Inputs!$B$38="pvp",MIN(Skills!I17,15),Skills!I17)/Skills!H17+0.000000001),1)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IFERROR(1/(IF(Inputs!$B$38="pvp",15,MAX(0.1,Skills!D17-IF(TRUE=TRUE,Inputs!$B$32,0)))*(1-IF(AND(ArtifactsInput!$M$27,Inputs!$B$4="Chapter Hunt"),CHOOSE(ArtifactsInput!$N$27+1,20,24,28,32,36,40),0)/100)),0)</f>
        <v/>
      </c>
      <c r="R1978">
        <f>IF(AND(Inputs!$B$38&lt;&gt;"pvp",Inputs!$B$43&gt;0),IF(Inputs!$B$43&lt;=0,0,(INT(Inputs!$B$43/(IF(Inputs!$B$38="pvp",15,MAX(0.1,Skills!D17-IF(TRUE=TRUE,Inputs!$B$32,0)))*(1-IF(AND(ArtifactsInput!$M$27,Inputs!$B$4="Chapter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Skills!G18*IF(Skills!H18&gt;0,INT(IF(Inputs!$B$38="pvp",MIN(Skills!I18,15),Skills!I18)/Skills!H18+0.000000001),1)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IFERROR(1/(IF(Inputs!$B$38="pvp",15,MAX(0.1,Skills!D18-IF(TRUE=TRUE,Inputs!$B$32,0)))*(1-IF(AND(ArtifactsInput!$M$27,Inputs!$B$4="Chapter Hunt"),CHOOSE(ArtifactsInput!$N$27+1,20,24,28,32,36,40),0)/100)),0)</f>
        <v/>
      </c>
      <c r="R1979">
        <f>IF(AND(Inputs!$B$38&lt;&gt;"pvp",Inputs!$B$43&gt;0),IF(Inputs!$B$43&lt;=0,0,(INT(Inputs!$B$43/(IF(Inputs!$B$38="pvp",15,MAX(0.1,Skills!D18-IF(TRUE=TRUE,Inputs!$B$32,0)))*(1-IF(AND(ArtifactsInput!$M$27,Inputs!$B$4="Chapter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Skills!G19*IF(Skills!H19&gt;0,INT(IF(Inputs!$B$38="pvp",MIN(Skills!I19,15),Skills!I19)/Skills!H19+0.000000001),1)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IFERROR(1/(IF(Inputs!$B$38="pvp",15,MAX(0.1,Skills!D19-IF(TRUE=TRUE,Inputs!$B$32,0)))*(1-IF(AND(ArtifactsInput!$M$27,Inputs!$B$4="Chapter Hunt"),CHOOSE(ArtifactsInput!$N$27+1,20,24,28,32,36,40),0)/100)),0)</f>
        <v/>
      </c>
      <c r="R1980">
        <f>IF(AND(Inputs!$B$38&lt;&gt;"pvp",Inputs!$B$43&gt;0),IF(Inputs!$B$43&lt;=0,0,(INT(Inputs!$B$43/(IF(Inputs!$B$38="pvp",15,MAX(0.1,Skills!D19-IF(TRUE=TRUE,Inputs!$B$32,0)))*(1-IF(AND(ArtifactsInput!$M$27,Inputs!$B$4="Chapter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Skills!G20*IF(Skills!H20&gt;0,INT(IF(Inputs!$B$38="pvp",MIN(Skills!I20,15),Skills!I20)/Skills!H20+0.000000001),1)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Skills!G21*IF(Skills!H21&gt;0,INT(IF(Inputs!$B$38="pvp",MIN(Skills!I21,15),Skills!I21)/Skills!H21+0.000000001),1)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Skills!G22*IF(Skills!H22&gt;0,INT(IF(Inputs!$B$38="pvp",MIN(Skills!I22,15),Skills!I22)/Skills!H22+0.000000001),1)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Skills!G23*IF(Skills!H23&gt;0,INT(IF(Inputs!$B$38="pvp",MIN(Skills!I23,15),Skills!I23)/Skills!H23+0.000000001),1)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Skills!G24*IF(Skills!H24&gt;0,INT(IF(Inputs!$B$38="pvp",MIN(Skills!I24,15),Skills!I24)/Skills!H24+0.000000001),1)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Skills!G25*IF(Skills!H25&gt;0,INT(IF(Inputs!$B$38="pvp",MIN(Skills!I25,15),Skills!I25)/Skills!H25+0.000000001),1)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Skills!G26*IF(Skills!H26&gt;0,INT(IF(Inputs!$B$38="pvp",MIN(Skills!I26,15),Skills!I26)/Skills!H26+0.000000001),1)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MIN((Skills!T19*(1+(Inputs!$B$34+(ArtifactsInput!$M$7-ArtifactsInput!$M$7)*CHOOSE(ArtifactsInput!$N$7+1,6,7.2,8.4,9.6,10.8,12))/100)),(1/Q1980))+MIN((Skills!T19*(1+(Inputs!$B$34+(ArtifactsInput!$M$7-ArtifactsInput!$M$7)*CHOOSE(ArtifactsInput!$N$7+1,6,7.2,8.4,9.6,10.8,12))/100)),MAX(0,Inputs!$B$43-((R1980-1)*(1/Q1980)))))/Inputs!$B$43),IF(Inputs!$B$38="pvp",MIN((Skills!T19*(1+(Inputs!$B$34+(ArtifactsInput!$M$7-ArtifactsInput!$M$7)*CHOOSE(ArtifactsInput!$N$7+1,6,7.2,8.4,9.6,10.8,12))/100)),15)/15,MIN(1,(Skills!T19*(1+(Inputs!$B$34+(ArtifactsInput!$M$7-ArtifactsInput!$M$7)*CHOOSE(ArtifactsInput!$N$7+1,6,7.2,8.4,9.6,10.8,12))/100))/(1/Q1980)))))</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MIN((Skills!T18*(1+(Inputs!$B$34+(ArtifactsInput!$M$7-ArtifactsInput!$M$7)*CHOOSE(ArtifactsInput!$N$7+1,6,7.2,8.4,9.6,10.8,12))/100)),(1/Q1979))+MIN((Skills!T18*(1+(Inputs!$B$34+(ArtifactsInput!$M$7-ArtifactsInput!$M$7)*CHOOSE(ArtifactsInput!$N$7+1,6,7.2,8.4,9.6,10.8,12))/100)),MAX(0,Inputs!$B$43-((R1979-1)*(1/Q1979)))))/Inputs!$B$43),IF(Inputs!$B$38="pvp",MIN((Skills!T18*(1+(Inputs!$B$34+(ArtifactsInput!$M$7-ArtifactsInput!$M$7)*CHOOSE(ArtifactsInput!$N$7+1,6,7.2,8.4,9.6,10.8,12))/100)),15)/15,MIN(1,(Skills!T18*(1+(Inputs!$B$34+(ArtifactsInput!$M$7-ArtifactsInput!$M$7)*CHOOSE(ArtifactsInput!$N$7+1,6,7.2,8.4,9.6,10.8,12))/100))/(1/Q1979)))))</f>
        <v/>
      </c>
    </row>
    <row r="1996">
      <c r="A1996" t="inlineStr">
        <is>
          <t>Global Final Damage Bonus % (Enrage + Combo Synergy)</t>
        </is>
      </c>
      <c r="B1996">
        <f>((C1978=TRUE)*F1978*IF(AND(Inputs!$B$38&lt;&gt;"pvp",Inputs!$B$43&gt;0),(((R1978-1)*MIN((Skills!T17*(1+(Inputs!$B$34+(ArtifactsInput!$M$7-ArtifactsInput!$M$7)*CHOOSE(ArtifactsInput!$N$7+1,6,7.2,8.4,9.6,10.8,12))/100)),(1/Q1978))+MIN((Skills!T17*(1+(Inputs!$B$34+(ArtifactsInput!$M$7-ArtifactsInput!$M$7)*CHOOSE(ArtifactsInput!$N$7+1,6,7.2,8.4,9.6,10.8,12))/100)),MAX(0,Inputs!$B$43-((R1978-1)*(1/Q1978)))))/Inputs!$B$43),IF(Inputs!$B$38="pvp",MIN((Skills!T17*(1+(Inputs!$B$34+(ArtifactsInput!$M$7-ArtifactsInput!$M$7)*CHOOSE(ArtifactsInput!$N$7+1,6,7.2,8.4,9.6,10.8,12))/100)),15)/15,MIN(1,(Skills!T17*(1+(Inputs!$B$34+(ArtifactsInput!$M$7-ArtifactsInput!$M$7)*CHOOSE(ArtifactsInput!$N$7+1,6,7.2,8.4,9.6,10.8,12))/100))/(1/Q1978)))))+((C1975=TRUE)*F1975*IF(Inputs!$B$3&gt;=118,8,IF(Inputs!$B$3&gt;=110,7,5)))+IF(Inputs!$B$3&gt;=98,5,0)</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Skills!G2*IF(Skills!H2&gt;0,INT(IF(Inputs!$B$38="pvp",MIN(Skills!I2,15),Skills!I2)/Skills!H2+0.000000001),1)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Skills!G5*IF(Skills!H5&gt;0,INT(IF(Inputs!$B$38="pvp",MIN(Skills!I5,15),Skills!I5)/Skills!H5+0.000000001),1)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IFERROR(1/(IF(Inputs!$B$38="pvp",15,MAX(0.1,Skills!D5-IF(TRUE=TRUE,Inputs!$B$32,0)))*(1-IF(AND(IF(ArtifactsInput!$M$27,FALSE,TRUE),Inputs!$B$4="Chapter Hunt"),CHOOSE(ArtifactsInput!$N$27+1,20,24,28,32,36,40),0)/100)),0)</f>
        <v/>
      </c>
      <c r="R2008">
        <f>IF(AND(Inputs!$B$38&lt;&gt;"pvp",Inputs!$B$43&gt;0),IF(MAX(0,Inputs!$B$43-B2039)&lt;=0,0,(INT(MAX(0,Inputs!$B$43-B2039)/(IF(Inputs!$B$38="pvp",15,MAX(0.1,Skills!D5-IF(TRUE=TRUE,Inputs!$B$32,0)))*(1-IF(AND(IF(ArtifactsInput!$M$27,FALSE,TRUE),Inputs!$B$4="Chapter Hunt"),CHOOSE(ArtifactsInput!$N$27+1,20,24,28,32,36,40),0)/100)))+1)),0)</f>
        <v/>
      </c>
      <c r="S2008">
        <f>IFERROR(O2008/N2008,0)</f>
        <v/>
      </c>
      <c r="T2008">
        <f>IF(C2008,(H2008*N2008*IF(AND(Inputs!$B$38&lt;&gt;"pvp",Inputs!$B$43&gt;0),((Skills!G5*((R2008-1)*IF(Skills!H5&gt;0,INT(Skills!I5/Skills!H5+0.000000001),1)+IF(Skills!H5&gt;0,INT(MIN(Skills!I5,MAX(0,MAX(0,Inputs!$B$43-B2039)-((R2008-1)*(IF(Inputs!$B$38="pvp",15,MAX(0.1,Skills!D5-IF(TRUE=TRUE,Inputs!$B$32,0)))*(1-IF(AND(IF(ArtifactsInput!$M$27,FALSE,TRUE),Inputs!$B$4="Chapter Hunt"),CHOOSE(ArtifactsInput!$N$27+1,20,24,28,32,36,40),0)/100)))))/Skills!H5+0.000000001),1)))/Inputs!$B$43),G2008*Q2008))*IF(Inputs!$B$38="pvp",1,1+(Inputs!$B$20+0+Skills!P5+(((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INT(Skills!I5/Skills!H5+0.000000001),1)+IF(Skills!H5&gt;0,INT(MIN(Skills!I5,MAX(0,MAX(0,Inputs!$B$43-B2039)-((R2008-1)*(IF(Inputs!$B$38="pvp",15,MAX(0.1,Skills!D5-IF(TRUE=TRUE,Inputs!$B$32,0)))*(1-IF(AND(IF(ArtifactsInput!$M$27,FALSE,TRUE),Inputs!$B$4="Chapter Hunt"),CHOOSE(ArtifactsInput!$N$27+1,20,24,28,32,36,40),0)/100)))))/Skills!H5+0.000000001),1)))/Inputs!$B$43),G2008*Q2008))*IF(Inputs!$B$38="pvp",1,(1+(Inputs!$B$21+Skills!Q5+(((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Skills!G6*IF(Skills!H6&gt;0,INT(IF(Inputs!$B$38="pvp",MIN(Skills!I6,15),Skills!I6)/Skills!H6+0.000000001),1)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IFERROR(1/(IF(Inputs!$B$38="pvp",15,MAX(0.1,Skills!D6-IF(TRUE=TRUE,Inputs!$B$32,0)))*(1-IF(AND(IF(ArtifactsInput!$M$27,FALSE,TRUE),Inputs!$B$4="Chapter Hunt"),CHOOSE(ArtifactsInput!$N$27+1,20,24,28,32,36,40),0)/100)),0)</f>
        <v/>
      </c>
      <c r="R2009">
        <f>IF(AND(Inputs!$B$38&lt;&gt;"pvp",Inputs!$B$43&gt;0),IF(MAX(0,Inputs!$B$43-B2039)&lt;=0,0,(INT(MAX(0,Inputs!$B$43-B2039)/(IF(Inputs!$B$38="pvp",15,MAX(0.1,Skills!D6-IF(TRUE=TRUE,Inputs!$B$32,0)))*(1-IF(AND(IF(ArtifactsInput!$M$27,FALSE,TRUE),Inputs!$B$4="Chapter Hunt"),CHOOSE(ArtifactsInput!$N$27+1,20,24,28,32,36,40),0)/100)))+1)),0)</f>
        <v/>
      </c>
      <c r="S2009">
        <f>IFERROR(O2009/N2009,0)</f>
        <v/>
      </c>
      <c r="T2009">
        <f>IF(C2009,(H2009*N2009*IF(AND(Inputs!$B$38&lt;&gt;"pvp",Inputs!$B$43&gt;0),((Skills!G6*((R2009-1)*IF(Skills!H6&gt;0,INT(Skills!I6/Skills!H6+0.000000001),1)+IF(Skills!H6&gt;0,INT(MIN(Skills!I6,MAX(0,MAX(0,Inputs!$B$43-B2039)-((R2009-1)*(IF(Inputs!$B$38="pvp",15,MAX(0.1,Skills!D6-IF(TRUE=TRUE,Inputs!$B$32,0)))*(1-IF(AND(IF(ArtifactsInput!$M$27,FALSE,TRUE),Inputs!$B$4="Chapter Hunt"),CHOOSE(ArtifactsInput!$N$27+1,20,24,28,32,36,40),0)/100)))))/Skills!H6+0.000000001),1)))/Inputs!$B$43),G2009*Q2009))*IF(Inputs!$B$38="pvp",1,1+(Inputs!$B$20+0+Skills!P6+(((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INT(Skills!I6/Skills!H6+0.000000001),1)+IF(Skills!H6&gt;0,INT(MIN(Skills!I6,MAX(0,MAX(0,Inputs!$B$43-B2039)-((R2009-1)*(IF(Inputs!$B$38="pvp",15,MAX(0.1,Skills!D6-IF(TRUE=TRUE,Inputs!$B$32,0)))*(1-IF(AND(IF(ArtifactsInput!$M$27,FALSE,TRUE),Inputs!$B$4="Chapter Hunt"),CHOOSE(ArtifactsInput!$N$27+1,20,24,28,32,36,40),0)/100)))))/Skills!H6+0.000000001),1)))/Inputs!$B$43),G2009*Q2009))*IF(Inputs!$B$38="pvp",1,(1+(Inputs!$B$21+Skills!Q6+(((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Skills!G7*IF(Skills!H7&gt;0,INT(IF(Inputs!$B$38="pvp",MIN(Skills!I7,15),Skills!I7)/Skills!H7+0.000000001),1)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IFERROR(1/(IF(Inputs!$B$38="pvp",15,MAX(0.1,Skills!D7-IF(TRUE=TRUE,Inputs!$B$32,0)))*(1-IF(AND(IF(ArtifactsInput!$M$27,FALSE,TRUE),Inputs!$B$4="Chapter Hunt"),CHOOSE(ArtifactsInput!$N$27+1,20,24,28,32,36,40),0)/100)),0)</f>
        <v/>
      </c>
      <c r="R2010">
        <f>IF(AND(Inputs!$B$38&lt;&gt;"pvp",Inputs!$B$43&gt;0),IF(MAX(0,Inputs!$B$43-B2039)&lt;=0,0,(INT(MAX(0,Inputs!$B$43-B2039)/(IF(Inputs!$B$38="pvp",15,MAX(0.1,Skills!D7-IF(TRUE=TRUE,Inputs!$B$32,0)))*(1-IF(AND(IF(ArtifactsInput!$M$27,FALSE,TRUE),Inputs!$B$4="Chapter Hunt"),CHOOSE(ArtifactsInput!$N$27+1,20,24,28,32,36,40),0)/100)))+1)),0)</f>
        <v/>
      </c>
      <c r="S2010">
        <f>IFERROR(O2010/N2010,0)</f>
        <v/>
      </c>
      <c r="T2010">
        <f>IF(C2010,(H2010*N2010*IF(AND(Inputs!$B$38&lt;&gt;"pvp",Inputs!$B$43&gt;0),((Skills!G7*((R2010-1)*IF(Skills!H7&gt;0,INT(Skills!I7/Skills!H7+0.000000001),1)+IF(Skills!H7&gt;0,INT(MIN(Skills!I7,MAX(0,MAX(0,Inputs!$B$43-B2039)-((R2010-1)*(IF(Inputs!$B$38="pvp",15,MAX(0.1,Skills!D7-IF(TRUE=TRUE,Inputs!$B$32,0)))*(1-IF(AND(IF(ArtifactsInput!$M$27,FALSE,TRUE),Inputs!$B$4="Chapter Hunt"),CHOOSE(ArtifactsInput!$N$27+1,20,24,28,32,36,40),0)/100)))))/Skills!H7+0.000000001),1)))/Inputs!$B$43),G2010*Q2010))*IF(Inputs!$B$38="pvp",1,1+(Inputs!$B$20+0+Skills!P7+(((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INT(Skills!I7/Skills!H7+0.000000001),1)+IF(Skills!H7&gt;0,INT(MIN(Skills!I7,MAX(0,MAX(0,Inputs!$B$43-B2039)-((R2010-1)*(IF(Inputs!$B$38="pvp",15,MAX(0.1,Skills!D7-IF(TRUE=TRUE,Inputs!$B$32,0)))*(1-IF(AND(IF(ArtifactsInput!$M$27,FALSE,TRUE),Inputs!$B$4="Chapter Hunt"),CHOOSE(ArtifactsInput!$N$27+1,20,24,28,32,36,40),0)/100)))))/Skills!H7+0.000000001),1)))/Inputs!$B$43),G2010*Q2010))*IF(Inputs!$B$38="pvp",1,(1+(Inputs!$B$21+Skills!Q7+(((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Skills!G8*IF(Skills!H8&gt;0,INT(IF(Inputs!$B$38="pvp",MIN(Skills!I8,15),Skills!I8)/Skills!H8+0.000000001),1)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IFERROR(1/(IF(Inputs!$B$38="pvp",15,MAX(0.1,Skills!D8-IF(TRUE=TRUE,Inputs!$B$32,0)))*(1-IF(AND(IF(ArtifactsInput!$M$27,FALSE,TRUE),Inputs!$B$4="Chapter Hunt"),CHOOSE(ArtifactsInput!$N$27+1,20,24,28,32,36,40),0)/100)),0)</f>
        <v/>
      </c>
      <c r="R2011">
        <f>IF(AND(Inputs!$B$38&lt;&gt;"pvp",Inputs!$B$43&gt;0),IF(MAX(0,Inputs!$B$43-B2039)&lt;=0,0,(INT(MAX(0,Inputs!$B$43-B2039)/(IF(Inputs!$B$38="pvp",15,MAX(0.1,Skills!D8-IF(TRUE=TRUE,Inputs!$B$32,0)))*(1-IF(AND(IF(ArtifactsInput!$M$27,FALSE,TRUE),Inputs!$B$4="Chapter Hunt"),CHOOSE(ArtifactsInput!$N$27+1,20,24,28,32,36,40),0)/100)))+1)),0)</f>
        <v/>
      </c>
      <c r="S2011">
        <f>IFERROR(O2011/N2011,0)</f>
        <v/>
      </c>
      <c r="T2011">
        <f>IF(C2011,(H2011*N2011*IF(AND(Inputs!$B$38&lt;&gt;"pvp",Inputs!$B$43&gt;0),((Skills!G8*((R2011-1)*IF(Skills!H8&gt;0,INT(Skills!I8/Skills!H8+0.000000001),1)+IF(Skills!H8&gt;0,INT(MIN(Skills!I8,MAX(0,MAX(0,Inputs!$B$43-B2039)-((R2011-1)*(IF(Inputs!$B$38="pvp",15,MAX(0.1,Skills!D8-IF(TRUE=TRUE,Inputs!$B$32,0)))*(1-IF(AND(IF(ArtifactsInput!$M$27,FALSE,TRUE),Inputs!$B$4="Chapter Hunt"),CHOOSE(ArtifactsInput!$N$27+1,20,24,28,32,36,40),0)/100)))))/Skills!H8+0.000000001),1)))/Inputs!$B$43),G2011*Q2011))*IF(Inputs!$B$38="pvp",1,1+(Inputs!$B$20+0+Skills!P8+(((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INT(Skills!I8/Skills!H8+0.000000001),1)+IF(Skills!H8&gt;0,INT(MIN(Skills!I8,MAX(0,MAX(0,Inputs!$B$43-B2039)-((R2011-1)*(IF(Inputs!$B$38="pvp",15,MAX(0.1,Skills!D8-IF(TRUE=TRUE,Inputs!$B$32,0)))*(1-IF(AND(IF(ArtifactsInput!$M$27,FALSE,TRUE),Inputs!$B$4="Chapter Hunt"),CHOOSE(ArtifactsInput!$N$27+1,20,24,28,32,36,40),0)/100)))))/Skills!H8+0.000000001),1)))/Inputs!$B$43),G2011*Q2011))*IF(Inputs!$B$38="pvp",1,(1+(Inputs!$B$21+Skills!Q8+(((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Skills!G9*IF(Skills!H9&gt;0,INT(IF(Inputs!$B$38="pvp",MIN(Skills!I9,15),Skills!I9)/Skills!H9+0.000000001),1)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138,MAX(0,IF(Inputs!$B$3&gt;=118,8,IF(Inputs!$B$3&gt;=110,7,5))-5)*50,0),0)/100)*(1+(IF(Skills!A9="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IFERROR(1/(IF(Inputs!$B$38="pvp",15,MAX(0.1,Skills!D9-IF(TRUE=TRUE,Inputs!$B$32,0)))*(1-IF(AND(IF(ArtifactsInput!$M$27,FALSE,TRUE),Inputs!$B$4="Chapter Hunt"),CHOOSE(ArtifactsInput!$N$27+1,20,24,28,32,36,40),0)/100)),0)</f>
        <v/>
      </c>
      <c r="R2012">
        <f>IF(AND(Inputs!$B$38&lt;&gt;"pvp",Inputs!$B$43&gt;0),IF(MAX(0,Inputs!$B$43-B2039)&lt;=0,0,(INT(MAX(0,Inputs!$B$43-B2039)/(IF(Inputs!$B$38="pvp",15,MAX(0.1,Skills!D9-IF(TRUE=TRUE,Inputs!$B$32,0)))*(1-IF(AND(IF(ArtifactsInput!$M$27,FALSE,TRUE),Inputs!$B$4="Chapter Hunt"),CHOOSE(ArtifactsInput!$N$27+1,20,24,28,32,36,40),0)/100)))+1)),0)</f>
        <v/>
      </c>
      <c r="S2012">
        <f>IFERROR(O2012/N2012,0)</f>
        <v/>
      </c>
      <c r="T2012">
        <f>IF(C2012,(H2012*N2012*IF(AND(Inputs!$B$38&lt;&gt;"pvp",Inputs!$B$43&gt;0),((Skills!G9*((R2012-1)*IF(Skills!H9&gt;0,INT(Skills!I9/Skills!H9+0.000000001),1)+IF(Skills!H9&gt;0,INT(MIN(Skills!I9,MAX(0,MAX(0,Inputs!$B$43-B2039)-((R2012-1)*(IF(Inputs!$B$38="pvp",15,MAX(0.1,Skills!D9-IF(TRUE=TRUE,Inputs!$B$32,0)))*(1-IF(AND(IF(ArtifactsInput!$M$27,FALSE,TRUE),Inputs!$B$4="Chapter Hunt"),CHOOSE(ArtifactsInput!$N$27+1,20,24,28,32,36,40),0)/100)))))/Skills!H9+0.000000001),1)))/Inputs!$B$43),G2012*Q2012))*IF(Inputs!$B$38="pvp",1,1+(Inputs!$B$20+0+Skills!P9+(((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INT(Skills!I9/Skills!H9+0.000000001),1)+IF(Skills!H9&gt;0,INT(MIN(Skills!I9,MAX(0,MAX(0,Inputs!$B$43-B2039)-((R2012-1)*(IF(Inputs!$B$38="pvp",15,MAX(0.1,Skills!D9-IF(TRUE=TRUE,Inputs!$B$32,0)))*(1-IF(AND(IF(ArtifactsInput!$M$27,FALSE,TRUE),Inputs!$B$4="Chapter Hunt"),CHOOSE(ArtifactsInput!$N$27+1,20,24,28,32,36,40),0)/100)))))/Skills!H9+0.000000001),1)))/Inputs!$B$43),G2012*Q2012))*IF(Inputs!$B$38="pvp",1,(1+(Inputs!$B$21+Skills!Q9+(((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Skills!G10*IF(Skills!H10&gt;0,INT(IF(Inputs!$B$38="pvp",MIN(Skills!I10,15),Skills!I10)/Skills!H10+0.000000001),1)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138,MAX(0,IF(Inputs!$B$3&gt;=118,8,IF(Inputs!$B$3&gt;=110,7,5))-5)*50,0),0)/100)*(1+(IF(Skills!A10="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IFERROR(1/(IF(Inputs!$B$38="pvp",15,MAX(0.1,Skills!D10-IF(TRUE=TRUE,Inputs!$B$32,0)))*(1-IF(AND(IF(ArtifactsInput!$M$27,FALSE,TRUE),Inputs!$B$4="Chapter Hunt"),CHOOSE(ArtifactsInput!$N$27+1,20,24,28,32,36,40),0)/100)),0)</f>
        <v/>
      </c>
      <c r="R2013">
        <f>IF(AND(Inputs!$B$38&lt;&gt;"pvp",Inputs!$B$43&gt;0),IF(MAX(0,Inputs!$B$43-B2039)&lt;=0,0,(INT(MAX(0,Inputs!$B$43-B2039)/(IF(Inputs!$B$38="pvp",15,MAX(0.1,Skills!D10-IF(TRUE=TRUE,Inputs!$B$32,0)))*(1-IF(AND(IF(ArtifactsInput!$M$27,FALSE,TRUE),Inputs!$B$4="Chapter Hunt"),CHOOSE(ArtifactsInput!$N$27+1,20,24,28,32,36,40),0)/100)))+1)),0)</f>
        <v/>
      </c>
      <c r="S2013">
        <f>IFERROR(O2013/N2013,0)</f>
        <v/>
      </c>
      <c r="T2013">
        <f>IF(C2013,(H2013*N2013*IF(AND(Inputs!$B$38&lt;&gt;"pvp",Inputs!$B$43&gt;0),((Skills!G10*((R2013-1)*IF(Skills!H10&gt;0,INT(Skills!I10/Skills!H10+0.000000001),1)+IF(Skills!H10&gt;0,INT(MIN(Skills!I10,MAX(0,MAX(0,Inputs!$B$43-B2039)-((R2013-1)*(IF(Inputs!$B$38="pvp",15,MAX(0.1,Skills!D10-IF(TRUE=TRUE,Inputs!$B$32,0)))*(1-IF(AND(IF(ArtifactsInput!$M$27,FALSE,TRUE),Inputs!$B$4="Chapter Hunt"),CHOOSE(ArtifactsInput!$N$27+1,20,24,28,32,36,40),0)/100)))))/Skills!H10+0.000000001),1)))/Inputs!$B$43),G2013*Q2013))*IF(Inputs!$B$38="pvp",1,1+(Inputs!$B$20+0+Skills!P10+(((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INT(Skills!I10/Skills!H10+0.000000001),1)+IF(Skills!H10&gt;0,INT(MIN(Skills!I10,MAX(0,MAX(0,Inputs!$B$43-B2039)-((R2013-1)*(IF(Inputs!$B$38="pvp",15,MAX(0.1,Skills!D10-IF(TRUE=TRUE,Inputs!$B$32,0)))*(1-IF(AND(IF(ArtifactsInput!$M$27,FALSE,TRUE),Inputs!$B$4="Chapter Hunt"),CHOOSE(ArtifactsInput!$N$27+1,20,24,28,32,36,40),0)/100)))))/Skills!H10+0.000000001),1)))/Inputs!$B$43),G2013*Q2013))*IF(Inputs!$B$38="pvp",1,(1+(Inputs!$B$21+Skills!Q10+(((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Skills!G11*IF(Skills!H11&gt;0,INT(IF(Inputs!$B$38="pvp",MIN(Skills!I11,15),Skills!I11)/Skills!H11+0.000000001),1)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138,MAX(0,IF(Inputs!$B$3&gt;=118,8,IF(Inputs!$B$3&gt;=110,7,5))-5)*50,0),0)/100)*(1+(IF(Skills!A11="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IFERROR(1/(IF(Inputs!$B$38="pvp",15,MAX(0.1,Skills!D11-IF(TRUE=TRUE,Inputs!$B$32,0)))*(1-IF(AND(IF(ArtifactsInput!$M$27,FALSE,TRUE),Inputs!$B$4="Chapter Hunt"),CHOOSE(ArtifactsInput!$N$27+1,20,24,28,32,36,40),0)/100)),0)</f>
        <v/>
      </c>
      <c r="R2014">
        <f>IF(AND(Inputs!$B$38&lt;&gt;"pvp",Inputs!$B$43&gt;0),IF(MAX(0,Inputs!$B$43-B2039)&lt;=0,0,(INT(MAX(0,Inputs!$B$43-B2039)/(IF(Inputs!$B$38="pvp",15,MAX(0.1,Skills!D11-IF(TRUE=TRUE,Inputs!$B$32,0)))*(1-IF(AND(IF(ArtifactsInput!$M$27,FALSE,TRUE),Inputs!$B$4="Chapter Hunt"),CHOOSE(ArtifactsInput!$N$27+1,20,24,28,32,36,40),0)/100)))+1)),0)</f>
        <v/>
      </c>
      <c r="S2014">
        <f>IFERROR(O2014/N2014,0)</f>
        <v/>
      </c>
      <c r="T2014">
        <f>IF(C2014,(H2014*N2014*IF(AND(Inputs!$B$38&lt;&gt;"pvp",Inputs!$B$43&gt;0),((Skills!G11*((R2014-1)*IF(Skills!H11&gt;0,INT(Skills!I11/Skills!H11+0.000000001),1)+IF(Skills!H11&gt;0,INT(MIN(Skills!I11,MAX(0,MAX(0,Inputs!$B$43-B2039)-((R2014-1)*(IF(Inputs!$B$38="pvp",15,MAX(0.1,Skills!D11-IF(TRUE=TRUE,Inputs!$B$32,0)))*(1-IF(AND(IF(ArtifactsInput!$M$27,FALSE,TRUE),Inputs!$B$4="Chapter Hunt"),CHOOSE(ArtifactsInput!$N$27+1,20,24,28,32,36,40),0)/100)))))/Skills!H11+0.000000001),1)))/Inputs!$B$43),G2014*Q2014))*IF(Inputs!$B$38="pvp",1,1+(Inputs!$B$20+0+Skills!P11+(((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INT(Skills!I11/Skills!H11+0.000000001),1)+IF(Skills!H11&gt;0,INT(MIN(Skills!I11,MAX(0,MAX(0,Inputs!$B$43-B2039)-((R2014-1)*(IF(Inputs!$B$38="pvp",15,MAX(0.1,Skills!D11-IF(TRUE=TRUE,Inputs!$B$32,0)))*(1-IF(AND(IF(ArtifactsInput!$M$27,FALSE,TRUE),Inputs!$B$4="Chapter Hunt"),CHOOSE(ArtifactsInput!$N$27+1,20,24,28,32,36,40),0)/100)))))/Skills!H11+0.000000001),1)))/Inputs!$B$43),G2014*Q2014))*IF(Inputs!$B$38="pvp",1,(1+(Inputs!$B$21+Skills!Q11+(((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Skills!G13*IF(Skills!H13&gt;0,INT(IF(Inputs!$B$38="pvp",MIN(Skills!I13,15),Skills!I13)/Skills!H13+0.000000001),1)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Skills!G14*IF(Skills!H14&gt;0,INT(IF(Inputs!$B$38="pvp",MIN(Skills!I14,15),Skills!I14)/Skills!H14+0.000000001),1)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Skills!G15*IF(Skills!H15&gt;0,INT(IF(Inputs!$B$38="pvp",MIN(Skills!I15,15),Skills!I15)/Skills!H15+0.000000001),1)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IFERROR(1/(IF(Inputs!$B$38="pvp",15,MAX(0.1,Skills!D15-IF(TRUE=TRUE,Inputs!$B$32,0)))*(1-IF(AND(IF(ArtifactsInput!$M$27,FALSE,TRUE),Inputs!$B$4="Chapter Hunt"),CHOOSE(ArtifactsInput!$N$27+1,20,24,28,32,36,40),0)/100)),0)</f>
        <v/>
      </c>
      <c r="R2018">
        <f>IF(AND(Inputs!$B$38&lt;&gt;"pvp",Inputs!$B$43&gt;0),IF(Inputs!$B$43&lt;=0,0,(INT(Inputs!$B$43/(IF(Inputs!$B$38="pvp",15,MAX(0.1,Skills!D15-IF(TRUE=TRUE,Inputs!$B$32,0)))*(1-IF(AND(IF(ArtifactsInput!$M$27,FALSE,TRUE),Inputs!$B$4="Chapter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Skills!G16*IF(Skills!H16&gt;0,INT(IF(Inputs!$B$38="pvp",MIN(Skills!I16,15),Skills!I16)/Skills!H16+0.000000001),1)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IFERROR(1/(IF(Inputs!$B$38="pvp",15,MAX(0.1,Skills!D16-IF(TRUE=TRUE,Inputs!$B$32,0)))*(1-IF(AND(IF(ArtifactsInput!$M$27,FALSE,TRUE),Inputs!$B$4="Chapter Hunt"),CHOOSE(ArtifactsInput!$N$27+1,20,24,28,32,36,40),0)/100)),0)</f>
        <v/>
      </c>
      <c r="R2019">
        <f>IF(AND(Inputs!$B$38&lt;&gt;"pvp",Inputs!$B$43&gt;0),IF(Inputs!$B$43&lt;=0,0,(INT(Inputs!$B$43/(IF(Inputs!$B$38="pvp",15,MAX(0.1,Skills!D16-IF(TRUE=TRUE,Inputs!$B$32,0)))*(1-IF(AND(IF(ArtifactsInput!$M$27,FALSE,TRUE),Inputs!$B$4="Chapter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Skills!G17*IF(Skills!H17&gt;0,INT(IF(Inputs!$B$38="pvp",MIN(Skills!I17,15),Skills!I17)/Skills!H17+0.000000001),1)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IFERROR(1/(IF(Inputs!$B$38="pvp",15,MAX(0.1,Skills!D17-IF(TRUE=TRUE,Inputs!$B$32,0)))*(1-IF(AND(IF(ArtifactsInput!$M$27,FALSE,TRUE),Inputs!$B$4="Chapter Hunt"),CHOOSE(ArtifactsInput!$N$27+1,20,24,28,32,36,40),0)/100)),0)</f>
        <v/>
      </c>
      <c r="R2020">
        <f>IF(AND(Inputs!$B$38&lt;&gt;"pvp",Inputs!$B$43&gt;0),IF(Inputs!$B$43&lt;=0,0,(INT(Inputs!$B$43/(IF(Inputs!$B$38="pvp",15,MAX(0.1,Skills!D17-IF(TRUE=TRUE,Inputs!$B$32,0)))*(1-IF(AND(IF(ArtifactsInput!$M$27,FALSE,TRUE),Inputs!$B$4="Chapter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Skills!G18*IF(Skills!H18&gt;0,INT(IF(Inputs!$B$38="pvp",MIN(Skills!I18,15),Skills!I18)/Skills!H18+0.000000001),1)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IFERROR(1/(IF(Inputs!$B$38="pvp",15,MAX(0.1,Skills!D18-IF(TRUE=TRUE,Inputs!$B$32,0)))*(1-IF(AND(IF(ArtifactsInput!$M$27,FALSE,TRUE),Inputs!$B$4="Chapter Hunt"),CHOOSE(ArtifactsInput!$N$27+1,20,24,28,32,36,40),0)/100)),0)</f>
        <v/>
      </c>
      <c r="R2021">
        <f>IF(AND(Inputs!$B$38&lt;&gt;"pvp",Inputs!$B$43&gt;0),IF(Inputs!$B$43&lt;=0,0,(INT(Inputs!$B$43/(IF(Inputs!$B$38="pvp",15,MAX(0.1,Skills!D18-IF(TRUE=TRUE,Inputs!$B$32,0)))*(1-IF(AND(IF(ArtifactsInput!$M$27,FALSE,TRUE),Inputs!$B$4="Chapter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Skills!G19*IF(Skills!H19&gt;0,INT(IF(Inputs!$B$38="pvp",MIN(Skills!I19,15),Skills!I19)/Skills!H19+0.000000001),1)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IFERROR(1/(IF(Inputs!$B$38="pvp",15,MAX(0.1,Skills!D19-IF(TRUE=TRUE,Inputs!$B$32,0)))*(1-IF(AND(IF(ArtifactsInput!$M$27,FALSE,TRUE),Inputs!$B$4="Chapter Hunt"),CHOOSE(ArtifactsInput!$N$27+1,20,24,28,32,36,40),0)/100)),0)</f>
        <v/>
      </c>
      <c r="R2022">
        <f>IF(AND(Inputs!$B$38&lt;&gt;"pvp",Inputs!$B$43&gt;0),IF(Inputs!$B$43&lt;=0,0,(INT(Inputs!$B$43/(IF(Inputs!$B$38="pvp",15,MAX(0.1,Skills!D19-IF(TRUE=TRUE,Inputs!$B$32,0)))*(1-IF(AND(IF(ArtifactsInput!$M$27,FALSE,TRUE),Inputs!$B$4="Chapter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Skills!G20*IF(Skills!H20&gt;0,INT(IF(Inputs!$B$38="pvp",MIN(Skills!I20,15),Skills!I20)/Skills!H20+0.000000001),1)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Skills!G21*IF(Skills!H21&gt;0,INT(IF(Inputs!$B$38="pvp",MIN(Skills!I21,15),Skills!I21)/Skills!H21+0.000000001),1)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Skills!G22*IF(Skills!H22&gt;0,INT(IF(Inputs!$B$38="pvp",MIN(Skills!I22,15),Skills!I22)/Skills!H22+0.000000001),1)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Skills!G23*IF(Skills!H23&gt;0,INT(IF(Inputs!$B$38="pvp",MIN(Skills!I23,15),Skills!I23)/Skills!H23+0.000000001),1)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Skills!G24*IF(Skills!H24&gt;0,INT(IF(Inputs!$B$38="pvp",MIN(Skills!I24,15),Skills!I24)/Skills!H24+0.000000001),1)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Skills!G25*IF(Skills!H25&gt;0,INT(IF(Inputs!$B$38="pvp",MIN(Skills!I25,15),Skills!I25)/Skills!H25+0.000000001),1)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Skills!G26*IF(Skills!H26&gt;0,INT(IF(Inputs!$B$38="pvp",MIN(Skills!I26,15),Skills!I26)/Skills!H26+0.000000001),1)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MIN((Skills!T19*(1+(Inputs!$B$34+(ArtifactsInput!$M$7-ArtifactsInput!$M$7)*CHOOSE(ArtifactsInput!$N$7+1,6,7.2,8.4,9.6,10.8,12))/100)),(1/Q2022))+MIN((Skills!T19*(1+(Inputs!$B$34+(ArtifactsInput!$M$7-ArtifactsInput!$M$7)*CHOOSE(ArtifactsInput!$N$7+1,6,7.2,8.4,9.6,10.8,12))/100)),MAX(0,Inputs!$B$43-((R2022-1)*(1/Q2022)))))/Inputs!$B$43),IF(Inputs!$B$38="pvp",MIN((Skills!T19*(1+(Inputs!$B$34+(ArtifactsInput!$M$7-ArtifactsInput!$M$7)*CHOOSE(ArtifactsInput!$N$7+1,6,7.2,8.4,9.6,10.8,12))/100)),15)/15,MIN(1,(Skills!T19*(1+(Inputs!$B$34+(ArtifactsInput!$M$7-ArtifactsInput!$M$7)*CHOOSE(ArtifactsInput!$N$7+1,6,7.2,8.4,9.6,10.8,12))/100))/(1/Q2022)))))</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MIN((Skills!T18*(1+(Inputs!$B$34+(ArtifactsInput!$M$7-ArtifactsInput!$M$7)*CHOOSE(ArtifactsInput!$N$7+1,6,7.2,8.4,9.6,10.8,12))/100)),(1/Q2021))+MIN((Skills!T18*(1+(Inputs!$B$34+(ArtifactsInput!$M$7-ArtifactsInput!$M$7)*CHOOSE(ArtifactsInput!$N$7+1,6,7.2,8.4,9.6,10.8,12))/100)),MAX(0,Inputs!$B$43-((R2021-1)*(1/Q2021)))))/Inputs!$B$43),IF(Inputs!$B$38="pvp",MIN((Skills!T18*(1+(Inputs!$B$34+(ArtifactsInput!$M$7-ArtifactsInput!$M$7)*CHOOSE(ArtifactsInput!$N$7+1,6,7.2,8.4,9.6,10.8,12))/100)),15)/15,MIN(1,(Skills!T18*(1+(Inputs!$B$34+(ArtifactsInput!$M$7-ArtifactsInput!$M$7)*CHOOSE(ArtifactsInput!$N$7+1,6,7.2,8.4,9.6,10.8,12))/100))/(1/Q2021)))))</f>
        <v/>
      </c>
    </row>
    <row r="2038">
      <c r="A2038" t="inlineStr">
        <is>
          <t>Global Final Damage Bonus % (Enrage + Combo Synergy)</t>
        </is>
      </c>
      <c r="B2038">
        <f>((C2020=TRUE)*F2020*IF(AND(Inputs!$B$38&lt;&gt;"pvp",Inputs!$B$43&gt;0),(((R2020-1)*MIN((Skills!T17*(1+(Inputs!$B$34+(ArtifactsInput!$M$7-ArtifactsInput!$M$7)*CHOOSE(ArtifactsInput!$N$7+1,6,7.2,8.4,9.6,10.8,12))/100)),(1/Q2020))+MIN((Skills!T17*(1+(Inputs!$B$34+(ArtifactsInput!$M$7-ArtifactsInput!$M$7)*CHOOSE(ArtifactsInput!$N$7+1,6,7.2,8.4,9.6,10.8,12))/100)),MAX(0,Inputs!$B$43-((R2020-1)*(1/Q2020)))))/Inputs!$B$43),IF(Inputs!$B$38="pvp",MIN((Skills!T17*(1+(Inputs!$B$34+(ArtifactsInput!$M$7-ArtifactsInput!$M$7)*CHOOSE(ArtifactsInput!$N$7+1,6,7.2,8.4,9.6,10.8,12))/100)),15)/15,MIN(1,(Skills!T17*(1+(Inputs!$B$34+(ArtifactsInput!$M$7-ArtifactsInput!$M$7)*CHOOSE(ArtifactsInput!$N$7+1,6,7.2,8.4,9.6,10.8,12))/100))/(1/Q2020)))))+((C2017=TRUE)*F2017*IF(Inputs!$B$3&gt;=118,8,IF(Inputs!$B$3&gt;=110,7,5)))+IF(Inputs!$B$3&gt;=98,5,0)</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Skills!G2*IF(Skills!H2&gt;0,INT(IF(Inputs!$B$38="pvp",MIN(Skills!I2,15),Skills!I2)/Skills!H2+0.000000001),1)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Skills!G5*IF(Skills!H5&gt;0,INT(IF(Inputs!$B$38="pvp",MIN(Skills!I5,15),Skills!I5)/Skills!H5+0.000000001),1)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IFERROR(1/(IF(Inputs!$B$38="pvp",15,MAX(0.1,Skills!D5-IF(TRUE=TRUE,Inputs!$B$32,0)))*(1-IF(AND(ArtifactsInput!$M$27,Inputs!$B$4="Chapter Hunt"),CHOOSE(ArtifactsInput!$N$27+1,20,24,28,32,36,40),0)/100)),0)</f>
        <v/>
      </c>
      <c r="R2050">
        <f>IF(AND(Inputs!$B$38&lt;&gt;"pvp",Inputs!$B$43&gt;0),IF(MAX(0,Inputs!$B$43-B2081)&lt;=0,0,(INT(MAX(0,Inputs!$B$43-B2081)/(IF(Inputs!$B$38="pvp",15,MAX(0.1,Skills!D5-IF(TRUE=TRUE,Inputs!$B$32,0)))*(1-IF(AND(ArtifactsInput!$M$27,Inputs!$B$4="Chapter Hunt"),CHOOSE(ArtifactsInput!$N$27+1,20,24,28,32,36,40),0)/100)))+1)),0)</f>
        <v/>
      </c>
      <c r="S2050">
        <f>IFERROR(O2050/N2050,0)</f>
        <v/>
      </c>
      <c r="T2050">
        <f>IF(C2050,(H2050*N2050*IF(AND(Inputs!$B$38&lt;&gt;"pvp",Inputs!$B$43&gt;0),((Skills!G5*((R2050-1)*IF(Skills!H5&gt;0,INT(Skills!I5/Skills!H5+0.000000001),1)+IF(Skills!H5&gt;0,INT(MIN(Skills!I5,MAX(0,MAX(0,Inputs!$B$43-B2081)-((R2050-1)*(IF(Inputs!$B$38="pvp",15,MAX(0.1,Skills!D5-IF(TRUE=TRUE,Inputs!$B$32,0)))*(1-IF(AND(ArtifactsInput!$M$27,Inputs!$B$4="Chapter Hunt"),CHOOSE(ArtifactsInput!$N$27+1,20,24,28,32,36,40),0)/100)))))/Skills!H5+0.000000001),1)))/Inputs!$B$43),G2050*Q2050))*IF(Inputs!$B$38="pvp",1,1+(Inputs!$B$20+0+Skills!P5+(((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INT(Skills!I5/Skills!H5+0.000000001),1)+IF(Skills!H5&gt;0,INT(MIN(Skills!I5,MAX(0,MAX(0,Inputs!$B$43-B2081)-((R2050-1)*(IF(Inputs!$B$38="pvp",15,MAX(0.1,Skills!D5-IF(TRUE=TRUE,Inputs!$B$32,0)))*(1-IF(AND(ArtifactsInput!$M$27,Inputs!$B$4="Chapter Hunt"),CHOOSE(ArtifactsInput!$N$27+1,20,24,28,32,36,40),0)/100)))))/Skills!H5+0.000000001),1)))/Inputs!$B$43),G2050*Q2050))*IF(Inputs!$B$38="pvp",1,(1+(Inputs!$B$21+Skills!Q5+(((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Skills!G6*IF(Skills!H6&gt;0,INT(IF(Inputs!$B$38="pvp",MIN(Skills!I6,15),Skills!I6)/Skills!H6+0.000000001),1)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IFERROR(1/(IF(Inputs!$B$38="pvp",15,MAX(0.1,Skills!D6-IF(TRUE=TRUE,Inputs!$B$32,0)))*(1-IF(AND(ArtifactsInput!$M$27,Inputs!$B$4="Chapter Hunt"),CHOOSE(ArtifactsInput!$N$27+1,20,24,28,32,36,40),0)/100)),0)</f>
        <v/>
      </c>
      <c r="R2051">
        <f>IF(AND(Inputs!$B$38&lt;&gt;"pvp",Inputs!$B$43&gt;0),IF(MAX(0,Inputs!$B$43-B2081)&lt;=0,0,(INT(MAX(0,Inputs!$B$43-B2081)/(IF(Inputs!$B$38="pvp",15,MAX(0.1,Skills!D6-IF(TRUE=TRUE,Inputs!$B$32,0)))*(1-IF(AND(ArtifactsInput!$M$27,Inputs!$B$4="Chapter Hunt"),CHOOSE(ArtifactsInput!$N$27+1,20,24,28,32,36,40),0)/100)))+1)),0)</f>
        <v/>
      </c>
      <c r="S2051">
        <f>IFERROR(O2051/N2051,0)</f>
        <v/>
      </c>
      <c r="T2051">
        <f>IF(C2051,(H2051*N2051*IF(AND(Inputs!$B$38&lt;&gt;"pvp",Inputs!$B$43&gt;0),((Skills!G6*((R2051-1)*IF(Skills!H6&gt;0,INT(Skills!I6/Skills!H6+0.000000001),1)+IF(Skills!H6&gt;0,INT(MIN(Skills!I6,MAX(0,MAX(0,Inputs!$B$43-B2081)-((R2051-1)*(IF(Inputs!$B$38="pvp",15,MAX(0.1,Skills!D6-IF(TRUE=TRUE,Inputs!$B$32,0)))*(1-IF(AND(ArtifactsInput!$M$27,Inputs!$B$4="Chapter Hunt"),CHOOSE(ArtifactsInput!$N$27+1,20,24,28,32,36,40),0)/100)))))/Skills!H6+0.000000001),1)))/Inputs!$B$43),G2051*Q2051))*IF(Inputs!$B$38="pvp",1,1+(Inputs!$B$20+0+Skills!P6+(((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INT(Skills!I6/Skills!H6+0.000000001),1)+IF(Skills!H6&gt;0,INT(MIN(Skills!I6,MAX(0,MAX(0,Inputs!$B$43-B2081)-((R2051-1)*(IF(Inputs!$B$38="pvp",15,MAX(0.1,Skills!D6-IF(TRUE=TRUE,Inputs!$B$32,0)))*(1-IF(AND(ArtifactsInput!$M$27,Inputs!$B$4="Chapter Hunt"),CHOOSE(ArtifactsInput!$N$27+1,20,24,28,32,36,40),0)/100)))))/Skills!H6+0.000000001),1)))/Inputs!$B$43),G2051*Q2051))*IF(Inputs!$B$38="pvp",1,(1+(Inputs!$B$21+Skills!Q6+(((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Skills!G7*IF(Skills!H7&gt;0,INT(IF(Inputs!$B$38="pvp",MIN(Skills!I7,15),Skills!I7)/Skills!H7+0.000000001),1)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IFERROR(1/(IF(Inputs!$B$38="pvp",15,MAX(0.1,Skills!D7-IF(TRUE=TRUE,Inputs!$B$32,0)))*(1-IF(AND(ArtifactsInput!$M$27,Inputs!$B$4="Chapter Hunt"),CHOOSE(ArtifactsInput!$N$27+1,20,24,28,32,36,40),0)/100)),0)</f>
        <v/>
      </c>
      <c r="R2052">
        <f>IF(AND(Inputs!$B$38&lt;&gt;"pvp",Inputs!$B$43&gt;0),IF(MAX(0,Inputs!$B$43-B2081)&lt;=0,0,(INT(MAX(0,Inputs!$B$43-B2081)/(IF(Inputs!$B$38="pvp",15,MAX(0.1,Skills!D7-IF(TRUE=TRUE,Inputs!$B$32,0)))*(1-IF(AND(ArtifactsInput!$M$27,Inputs!$B$4="Chapter Hunt"),CHOOSE(ArtifactsInput!$N$27+1,20,24,28,32,36,40),0)/100)))+1)),0)</f>
        <v/>
      </c>
      <c r="S2052">
        <f>IFERROR(O2052/N2052,0)</f>
        <v/>
      </c>
      <c r="T2052">
        <f>IF(C2052,(H2052*N2052*IF(AND(Inputs!$B$38&lt;&gt;"pvp",Inputs!$B$43&gt;0),((Skills!G7*((R2052-1)*IF(Skills!H7&gt;0,INT(Skills!I7/Skills!H7+0.000000001),1)+IF(Skills!H7&gt;0,INT(MIN(Skills!I7,MAX(0,MAX(0,Inputs!$B$43-B2081)-((R2052-1)*(IF(Inputs!$B$38="pvp",15,MAX(0.1,Skills!D7-IF(TRUE=TRUE,Inputs!$B$32,0)))*(1-IF(AND(ArtifactsInput!$M$27,Inputs!$B$4="Chapter Hunt"),CHOOSE(ArtifactsInput!$N$27+1,20,24,28,32,36,40),0)/100)))))/Skills!H7+0.000000001),1)))/Inputs!$B$43),G2052*Q2052))*IF(Inputs!$B$38="pvp",1,1+(Inputs!$B$20+0+Skills!P7+(((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INT(Skills!I7/Skills!H7+0.000000001),1)+IF(Skills!H7&gt;0,INT(MIN(Skills!I7,MAX(0,MAX(0,Inputs!$B$43-B2081)-((R2052-1)*(IF(Inputs!$B$38="pvp",15,MAX(0.1,Skills!D7-IF(TRUE=TRUE,Inputs!$B$32,0)))*(1-IF(AND(ArtifactsInput!$M$27,Inputs!$B$4="Chapter Hunt"),CHOOSE(ArtifactsInput!$N$27+1,20,24,28,32,36,40),0)/100)))))/Skills!H7+0.000000001),1)))/Inputs!$B$43),G2052*Q2052))*IF(Inputs!$B$38="pvp",1,(1+(Inputs!$B$21+Skills!Q7+(((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Skills!G8*IF(Skills!H8&gt;0,INT(IF(Inputs!$B$38="pvp",MIN(Skills!I8,15),Skills!I8)/Skills!H8+0.000000001),1)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IFERROR(1/(IF(Inputs!$B$38="pvp",15,MAX(0.1,Skills!D8-IF(TRUE=TRUE,Inputs!$B$32,0)))*(1-IF(AND(ArtifactsInput!$M$27,Inputs!$B$4="Chapter Hunt"),CHOOSE(ArtifactsInput!$N$27+1,20,24,28,32,36,40),0)/100)),0)</f>
        <v/>
      </c>
      <c r="R2053">
        <f>IF(AND(Inputs!$B$38&lt;&gt;"pvp",Inputs!$B$43&gt;0),IF(MAX(0,Inputs!$B$43-B2081)&lt;=0,0,(INT(MAX(0,Inputs!$B$43-B2081)/(IF(Inputs!$B$38="pvp",15,MAX(0.1,Skills!D8-IF(TRUE=TRUE,Inputs!$B$32,0)))*(1-IF(AND(ArtifactsInput!$M$27,Inputs!$B$4="Chapter Hunt"),CHOOSE(ArtifactsInput!$N$27+1,20,24,28,32,36,40),0)/100)))+1)),0)</f>
        <v/>
      </c>
      <c r="S2053">
        <f>IFERROR(O2053/N2053,0)</f>
        <v/>
      </c>
      <c r="T2053">
        <f>IF(C2053,(H2053*N2053*IF(AND(Inputs!$B$38&lt;&gt;"pvp",Inputs!$B$43&gt;0),((Skills!G8*((R2053-1)*IF(Skills!H8&gt;0,INT(Skills!I8/Skills!H8+0.000000001),1)+IF(Skills!H8&gt;0,INT(MIN(Skills!I8,MAX(0,MAX(0,Inputs!$B$43-B2081)-((R2053-1)*(IF(Inputs!$B$38="pvp",15,MAX(0.1,Skills!D8-IF(TRUE=TRUE,Inputs!$B$32,0)))*(1-IF(AND(ArtifactsInput!$M$27,Inputs!$B$4="Chapter Hunt"),CHOOSE(ArtifactsInput!$N$27+1,20,24,28,32,36,40),0)/100)))))/Skills!H8+0.000000001),1)))/Inputs!$B$43),G2053*Q2053))*IF(Inputs!$B$38="pvp",1,1+(Inputs!$B$20+0+Skills!P8+(((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INT(Skills!I8/Skills!H8+0.000000001),1)+IF(Skills!H8&gt;0,INT(MIN(Skills!I8,MAX(0,MAX(0,Inputs!$B$43-B2081)-((R2053-1)*(IF(Inputs!$B$38="pvp",15,MAX(0.1,Skills!D8-IF(TRUE=TRUE,Inputs!$B$32,0)))*(1-IF(AND(ArtifactsInput!$M$27,Inputs!$B$4="Chapter Hunt"),CHOOSE(ArtifactsInput!$N$27+1,20,24,28,32,36,40),0)/100)))))/Skills!H8+0.000000001),1)))/Inputs!$B$43),G2053*Q2053))*IF(Inputs!$B$38="pvp",1,(1+(Inputs!$B$21+Skills!Q8+(((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Skills!G9*IF(Skills!H9&gt;0,INT(IF(Inputs!$B$38="pvp",MIN(Skills!I9,15),Skills!I9)/Skills!H9+0.000000001),1)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138,MAX(0,IF(Inputs!$B$3&gt;=118,8,IF(Inputs!$B$3&gt;=110,7,5))-5)*50,0),0)/100)*(1+(IF(Skills!A9="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IFERROR(1/(IF(Inputs!$B$38="pvp",15,MAX(0.1,Skills!D9-IF(TRUE=TRUE,Inputs!$B$32,0)))*(1-IF(AND(ArtifactsInput!$M$27,Inputs!$B$4="Chapter Hunt"),CHOOSE(ArtifactsInput!$N$27+1,20,24,28,32,36,40),0)/100)),0)</f>
        <v/>
      </c>
      <c r="R2054">
        <f>IF(AND(Inputs!$B$38&lt;&gt;"pvp",Inputs!$B$43&gt;0),IF(MAX(0,Inputs!$B$43-B2081)&lt;=0,0,(INT(MAX(0,Inputs!$B$43-B2081)/(IF(Inputs!$B$38="pvp",15,MAX(0.1,Skills!D9-IF(TRUE=TRUE,Inputs!$B$32,0)))*(1-IF(AND(ArtifactsInput!$M$27,Inputs!$B$4="Chapter Hunt"),CHOOSE(ArtifactsInput!$N$27+1,20,24,28,32,36,40),0)/100)))+1)),0)</f>
        <v/>
      </c>
      <c r="S2054">
        <f>IFERROR(O2054/N2054,0)</f>
        <v/>
      </c>
      <c r="T2054">
        <f>IF(C2054,(H2054*N2054*IF(AND(Inputs!$B$38&lt;&gt;"pvp",Inputs!$B$43&gt;0),((Skills!G9*((R2054-1)*IF(Skills!H9&gt;0,INT(Skills!I9/Skills!H9+0.000000001),1)+IF(Skills!H9&gt;0,INT(MIN(Skills!I9,MAX(0,MAX(0,Inputs!$B$43-B2081)-((R2054-1)*(IF(Inputs!$B$38="pvp",15,MAX(0.1,Skills!D9-IF(TRUE=TRUE,Inputs!$B$32,0)))*(1-IF(AND(ArtifactsInput!$M$27,Inputs!$B$4="Chapter Hunt"),CHOOSE(ArtifactsInput!$N$27+1,20,24,28,32,36,40),0)/100)))))/Skills!H9+0.000000001),1)))/Inputs!$B$43),G2054*Q2054))*IF(Inputs!$B$38="pvp",1,1+(Inputs!$B$20+0+Skills!P9+(((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INT(Skills!I9/Skills!H9+0.000000001),1)+IF(Skills!H9&gt;0,INT(MIN(Skills!I9,MAX(0,MAX(0,Inputs!$B$43-B2081)-((R2054-1)*(IF(Inputs!$B$38="pvp",15,MAX(0.1,Skills!D9-IF(TRUE=TRUE,Inputs!$B$32,0)))*(1-IF(AND(ArtifactsInput!$M$27,Inputs!$B$4="Chapter Hunt"),CHOOSE(ArtifactsInput!$N$27+1,20,24,28,32,36,40),0)/100)))))/Skills!H9+0.000000001),1)))/Inputs!$B$43),G2054*Q2054))*IF(Inputs!$B$38="pvp",1,(1+(Inputs!$B$21+Skills!Q9+(((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Skills!G10*IF(Skills!H10&gt;0,INT(IF(Inputs!$B$38="pvp",MIN(Skills!I10,15),Skills!I10)/Skills!H10+0.000000001),1)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138,MAX(0,IF(Inputs!$B$3&gt;=118,8,IF(Inputs!$B$3&gt;=110,7,5))-5)*50,0),0)/100)*(1+(IF(Skills!A10="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IFERROR(1/(IF(Inputs!$B$38="pvp",15,MAX(0.1,Skills!D10-IF(TRUE=TRUE,Inputs!$B$32,0)))*(1-IF(AND(ArtifactsInput!$M$27,Inputs!$B$4="Chapter Hunt"),CHOOSE(ArtifactsInput!$N$27+1,20,24,28,32,36,40),0)/100)),0)</f>
        <v/>
      </c>
      <c r="R2055">
        <f>IF(AND(Inputs!$B$38&lt;&gt;"pvp",Inputs!$B$43&gt;0),IF(MAX(0,Inputs!$B$43-B2081)&lt;=0,0,(INT(MAX(0,Inputs!$B$43-B2081)/(IF(Inputs!$B$38="pvp",15,MAX(0.1,Skills!D10-IF(TRUE=TRUE,Inputs!$B$32,0)))*(1-IF(AND(ArtifactsInput!$M$27,Inputs!$B$4="Chapter Hunt"),CHOOSE(ArtifactsInput!$N$27+1,20,24,28,32,36,40),0)/100)))+1)),0)</f>
        <v/>
      </c>
      <c r="S2055">
        <f>IFERROR(O2055/N2055,0)</f>
        <v/>
      </c>
      <c r="T2055">
        <f>IF(C2055,(H2055*N2055*IF(AND(Inputs!$B$38&lt;&gt;"pvp",Inputs!$B$43&gt;0),((Skills!G10*((R2055-1)*IF(Skills!H10&gt;0,INT(Skills!I10/Skills!H10+0.000000001),1)+IF(Skills!H10&gt;0,INT(MIN(Skills!I10,MAX(0,MAX(0,Inputs!$B$43-B2081)-((R2055-1)*(IF(Inputs!$B$38="pvp",15,MAX(0.1,Skills!D10-IF(TRUE=TRUE,Inputs!$B$32,0)))*(1-IF(AND(ArtifactsInput!$M$27,Inputs!$B$4="Chapter Hunt"),CHOOSE(ArtifactsInput!$N$27+1,20,24,28,32,36,40),0)/100)))))/Skills!H10+0.000000001),1)))/Inputs!$B$43),G2055*Q2055))*IF(Inputs!$B$38="pvp",1,1+(Inputs!$B$20+0+Skills!P10+(((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INT(Skills!I10/Skills!H10+0.000000001),1)+IF(Skills!H10&gt;0,INT(MIN(Skills!I10,MAX(0,MAX(0,Inputs!$B$43-B2081)-((R2055-1)*(IF(Inputs!$B$38="pvp",15,MAX(0.1,Skills!D10-IF(TRUE=TRUE,Inputs!$B$32,0)))*(1-IF(AND(ArtifactsInput!$M$27,Inputs!$B$4="Chapter Hunt"),CHOOSE(ArtifactsInput!$N$27+1,20,24,28,32,36,40),0)/100)))))/Skills!H10+0.000000001),1)))/Inputs!$B$43),G2055*Q2055))*IF(Inputs!$B$38="pvp",1,(1+(Inputs!$B$21+Skills!Q10+(((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Skills!G11*IF(Skills!H11&gt;0,INT(IF(Inputs!$B$38="pvp",MIN(Skills!I11,15),Skills!I11)/Skills!H11+0.000000001),1)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138,MAX(0,IF(Inputs!$B$3&gt;=118,8,IF(Inputs!$B$3&gt;=110,7,5))-5)*50,0),0)/100)*(1+(IF(Skills!A11="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IFERROR(1/(IF(Inputs!$B$38="pvp",15,MAX(0.1,Skills!D11-IF(TRUE=TRUE,Inputs!$B$32,0)))*(1-IF(AND(ArtifactsInput!$M$27,Inputs!$B$4="Chapter Hunt"),CHOOSE(ArtifactsInput!$N$27+1,20,24,28,32,36,40),0)/100)),0)</f>
        <v/>
      </c>
      <c r="R2056">
        <f>IF(AND(Inputs!$B$38&lt;&gt;"pvp",Inputs!$B$43&gt;0),IF(MAX(0,Inputs!$B$43-B2081)&lt;=0,0,(INT(MAX(0,Inputs!$B$43-B2081)/(IF(Inputs!$B$38="pvp",15,MAX(0.1,Skills!D11-IF(TRUE=TRUE,Inputs!$B$32,0)))*(1-IF(AND(ArtifactsInput!$M$27,Inputs!$B$4="Chapter Hunt"),CHOOSE(ArtifactsInput!$N$27+1,20,24,28,32,36,40),0)/100)))+1)),0)</f>
        <v/>
      </c>
      <c r="S2056">
        <f>IFERROR(O2056/N2056,0)</f>
        <v/>
      </c>
      <c r="T2056">
        <f>IF(C2056,(H2056*N2056*IF(AND(Inputs!$B$38&lt;&gt;"pvp",Inputs!$B$43&gt;0),((Skills!G11*((R2056-1)*IF(Skills!H11&gt;0,INT(Skills!I11/Skills!H11+0.000000001),1)+IF(Skills!H11&gt;0,INT(MIN(Skills!I11,MAX(0,MAX(0,Inputs!$B$43-B2081)-((R2056-1)*(IF(Inputs!$B$38="pvp",15,MAX(0.1,Skills!D11-IF(TRUE=TRUE,Inputs!$B$32,0)))*(1-IF(AND(ArtifactsInput!$M$27,Inputs!$B$4="Chapter Hunt"),CHOOSE(ArtifactsInput!$N$27+1,20,24,28,32,36,40),0)/100)))))/Skills!H11+0.000000001),1)))/Inputs!$B$43),G2056*Q2056))*IF(Inputs!$B$38="pvp",1,1+(Inputs!$B$20+0+Skills!P11+(((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INT(Skills!I11/Skills!H11+0.000000001),1)+IF(Skills!H11&gt;0,INT(MIN(Skills!I11,MAX(0,MAX(0,Inputs!$B$43-B2081)-((R2056-1)*(IF(Inputs!$B$38="pvp",15,MAX(0.1,Skills!D11-IF(TRUE=TRUE,Inputs!$B$32,0)))*(1-IF(AND(ArtifactsInput!$M$27,Inputs!$B$4="Chapter Hunt"),CHOOSE(ArtifactsInput!$N$27+1,20,24,28,32,36,40),0)/100)))))/Skills!H11+0.000000001),1)))/Inputs!$B$43),G2056*Q2056))*IF(Inputs!$B$38="pvp",1,(1+(Inputs!$B$21+Skills!Q11+(((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Skills!G13*IF(Skills!H13&gt;0,INT(IF(Inputs!$B$38="pvp",MIN(Skills!I13,15),Skills!I13)/Skills!H13+0.000000001),1)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Skills!G14*IF(Skills!H14&gt;0,INT(IF(Inputs!$B$38="pvp",MIN(Skills!I14,15),Skills!I14)/Skills!H14+0.000000001),1)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Skills!G15*IF(Skills!H15&gt;0,INT(IF(Inputs!$B$38="pvp",MIN(Skills!I15,15),Skills!I15)/Skills!H15+0.000000001),1)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IFERROR(1/(IF(Inputs!$B$38="pvp",15,MAX(0.1,Skills!D15-IF(TRUE=TRUE,Inputs!$B$32,0)))*(1-IF(AND(ArtifactsInput!$M$27,Inputs!$B$4="Chapter Hunt"),CHOOSE(ArtifactsInput!$N$27+1,20,24,28,32,36,40),0)/100)),0)</f>
        <v/>
      </c>
      <c r="R2060">
        <f>IF(AND(Inputs!$B$38&lt;&gt;"pvp",Inputs!$B$43&gt;0),IF(Inputs!$B$43&lt;=0,0,(INT(Inputs!$B$43/(IF(Inputs!$B$38="pvp",15,MAX(0.1,Skills!D15-IF(TRUE=TRUE,Inputs!$B$32,0)))*(1-IF(AND(ArtifactsInput!$M$27,Inputs!$B$4="Chapter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Skills!G16*IF(Skills!H16&gt;0,INT(IF(Inputs!$B$38="pvp",MIN(Skills!I16,15),Skills!I16)/Skills!H16+0.000000001),1)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IFERROR(1/(IF(Inputs!$B$38="pvp",15,MAX(0.1,Skills!D16-IF(TRUE=TRUE,Inputs!$B$32,0)))*(1-IF(AND(ArtifactsInput!$M$27,Inputs!$B$4="Chapter Hunt"),CHOOSE(ArtifactsInput!$N$27+1,20,24,28,32,36,40),0)/100)),0)</f>
        <v/>
      </c>
      <c r="R2061">
        <f>IF(AND(Inputs!$B$38&lt;&gt;"pvp",Inputs!$B$43&gt;0),IF(Inputs!$B$43&lt;=0,0,(INT(Inputs!$B$43/(IF(Inputs!$B$38="pvp",15,MAX(0.1,Skills!D16-IF(TRUE=TRUE,Inputs!$B$32,0)))*(1-IF(AND(ArtifactsInput!$M$27,Inputs!$B$4="Chapter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Skills!G17*IF(Skills!H17&gt;0,INT(IF(Inputs!$B$38="pvp",MIN(Skills!I17,15),Skills!I17)/Skills!H17+0.000000001),1)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IFERROR(1/(IF(Inputs!$B$38="pvp",15,MAX(0.1,Skills!D17-IF(TRUE=TRUE,Inputs!$B$32,0)))*(1-IF(AND(ArtifactsInput!$M$27,Inputs!$B$4="Chapter Hunt"),CHOOSE(ArtifactsInput!$N$27+1,20,24,28,32,36,40),0)/100)),0)</f>
        <v/>
      </c>
      <c r="R2062">
        <f>IF(AND(Inputs!$B$38&lt;&gt;"pvp",Inputs!$B$43&gt;0),IF(Inputs!$B$43&lt;=0,0,(INT(Inputs!$B$43/(IF(Inputs!$B$38="pvp",15,MAX(0.1,Skills!D17-IF(TRUE=TRUE,Inputs!$B$32,0)))*(1-IF(AND(ArtifactsInput!$M$27,Inputs!$B$4="Chapter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Skills!G18*IF(Skills!H18&gt;0,INT(IF(Inputs!$B$38="pvp",MIN(Skills!I18,15),Skills!I18)/Skills!H18+0.000000001),1)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IFERROR(1/(IF(Inputs!$B$38="pvp",15,MAX(0.1,Skills!D18-IF(TRUE=TRUE,Inputs!$B$32,0)))*(1-IF(AND(ArtifactsInput!$M$27,Inputs!$B$4="Chapter Hunt"),CHOOSE(ArtifactsInput!$N$27+1,20,24,28,32,36,40),0)/100)),0)</f>
        <v/>
      </c>
      <c r="R2063">
        <f>IF(AND(Inputs!$B$38&lt;&gt;"pvp",Inputs!$B$43&gt;0),IF(Inputs!$B$43&lt;=0,0,(INT(Inputs!$B$43/(IF(Inputs!$B$38="pvp",15,MAX(0.1,Skills!D18-IF(TRUE=TRUE,Inputs!$B$32,0)))*(1-IF(AND(ArtifactsInput!$M$27,Inputs!$B$4="Chapter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Skills!G19*IF(Skills!H19&gt;0,INT(IF(Inputs!$B$38="pvp",MIN(Skills!I19,15),Skills!I19)/Skills!H19+0.000000001),1)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IFERROR(1/(IF(Inputs!$B$38="pvp",15,MAX(0.1,Skills!D19-IF(TRUE=TRUE,Inputs!$B$32,0)))*(1-IF(AND(ArtifactsInput!$M$27,Inputs!$B$4="Chapter Hunt"),CHOOSE(ArtifactsInput!$N$27+1,20,24,28,32,36,40),0)/100)),0)</f>
        <v/>
      </c>
      <c r="R2064">
        <f>IF(AND(Inputs!$B$38&lt;&gt;"pvp",Inputs!$B$43&gt;0),IF(Inputs!$B$43&lt;=0,0,(INT(Inputs!$B$43/(IF(Inputs!$B$38="pvp",15,MAX(0.1,Skills!D19-IF(TRUE=TRUE,Inputs!$B$32,0)))*(1-IF(AND(ArtifactsInput!$M$27,Inputs!$B$4="Chapter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Skills!G20*IF(Skills!H20&gt;0,INT(IF(Inputs!$B$38="pvp",MIN(Skills!I20,15),Skills!I20)/Skills!H20+0.000000001),1)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Skills!G21*IF(Skills!H21&gt;0,INT(IF(Inputs!$B$38="pvp",MIN(Skills!I21,15),Skills!I21)/Skills!H21+0.000000001),1)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Skills!G22*IF(Skills!H22&gt;0,INT(IF(Inputs!$B$38="pvp",MIN(Skills!I22,15),Skills!I22)/Skills!H22+0.000000001),1)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Skills!G23*IF(Skills!H23&gt;0,INT(IF(Inputs!$B$38="pvp",MIN(Skills!I23,15),Skills!I23)/Skills!H23+0.000000001),1)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Skills!G24*IF(Skills!H24&gt;0,INT(IF(Inputs!$B$38="pvp",MIN(Skills!I24,15),Skills!I24)/Skills!H24+0.000000001),1)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Skills!G25*IF(Skills!H25&gt;0,INT(IF(Inputs!$B$38="pvp",MIN(Skills!I25,15),Skills!I25)/Skills!H25+0.000000001),1)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Skills!G26*IF(Skills!H26&gt;0,INT(IF(Inputs!$B$38="pvp",MIN(Skills!I26,15),Skills!I26)/Skills!H26+0.000000001),1)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MIN((Skills!T19*(1+(Inputs!$B$34+(ArtifactsInput!$M$7-ArtifactsInput!$M$7)*CHOOSE(ArtifactsInput!$N$7+1,6,7.2,8.4,9.6,10.8,12))/100)),(1/Q2064))+MIN((Skills!T19*(1+(Inputs!$B$34+(ArtifactsInput!$M$7-ArtifactsInput!$M$7)*CHOOSE(ArtifactsInput!$N$7+1,6,7.2,8.4,9.6,10.8,12))/100)),MAX(0,Inputs!$B$43-((R2064-1)*(1/Q2064)))))/Inputs!$B$43),IF(Inputs!$B$38="pvp",MIN((Skills!T19*(1+(Inputs!$B$34+(ArtifactsInput!$M$7-ArtifactsInput!$M$7)*CHOOSE(ArtifactsInput!$N$7+1,6,7.2,8.4,9.6,10.8,12))/100)),15)/15,MIN(1,(Skills!T19*(1+(Inputs!$B$34+(ArtifactsInput!$M$7-ArtifactsInput!$M$7)*CHOOSE(ArtifactsInput!$N$7+1,6,7.2,8.4,9.6,10.8,12))/100))/(1/Q2064)))))</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MIN((Skills!T18*(1+(Inputs!$B$34+(ArtifactsInput!$M$7-ArtifactsInput!$M$7)*CHOOSE(ArtifactsInput!$N$7+1,6,7.2,8.4,9.6,10.8,12))/100)),(1/Q2063))+MIN((Skills!T18*(1+(Inputs!$B$34+(ArtifactsInput!$M$7-ArtifactsInput!$M$7)*CHOOSE(ArtifactsInput!$N$7+1,6,7.2,8.4,9.6,10.8,12))/100)),MAX(0,Inputs!$B$43-((R2063-1)*(1/Q2063)))))/Inputs!$B$43),IF(Inputs!$B$38="pvp",MIN((Skills!T18*(1+(Inputs!$B$34+(ArtifactsInput!$M$7-ArtifactsInput!$M$7)*CHOOSE(ArtifactsInput!$N$7+1,6,7.2,8.4,9.6,10.8,12))/100)),15)/15,MIN(1,(Skills!T18*(1+(Inputs!$B$34+(ArtifactsInput!$M$7-ArtifactsInput!$M$7)*CHOOSE(ArtifactsInput!$N$7+1,6,7.2,8.4,9.6,10.8,12))/100))/(1/Q2063)))))</f>
        <v/>
      </c>
    </row>
    <row r="2080">
      <c r="A2080" t="inlineStr">
        <is>
          <t>Global Final Damage Bonus % (Enrage + Combo Synergy)</t>
        </is>
      </c>
      <c r="B2080">
        <f>((C2062=TRUE)*F2062*IF(AND(Inputs!$B$38&lt;&gt;"pvp",Inputs!$B$43&gt;0),(((R2062-1)*MIN((Skills!T17*(1+(Inputs!$B$34+(ArtifactsInput!$M$7-ArtifactsInput!$M$7)*CHOOSE(ArtifactsInput!$N$7+1,6,7.2,8.4,9.6,10.8,12))/100)),(1/Q2062))+MIN((Skills!T17*(1+(Inputs!$B$34+(ArtifactsInput!$M$7-ArtifactsInput!$M$7)*CHOOSE(ArtifactsInput!$N$7+1,6,7.2,8.4,9.6,10.8,12))/100)),MAX(0,Inputs!$B$43-((R2062-1)*(1/Q2062)))))/Inputs!$B$43),IF(Inputs!$B$38="pvp",MIN((Skills!T17*(1+(Inputs!$B$34+(ArtifactsInput!$M$7-ArtifactsInput!$M$7)*CHOOSE(ArtifactsInput!$N$7+1,6,7.2,8.4,9.6,10.8,12))/100)),15)/15,MIN(1,(Skills!T17*(1+(Inputs!$B$34+(ArtifactsInput!$M$7-ArtifactsInput!$M$7)*CHOOSE(ArtifactsInput!$N$7+1,6,7.2,8.4,9.6,10.8,12))/100))/(1/Q2062)))))+((C2059=TRUE)*F2059*IF(Inputs!$B$3&gt;=118,8,IF(Inputs!$B$3&gt;=110,7,5)))+IF(Inputs!$B$3&gt;=98,5,0)</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Skills!G2*IF(Skills!H2&gt;0,INT(IF(Inputs!$B$38="pvp",MIN(Skills!I2,15),Skills!I2)/Skills!H2+0.000000001),1)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Skills!G5*IF(Skills!H5&gt;0,INT(IF(Inputs!$B$38="pvp",MIN(Skills!I5,15),Skills!I5)/Skills!H5+0.000000001),1)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IFERROR(1/(IF(Inputs!$B$38="pvp",15,MAX(0.1,Skills!D5-IF(TRUE=TRUE,Inputs!$B$32,0)))*(1-IF(AND(ArtifactsInput!$M$27,Inputs!$B$4="Chapter Hunt"),CHOOSE(ArtifactsInput!$N$27+1,20,24,28,32,36,40),0)/100)),0)</f>
        <v/>
      </c>
      <c r="R2092">
        <f>IF(AND(Inputs!$B$38&lt;&gt;"pvp",Inputs!$B$43&gt;0),IF(MAX(0,Inputs!$B$43-B2123)&lt;=0,0,(INT(MAX(0,Inputs!$B$43-B2123)/(IF(Inputs!$B$38="pvp",15,MAX(0.1,Skills!D5-IF(TRUE=TRUE,Inputs!$B$32,0)))*(1-IF(AND(ArtifactsInput!$M$27,Inputs!$B$4="Chapter Hunt"),CHOOSE(ArtifactsInput!$N$27+1,20,24,28,32,36,40),0)/100)))+1)),0)</f>
        <v/>
      </c>
      <c r="S2092">
        <f>IFERROR(O2092/N2092,0)</f>
        <v/>
      </c>
      <c r="T2092">
        <f>IF(C2092,(H2092*N2092*IF(AND(Inputs!$B$38&lt;&gt;"pvp",Inputs!$B$43&gt;0),((Skills!G5*((R2092-1)*IF(Skills!H5&gt;0,INT(Skills!I5/Skills!H5+0.000000001),1)+IF(Skills!H5&gt;0,INT(MIN(Skills!I5,MAX(0,MAX(0,Inputs!$B$43-B2123)-((R2092-1)*(IF(Inputs!$B$38="pvp",15,MAX(0.1,Skills!D5-IF(TRUE=TRUE,Inputs!$B$32,0)))*(1-IF(AND(ArtifactsInput!$M$27,Inputs!$B$4="Chapter Hunt"),CHOOSE(ArtifactsInput!$N$27+1,20,24,28,32,36,40),0)/100)))))/Skills!H5+0.000000001),1)))/Inputs!$B$43),G2092*Q2092))*IF(Inputs!$B$38="pvp",1,1+(Inputs!$B$20+0+Skills!P5+(((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INT(Skills!I5/Skills!H5+0.000000001),1)+IF(Skills!H5&gt;0,INT(MIN(Skills!I5,MAX(0,MAX(0,Inputs!$B$43-B2123)-((R2092-1)*(IF(Inputs!$B$38="pvp",15,MAX(0.1,Skills!D5-IF(TRUE=TRUE,Inputs!$B$32,0)))*(1-IF(AND(ArtifactsInput!$M$27,Inputs!$B$4="Chapter Hunt"),CHOOSE(ArtifactsInput!$N$27+1,20,24,28,32,36,40),0)/100)))))/Skills!H5+0.000000001),1)))/Inputs!$B$43),G2092*Q2092))*IF(Inputs!$B$38="pvp",1,(1+(Inputs!$B$21+Skills!Q5+(((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Skills!G6*IF(Skills!H6&gt;0,INT(IF(Inputs!$B$38="pvp",MIN(Skills!I6,15),Skills!I6)/Skills!H6+0.000000001),1)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IFERROR(1/(IF(Inputs!$B$38="pvp",15,MAX(0.1,Skills!D6-IF(TRUE=TRUE,Inputs!$B$32,0)))*(1-IF(AND(ArtifactsInput!$M$27,Inputs!$B$4="Chapter Hunt"),CHOOSE(ArtifactsInput!$N$27+1,20,24,28,32,36,40),0)/100)),0)</f>
        <v/>
      </c>
      <c r="R2093">
        <f>IF(AND(Inputs!$B$38&lt;&gt;"pvp",Inputs!$B$43&gt;0),IF(MAX(0,Inputs!$B$43-B2123)&lt;=0,0,(INT(MAX(0,Inputs!$B$43-B2123)/(IF(Inputs!$B$38="pvp",15,MAX(0.1,Skills!D6-IF(TRUE=TRUE,Inputs!$B$32,0)))*(1-IF(AND(ArtifactsInput!$M$27,Inputs!$B$4="Chapter Hunt"),CHOOSE(ArtifactsInput!$N$27+1,20,24,28,32,36,40),0)/100)))+1)),0)</f>
        <v/>
      </c>
      <c r="S2093">
        <f>IFERROR(O2093/N2093,0)</f>
        <v/>
      </c>
      <c r="T2093">
        <f>IF(C2093,(H2093*N2093*IF(AND(Inputs!$B$38&lt;&gt;"pvp",Inputs!$B$43&gt;0),((Skills!G6*((R2093-1)*IF(Skills!H6&gt;0,INT(Skills!I6/Skills!H6+0.000000001),1)+IF(Skills!H6&gt;0,INT(MIN(Skills!I6,MAX(0,MAX(0,Inputs!$B$43-B2123)-((R2093-1)*(IF(Inputs!$B$38="pvp",15,MAX(0.1,Skills!D6-IF(TRUE=TRUE,Inputs!$B$32,0)))*(1-IF(AND(ArtifactsInput!$M$27,Inputs!$B$4="Chapter Hunt"),CHOOSE(ArtifactsInput!$N$27+1,20,24,28,32,36,40),0)/100)))))/Skills!H6+0.000000001),1)))/Inputs!$B$43),G2093*Q2093))*IF(Inputs!$B$38="pvp",1,1+(Inputs!$B$20+0+Skills!P6+(((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INT(Skills!I6/Skills!H6+0.000000001),1)+IF(Skills!H6&gt;0,INT(MIN(Skills!I6,MAX(0,MAX(0,Inputs!$B$43-B2123)-((R2093-1)*(IF(Inputs!$B$38="pvp",15,MAX(0.1,Skills!D6-IF(TRUE=TRUE,Inputs!$B$32,0)))*(1-IF(AND(ArtifactsInput!$M$27,Inputs!$B$4="Chapter Hunt"),CHOOSE(ArtifactsInput!$N$27+1,20,24,28,32,36,40),0)/100)))))/Skills!H6+0.000000001),1)))/Inputs!$B$43),G2093*Q2093))*IF(Inputs!$B$38="pvp",1,(1+(Inputs!$B$21+Skills!Q6+(((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Skills!G7*IF(Skills!H7&gt;0,INT(IF(Inputs!$B$38="pvp",MIN(Skills!I7,15),Skills!I7)/Skills!H7+0.000000001),1)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IFERROR(1/(IF(Inputs!$B$38="pvp",15,MAX(0.1,Skills!D7-IF(TRUE=TRUE,Inputs!$B$32,0)))*(1-IF(AND(ArtifactsInput!$M$27,Inputs!$B$4="Chapter Hunt"),CHOOSE(ArtifactsInput!$N$27+1,20,24,28,32,36,40),0)/100)),0)</f>
        <v/>
      </c>
      <c r="R2094">
        <f>IF(AND(Inputs!$B$38&lt;&gt;"pvp",Inputs!$B$43&gt;0),IF(MAX(0,Inputs!$B$43-B2123)&lt;=0,0,(INT(MAX(0,Inputs!$B$43-B2123)/(IF(Inputs!$B$38="pvp",15,MAX(0.1,Skills!D7-IF(TRUE=TRUE,Inputs!$B$32,0)))*(1-IF(AND(ArtifactsInput!$M$27,Inputs!$B$4="Chapter Hunt"),CHOOSE(ArtifactsInput!$N$27+1,20,24,28,32,36,40),0)/100)))+1)),0)</f>
        <v/>
      </c>
      <c r="S2094">
        <f>IFERROR(O2094/N2094,0)</f>
        <v/>
      </c>
      <c r="T2094">
        <f>IF(C2094,(H2094*N2094*IF(AND(Inputs!$B$38&lt;&gt;"pvp",Inputs!$B$43&gt;0),((Skills!G7*((R2094-1)*IF(Skills!H7&gt;0,INT(Skills!I7/Skills!H7+0.000000001),1)+IF(Skills!H7&gt;0,INT(MIN(Skills!I7,MAX(0,MAX(0,Inputs!$B$43-B2123)-((R2094-1)*(IF(Inputs!$B$38="pvp",15,MAX(0.1,Skills!D7-IF(TRUE=TRUE,Inputs!$B$32,0)))*(1-IF(AND(ArtifactsInput!$M$27,Inputs!$B$4="Chapter Hunt"),CHOOSE(ArtifactsInput!$N$27+1,20,24,28,32,36,40),0)/100)))))/Skills!H7+0.000000001),1)))/Inputs!$B$43),G2094*Q2094))*IF(Inputs!$B$38="pvp",1,1+(Inputs!$B$20+0+Skills!P7+(((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INT(Skills!I7/Skills!H7+0.000000001),1)+IF(Skills!H7&gt;0,INT(MIN(Skills!I7,MAX(0,MAX(0,Inputs!$B$43-B2123)-((R2094-1)*(IF(Inputs!$B$38="pvp",15,MAX(0.1,Skills!D7-IF(TRUE=TRUE,Inputs!$B$32,0)))*(1-IF(AND(ArtifactsInput!$M$27,Inputs!$B$4="Chapter Hunt"),CHOOSE(ArtifactsInput!$N$27+1,20,24,28,32,36,40),0)/100)))))/Skills!H7+0.000000001),1)))/Inputs!$B$43),G2094*Q2094))*IF(Inputs!$B$38="pvp",1,(1+(Inputs!$B$21+Skills!Q7+(((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Skills!G8*IF(Skills!H8&gt;0,INT(IF(Inputs!$B$38="pvp",MIN(Skills!I8,15),Skills!I8)/Skills!H8+0.000000001),1)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IFERROR(1/(IF(Inputs!$B$38="pvp",15,MAX(0.1,Skills!D8-IF(TRUE=TRUE,Inputs!$B$32,0)))*(1-IF(AND(ArtifactsInput!$M$27,Inputs!$B$4="Chapter Hunt"),CHOOSE(ArtifactsInput!$N$27+1,20,24,28,32,36,40),0)/100)),0)</f>
        <v/>
      </c>
      <c r="R2095">
        <f>IF(AND(Inputs!$B$38&lt;&gt;"pvp",Inputs!$B$43&gt;0),IF(MAX(0,Inputs!$B$43-B2123)&lt;=0,0,(INT(MAX(0,Inputs!$B$43-B2123)/(IF(Inputs!$B$38="pvp",15,MAX(0.1,Skills!D8-IF(TRUE=TRUE,Inputs!$B$32,0)))*(1-IF(AND(ArtifactsInput!$M$27,Inputs!$B$4="Chapter Hunt"),CHOOSE(ArtifactsInput!$N$27+1,20,24,28,32,36,40),0)/100)))+1)),0)</f>
        <v/>
      </c>
      <c r="S2095">
        <f>IFERROR(O2095/N2095,0)</f>
        <v/>
      </c>
      <c r="T2095">
        <f>IF(C2095,(H2095*N2095*IF(AND(Inputs!$B$38&lt;&gt;"pvp",Inputs!$B$43&gt;0),((Skills!G8*((R2095-1)*IF(Skills!H8&gt;0,INT(Skills!I8/Skills!H8+0.000000001),1)+IF(Skills!H8&gt;0,INT(MIN(Skills!I8,MAX(0,MAX(0,Inputs!$B$43-B2123)-((R2095-1)*(IF(Inputs!$B$38="pvp",15,MAX(0.1,Skills!D8-IF(TRUE=TRUE,Inputs!$B$32,0)))*(1-IF(AND(ArtifactsInput!$M$27,Inputs!$B$4="Chapter Hunt"),CHOOSE(ArtifactsInput!$N$27+1,20,24,28,32,36,40),0)/100)))))/Skills!H8+0.000000001),1)))/Inputs!$B$43),G2095*Q2095))*IF(Inputs!$B$38="pvp",1,1+(Inputs!$B$20+0+Skills!P8+(((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INT(Skills!I8/Skills!H8+0.000000001),1)+IF(Skills!H8&gt;0,INT(MIN(Skills!I8,MAX(0,MAX(0,Inputs!$B$43-B2123)-((R2095-1)*(IF(Inputs!$B$38="pvp",15,MAX(0.1,Skills!D8-IF(TRUE=TRUE,Inputs!$B$32,0)))*(1-IF(AND(ArtifactsInput!$M$27,Inputs!$B$4="Chapter Hunt"),CHOOSE(ArtifactsInput!$N$27+1,20,24,28,32,36,40),0)/100)))))/Skills!H8+0.000000001),1)))/Inputs!$B$43),G2095*Q2095))*IF(Inputs!$B$38="pvp",1,(1+(Inputs!$B$21+Skills!Q8+(((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Skills!G9*IF(Skills!H9&gt;0,INT(IF(Inputs!$B$38="pvp",MIN(Skills!I9,15),Skills!I9)/Skills!H9+0.000000001),1)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138,MAX(0,IF(Inputs!$B$3&gt;=118,8,IF(Inputs!$B$3&gt;=110,7,5))-5)*50,0),0)/100)*(1+(IF(Skills!A9="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IFERROR(1/(IF(Inputs!$B$38="pvp",15,MAX(0.1,Skills!D9-IF(TRUE=TRUE,Inputs!$B$32,0)))*(1-IF(AND(ArtifactsInput!$M$27,Inputs!$B$4="Chapter Hunt"),CHOOSE(ArtifactsInput!$N$27+1,20,24,28,32,36,40),0)/100)),0)</f>
        <v/>
      </c>
      <c r="R2096">
        <f>IF(AND(Inputs!$B$38&lt;&gt;"pvp",Inputs!$B$43&gt;0),IF(MAX(0,Inputs!$B$43-B2123)&lt;=0,0,(INT(MAX(0,Inputs!$B$43-B2123)/(IF(Inputs!$B$38="pvp",15,MAX(0.1,Skills!D9-IF(TRUE=TRUE,Inputs!$B$32,0)))*(1-IF(AND(ArtifactsInput!$M$27,Inputs!$B$4="Chapter Hunt"),CHOOSE(ArtifactsInput!$N$27+1,20,24,28,32,36,40),0)/100)))+1)),0)</f>
        <v/>
      </c>
      <c r="S2096">
        <f>IFERROR(O2096/N2096,0)</f>
        <v/>
      </c>
      <c r="T2096">
        <f>IF(C2096,(H2096*N2096*IF(AND(Inputs!$B$38&lt;&gt;"pvp",Inputs!$B$43&gt;0),((Skills!G9*((R2096-1)*IF(Skills!H9&gt;0,INT(Skills!I9/Skills!H9+0.000000001),1)+IF(Skills!H9&gt;0,INT(MIN(Skills!I9,MAX(0,MAX(0,Inputs!$B$43-B2123)-((R2096-1)*(IF(Inputs!$B$38="pvp",15,MAX(0.1,Skills!D9-IF(TRUE=TRUE,Inputs!$B$32,0)))*(1-IF(AND(ArtifactsInput!$M$27,Inputs!$B$4="Chapter Hunt"),CHOOSE(ArtifactsInput!$N$27+1,20,24,28,32,36,40),0)/100)))))/Skills!H9+0.000000001),1)))/Inputs!$B$43),G2096*Q2096))*IF(Inputs!$B$38="pvp",1,1+(Inputs!$B$20+0+Skills!P9+(((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INT(Skills!I9/Skills!H9+0.000000001),1)+IF(Skills!H9&gt;0,INT(MIN(Skills!I9,MAX(0,MAX(0,Inputs!$B$43-B2123)-((R2096-1)*(IF(Inputs!$B$38="pvp",15,MAX(0.1,Skills!D9-IF(TRUE=TRUE,Inputs!$B$32,0)))*(1-IF(AND(ArtifactsInput!$M$27,Inputs!$B$4="Chapter Hunt"),CHOOSE(ArtifactsInput!$N$27+1,20,24,28,32,36,40),0)/100)))))/Skills!H9+0.000000001),1)))/Inputs!$B$43),G2096*Q2096))*IF(Inputs!$B$38="pvp",1,(1+(Inputs!$B$21+Skills!Q9+(((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Skills!G10*IF(Skills!H10&gt;0,INT(IF(Inputs!$B$38="pvp",MIN(Skills!I10,15),Skills!I10)/Skills!H10+0.000000001),1)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138,MAX(0,IF(Inputs!$B$3&gt;=118,8,IF(Inputs!$B$3&gt;=110,7,5))-5)*50,0),0)/100)*(1+(IF(Skills!A10="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IFERROR(1/(IF(Inputs!$B$38="pvp",15,MAX(0.1,Skills!D10-IF(TRUE=TRUE,Inputs!$B$32,0)))*(1-IF(AND(ArtifactsInput!$M$27,Inputs!$B$4="Chapter Hunt"),CHOOSE(ArtifactsInput!$N$27+1,20,24,28,32,36,40),0)/100)),0)</f>
        <v/>
      </c>
      <c r="R2097">
        <f>IF(AND(Inputs!$B$38&lt;&gt;"pvp",Inputs!$B$43&gt;0),IF(MAX(0,Inputs!$B$43-B2123)&lt;=0,0,(INT(MAX(0,Inputs!$B$43-B2123)/(IF(Inputs!$B$38="pvp",15,MAX(0.1,Skills!D10-IF(TRUE=TRUE,Inputs!$B$32,0)))*(1-IF(AND(ArtifactsInput!$M$27,Inputs!$B$4="Chapter Hunt"),CHOOSE(ArtifactsInput!$N$27+1,20,24,28,32,36,40),0)/100)))+1)),0)</f>
        <v/>
      </c>
      <c r="S2097">
        <f>IFERROR(O2097/N2097,0)</f>
        <v/>
      </c>
      <c r="T2097">
        <f>IF(C2097,(H2097*N2097*IF(AND(Inputs!$B$38&lt;&gt;"pvp",Inputs!$B$43&gt;0),((Skills!G10*((R2097-1)*IF(Skills!H10&gt;0,INT(Skills!I10/Skills!H10+0.000000001),1)+IF(Skills!H10&gt;0,INT(MIN(Skills!I10,MAX(0,MAX(0,Inputs!$B$43-B2123)-((R2097-1)*(IF(Inputs!$B$38="pvp",15,MAX(0.1,Skills!D10-IF(TRUE=TRUE,Inputs!$B$32,0)))*(1-IF(AND(ArtifactsInput!$M$27,Inputs!$B$4="Chapter Hunt"),CHOOSE(ArtifactsInput!$N$27+1,20,24,28,32,36,40),0)/100)))))/Skills!H10+0.000000001),1)))/Inputs!$B$43),G2097*Q2097))*IF(Inputs!$B$38="pvp",1,1+(Inputs!$B$20+0+Skills!P10+(((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INT(Skills!I10/Skills!H10+0.000000001),1)+IF(Skills!H10&gt;0,INT(MIN(Skills!I10,MAX(0,MAX(0,Inputs!$B$43-B2123)-((R2097-1)*(IF(Inputs!$B$38="pvp",15,MAX(0.1,Skills!D10-IF(TRUE=TRUE,Inputs!$B$32,0)))*(1-IF(AND(ArtifactsInput!$M$27,Inputs!$B$4="Chapter Hunt"),CHOOSE(ArtifactsInput!$N$27+1,20,24,28,32,36,40),0)/100)))))/Skills!H10+0.000000001),1)))/Inputs!$B$43),G2097*Q2097))*IF(Inputs!$B$38="pvp",1,(1+(Inputs!$B$21+Skills!Q10+(((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Skills!G11*IF(Skills!H11&gt;0,INT(IF(Inputs!$B$38="pvp",MIN(Skills!I11,15),Skills!I11)/Skills!H11+0.000000001),1)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138,MAX(0,IF(Inputs!$B$3&gt;=118,8,IF(Inputs!$B$3&gt;=110,7,5))-5)*50,0),0)/100)*(1+(IF(Skills!A11="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IFERROR(1/(IF(Inputs!$B$38="pvp",15,MAX(0.1,Skills!D11-IF(TRUE=TRUE,Inputs!$B$32,0)))*(1-IF(AND(ArtifactsInput!$M$27,Inputs!$B$4="Chapter Hunt"),CHOOSE(ArtifactsInput!$N$27+1,20,24,28,32,36,40),0)/100)),0)</f>
        <v/>
      </c>
      <c r="R2098">
        <f>IF(AND(Inputs!$B$38&lt;&gt;"pvp",Inputs!$B$43&gt;0),IF(MAX(0,Inputs!$B$43-B2123)&lt;=0,0,(INT(MAX(0,Inputs!$B$43-B2123)/(IF(Inputs!$B$38="pvp",15,MAX(0.1,Skills!D11-IF(TRUE=TRUE,Inputs!$B$32,0)))*(1-IF(AND(ArtifactsInput!$M$27,Inputs!$B$4="Chapter Hunt"),CHOOSE(ArtifactsInput!$N$27+1,20,24,28,32,36,40),0)/100)))+1)),0)</f>
        <v/>
      </c>
      <c r="S2098">
        <f>IFERROR(O2098/N2098,0)</f>
        <v/>
      </c>
      <c r="T2098">
        <f>IF(C2098,(H2098*N2098*IF(AND(Inputs!$B$38&lt;&gt;"pvp",Inputs!$B$43&gt;0),((Skills!G11*((R2098-1)*IF(Skills!H11&gt;0,INT(Skills!I11/Skills!H11+0.000000001),1)+IF(Skills!H11&gt;0,INT(MIN(Skills!I11,MAX(0,MAX(0,Inputs!$B$43-B2123)-((R2098-1)*(IF(Inputs!$B$38="pvp",15,MAX(0.1,Skills!D11-IF(TRUE=TRUE,Inputs!$B$32,0)))*(1-IF(AND(ArtifactsInput!$M$27,Inputs!$B$4="Chapter Hunt"),CHOOSE(ArtifactsInput!$N$27+1,20,24,28,32,36,40),0)/100)))))/Skills!H11+0.000000001),1)))/Inputs!$B$43),G2098*Q2098))*IF(Inputs!$B$38="pvp",1,1+(Inputs!$B$20+0+Skills!P11+(((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INT(Skills!I11/Skills!H11+0.000000001),1)+IF(Skills!H11&gt;0,INT(MIN(Skills!I11,MAX(0,MAX(0,Inputs!$B$43-B2123)-((R2098-1)*(IF(Inputs!$B$38="pvp",15,MAX(0.1,Skills!D11-IF(TRUE=TRUE,Inputs!$B$32,0)))*(1-IF(AND(ArtifactsInput!$M$27,Inputs!$B$4="Chapter Hunt"),CHOOSE(ArtifactsInput!$N$27+1,20,24,28,32,36,40),0)/100)))))/Skills!H11+0.000000001),1)))/Inputs!$B$43),G2098*Q2098))*IF(Inputs!$B$38="pvp",1,(1+(Inputs!$B$21+Skills!Q11+(((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Skills!G13*IF(Skills!H13&gt;0,INT(IF(Inputs!$B$38="pvp",MIN(Skills!I13,15),Skills!I13)/Skills!H13+0.000000001),1)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Skills!G14*IF(Skills!H14&gt;0,INT(IF(Inputs!$B$38="pvp",MIN(Skills!I14,15),Skills!I14)/Skills!H14+0.000000001),1)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Skills!G15*IF(Skills!H15&gt;0,INT(IF(Inputs!$B$38="pvp",MIN(Skills!I15,15),Skills!I15)/Skills!H15+0.000000001),1)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IFERROR(1/(IF(Inputs!$B$38="pvp",15,MAX(0.1,Skills!D15-IF(TRUE=TRUE,Inputs!$B$32,0)))*(1-IF(AND(ArtifactsInput!$M$27,Inputs!$B$4="Chapter Hunt"),CHOOSE(ArtifactsInput!$N$27+1,20,24,28,32,36,40),0)/100)),0)</f>
        <v/>
      </c>
      <c r="R2102">
        <f>IF(AND(Inputs!$B$38&lt;&gt;"pvp",Inputs!$B$43&gt;0),IF(Inputs!$B$43&lt;=0,0,(INT(Inputs!$B$43/(IF(Inputs!$B$38="pvp",15,MAX(0.1,Skills!D15-IF(TRUE=TRUE,Inputs!$B$32,0)))*(1-IF(AND(ArtifactsInput!$M$27,Inputs!$B$4="Chapter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Skills!G16*IF(Skills!H16&gt;0,INT(IF(Inputs!$B$38="pvp",MIN(Skills!I16,15),Skills!I16)/Skills!H16+0.000000001),1)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IFERROR(1/(IF(Inputs!$B$38="pvp",15,MAX(0.1,Skills!D16-IF(TRUE=TRUE,Inputs!$B$32,0)))*(1-IF(AND(ArtifactsInput!$M$27,Inputs!$B$4="Chapter Hunt"),CHOOSE(ArtifactsInput!$N$27+1,20,24,28,32,36,40),0)/100)),0)</f>
        <v/>
      </c>
      <c r="R2103">
        <f>IF(AND(Inputs!$B$38&lt;&gt;"pvp",Inputs!$B$43&gt;0),IF(Inputs!$B$43&lt;=0,0,(INT(Inputs!$B$43/(IF(Inputs!$B$38="pvp",15,MAX(0.1,Skills!D16-IF(TRUE=TRUE,Inputs!$B$32,0)))*(1-IF(AND(ArtifactsInput!$M$27,Inputs!$B$4="Chapter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Skills!G17*IF(Skills!H17&gt;0,INT(IF(Inputs!$B$38="pvp",MIN(Skills!I17,15),Skills!I17)/Skills!H17+0.000000001),1)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Skills!G18*IF(Skills!H18&gt;0,INT(IF(Inputs!$B$38="pvp",MIN(Skills!I18,15),Skills!I18)/Skills!H18+0.000000001),1)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Skills!G19*IF(Skills!H19&gt;0,INT(IF(Inputs!$B$38="pvp",MIN(Skills!I19,15),Skills!I19)/Skills!H19+0.000000001),1)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IFERROR(1/(IF(Inputs!$B$38="pvp",15,MAX(0.1,Skills!D19-IF(TRUE=TRUE,Inputs!$B$32,0)))*(1-IF(AND(ArtifactsInput!$M$27,Inputs!$B$4="Chapter Hunt"),CHOOSE(ArtifactsInput!$N$27+1,20,24,28,32,36,40),0)/100)),0)</f>
        <v/>
      </c>
      <c r="R2106">
        <f>IF(AND(Inputs!$B$38&lt;&gt;"pvp",Inputs!$B$43&gt;0),IF(Inputs!$B$43&lt;=0,0,(INT(Inputs!$B$43/(IF(Inputs!$B$38="pvp",15,MAX(0.1,Skills!D19-IF(TRUE=TRUE,Inputs!$B$32,0)))*(1-IF(AND(ArtifactsInput!$M$27,Inputs!$B$4="Chapter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Skills!G20*IF(Skills!H20&gt;0,INT(IF(Inputs!$B$38="pvp",MIN(Skills!I20,15),Skills!I20)/Skills!H20+0.000000001),1)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Skills!G21*IF(Skills!H21&gt;0,INT(IF(Inputs!$B$38="pvp",MIN(Skills!I21,15),Skills!I21)/Skills!H21+0.000000001),1)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Skills!G22*IF(Skills!H22&gt;0,INT(IF(Inputs!$B$38="pvp",MIN(Skills!I22,15),Skills!I22)/Skills!H22+0.000000001),1)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Skills!G23*IF(Skills!H23&gt;0,INT(IF(Inputs!$B$38="pvp",MIN(Skills!I23,15),Skills!I23)/Skills!H23+0.000000001),1)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Skills!G24*IF(Skills!H24&gt;0,INT(IF(Inputs!$B$38="pvp",MIN(Skills!I24,15),Skills!I24)/Skills!H24+0.000000001),1)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Skills!G25*IF(Skills!H25&gt;0,INT(IF(Inputs!$B$38="pvp",MIN(Skills!I25,15),Skills!I25)/Skills!H25+0.000000001),1)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Skills!G26*IF(Skills!H26&gt;0,INT(IF(Inputs!$B$38="pvp",MIN(Skills!I26,15),Skills!I26)/Skills!H26+0.000000001),1)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MIN((Skills!T19*(1+(Inputs!$B$34+(ArtifactsInput!$M$7-ArtifactsInput!$M$7)*CHOOSE(ArtifactsInput!$N$7+1,6,7.2,8.4,9.6,10.8,12))/100)),(1/Q2106))+MIN((Skills!T19*(1+(Inputs!$B$34+(ArtifactsInput!$M$7-ArtifactsInput!$M$7)*CHOOSE(ArtifactsInput!$N$7+1,6,7.2,8.4,9.6,10.8,12))/100)),MAX(0,Inputs!$B$43-((R2106-1)*(1/Q2106)))))/Inputs!$B$43),IF(Inputs!$B$38="pvp",MIN((Skills!T19*(1+(Inputs!$B$34+(ArtifactsInput!$M$7-ArtifactsInput!$M$7)*CHOOSE(ArtifactsInput!$N$7+1,6,7.2,8.4,9.6,10.8,12))/100)),15)/15,MIN(1,(Skills!T19*(1+(Inputs!$B$34+(ArtifactsInput!$M$7-ArtifactsInput!$M$7)*CHOOSE(ArtifactsInput!$N$7+1,6,7.2,8.4,9.6,10.8,12))/100))/(1/Q2106)))))</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MIN((Skills!T18*(1+(Inputs!$B$34+(ArtifactsInput!$M$7-ArtifactsInput!$M$7)*CHOOSE(ArtifactsInput!$N$7+1,6,7.2,8.4,9.6,10.8,12))/100)),(1/Q2105))+MIN((Skills!T18*(1+(Inputs!$B$34+(ArtifactsInput!$M$7-ArtifactsInput!$M$7)*CHOOSE(ArtifactsInput!$N$7+1,6,7.2,8.4,9.6,10.8,12))/100)),MAX(0,Inputs!$B$43-((R2105-1)*(1/Q2105)))))/Inputs!$B$43),IF(Inputs!$B$38="pvp",MIN((Skills!T18*(1+(Inputs!$B$34+(ArtifactsInput!$M$7-ArtifactsInput!$M$7)*CHOOSE(ArtifactsInput!$N$7+1,6,7.2,8.4,9.6,10.8,12))/100)),15)/15,MIN(1,(Skills!T18*(1+(Inputs!$B$34+(ArtifactsInput!$M$7-ArtifactsInput!$M$7)*CHOOSE(ArtifactsInput!$N$7+1,6,7.2,8.4,9.6,10.8,12))/100))/(1/Q2105)))))</f>
        <v/>
      </c>
    </row>
    <row r="2122">
      <c r="A2122" t="inlineStr">
        <is>
          <t>Global Final Damage Bonus % (Enrage + Combo Synergy)</t>
        </is>
      </c>
      <c r="B2122">
        <f>((C2104=TRUE)*F2104*IF(AND(Inputs!$B$38&lt;&gt;"pvp",Inputs!$B$43&gt;0),(((R2104-1)*MIN((Skills!T17*(1+(Inputs!$B$34+(ArtifactsInput!$M$7-ArtifactsInput!$M$7)*CHOOSE(ArtifactsInput!$N$7+1,6,7.2,8.4,9.6,10.8,12))/100)),(1/Q2104))+MIN((Skills!T17*(1+(Inputs!$B$34+(ArtifactsInput!$M$7-ArtifactsInput!$M$7)*CHOOSE(ArtifactsInput!$N$7+1,6,7.2,8.4,9.6,10.8,12))/100)),MAX(0,Inputs!$B$43-((R2104-1)*(1/Q2104)))))/Inputs!$B$43),IF(Inputs!$B$38="pvp",MIN((Skills!T17*(1+(Inputs!$B$34+(ArtifactsInput!$M$7-ArtifactsInput!$M$7)*CHOOSE(ArtifactsInput!$N$7+1,6,7.2,8.4,9.6,10.8,12))/100)),15)/15,MIN(1,(Skills!T17*(1+(Inputs!$B$34+(ArtifactsInput!$M$7-ArtifactsInput!$M$7)*CHOOSE(ArtifactsInput!$N$7+1,6,7.2,8.4,9.6,10.8,12))/100))/(1/Q2104)))))+((C2101=TRUE)*F2101*IF(Inputs!$B$3&gt;=118,8,IF(Inputs!$B$3&gt;=110,7,5)))+IF(Inputs!$B$3&gt;=98,5,0)</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Skills!G2*IF(Skills!H2&gt;0,INT(IF(Inputs!$B$38="pvp",MIN(Skills!I2,15),Skills!I2)/Skills!H2+0.000000001),1)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Skills!G5*IF(Skills!H5&gt;0,INT(IF(Inputs!$B$38="pvp",MIN(Skills!I5,15),Skills!I5)/Skills!H5+0.000000001),1)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IFERROR(1/(IF(Inputs!$B$38="pvp",15,MAX(0.1,Skills!D5-IF(TRUE=TRUE,Inputs!$B$32,0)))*(1-IF(AND(ArtifactsInput!$M$27,Inputs!$B$4="Chapter Hunt"),CHOOSE(ArtifactsInput!$N$27+1,20,24,28,32,36,40),0)/100)),0)</f>
        <v/>
      </c>
      <c r="R2134">
        <f>IF(AND(Inputs!$B$38&lt;&gt;"pvp",Inputs!$B$43&gt;0),IF(MAX(0,Inputs!$B$43-B2165)&lt;=0,0,(INT(MAX(0,Inputs!$B$43-B2165)/(IF(Inputs!$B$38="pvp",15,MAX(0.1,Skills!D5-IF(TRUE=TRUE,Inputs!$B$32,0)))*(1-IF(AND(ArtifactsInput!$M$27,Inputs!$B$4="Chapter Hunt"),CHOOSE(ArtifactsInput!$N$27+1,20,24,28,32,36,40),0)/100)))+1)),0)</f>
        <v/>
      </c>
      <c r="S2134">
        <f>IFERROR(O2134/N2134,0)</f>
        <v/>
      </c>
      <c r="T2134">
        <f>IF(C2134,(H2134*N2134*IF(AND(Inputs!$B$38&lt;&gt;"pvp",Inputs!$B$43&gt;0),((Skills!G5*((R2134-1)*IF(Skills!H5&gt;0,INT(Skills!I5/Skills!H5+0.000000001),1)+IF(Skills!H5&gt;0,INT(MIN(Skills!I5,MAX(0,MAX(0,Inputs!$B$43-B2165)-((R2134-1)*(IF(Inputs!$B$38="pvp",15,MAX(0.1,Skills!D5-IF(TRUE=TRUE,Inputs!$B$32,0)))*(1-IF(AND(ArtifactsInput!$M$27,Inputs!$B$4="Chapter Hunt"),CHOOSE(ArtifactsInput!$N$27+1,20,24,28,32,36,40),0)/100)))))/Skills!H5+0.000000001),1)))/Inputs!$B$43),G2134*Q2134))*IF(Inputs!$B$38="pvp",1,1+(Inputs!$B$20+0+Skills!P5+(((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INT(Skills!I5/Skills!H5+0.000000001),1)+IF(Skills!H5&gt;0,INT(MIN(Skills!I5,MAX(0,MAX(0,Inputs!$B$43-B2165)-((R2134-1)*(IF(Inputs!$B$38="pvp",15,MAX(0.1,Skills!D5-IF(TRUE=TRUE,Inputs!$B$32,0)))*(1-IF(AND(ArtifactsInput!$M$27,Inputs!$B$4="Chapter Hunt"),CHOOSE(ArtifactsInput!$N$27+1,20,24,28,32,36,40),0)/100)))))/Skills!H5+0.000000001),1)))/Inputs!$B$43),G2134*Q2134))*IF(Inputs!$B$38="pvp",1,(1+(Inputs!$B$21+Skills!Q5+(((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Skills!G6*IF(Skills!H6&gt;0,INT(IF(Inputs!$B$38="pvp",MIN(Skills!I6,15),Skills!I6)/Skills!H6+0.000000001),1)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IFERROR(1/(IF(Inputs!$B$38="pvp",15,MAX(0.1,Skills!D6-IF(TRUE=TRUE,Inputs!$B$32,0)))*(1-IF(AND(ArtifactsInput!$M$27,Inputs!$B$4="Chapter Hunt"),CHOOSE(ArtifactsInput!$N$27+1,20,24,28,32,36,40),0)/100)),0)</f>
        <v/>
      </c>
      <c r="R2135">
        <f>IF(AND(Inputs!$B$38&lt;&gt;"pvp",Inputs!$B$43&gt;0),IF(MAX(0,Inputs!$B$43-B2165)&lt;=0,0,(INT(MAX(0,Inputs!$B$43-B2165)/(IF(Inputs!$B$38="pvp",15,MAX(0.1,Skills!D6-IF(TRUE=TRUE,Inputs!$B$32,0)))*(1-IF(AND(ArtifactsInput!$M$27,Inputs!$B$4="Chapter Hunt"),CHOOSE(ArtifactsInput!$N$27+1,20,24,28,32,36,40),0)/100)))+1)),0)</f>
        <v/>
      </c>
      <c r="S2135">
        <f>IFERROR(O2135/N2135,0)</f>
        <v/>
      </c>
      <c r="T2135">
        <f>IF(C2135,(H2135*N2135*IF(AND(Inputs!$B$38&lt;&gt;"pvp",Inputs!$B$43&gt;0),((Skills!G6*((R2135-1)*IF(Skills!H6&gt;0,INT(Skills!I6/Skills!H6+0.000000001),1)+IF(Skills!H6&gt;0,INT(MIN(Skills!I6,MAX(0,MAX(0,Inputs!$B$43-B2165)-((R2135-1)*(IF(Inputs!$B$38="pvp",15,MAX(0.1,Skills!D6-IF(TRUE=TRUE,Inputs!$B$32,0)))*(1-IF(AND(ArtifactsInput!$M$27,Inputs!$B$4="Chapter Hunt"),CHOOSE(ArtifactsInput!$N$27+1,20,24,28,32,36,40),0)/100)))))/Skills!H6+0.000000001),1)))/Inputs!$B$43),G2135*Q2135))*IF(Inputs!$B$38="pvp",1,1+(Inputs!$B$20+0+Skills!P6+(((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INT(Skills!I6/Skills!H6+0.000000001),1)+IF(Skills!H6&gt;0,INT(MIN(Skills!I6,MAX(0,MAX(0,Inputs!$B$43-B2165)-((R2135-1)*(IF(Inputs!$B$38="pvp",15,MAX(0.1,Skills!D6-IF(TRUE=TRUE,Inputs!$B$32,0)))*(1-IF(AND(ArtifactsInput!$M$27,Inputs!$B$4="Chapter Hunt"),CHOOSE(ArtifactsInput!$N$27+1,20,24,28,32,36,40),0)/100)))))/Skills!H6+0.000000001),1)))/Inputs!$B$43),G2135*Q2135))*IF(Inputs!$B$38="pvp",1,(1+(Inputs!$B$21+Skills!Q6+(((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Skills!G7*IF(Skills!H7&gt;0,INT(IF(Inputs!$B$38="pvp",MIN(Skills!I7,15),Skills!I7)/Skills!H7+0.000000001),1)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IFERROR(1/(IF(Inputs!$B$38="pvp",15,MAX(0.1,Skills!D7-IF(TRUE=TRUE,Inputs!$B$32,0)))*(1-IF(AND(ArtifactsInput!$M$27,Inputs!$B$4="Chapter Hunt"),CHOOSE(ArtifactsInput!$N$27+1,20,24,28,32,36,40),0)/100)),0)</f>
        <v/>
      </c>
      <c r="R2136">
        <f>IF(AND(Inputs!$B$38&lt;&gt;"pvp",Inputs!$B$43&gt;0),IF(MAX(0,Inputs!$B$43-B2165)&lt;=0,0,(INT(MAX(0,Inputs!$B$43-B2165)/(IF(Inputs!$B$38="pvp",15,MAX(0.1,Skills!D7-IF(TRUE=TRUE,Inputs!$B$32,0)))*(1-IF(AND(ArtifactsInput!$M$27,Inputs!$B$4="Chapter Hunt"),CHOOSE(ArtifactsInput!$N$27+1,20,24,28,32,36,40),0)/100)))+1)),0)</f>
        <v/>
      </c>
      <c r="S2136">
        <f>IFERROR(O2136/N2136,0)</f>
        <v/>
      </c>
      <c r="T2136">
        <f>IF(C2136,(H2136*N2136*IF(AND(Inputs!$B$38&lt;&gt;"pvp",Inputs!$B$43&gt;0),((Skills!G7*((R2136-1)*IF(Skills!H7&gt;0,INT(Skills!I7/Skills!H7+0.000000001),1)+IF(Skills!H7&gt;0,INT(MIN(Skills!I7,MAX(0,MAX(0,Inputs!$B$43-B2165)-((R2136-1)*(IF(Inputs!$B$38="pvp",15,MAX(0.1,Skills!D7-IF(TRUE=TRUE,Inputs!$B$32,0)))*(1-IF(AND(ArtifactsInput!$M$27,Inputs!$B$4="Chapter Hunt"),CHOOSE(ArtifactsInput!$N$27+1,20,24,28,32,36,40),0)/100)))))/Skills!H7+0.000000001),1)))/Inputs!$B$43),G2136*Q2136))*IF(Inputs!$B$38="pvp",1,1+(Inputs!$B$20+0+Skills!P7+(((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INT(Skills!I7/Skills!H7+0.000000001),1)+IF(Skills!H7&gt;0,INT(MIN(Skills!I7,MAX(0,MAX(0,Inputs!$B$43-B2165)-((R2136-1)*(IF(Inputs!$B$38="pvp",15,MAX(0.1,Skills!D7-IF(TRUE=TRUE,Inputs!$B$32,0)))*(1-IF(AND(ArtifactsInput!$M$27,Inputs!$B$4="Chapter Hunt"),CHOOSE(ArtifactsInput!$N$27+1,20,24,28,32,36,40),0)/100)))))/Skills!H7+0.000000001),1)))/Inputs!$B$43),G2136*Q2136))*IF(Inputs!$B$38="pvp",1,(1+(Inputs!$B$21+Skills!Q7+(((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Skills!G8*IF(Skills!H8&gt;0,INT(IF(Inputs!$B$38="pvp",MIN(Skills!I8,15),Skills!I8)/Skills!H8+0.000000001),1)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IFERROR(1/(IF(Inputs!$B$38="pvp",15,MAX(0.1,Skills!D8-IF(TRUE=TRUE,Inputs!$B$32,0)))*(1-IF(AND(ArtifactsInput!$M$27,Inputs!$B$4="Chapter Hunt"),CHOOSE(ArtifactsInput!$N$27+1,20,24,28,32,36,40),0)/100)),0)</f>
        <v/>
      </c>
      <c r="R2137">
        <f>IF(AND(Inputs!$B$38&lt;&gt;"pvp",Inputs!$B$43&gt;0),IF(MAX(0,Inputs!$B$43-B2165)&lt;=0,0,(INT(MAX(0,Inputs!$B$43-B2165)/(IF(Inputs!$B$38="pvp",15,MAX(0.1,Skills!D8-IF(TRUE=TRUE,Inputs!$B$32,0)))*(1-IF(AND(ArtifactsInput!$M$27,Inputs!$B$4="Chapter Hunt"),CHOOSE(ArtifactsInput!$N$27+1,20,24,28,32,36,40),0)/100)))+1)),0)</f>
        <v/>
      </c>
      <c r="S2137">
        <f>IFERROR(O2137/N2137,0)</f>
        <v/>
      </c>
      <c r="T2137">
        <f>IF(C2137,(H2137*N2137*IF(AND(Inputs!$B$38&lt;&gt;"pvp",Inputs!$B$43&gt;0),((Skills!G8*((R2137-1)*IF(Skills!H8&gt;0,INT(Skills!I8/Skills!H8+0.000000001),1)+IF(Skills!H8&gt;0,INT(MIN(Skills!I8,MAX(0,MAX(0,Inputs!$B$43-B2165)-((R2137-1)*(IF(Inputs!$B$38="pvp",15,MAX(0.1,Skills!D8-IF(TRUE=TRUE,Inputs!$B$32,0)))*(1-IF(AND(ArtifactsInput!$M$27,Inputs!$B$4="Chapter Hunt"),CHOOSE(ArtifactsInput!$N$27+1,20,24,28,32,36,40),0)/100)))))/Skills!H8+0.000000001),1)))/Inputs!$B$43),G2137*Q2137))*IF(Inputs!$B$38="pvp",1,1+(Inputs!$B$20+0+Skills!P8+(((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INT(Skills!I8/Skills!H8+0.000000001),1)+IF(Skills!H8&gt;0,INT(MIN(Skills!I8,MAX(0,MAX(0,Inputs!$B$43-B2165)-((R2137-1)*(IF(Inputs!$B$38="pvp",15,MAX(0.1,Skills!D8-IF(TRUE=TRUE,Inputs!$B$32,0)))*(1-IF(AND(ArtifactsInput!$M$27,Inputs!$B$4="Chapter Hunt"),CHOOSE(ArtifactsInput!$N$27+1,20,24,28,32,36,40),0)/100)))))/Skills!H8+0.000000001),1)))/Inputs!$B$43),G2137*Q2137))*IF(Inputs!$B$38="pvp",1,(1+(Inputs!$B$21+Skills!Q8+(((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Skills!G9*IF(Skills!H9&gt;0,INT(IF(Inputs!$B$38="pvp",MIN(Skills!I9,15),Skills!I9)/Skills!H9+0.000000001),1)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138,MAX(0,IF(Inputs!$B$3&gt;=118,8,IF(Inputs!$B$3&gt;=110,7,5))-5)*50,0),0)/100)*(1+(IF(Skills!A9="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IFERROR(1/(IF(Inputs!$B$38="pvp",15,MAX(0.1,Skills!D9-IF(TRUE=TRUE,Inputs!$B$32,0)))*(1-IF(AND(ArtifactsInput!$M$27,Inputs!$B$4="Chapter Hunt"),CHOOSE(ArtifactsInput!$N$27+1,20,24,28,32,36,40),0)/100)),0)</f>
        <v/>
      </c>
      <c r="R2138">
        <f>IF(AND(Inputs!$B$38&lt;&gt;"pvp",Inputs!$B$43&gt;0),IF(MAX(0,Inputs!$B$43-B2165)&lt;=0,0,(INT(MAX(0,Inputs!$B$43-B2165)/(IF(Inputs!$B$38="pvp",15,MAX(0.1,Skills!D9-IF(TRUE=TRUE,Inputs!$B$32,0)))*(1-IF(AND(ArtifactsInput!$M$27,Inputs!$B$4="Chapter Hunt"),CHOOSE(ArtifactsInput!$N$27+1,20,24,28,32,36,40),0)/100)))+1)),0)</f>
        <v/>
      </c>
      <c r="S2138">
        <f>IFERROR(O2138/N2138,0)</f>
        <v/>
      </c>
      <c r="T2138">
        <f>IF(C2138,(H2138*N2138*IF(AND(Inputs!$B$38&lt;&gt;"pvp",Inputs!$B$43&gt;0),((Skills!G9*((R2138-1)*IF(Skills!H9&gt;0,INT(Skills!I9/Skills!H9+0.000000001),1)+IF(Skills!H9&gt;0,INT(MIN(Skills!I9,MAX(0,MAX(0,Inputs!$B$43-B2165)-((R2138-1)*(IF(Inputs!$B$38="pvp",15,MAX(0.1,Skills!D9-IF(TRUE=TRUE,Inputs!$B$32,0)))*(1-IF(AND(ArtifactsInput!$M$27,Inputs!$B$4="Chapter Hunt"),CHOOSE(ArtifactsInput!$N$27+1,20,24,28,32,36,40),0)/100)))))/Skills!H9+0.000000001),1)))/Inputs!$B$43),G2138*Q2138))*IF(Inputs!$B$38="pvp",1,1+(Inputs!$B$20+0+Skills!P9+(((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INT(Skills!I9/Skills!H9+0.000000001),1)+IF(Skills!H9&gt;0,INT(MIN(Skills!I9,MAX(0,MAX(0,Inputs!$B$43-B2165)-((R2138-1)*(IF(Inputs!$B$38="pvp",15,MAX(0.1,Skills!D9-IF(TRUE=TRUE,Inputs!$B$32,0)))*(1-IF(AND(ArtifactsInput!$M$27,Inputs!$B$4="Chapter Hunt"),CHOOSE(ArtifactsInput!$N$27+1,20,24,28,32,36,40),0)/100)))))/Skills!H9+0.000000001),1)))/Inputs!$B$43),G2138*Q2138))*IF(Inputs!$B$38="pvp",1,(1+(Inputs!$B$21+Skills!Q9+(((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Skills!G10*IF(Skills!H10&gt;0,INT(IF(Inputs!$B$38="pvp",MIN(Skills!I10,15),Skills!I10)/Skills!H10+0.000000001),1)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138,MAX(0,IF(Inputs!$B$3&gt;=118,8,IF(Inputs!$B$3&gt;=110,7,5))-5)*50,0),0)/100)*(1+(IF(Skills!A10="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IFERROR(1/(IF(Inputs!$B$38="pvp",15,MAX(0.1,Skills!D10-IF(TRUE=TRUE,Inputs!$B$32,0)))*(1-IF(AND(ArtifactsInput!$M$27,Inputs!$B$4="Chapter Hunt"),CHOOSE(ArtifactsInput!$N$27+1,20,24,28,32,36,40),0)/100)),0)</f>
        <v/>
      </c>
      <c r="R2139">
        <f>IF(AND(Inputs!$B$38&lt;&gt;"pvp",Inputs!$B$43&gt;0),IF(MAX(0,Inputs!$B$43-B2165)&lt;=0,0,(INT(MAX(0,Inputs!$B$43-B2165)/(IF(Inputs!$B$38="pvp",15,MAX(0.1,Skills!D10-IF(TRUE=TRUE,Inputs!$B$32,0)))*(1-IF(AND(ArtifactsInput!$M$27,Inputs!$B$4="Chapter Hunt"),CHOOSE(ArtifactsInput!$N$27+1,20,24,28,32,36,40),0)/100)))+1)),0)</f>
        <v/>
      </c>
      <c r="S2139">
        <f>IFERROR(O2139/N2139,0)</f>
        <v/>
      </c>
      <c r="T2139">
        <f>IF(C2139,(H2139*N2139*IF(AND(Inputs!$B$38&lt;&gt;"pvp",Inputs!$B$43&gt;0),((Skills!G10*((R2139-1)*IF(Skills!H10&gt;0,INT(Skills!I10/Skills!H10+0.000000001),1)+IF(Skills!H10&gt;0,INT(MIN(Skills!I10,MAX(0,MAX(0,Inputs!$B$43-B2165)-((R2139-1)*(IF(Inputs!$B$38="pvp",15,MAX(0.1,Skills!D10-IF(TRUE=TRUE,Inputs!$B$32,0)))*(1-IF(AND(ArtifactsInput!$M$27,Inputs!$B$4="Chapter Hunt"),CHOOSE(ArtifactsInput!$N$27+1,20,24,28,32,36,40),0)/100)))))/Skills!H10+0.000000001),1)))/Inputs!$B$43),G2139*Q2139))*IF(Inputs!$B$38="pvp",1,1+(Inputs!$B$20+0+Skills!P10+(((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INT(Skills!I10/Skills!H10+0.000000001),1)+IF(Skills!H10&gt;0,INT(MIN(Skills!I10,MAX(0,MAX(0,Inputs!$B$43-B2165)-((R2139-1)*(IF(Inputs!$B$38="pvp",15,MAX(0.1,Skills!D10-IF(TRUE=TRUE,Inputs!$B$32,0)))*(1-IF(AND(ArtifactsInput!$M$27,Inputs!$B$4="Chapter Hunt"),CHOOSE(ArtifactsInput!$N$27+1,20,24,28,32,36,40),0)/100)))))/Skills!H10+0.000000001),1)))/Inputs!$B$43),G2139*Q2139))*IF(Inputs!$B$38="pvp",1,(1+(Inputs!$B$21+Skills!Q10+(((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Skills!G11*IF(Skills!H11&gt;0,INT(IF(Inputs!$B$38="pvp",MIN(Skills!I11,15),Skills!I11)/Skills!H11+0.000000001),1)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138,MAX(0,IF(Inputs!$B$3&gt;=118,8,IF(Inputs!$B$3&gt;=110,7,5))-5)*50,0),0)/100)*(1+(IF(Skills!A11="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IFERROR(1/(IF(Inputs!$B$38="pvp",15,MAX(0.1,Skills!D11-IF(TRUE=TRUE,Inputs!$B$32,0)))*(1-IF(AND(ArtifactsInput!$M$27,Inputs!$B$4="Chapter Hunt"),CHOOSE(ArtifactsInput!$N$27+1,20,24,28,32,36,40),0)/100)),0)</f>
        <v/>
      </c>
      <c r="R2140">
        <f>IF(AND(Inputs!$B$38&lt;&gt;"pvp",Inputs!$B$43&gt;0),IF(MAX(0,Inputs!$B$43-B2165)&lt;=0,0,(INT(MAX(0,Inputs!$B$43-B2165)/(IF(Inputs!$B$38="pvp",15,MAX(0.1,Skills!D11-IF(TRUE=TRUE,Inputs!$B$32,0)))*(1-IF(AND(ArtifactsInput!$M$27,Inputs!$B$4="Chapter Hunt"),CHOOSE(ArtifactsInput!$N$27+1,20,24,28,32,36,40),0)/100)))+1)),0)</f>
        <v/>
      </c>
      <c r="S2140">
        <f>IFERROR(O2140/N2140,0)</f>
        <v/>
      </c>
      <c r="T2140">
        <f>IF(C2140,(H2140*N2140*IF(AND(Inputs!$B$38&lt;&gt;"pvp",Inputs!$B$43&gt;0),((Skills!G11*((R2140-1)*IF(Skills!H11&gt;0,INT(Skills!I11/Skills!H11+0.000000001),1)+IF(Skills!H11&gt;0,INT(MIN(Skills!I11,MAX(0,MAX(0,Inputs!$B$43-B2165)-((R2140-1)*(IF(Inputs!$B$38="pvp",15,MAX(0.1,Skills!D11-IF(TRUE=TRUE,Inputs!$B$32,0)))*(1-IF(AND(ArtifactsInput!$M$27,Inputs!$B$4="Chapter Hunt"),CHOOSE(ArtifactsInput!$N$27+1,20,24,28,32,36,40),0)/100)))))/Skills!H11+0.000000001),1)))/Inputs!$B$43),G2140*Q2140))*IF(Inputs!$B$38="pvp",1,1+(Inputs!$B$20+0+Skills!P11+(((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INT(Skills!I11/Skills!H11+0.000000001),1)+IF(Skills!H11&gt;0,INT(MIN(Skills!I11,MAX(0,MAX(0,Inputs!$B$43-B2165)-((R2140-1)*(IF(Inputs!$B$38="pvp",15,MAX(0.1,Skills!D11-IF(TRUE=TRUE,Inputs!$B$32,0)))*(1-IF(AND(ArtifactsInput!$M$27,Inputs!$B$4="Chapter Hunt"),CHOOSE(ArtifactsInput!$N$27+1,20,24,28,32,36,40),0)/100)))))/Skills!H11+0.000000001),1)))/Inputs!$B$43),G2140*Q2140))*IF(Inputs!$B$38="pvp",1,(1+(Inputs!$B$21+Skills!Q11+(((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Skills!G13*IF(Skills!H13&gt;0,INT(IF(Inputs!$B$38="pvp",MIN(Skills!I13,15),Skills!I13)/Skills!H13+0.000000001),1)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Skills!G14*IF(Skills!H14&gt;0,INT(IF(Inputs!$B$38="pvp",MIN(Skills!I14,15),Skills!I14)/Skills!H14+0.000000001),1)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Skills!G15*IF(Skills!H15&gt;0,INT(IF(Inputs!$B$38="pvp",MIN(Skills!I15,15),Skills!I15)/Skills!H15+0.000000001),1)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IFERROR(1/(IF(Inputs!$B$38="pvp",15,MAX(0.1,Skills!D15-IF(TRUE=TRUE,Inputs!$B$32,0)))*(1-IF(AND(ArtifactsInput!$M$27,Inputs!$B$4="Chapter Hunt"),CHOOSE(ArtifactsInput!$N$27+1,20,24,28,32,36,40),0)/100)),0)</f>
        <v/>
      </c>
      <c r="R2144">
        <f>IF(AND(Inputs!$B$38&lt;&gt;"pvp",Inputs!$B$43&gt;0),IF(Inputs!$B$43&lt;=0,0,(INT(Inputs!$B$43/(IF(Inputs!$B$38="pvp",15,MAX(0.1,Skills!D15-IF(TRUE=TRUE,Inputs!$B$32,0)))*(1-IF(AND(ArtifactsInput!$M$27,Inputs!$B$4="Chapter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Skills!G16*IF(Skills!H16&gt;0,INT(IF(Inputs!$B$38="pvp",MIN(Skills!I16,15),Skills!I16)/Skills!H16+0.000000001),1)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IFERROR(1/(IF(Inputs!$B$38="pvp",15,MAX(0.1,Skills!D16-IF(TRUE=TRUE,Inputs!$B$32,0)))*(1-IF(AND(ArtifactsInput!$M$27,Inputs!$B$4="Chapter Hunt"),CHOOSE(ArtifactsInput!$N$27+1,20,24,28,32,36,40),0)/100)),0)</f>
        <v/>
      </c>
      <c r="R2145">
        <f>IF(AND(Inputs!$B$38&lt;&gt;"pvp",Inputs!$B$43&gt;0),IF(Inputs!$B$43&lt;=0,0,(INT(Inputs!$B$43/(IF(Inputs!$B$38="pvp",15,MAX(0.1,Skills!D16-IF(TRUE=TRUE,Inputs!$B$32,0)))*(1-IF(AND(ArtifactsInput!$M$27,Inputs!$B$4="Chapter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Skills!G17*IF(Skills!H17&gt;0,INT(IF(Inputs!$B$38="pvp",MIN(Skills!I17,15),Skills!I17)/Skills!H17+0.000000001),1)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IFERROR(1/(IF(Inputs!$B$38="pvp",15,MAX(0.1,Skills!D17-IF(TRUE=TRUE,Inputs!$B$32,0)))*(1-IF(AND(ArtifactsInput!$M$27,Inputs!$B$4="Chapter Hunt"),CHOOSE(ArtifactsInput!$N$27+1,20,24,28,32,36,40),0)/100)),0)</f>
        <v/>
      </c>
      <c r="R2146">
        <f>IF(AND(Inputs!$B$38&lt;&gt;"pvp",Inputs!$B$43&gt;0),IF(Inputs!$B$43&lt;=0,0,(INT(Inputs!$B$43/(IF(Inputs!$B$38="pvp",15,MAX(0.1,Skills!D17-IF(TRUE=TRUE,Inputs!$B$32,0)))*(1-IF(AND(ArtifactsInput!$M$27,Inputs!$B$4="Chapter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Skills!G18*IF(Skills!H18&gt;0,INT(IF(Inputs!$B$38="pvp",MIN(Skills!I18,15),Skills!I18)/Skills!H18+0.000000001),1)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IFERROR(1/(IF(Inputs!$B$38="pvp",15,MAX(0.1,Skills!D18-IF(TRUE=TRUE,Inputs!$B$32,0)))*(1-IF(AND(ArtifactsInput!$M$27,Inputs!$B$4="Chapter Hunt"),CHOOSE(ArtifactsInput!$N$27+1,20,24,28,32,36,40),0)/100)),0)</f>
        <v/>
      </c>
      <c r="R2147">
        <f>IF(AND(Inputs!$B$38&lt;&gt;"pvp",Inputs!$B$43&gt;0),IF(Inputs!$B$43&lt;=0,0,(INT(Inputs!$B$43/(IF(Inputs!$B$38="pvp",15,MAX(0.1,Skills!D18-IF(TRUE=TRUE,Inputs!$B$32,0)))*(1-IF(AND(ArtifactsInput!$M$27,Inputs!$B$4="Chapter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Skills!G19*IF(Skills!H19&gt;0,INT(IF(Inputs!$B$38="pvp",MIN(Skills!I19,15),Skills!I19)/Skills!H19+0.000000001),1)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IFERROR(1/(IF(Inputs!$B$38="pvp",15,MAX(0.1,Skills!D19-IF(TRUE=TRUE,Inputs!$B$32,0)))*(1-IF(AND(ArtifactsInput!$M$27,Inputs!$B$4="Chapter Hunt"),CHOOSE(ArtifactsInput!$N$27+1,20,24,28,32,36,40),0)/100)),0)</f>
        <v/>
      </c>
      <c r="R2148">
        <f>IF(AND(Inputs!$B$38&lt;&gt;"pvp",Inputs!$B$43&gt;0),IF(Inputs!$B$43&lt;=0,0,(INT(Inputs!$B$43/(IF(Inputs!$B$38="pvp",15,MAX(0.1,Skills!D19-IF(TRUE=TRUE,Inputs!$B$32,0)))*(1-IF(AND(ArtifactsInput!$M$27,Inputs!$B$4="Chapter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Skills!G20*IF(Skills!H20&gt;0,INT(IF(Inputs!$B$38="pvp",MIN(Skills!I20,15),Skills!I20)/Skills!H20+0.000000001),1)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Skills!G21*IF(Skills!H21&gt;0,INT(IF(Inputs!$B$38="pvp",MIN(Skills!I21,15),Skills!I21)/Skills!H21+0.000000001),1)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Skills!G22*IF(Skills!H22&gt;0,INT(IF(Inputs!$B$38="pvp",MIN(Skills!I22,15),Skills!I22)/Skills!H22+0.000000001),1)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Skills!G23*IF(Skills!H23&gt;0,INT(IF(Inputs!$B$38="pvp",MIN(Skills!I23,15),Skills!I23)/Skills!H23+0.000000001),1)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Skills!G24*IF(Skills!H24&gt;0,INT(IF(Inputs!$B$38="pvp",MIN(Skills!I24,15),Skills!I24)/Skills!H24+0.000000001),1)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Skills!G25*IF(Skills!H25&gt;0,INT(IF(Inputs!$B$38="pvp",MIN(Skills!I25,15),Skills!I25)/Skills!H25+0.000000001),1)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Skills!G26*IF(Skills!H26&gt;0,INT(IF(Inputs!$B$38="pvp",MIN(Skills!I26,15),Skills!I26)/Skills!H26+0.000000001),1)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MIN((Skills!T19*(1+(Inputs!$B$34+(ArtifactsInput!$M$7-ArtifactsInput!$M$7)*CHOOSE(ArtifactsInput!$N$7+1,6,7.2,8.4,9.6,10.8,12))/100)),(1/Q2148))+MIN((Skills!T19*(1+(Inputs!$B$34+(ArtifactsInput!$M$7-ArtifactsInput!$M$7)*CHOOSE(ArtifactsInput!$N$7+1,6,7.2,8.4,9.6,10.8,12))/100)),MAX(0,Inputs!$B$43-((R2148-1)*(1/Q2148)))))/Inputs!$B$43),IF(Inputs!$B$38="pvp",MIN((Skills!T19*(1+(Inputs!$B$34+(ArtifactsInput!$M$7-ArtifactsInput!$M$7)*CHOOSE(ArtifactsInput!$N$7+1,6,7.2,8.4,9.6,10.8,12))/100)),15)/15,MIN(1,(Skills!T19*(1+(Inputs!$B$34+(ArtifactsInput!$M$7-ArtifactsInput!$M$7)*CHOOSE(ArtifactsInput!$N$7+1,6,7.2,8.4,9.6,10.8,12))/100))/(1/Q2148)))))</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MIN((Skills!T18*(1+(Inputs!$B$34+(ArtifactsInput!$M$7-ArtifactsInput!$M$7)*CHOOSE(ArtifactsInput!$N$7+1,6,7.2,8.4,9.6,10.8,12))/100)),(1/Q2147))+MIN((Skills!T18*(1+(Inputs!$B$34+(ArtifactsInput!$M$7-ArtifactsInput!$M$7)*CHOOSE(ArtifactsInput!$N$7+1,6,7.2,8.4,9.6,10.8,12))/100)),MAX(0,Inputs!$B$43-((R2147-1)*(1/Q2147)))))/Inputs!$B$43),IF(Inputs!$B$38="pvp",MIN((Skills!T18*(1+(Inputs!$B$34+(ArtifactsInput!$M$7-ArtifactsInput!$M$7)*CHOOSE(ArtifactsInput!$N$7+1,6,7.2,8.4,9.6,10.8,12))/100)),15)/15,MIN(1,(Skills!T18*(1+(Inputs!$B$34+(ArtifactsInput!$M$7-ArtifactsInput!$M$7)*CHOOSE(ArtifactsInput!$N$7+1,6,7.2,8.4,9.6,10.8,12))/100))/(1/Q2147)))))</f>
        <v/>
      </c>
    </row>
    <row r="2164">
      <c r="A2164" t="inlineStr">
        <is>
          <t>Global Final Damage Bonus % (Enrage + Combo Synergy)</t>
        </is>
      </c>
      <c r="B2164">
        <f>((C2146=TRUE)*F2146*IF(AND(Inputs!$B$38&lt;&gt;"pvp",Inputs!$B$43&gt;0),(((R2146-1)*MIN((Skills!T17*(1+(Inputs!$B$34+(ArtifactsInput!$M$7-ArtifactsInput!$M$7)*CHOOSE(ArtifactsInput!$N$7+1,6,7.2,8.4,9.6,10.8,12))/100)),(1/Q2146))+MIN((Skills!T17*(1+(Inputs!$B$34+(ArtifactsInput!$M$7-ArtifactsInput!$M$7)*CHOOSE(ArtifactsInput!$N$7+1,6,7.2,8.4,9.6,10.8,12))/100)),MAX(0,Inputs!$B$43-((R2146-1)*(1/Q2146)))))/Inputs!$B$43),IF(Inputs!$B$38="pvp",MIN((Skills!T17*(1+(Inputs!$B$34+(ArtifactsInput!$M$7-ArtifactsInput!$M$7)*CHOOSE(ArtifactsInput!$N$7+1,6,7.2,8.4,9.6,10.8,12))/100)),15)/15,MIN(1,(Skills!T17*(1+(Inputs!$B$34+(ArtifactsInput!$M$7-ArtifactsInput!$M$7)*CHOOSE(ArtifactsInput!$N$7+1,6,7.2,8.4,9.6,10.8,12))/100))/(1/Q2146)))))+((C2143=TRUE)*F2143*IF(Inputs!$B$3&gt;=118,8,IF(Inputs!$B$3&gt;=110,7,5)))+IF(Inputs!$B$3&gt;=98,5,0)</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Skills!G2*IF(Skills!H2&gt;0,INT(IF(Inputs!$B$38="pvp",MIN(Skills!I2,15),Skills!I2)/Skills!H2+0.000000001),1)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Skills!G5*IF(Skills!H5&gt;0,INT(IF(Inputs!$B$38="pvp",MIN(Skills!I5,15),Skills!I5)/Skills!H5+0.000000001),1)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IFERROR(1/(IF(Inputs!$B$38="pvp",15,MAX(0.1,Skills!D5-IF(TRUE=TRUE,Inputs!$B$32,0)))*(1-IF(AND(ArtifactsInput!$M$27,Inputs!$B$4="Chapter Hunt"),CHOOSE(ArtifactsInput!$N$27+1,20,24,28,32,36,40),0)/100)),0)</f>
        <v/>
      </c>
      <c r="R2176">
        <f>IF(AND(Inputs!$B$38&lt;&gt;"pvp",Inputs!$B$43&gt;0),IF(MAX(0,Inputs!$B$43-B2207)&lt;=0,0,(INT(MAX(0,Inputs!$B$43-B2207)/(IF(Inputs!$B$38="pvp",15,MAX(0.1,Skills!D5-IF(TRUE=TRUE,Inputs!$B$32,0)))*(1-IF(AND(ArtifactsInput!$M$27,Inputs!$B$4="Chapter Hunt"),CHOOSE(ArtifactsInput!$N$27+1,20,24,28,32,36,40),0)/100)))+1)),0)</f>
        <v/>
      </c>
      <c r="S2176">
        <f>IFERROR(O2176/N2176,0)</f>
        <v/>
      </c>
      <c r="T2176">
        <f>IF(C2176,(H2176*N2176*IF(AND(Inputs!$B$38&lt;&gt;"pvp",Inputs!$B$43&gt;0),((Skills!G5*((R2176-1)*IF(Skills!H5&gt;0,INT(Skills!I5/Skills!H5+0.000000001),1)+IF(Skills!H5&gt;0,INT(MIN(Skills!I5,MAX(0,MAX(0,Inputs!$B$43-B2207)-((R2176-1)*(IF(Inputs!$B$38="pvp",15,MAX(0.1,Skills!D5-IF(TRUE=TRUE,Inputs!$B$32,0)))*(1-IF(AND(ArtifactsInput!$M$27,Inputs!$B$4="Chapter Hunt"),CHOOSE(ArtifactsInput!$N$27+1,20,24,28,32,36,40),0)/100)))))/Skills!H5+0.000000001),1)))/Inputs!$B$43),G2176*Q2176))*IF(Inputs!$B$38="pvp",1,1+(Inputs!$B$20+0+Skills!P5+(((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INT(Skills!I5/Skills!H5+0.000000001),1)+IF(Skills!H5&gt;0,INT(MIN(Skills!I5,MAX(0,MAX(0,Inputs!$B$43-B2207)-((R2176-1)*(IF(Inputs!$B$38="pvp",15,MAX(0.1,Skills!D5-IF(TRUE=TRUE,Inputs!$B$32,0)))*(1-IF(AND(ArtifactsInput!$M$27,Inputs!$B$4="Chapter Hunt"),CHOOSE(ArtifactsInput!$N$27+1,20,24,28,32,36,40),0)/100)))))/Skills!H5+0.000000001),1)))/Inputs!$B$43),G2176*Q2176))*IF(Inputs!$B$38="pvp",1,(1+(Inputs!$B$21+Skills!Q5+(((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Skills!G6*IF(Skills!H6&gt;0,INT(IF(Inputs!$B$38="pvp",MIN(Skills!I6,15),Skills!I6)/Skills!H6+0.000000001),1)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IFERROR(1/(IF(Inputs!$B$38="pvp",15,MAX(0.1,Skills!D6-IF(TRUE=TRUE,Inputs!$B$32,0)))*(1-IF(AND(ArtifactsInput!$M$27,Inputs!$B$4="Chapter Hunt"),CHOOSE(ArtifactsInput!$N$27+1,20,24,28,32,36,40),0)/100)),0)</f>
        <v/>
      </c>
      <c r="R2177">
        <f>IF(AND(Inputs!$B$38&lt;&gt;"pvp",Inputs!$B$43&gt;0),IF(MAX(0,Inputs!$B$43-B2207)&lt;=0,0,(INT(MAX(0,Inputs!$B$43-B2207)/(IF(Inputs!$B$38="pvp",15,MAX(0.1,Skills!D6-IF(TRUE=TRUE,Inputs!$B$32,0)))*(1-IF(AND(ArtifactsInput!$M$27,Inputs!$B$4="Chapter Hunt"),CHOOSE(ArtifactsInput!$N$27+1,20,24,28,32,36,40),0)/100)))+1)),0)</f>
        <v/>
      </c>
      <c r="S2177">
        <f>IFERROR(O2177/N2177,0)</f>
        <v/>
      </c>
      <c r="T2177">
        <f>IF(C2177,(H2177*N2177*IF(AND(Inputs!$B$38&lt;&gt;"pvp",Inputs!$B$43&gt;0),((Skills!G6*((R2177-1)*IF(Skills!H6&gt;0,INT(Skills!I6/Skills!H6+0.000000001),1)+IF(Skills!H6&gt;0,INT(MIN(Skills!I6,MAX(0,MAX(0,Inputs!$B$43-B2207)-((R2177-1)*(IF(Inputs!$B$38="pvp",15,MAX(0.1,Skills!D6-IF(TRUE=TRUE,Inputs!$B$32,0)))*(1-IF(AND(ArtifactsInput!$M$27,Inputs!$B$4="Chapter Hunt"),CHOOSE(ArtifactsInput!$N$27+1,20,24,28,32,36,40),0)/100)))))/Skills!H6+0.000000001),1)))/Inputs!$B$43),G2177*Q2177))*IF(Inputs!$B$38="pvp",1,1+(Inputs!$B$20+0+Skills!P6+(((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INT(Skills!I6/Skills!H6+0.000000001),1)+IF(Skills!H6&gt;0,INT(MIN(Skills!I6,MAX(0,MAX(0,Inputs!$B$43-B2207)-((R2177-1)*(IF(Inputs!$B$38="pvp",15,MAX(0.1,Skills!D6-IF(TRUE=TRUE,Inputs!$B$32,0)))*(1-IF(AND(ArtifactsInput!$M$27,Inputs!$B$4="Chapter Hunt"),CHOOSE(ArtifactsInput!$N$27+1,20,24,28,32,36,40),0)/100)))))/Skills!H6+0.000000001),1)))/Inputs!$B$43),G2177*Q2177))*IF(Inputs!$B$38="pvp",1,(1+(Inputs!$B$21+Skills!Q6+(((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Skills!G7*IF(Skills!H7&gt;0,INT(IF(Inputs!$B$38="pvp",MIN(Skills!I7,15),Skills!I7)/Skills!H7+0.000000001),1)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IFERROR(1/(IF(Inputs!$B$38="pvp",15,MAX(0.1,Skills!D7-IF(TRUE=TRUE,Inputs!$B$32,0)))*(1-IF(AND(ArtifactsInput!$M$27,Inputs!$B$4="Chapter Hunt"),CHOOSE(ArtifactsInput!$N$27+1,20,24,28,32,36,40),0)/100)),0)</f>
        <v/>
      </c>
      <c r="R2178">
        <f>IF(AND(Inputs!$B$38&lt;&gt;"pvp",Inputs!$B$43&gt;0),IF(MAX(0,Inputs!$B$43-B2207)&lt;=0,0,(INT(MAX(0,Inputs!$B$43-B2207)/(IF(Inputs!$B$38="pvp",15,MAX(0.1,Skills!D7-IF(TRUE=TRUE,Inputs!$B$32,0)))*(1-IF(AND(ArtifactsInput!$M$27,Inputs!$B$4="Chapter Hunt"),CHOOSE(ArtifactsInput!$N$27+1,20,24,28,32,36,40),0)/100)))+1)),0)</f>
        <v/>
      </c>
      <c r="S2178">
        <f>IFERROR(O2178/N2178,0)</f>
        <v/>
      </c>
      <c r="T2178">
        <f>IF(C2178,(H2178*N2178*IF(AND(Inputs!$B$38&lt;&gt;"pvp",Inputs!$B$43&gt;0),((Skills!G7*((R2178-1)*IF(Skills!H7&gt;0,INT(Skills!I7/Skills!H7+0.000000001),1)+IF(Skills!H7&gt;0,INT(MIN(Skills!I7,MAX(0,MAX(0,Inputs!$B$43-B2207)-((R2178-1)*(IF(Inputs!$B$38="pvp",15,MAX(0.1,Skills!D7-IF(TRUE=TRUE,Inputs!$B$32,0)))*(1-IF(AND(ArtifactsInput!$M$27,Inputs!$B$4="Chapter Hunt"),CHOOSE(ArtifactsInput!$N$27+1,20,24,28,32,36,40),0)/100)))))/Skills!H7+0.000000001),1)))/Inputs!$B$43),G2178*Q2178))*IF(Inputs!$B$38="pvp",1,1+(Inputs!$B$20+0+Skills!P7+(((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INT(Skills!I7/Skills!H7+0.000000001),1)+IF(Skills!H7&gt;0,INT(MIN(Skills!I7,MAX(0,MAX(0,Inputs!$B$43-B2207)-((R2178-1)*(IF(Inputs!$B$38="pvp",15,MAX(0.1,Skills!D7-IF(TRUE=TRUE,Inputs!$B$32,0)))*(1-IF(AND(ArtifactsInput!$M$27,Inputs!$B$4="Chapter Hunt"),CHOOSE(ArtifactsInput!$N$27+1,20,24,28,32,36,40),0)/100)))))/Skills!H7+0.000000001),1)))/Inputs!$B$43),G2178*Q2178))*IF(Inputs!$B$38="pvp",1,(1+(Inputs!$B$21+Skills!Q7+(((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Skills!G8*IF(Skills!H8&gt;0,INT(IF(Inputs!$B$38="pvp",MIN(Skills!I8,15),Skills!I8)/Skills!H8+0.000000001),1)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IFERROR(1/(IF(Inputs!$B$38="pvp",15,MAX(0.1,Skills!D8-IF(TRUE=TRUE,Inputs!$B$32,0)))*(1-IF(AND(ArtifactsInput!$M$27,Inputs!$B$4="Chapter Hunt"),CHOOSE(ArtifactsInput!$N$27+1,20,24,28,32,36,40),0)/100)),0)</f>
        <v/>
      </c>
      <c r="R2179">
        <f>IF(AND(Inputs!$B$38&lt;&gt;"pvp",Inputs!$B$43&gt;0),IF(MAX(0,Inputs!$B$43-B2207)&lt;=0,0,(INT(MAX(0,Inputs!$B$43-B2207)/(IF(Inputs!$B$38="pvp",15,MAX(0.1,Skills!D8-IF(TRUE=TRUE,Inputs!$B$32,0)))*(1-IF(AND(ArtifactsInput!$M$27,Inputs!$B$4="Chapter Hunt"),CHOOSE(ArtifactsInput!$N$27+1,20,24,28,32,36,40),0)/100)))+1)),0)</f>
        <v/>
      </c>
      <c r="S2179">
        <f>IFERROR(O2179/N2179,0)</f>
        <v/>
      </c>
      <c r="T2179">
        <f>IF(C2179,(H2179*N2179*IF(AND(Inputs!$B$38&lt;&gt;"pvp",Inputs!$B$43&gt;0),((Skills!G8*((R2179-1)*IF(Skills!H8&gt;0,INT(Skills!I8/Skills!H8+0.000000001),1)+IF(Skills!H8&gt;0,INT(MIN(Skills!I8,MAX(0,MAX(0,Inputs!$B$43-B2207)-((R2179-1)*(IF(Inputs!$B$38="pvp",15,MAX(0.1,Skills!D8-IF(TRUE=TRUE,Inputs!$B$32,0)))*(1-IF(AND(ArtifactsInput!$M$27,Inputs!$B$4="Chapter Hunt"),CHOOSE(ArtifactsInput!$N$27+1,20,24,28,32,36,40),0)/100)))))/Skills!H8+0.000000001),1)))/Inputs!$B$43),G2179*Q2179))*IF(Inputs!$B$38="pvp",1,1+(Inputs!$B$20+0+Skills!P8+(((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INT(Skills!I8/Skills!H8+0.000000001),1)+IF(Skills!H8&gt;0,INT(MIN(Skills!I8,MAX(0,MAX(0,Inputs!$B$43-B2207)-((R2179-1)*(IF(Inputs!$B$38="pvp",15,MAX(0.1,Skills!D8-IF(TRUE=TRUE,Inputs!$B$32,0)))*(1-IF(AND(ArtifactsInput!$M$27,Inputs!$B$4="Chapter Hunt"),CHOOSE(ArtifactsInput!$N$27+1,20,24,28,32,36,40),0)/100)))))/Skills!H8+0.000000001),1)))/Inputs!$B$43),G2179*Q2179))*IF(Inputs!$B$38="pvp",1,(1+(Inputs!$B$21+Skills!Q8+(((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Skills!G9*IF(Skills!H9&gt;0,INT(IF(Inputs!$B$38="pvp",MIN(Skills!I9,15),Skills!I9)/Skills!H9+0.000000001),1)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138,MAX(0,IF(Inputs!$B$3&gt;=118,8,IF(Inputs!$B$3&gt;=110,7,5))-5)*50,0),0)/100)*(1+(IF(Skills!A9="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IFERROR(1/(IF(Inputs!$B$38="pvp",15,MAX(0.1,Skills!D9-IF(TRUE=TRUE,Inputs!$B$32,0)))*(1-IF(AND(ArtifactsInput!$M$27,Inputs!$B$4="Chapter Hunt"),CHOOSE(ArtifactsInput!$N$27+1,20,24,28,32,36,40),0)/100)),0)</f>
        <v/>
      </c>
      <c r="R2180">
        <f>IF(AND(Inputs!$B$38&lt;&gt;"pvp",Inputs!$B$43&gt;0),IF(MAX(0,Inputs!$B$43-B2207)&lt;=0,0,(INT(MAX(0,Inputs!$B$43-B2207)/(IF(Inputs!$B$38="pvp",15,MAX(0.1,Skills!D9-IF(TRUE=TRUE,Inputs!$B$32,0)))*(1-IF(AND(ArtifactsInput!$M$27,Inputs!$B$4="Chapter Hunt"),CHOOSE(ArtifactsInput!$N$27+1,20,24,28,32,36,40),0)/100)))+1)),0)</f>
        <v/>
      </c>
      <c r="S2180">
        <f>IFERROR(O2180/N2180,0)</f>
        <v/>
      </c>
      <c r="T2180">
        <f>IF(C2180,(H2180*N2180*IF(AND(Inputs!$B$38&lt;&gt;"pvp",Inputs!$B$43&gt;0),((Skills!G9*((R2180-1)*IF(Skills!H9&gt;0,INT(Skills!I9/Skills!H9+0.000000001),1)+IF(Skills!H9&gt;0,INT(MIN(Skills!I9,MAX(0,MAX(0,Inputs!$B$43-B2207)-((R2180-1)*(IF(Inputs!$B$38="pvp",15,MAX(0.1,Skills!D9-IF(TRUE=TRUE,Inputs!$B$32,0)))*(1-IF(AND(ArtifactsInput!$M$27,Inputs!$B$4="Chapter Hunt"),CHOOSE(ArtifactsInput!$N$27+1,20,24,28,32,36,40),0)/100)))))/Skills!H9+0.000000001),1)))/Inputs!$B$43),G2180*Q2180))*IF(Inputs!$B$38="pvp",1,1+(Inputs!$B$20+0+Skills!P9+(((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INT(Skills!I9/Skills!H9+0.000000001),1)+IF(Skills!H9&gt;0,INT(MIN(Skills!I9,MAX(0,MAX(0,Inputs!$B$43-B2207)-((R2180-1)*(IF(Inputs!$B$38="pvp",15,MAX(0.1,Skills!D9-IF(TRUE=TRUE,Inputs!$B$32,0)))*(1-IF(AND(ArtifactsInput!$M$27,Inputs!$B$4="Chapter Hunt"),CHOOSE(ArtifactsInput!$N$27+1,20,24,28,32,36,40),0)/100)))))/Skills!H9+0.000000001),1)))/Inputs!$B$43),G2180*Q2180))*IF(Inputs!$B$38="pvp",1,(1+(Inputs!$B$21+Skills!Q9+(((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Skills!G10*IF(Skills!H10&gt;0,INT(IF(Inputs!$B$38="pvp",MIN(Skills!I10,15),Skills!I10)/Skills!H10+0.000000001),1)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138,MAX(0,IF(Inputs!$B$3&gt;=118,8,IF(Inputs!$B$3&gt;=110,7,5))-5)*50,0),0)/100)*(1+(IF(Skills!A10="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IFERROR(1/(IF(Inputs!$B$38="pvp",15,MAX(0.1,Skills!D10-IF(TRUE=TRUE,Inputs!$B$32,0)))*(1-IF(AND(ArtifactsInput!$M$27,Inputs!$B$4="Chapter Hunt"),CHOOSE(ArtifactsInput!$N$27+1,20,24,28,32,36,40),0)/100)),0)</f>
        <v/>
      </c>
      <c r="R2181">
        <f>IF(AND(Inputs!$B$38&lt;&gt;"pvp",Inputs!$B$43&gt;0),IF(MAX(0,Inputs!$B$43-B2207)&lt;=0,0,(INT(MAX(0,Inputs!$B$43-B2207)/(IF(Inputs!$B$38="pvp",15,MAX(0.1,Skills!D10-IF(TRUE=TRUE,Inputs!$B$32,0)))*(1-IF(AND(ArtifactsInput!$M$27,Inputs!$B$4="Chapter Hunt"),CHOOSE(ArtifactsInput!$N$27+1,20,24,28,32,36,40),0)/100)))+1)),0)</f>
        <v/>
      </c>
      <c r="S2181">
        <f>IFERROR(O2181/N2181,0)</f>
        <v/>
      </c>
      <c r="T2181">
        <f>IF(C2181,(H2181*N2181*IF(AND(Inputs!$B$38&lt;&gt;"pvp",Inputs!$B$43&gt;0),((Skills!G10*((R2181-1)*IF(Skills!H10&gt;0,INT(Skills!I10/Skills!H10+0.000000001),1)+IF(Skills!H10&gt;0,INT(MIN(Skills!I10,MAX(0,MAX(0,Inputs!$B$43-B2207)-((R2181-1)*(IF(Inputs!$B$38="pvp",15,MAX(0.1,Skills!D10-IF(TRUE=TRUE,Inputs!$B$32,0)))*(1-IF(AND(ArtifactsInput!$M$27,Inputs!$B$4="Chapter Hunt"),CHOOSE(ArtifactsInput!$N$27+1,20,24,28,32,36,40),0)/100)))))/Skills!H10+0.000000001),1)))/Inputs!$B$43),G2181*Q2181))*IF(Inputs!$B$38="pvp",1,1+(Inputs!$B$20+0+Skills!P10+(((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INT(Skills!I10/Skills!H10+0.000000001),1)+IF(Skills!H10&gt;0,INT(MIN(Skills!I10,MAX(0,MAX(0,Inputs!$B$43-B2207)-((R2181-1)*(IF(Inputs!$B$38="pvp",15,MAX(0.1,Skills!D10-IF(TRUE=TRUE,Inputs!$B$32,0)))*(1-IF(AND(ArtifactsInput!$M$27,Inputs!$B$4="Chapter Hunt"),CHOOSE(ArtifactsInput!$N$27+1,20,24,28,32,36,40),0)/100)))))/Skills!H10+0.000000001),1)))/Inputs!$B$43),G2181*Q2181))*IF(Inputs!$B$38="pvp",1,(1+(Inputs!$B$21+Skills!Q10+(((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Skills!G11*IF(Skills!H11&gt;0,INT(IF(Inputs!$B$38="pvp",MIN(Skills!I11,15),Skills!I11)/Skills!H11+0.000000001),1)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138,MAX(0,IF(Inputs!$B$3&gt;=118,8,IF(Inputs!$B$3&gt;=110,7,5))-5)*50,0),0)/100)*(1+(IF(Skills!A11="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IFERROR(1/(IF(Inputs!$B$38="pvp",15,MAX(0.1,Skills!D11-IF(TRUE=TRUE,Inputs!$B$32,0)))*(1-IF(AND(ArtifactsInput!$M$27,Inputs!$B$4="Chapter Hunt"),CHOOSE(ArtifactsInput!$N$27+1,20,24,28,32,36,40),0)/100)),0)</f>
        <v/>
      </c>
      <c r="R2182">
        <f>IF(AND(Inputs!$B$38&lt;&gt;"pvp",Inputs!$B$43&gt;0),IF(MAX(0,Inputs!$B$43-B2207)&lt;=0,0,(INT(MAX(0,Inputs!$B$43-B2207)/(IF(Inputs!$B$38="pvp",15,MAX(0.1,Skills!D11-IF(TRUE=TRUE,Inputs!$B$32,0)))*(1-IF(AND(ArtifactsInput!$M$27,Inputs!$B$4="Chapter Hunt"),CHOOSE(ArtifactsInput!$N$27+1,20,24,28,32,36,40),0)/100)))+1)),0)</f>
        <v/>
      </c>
      <c r="S2182">
        <f>IFERROR(O2182/N2182,0)</f>
        <v/>
      </c>
      <c r="T2182">
        <f>IF(C2182,(H2182*N2182*IF(AND(Inputs!$B$38&lt;&gt;"pvp",Inputs!$B$43&gt;0),((Skills!G11*((R2182-1)*IF(Skills!H11&gt;0,INT(Skills!I11/Skills!H11+0.000000001),1)+IF(Skills!H11&gt;0,INT(MIN(Skills!I11,MAX(0,MAX(0,Inputs!$B$43-B2207)-((R2182-1)*(IF(Inputs!$B$38="pvp",15,MAX(0.1,Skills!D11-IF(TRUE=TRUE,Inputs!$B$32,0)))*(1-IF(AND(ArtifactsInput!$M$27,Inputs!$B$4="Chapter Hunt"),CHOOSE(ArtifactsInput!$N$27+1,20,24,28,32,36,40),0)/100)))))/Skills!H11+0.000000001),1)))/Inputs!$B$43),G2182*Q2182))*IF(Inputs!$B$38="pvp",1,1+(Inputs!$B$20+0+Skills!P11+(((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INT(Skills!I11/Skills!H11+0.000000001),1)+IF(Skills!H11&gt;0,INT(MIN(Skills!I11,MAX(0,MAX(0,Inputs!$B$43-B2207)-((R2182-1)*(IF(Inputs!$B$38="pvp",15,MAX(0.1,Skills!D11-IF(TRUE=TRUE,Inputs!$B$32,0)))*(1-IF(AND(ArtifactsInput!$M$27,Inputs!$B$4="Chapter Hunt"),CHOOSE(ArtifactsInput!$N$27+1,20,24,28,32,36,40),0)/100)))))/Skills!H11+0.000000001),1)))/Inputs!$B$43),G2182*Q2182))*IF(Inputs!$B$38="pvp",1,(1+(Inputs!$B$21+Skills!Q11+(((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Skills!G13*IF(Skills!H13&gt;0,INT(IF(Inputs!$B$38="pvp",MIN(Skills!I13,15),Skills!I13)/Skills!H13+0.000000001),1)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Skills!G14*IF(Skills!H14&gt;0,INT(IF(Inputs!$B$38="pvp",MIN(Skills!I14,15),Skills!I14)/Skills!H14+0.000000001),1)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Skills!G15*IF(Skills!H15&gt;0,INT(IF(Inputs!$B$38="pvp",MIN(Skills!I15,15),Skills!I15)/Skills!H15+0.000000001),1)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IFERROR(1/(IF(Inputs!$B$38="pvp",15,MAX(0.1,Skills!D15-IF(TRUE=TRUE,Inputs!$B$32,0)))*(1-IF(AND(ArtifactsInput!$M$27,Inputs!$B$4="Chapter Hunt"),CHOOSE(ArtifactsInput!$N$27+1,20,24,28,32,36,40),0)/100)),0)</f>
        <v/>
      </c>
      <c r="R2186">
        <f>IF(AND(Inputs!$B$38&lt;&gt;"pvp",Inputs!$B$43&gt;0),IF(Inputs!$B$43&lt;=0,0,(INT(Inputs!$B$43/(IF(Inputs!$B$38="pvp",15,MAX(0.1,Skills!D15-IF(TRUE=TRUE,Inputs!$B$32,0)))*(1-IF(AND(ArtifactsInput!$M$27,Inputs!$B$4="Chapter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Skills!G16*IF(Skills!H16&gt;0,INT(IF(Inputs!$B$38="pvp",MIN(Skills!I16,15),Skills!I16)/Skills!H16+0.000000001),1)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IFERROR(1/(IF(Inputs!$B$38="pvp",15,MAX(0.1,Skills!D16-IF(TRUE=TRUE,Inputs!$B$32,0)))*(1-IF(AND(ArtifactsInput!$M$27,Inputs!$B$4="Chapter Hunt"),CHOOSE(ArtifactsInput!$N$27+1,20,24,28,32,36,40),0)/100)),0)</f>
        <v/>
      </c>
      <c r="R2187">
        <f>IF(AND(Inputs!$B$38&lt;&gt;"pvp",Inputs!$B$43&gt;0),IF(Inputs!$B$43&lt;=0,0,(INT(Inputs!$B$43/(IF(Inputs!$B$38="pvp",15,MAX(0.1,Skills!D16-IF(TRUE=TRUE,Inputs!$B$32,0)))*(1-IF(AND(ArtifactsInput!$M$27,Inputs!$B$4="Chapter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Skills!G17*IF(Skills!H17&gt;0,INT(IF(Inputs!$B$38="pvp",MIN(Skills!I17,15),Skills!I17)/Skills!H17+0.000000001),1)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IFERROR(1/(IF(Inputs!$B$38="pvp",15,MAX(0.1,Skills!D17-IF(TRUE=TRUE,Inputs!$B$32,0)))*(1-IF(AND(ArtifactsInput!$M$27,Inputs!$B$4="Chapter Hunt"),CHOOSE(ArtifactsInput!$N$27+1,20,24,28,32,36,40),0)/100)),0)</f>
        <v/>
      </c>
      <c r="R2188">
        <f>IF(AND(Inputs!$B$38&lt;&gt;"pvp",Inputs!$B$43&gt;0),IF(Inputs!$B$43&lt;=0,0,(INT(Inputs!$B$43/(IF(Inputs!$B$38="pvp",15,MAX(0.1,Skills!D17-IF(TRUE=TRUE,Inputs!$B$32,0)))*(1-IF(AND(ArtifactsInput!$M$27,Inputs!$B$4="Chapter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Skills!G18*IF(Skills!H18&gt;0,INT(IF(Inputs!$B$38="pvp",MIN(Skills!I18,15),Skills!I18)/Skills!H18+0.000000001),1)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IFERROR(1/(IF(Inputs!$B$38="pvp",15,MAX(0.1,Skills!D18-IF(TRUE=TRUE,Inputs!$B$32,0)))*(1-IF(AND(ArtifactsInput!$M$27,Inputs!$B$4="Chapter Hunt"),CHOOSE(ArtifactsInput!$N$27+1,20,24,28,32,36,40),0)/100)),0)</f>
        <v/>
      </c>
      <c r="R2189">
        <f>IF(AND(Inputs!$B$38&lt;&gt;"pvp",Inputs!$B$43&gt;0),IF(Inputs!$B$43&lt;=0,0,(INT(Inputs!$B$43/(IF(Inputs!$B$38="pvp",15,MAX(0.1,Skills!D18-IF(TRUE=TRUE,Inputs!$B$32,0)))*(1-IF(AND(ArtifactsInput!$M$27,Inputs!$B$4="Chapter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Skills!G19*IF(Skills!H19&gt;0,INT(IF(Inputs!$B$38="pvp",MIN(Skills!I19,15),Skills!I19)/Skills!H19+0.000000001),1)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IFERROR(1/(IF(Inputs!$B$38="pvp",15,MAX(0.1,Skills!D19-IF(TRUE=TRUE,Inputs!$B$32,0)))*(1-IF(AND(ArtifactsInput!$M$27,Inputs!$B$4="Chapter Hunt"),CHOOSE(ArtifactsInput!$N$27+1,20,24,28,32,36,40),0)/100)),0)</f>
        <v/>
      </c>
      <c r="R2190">
        <f>IF(AND(Inputs!$B$38&lt;&gt;"pvp",Inputs!$B$43&gt;0),IF(Inputs!$B$43&lt;=0,0,(INT(Inputs!$B$43/(IF(Inputs!$B$38="pvp",15,MAX(0.1,Skills!D19-IF(TRUE=TRUE,Inputs!$B$32,0)))*(1-IF(AND(ArtifactsInput!$M$27,Inputs!$B$4="Chapter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Skills!G20*IF(Skills!H20&gt;0,INT(IF(Inputs!$B$38="pvp",MIN(Skills!I20,15),Skills!I20)/Skills!H20+0.000000001),1)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Skills!G21*IF(Skills!H21&gt;0,INT(IF(Inputs!$B$38="pvp",MIN(Skills!I21,15),Skills!I21)/Skills!H21+0.000000001),1)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Skills!G22*IF(Skills!H22&gt;0,INT(IF(Inputs!$B$38="pvp",MIN(Skills!I22,15),Skills!I22)/Skills!H22+0.000000001),1)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Skills!G23*IF(Skills!H23&gt;0,INT(IF(Inputs!$B$38="pvp",MIN(Skills!I23,15),Skills!I23)/Skills!H23+0.000000001),1)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Skills!G24*IF(Skills!H24&gt;0,INT(IF(Inputs!$B$38="pvp",MIN(Skills!I24,15),Skills!I24)/Skills!H24+0.000000001),1)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Skills!G25*IF(Skills!H25&gt;0,INT(IF(Inputs!$B$38="pvp",MIN(Skills!I25,15),Skills!I25)/Skills!H25+0.000000001),1)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Skills!G26*IF(Skills!H26&gt;0,INT(IF(Inputs!$B$38="pvp",MIN(Skills!I26,15),Skills!I26)/Skills!H26+0.000000001),1)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MIN((Skills!T19*(1+(Inputs!$B$34+(ArtifactsInput!$M$7-ArtifactsInput!$M$7)*CHOOSE(ArtifactsInput!$N$7+1,6,7.2,8.4,9.6,10.8,12))/100)),(1/Q2190))+MIN((Skills!T19*(1+(Inputs!$B$34+(ArtifactsInput!$M$7-ArtifactsInput!$M$7)*CHOOSE(ArtifactsInput!$N$7+1,6,7.2,8.4,9.6,10.8,12))/100)),MAX(0,Inputs!$B$43-((R2190-1)*(1/Q2190)))))/Inputs!$B$43),IF(Inputs!$B$38="pvp",MIN((Skills!T19*(1+(Inputs!$B$34+(ArtifactsInput!$M$7-ArtifactsInput!$M$7)*CHOOSE(ArtifactsInput!$N$7+1,6,7.2,8.4,9.6,10.8,12))/100)),15)/15,MIN(1,(Skills!T19*(1+(Inputs!$B$34+(ArtifactsInput!$M$7-ArtifactsInput!$M$7)*CHOOSE(ArtifactsInput!$N$7+1,6,7.2,8.4,9.6,10.8,12))/100))/(1/Q2190)))))</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MIN((Skills!T18*(1+(Inputs!$B$34+(ArtifactsInput!$M$7-ArtifactsInput!$M$7)*CHOOSE(ArtifactsInput!$N$7+1,6,7.2,8.4,9.6,10.8,12))/100)),(1/Q2189))+MIN((Skills!T18*(1+(Inputs!$B$34+(ArtifactsInput!$M$7-ArtifactsInput!$M$7)*CHOOSE(ArtifactsInput!$N$7+1,6,7.2,8.4,9.6,10.8,12))/100)),MAX(0,Inputs!$B$43-((R2189-1)*(1/Q2189)))))/Inputs!$B$43),IF(Inputs!$B$38="pvp",MIN((Skills!T18*(1+(Inputs!$B$34+(ArtifactsInput!$M$7-ArtifactsInput!$M$7)*CHOOSE(ArtifactsInput!$N$7+1,6,7.2,8.4,9.6,10.8,12))/100)),15)/15,MIN(1,(Skills!T18*(1+(Inputs!$B$34+(ArtifactsInput!$M$7-ArtifactsInput!$M$7)*CHOOSE(ArtifactsInput!$N$7+1,6,7.2,8.4,9.6,10.8,12))/100))/(1/Q2189)))))</f>
        <v/>
      </c>
    </row>
    <row r="2206">
      <c r="A2206" t="inlineStr">
        <is>
          <t>Global Final Damage Bonus % (Enrage + Combo Synergy)</t>
        </is>
      </c>
      <c r="B2206">
        <f>((C2188=TRUE)*F2188*IF(AND(Inputs!$B$38&lt;&gt;"pvp",Inputs!$B$43&gt;0),(((R2188-1)*MIN((Skills!T17*(1+(Inputs!$B$34+(ArtifactsInput!$M$7-ArtifactsInput!$M$7)*CHOOSE(ArtifactsInput!$N$7+1,6,7.2,8.4,9.6,10.8,12))/100)),(1/Q2188))+MIN((Skills!T17*(1+(Inputs!$B$34+(ArtifactsInput!$M$7-ArtifactsInput!$M$7)*CHOOSE(ArtifactsInput!$N$7+1,6,7.2,8.4,9.6,10.8,12))/100)),MAX(0,Inputs!$B$43-((R2188-1)*(1/Q2188)))))/Inputs!$B$43),IF(Inputs!$B$38="pvp",MIN((Skills!T17*(1+(Inputs!$B$34+(ArtifactsInput!$M$7-ArtifactsInput!$M$7)*CHOOSE(ArtifactsInput!$N$7+1,6,7.2,8.4,9.6,10.8,12))/100)),15)/15,MIN(1,(Skills!T17*(1+(Inputs!$B$34+(ArtifactsInput!$M$7-ArtifactsInput!$M$7)*CHOOSE(ArtifactsInput!$N$7+1,6,7.2,8.4,9.6,10.8,12))/100))/(1/Q2188)))))+((C2185=TRUE)*F2185*IF(Inputs!$B$3&gt;=118,8,IF(Inputs!$B$3&gt;=110,7,5)))+IF(Inputs!$B$3&gt;=98,5,0)</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Skills!G2*IF(Skills!H2&gt;0,INT(IF(Inputs!$B$38="pvp",MIN(Skills!I2,15),Skills!I2)/Skills!H2+0.000000001),1)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Skills!G5*IF(Skills!H5&gt;0,INT(IF(Inputs!$B$38="pvp",MIN(Skills!I5,15),Skills!I5)/Skills!H5+0.000000001),1)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IFERROR(1/(IF(Inputs!$B$38="pvp",15,MAX(0.1,Skills!D5-IF(TRUE=TRUE,Inputs!$B$32,0)))*(1-IF(AND(ArtifactsInput!$M$27,Inputs!$B$4="Chapter Hunt"),CHOOSE(ArtifactsInput!$N$27+1,20,24,28,32,36,40),0)/100)),0)</f>
        <v/>
      </c>
      <c r="R2218">
        <f>IF(AND(Inputs!$B$38&lt;&gt;"pvp",Inputs!$B$43&gt;0),IF(MAX(0,Inputs!$B$43-B2249)&lt;=0,0,(INT(MAX(0,Inputs!$B$43-B2249)/(IF(Inputs!$B$38="pvp",15,MAX(0.1,Skills!D5-IF(TRUE=TRUE,Inputs!$B$32,0)))*(1-IF(AND(ArtifactsInput!$M$27,Inputs!$B$4="Chapter Hunt"),CHOOSE(ArtifactsInput!$N$27+1,20,24,28,32,36,40),0)/100)))+1)),0)</f>
        <v/>
      </c>
      <c r="S2218">
        <f>IFERROR(O2218/N2218,0)</f>
        <v/>
      </c>
      <c r="T2218">
        <f>IF(C2218,(H2218*N2218*IF(AND(Inputs!$B$38&lt;&gt;"pvp",Inputs!$B$43&gt;0),((Skills!G5*((R2218-1)*IF(Skills!H5&gt;0,INT(Skills!I5/Skills!H5+0.000000001),1)+IF(Skills!H5&gt;0,INT(MIN(Skills!I5,MAX(0,MAX(0,Inputs!$B$43-B2249)-((R2218-1)*(IF(Inputs!$B$38="pvp",15,MAX(0.1,Skills!D5-IF(TRUE=TRUE,Inputs!$B$32,0)))*(1-IF(AND(ArtifactsInput!$M$27,Inputs!$B$4="Chapter Hunt"),CHOOSE(ArtifactsInput!$N$27+1,20,24,28,32,36,40),0)/100)))))/Skills!H5+0.000000001),1)))/Inputs!$B$43),G2218*Q2218))*IF(Inputs!$B$38="pvp",1,1+(Inputs!$B$20+0+Skills!P5+(((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INT(Skills!I5/Skills!H5+0.000000001),1)+IF(Skills!H5&gt;0,INT(MIN(Skills!I5,MAX(0,MAX(0,Inputs!$B$43-B2249)-((R2218-1)*(IF(Inputs!$B$38="pvp",15,MAX(0.1,Skills!D5-IF(TRUE=TRUE,Inputs!$B$32,0)))*(1-IF(AND(ArtifactsInput!$M$27,Inputs!$B$4="Chapter Hunt"),CHOOSE(ArtifactsInput!$N$27+1,20,24,28,32,36,40),0)/100)))))/Skills!H5+0.000000001),1)))/Inputs!$B$43),G2218*Q2218))*IF(Inputs!$B$38="pvp",1,(1+(Inputs!$B$21+Skills!Q5+(((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Skills!G6*IF(Skills!H6&gt;0,INT(IF(Inputs!$B$38="pvp",MIN(Skills!I6,15),Skills!I6)/Skills!H6+0.000000001),1)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IFERROR(1/(IF(Inputs!$B$38="pvp",15,MAX(0.1,Skills!D6-IF(TRUE=TRUE,Inputs!$B$32,0)))*(1-IF(AND(ArtifactsInput!$M$27,Inputs!$B$4="Chapter Hunt"),CHOOSE(ArtifactsInput!$N$27+1,20,24,28,32,36,40),0)/100)),0)</f>
        <v/>
      </c>
      <c r="R2219">
        <f>IF(AND(Inputs!$B$38&lt;&gt;"pvp",Inputs!$B$43&gt;0),IF(MAX(0,Inputs!$B$43-B2249)&lt;=0,0,(INT(MAX(0,Inputs!$B$43-B2249)/(IF(Inputs!$B$38="pvp",15,MAX(0.1,Skills!D6-IF(TRUE=TRUE,Inputs!$B$32,0)))*(1-IF(AND(ArtifactsInput!$M$27,Inputs!$B$4="Chapter Hunt"),CHOOSE(ArtifactsInput!$N$27+1,20,24,28,32,36,40),0)/100)))+1)),0)</f>
        <v/>
      </c>
      <c r="S2219">
        <f>IFERROR(O2219/N2219,0)</f>
        <v/>
      </c>
      <c r="T2219">
        <f>IF(C2219,(H2219*N2219*IF(AND(Inputs!$B$38&lt;&gt;"pvp",Inputs!$B$43&gt;0),((Skills!G6*((R2219-1)*IF(Skills!H6&gt;0,INT(Skills!I6/Skills!H6+0.000000001),1)+IF(Skills!H6&gt;0,INT(MIN(Skills!I6,MAX(0,MAX(0,Inputs!$B$43-B2249)-((R2219-1)*(IF(Inputs!$B$38="pvp",15,MAX(0.1,Skills!D6-IF(TRUE=TRUE,Inputs!$B$32,0)))*(1-IF(AND(ArtifactsInput!$M$27,Inputs!$B$4="Chapter Hunt"),CHOOSE(ArtifactsInput!$N$27+1,20,24,28,32,36,40),0)/100)))))/Skills!H6+0.000000001),1)))/Inputs!$B$43),G2219*Q2219))*IF(Inputs!$B$38="pvp",1,1+(Inputs!$B$20+0+Skills!P6+(((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INT(Skills!I6/Skills!H6+0.000000001),1)+IF(Skills!H6&gt;0,INT(MIN(Skills!I6,MAX(0,MAX(0,Inputs!$B$43-B2249)-((R2219-1)*(IF(Inputs!$B$38="pvp",15,MAX(0.1,Skills!D6-IF(TRUE=TRUE,Inputs!$B$32,0)))*(1-IF(AND(ArtifactsInput!$M$27,Inputs!$B$4="Chapter Hunt"),CHOOSE(ArtifactsInput!$N$27+1,20,24,28,32,36,40),0)/100)))))/Skills!H6+0.000000001),1)))/Inputs!$B$43),G2219*Q2219))*IF(Inputs!$B$38="pvp",1,(1+(Inputs!$B$21+Skills!Q6+(((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Skills!G7*IF(Skills!H7&gt;0,INT(IF(Inputs!$B$38="pvp",MIN(Skills!I7,15),Skills!I7)/Skills!H7+0.000000001),1)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IFERROR(1/(IF(Inputs!$B$38="pvp",15,MAX(0.1,Skills!D7-IF(TRUE=TRUE,Inputs!$B$32,0)))*(1-IF(AND(ArtifactsInput!$M$27,Inputs!$B$4="Chapter Hunt"),CHOOSE(ArtifactsInput!$N$27+1,20,24,28,32,36,40),0)/100)),0)</f>
        <v/>
      </c>
      <c r="R2220">
        <f>IF(AND(Inputs!$B$38&lt;&gt;"pvp",Inputs!$B$43&gt;0),IF(MAX(0,Inputs!$B$43-B2249)&lt;=0,0,(INT(MAX(0,Inputs!$B$43-B2249)/(IF(Inputs!$B$38="pvp",15,MAX(0.1,Skills!D7-IF(TRUE=TRUE,Inputs!$B$32,0)))*(1-IF(AND(ArtifactsInput!$M$27,Inputs!$B$4="Chapter Hunt"),CHOOSE(ArtifactsInput!$N$27+1,20,24,28,32,36,40),0)/100)))+1)),0)</f>
        <v/>
      </c>
      <c r="S2220">
        <f>IFERROR(O2220/N2220,0)</f>
        <v/>
      </c>
      <c r="T2220">
        <f>IF(C2220,(H2220*N2220*IF(AND(Inputs!$B$38&lt;&gt;"pvp",Inputs!$B$43&gt;0),((Skills!G7*((R2220-1)*IF(Skills!H7&gt;0,INT(Skills!I7/Skills!H7+0.000000001),1)+IF(Skills!H7&gt;0,INT(MIN(Skills!I7,MAX(0,MAX(0,Inputs!$B$43-B2249)-((R2220-1)*(IF(Inputs!$B$38="pvp",15,MAX(0.1,Skills!D7-IF(TRUE=TRUE,Inputs!$B$32,0)))*(1-IF(AND(ArtifactsInput!$M$27,Inputs!$B$4="Chapter Hunt"),CHOOSE(ArtifactsInput!$N$27+1,20,24,28,32,36,40),0)/100)))))/Skills!H7+0.000000001),1)))/Inputs!$B$43),G2220*Q2220))*IF(Inputs!$B$38="pvp",1,1+(Inputs!$B$20+0+Skills!P7+(((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INT(Skills!I7/Skills!H7+0.000000001),1)+IF(Skills!H7&gt;0,INT(MIN(Skills!I7,MAX(0,MAX(0,Inputs!$B$43-B2249)-((R2220-1)*(IF(Inputs!$B$38="pvp",15,MAX(0.1,Skills!D7-IF(TRUE=TRUE,Inputs!$B$32,0)))*(1-IF(AND(ArtifactsInput!$M$27,Inputs!$B$4="Chapter Hunt"),CHOOSE(ArtifactsInput!$N$27+1,20,24,28,32,36,40),0)/100)))))/Skills!H7+0.000000001),1)))/Inputs!$B$43),G2220*Q2220))*IF(Inputs!$B$38="pvp",1,(1+(Inputs!$B$21+Skills!Q7+(((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Skills!G8*IF(Skills!H8&gt;0,INT(IF(Inputs!$B$38="pvp",MIN(Skills!I8,15),Skills!I8)/Skills!H8+0.000000001),1)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IFERROR(1/(IF(Inputs!$B$38="pvp",15,MAX(0.1,Skills!D8-IF(TRUE=TRUE,Inputs!$B$32,0)))*(1-IF(AND(ArtifactsInput!$M$27,Inputs!$B$4="Chapter Hunt"),CHOOSE(ArtifactsInput!$N$27+1,20,24,28,32,36,40),0)/100)),0)</f>
        <v/>
      </c>
      <c r="R2221">
        <f>IF(AND(Inputs!$B$38&lt;&gt;"pvp",Inputs!$B$43&gt;0),IF(MAX(0,Inputs!$B$43-B2249)&lt;=0,0,(INT(MAX(0,Inputs!$B$43-B2249)/(IF(Inputs!$B$38="pvp",15,MAX(0.1,Skills!D8-IF(TRUE=TRUE,Inputs!$B$32,0)))*(1-IF(AND(ArtifactsInput!$M$27,Inputs!$B$4="Chapter Hunt"),CHOOSE(ArtifactsInput!$N$27+1,20,24,28,32,36,40),0)/100)))+1)),0)</f>
        <v/>
      </c>
      <c r="S2221">
        <f>IFERROR(O2221/N2221,0)</f>
        <v/>
      </c>
      <c r="T2221">
        <f>IF(C2221,(H2221*N2221*IF(AND(Inputs!$B$38&lt;&gt;"pvp",Inputs!$B$43&gt;0),((Skills!G8*((R2221-1)*IF(Skills!H8&gt;0,INT(Skills!I8/Skills!H8+0.000000001),1)+IF(Skills!H8&gt;0,INT(MIN(Skills!I8,MAX(0,MAX(0,Inputs!$B$43-B2249)-((R2221-1)*(IF(Inputs!$B$38="pvp",15,MAX(0.1,Skills!D8-IF(TRUE=TRUE,Inputs!$B$32,0)))*(1-IF(AND(ArtifactsInput!$M$27,Inputs!$B$4="Chapter Hunt"),CHOOSE(ArtifactsInput!$N$27+1,20,24,28,32,36,40),0)/100)))))/Skills!H8+0.000000001),1)))/Inputs!$B$43),G2221*Q2221))*IF(Inputs!$B$38="pvp",1,1+(Inputs!$B$20+0+Skills!P8+(((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INT(Skills!I8/Skills!H8+0.000000001),1)+IF(Skills!H8&gt;0,INT(MIN(Skills!I8,MAX(0,MAX(0,Inputs!$B$43-B2249)-((R2221-1)*(IF(Inputs!$B$38="pvp",15,MAX(0.1,Skills!D8-IF(TRUE=TRUE,Inputs!$B$32,0)))*(1-IF(AND(ArtifactsInput!$M$27,Inputs!$B$4="Chapter Hunt"),CHOOSE(ArtifactsInput!$N$27+1,20,24,28,32,36,40),0)/100)))))/Skills!H8+0.000000001),1)))/Inputs!$B$43),G2221*Q2221))*IF(Inputs!$B$38="pvp",1,(1+(Inputs!$B$21+Skills!Q8+(((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Skills!G9*IF(Skills!H9&gt;0,INT(IF(Inputs!$B$38="pvp",MIN(Skills!I9,15),Skills!I9)/Skills!H9+0.000000001),1)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138,MAX(0,IF(Inputs!$B$3&gt;=118,8,IF(Inputs!$B$3&gt;=110,7,5))-5)*50,0),0)/100)*(1+(IF(Skills!A9="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IFERROR(1/(IF(Inputs!$B$38="pvp",15,MAX(0.1,Skills!D9-IF(TRUE=TRUE,Inputs!$B$32,0)))*(1-IF(AND(ArtifactsInput!$M$27,Inputs!$B$4="Chapter Hunt"),CHOOSE(ArtifactsInput!$N$27+1,20,24,28,32,36,40),0)/100)),0)</f>
        <v/>
      </c>
      <c r="R2222">
        <f>IF(AND(Inputs!$B$38&lt;&gt;"pvp",Inputs!$B$43&gt;0),IF(MAX(0,Inputs!$B$43-B2249)&lt;=0,0,(INT(MAX(0,Inputs!$B$43-B2249)/(IF(Inputs!$B$38="pvp",15,MAX(0.1,Skills!D9-IF(TRUE=TRUE,Inputs!$B$32,0)))*(1-IF(AND(ArtifactsInput!$M$27,Inputs!$B$4="Chapter Hunt"),CHOOSE(ArtifactsInput!$N$27+1,20,24,28,32,36,40),0)/100)))+1)),0)</f>
        <v/>
      </c>
      <c r="S2222">
        <f>IFERROR(O2222/N2222,0)</f>
        <v/>
      </c>
      <c r="T2222">
        <f>IF(C2222,(H2222*N2222*IF(AND(Inputs!$B$38&lt;&gt;"pvp",Inputs!$B$43&gt;0),((Skills!G9*((R2222-1)*IF(Skills!H9&gt;0,INT(Skills!I9/Skills!H9+0.000000001),1)+IF(Skills!H9&gt;0,INT(MIN(Skills!I9,MAX(0,MAX(0,Inputs!$B$43-B2249)-((R2222-1)*(IF(Inputs!$B$38="pvp",15,MAX(0.1,Skills!D9-IF(TRUE=TRUE,Inputs!$B$32,0)))*(1-IF(AND(ArtifactsInput!$M$27,Inputs!$B$4="Chapter Hunt"),CHOOSE(ArtifactsInput!$N$27+1,20,24,28,32,36,40),0)/100)))))/Skills!H9+0.000000001),1)))/Inputs!$B$43),G2222*Q2222))*IF(Inputs!$B$38="pvp",1,1+(Inputs!$B$20+0+Skills!P9+(((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INT(Skills!I9/Skills!H9+0.000000001),1)+IF(Skills!H9&gt;0,INT(MIN(Skills!I9,MAX(0,MAX(0,Inputs!$B$43-B2249)-((R2222-1)*(IF(Inputs!$B$38="pvp",15,MAX(0.1,Skills!D9-IF(TRUE=TRUE,Inputs!$B$32,0)))*(1-IF(AND(ArtifactsInput!$M$27,Inputs!$B$4="Chapter Hunt"),CHOOSE(ArtifactsInput!$N$27+1,20,24,28,32,36,40),0)/100)))))/Skills!H9+0.000000001),1)))/Inputs!$B$43),G2222*Q2222))*IF(Inputs!$B$38="pvp",1,(1+(Inputs!$B$21+Skills!Q9+(((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Skills!G10*IF(Skills!H10&gt;0,INT(IF(Inputs!$B$38="pvp",MIN(Skills!I10,15),Skills!I10)/Skills!H10+0.000000001),1)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138,MAX(0,IF(Inputs!$B$3&gt;=118,8,IF(Inputs!$B$3&gt;=110,7,5))-5)*50,0),0)/100)*(1+(IF(Skills!A10="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IFERROR(1/(IF(Inputs!$B$38="pvp",15,MAX(0.1,Skills!D10-IF(TRUE=TRUE,Inputs!$B$32,0)))*(1-IF(AND(ArtifactsInput!$M$27,Inputs!$B$4="Chapter Hunt"),CHOOSE(ArtifactsInput!$N$27+1,20,24,28,32,36,40),0)/100)),0)</f>
        <v/>
      </c>
      <c r="R2223">
        <f>IF(AND(Inputs!$B$38&lt;&gt;"pvp",Inputs!$B$43&gt;0),IF(MAX(0,Inputs!$B$43-B2249)&lt;=0,0,(INT(MAX(0,Inputs!$B$43-B2249)/(IF(Inputs!$B$38="pvp",15,MAX(0.1,Skills!D10-IF(TRUE=TRUE,Inputs!$B$32,0)))*(1-IF(AND(ArtifactsInput!$M$27,Inputs!$B$4="Chapter Hunt"),CHOOSE(ArtifactsInput!$N$27+1,20,24,28,32,36,40),0)/100)))+1)),0)</f>
        <v/>
      </c>
      <c r="S2223">
        <f>IFERROR(O2223/N2223,0)</f>
        <v/>
      </c>
      <c r="T2223">
        <f>IF(C2223,(H2223*N2223*IF(AND(Inputs!$B$38&lt;&gt;"pvp",Inputs!$B$43&gt;0),((Skills!G10*((R2223-1)*IF(Skills!H10&gt;0,INT(Skills!I10/Skills!H10+0.000000001),1)+IF(Skills!H10&gt;0,INT(MIN(Skills!I10,MAX(0,MAX(0,Inputs!$B$43-B2249)-((R2223-1)*(IF(Inputs!$B$38="pvp",15,MAX(0.1,Skills!D10-IF(TRUE=TRUE,Inputs!$B$32,0)))*(1-IF(AND(ArtifactsInput!$M$27,Inputs!$B$4="Chapter Hunt"),CHOOSE(ArtifactsInput!$N$27+1,20,24,28,32,36,40),0)/100)))))/Skills!H10+0.000000001),1)))/Inputs!$B$43),G2223*Q2223))*IF(Inputs!$B$38="pvp",1,1+(Inputs!$B$20+0+Skills!P10+(((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INT(Skills!I10/Skills!H10+0.000000001),1)+IF(Skills!H10&gt;0,INT(MIN(Skills!I10,MAX(0,MAX(0,Inputs!$B$43-B2249)-((R2223-1)*(IF(Inputs!$B$38="pvp",15,MAX(0.1,Skills!D10-IF(TRUE=TRUE,Inputs!$B$32,0)))*(1-IF(AND(ArtifactsInput!$M$27,Inputs!$B$4="Chapter Hunt"),CHOOSE(ArtifactsInput!$N$27+1,20,24,28,32,36,40),0)/100)))))/Skills!H10+0.000000001),1)))/Inputs!$B$43),G2223*Q2223))*IF(Inputs!$B$38="pvp",1,(1+(Inputs!$B$21+Skills!Q10+(((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Skills!G11*IF(Skills!H11&gt;0,INT(IF(Inputs!$B$38="pvp",MIN(Skills!I11,15),Skills!I11)/Skills!H11+0.000000001),1)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138,MAX(0,IF(Inputs!$B$3&gt;=118,8,IF(Inputs!$B$3&gt;=110,7,5))-5)*50,0),0)/100)*(1+(IF(Skills!A11="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IFERROR(1/(IF(Inputs!$B$38="pvp",15,MAX(0.1,Skills!D11-IF(TRUE=TRUE,Inputs!$B$32,0)))*(1-IF(AND(ArtifactsInput!$M$27,Inputs!$B$4="Chapter Hunt"),CHOOSE(ArtifactsInput!$N$27+1,20,24,28,32,36,40),0)/100)),0)</f>
        <v/>
      </c>
      <c r="R2224">
        <f>IF(AND(Inputs!$B$38&lt;&gt;"pvp",Inputs!$B$43&gt;0),IF(MAX(0,Inputs!$B$43-B2249)&lt;=0,0,(INT(MAX(0,Inputs!$B$43-B2249)/(IF(Inputs!$B$38="pvp",15,MAX(0.1,Skills!D11-IF(TRUE=TRUE,Inputs!$B$32,0)))*(1-IF(AND(ArtifactsInput!$M$27,Inputs!$B$4="Chapter Hunt"),CHOOSE(ArtifactsInput!$N$27+1,20,24,28,32,36,40),0)/100)))+1)),0)</f>
        <v/>
      </c>
      <c r="S2224">
        <f>IFERROR(O2224/N2224,0)</f>
        <v/>
      </c>
      <c r="T2224">
        <f>IF(C2224,(H2224*N2224*IF(AND(Inputs!$B$38&lt;&gt;"pvp",Inputs!$B$43&gt;0),((Skills!G11*((R2224-1)*IF(Skills!H11&gt;0,INT(Skills!I11/Skills!H11+0.000000001),1)+IF(Skills!H11&gt;0,INT(MIN(Skills!I11,MAX(0,MAX(0,Inputs!$B$43-B2249)-((R2224-1)*(IF(Inputs!$B$38="pvp",15,MAX(0.1,Skills!D11-IF(TRUE=TRUE,Inputs!$B$32,0)))*(1-IF(AND(ArtifactsInput!$M$27,Inputs!$B$4="Chapter Hunt"),CHOOSE(ArtifactsInput!$N$27+1,20,24,28,32,36,40),0)/100)))))/Skills!H11+0.000000001),1)))/Inputs!$B$43),G2224*Q2224))*IF(Inputs!$B$38="pvp",1,1+(Inputs!$B$20+0+Skills!P11+(((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INT(Skills!I11/Skills!H11+0.000000001),1)+IF(Skills!H11&gt;0,INT(MIN(Skills!I11,MAX(0,MAX(0,Inputs!$B$43-B2249)-((R2224-1)*(IF(Inputs!$B$38="pvp",15,MAX(0.1,Skills!D11-IF(TRUE=TRUE,Inputs!$B$32,0)))*(1-IF(AND(ArtifactsInput!$M$27,Inputs!$B$4="Chapter Hunt"),CHOOSE(ArtifactsInput!$N$27+1,20,24,28,32,36,40),0)/100)))))/Skills!H11+0.000000001),1)))/Inputs!$B$43),G2224*Q2224))*IF(Inputs!$B$38="pvp",1,(1+(Inputs!$B$21+Skills!Q11+(((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Skills!G13*IF(Skills!H13&gt;0,INT(IF(Inputs!$B$38="pvp",MIN(Skills!I13,15),Skills!I13)/Skills!H13+0.000000001),1)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Skills!G14*IF(Skills!H14&gt;0,INT(IF(Inputs!$B$38="pvp",MIN(Skills!I14,15),Skills!I14)/Skills!H14+0.000000001),1)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Skills!G15*IF(Skills!H15&gt;0,INT(IF(Inputs!$B$38="pvp",MIN(Skills!I15,15),Skills!I15)/Skills!H15+0.000000001),1)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IFERROR(1/(IF(Inputs!$B$38="pvp",15,MAX(0.1,Skills!D15-IF(TRUE=TRUE,Inputs!$B$32,0)))*(1-IF(AND(ArtifactsInput!$M$27,Inputs!$B$4="Chapter Hunt"),CHOOSE(ArtifactsInput!$N$27+1,20,24,28,32,36,40),0)/100)),0)</f>
        <v/>
      </c>
      <c r="R2228">
        <f>IF(AND(Inputs!$B$38&lt;&gt;"pvp",Inputs!$B$43&gt;0),IF(Inputs!$B$43&lt;=0,0,(INT(Inputs!$B$43/(IF(Inputs!$B$38="pvp",15,MAX(0.1,Skills!D15-IF(TRUE=TRUE,Inputs!$B$32,0)))*(1-IF(AND(ArtifactsInput!$M$27,Inputs!$B$4="Chapter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Skills!G16*IF(Skills!H16&gt;0,INT(IF(Inputs!$B$38="pvp",MIN(Skills!I16,15),Skills!I16)/Skills!H16+0.000000001),1)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IFERROR(1/(IF(Inputs!$B$38="pvp",15,MAX(0.1,Skills!D16-IF(TRUE=TRUE,Inputs!$B$32,0)))*(1-IF(AND(ArtifactsInput!$M$27,Inputs!$B$4="Chapter Hunt"),CHOOSE(ArtifactsInput!$N$27+1,20,24,28,32,36,40),0)/100)),0)</f>
        <v/>
      </c>
      <c r="R2229">
        <f>IF(AND(Inputs!$B$38&lt;&gt;"pvp",Inputs!$B$43&gt;0),IF(Inputs!$B$43&lt;=0,0,(INT(Inputs!$B$43/(IF(Inputs!$B$38="pvp",15,MAX(0.1,Skills!D16-IF(TRUE=TRUE,Inputs!$B$32,0)))*(1-IF(AND(ArtifactsInput!$M$27,Inputs!$B$4="Chapter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Skills!G17*IF(Skills!H17&gt;0,INT(IF(Inputs!$B$38="pvp",MIN(Skills!I17,15),Skills!I17)/Skills!H17+0.000000001),1)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IFERROR(1/(IF(Inputs!$B$38="pvp",15,MAX(0.1,Skills!D17-IF(TRUE=TRUE,Inputs!$B$32,0)))*(1-IF(AND(ArtifactsInput!$M$27,Inputs!$B$4="Chapter Hunt"),CHOOSE(ArtifactsInput!$N$27+1,20,24,28,32,36,40),0)/100)),0)</f>
        <v/>
      </c>
      <c r="R2230">
        <f>IF(AND(Inputs!$B$38&lt;&gt;"pvp",Inputs!$B$43&gt;0),IF(Inputs!$B$43&lt;=0,0,(INT(Inputs!$B$43/(IF(Inputs!$B$38="pvp",15,MAX(0.1,Skills!D17-IF(TRUE=TRUE,Inputs!$B$32,0)))*(1-IF(AND(ArtifactsInput!$M$27,Inputs!$B$4="Chapter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Skills!G18*IF(Skills!H18&gt;0,INT(IF(Inputs!$B$38="pvp",MIN(Skills!I18,15),Skills!I18)/Skills!H18+0.000000001),1)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IFERROR(1/(IF(Inputs!$B$38="pvp",15,MAX(0.1,Skills!D18-IF(TRUE=TRUE,Inputs!$B$32,0)))*(1-IF(AND(ArtifactsInput!$M$27,Inputs!$B$4="Chapter Hunt"),CHOOSE(ArtifactsInput!$N$27+1,20,24,28,32,36,40),0)/100)),0)</f>
        <v/>
      </c>
      <c r="R2231">
        <f>IF(AND(Inputs!$B$38&lt;&gt;"pvp",Inputs!$B$43&gt;0),IF(Inputs!$B$43&lt;=0,0,(INT(Inputs!$B$43/(IF(Inputs!$B$38="pvp",15,MAX(0.1,Skills!D18-IF(TRUE=TRUE,Inputs!$B$32,0)))*(1-IF(AND(ArtifactsInput!$M$27,Inputs!$B$4="Chapter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Skills!G19*IF(Skills!H19&gt;0,INT(IF(Inputs!$B$38="pvp",MIN(Skills!I19,15),Skills!I19)/Skills!H19+0.000000001),1)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IFERROR(1/(IF(Inputs!$B$38="pvp",15,MAX(0.1,Skills!D19-IF(TRUE=TRUE,Inputs!$B$32,0)))*(1-IF(AND(ArtifactsInput!$M$27,Inputs!$B$4="Chapter Hunt"),CHOOSE(ArtifactsInput!$N$27+1,20,24,28,32,36,40),0)/100)),0)</f>
        <v/>
      </c>
      <c r="R2232">
        <f>IF(AND(Inputs!$B$38&lt;&gt;"pvp",Inputs!$B$43&gt;0),IF(Inputs!$B$43&lt;=0,0,(INT(Inputs!$B$43/(IF(Inputs!$B$38="pvp",15,MAX(0.1,Skills!D19-IF(TRUE=TRUE,Inputs!$B$32,0)))*(1-IF(AND(ArtifactsInput!$M$27,Inputs!$B$4="Chapter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Skills!G20*IF(Skills!H20&gt;0,INT(IF(Inputs!$B$38="pvp",MIN(Skills!I20,15),Skills!I20)/Skills!H20+0.000000001),1)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Skills!G21*IF(Skills!H21&gt;0,INT(IF(Inputs!$B$38="pvp",MIN(Skills!I21,15),Skills!I21)/Skills!H21+0.000000001),1)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Skills!G22*IF(Skills!H22&gt;0,INT(IF(Inputs!$B$38="pvp",MIN(Skills!I22,15),Skills!I22)/Skills!H22+0.000000001),1)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Skills!G23*IF(Skills!H23&gt;0,INT(IF(Inputs!$B$38="pvp",MIN(Skills!I23,15),Skills!I23)/Skills!H23+0.000000001),1)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Skills!G24*IF(Skills!H24&gt;0,INT(IF(Inputs!$B$38="pvp",MIN(Skills!I24,15),Skills!I24)/Skills!H24+0.000000001),1)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Skills!G25*IF(Skills!H25&gt;0,INT(IF(Inputs!$B$38="pvp",MIN(Skills!I25,15),Skills!I25)/Skills!H25+0.000000001),1)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Skills!G26*IF(Skills!H26&gt;0,INT(IF(Inputs!$B$38="pvp",MIN(Skills!I26,15),Skills!I26)/Skills!H26+0.000000001),1)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MIN((Skills!T19*(1+(Inputs!$B$34+(ArtifactsInput!$M$7-ArtifactsInput!$M$7)*CHOOSE(ArtifactsInput!$N$7+1,6,7.2,8.4,9.6,10.8,12))/100)),(1/Q2232))+MIN((Skills!T19*(1+(Inputs!$B$34+(ArtifactsInput!$M$7-ArtifactsInput!$M$7)*CHOOSE(ArtifactsInput!$N$7+1,6,7.2,8.4,9.6,10.8,12))/100)),MAX(0,Inputs!$B$43-((R2232-1)*(1/Q2232)))))/Inputs!$B$43),IF(Inputs!$B$38="pvp",MIN((Skills!T19*(1+(Inputs!$B$34+(ArtifactsInput!$M$7-ArtifactsInput!$M$7)*CHOOSE(ArtifactsInput!$N$7+1,6,7.2,8.4,9.6,10.8,12))/100)),15)/15,MIN(1,(Skills!T19*(1+(Inputs!$B$34+(ArtifactsInput!$M$7-ArtifactsInput!$M$7)*CHOOSE(ArtifactsInput!$N$7+1,6,7.2,8.4,9.6,10.8,12))/100))/(1/Q2232)))))</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MIN((Skills!T18*(1+(Inputs!$B$34+(ArtifactsInput!$M$7-ArtifactsInput!$M$7)*CHOOSE(ArtifactsInput!$N$7+1,6,7.2,8.4,9.6,10.8,12))/100)),(1/Q2231))+MIN((Skills!T18*(1+(Inputs!$B$34+(ArtifactsInput!$M$7-ArtifactsInput!$M$7)*CHOOSE(ArtifactsInput!$N$7+1,6,7.2,8.4,9.6,10.8,12))/100)),MAX(0,Inputs!$B$43-((R2231-1)*(1/Q2231)))))/Inputs!$B$43),IF(Inputs!$B$38="pvp",MIN((Skills!T18*(1+(Inputs!$B$34+(ArtifactsInput!$M$7-ArtifactsInput!$M$7)*CHOOSE(ArtifactsInput!$N$7+1,6,7.2,8.4,9.6,10.8,12))/100)),15)/15,MIN(1,(Skills!T18*(1+(Inputs!$B$34+(ArtifactsInput!$M$7-ArtifactsInput!$M$7)*CHOOSE(ArtifactsInput!$N$7+1,6,7.2,8.4,9.6,10.8,12))/100))/(1/Q2231)))))</f>
        <v/>
      </c>
    </row>
    <row r="2248">
      <c r="A2248" t="inlineStr">
        <is>
          <t>Global Final Damage Bonus % (Enrage + Combo Synergy)</t>
        </is>
      </c>
      <c r="B2248">
        <f>((C2230=TRUE)*F2230*IF(AND(Inputs!$B$38&lt;&gt;"pvp",Inputs!$B$43&gt;0),(((R2230-1)*MIN((Skills!T17*(1+(Inputs!$B$34+(ArtifactsInput!$M$7-ArtifactsInput!$M$7)*CHOOSE(ArtifactsInput!$N$7+1,6,7.2,8.4,9.6,10.8,12))/100)),(1/Q2230))+MIN((Skills!T17*(1+(Inputs!$B$34+(ArtifactsInput!$M$7-ArtifactsInput!$M$7)*CHOOSE(ArtifactsInput!$N$7+1,6,7.2,8.4,9.6,10.8,12))/100)),MAX(0,Inputs!$B$43-((R2230-1)*(1/Q2230)))))/Inputs!$B$43),IF(Inputs!$B$38="pvp",MIN((Skills!T17*(1+(Inputs!$B$34+(ArtifactsInput!$M$7-ArtifactsInput!$M$7)*CHOOSE(ArtifactsInput!$N$7+1,6,7.2,8.4,9.6,10.8,12))/100)),15)/15,MIN(1,(Skills!T17*(1+(Inputs!$B$34+(ArtifactsInput!$M$7-ArtifactsInput!$M$7)*CHOOSE(ArtifactsInput!$N$7+1,6,7.2,8.4,9.6,10.8,12))/100))/(1/Q2230)))))+((C2227=TRUE)*F2227*IF(Inputs!$B$3&gt;=118,8,IF(Inputs!$B$3&gt;=110,7,5)))+IF(Inputs!$B$3&gt;=98,5,0)</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Skills!G2*IF(Skills!H2&gt;0,INT(IF(Inputs!$B$38="pvp",MIN(Skills!I2,15),Skills!I2)/Skills!H2+0.000000001),1)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Skills!G5*IF(Skills!H5&gt;0,INT(IF(Inputs!$B$38="pvp",MIN(Skills!I5,15),Skills!I5)/Skills!H5+0.000000001),1)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IFERROR(1/(IF(Inputs!$B$38="pvp",15,MAX(0.1,Skills!D5-IF(TRUE=TRUE,Inputs!$B$32,0)))*(1-IF(AND(ArtifactsInput!$M$27,Inputs!$B$4="Chapter Hunt"),CHOOSE(ArtifactsInput!$N$27+1,20,24,28,32,36,40),0)/100)),0)</f>
        <v/>
      </c>
      <c r="R2260">
        <f>IF(AND(Inputs!$B$38&lt;&gt;"pvp",Inputs!$B$43&gt;0),IF(MAX(0,Inputs!$B$43-B2291)&lt;=0,0,(INT(MAX(0,Inputs!$B$43-B2291)/(IF(Inputs!$B$38="pvp",15,MAX(0.1,Skills!D5-IF(TRUE=TRUE,Inputs!$B$32,0)))*(1-IF(AND(ArtifactsInput!$M$27,Inputs!$B$4="Chapter Hunt"),CHOOSE(ArtifactsInput!$N$27+1,20,24,28,32,36,40),0)/100)))+1)),0)</f>
        <v/>
      </c>
      <c r="S2260">
        <f>IFERROR(O2260/N2260,0)</f>
        <v/>
      </c>
      <c r="T2260">
        <f>IF(C2260,(H2260*N2260*IF(AND(Inputs!$B$38&lt;&gt;"pvp",Inputs!$B$43&gt;0),((Skills!G5*((R2260-1)*IF(Skills!H5&gt;0,INT(Skills!I5/Skills!H5+0.000000001),1)+IF(Skills!H5&gt;0,INT(MIN(Skills!I5,MAX(0,MAX(0,Inputs!$B$43-B2291)-((R2260-1)*(IF(Inputs!$B$38="pvp",15,MAX(0.1,Skills!D5-IF(TRUE=TRUE,Inputs!$B$32,0)))*(1-IF(AND(ArtifactsInput!$M$27,Inputs!$B$4="Chapter Hunt"),CHOOSE(ArtifactsInput!$N$27+1,20,24,28,32,36,40),0)/100)))))/Skills!H5+0.000000001),1)))/Inputs!$B$43),G2260*Q2260))*IF(Inputs!$B$38="pvp",1,1+(Inputs!$B$20+0+Skills!P5+(((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INT(Skills!I5/Skills!H5+0.000000001),1)+IF(Skills!H5&gt;0,INT(MIN(Skills!I5,MAX(0,MAX(0,Inputs!$B$43-B2291)-((R2260-1)*(IF(Inputs!$B$38="pvp",15,MAX(0.1,Skills!D5-IF(TRUE=TRUE,Inputs!$B$32,0)))*(1-IF(AND(ArtifactsInput!$M$27,Inputs!$B$4="Chapter Hunt"),CHOOSE(ArtifactsInput!$N$27+1,20,24,28,32,36,40),0)/100)))))/Skills!H5+0.000000001),1)))/Inputs!$B$43),G2260*Q2260))*IF(Inputs!$B$38="pvp",1,(1+(Inputs!$B$21+Skills!Q5+(((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Skills!G6*IF(Skills!H6&gt;0,INT(IF(Inputs!$B$38="pvp",MIN(Skills!I6,15),Skills!I6)/Skills!H6+0.000000001),1)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IFERROR(1/(IF(Inputs!$B$38="pvp",15,MAX(0.1,Skills!D6-IF(TRUE=TRUE,Inputs!$B$32,0)))*(1-IF(AND(ArtifactsInput!$M$27,Inputs!$B$4="Chapter Hunt"),CHOOSE(ArtifactsInput!$N$27+1,20,24,28,32,36,40),0)/100)),0)</f>
        <v/>
      </c>
      <c r="R2261">
        <f>IF(AND(Inputs!$B$38&lt;&gt;"pvp",Inputs!$B$43&gt;0),IF(MAX(0,Inputs!$B$43-B2291)&lt;=0,0,(INT(MAX(0,Inputs!$B$43-B2291)/(IF(Inputs!$B$38="pvp",15,MAX(0.1,Skills!D6-IF(TRUE=TRUE,Inputs!$B$32,0)))*(1-IF(AND(ArtifactsInput!$M$27,Inputs!$B$4="Chapter Hunt"),CHOOSE(ArtifactsInput!$N$27+1,20,24,28,32,36,40),0)/100)))+1)),0)</f>
        <v/>
      </c>
      <c r="S2261">
        <f>IFERROR(O2261/N2261,0)</f>
        <v/>
      </c>
      <c r="T2261">
        <f>IF(C2261,(H2261*N2261*IF(AND(Inputs!$B$38&lt;&gt;"pvp",Inputs!$B$43&gt;0),((Skills!G6*((R2261-1)*IF(Skills!H6&gt;0,INT(Skills!I6/Skills!H6+0.000000001),1)+IF(Skills!H6&gt;0,INT(MIN(Skills!I6,MAX(0,MAX(0,Inputs!$B$43-B2291)-((R2261-1)*(IF(Inputs!$B$38="pvp",15,MAX(0.1,Skills!D6-IF(TRUE=TRUE,Inputs!$B$32,0)))*(1-IF(AND(ArtifactsInput!$M$27,Inputs!$B$4="Chapter Hunt"),CHOOSE(ArtifactsInput!$N$27+1,20,24,28,32,36,40),0)/100)))))/Skills!H6+0.000000001),1)))/Inputs!$B$43),G2261*Q2261))*IF(Inputs!$B$38="pvp",1,1+(Inputs!$B$20+0+Skills!P6+(((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INT(Skills!I6/Skills!H6+0.000000001),1)+IF(Skills!H6&gt;0,INT(MIN(Skills!I6,MAX(0,MAX(0,Inputs!$B$43-B2291)-((R2261-1)*(IF(Inputs!$B$38="pvp",15,MAX(0.1,Skills!D6-IF(TRUE=TRUE,Inputs!$B$32,0)))*(1-IF(AND(ArtifactsInput!$M$27,Inputs!$B$4="Chapter Hunt"),CHOOSE(ArtifactsInput!$N$27+1,20,24,28,32,36,40),0)/100)))))/Skills!H6+0.000000001),1)))/Inputs!$B$43),G2261*Q2261))*IF(Inputs!$B$38="pvp",1,(1+(Inputs!$B$21+Skills!Q6+(((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Skills!G7*IF(Skills!H7&gt;0,INT(IF(Inputs!$B$38="pvp",MIN(Skills!I7,15),Skills!I7)/Skills!H7+0.000000001),1)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IFERROR(1/(IF(Inputs!$B$38="pvp",15,MAX(0.1,Skills!D7-IF(TRUE=TRUE,Inputs!$B$32,0)))*(1-IF(AND(ArtifactsInput!$M$27,Inputs!$B$4="Chapter Hunt"),CHOOSE(ArtifactsInput!$N$27+1,20,24,28,32,36,40),0)/100)),0)</f>
        <v/>
      </c>
      <c r="R2262">
        <f>IF(AND(Inputs!$B$38&lt;&gt;"pvp",Inputs!$B$43&gt;0),IF(MAX(0,Inputs!$B$43-B2291)&lt;=0,0,(INT(MAX(0,Inputs!$B$43-B2291)/(IF(Inputs!$B$38="pvp",15,MAX(0.1,Skills!D7-IF(TRUE=TRUE,Inputs!$B$32,0)))*(1-IF(AND(ArtifactsInput!$M$27,Inputs!$B$4="Chapter Hunt"),CHOOSE(ArtifactsInput!$N$27+1,20,24,28,32,36,40),0)/100)))+1)),0)</f>
        <v/>
      </c>
      <c r="S2262">
        <f>IFERROR(O2262/N2262,0)</f>
        <v/>
      </c>
      <c r="T2262">
        <f>IF(C2262,(H2262*N2262*IF(AND(Inputs!$B$38&lt;&gt;"pvp",Inputs!$B$43&gt;0),((Skills!G7*((R2262-1)*IF(Skills!H7&gt;0,INT(Skills!I7/Skills!H7+0.000000001),1)+IF(Skills!H7&gt;0,INT(MIN(Skills!I7,MAX(0,MAX(0,Inputs!$B$43-B2291)-((R2262-1)*(IF(Inputs!$B$38="pvp",15,MAX(0.1,Skills!D7-IF(TRUE=TRUE,Inputs!$B$32,0)))*(1-IF(AND(ArtifactsInput!$M$27,Inputs!$B$4="Chapter Hunt"),CHOOSE(ArtifactsInput!$N$27+1,20,24,28,32,36,40),0)/100)))))/Skills!H7+0.000000001),1)))/Inputs!$B$43),G2262*Q2262))*IF(Inputs!$B$38="pvp",1,1+(Inputs!$B$20+0+Skills!P7+(((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INT(Skills!I7/Skills!H7+0.000000001),1)+IF(Skills!H7&gt;0,INT(MIN(Skills!I7,MAX(0,MAX(0,Inputs!$B$43-B2291)-((R2262-1)*(IF(Inputs!$B$38="pvp",15,MAX(0.1,Skills!D7-IF(TRUE=TRUE,Inputs!$B$32,0)))*(1-IF(AND(ArtifactsInput!$M$27,Inputs!$B$4="Chapter Hunt"),CHOOSE(ArtifactsInput!$N$27+1,20,24,28,32,36,40),0)/100)))))/Skills!H7+0.000000001),1)))/Inputs!$B$43),G2262*Q2262))*IF(Inputs!$B$38="pvp",1,(1+(Inputs!$B$21+Skills!Q7+(((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Skills!G8*IF(Skills!H8&gt;0,INT(IF(Inputs!$B$38="pvp",MIN(Skills!I8,15),Skills!I8)/Skills!H8+0.000000001),1)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IFERROR(1/(IF(Inputs!$B$38="pvp",15,MAX(0.1,Skills!D8-IF(TRUE=TRUE,Inputs!$B$32,0)))*(1-IF(AND(ArtifactsInput!$M$27,Inputs!$B$4="Chapter Hunt"),CHOOSE(ArtifactsInput!$N$27+1,20,24,28,32,36,40),0)/100)),0)</f>
        <v/>
      </c>
      <c r="R2263">
        <f>IF(AND(Inputs!$B$38&lt;&gt;"pvp",Inputs!$B$43&gt;0),IF(MAX(0,Inputs!$B$43-B2291)&lt;=0,0,(INT(MAX(0,Inputs!$B$43-B2291)/(IF(Inputs!$B$38="pvp",15,MAX(0.1,Skills!D8-IF(TRUE=TRUE,Inputs!$B$32,0)))*(1-IF(AND(ArtifactsInput!$M$27,Inputs!$B$4="Chapter Hunt"),CHOOSE(ArtifactsInput!$N$27+1,20,24,28,32,36,40),0)/100)))+1)),0)</f>
        <v/>
      </c>
      <c r="S2263">
        <f>IFERROR(O2263/N2263,0)</f>
        <v/>
      </c>
      <c r="T2263">
        <f>IF(C2263,(H2263*N2263*IF(AND(Inputs!$B$38&lt;&gt;"pvp",Inputs!$B$43&gt;0),((Skills!G8*((R2263-1)*IF(Skills!H8&gt;0,INT(Skills!I8/Skills!H8+0.000000001),1)+IF(Skills!H8&gt;0,INT(MIN(Skills!I8,MAX(0,MAX(0,Inputs!$B$43-B2291)-((R2263-1)*(IF(Inputs!$B$38="pvp",15,MAX(0.1,Skills!D8-IF(TRUE=TRUE,Inputs!$B$32,0)))*(1-IF(AND(ArtifactsInput!$M$27,Inputs!$B$4="Chapter Hunt"),CHOOSE(ArtifactsInput!$N$27+1,20,24,28,32,36,40),0)/100)))))/Skills!H8+0.000000001),1)))/Inputs!$B$43),G2263*Q2263))*IF(Inputs!$B$38="pvp",1,1+(Inputs!$B$20+0+Skills!P8+(((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INT(Skills!I8/Skills!H8+0.000000001),1)+IF(Skills!H8&gt;0,INT(MIN(Skills!I8,MAX(0,MAX(0,Inputs!$B$43-B2291)-((R2263-1)*(IF(Inputs!$B$38="pvp",15,MAX(0.1,Skills!D8-IF(TRUE=TRUE,Inputs!$B$32,0)))*(1-IF(AND(ArtifactsInput!$M$27,Inputs!$B$4="Chapter Hunt"),CHOOSE(ArtifactsInput!$N$27+1,20,24,28,32,36,40),0)/100)))))/Skills!H8+0.000000001),1)))/Inputs!$B$43),G2263*Q2263))*IF(Inputs!$B$38="pvp",1,(1+(Inputs!$B$21+Skills!Q8+(((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Skills!G9*IF(Skills!H9&gt;0,INT(IF(Inputs!$B$38="pvp",MIN(Skills!I9,15),Skills!I9)/Skills!H9+0.000000001),1)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138,MAX(0,IF(Inputs!$B$3&gt;=118,8,IF(Inputs!$B$3&gt;=110,7,5))-5)*50,0),0)/100)*(1+(IF(Skills!A9="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IFERROR(1/(IF(Inputs!$B$38="pvp",15,MAX(0.1,Skills!D9-IF(TRUE=TRUE,Inputs!$B$32,0)))*(1-IF(AND(ArtifactsInput!$M$27,Inputs!$B$4="Chapter Hunt"),CHOOSE(ArtifactsInput!$N$27+1,20,24,28,32,36,40),0)/100)),0)</f>
        <v/>
      </c>
      <c r="R2264">
        <f>IF(AND(Inputs!$B$38&lt;&gt;"pvp",Inputs!$B$43&gt;0),IF(MAX(0,Inputs!$B$43-B2291)&lt;=0,0,(INT(MAX(0,Inputs!$B$43-B2291)/(IF(Inputs!$B$38="pvp",15,MAX(0.1,Skills!D9-IF(TRUE=TRUE,Inputs!$B$32,0)))*(1-IF(AND(ArtifactsInput!$M$27,Inputs!$B$4="Chapter Hunt"),CHOOSE(ArtifactsInput!$N$27+1,20,24,28,32,36,40),0)/100)))+1)),0)</f>
        <v/>
      </c>
      <c r="S2264">
        <f>IFERROR(O2264/N2264,0)</f>
        <v/>
      </c>
      <c r="T2264">
        <f>IF(C2264,(H2264*N2264*IF(AND(Inputs!$B$38&lt;&gt;"pvp",Inputs!$B$43&gt;0),((Skills!G9*((R2264-1)*IF(Skills!H9&gt;0,INT(Skills!I9/Skills!H9+0.000000001),1)+IF(Skills!H9&gt;0,INT(MIN(Skills!I9,MAX(0,MAX(0,Inputs!$B$43-B2291)-((R2264-1)*(IF(Inputs!$B$38="pvp",15,MAX(0.1,Skills!D9-IF(TRUE=TRUE,Inputs!$B$32,0)))*(1-IF(AND(ArtifactsInput!$M$27,Inputs!$B$4="Chapter Hunt"),CHOOSE(ArtifactsInput!$N$27+1,20,24,28,32,36,40),0)/100)))))/Skills!H9+0.000000001),1)))/Inputs!$B$43),G2264*Q2264))*IF(Inputs!$B$38="pvp",1,1+(Inputs!$B$20+0+Skills!P9+(((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INT(Skills!I9/Skills!H9+0.000000001),1)+IF(Skills!H9&gt;0,INT(MIN(Skills!I9,MAX(0,MAX(0,Inputs!$B$43-B2291)-((R2264-1)*(IF(Inputs!$B$38="pvp",15,MAX(0.1,Skills!D9-IF(TRUE=TRUE,Inputs!$B$32,0)))*(1-IF(AND(ArtifactsInput!$M$27,Inputs!$B$4="Chapter Hunt"),CHOOSE(ArtifactsInput!$N$27+1,20,24,28,32,36,40),0)/100)))))/Skills!H9+0.000000001),1)))/Inputs!$B$43),G2264*Q2264))*IF(Inputs!$B$38="pvp",1,(1+(Inputs!$B$21+Skills!Q9+(((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Skills!G10*IF(Skills!H10&gt;0,INT(IF(Inputs!$B$38="pvp",MIN(Skills!I10,15),Skills!I10)/Skills!H10+0.000000001),1)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138,MAX(0,IF(Inputs!$B$3&gt;=118,8,IF(Inputs!$B$3&gt;=110,7,5))-5)*50,0),0)/100)*(1+(IF(Skills!A10="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IFERROR(1/(IF(Inputs!$B$38="pvp",15,MAX(0.1,Skills!D10-IF(TRUE=TRUE,Inputs!$B$32,0)))*(1-IF(AND(ArtifactsInput!$M$27,Inputs!$B$4="Chapter Hunt"),CHOOSE(ArtifactsInput!$N$27+1,20,24,28,32,36,40),0)/100)),0)</f>
        <v/>
      </c>
      <c r="R2265">
        <f>IF(AND(Inputs!$B$38&lt;&gt;"pvp",Inputs!$B$43&gt;0),IF(MAX(0,Inputs!$B$43-B2291)&lt;=0,0,(INT(MAX(0,Inputs!$B$43-B2291)/(IF(Inputs!$B$38="pvp",15,MAX(0.1,Skills!D10-IF(TRUE=TRUE,Inputs!$B$32,0)))*(1-IF(AND(ArtifactsInput!$M$27,Inputs!$B$4="Chapter Hunt"),CHOOSE(ArtifactsInput!$N$27+1,20,24,28,32,36,40),0)/100)))+1)),0)</f>
        <v/>
      </c>
      <c r="S2265">
        <f>IFERROR(O2265/N2265,0)</f>
        <v/>
      </c>
      <c r="T2265">
        <f>IF(C2265,(H2265*N2265*IF(AND(Inputs!$B$38&lt;&gt;"pvp",Inputs!$B$43&gt;0),((Skills!G10*((R2265-1)*IF(Skills!H10&gt;0,INT(Skills!I10/Skills!H10+0.000000001),1)+IF(Skills!H10&gt;0,INT(MIN(Skills!I10,MAX(0,MAX(0,Inputs!$B$43-B2291)-((R2265-1)*(IF(Inputs!$B$38="pvp",15,MAX(0.1,Skills!D10-IF(TRUE=TRUE,Inputs!$B$32,0)))*(1-IF(AND(ArtifactsInput!$M$27,Inputs!$B$4="Chapter Hunt"),CHOOSE(ArtifactsInput!$N$27+1,20,24,28,32,36,40),0)/100)))))/Skills!H10+0.000000001),1)))/Inputs!$B$43),G2265*Q2265))*IF(Inputs!$B$38="pvp",1,1+(Inputs!$B$20+0+Skills!P10+(((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INT(Skills!I10/Skills!H10+0.000000001),1)+IF(Skills!H10&gt;0,INT(MIN(Skills!I10,MAX(0,MAX(0,Inputs!$B$43-B2291)-((R2265-1)*(IF(Inputs!$B$38="pvp",15,MAX(0.1,Skills!D10-IF(TRUE=TRUE,Inputs!$B$32,0)))*(1-IF(AND(ArtifactsInput!$M$27,Inputs!$B$4="Chapter Hunt"),CHOOSE(ArtifactsInput!$N$27+1,20,24,28,32,36,40),0)/100)))))/Skills!H10+0.000000001),1)))/Inputs!$B$43),G2265*Q2265))*IF(Inputs!$B$38="pvp",1,(1+(Inputs!$B$21+Skills!Q10+(((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Skills!G11*IF(Skills!H11&gt;0,INT(IF(Inputs!$B$38="pvp",MIN(Skills!I11,15),Skills!I11)/Skills!H11+0.000000001),1)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138,MAX(0,IF(Inputs!$B$3&gt;=118,8,IF(Inputs!$B$3&gt;=110,7,5))-5)*50,0),0)/100)*(1+(IF(Skills!A11="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IFERROR(1/(IF(Inputs!$B$38="pvp",15,MAX(0.1,Skills!D11-IF(TRUE=TRUE,Inputs!$B$32,0)))*(1-IF(AND(ArtifactsInput!$M$27,Inputs!$B$4="Chapter Hunt"),CHOOSE(ArtifactsInput!$N$27+1,20,24,28,32,36,40),0)/100)),0)</f>
        <v/>
      </c>
      <c r="R2266">
        <f>IF(AND(Inputs!$B$38&lt;&gt;"pvp",Inputs!$B$43&gt;0),IF(MAX(0,Inputs!$B$43-B2291)&lt;=0,0,(INT(MAX(0,Inputs!$B$43-B2291)/(IF(Inputs!$B$38="pvp",15,MAX(0.1,Skills!D11-IF(TRUE=TRUE,Inputs!$B$32,0)))*(1-IF(AND(ArtifactsInput!$M$27,Inputs!$B$4="Chapter Hunt"),CHOOSE(ArtifactsInput!$N$27+1,20,24,28,32,36,40),0)/100)))+1)),0)</f>
        <v/>
      </c>
      <c r="S2266">
        <f>IFERROR(O2266/N2266,0)</f>
        <v/>
      </c>
      <c r="T2266">
        <f>IF(C2266,(H2266*N2266*IF(AND(Inputs!$B$38&lt;&gt;"pvp",Inputs!$B$43&gt;0),((Skills!G11*((R2266-1)*IF(Skills!H11&gt;0,INT(Skills!I11/Skills!H11+0.000000001),1)+IF(Skills!H11&gt;0,INT(MIN(Skills!I11,MAX(0,MAX(0,Inputs!$B$43-B2291)-((R2266-1)*(IF(Inputs!$B$38="pvp",15,MAX(0.1,Skills!D11-IF(TRUE=TRUE,Inputs!$B$32,0)))*(1-IF(AND(ArtifactsInput!$M$27,Inputs!$B$4="Chapter Hunt"),CHOOSE(ArtifactsInput!$N$27+1,20,24,28,32,36,40),0)/100)))))/Skills!H11+0.000000001),1)))/Inputs!$B$43),G2266*Q2266))*IF(Inputs!$B$38="pvp",1,1+(Inputs!$B$20+0+Skills!P11+(((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INT(Skills!I11/Skills!H11+0.000000001),1)+IF(Skills!H11&gt;0,INT(MIN(Skills!I11,MAX(0,MAX(0,Inputs!$B$43-B2291)-((R2266-1)*(IF(Inputs!$B$38="pvp",15,MAX(0.1,Skills!D11-IF(TRUE=TRUE,Inputs!$B$32,0)))*(1-IF(AND(ArtifactsInput!$M$27,Inputs!$B$4="Chapter Hunt"),CHOOSE(ArtifactsInput!$N$27+1,20,24,28,32,36,40),0)/100)))))/Skills!H11+0.000000001),1)))/Inputs!$B$43),G2266*Q2266))*IF(Inputs!$B$38="pvp",1,(1+(Inputs!$B$21+Skills!Q11+(((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Skills!G13*IF(Skills!H13&gt;0,INT(IF(Inputs!$B$38="pvp",MIN(Skills!I13,15),Skills!I13)/Skills!H13+0.000000001),1)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Skills!G14*IF(Skills!H14&gt;0,INT(IF(Inputs!$B$38="pvp",MIN(Skills!I14,15),Skills!I14)/Skills!H14+0.000000001),1)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Skills!G15*IF(Skills!H15&gt;0,INT(IF(Inputs!$B$38="pvp",MIN(Skills!I15,15),Skills!I15)/Skills!H15+0.000000001),1)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IFERROR(1/(IF(Inputs!$B$38="pvp",15,MAX(0.1,Skills!D15-IF(TRUE=TRUE,Inputs!$B$32,0)))*(1-IF(AND(ArtifactsInput!$M$27,Inputs!$B$4="Chapter Hunt"),CHOOSE(ArtifactsInput!$N$27+1,20,24,28,32,36,40),0)/100)),0)</f>
        <v/>
      </c>
      <c r="R2270">
        <f>IF(AND(Inputs!$B$38&lt;&gt;"pvp",Inputs!$B$43&gt;0),IF(Inputs!$B$43&lt;=0,0,(INT(Inputs!$B$43/(IF(Inputs!$B$38="pvp",15,MAX(0.1,Skills!D15-IF(TRUE=TRUE,Inputs!$B$32,0)))*(1-IF(AND(ArtifactsInput!$M$27,Inputs!$B$4="Chapter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Skills!G16*IF(Skills!H16&gt;0,INT(IF(Inputs!$B$38="pvp",MIN(Skills!I16,15),Skills!I16)/Skills!H16+0.000000001),1)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IFERROR(1/(IF(Inputs!$B$38="pvp",15,MAX(0.1,Skills!D16-IF(TRUE=TRUE,Inputs!$B$32,0)))*(1-IF(AND(ArtifactsInput!$M$27,Inputs!$B$4="Chapter Hunt"),CHOOSE(ArtifactsInput!$N$27+1,20,24,28,32,36,40),0)/100)),0)</f>
        <v/>
      </c>
      <c r="R2271">
        <f>IF(AND(Inputs!$B$38&lt;&gt;"pvp",Inputs!$B$43&gt;0),IF(Inputs!$B$43&lt;=0,0,(INT(Inputs!$B$43/(IF(Inputs!$B$38="pvp",15,MAX(0.1,Skills!D16-IF(TRUE=TRUE,Inputs!$B$32,0)))*(1-IF(AND(ArtifactsInput!$M$27,Inputs!$B$4="Chapter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Skills!G17*IF(Skills!H17&gt;0,INT(IF(Inputs!$B$38="pvp",MIN(Skills!I17,15),Skills!I17)/Skills!H17+0.000000001),1)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IFERROR(1/(IF(Inputs!$B$38="pvp",15,MAX(0.1,Skills!D17-IF(TRUE=TRUE,Inputs!$B$32,0)))*(1-IF(AND(ArtifactsInput!$M$27,Inputs!$B$4="Chapter Hunt"),CHOOSE(ArtifactsInput!$N$27+1,20,24,28,32,36,40),0)/100)),0)</f>
        <v/>
      </c>
      <c r="R2272">
        <f>IF(AND(Inputs!$B$38&lt;&gt;"pvp",Inputs!$B$43&gt;0),IF(Inputs!$B$43&lt;=0,0,(INT(Inputs!$B$43/(IF(Inputs!$B$38="pvp",15,MAX(0.1,Skills!D17-IF(TRUE=TRUE,Inputs!$B$32,0)))*(1-IF(AND(ArtifactsInput!$M$27,Inputs!$B$4="Chapter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Skills!G18*IF(Skills!H18&gt;0,INT(IF(Inputs!$B$38="pvp",MIN(Skills!I18,15),Skills!I18)/Skills!H18+0.000000001),1)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IFERROR(1/(IF(Inputs!$B$38="pvp",15,MAX(0.1,Skills!D18-IF(TRUE=TRUE,Inputs!$B$32,0)))*(1-IF(AND(ArtifactsInput!$M$27,Inputs!$B$4="Chapter Hunt"),CHOOSE(ArtifactsInput!$N$27+1,20,24,28,32,36,40),0)/100)),0)</f>
        <v/>
      </c>
      <c r="R2273">
        <f>IF(AND(Inputs!$B$38&lt;&gt;"pvp",Inputs!$B$43&gt;0),IF(Inputs!$B$43&lt;=0,0,(INT(Inputs!$B$43/(IF(Inputs!$B$38="pvp",15,MAX(0.1,Skills!D18-IF(TRUE=TRUE,Inputs!$B$32,0)))*(1-IF(AND(ArtifactsInput!$M$27,Inputs!$B$4="Chapter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Skills!G19*IF(Skills!H19&gt;0,INT(IF(Inputs!$B$38="pvp",MIN(Skills!I19,15),Skills!I19)/Skills!H19+0.000000001),1)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IFERROR(1/(IF(Inputs!$B$38="pvp",15,MAX(0.1,Skills!D19-IF(TRUE=TRUE,Inputs!$B$32,0)))*(1-IF(AND(ArtifactsInput!$M$27,Inputs!$B$4="Chapter Hunt"),CHOOSE(ArtifactsInput!$N$27+1,20,24,28,32,36,40),0)/100)),0)</f>
        <v/>
      </c>
      <c r="R2274">
        <f>IF(AND(Inputs!$B$38&lt;&gt;"pvp",Inputs!$B$43&gt;0),IF(Inputs!$B$43&lt;=0,0,(INT(Inputs!$B$43/(IF(Inputs!$B$38="pvp",15,MAX(0.1,Skills!D19-IF(TRUE=TRUE,Inputs!$B$32,0)))*(1-IF(AND(ArtifactsInput!$M$27,Inputs!$B$4="Chapter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Skills!G20*IF(Skills!H20&gt;0,INT(IF(Inputs!$B$38="pvp",MIN(Skills!I20,15),Skills!I20)/Skills!H20+0.000000001),1)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Skills!G21*IF(Skills!H21&gt;0,INT(IF(Inputs!$B$38="pvp",MIN(Skills!I21,15),Skills!I21)/Skills!H21+0.000000001),1)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Skills!G22*IF(Skills!H22&gt;0,INT(IF(Inputs!$B$38="pvp",MIN(Skills!I22,15),Skills!I22)/Skills!H22+0.000000001),1)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Skills!G23*IF(Skills!H23&gt;0,INT(IF(Inputs!$B$38="pvp",MIN(Skills!I23,15),Skills!I23)/Skills!H23+0.000000001),1)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Skills!G24*IF(Skills!H24&gt;0,INT(IF(Inputs!$B$38="pvp",MIN(Skills!I24,15),Skills!I24)/Skills!H24+0.000000001),1)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Skills!G25*IF(Skills!H25&gt;0,INT(IF(Inputs!$B$38="pvp",MIN(Skills!I25,15),Skills!I25)/Skills!H25+0.000000001),1)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Skills!G26*IF(Skills!H26&gt;0,INT(IF(Inputs!$B$38="pvp",MIN(Skills!I26,15),Skills!I26)/Skills!H26+0.000000001),1)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MIN((Skills!T19*(1+(Inputs!$B$34+(ArtifactsInput!$M$7-ArtifactsInput!$M$7)*CHOOSE(ArtifactsInput!$N$7+1,6,7.2,8.4,9.6,10.8,12))/100)),(1/Q2274))+MIN((Skills!T19*(1+(Inputs!$B$34+(ArtifactsInput!$M$7-ArtifactsInput!$M$7)*CHOOSE(ArtifactsInput!$N$7+1,6,7.2,8.4,9.6,10.8,12))/100)),MAX(0,Inputs!$B$43-((R2274-1)*(1/Q2274)))))/Inputs!$B$43),IF(Inputs!$B$38="pvp",MIN((Skills!T19*(1+(Inputs!$B$34+(ArtifactsInput!$M$7-ArtifactsInput!$M$7)*CHOOSE(ArtifactsInput!$N$7+1,6,7.2,8.4,9.6,10.8,12))/100)),15)/15,MIN(1,(Skills!T19*(1+(Inputs!$B$34+(ArtifactsInput!$M$7-ArtifactsInput!$M$7)*CHOOSE(ArtifactsInput!$N$7+1,6,7.2,8.4,9.6,10.8,12))/100))/(1/Q2274)))))</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MIN((Skills!T18*(1+(Inputs!$B$34+(ArtifactsInput!$M$7-ArtifactsInput!$M$7)*CHOOSE(ArtifactsInput!$N$7+1,6,7.2,8.4,9.6,10.8,12))/100)),(1/Q2273))+MIN((Skills!T18*(1+(Inputs!$B$34+(ArtifactsInput!$M$7-ArtifactsInput!$M$7)*CHOOSE(ArtifactsInput!$N$7+1,6,7.2,8.4,9.6,10.8,12))/100)),MAX(0,Inputs!$B$43-((R2273-1)*(1/Q2273)))))/Inputs!$B$43),IF(Inputs!$B$38="pvp",MIN((Skills!T18*(1+(Inputs!$B$34+(ArtifactsInput!$M$7-ArtifactsInput!$M$7)*CHOOSE(ArtifactsInput!$N$7+1,6,7.2,8.4,9.6,10.8,12))/100)),15)/15,MIN(1,(Skills!T18*(1+(Inputs!$B$34+(ArtifactsInput!$M$7-ArtifactsInput!$M$7)*CHOOSE(ArtifactsInput!$N$7+1,6,7.2,8.4,9.6,10.8,12))/100))/(1/Q2273)))))</f>
        <v/>
      </c>
    </row>
    <row r="2290">
      <c r="A2290" t="inlineStr">
        <is>
          <t>Global Final Damage Bonus % (Enrage + Combo Synergy)</t>
        </is>
      </c>
      <c r="B2290">
        <f>((C2272=TRUE)*F2272*IF(AND(Inputs!$B$38&lt;&gt;"pvp",Inputs!$B$43&gt;0),(((R2272-1)*MIN((Skills!T17*(1+(Inputs!$B$34+(ArtifactsInput!$M$7-ArtifactsInput!$M$7)*CHOOSE(ArtifactsInput!$N$7+1,6,7.2,8.4,9.6,10.8,12))/100)),(1/Q2272))+MIN((Skills!T17*(1+(Inputs!$B$34+(ArtifactsInput!$M$7-ArtifactsInput!$M$7)*CHOOSE(ArtifactsInput!$N$7+1,6,7.2,8.4,9.6,10.8,12))/100)),MAX(0,Inputs!$B$43-((R2272-1)*(1/Q2272)))))/Inputs!$B$43),IF(Inputs!$B$38="pvp",MIN((Skills!T17*(1+(Inputs!$B$34+(ArtifactsInput!$M$7-ArtifactsInput!$M$7)*CHOOSE(ArtifactsInput!$N$7+1,6,7.2,8.4,9.6,10.8,12))/100)),15)/15,MIN(1,(Skills!T17*(1+(Inputs!$B$34+(ArtifactsInput!$M$7-ArtifactsInput!$M$7)*CHOOSE(ArtifactsInput!$N$7+1,6,7.2,8.4,9.6,10.8,12))/100))/(1/Q2272)))))+((C2269=TRUE)*F2269*IF(Inputs!$B$3&gt;=118,8,IF(Inputs!$B$3&gt;=110,7,5)))+IF(Inputs!$B$3&gt;=98,5,0)</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Skills!G2*IF(Skills!H2&gt;0,INT(IF(Inputs!$B$38="pvp",MIN(Skills!I2,15),Skills!I2)/Skills!H2+0.000000001),1)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138,MAX(0,IF(Inputs!$B$3&gt;=118,8,IF(Inputs!$B$3&gt;=110,7,5))-5)*50,0),0)/100)*(1+(IF(Skills!A2="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Skills!G5*IF(Skills!H5&gt;0,INT(IF(Inputs!$B$38="pvp",MIN(Skills!I5,15),Skills!I5)/Skills!H5+0.000000001),1)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138,MAX(0,IF(Inputs!$B$3&gt;=118,8,IF(Inputs!$B$3&gt;=110,7,5))-5)*50,0),0)/100)*(1+(IF(Skills!A5="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IFERROR(1/(IF(Inputs!$B$38="pvp",15,MAX(0.1,Skills!D5-IF(TRUE=TRUE,Inputs!$B$32,0)))*(1-IF(AND(ArtifactsInput!$M$27,Inputs!$B$4="Chapter Hunt"),CHOOSE(ArtifactsInput!$N$27+1,20,24,28,32,36,40),0)/100)),0)</f>
        <v/>
      </c>
      <c r="R2302">
        <f>IF(AND(Inputs!$B$38&lt;&gt;"pvp",Inputs!$B$43&gt;0),IF(MAX(0,Inputs!$B$43-B2333)&lt;=0,0,(INT(MAX(0,Inputs!$B$43-B2333)/(IF(Inputs!$B$38="pvp",15,MAX(0.1,Skills!D5-IF(TRUE=TRUE,Inputs!$B$32,0)))*(1-IF(AND(ArtifactsInput!$M$27,Inputs!$B$4="Chapter Hunt"),CHOOSE(ArtifactsInput!$N$27+1,20,24,28,32,36,40),0)/100)))+1)),0)</f>
        <v/>
      </c>
      <c r="S2302">
        <f>IFERROR(O2302/N2302,0)</f>
        <v/>
      </c>
      <c r="T2302">
        <f>IF(C2302,(H2302*N2302*IF(AND(Inputs!$B$38&lt;&gt;"pvp",Inputs!$B$43&gt;0),((Skills!G5*((R2302-1)*IF(Skills!H5&gt;0,INT(Skills!I5/Skills!H5+0.000000001),1)+IF(Skills!H5&gt;0,INT(MIN(Skills!I5,MAX(0,MAX(0,Inputs!$B$43-B2333)-((R2302-1)*(IF(Inputs!$B$38="pvp",15,MAX(0.1,Skills!D5-IF(TRUE=TRUE,Inputs!$B$32,0)))*(1-IF(AND(ArtifactsInput!$M$27,Inputs!$B$4="Chapter Hunt"),CHOOSE(ArtifactsInput!$N$27+1,20,24,28,32,36,40),0)/100)))))/Skills!H5+0.000000001),1)))/Inputs!$B$43),G2302*Q2302))*IF(Inputs!$B$38="pvp",1,1+(Inputs!$B$20+0+Skills!P5+(((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INT(Skills!I5/Skills!H5+0.000000001),1)+IF(Skills!H5&gt;0,INT(MIN(Skills!I5,MAX(0,MAX(0,Inputs!$B$43-B2333)-((R2302-1)*(IF(Inputs!$B$38="pvp",15,MAX(0.1,Skills!D5-IF(TRUE=TRUE,Inputs!$B$32,0)))*(1-IF(AND(ArtifactsInput!$M$27,Inputs!$B$4="Chapter Hunt"),CHOOSE(ArtifactsInput!$N$27+1,20,24,28,32,36,40),0)/100)))))/Skills!H5+0.000000001),1)))/Inputs!$B$43),G2302*Q2302))*IF(Inputs!$B$38="pvp",1,(1+(Inputs!$B$21+Skills!Q5+(((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Skills!G6*IF(Skills!H6&gt;0,INT(IF(Inputs!$B$38="pvp",MIN(Skills!I6,15),Skills!I6)/Skills!H6+0.000000001),1)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138,MAX(0,IF(Inputs!$B$3&gt;=118,8,IF(Inputs!$B$3&gt;=110,7,5))-5)*50,0),0)/100)*(1+(IF(Skills!A6="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IFERROR(1/(IF(Inputs!$B$38="pvp",15,MAX(0.1,Skills!D6-IF(TRUE=TRUE,Inputs!$B$32,0)))*(1-IF(AND(ArtifactsInput!$M$27,Inputs!$B$4="Chapter Hunt"),CHOOSE(ArtifactsInput!$N$27+1,20,24,28,32,36,40),0)/100)),0)</f>
        <v/>
      </c>
      <c r="R2303">
        <f>IF(AND(Inputs!$B$38&lt;&gt;"pvp",Inputs!$B$43&gt;0),IF(MAX(0,Inputs!$B$43-B2333)&lt;=0,0,(INT(MAX(0,Inputs!$B$43-B2333)/(IF(Inputs!$B$38="pvp",15,MAX(0.1,Skills!D6-IF(TRUE=TRUE,Inputs!$B$32,0)))*(1-IF(AND(ArtifactsInput!$M$27,Inputs!$B$4="Chapter Hunt"),CHOOSE(ArtifactsInput!$N$27+1,20,24,28,32,36,40),0)/100)))+1)),0)</f>
        <v/>
      </c>
      <c r="S2303">
        <f>IFERROR(O2303/N2303,0)</f>
        <v/>
      </c>
      <c r="T2303">
        <f>IF(C2303,(H2303*N2303*IF(AND(Inputs!$B$38&lt;&gt;"pvp",Inputs!$B$43&gt;0),((Skills!G6*((R2303-1)*IF(Skills!H6&gt;0,INT(Skills!I6/Skills!H6+0.000000001),1)+IF(Skills!H6&gt;0,INT(MIN(Skills!I6,MAX(0,MAX(0,Inputs!$B$43-B2333)-((R2303-1)*(IF(Inputs!$B$38="pvp",15,MAX(0.1,Skills!D6-IF(TRUE=TRUE,Inputs!$B$32,0)))*(1-IF(AND(ArtifactsInput!$M$27,Inputs!$B$4="Chapter Hunt"),CHOOSE(ArtifactsInput!$N$27+1,20,24,28,32,36,40),0)/100)))))/Skills!H6+0.000000001),1)))/Inputs!$B$43),G2303*Q2303))*IF(Inputs!$B$38="pvp",1,1+(Inputs!$B$20+0+Skills!P6+(((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INT(Skills!I6/Skills!H6+0.000000001),1)+IF(Skills!H6&gt;0,INT(MIN(Skills!I6,MAX(0,MAX(0,Inputs!$B$43-B2333)-((R2303-1)*(IF(Inputs!$B$38="pvp",15,MAX(0.1,Skills!D6-IF(TRUE=TRUE,Inputs!$B$32,0)))*(1-IF(AND(ArtifactsInput!$M$27,Inputs!$B$4="Chapter Hunt"),CHOOSE(ArtifactsInput!$N$27+1,20,24,28,32,36,40),0)/100)))))/Skills!H6+0.000000001),1)))/Inputs!$B$43),G2303*Q2303))*IF(Inputs!$B$38="pvp",1,(1+(Inputs!$B$21+Skills!Q6+(((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Skills!G7*IF(Skills!H7&gt;0,INT(IF(Inputs!$B$38="pvp",MIN(Skills!I7,15),Skills!I7)/Skills!H7+0.000000001),1)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138,MAX(0,IF(Inputs!$B$3&gt;=118,8,IF(Inputs!$B$3&gt;=110,7,5))-5)*50,0),0)/100)*(1+(IF(Skills!A7="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IFERROR(1/(IF(Inputs!$B$38="pvp",15,MAX(0.1,Skills!D7-IF(TRUE=TRUE,Inputs!$B$32,0)))*(1-IF(AND(ArtifactsInput!$M$27,Inputs!$B$4="Chapter Hunt"),CHOOSE(ArtifactsInput!$N$27+1,20,24,28,32,36,40),0)/100)),0)</f>
        <v/>
      </c>
      <c r="R2304">
        <f>IF(AND(Inputs!$B$38&lt;&gt;"pvp",Inputs!$B$43&gt;0),IF(MAX(0,Inputs!$B$43-B2333)&lt;=0,0,(INT(MAX(0,Inputs!$B$43-B2333)/(IF(Inputs!$B$38="pvp",15,MAX(0.1,Skills!D7-IF(TRUE=TRUE,Inputs!$B$32,0)))*(1-IF(AND(ArtifactsInput!$M$27,Inputs!$B$4="Chapter Hunt"),CHOOSE(ArtifactsInput!$N$27+1,20,24,28,32,36,40),0)/100)))+1)),0)</f>
        <v/>
      </c>
      <c r="S2304">
        <f>IFERROR(O2304/N2304,0)</f>
        <v/>
      </c>
      <c r="T2304">
        <f>IF(C2304,(H2304*N2304*IF(AND(Inputs!$B$38&lt;&gt;"pvp",Inputs!$B$43&gt;0),((Skills!G7*((R2304-1)*IF(Skills!H7&gt;0,INT(Skills!I7/Skills!H7+0.000000001),1)+IF(Skills!H7&gt;0,INT(MIN(Skills!I7,MAX(0,MAX(0,Inputs!$B$43-B2333)-((R2304-1)*(IF(Inputs!$B$38="pvp",15,MAX(0.1,Skills!D7-IF(TRUE=TRUE,Inputs!$B$32,0)))*(1-IF(AND(ArtifactsInput!$M$27,Inputs!$B$4="Chapter Hunt"),CHOOSE(ArtifactsInput!$N$27+1,20,24,28,32,36,40),0)/100)))))/Skills!H7+0.000000001),1)))/Inputs!$B$43),G2304*Q2304))*IF(Inputs!$B$38="pvp",1,1+(Inputs!$B$20+0+Skills!P7+(((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INT(Skills!I7/Skills!H7+0.000000001),1)+IF(Skills!H7&gt;0,INT(MIN(Skills!I7,MAX(0,MAX(0,Inputs!$B$43-B2333)-((R2304-1)*(IF(Inputs!$B$38="pvp",15,MAX(0.1,Skills!D7-IF(TRUE=TRUE,Inputs!$B$32,0)))*(1-IF(AND(ArtifactsInput!$M$27,Inputs!$B$4="Chapter Hunt"),CHOOSE(ArtifactsInput!$N$27+1,20,24,28,32,36,40),0)/100)))))/Skills!H7+0.000000001),1)))/Inputs!$B$43),G2304*Q2304))*IF(Inputs!$B$38="pvp",1,(1+(Inputs!$B$21+Skills!Q7+(((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Skills!G8*IF(Skills!H8&gt;0,INT(IF(Inputs!$B$38="pvp",MIN(Skills!I8,15),Skills!I8)/Skills!H8+0.000000001),1)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138,MAX(0,IF(Inputs!$B$3&gt;=118,8,IF(Inputs!$B$3&gt;=110,7,5))-5)*50,0),0)/100)*(1+(IF(Skills!A8="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IFERROR(1/(IF(Inputs!$B$38="pvp",15,MAX(0.1,Skills!D8-IF(TRUE=TRUE,Inputs!$B$32,0)))*(1-IF(AND(ArtifactsInput!$M$27,Inputs!$B$4="Chapter Hunt"),CHOOSE(ArtifactsInput!$N$27+1,20,24,28,32,36,40),0)/100)),0)</f>
        <v/>
      </c>
      <c r="R2305">
        <f>IF(AND(Inputs!$B$38&lt;&gt;"pvp",Inputs!$B$43&gt;0),IF(MAX(0,Inputs!$B$43-B2333)&lt;=0,0,(INT(MAX(0,Inputs!$B$43-B2333)/(IF(Inputs!$B$38="pvp",15,MAX(0.1,Skills!D8-IF(TRUE=TRUE,Inputs!$B$32,0)))*(1-IF(AND(ArtifactsInput!$M$27,Inputs!$B$4="Chapter Hunt"),CHOOSE(ArtifactsInput!$N$27+1,20,24,28,32,36,40),0)/100)))+1)),0)</f>
        <v/>
      </c>
      <c r="S2305">
        <f>IFERROR(O2305/N2305,0)</f>
        <v/>
      </c>
      <c r="T2305">
        <f>IF(C2305,(H2305*N2305*IF(AND(Inputs!$B$38&lt;&gt;"pvp",Inputs!$B$43&gt;0),((Skills!G8*((R2305-1)*IF(Skills!H8&gt;0,INT(Skills!I8/Skills!H8+0.000000001),1)+IF(Skills!H8&gt;0,INT(MIN(Skills!I8,MAX(0,MAX(0,Inputs!$B$43-B2333)-((R2305-1)*(IF(Inputs!$B$38="pvp",15,MAX(0.1,Skills!D8-IF(TRUE=TRUE,Inputs!$B$32,0)))*(1-IF(AND(ArtifactsInput!$M$27,Inputs!$B$4="Chapter Hunt"),CHOOSE(ArtifactsInput!$N$27+1,20,24,28,32,36,40),0)/100)))))/Skills!H8+0.000000001),1)))/Inputs!$B$43),G2305*Q2305))*IF(Inputs!$B$38="pvp",1,1+(Inputs!$B$20+0+Skills!P8+(((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INT(Skills!I8/Skills!H8+0.000000001),1)+IF(Skills!H8&gt;0,INT(MIN(Skills!I8,MAX(0,MAX(0,Inputs!$B$43-B2333)-((R2305-1)*(IF(Inputs!$B$38="pvp",15,MAX(0.1,Skills!D8-IF(TRUE=TRUE,Inputs!$B$32,0)))*(1-IF(AND(ArtifactsInput!$M$27,Inputs!$B$4="Chapter Hunt"),CHOOSE(ArtifactsInput!$N$27+1,20,24,28,32,36,40),0)/100)))))/Skills!H8+0.000000001),1)))/Inputs!$B$43),G2305*Q2305))*IF(Inputs!$B$38="pvp",1,(1+(Inputs!$B$21+Skills!Q8+(((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Skills!G9*IF(Skills!H9&gt;0,INT(IF(Inputs!$B$38="pvp",MIN(Skills!I9,15),Skills!I9)/Skills!H9+0.000000001),1)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138,MAX(0,IF(Inputs!$B$3&gt;=118,8,IF(Inputs!$B$3&gt;=110,7,5))-5)*50,0),0)/100)*(1+(IF(Skills!A9="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IFERROR(1/(IF(Inputs!$B$38="pvp",15,MAX(0.1,Skills!D9-IF(TRUE=TRUE,Inputs!$B$32,0)))*(1-IF(AND(ArtifactsInput!$M$27,Inputs!$B$4="Chapter Hunt"),CHOOSE(ArtifactsInput!$N$27+1,20,24,28,32,36,40),0)/100)),0)</f>
        <v/>
      </c>
      <c r="R2306">
        <f>IF(AND(Inputs!$B$38&lt;&gt;"pvp",Inputs!$B$43&gt;0),IF(MAX(0,Inputs!$B$43-B2333)&lt;=0,0,(INT(MAX(0,Inputs!$B$43-B2333)/(IF(Inputs!$B$38="pvp",15,MAX(0.1,Skills!D9-IF(TRUE=TRUE,Inputs!$B$32,0)))*(1-IF(AND(ArtifactsInput!$M$27,Inputs!$B$4="Chapter Hunt"),CHOOSE(ArtifactsInput!$N$27+1,20,24,28,32,36,40),0)/100)))+1)),0)</f>
        <v/>
      </c>
      <c r="S2306">
        <f>IFERROR(O2306/N2306,0)</f>
        <v/>
      </c>
      <c r="T2306">
        <f>IF(C2306,(H2306*N2306*IF(AND(Inputs!$B$38&lt;&gt;"pvp",Inputs!$B$43&gt;0),((Skills!G9*((R2306-1)*IF(Skills!H9&gt;0,INT(Skills!I9/Skills!H9+0.000000001),1)+IF(Skills!H9&gt;0,INT(MIN(Skills!I9,MAX(0,MAX(0,Inputs!$B$43-B2333)-((R2306-1)*(IF(Inputs!$B$38="pvp",15,MAX(0.1,Skills!D9-IF(TRUE=TRUE,Inputs!$B$32,0)))*(1-IF(AND(ArtifactsInput!$M$27,Inputs!$B$4="Chapter Hunt"),CHOOSE(ArtifactsInput!$N$27+1,20,24,28,32,36,40),0)/100)))))/Skills!H9+0.000000001),1)))/Inputs!$B$43),G2306*Q2306))*IF(Inputs!$B$38="pvp",1,1+(Inputs!$B$20+0+Skills!P9+(((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INT(Skills!I9/Skills!H9+0.000000001),1)+IF(Skills!H9&gt;0,INT(MIN(Skills!I9,MAX(0,MAX(0,Inputs!$B$43-B2333)-((R2306-1)*(IF(Inputs!$B$38="pvp",15,MAX(0.1,Skills!D9-IF(TRUE=TRUE,Inputs!$B$32,0)))*(1-IF(AND(ArtifactsInput!$M$27,Inputs!$B$4="Chapter Hunt"),CHOOSE(ArtifactsInput!$N$27+1,20,24,28,32,36,40),0)/100)))))/Skills!H9+0.000000001),1)))/Inputs!$B$43),G2306*Q2306))*IF(Inputs!$B$38="pvp",1,(1+(Inputs!$B$21+Skills!Q9+(((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Skills!G10*IF(Skills!H10&gt;0,INT(IF(Inputs!$B$38="pvp",MIN(Skills!I10,15),Skills!I10)/Skills!H10+0.000000001),1)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138,MAX(0,IF(Inputs!$B$3&gt;=118,8,IF(Inputs!$B$3&gt;=110,7,5))-5)*50,0),0)/100)*(1+(IF(Skills!A10="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IFERROR(1/(IF(Inputs!$B$38="pvp",15,MAX(0.1,Skills!D10-IF(TRUE=TRUE,Inputs!$B$32,0)))*(1-IF(AND(ArtifactsInput!$M$27,Inputs!$B$4="Chapter Hunt"),CHOOSE(ArtifactsInput!$N$27+1,20,24,28,32,36,40),0)/100)),0)</f>
        <v/>
      </c>
      <c r="R2307">
        <f>IF(AND(Inputs!$B$38&lt;&gt;"pvp",Inputs!$B$43&gt;0),IF(MAX(0,Inputs!$B$43-B2333)&lt;=0,0,(INT(MAX(0,Inputs!$B$43-B2333)/(IF(Inputs!$B$38="pvp",15,MAX(0.1,Skills!D10-IF(TRUE=TRUE,Inputs!$B$32,0)))*(1-IF(AND(ArtifactsInput!$M$27,Inputs!$B$4="Chapter Hunt"),CHOOSE(ArtifactsInput!$N$27+1,20,24,28,32,36,40),0)/100)))+1)),0)</f>
        <v/>
      </c>
      <c r="S2307">
        <f>IFERROR(O2307/N2307,0)</f>
        <v/>
      </c>
      <c r="T2307">
        <f>IF(C2307,(H2307*N2307*IF(AND(Inputs!$B$38&lt;&gt;"pvp",Inputs!$B$43&gt;0),((Skills!G10*((R2307-1)*IF(Skills!H10&gt;0,INT(Skills!I10/Skills!H10+0.000000001),1)+IF(Skills!H10&gt;0,INT(MIN(Skills!I10,MAX(0,MAX(0,Inputs!$B$43-B2333)-((R2307-1)*(IF(Inputs!$B$38="pvp",15,MAX(0.1,Skills!D10-IF(TRUE=TRUE,Inputs!$B$32,0)))*(1-IF(AND(ArtifactsInput!$M$27,Inputs!$B$4="Chapter Hunt"),CHOOSE(ArtifactsInput!$N$27+1,20,24,28,32,36,40),0)/100)))))/Skills!H10+0.000000001),1)))/Inputs!$B$43),G2307*Q2307))*IF(Inputs!$B$38="pvp",1,1+(Inputs!$B$20+0+Skills!P10+(((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INT(Skills!I10/Skills!H10+0.000000001),1)+IF(Skills!H10&gt;0,INT(MIN(Skills!I10,MAX(0,MAX(0,Inputs!$B$43-B2333)-((R2307-1)*(IF(Inputs!$B$38="pvp",15,MAX(0.1,Skills!D10-IF(TRUE=TRUE,Inputs!$B$32,0)))*(1-IF(AND(ArtifactsInput!$M$27,Inputs!$B$4="Chapter Hunt"),CHOOSE(ArtifactsInput!$N$27+1,20,24,28,32,36,40),0)/100)))))/Skills!H10+0.000000001),1)))/Inputs!$B$43),G2307*Q2307))*IF(Inputs!$B$38="pvp",1,(1+(Inputs!$B$21+Skills!Q10+(((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Skills!G11*IF(Skills!H11&gt;0,INT(IF(Inputs!$B$38="pvp",MIN(Skills!I11,15),Skills!I11)/Skills!H11+0.000000001),1)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138,MAX(0,IF(Inputs!$B$3&gt;=118,8,IF(Inputs!$B$3&gt;=110,7,5))-5)*50,0),0)/100)*(1+(IF(Skills!A11="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IFERROR(1/(IF(Inputs!$B$38="pvp",15,MAX(0.1,Skills!D11-IF(TRUE=TRUE,Inputs!$B$32,0)))*(1-IF(AND(ArtifactsInput!$M$27,Inputs!$B$4="Chapter Hunt"),CHOOSE(ArtifactsInput!$N$27+1,20,24,28,32,36,40),0)/100)),0)</f>
        <v/>
      </c>
      <c r="R2308">
        <f>IF(AND(Inputs!$B$38&lt;&gt;"pvp",Inputs!$B$43&gt;0),IF(MAX(0,Inputs!$B$43-B2333)&lt;=0,0,(INT(MAX(0,Inputs!$B$43-B2333)/(IF(Inputs!$B$38="pvp",15,MAX(0.1,Skills!D11-IF(TRUE=TRUE,Inputs!$B$32,0)))*(1-IF(AND(ArtifactsInput!$M$27,Inputs!$B$4="Chapter Hunt"),CHOOSE(ArtifactsInput!$N$27+1,20,24,28,32,36,40),0)/100)))+1)),0)</f>
        <v/>
      </c>
      <c r="S2308">
        <f>IFERROR(O2308/N2308,0)</f>
        <v/>
      </c>
      <c r="T2308">
        <f>IF(C2308,(H2308*N2308*IF(AND(Inputs!$B$38&lt;&gt;"pvp",Inputs!$B$43&gt;0),((Skills!G11*((R2308-1)*IF(Skills!H11&gt;0,INT(Skills!I11/Skills!H11+0.000000001),1)+IF(Skills!H11&gt;0,INT(MIN(Skills!I11,MAX(0,MAX(0,Inputs!$B$43-B2333)-((R2308-1)*(IF(Inputs!$B$38="pvp",15,MAX(0.1,Skills!D11-IF(TRUE=TRUE,Inputs!$B$32,0)))*(1-IF(AND(ArtifactsInput!$M$27,Inputs!$B$4="Chapter Hunt"),CHOOSE(ArtifactsInput!$N$27+1,20,24,28,32,36,40),0)/100)))))/Skills!H11+0.000000001),1)))/Inputs!$B$43),G2308*Q2308))*IF(Inputs!$B$38="pvp",1,1+(Inputs!$B$20+0+Skills!P11+(((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INT(Skills!I11/Skills!H11+0.000000001),1)+IF(Skills!H11&gt;0,INT(MIN(Skills!I11,MAX(0,MAX(0,Inputs!$B$43-B2333)-((R2308-1)*(IF(Inputs!$B$38="pvp",15,MAX(0.1,Skills!D11-IF(TRUE=TRUE,Inputs!$B$32,0)))*(1-IF(AND(ArtifactsInput!$M$27,Inputs!$B$4="Chapter Hunt"),CHOOSE(ArtifactsInput!$N$27+1,20,24,28,32,36,40),0)/100)))))/Skills!H11+0.000000001),1)))/Inputs!$B$43),G2308*Q2308))*IF(Inputs!$B$38="pvp",1,(1+(Inputs!$B$21+Skills!Q11+(((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Skills!G13*IF(Skills!H13&gt;0,INT(IF(Inputs!$B$38="pvp",MIN(Skills!I13,15),Skills!I13)/Skills!H13+0.000000001),1)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Skills!G14*IF(Skills!H14&gt;0,INT(IF(Inputs!$B$38="pvp",MIN(Skills!I14,15),Skills!I14)/Skills!H14+0.000000001),1)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Skills!G15*IF(Skills!H15&gt;0,INT(IF(Inputs!$B$38="pvp",MIN(Skills!I15,15),Skills!I15)/Skills!H15+0.000000001),1)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IFERROR(1/(IF(Inputs!$B$38="pvp",15,MAX(0.1,Skills!D15-IF(TRUE=TRUE,Inputs!$B$32,0)))*(1-IF(AND(ArtifactsInput!$M$27,Inputs!$B$4="Chapter Hunt"),CHOOSE(ArtifactsInput!$N$27+1,20,24,28,32,36,40),0)/100)),0)</f>
        <v/>
      </c>
      <c r="R2312">
        <f>IF(AND(Inputs!$B$38&lt;&gt;"pvp",Inputs!$B$43&gt;0),IF(Inputs!$B$43&lt;=0,0,(INT(Inputs!$B$43/(IF(Inputs!$B$38="pvp",15,MAX(0.1,Skills!D15-IF(TRUE=TRUE,Inputs!$B$32,0)))*(1-IF(AND(ArtifactsInput!$M$27,Inputs!$B$4="Chapter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Skills!G16*IF(Skills!H16&gt;0,INT(IF(Inputs!$B$38="pvp",MIN(Skills!I16,15),Skills!I16)/Skills!H16+0.000000001),1)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IFERROR(1/(IF(Inputs!$B$38="pvp",15,MAX(0.1,Skills!D16-IF(TRUE=TRUE,Inputs!$B$32,0)))*(1-IF(AND(ArtifactsInput!$M$27,Inputs!$B$4="Chapter Hunt"),CHOOSE(ArtifactsInput!$N$27+1,20,24,28,32,36,40),0)/100)),0)</f>
        <v/>
      </c>
      <c r="R2313">
        <f>IF(AND(Inputs!$B$38&lt;&gt;"pvp",Inputs!$B$43&gt;0),IF(Inputs!$B$43&lt;=0,0,(INT(Inputs!$B$43/(IF(Inputs!$B$38="pvp",15,MAX(0.1,Skills!D16-IF(TRUE=TRUE,Inputs!$B$32,0)))*(1-IF(AND(ArtifactsInput!$M$27,Inputs!$B$4="Chapter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Skills!G17*IF(Skills!H17&gt;0,INT(IF(Inputs!$B$38="pvp",MIN(Skills!I17,15),Skills!I17)/Skills!H17+0.000000001),1)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IFERROR(1/(IF(Inputs!$B$38="pvp",15,MAX(0.1,Skills!D17-IF(TRUE=TRUE,Inputs!$B$32,0)))*(1-IF(AND(ArtifactsInput!$M$27,Inputs!$B$4="Chapter Hunt"),CHOOSE(ArtifactsInput!$N$27+1,20,24,28,32,36,40),0)/100)),0)</f>
        <v/>
      </c>
      <c r="R2314">
        <f>IF(AND(Inputs!$B$38&lt;&gt;"pvp",Inputs!$B$43&gt;0),IF(Inputs!$B$43&lt;=0,0,(INT(Inputs!$B$43/(IF(Inputs!$B$38="pvp",15,MAX(0.1,Skills!D17-IF(TRUE=TRUE,Inputs!$B$32,0)))*(1-IF(AND(ArtifactsInput!$M$27,Inputs!$B$4="Chapter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Skills!G18*IF(Skills!H18&gt;0,INT(IF(Inputs!$B$38="pvp",MIN(Skills!I18,15),Skills!I18)/Skills!H18+0.000000001),1)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IFERROR(1/(IF(Inputs!$B$38="pvp",15,MAX(0.1,Skills!D18-IF(TRUE=TRUE,Inputs!$B$32,0)))*(1-IF(AND(ArtifactsInput!$M$27,Inputs!$B$4="Chapter Hunt"),CHOOSE(ArtifactsInput!$N$27+1,20,24,28,32,36,40),0)/100)),0)</f>
        <v/>
      </c>
      <c r="R2315">
        <f>IF(AND(Inputs!$B$38&lt;&gt;"pvp",Inputs!$B$43&gt;0),IF(Inputs!$B$43&lt;=0,0,(INT(Inputs!$B$43/(IF(Inputs!$B$38="pvp",15,MAX(0.1,Skills!D18-IF(TRUE=TRUE,Inputs!$B$32,0)))*(1-IF(AND(ArtifactsInput!$M$27,Inputs!$B$4="Chapter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Skills!G19*IF(Skills!H19&gt;0,INT(IF(Inputs!$B$38="pvp",MIN(Skills!I19,15),Skills!I19)/Skills!H19+0.000000001),1)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IFERROR(1/(IF(Inputs!$B$38="pvp",15,MAX(0.1,Skills!D19-IF(TRUE=TRUE,Inputs!$B$32,0)))*(1-IF(AND(ArtifactsInput!$M$27,Inputs!$B$4="Chapter Hunt"),CHOOSE(ArtifactsInput!$N$27+1,20,24,28,32,36,40),0)/100)),0)</f>
        <v/>
      </c>
      <c r="R2316">
        <f>IF(AND(Inputs!$B$38&lt;&gt;"pvp",Inputs!$B$43&gt;0),IF(Inputs!$B$43&lt;=0,0,(INT(Inputs!$B$43/(IF(Inputs!$B$38="pvp",15,MAX(0.1,Skills!D19-IF(TRUE=TRUE,Inputs!$B$32,0)))*(1-IF(AND(ArtifactsInput!$M$27,Inputs!$B$4="Chapter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Skills!G20*IF(Skills!H20&gt;0,INT(IF(Inputs!$B$38="pvp",MIN(Skills!I20,15),Skills!I20)/Skills!H20+0.000000001),1)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Skills!G21*IF(Skills!H21&gt;0,INT(IF(Inputs!$B$38="pvp",MIN(Skills!I21,15),Skills!I21)/Skills!H21+0.000000001),1)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Skills!G22*IF(Skills!H22&gt;0,INT(IF(Inputs!$B$38="pvp",MIN(Skills!I22,15),Skills!I22)/Skills!H22+0.000000001),1)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Skills!G23*IF(Skills!H23&gt;0,INT(IF(Inputs!$B$38="pvp",MIN(Skills!I23,15),Skills!I23)/Skills!H23+0.000000001),1)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Skills!G24*IF(Skills!H24&gt;0,INT(IF(Inputs!$B$38="pvp",MIN(Skills!I24,15),Skills!I24)/Skills!H24+0.000000001),1)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Skills!G25*IF(Skills!H25&gt;0,INT(IF(Inputs!$B$38="pvp",MIN(Skills!I25,15),Skills!I25)/Skills!H25+0.000000001),1)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Skills!G26*IF(Skills!H26&gt;0,INT(IF(Inputs!$B$38="pvp",MIN(Skills!I26,15),Skills!I26)/Skills!H26+0.000000001),1)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MIN((Skills!T19*(1+(Inputs!$B$34+(ArtifactsInput!$M$7-ArtifactsInput!$M$7)*CHOOSE(ArtifactsInput!$N$7+1,6,7.2,8.4,9.6,10.8,12))/100)),(1/Q2316))+MIN((Skills!T19*(1+(Inputs!$B$34+(ArtifactsInput!$M$7-ArtifactsInput!$M$7)*CHOOSE(ArtifactsInput!$N$7+1,6,7.2,8.4,9.6,10.8,12))/100)),MAX(0,Inputs!$B$43-((R2316-1)*(1/Q2316)))))/Inputs!$B$43),IF(Inputs!$B$38="pvp",MIN((Skills!T19*(1+(Inputs!$B$34+(ArtifactsInput!$M$7-ArtifactsInput!$M$7)*CHOOSE(ArtifactsInput!$N$7+1,6,7.2,8.4,9.6,10.8,12))/100)),15)/15,MIN(1,(Skills!T19*(1+(Inputs!$B$34+(ArtifactsInput!$M$7-ArtifactsInput!$M$7)*CHOOSE(ArtifactsInput!$N$7+1,6,7.2,8.4,9.6,10.8,12))/100))/(1/Q2316)))))</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MIN((Skills!T18*(1+(Inputs!$B$34+(ArtifactsInput!$M$7-ArtifactsInput!$M$7)*CHOOSE(ArtifactsInput!$N$7+1,6,7.2,8.4,9.6,10.8,12))/100)),(1/Q2315))+MIN((Skills!T18*(1+(Inputs!$B$34+(ArtifactsInput!$M$7-ArtifactsInput!$M$7)*CHOOSE(ArtifactsInput!$N$7+1,6,7.2,8.4,9.6,10.8,12))/100)),MAX(0,Inputs!$B$43-((R2315-1)*(1/Q2315)))))/Inputs!$B$43),IF(Inputs!$B$38="pvp",MIN((Skills!T18*(1+(Inputs!$B$34+(ArtifactsInput!$M$7-ArtifactsInput!$M$7)*CHOOSE(ArtifactsInput!$N$7+1,6,7.2,8.4,9.6,10.8,12))/100)),15)/15,MIN(1,(Skills!T18*(1+(Inputs!$B$34+(ArtifactsInput!$M$7-ArtifactsInput!$M$7)*CHOOSE(ArtifactsInput!$N$7+1,6,7.2,8.4,9.6,10.8,12))/100))/(1/Q2315)))))</f>
        <v/>
      </c>
    </row>
    <row r="2332">
      <c r="A2332" t="inlineStr">
        <is>
          <t>Global Final Damage Bonus % (Enrage + Combo Synergy)</t>
        </is>
      </c>
      <c r="B2332">
        <f>((C2314=TRUE)*F2314*IF(AND(Inputs!$B$38&lt;&gt;"pvp",Inputs!$B$43&gt;0),(((R2314-1)*MIN((Skills!T17*(1+(Inputs!$B$34+(ArtifactsInput!$M$7-ArtifactsInput!$M$7)*CHOOSE(ArtifactsInput!$N$7+1,6,7.2,8.4,9.6,10.8,12))/100)),(1/Q2314))+MIN((Skills!T17*(1+(Inputs!$B$34+(ArtifactsInput!$M$7-ArtifactsInput!$M$7)*CHOOSE(ArtifactsInput!$N$7+1,6,7.2,8.4,9.6,10.8,12))/100)),MAX(0,Inputs!$B$43-((R2314-1)*(1/Q2314)))))/Inputs!$B$43),IF(Inputs!$B$38="pvp",MIN((Skills!T17*(1+(Inputs!$B$34+(ArtifactsInput!$M$7-ArtifactsInput!$M$7)*CHOOSE(ArtifactsInput!$N$7+1,6,7.2,8.4,9.6,10.8,12))/100)),15)/15,MIN(1,(Skills!T17*(1+(Inputs!$B$34+(ArtifactsInput!$M$7-ArtifactsInput!$M$7)*CHOOSE(ArtifactsInput!$N$7+1,6,7.2,8.4,9.6,10.8,12))/100))/(1/Q2314)))))+((C2311=TRUE)*F2311*IF(Inputs!$B$3&gt;=118,8,IF(Inputs!$B$3&gt;=110,7,5)))+IF(Inputs!$B$3&gt;=98,5,0)</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Skills!G2*IF(Skills!H2&gt;0,INT(IF(Inputs!$B$38="pvp",MIN(Skills!I2,15),Skills!I2)/Skills!H2+0.000000001),1)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Skills!G5*IF(Skills!H5&gt;0,INT(IF(Inputs!$B$38="pvp",MIN(Skills!I5,15),Skills!I5)/Skills!H5+0.000000001),1)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IFERROR(1/(IF(Inputs!$B$38="pvp",15,MAX(0.1,Skills!D5-IF(TRUE=TRUE,Inputs!$B$32,0)))*(1-IF(AND(ArtifactsInput!$M$27,Inputs!$B$4="Chapter Hunt"),CHOOSE(ArtifactsInput!$N$27+1,20,24,28,32,36,40),0)/100)),0)</f>
        <v/>
      </c>
      <c r="R2344">
        <f>IF(AND(Inputs!$B$38&lt;&gt;"pvp",Inputs!$B$43&gt;0),IF(MAX(0,Inputs!$B$43-B2375)&lt;=0,0,(INT(MAX(0,Inputs!$B$43-B2375)/(IF(Inputs!$B$38="pvp",15,MAX(0.1,Skills!D5-IF(TRUE=TRUE,Inputs!$B$32,0)))*(1-IF(AND(ArtifactsInput!$M$27,Inputs!$B$4="Chapter Hunt"),CHOOSE(ArtifactsInput!$N$27+1,20,24,28,32,36,40),0)/100)))+1)),0)</f>
        <v/>
      </c>
      <c r="S2344">
        <f>IFERROR(O2344/N2344,0)</f>
        <v/>
      </c>
      <c r="T2344">
        <f>IF(C2344,(H2344*N2344*IF(AND(Inputs!$B$38&lt;&gt;"pvp",Inputs!$B$43&gt;0),((Skills!G5*((R2344-1)*IF(Skills!H5&gt;0,INT(Skills!I5/Skills!H5+0.000000001),1)+IF(Skills!H5&gt;0,INT(MIN(Skills!I5,MAX(0,MAX(0,Inputs!$B$43-B2375)-((R2344-1)*(IF(Inputs!$B$38="pvp",15,MAX(0.1,Skills!D5-IF(TRUE=TRUE,Inputs!$B$32,0)))*(1-IF(AND(ArtifactsInput!$M$27,Inputs!$B$4="Chapter Hunt"),CHOOSE(ArtifactsInput!$N$27+1,20,24,28,32,36,40),0)/100)))))/Skills!H5+0.000000001),1)))/Inputs!$B$43),G2344*Q2344))*IF(Inputs!$B$38="pvp",1,1+(Inputs!$B$20+0+Skills!P5+(((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INT(Skills!I5/Skills!H5+0.000000001),1)+IF(Skills!H5&gt;0,INT(MIN(Skills!I5,MAX(0,MAX(0,Inputs!$B$43-B2375)-((R2344-1)*(IF(Inputs!$B$38="pvp",15,MAX(0.1,Skills!D5-IF(TRUE=TRUE,Inputs!$B$32,0)))*(1-IF(AND(ArtifactsInput!$M$27,Inputs!$B$4="Chapter Hunt"),CHOOSE(ArtifactsInput!$N$27+1,20,24,28,32,36,40),0)/100)))))/Skills!H5+0.000000001),1)))/Inputs!$B$43),G2344*Q2344))*IF(Inputs!$B$38="pvp",1,(1+(Inputs!$B$21+Skills!Q5+(((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Skills!G6*IF(Skills!H6&gt;0,INT(IF(Inputs!$B$38="pvp",MIN(Skills!I6,15),Skills!I6)/Skills!H6+0.000000001),1)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IFERROR(1/(IF(Inputs!$B$38="pvp",15,MAX(0.1,Skills!D6-IF(TRUE=TRUE,Inputs!$B$32,0)))*(1-IF(AND(ArtifactsInput!$M$27,Inputs!$B$4="Chapter Hunt"),CHOOSE(ArtifactsInput!$N$27+1,20,24,28,32,36,40),0)/100)),0)</f>
        <v/>
      </c>
      <c r="R2345">
        <f>IF(AND(Inputs!$B$38&lt;&gt;"pvp",Inputs!$B$43&gt;0),IF(MAX(0,Inputs!$B$43-B2375)&lt;=0,0,(INT(MAX(0,Inputs!$B$43-B2375)/(IF(Inputs!$B$38="pvp",15,MAX(0.1,Skills!D6-IF(TRUE=TRUE,Inputs!$B$32,0)))*(1-IF(AND(ArtifactsInput!$M$27,Inputs!$B$4="Chapter Hunt"),CHOOSE(ArtifactsInput!$N$27+1,20,24,28,32,36,40),0)/100)))+1)),0)</f>
        <v/>
      </c>
      <c r="S2345">
        <f>IFERROR(O2345/N2345,0)</f>
        <v/>
      </c>
      <c r="T2345">
        <f>IF(C2345,(H2345*N2345*IF(AND(Inputs!$B$38&lt;&gt;"pvp",Inputs!$B$43&gt;0),((Skills!G6*((R2345-1)*IF(Skills!H6&gt;0,INT(Skills!I6/Skills!H6+0.000000001),1)+IF(Skills!H6&gt;0,INT(MIN(Skills!I6,MAX(0,MAX(0,Inputs!$B$43-B2375)-((R2345-1)*(IF(Inputs!$B$38="pvp",15,MAX(0.1,Skills!D6-IF(TRUE=TRUE,Inputs!$B$32,0)))*(1-IF(AND(ArtifactsInput!$M$27,Inputs!$B$4="Chapter Hunt"),CHOOSE(ArtifactsInput!$N$27+1,20,24,28,32,36,40),0)/100)))))/Skills!H6+0.000000001),1)))/Inputs!$B$43),G2345*Q2345))*IF(Inputs!$B$38="pvp",1,1+(Inputs!$B$20+0+Skills!P6+(((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INT(Skills!I6/Skills!H6+0.000000001),1)+IF(Skills!H6&gt;0,INT(MIN(Skills!I6,MAX(0,MAX(0,Inputs!$B$43-B2375)-((R2345-1)*(IF(Inputs!$B$38="pvp",15,MAX(0.1,Skills!D6-IF(TRUE=TRUE,Inputs!$B$32,0)))*(1-IF(AND(ArtifactsInput!$M$27,Inputs!$B$4="Chapter Hunt"),CHOOSE(ArtifactsInput!$N$27+1,20,24,28,32,36,40),0)/100)))))/Skills!H6+0.000000001),1)))/Inputs!$B$43),G2345*Q2345))*IF(Inputs!$B$38="pvp",1,(1+(Inputs!$B$21+Skills!Q6+(((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Skills!G7*IF(Skills!H7&gt;0,INT(IF(Inputs!$B$38="pvp",MIN(Skills!I7,15),Skills!I7)/Skills!H7+0.000000001),1)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IFERROR(1/(IF(Inputs!$B$38="pvp",15,MAX(0.1,Skills!D7-IF(TRUE=TRUE,Inputs!$B$32,0)))*(1-IF(AND(ArtifactsInput!$M$27,Inputs!$B$4="Chapter Hunt"),CHOOSE(ArtifactsInput!$N$27+1,20,24,28,32,36,40),0)/100)),0)</f>
        <v/>
      </c>
      <c r="R2346">
        <f>IF(AND(Inputs!$B$38&lt;&gt;"pvp",Inputs!$B$43&gt;0),IF(MAX(0,Inputs!$B$43-B2375)&lt;=0,0,(INT(MAX(0,Inputs!$B$43-B2375)/(IF(Inputs!$B$38="pvp",15,MAX(0.1,Skills!D7-IF(TRUE=TRUE,Inputs!$B$32,0)))*(1-IF(AND(ArtifactsInput!$M$27,Inputs!$B$4="Chapter Hunt"),CHOOSE(ArtifactsInput!$N$27+1,20,24,28,32,36,40),0)/100)))+1)),0)</f>
        <v/>
      </c>
      <c r="S2346">
        <f>IFERROR(O2346/N2346,0)</f>
        <v/>
      </c>
      <c r="T2346">
        <f>IF(C2346,(H2346*N2346*IF(AND(Inputs!$B$38&lt;&gt;"pvp",Inputs!$B$43&gt;0),((Skills!G7*((R2346-1)*IF(Skills!H7&gt;0,INT(Skills!I7/Skills!H7+0.000000001),1)+IF(Skills!H7&gt;0,INT(MIN(Skills!I7,MAX(0,MAX(0,Inputs!$B$43-B2375)-((R2346-1)*(IF(Inputs!$B$38="pvp",15,MAX(0.1,Skills!D7-IF(TRUE=TRUE,Inputs!$B$32,0)))*(1-IF(AND(ArtifactsInput!$M$27,Inputs!$B$4="Chapter Hunt"),CHOOSE(ArtifactsInput!$N$27+1,20,24,28,32,36,40),0)/100)))))/Skills!H7+0.000000001),1)))/Inputs!$B$43),G2346*Q2346))*IF(Inputs!$B$38="pvp",1,1+(Inputs!$B$20+0+Skills!P7+(((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INT(Skills!I7/Skills!H7+0.000000001),1)+IF(Skills!H7&gt;0,INT(MIN(Skills!I7,MAX(0,MAX(0,Inputs!$B$43-B2375)-((R2346-1)*(IF(Inputs!$B$38="pvp",15,MAX(0.1,Skills!D7-IF(TRUE=TRUE,Inputs!$B$32,0)))*(1-IF(AND(ArtifactsInput!$M$27,Inputs!$B$4="Chapter Hunt"),CHOOSE(ArtifactsInput!$N$27+1,20,24,28,32,36,40),0)/100)))))/Skills!H7+0.000000001),1)))/Inputs!$B$43),G2346*Q2346))*IF(Inputs!$B$38="pvp",1,(1+(Inputs!$B$21+Skills!Q7+(((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Skills!G8*IF(Skills!H8&gt;0,INT(IF(Inputs!$B$38="pvp",MIN(Skills!I8,15),Skills!I8)/Skills!H8+0.000000001),1)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IFERROR(1/(IF(Inputs!$B$38="pvp",15,MAX(0.1,Skills!D8-IF(TRUE=TRUE,Inputs!$B$32,0)))*(1-IF(AND(ArtifactsInput!$M$27,Inputs!$B$4="Chapter Hunt"),CHOOSE(ArtifactsInput!$N$27+1,20,24,28,32,36,40),0)/100)),0)</f>
        <v/>
      </c>
      <c r="R2347">
        <f>IF(AND(Inputs!$B$38&lt;&gt;"pvp",Inputs!$B$43&gt;0),IF(MAX(0,Inputs!$B$43-B2375)&lt;=0,0,(INT(MAX(0,Inputs!$B$43-B2375)/(IF(Inputs!$B$38="pvp",15,MAX(0.1,Skills!D8-IF(TRUE=TRUE,Inputs!$B$32,0)))*(1-IF(AND(ArtifactsInput!$M$27,Inputs!$B$4="Chapter Hunt"),CHOOSE(ArtifactsInput!$N$27+1,20,24,28,32,36,40),0)/100)))+1)),0)</f>
        <v/>
      </c>
      <c r="S2347">
        <f>IFERROR(O2347/N2347,0)</f>
        <v/>
      </c>
      <c r="T2347">
        <f>IF(C2347,(H2347*N2347*IF(AND(Inputs!$B$38&lt;&gt;"pvp",Inputs!$B$43&gt;0),((Skills!G8*((R2347-1)*IF(Skills!H8&gt;0,INT(Skills!I8/Skills!H8+0.000000001),1)+IF(Skills!H8&gt;0,INT(MIN(Skills!I8,MAX(0,MAX(0,Inputs!$B$43-B2375)-((R2347-1)*(IF(Inputs!$B$38="pvp",15,MAX(0.1,Skills!D8-IF(TRUE=TRUE,Inputs!$B$32,0)))*(1-IF(AND(ArtifactsInput!$M$27,Inputs!$B$4="Chapter Hunt"),CHOOSE(ArtifactsInput!$N$27+1,20,24,28,32,36,40),0)/100)))))/Skills!H8+0.000000001),1)))/Inputs!$B$43),G2347*Q2347))*IF(Inputs!$B$38="pvp",1,1+(Inputs!$B$20+0+Skills!P8+(((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INT(Skills!I8/Skills!H8+0.000000001),1)+IF(Skills!H8&gt;0,INT(MIN(Skills!I8,MAX(0,MAX(0,Inputs!$B$43-B2375)-((R2347-1)*(IF(Inputs!$B$38="pvp",15,MAX(0.1,Skills!D8-IF(TRUE=TRUE,Inputs!$B$32,0)))*(1-IF(AND(ArtifactsInput!$M$27,Inputs!$B$4="Chapter Hunt"),CHOOSE(ArtifactsInput!$N$27+1,20,24,28,32,36,40),0)/100)))))/Skills!H8+0.000000001),1)))/Inputs!$B$43),G2347*Q2347))*IF(Inputs!$B$38="pvp",1,(1+(Inputs!$B$21+Skills!Q8+(((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Skills!G9*IF(Skills!H9&gt;0,INT(IF(Inputs!$B$38="pvp",MIN(Skills!I9,15),Skills!I9)/Skills!H9+0.000000001),1)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138,MAX(0,IF(Inputs!$B$3&gt;=118,8,IF(Inputs!$B$3&gt;=110,7,5))-5)*50,0),0)/100)*(1+(IF(Skills!A9="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IFERROR(1/(IF(Inputs!$B$38="pvp",15,MAX(0.1,Skills!D9-IF(TRUE=TRUE,Inputs!$B$32,0)))*(1-IF(AND(ArtifactsInput!$M$27,Inputs!$B$4="Chapter Hunt"),CHOOSE(ArtifactsInput!$N$27+1,20,24,28,32,36,40),0)/100)),0)</f>
        <v/>
      </c>
      <c r="R2348">
        <f>IF(AND(Inputs!$B$38&lt;&gt;"pvp",Inputs!$B$43&gt;0),IF(MAX(0,Inputs!$B$43-B2375)&lt;=0,0,(INT(MAX(0,Inputs!$B$43-B2375)/(IF(Inputs!$B$38="pvp",15,MAX(0.1,Skills!D9-IF(TRUE=TRUE,Inputs!$B$32,0)))*(1-IF(AND(ArtifactsInput!$M$27,Inputs!$B$4="Chapter Hunt"),CHOOSE(ArtifactsInput!$N$27+1,20,24,28,32,36,40),0)/100)))+1)),0)</f>
        <v/>
      </c>
      <c r="S2348">
        <f>IFERROR(O2348/N2348,0)</f>
        <v/>
      </c>
      <c r="T2348">
        <f>IF(C2348,(H2348*N2348*IF(AND(Inputs!$B$38&lt;&gt;"pvp",Inputs!$B$43&gt;0),((Skills!G9*((R2348-1)*IF(Skills!H9&gt;0,INT(Skills!I9/Skills!H9+0.000000001),1)+IF(Skills!H9&gt;0,INT(MIN(Skills!I9,MAX(0,MAX(0,Inputs!$B$43-B2375)-((R2348-1)*(IF(Inputs!$B$38="pvp",15,MAX(0.1,Skills!D9-IF(TRUE=TRUE,Inputs!$B$32,0)))*(1-IF(AND(ArtifactsInput!$M$27,Inputs!$B$4="Chapter Hunt"),CHOOSE(ArtifactsInput!$N$27+1,20,24,28,32,36,40),0)/100)))))/Skills!H9+0.000000001),1)))/Inputs!$B$43),G2348*Q2348))*IF(Inputs!$B$38="pvp",1,1+(Inputs!$B$20+0+Skills!P9+(((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INT(Skills!I9/Skills!H9+0.000000001),1)+IF(Skills!H9&gt;0,INT(MIN(Skills!I9,MAX(0,MAX(0,Inputs!$B$43-B2375)-((R2348-1)*(IF(Inputs!$B$38="pvp",15,MAX(0.1,Skills!D9-IF(TRUE=TRUE,Inputs!$B$32,0)))*(1-IF(AND(ArtifactsInput!$M$27,Inputs!$B$4="Chapter Hunt"),CHOOSE(ArtifactsInput!$N$27+1,20,24,28,32,36,40),0)/100)))))/Skills!H9+0.000000001),1)))/Inputs!$B$43),G2348*Q2348))*IF(Inputs!$B$38="pvp",1,(1+(Inputs!$B$21+Skills!Q9+(((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Skills!G10*IF(Skills!H10&gt;0,INT(IF(Inputs!$B$38="pvp",MIN(Skills!I10,15),Skills!I10)/Skills!H10+0.000000001),1)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138,MAX(0,IF(Inputs!$B$3&gt;=118,8,IF(Inputs!$B$3&gt;=110,7,5))-5)*50,0),0)/100)*(1+(IF(Skills!A10="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IFERROR(1/(IF(Inputs!$B$38="pvp",15,MAX(0.1,Skills!D10-IF(TRUE=TRUE,Inputs!$B$32,0)))*(1-IF(AND(ArtifactsInput!$M$27,Inputs!$B$4="Chapter Hunt"),CHOOSE(ArtifactsInput!$N$27+1,20,24,28,32,36,40),0)/100)),0)</f>
        <v/>
      </c>
      <c r="R2349">
        <f>IF(AND(Inputs!$B$38&lt;&gt;"pvp",Inputs!$B$43&gt;0),IF(MAX(0,Inputs!$B$43-B2375)&lt;=0,0,(INT(MAX(0,Inputs!$B$43-B2375)/(IF(Inputs!$B$38="pvp",15,MAX(0.1,Skills!D10-IF(TRUE=TRUE,Inputs!$B$32,0)))*(1-IF(AND(ArtifactsInput!$M$27,Inputs!$B$4="Chapter Hunt"),CHOOSE(ArtifactsInput!$N$27+1,20,24,28,32,36,40),0)/100)))+1)),0)</f>
        <v/>
      </c>
      <c r="S2349">
        <f>IFERROR(O2349/N2349,0)</f>
        <v/>
      </c>
      <c r="T2349">
        <f>IF(C2349,(H2349*N2349*IF(AND(Inputs!$B$38&lt;&gt;"pvp",Inputs!$B$43&gt;0),((Skills!G10*((R2349-1)*IF(Skills!H10&gt;0,INT(Skills!I10/Skills!H10+0.000000001),1)+IF(Skills!H10&gt;0,INT(MIN(Skills!I10,MAX(0,MAX(0,Inputs!$B$43-B2375)-((R2349-1)*(IF(Inputs!$B$38="pvp",15,MAX(0.1,Skills!D10-IF(TRUE=TRUE,Inputs!$B$32,0)))*(1-IF(AND(ArtifactsInput!$M$27,Inputs!$B$4="Chapter Hunt"),CHOOSE(ArtifactsInput!$N$27+1,20,24,28,32,36,40),0)/100)))))/Skills!H10+0.000000001),1)))/Inputs!$B$43),G2349*Q2349))*IF(Inputs!$B$38="pvp",1,1+(Inputs!$B$20+0+Skills!P10+(((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INT(Skills!I10/Skills!H10+0.000000001),1)+IF(Skills!H10&gt;0,INT(MIN(Skills!I10,MAX(0,MAX(0,Inputs!$B$43-B2375)-((R2349-1)*(IF(Inputs!$B$38="pvp",15,MAX(0.1,Skills!D10-IF(TRUE=TRUE,Inputs!$B$32,0)))*(1-IF(AND(ArtifactsInput!$M$27,Inputs!$B$4="Chapter Hunt"),CHOOSE(ArtifactsInput!$N$27+1,20,24,28,32,36,40),0)/100)))))/Skills!H10+0.000000001),1)))/Inputs!$B$43),G2349*Q2349))*IF(Inputs!$B$38="pvp",1,(1+(Inputs!$B$21+Skills!Q10+(((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Skills!G11*IF(Skills!H11&gt;0,INT(IF(Inputs!$B$38="pvp",MIN(Skills!I11,15),Skills!I11)/Skills!H11+0.000000001),1)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138,MAX(0,IF(Inputs!$B$3&gt;=118,8,IF(Inputs!$B$3&gt;=110,7,5))-5)*50,0),0)/100)*(1+(IF(Skills!A11="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IFERROR(1/(IF(Inputs!$B$38="pvp",15,MAX(0.1,Skills!D11-IF(TRUE=TRUE,Inputs!$B$32,0)))*(1-IF(AND(ArtifactsInput!$M$27,Inputs!$B$4="Chapter Hunt"),CHOOSE(ArtifactsInput!$N$27+1,20,24,28,32,36,40),0)/100)),0)</f>
        <v/>
      </c>
      <c r="R2350">
        <f>IF(AND(Inputs!$B$38&lt;&gt;"pvp",Inputs!$B$43&gt;0),IF(MAX(0,Inputs!$B$43-B2375)&lt;=0,0,(INT(MAX(0,Inputs!$B$43-B2375)/(IF(Inputs!$B$38="pvp",15,MAX(0.1,Skills!D11-IF(TRUE=TRUE,Inputs!$B$32,0)))*(1-IF(AND(ArtifactsInput!$M$27,Inputs!$B$4="Chapter Hunt"),CHOOSE(ArtifactsInput!$N$27+1,20,24,28,32,36,40),0)/100)))+1)),0)</f>
        <v/>
      </c>
      <c r="S2350">
        <f>IFERROR(O2350/N2350,0)</f>
        <v/>
      </c>
      <c r="T2350">
        <f>IF(C2350,(H2350*N2350*IF(AND(Inputs!$B$38&lt;&gt;"pvp",Inputs!$B$43&gt;0),((Skills!G11*((R2350-1)*IF(Skills!H11&gt;0,INT(Skills!I11/Skills!H11+0.000000001),1)+IF(Skills!H11&gt;0,INT(MIN(Skills!I11,MAX(0,MAX(0,Inputs!$B$43-B2375)-((R2350-1)*(IF(Inputs!$B$38="pvp",15,MAX(0.1,Skills!D11-IF(TRUE=TRUE,Inputs!$B$32,0)))*(1-IF(AND(ArtifactsInput!$M$27,Inputs!$B$4="Chapter Hunt"),CHOOSE(ArtifactsInput!$N$27+1,20,24,28,32,36,40),0)/100)))))/Skills!H11+0.000000001),1)))/Inputs!$B$43),G2350*Q2350))*IF(Inputs!$B$38="pvp",1,1+(Inputs!$B$20+0+Skills!P11+(((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INT(Skills!I11/Skills!H11+0.000000001),1)+IF(Skills!H11&gt;0,INT(MIN(Skills!I11,MAX(0,MAX(0,Inputs!$B$43-B2375)-((R2350-1)*(IF(Inputs!$B$38="pvp",15,MAX(0.1,Skills!D11-IF(TRUE=TRUE,Inputs!$B$32,0)))*(1-IF(AND(ArtifactsInput!$M$27,Inputs!$B$4="Chapter Hunt"),CHOOSE(ArtifactsInput!$N$27+1,20,24,28,32,36,40),0)/100)))))/Skills!H11+0.000000001),1)))/Inputs!$B$43),G2350*Q2350))*IF(Inputs!$B$38="pvp",1,(1+(Inputs!$B$21+Skills!Q11+(((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Skills!G13*IF(Skills!H13&gt;0,INT(IF(Inputs!$B$38="pvp",MIN(Skills!I13,15),Skills!I13)/Skills!H13+0.000000001),1)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Skills!G14*IF(Skills!H14&gt;0,INT(IF(Inputs!$B$38="pvp",MIN(Skills!I14,15),Skills!I14)/Skills!H14+0.000000001),1)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Skills!G15*IF(Skills!H15&gt;0,INT(IF(Inputs!$B$38="pvp",MIN(Skills!I15,15),Skills!I15)/Skills!H15+0.000000001),1)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IFERROR(1/(IF(Inputs!$B$38="pvp",15,MAX(0.1,Skills!D15-IF(TRUE=TRUE,Inputs!$B$32,0)))*(1-IF(AND(ArtifactsInput!$M$27,Inputs!$B$4="Chapter Hunt"),CHOOSE(ArtifactsInput!$N$27+1,20,24,28,32,36,40),0)/100)),0)</f>
        <v/>
      </c>
      <c r="R2354">
        <f>IF(AND(Inputs!$B$38&lt;&gt;"pvp",Inputs!$B$43&gt;0),IF(Inputs!$B$43&lt;=0,0,(INT(Inputs!$B$43/(IF(Inputs!$B$38="pvp",15,MAX(0.1,Skills!D15-IF(TRUE=TRUE,Inputs!$B$32,0)))*(1-IF(AND(ArtifactsInput!$M$27,Inputs!$B$4="Chapter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Skills!G16*IF(Skills!H16&gt;0,INT(IF(Inputs!$B$38="pvp",MIN(Skills!I16,15),Skills!I16)/Skills!H16+0.000000001),1)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IFERROR(1/(IF(Inputs!$B$38="pvp",15,MAX(0.1,Skills!D16-IF(TRUE=TRUE,Inputs!$B$32,0)))*(1-IF(AND(ArtifactsInput!$M$27,Inputs!$B$4="Chapter Hunt"),CHOOSE(ArtifactsInput!$N$27+1,20,24,28,32,36,40),0)/100)),0)</f>
        <v/>
      </c>
      <c r="R2355">
        <f>IF(AND(Inputs!$B$38&lt;&gt;"pvp",Inputs!$B$43&gt;0),IF(Inputs!$B$43&lt;=0,0,(INT(Inputs!$B$43/(IF(Inputs!$B$38="pvp",15,MAX(0.1,Skills!D16-IF(TRUE=TRUE,Inputs!$B$32,0)))*(1-IF(AND(ArtifactsInput!$M$27,Inputs!$B$4="Chapter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Skills!G17*IF(Skills!H17&gt;0,INT(IF(Inputs!$B$38="pvp",MIN(Skills!I17,15),Skills!I17)/Skills!H17+0.000000001),1)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IFERROR(1/(IF(Inputs!$B$38="pvp",15,MAX(0.1,Skills!D17-IF(TRUE=TRUE,Inputs!$B$32,0)))*(1-IF(AND(ArtifactsInput!$M$27,Inputs!$B$4="Chapter Hunt"),CHOOSE(ArtifactsInput!$N$27+1,20,24,28,32,36,40),0)/100)),0)</f>
        <v/>
      </c>
      <c r="R2356">
        <f>IF(AND(Inputs!$B$38&lt;&gt;"pvp",Inputs!$B$43&gt;0),IF(Inputs!$B$43&lt;=0,0,(INT(Inputs!$B$43/(IF(Inputs!$B$38="pvp",15,MAX(0.1,Skills!D17-IF(TRUE=TRUE,Inputs!$B$32,0)))*(1-IF(AND(ArtifactsInput!$M$27,Inputs!$B$4="Chapter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Skills!G18*IF(Skills!H18&gt;0,INT(IF(Inputs!$B$38="pvp",MIN(Skills!I18,15),Skills!I18)/Skills!H18+0.000000001),1)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IFERROR(1/(IF(Inputs!$B$38="pvp",15,MAX(0.1,Skills!D18-IF(TRUE=TRUE,Inputs!$B$32,0)))*(1-IF(AND(ArtifactsInput!$M$27,Inputs!$B$4="Chapter Hunt"),CHOOSE(ArtifactsInput!$N$27+1,20,24,28,32,36,40),0)/100)),0)</f>
        <v/>
      </c>
      <c r="R2357">
        <f>IF(AND(Inputs!$B$38&lt;&gt;"pvp",Inputs!$B$43&gt;0),IF(Inputs!$B$43&lt;=0,0,(INT(Inputs!$B$43/(IF(Inputs!$B$38="pvp",15,MAX(0.1,Skills!D18-IF(TRUE=TRUE,Inputs!$B$32,0)))*(1-IF(AND(ArtifactsInput!$M$27,Inputs!$B$4="Chapter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Skills!G19*IF(Skills!H19&gt;0,INT(IF(Inputs!$B$38="pvp",MIN(Skills!I19,15),Skills!I19)/Skills!H19+0.000000001),1)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IFERROR(1/(IF(Inputs!$B$38="pvp",15,MAX(0.1,Skills!D19-IF(TRUE=TRUE,Inputs!$B$32,0)))*(1-IF(AND(ArtifactsInput!$M$27,Inputs!$B$4="Chapter Hunt"),CHOOSE(ArtifactsInput!$N$27+1,20,24,28,32,36,40),0)/100)),0)</f>
        <v/>
      </c>
      <c r="R2358">
        <f>IF(AND(Inputs!$B$38&lt;&gt;"pvp",Inputs!$B$43&gt;0),IF(Inputs!$B$43&lt;=0,0,(INT(Inputs!$B$43/(IF(Inputs!$B$38="pvp",15,MAX(0.1,Skills!D19-IF(TRUE=TRUE,Inputs!$B$32,0)))*(1-IF(AND(ArtifactsInput!$M$27,Inputs!$B$4="Chapter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Skills!G20*IF(Skills!H20&gt;0,INT(IF(Inputs!$B$38="pvp",MIN(Skills!I20,15),Skills!I20)/Skills!H20+0.000000001),1)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Skills!G21*IF(Skills!H21&gt;0,INT(IF(Inputs!$B$38="pvp",MIN(Skills!I21,15),Skills!I21)/Skills!H21+0.000000001),1)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Skills!G22*IF(Skills!H22&gt;0,INT(IF(Inputs!$B$38="pvp",MIN(Skills!I22,15),Skills!I22)/Skills!H22+0.000000001),1)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Skills!G23*IF(Skills!H23&gt;0,INT(IF(Inputs!$B$38="pvp",MIN(Skills!I23,15),Skills!I23)/Skills!H23+0.000000001),1)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Skills!G24*IF(Skills!H24&gt;0,INT(IF(Inputs!$B$38="pvp",MIN(Skills!I24,15),Skills!I24)/Skills!H24+0.000000001),1)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Skills!G25*IF(Skills!H25&gt;0,INT(IF(Inputs!$B$38="pvp",MIN(Skills!I25,15),Skills!I25)/Skills!H25+0.000000001),1)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Skills!G26*IF(Skills!H26&gt;0,INT(IF(Inputs!$B$38="pvp",MIN(Skills!I26,15),Skills!I26)/Skills!H26+0.000000001),1)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MIN((Skills!T19*(1+(Inputs!$B$34+(ArtifactsInput!$M$7-ArtifactsInput!$M$7)*CHOOSE(ArtifactsInput!$N$7+1,6,7.2,8.4,9.6,10.8,12))/100)),(1/Q2358))+MIN((Skills!T19*(1+(Inputs!$B$34+(ArtifactsInput!$M$7-ArtifactsInput!$M$7)*CHOOSE(ArtifactsInput!$N$7+1,6,7.2,8.4,9.6,10.8,12))/100)),MAX(0,Inputs!$B$43-((R2358-1)*(1/Q2358)))))/Inputs!$B$43),IF(Inputs!$B$38="pvp",MIN((Skills!T19*(1+(Inputs!$B$34+(ArtifactsInput!$M$7-ArtifactsInput!$M$7)*CHOOSE(ArtifactsInput!$N$7+1,6,7.2,8.4,9.6,10.8,12))/100)),15)/15,MIN(1,(Skills!T19*(1+(Inputs!$B$34+(ArtifactsInput!$M$7-ArtifactsInput!$M$7)*CHOOSE(ArtifactsInput!$N$7+1,6,7.2,8.4,9.6,10.8,12))/100))/(1/Q2358)))))</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MIN((Skills!T18*(1+(Inputs!$B$34+(ArtifactsInput!$M$7-ArtifactsInput!$M$7)*CHOOSE(ArtifactsInput!$N$7+1,6,7.2,8.4,9.6,10.8,12))/100)),(1/Q2357))+MIN((Skills!T18*(1+(Inputs!$B$34+(ArtifactsInput!$M$7-ArtifactsInput!$M$7)*CHOOSE(ArtifactsInput!$N$7+1,6,7.2,8.4,9.6,10.8,12))/100)),MAX(0,Inputs!$B$43-((R2357-1)*(1/Q2357)))))/Inputs!$B$43),IF(Inputs!$B$38="pvp",MIN((Skills!T18*(1+(Inputs!$B$34+(ArtifactsInput!$M$7-ArtifactsInput!$M$7)*CHOOSE(ArtifactsInput!$N$7+1,6,7.2,8.4,9.6,10.8,12))/100)),15)/15,MIN(1,(Skills!T18*(1+(Inputs!$B$34+(ArtifactsInput!$M$7-ArtifactsInput!$M$7)*CHOOSE(ArtifactsInput!$N$7+1,6,7.2,8.4,9.6,10.8,12))/100))/(1/Q2357)))))</f>
        <v/>
      </c>
    </row>
    <row r="2374">
      <c r="A2374" t="inlineStr">
        <is>
          <t>Global Final Damage Bonus % (Enrage + Combo Synergy)</t>
        </is>
      </c>
      <c r="B2374">
        <f>((C2356=TRUE)*F2356*IF(AND(Inputs!$B$38&lt;&gt;"pvp",Inputs!$B$43&gt;0),(((R2356-1)*MIN((Skills!T17*(1+(Inputs!$B$34+(ArtifactsInput!$M$7-ArtifactsInput!$M$7)*CHOOSE(ArtifactsInput!$N$7+1,6,7.2,8.4,9.6,10.8,12))/100)),(1/Q2356))+MIN((Skills!T17*(1+(Inputs!$B$34+(ArtifactsInput!$M$7-ArtifactsInput!$M$7)*CHOOSE(ArtifactsInput!$N$7+1,6,7.2,8.4,9.6,10.8,12))/100)),MAX(0,Inputs!$B$43-((R2356-1)*(1/Q2356)))))/Inputs!$B$43),IF(Inputs!$B$38="pvp",MIN((Skills!T17*(1+(Inputs!$B$34+(ArtifactsInput!$M$7-ArtifactsInput!$M$7)*CHOOSE(ArtifactsInput!$N$7+1,6,7.2,8.4,9.6,10.8,12))/100)),15)/15,MIN(1,(Skills!T17*(1+(Inputs!$B$34+(ArtifactsInput!$M$7-ArtifactsInput!$M$7)*CHOOSE(ArtifactsInput!$N$7+1,6,7.2,8.4,9.6,10.8,12))/100))/(1/Q2356)))))+((C2353=TRUE)*F2353*IF(Inputs!$B$3&gt;=118,8,IF(Inputs!$B$3&gt;=110,7,5)))+IF(Inputs!$B$3&gt;=98,5,0)</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Skills!G2*IF(Skills!H2&gt;0,INT(IF(Inputs!$B$38="pvp",MIN(Skills!I2,15),Skills!I2)/Skills!H2+0.000000001),1)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Skills!G5*IF(Skills!H5&gt;0,INT(IF(Inputs!$B$38="pvp",MIN(Skills!I5,15),Skills!I5)/Skills!H5+0.000000001),1)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IFERROR(1/(IF(Inputs!$B$38="pvp",15,MAX(0.1,Skills!D5-IF(TRUE=TRUE,Inputs!$B$32,0)))*(1-IF(AND(ArtifactsInput!$M$27,Inputs!$B$4="Chapter Hunt"),CHOOSE(ArtifactsInput!$N$27+1,20,24,28,32,36,40),0)/100)),0)</f>
        <v/>
      </c>
      <c r="R2386">
        <f>IF(AND(Inputs!$B$38&lt;&gt;"pvp",Inputs!$B$43&gt;0),IF(MAX(0,Inputs!$B$43-B2417)&lt;=0,0,(INT(MAX(0,Inputs!$B$43-B2417)/(IF(Inputs!$B$38="pvp",15,MAX(0.1,Skills!D5-IF(TRUE=TRUE,Inputs!$B$32,0)))*(1-IF(AND(ArtifactsInput!$M$27,Inputs!$B$4="Chapter Hunt"),CHOOSE(ArtifactsInput!$N$27+1,20,24,28,32,36,40),0)/100)))+1)),0)</f>
        <v/>
      </c>
      <c r="S2386">
        <f>IFERROR(O2386/N2386,0)</f>
        <v/>
      </c>
      <c r="T2386">
        <f>IF(C2386,(H2386*N2386*IF(AND(Inputs!$B$38&lt;&gt;"pvp",Inputs!$B$43&gt;0),((Skills!G5*((R2386-1)*IF(Skills!H5&gt;0,INT(Skills!I5/Skills!H5+0.000000001),1)+IF(Skills!H5&gt;0,INT(MIN(Skills!I5,MAX(0,MAX(0,Inputs!$B$43-B2417)-((R2386-1)*(IF(Inputs!$B$38="pvp",15,MAX(0.1,Skills!D5-IF(TRUE=TRUE,Inputs!$B$32,0)))*(1-IF(AND(ArtifactsInput!$M$27,Inputs!$B$4="Chapter Hunt"),CHOOSE(ArtifactsInput!$N$27+1,20,24,28,32,36,40),0)/100)))))/Skills!H5+0.000000001),1)))/Inputs!$B$43),G2386*Q2386))*IF(Inputs!$B$38="pvp",1,1+(Inputs!$B$20+0+Skills!P5+(((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INT(Skills!I5/Skills!H5+0.000000001),1)+IF(Skills!H5&gt;0,INT(MIN(Skills!I5,MAX(0,MAX(0,Inputs!$B$43-B2417)-((R2386-1)*(IF(Inputs!$B$38="pvp",15,MAX(0.1,Skills!D5-IF(TRUE=TRUE,Inputs!$B$32,0)))*(1-IF(AND(ArtifactsInput!$M$27,Inputs!$B$4="Chapter Hunt"),CHOOSE(ArtifactsInput!$N$27+1,20,24,28,32,36,40),0)/100)))))/Skills!H5+0.000000001),1)))/Inputs!$B$43),G2386*Q2386))*IF(Inputs!$B$38="pvp",1,(1+(Inputs!$B$21+Skills!Q5+(((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Skills!G6*IF(Skills!H6&gt;0,INT(IF(Inputs!$B$38="pvp",MIN(Skills!I6,15),Skills!I6)/Skills!H6+0.000000001),1)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IFERROR(1/(IF(Inputs!$B$38="pvp",15,MAX(0.1,Skills!D6-IF(TRUE=TRUE,Inputs!$B$32,0)))*(1-IF(AND(ArtifactsInput!$M$27,Inputs!$B$4="Chapter Hunt"),CHOOSE(ArtifactsInput!$N$27+1,20,24,28,32,36,40),0)/100)),0)</f>
        <v/>
      </c>
      <c r="R2387">
        <f>IF(AND(Inputs!$B$38&lt;&gt;"pvp",Inputs!$B$43&gt;0),IF(MAX(0,Inputs!$B$43-B2417)&lt;=0,0,(INT(MAX(0,Inputs!$B$43-B2417)/(IF(Inputs!$B$38="pvp",15,MAX(0.1,Skills!D6-IF(TRUE=TRUE,Inputs!$B$32,0)))*(1-IF(AND(ArtifactsInput!$M$27,Inputs!$B$4="Chapter Hunt"),CHOOSE(ArtifactsInput!$N$27+1,20,24,28,32,36,40),0)/100)))+1)),0)</f>
        <v/>
      </c>
      <c r="S2387">
        <f>IFERROR(O2387/N2387,0)</f>
        <v/>
      </c>
      <c r="T2387">
        <f>IF(C2387,(H2387*N2387*IF(AND(Inputs!$B$38&lt;&gt;"pvp",Inputs!$B$43&gt;0),((Skills!G6*((R2387-1)*IF(Skills!H6&gt;0,INT(Skills!I6/Skills!H6+0.000000001),1)+IF(Skills!H6&gt;0,INT(MIN(Skills!I6,MAX(0,MAX(0,Inputs!$B$43-B2417)-((R2387-1)*(IF(Inputs!$B$38="pvp",15,MAX(0.1,Skills!D6-IF(TRUE=TRUE,Inputs!$B$32,0)))*(1-IF(AND(ArtifactsInput!$M$27,Inputs!$B$4="Chapter Hunt"),CHOOSE(ArtifactsInput!$N$27+1,20,24,28,32,36,40),0)/100)))))/Skills!H6+0.000000001),1)))/Inputs!$B$43),G2387*Q2387))*IF(Inputs!$B$38="pvp",1,1+(Inputs!$B$20+0+Skills!P6+(((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INT(Skills!I6/Skills!H6+0.000000001),1)+IF(Skills!H6&gt;0,INT(MIN(Skills!I6,MAX(0,MAX(0,Inputs!$B$43-B2417)-((R2387-1)*(IF(Inputs!$B$38="pvp",15,MAX(0.1,Skills!D6-IF(TRUE=TRUE,Inputs!$B$32,0)))*(1-IF(AND(ArtifactsInput!$M$27,Inputs!$B$4="Chapter Hunt"),CHOOSE(ArtifactsInput!$N$27+1,20,24,28,32,36,40),0)/100)))))/Skills!H6+0.000000001),1)))/Inputs!$B$43),G2387*Q2387))*IF(Inputs!$B$38="pvp",1,(1+(Inputs!$B$21+Skills!Q6+(((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Skills!G7*IF(Skills!H7&gt;0,INT(IF(Inputs!$B$38="pvp",MIN(Skills!I7,15),Skills!I7)/Skills!H7+0.000000001),1)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IFERROR(1/(IF(Inputs!$B$38="pvp",15,MAX(0.1,Skills!D7-IF(TRUE=TRUE,Inputs!$B$32,0)))*(1-IF(AND(ArtifactsInput!$M$27,Inputs!$B$4="Chapter Hunt"),CHOOSE(ArtifactsInput!$N$27+1,20,24,28,32,36,40),0)/100)),0)</f>
        <v/>
      </c>
      <c r="R2388">
        <f>IF(AND(Inputs!$B$38&lt;&gt;"pvp",Inputs!$B$43&gt;0),IF(MAX(0,Inputs!$B$43-B2417)&lt;=0,0,(INT(MAX(0,Inputs!$B$43-B2417)/(IF(Inputs!$B$38="pvp",15,MAX(0.1,Skills!D7-IF(TRUE=TRUE,Inputs!$B$32,0)))*(1-IF(AND(ArtifactsInput!$M$27,Inputs!$B$4="Chapter Hunt"),CHOOSE(ArtifactsInput!$N$27+1,20,24,28,32,36,40),0)/100)))+1)),0)</f>
        <v/>
      </c>
      <c r="S2388">
        <f>IFERROR(O2388/N2388,0)</f>
        <v/>
      </c>
      <c r="T2388">
        <f>IF(C2388,(H2388*N2388*IF(AND(Inputs!$B$38&lt;&gt;"pvp",Inputs!$B$43&gt;0),((Skills!G7*((R2388-1)*IF(Skills!H7&gt;0,INT(Skills!I7/Skills!H7+0.000000001),1)+IF(Skills!H7&gt;0,INT(MIN(Skills!I7,MAX(0,MAX(0,Inputs!$B$43-B2417)-((R2388-1)*(IF(Inputs!$B$38="pvp",15,MAX(0.1,Skills!D7-IF(TRUE=TRUE,Inputs!$B$32,0)))*(1-IF(AND(ArtifactsInput!$M$27,Inputs!$B$4="Chapter Hunt"),CHOOSE(ArtifactsInput!$N$27+1,20,24,28,32,36,40),0)/100)))))/Skills!H7+0.000000001),1)))/Inputs!$B$43),G2388*Q2388))*IF(Inputs!$B$38="pvp",1,1+(Inputs!$B$20+0+Skills!P7+(((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INT(Skills!I7/Skills!H7+0.000000001),1)+IF(Skills!H7&gt;0,INT(MIN(Skills!I7,MAX(0,MAX(0,Inputs!$B$43-B2417)-((R2388-1)*(IF(Inputs!$B$38="pvp",15,MAX(0.1,Skills!D7-IF(TRUE=TRUE,Inputs!$B$32,0)))*(1-IF(AND(ArtifactsInput!$M$27,Inputs!$B$4="Chapter Hunt"),CHOOSE(ArtifactsInput!$N$27+1,20,24,28,32,36,40),0)/100)))))/Skills!H7+0.000000001),1)))/Inputs!$B$43),G2388*Q2388))*IF(Inputs!$B$38="pvp",1,(1+(Inputs!$B$21+Skills!Q7+(((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Skills!G8*IF(Skills!H8&gt;0,INT(IF(Inputs!$B$38="pvp",MIN(Skills!I8,15),Skills!I8)/Skills!H8+0.000000001),1)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IFERROR(1/(IF(Inputs!$B$38="pvp",15,MAX(0.1,Skills!D8-IF(TRUE=TRUE,Inputs!$B$32,0)))*(1-IF(AND(ArtifactsInput!$M$27,Inputs!$B$4="Chapter Hunt"),CHOOSE(ArtifactsInput!$N$27+1,20,24,28,32,36,40),0)/100)),0)</f>
        <v/>
      </c>
      <c r="R2389">
        <f>IF(AND(Inputs!$B$38&lt;&gt;"pvp",Inputs!$B$43&gt;0),IF(MAX(0,Inputs!$B$43-B2417)&lt;=0,0,(INT(MAX(0,Inputs!$B$43-B2417)/(IF(Inputs!$B$38="pvp",15,MAX(0.1,Skills!D8-IF(TRUE=TRUE,Inputs!$B$32,0)))*(1-IF(AND(ArtifactsInput!$M$27,Inputs!$B$4="Chapter Hunt"),CHOOSE(ArtifactsInput!$N$27+1,20,24,28,32,36,40),0)/100)))+1)),0)</f>
        <v/>
      </c>
      <c r="S2389">
        <f>IFERROR(O2389/N2389,0)</f>
        <v/>
      </c>
      <c r="T2389">
        <f>IF(C2389,(H2389*N2389*IF(AND(Inputs!$B$38&lt;&gt;"pvp",Inputs!$B$43&gt;0),((Skills!G8*((R2389-1)*IF(Skills!H8&gt;0,INT(Skills!I8/Skills!H8+0.000000001),1)+IF(Skills!H8&gt;0,INT(MIN(Skills!I8,MAX(0,MAX(0,Inputs!$B$43-B2417)-((R2389-1)*(IF(Inputs!$B$38="pvp",15,MAX(0.1,Skills!D8-IF(TRUE=TRUE,Inputs!$B$32,0)))*(1-IF(AND(ArtifactsInput!$M$27,Inputs!$B$4="Chapter Hunt"),CHOOSE(ArtifactsInput!$N$27+1,20,24,28,32,36,40),0)/100)))))/Skills!H8+0.000000001),1)))/Inputs!$B$43),G2389*Q2389))*IF(Inputs!$B$38="pvp",1,1+(Inputs!$B$20+0+Skills!P8+(((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INT(Skills!I8/Skills!H8+0.000000001),1)+IF(Skills!H8&gt;0,INT(MIN(Skills!I8,MAX(0,MAX(0,Inputs!$B$43-B2417)-((R2389-1)*(IF(Inputs!$B$38="pvp",15,MAX(0.1,Skills!D8-IF(TRUE=TRUE,Inputs!$B$32,0)))*(1-IF(AND(ArtifactsInput!$M$27,Inputs!$B$4="Chapter Hunt"),CHOOSE(ArtifactsInput!$N$27+1,20,24,28,32,36,40),0)/100)))))/Skills!H8+0.000000001),1)))/Inputs!$B$43),G2389*Q2389))*IF(Inputs!$B$38="pvp",1,(1+(Inputs!$B$21+Skills!Q8+(((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Skills!G9*IF(Skills!H9&gt;0,INT(IF(Inputs!$B$38="pvp",MIN(Skills!I9,15),Skills!I9)/Skills!H9+0.000000001),1)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138,MAX(0,IF(Inputs!$B$3&gt;=118,8,IF(Inputs!$B$3&gt;=110,7,5))-5)*50,0),0)/100)*(1+(IF(Skills!A9="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IFERROR(1/(IF(Inputs!$B$38="pvp",15,MAX(0.1,Skills!D9-IF(TRUE=TRUE,Inputs!$B$32,0)))*(1-IF(AND(ArtifactsInput!$M$27,Inputs!$B$4="Chapter Hunt"),CHOOSE(ArtifactsInput!$N$27+1,20,24,28,32,36,40),0)/100)),0)</f>
        <v/>
      </c>
      <c r="R2390">
        <f>IF(AND(Inputs!$B$38&lt;&gt;"pvp",Inputs!$B$43&gt;0),IF(MAX(0,Inputs!$B$43-B2417)&lt;=0,0,(INT(MAX(0,Inputs!$B$43-B2417)/(IF(Inputs!$B$38="pvp",15,MAX(0.1,Skills!D9-IF(TRUE=TRUE,Inputs!$B$32,0)))*(1-IF(AND(ArtifactsInput!$M$27,Inputs!$B$4="Chapter Hunt"),CHOOSE(ArtifactsInput!$N$27+1,20,24,28,32,36,40),0)/100)))+1)),0)</f>
        <v/>
      </c>
      <c r="S2390">
        <f>IFERROR(O2390/N2390,0)</f>
        <v/>
      </c>
      <c r="T2390">
        <f>IF(C2390,(H2390*N2390*IF(AND(Inputs!$B$38&lt;&gt;"pvp",Inputs!$B$43&gt;0),((Skills!G9*((R2390-1)*IF(Skills!H9&gt;0,INT(Skills!I9/Skills!H9+0.000000001),1)+IF(Skills!H9&gt;0,INT(MIN(Skills!I9,MAX(0,MAX(0,Inputs!$B$43-B2417)-((R2390-1)*(IF(Inputs!$B$38="pvp",15,MAX(0.1,Skills!D9-IF(TRUE=TRUE,Inputs!$B$32,0)))*(1-IF(AND(ArtifactsInput!$M$27,Inputs!$B$4="Chapter Hunt"),CHOOSE(ArtifactsInput!$N$27+1,20,24,28,32,36,40),0)/100)))))/Skills!H9+0.000000001),1)))/Inputs!$B$43),G2390*Q2390))*IF(Inputs!$B$38="pvp",1,1+(Inputs!$B$20+0+Skills!P9+(((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INT(Skills!I9/Skills!H9+0.000000001),1)+IF(Skills!H9&gt;0,INT(MIN(Skills!I9,MAX(0,MAX(0,Inputs!$B$43-B2417)-((R2390-1)*(IF(Inputs!$B$38="pvp",15,MAX(0.1,Skills!D9-IF(TRUE=TRUE,Inputs!$B$32,0)))*(1-IF(AND(ArtifactsInput!$M$27,Inputs!$B$4="Chapter Hunt"),CHOOSE(ArtifactsInput!$N$27+1,20,24,28,32,36,40),0)/100)))))/Skills!H9+0.000000001),1)))/Inputs!$B$43),G2390*Q2390))*IF(Inputs!$B$38="pvp",1,(1+(Inputs!$B$21+Skills!Q9+(((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Skills!G10*IF(Skills!H10&gt;0,INT(IF(Inputs!$B$38="pvp",MIN(Skills!I10,15),Skills!I10)/Skills!H10+0.000000001),1)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138,MAX(0,IF(Inputs!$B$3&gt;=118,8,IF(Inputs!$B$3&gt;=110,7,5))-5)*50,0),0)/100)*(1+(IF(Skills!A10="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IFERROR(1/(IF(Inputs!$B$38="pvp",15,MAX(0.1,Skills!D10-IF(TRUE=TRUE,Inputs!$B$32,0)))*(1-IF(AND(ArtifactsInput!$M$27,Inputs!$B$4="Chapter Hunt"),CHOOSE(ArtifactsInput!$N$27+1,20,24,28,32,36,40),0)/100)),0)</f>
        <v/>
      </c>
      <c r="R2391">
        <f>IF(AND(Inputs!$B$38&lt;&gt;"pvp",Inputs!$B$43&gt;0),IF(MAX(0,Inputs!$B$43-B2417)&lt;=0,0,(INT(MAX(0,Inputs!$B$43-B2417)/(IF(Inputs!$B$38="pvp",15,MAX(0.1,Skills!D10-IF(TRUE=TRUE,Inputs!$B$32,0)))*(1-IF(AND(ArtifactsInput!$M$27,Inputs!$B$4="Chapter Hunt"),CHOOSE(ArtifactsInput!$N$27+1,20,24,28,32,36,40),0)/100)))+1)),0)</f>
        <v/>
      </c>
      <c r="S2391">
        <f>IFERROR(O2391/N2391,0)</f>
        <v/>
      </c>
      <c r="T2391">
        <f>IF(C2391,(H2391*N2391*IF(AND(Inputs!$B$38&lt;&gt;"pvp",Inputs!$B$43&gt;0),((Skills!G10*((R2391-1)*IF(Skills!H10&gt;0,INT(Skills!I10/Skills!H10+0.000000001),1)+IF(Skills!H10&gt;0,INT(MIN(Skills!I10,MAX(0,MAX(0,Inputs!$B$43-B2417)-((R2391-1)*(IF(Inputs!$B$38="pvp",15,MAX(0.1,Skills!D10-IF(TRUE=TRUE,Inputs!$B$32,0)))*(1-IF(AND(ArtifactsInput!$M$27,Inputs!$B$4="Chapter Hunt"),CHOOSE(ArtifactsInput!$N$27+1,20,24,28,32,36,40),0)/100)))))/Skills!H10+0.000000001),1)))/Inputs!$B$43),G2391*Q2391))*IF(Inputs!$B$38="pvp",1,1+(Inputs!$B$20+0+Skills!P10+(((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INT(Skills!I10/Skills!H10+0.000000001),1)+IF(Skills!H10&gt;0,INT(MIN(Skills!I10,MAX(0,MAX(0,Inputs!$B$43-B2417)-((R2391-1)*(IF(Inputs!$B$38="pvp",15,MAX(0.1,Skills!D10-IF(TRUE=TRUE,Inputs!$B$32,0)))*(1-IF(AND(ArtifactsInput!$M$27,Inputs!$B$4="Chapter Hunt"),CHOOSE(ArtifactsInput!$N$27+1,20,24,28,32,36,40),0)/100)))))/Skills!H10+0.000000001),1)))/Inputs!$B$43),G2391*Q2391))*IF(Inputs!$B$38="pvp",1,(1+(Inputs!$B$21+Skills!Q10+(((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Skills!G11*IF(Skills!H11&gt;0,INT(IF(Inputs!$B$38="pvp",MIN(Skills!I11,15),Skills!I11)/Skills!H11+0.000000001),1)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138,MAX(0,IF(Inputs!$B$3&gt;=118,8,IF(Inputs!$B$3&gt;=110,7,5))-5)*50,0),0)/100)*(1+(IF(Skills!A11="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IFERROR(1/(IF(Inputs!$B$38="pvp",15,MAX(0.1,Skills!D11-IF(TRUE=TRUE,Inputs!$B$32,0)))*(1-IF(AND(ArtifactsInput!$M$27,Inputs!$B$4="Chapter Hunt"),CHOOSE(ArtifactsInput!$N$27+1,20,24,28,32,36,40),0)/100)),0)</f>
        <v/>
      </c>
      <c r="R2392">
        <f>IF(AND(Inputs!$B$38&lt;&gt;"pvp",Inputs!$B$43&gt;0),IF(MAX(0,Inputs!$B$43-B2417)&lt;=0,0,(INT(MAX(0,Inputs!$B$43-B2417)/(IF(Inputs!$B$38="pvp",15,MAX(0.1,Skills!D11-IF(TRUE=TRUE,Inputs!$B$32,0)))*(1-IF(AND(ArtifactsInput!$M$27,Inputs!$B$4="Chapter Hunt"),CHOOSE(ArtifactsInput!$N$27+1,20,24,28,32,36,40),0)/100)))+1)),0)</f>
        <v/>
      </c>
      <c r="S2392">
        <f>IFERROR(O2392/N2392,0)</f>
        <v/>
      </c>
      <c r="T2392">
        <f>IF(C2392,(H2392*N2392*IF(AND(Inputs!$B$38&lt;&gt;"pvp",Inputs!$B$43&gt;0),((Skills!G11*((R2392-1)*IF(Skills!H11&gt;0,INT(Skills!I11/Skills!H11+0.000000001),1)+IF(Skills!H11&gt;0,INT(MIN(Skills!I11,MAX(0,MAX(0,Inputs!$B$43-B2417)-((R2392-1)*(IF(Inputs!$B$38="pvp",15,MAX(0.1,Skills!D11-IF(TRUE=TRUE,Inputs!$B$32,0)))*(1-IF(AND(ArtifactsInput!$M$27,Inputs!$B$4="Chapter Hunt"),CHOOSE(ArtifactsInput!$N$27+1,20,24,28,32,36,40),0)/100)))))/Skills!H11+0.000000001),1)))/Inputs!$B$43),G2392*Q2392))*IF(Inputs!$B$38="pvp",1,1+(Inputs!$B$20+0+Skills!P11+(((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INT(Skills!I11/Skills!H11+0.000000001),1)+IF(Skills!H11&gt;0,INT(MIN(Skills!I11,MAX(0,MAX(0,Inputs!$B$43-B2417)-((R2392-1)*(IF(Inputs!$B$38="pvp",15,MAX(0.1,Skills!D11-IF(TRUE=TRUE,Inputs!$B$32,0)))*(1-IF(AND(ArtifactsInput!$M$27,Inputs!$B$4="Chapter Hunt"),CHOOSE(ArtifactsInput!$N$27+1,20,24,28,32,36,40),0)/100)))))/Skills!H11+0.000000001),1)))/Inputs!$B$43),G2392*Q2392))*IF(Inputs!$B$38="pvp",1,(1+(Inputs!$B$21+Skills!Q11+(((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Skills!G13*IF(Skills!H13&gt;0,INT(IF(Inputs!$B$38="pvp",MIN(Skills!I13,15),Skills!I13)/Skills!H13+0.000000001),1)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Skills!G14*IF(Skills!H14&gt;0,INT(IF(Inputs!$B$38="pvp",MIN(Skills!I14,15),Skills!I14)/Skills!H14+0.000000001),1)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Skills!G15*IF(Skills!H15&gt;0,INT(IF(Inputs!$B$38="pvp",MIN(Skills!I15,15),Skills!I15)/Skills!H15+0.000000001),1)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IFERROR(1/(IF(Inputs!$B$38="pvp",15,MAX(0.1,Skills!D15-IF(TRUE=TRUE,Inputs!$B$32,0)))*(1-IF(AND(ArtifactsInput!$M$27,Inputs!$B$4="Chapter Hunt"),CHOOSE(ArtifactsInput!$N$27+1,20,24,28,32,36,40),0)/100)),0)</f>
        <v/>
      </c>
      <c r="R2396">
        <f>IF(AND(Inputs!$B$38&lt;&gt;"pvp",Inputs!$B$43&gt;0),IF(Inputs!$B$43&lt;=0,0,(INT(Inputs!$B$43/(IF(Inputs!$B$38="pvp",15,MAX(0.1,Skills!D15-IF(TRUE=TRUE,Inputs!$B$32,0)))*(1-IF(AND(ArtifactsInput!$M$27,Inputs!$B$4="Chapter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Skills!G16*IF(Skills!H16&gt;0,INT(IF(Inputs!$B$38="pvp",MIN(Skills!I16,15),Skills!I16)/Skills!H16+0.000000001),1)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IFERROR(1/(IF(Inputs!$B$38="pvp",15,MAX(0.1,Skills!D16-IF(TRUE=TRUE,Inputs!$B$32,0)))*(1-IF(AND(ArtifactsInput!$M$27,Inputs!$B$4="Chapter Hunt"),CHOOSE(ArtifactsInput!$N$27+1,20,24,28,32,36,40),0)/100)),0)</f>
        <v/>
      </c>
      <c r="R2397">
        <f>IF(AND(Inputs!$B$38&lt;&gt;"pvp",Inputs!$B$43&gt;0),IF(Inputs!$B$43&lt;=0,0,(INT(Inputs!$B$43/(IF(Inputs!$B$38="pvp",15,MAX(0.1,Skills!D16-IF(TRUE=TRUE,Inputs!$B$32,0)))*(1-IF(AND(ArtifactsInput!$M$27,Inputs!$B$4="Chapter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Skills!G17*IF(Skills!H17&gt;0,INT(IF(Inputs!$B$38="pvp",MIN(Skills!I17,15),Skills!I17)/Skills!H17+0.000000001),1)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IFERROR(1/(IF(Inputs!$B$38="pvp",15,MAX(0.1,Skills!D17-IF(TRUE=TRUE,Inputs!$B$32,0)))*(1-IF(AND(ArtifactsInput!$M$27,Inputs!$B$4="Chapter Hunt"),CHOOSE(ArtifactsInput!$N$27+1,20,24,28,32,36,40),0)/100)),0)</f>
        <v/>
      </c>
      <c r="R2398">
        <f>IF(AND(Inputs!$B$38&lt;&gt;"pvp",Inputs!$B$43&gt;0),IF(Inputs!$B$43&lt;=0,0,(INT(Inputs!$B$43/(IF(Inputs!$B$38="pvp",15,MAX(0.1,Skills!D17-IF(TRUE=TRUE,Inputs!$B$32,0)))*(1-IF(AND(ArtifactsInput!$M$27,Inputs!$B$4="Chapter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Skills!G18*IF(Skills!H18&gt;0,INT(IF(Inputs!$B$38="pvp",MIN(Skills!I18,15),Skills!I18)/Skills!H18+0.000000001),1)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IFERROR(1/(IF(Inputs!$B$38="pvp",15,MAX(0.1,Skills!D18-IF(TRUE=TRUE,Inputs!$B$32,0)))*(1-IF(AND(ArtifactsInput!$M$27,Inputs!$B$4="Chapter Hunt"),CHOOSE(ArtifactsInput!$N$27+1,20,24,28,32,36,40),0)/100)),0)</f>
        <v/>
      </c>
      <c r="R2399">
        <f>IF(AND(Inputs!$B$38&lt;&gt;"pvp",Inputs!$B$43&gt;0),IF(Inputs!$B$43&lt;=0,0,(INT(Inputs!$B$43/(IF(Inputs!$B$38="pvp",15,MAX(0.1,Skills!D18-IF(TRUE=TRUE,Inputs!$B$32,0)))*(1-IF(AND(ArtifactsInput!$M$27,Inputs!$B$4="Chapter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Skills!G19*IF(Skills!H19&gt;0,INT(IF(Inputs!$B$38="pvp",MIN(Skills!I19,15),Skills!I19)/Skills!H19+0.000000001),1)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IFERROR(1/(IF(Inputs!$B$38="pvp",15,MAX(0.1,Skills!D19-IF(TRUE=TRUE,Inputs!$B$32,0)))*(1-IF(AND(ArtifactsInput!$M$27,Inputs!$B$4="Chapter Hunt"),CHOOSE(ArtifactsInput!$N$27+1,20,24,28,32,36,40),0)/100)),0)</f>
        <v/>
      </c>
      <c r="R2400">
        <f>IF(AND(Inputs!$B$38&lt;&gt;"pvp",Inputs!$B$43&gt;0),IF(Inputs!$B$43&lt;=0,0,(INT(Inputs!$B$43/(IF(Inputs!$B$38="pvp",15,MAX(0.1,Skills!D19-IF(TRUE=TRUE,Inputs!$B$32,0)))*(1-IF(AND(ArtifactsInput!$M$27,Inputs!$B$4="Chapter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Skills!G20*IF(Skills!H20&gt;0,INT(IF(Inputs!$B$38="pvp",MIN(Skills!I20,15),Skills!I20)/Skills!H20+0.000000001),1)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Skills!G21*IF(Skills!H21&gt;0,INT(IF(Inputs!$B$38="pvp",MIN(Skills!I21,15),Skills!I21)/Skills!H21+0.000000001),1)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Skills!G22*IF(Skills!H22&gt;0,INT(IF(Inputs!$B$38="pvp",MIN(Skills!I22,15),Skills!I22)/Skills!H22+0.000000001),1)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Skills!G23*IF(Skills!H23&gt;0,INT(IF(Inputs!$B$38="pvp",MIN(Skills!I23,15),Skills!I23)/Skills!H23+0.000000001),1)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Skills!G24*IF(Skills!H24&gt;0,INT(IF(Inputs!$B$38="pvp",MIN(Skills!I24,15),Skills!I24)/Skills!H24+0.000000001),1)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Skills!G25*IF(Skills!H25&gt;0,INT(IF(Inputs!$B$38="pvp",MIN(Skills!I25,15),Skills!I25)/Skills!H25+0.000000001),1)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Skills!G26*IF(Skills!H26&gt;0,INT(IF(Inputs!$B$38="pvp",MIN(Skills!I26,15),Skills!I26)/Skills!H26+0.000000001),1)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MIN((Skills!T19*(1+(Inputs!$B$34+(ArtifactsInput!$M$7-ArtifactsInput!$M$7)*CHOOSE(ArtifactsInput!$N$7+1,6,7.2,8.4,9.6,10.8,12))/100)),(1/Q2400))+MIN((Skills!T19*(1+(Inputs!$B$34+(ArtifactsInput!$M$7-ArtifactsInput!$M$7)*CHOOSE(ArtifactsInput!$N$7+1,6,7.2,8.4,9.6,10.8,12))/100)),MAX(0,Inputs!$B$43-((R2400-1)*(1/Q2400)))))/Inputs!$B$43),IF(Inputs!$B$38="pvp",MIN((Skills!T19*(1+(Inputs!$B$34+(ArtifactsInput!$M$7-ArtifactsInput!$M$7)*CHOOSE(ArtifactsInput!$N$7+1,6,7.2,8.4,9.6,10.8,12))/100)),15)/15,MIN(1,(Skills!T19*(1+(Inputs!$B$34+(ArtifactsInput!$M$7-ArtifactsInput!$M$7)*CHOOSE(ArtifactsInput!$N$7+1,6,7.2,8.4,9.6,10.8,12))/100))/(1/Q2400)))))</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MIN((Skills!T18*(1+(Inputs!$B$34+(ArtifactsInput!$M$7-ArtifactsInput!$M$7)*CHOOSE(ArtifactsInput!$N$7+1,6,7.2,8.4,9.6,10.8,12))/100)),(1/Q2399))+MIN((Skills!T18*(1+(Inputs!$B$34+(ArtifactsInput!$M$7-ArtifactsInput!$M$7)*CHOOSE(ArtifactsInput!$N$7+1,6,7.2,8.4,9.6,10.8,12))/100)),MAX(0,Inputs!$B$43-((R2399-1)*(1/Q2399)))))/Inputs!$B$43),IF(Inputs!$B$38="pvp",MIN((Skills!T18*(1+(Inputs!$B$34+(ArtifactsInput!$M$7-ArtifactsInput!$M$7)*CHOOSE(ArtifactsInput!$N$7+1,6,7.2,8.4,9.6,10.8,12))/100)),15)/15,MIN(1,(Skills!T18*(1+(Inputs!$B$34+(ArtifactsInput!$M$7-ArtifactsInput!$M$7)*CHOOSE(ArtifactsInput!$N$7+1,6,7.2,8.4,9.6,10.8,12))/100))/(1/Q2399)))))</f>
        <v/>
      </c>
    </row>
    <row r="2416">
      <c r="A2416" t="inlineStr">
        <is>
          <t>Global Final Damage Bonus % (Enrage + Combo Synergy)</t>
        </is>
      </c>
      <c r="B2416">
        <f>((C2398=TRUE)*F2398*IF(AND(Inputs!$B$38&lt;&gt;"pvp",Inputs!$B$43&gt;0),(((R2398-1)*MIN((Skills!T17*(1+(Inputs!$B$34+(ArtifactsInput!$M$7-ArtifactsInput!$M$7)*CHOOSE(ArtifactsInput!$N$7+1,6,7.2,8.4,9.6,10.8,12))/100)),(1/Q2398))+MIN((Skills!T17*(1+(Inputs!$B$34+(ArtifactsInput!$M$7-ArtifactsInput!$M$7)*CHOOSE(ArtifactsInput!$N$7+1,6,7.2,8.4,9.6,10.8,12))/100)),MAX(0,Inputs!$B$43-((R2398-1)*(1/Q2398)))))/Inputs!$B$43),IF(Inputs!$B$38="pvp",MIN((Skills!T17*(1+(Inputs!$B$34+(ArtifactsInput!$M$7-ArtifactsInput!$M$7)*CHOOSE(ArtifactsInput!$N$7+1,6,7.2,8.4,9.6,10.8,12))/100)),15)/15,MIN(1,(Skills!T17*(1+(Inputs!$B$34+(ArtifactsInput!$M$7-ArtifactsInput!$M$7)*CHOOSE(ArtifactsInput!$N$7+1,6,7.2,8.4,9.6,10.8,12))/100))/(1/Q2398)))))+((C2395=TRUE)*F2395*IF(Inputs!$B$3&gt;=118,8,IF(Inputs!$B$3&gt;=110,7,5)))+IF(Inputs!$B$3&gt;=98,5,0)</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Skills!G2*IF(Skills!H2&gt;0,INT(IF(Inputs!$B$38="pvp",MIN(Skills!I2,15),Skills!I2)/Skills!H2+0.000000001),1)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Skills!G5*IF(Skills!H5&gt;0,INT(IF(Inputs!$B$38="pvp",MIN(Skills!I5,15),Skills!I5)/Skills!H5+0.000000001),1)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IFERROR(1/(IF(Inputs!$B$38="pvp",15,MAX(0.1,Skills!D5-IF(TRUE=TRUE,Inputs!$B$32,0)))*(1-IF(AND(ArtifactsInput!$M$27,Inputs!$B$4="Chapter Hunt"),CHOOSE(ArtifactsInput!$N$27+1,20,24,28,32,36,40),0)/100)),0)</f>
        <v/>
      </c>
      <c r="R2428">
        <f>IF(AND(Inputs!$B$38&lt;&gt;"pvp",Inputs!$B$43&gt;0),IF(MAX(0,Inputs!$B$43-B2459)&lt;=0,0,(INT(MAX(0,Inputs!$B$43-B2459)/(IF(Inputs!$B$38="pvp",15,MAX(0.1,Skills!D5-IF(TRUE=TRUE,Inputs!$B$32,0)))*(1-IF(AND(ArtifactsInput!$M$27,Inputs!$B$4="Chapter Hunt"),CHOOSE(ArtifactsInput!$N$27+1,20,24,28,32,36,40),0)/100)))+1)),0)</f>
        <v/>
      </c>
      <c r="S2428">
        <f>IFERROR(O2428/N2428,0)</f>
        <v/>
      </c>
      <c r="T2428">
        <f>IF(C2428,(H2428*N2428*IF(AND(Inputs!$B$38&lt;&gt;"pvp",Inputs!$B$43&gt;0),((Skills!G5*((R2428-1)*IF(Skills!H5&gt;0,INT(Skills!I5/Skills!H5+0.000000001),1)+IF(Skills!H5&gt;0,INT(MIN(Skills!I5,MAX(0,MAX(0,Inputs!$B$43-B2459)-((R2428-1)*(IF(Inputs!$B$38="pvp",15,MAX(0.1,Skills!D5-IF(TRUE=TRUE,Inputs!$B$32,0)))*(1-IF(AND(ArtifactsInput!$M$27,Inputs!$B$4="Chapter Hunt"),CHOOSE(ArtifactsInput!$N$27+1,20,24,28,32,36,40),0)/100)))))/Skills!H5+0.000000001),1)))/Inputs!$B$43),G2428*Q2428))*IF(Inputs!$B$38="pvp",1,1+(Inputs!$B$20+0+Skills!P5+(((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INT(Skills!I5/Skills!H5+0.000000001),1)+IF(Skills!H5&gt;0,INT(MIN(Skills!I5,MAX(0,MAX(0,Inputs!$B$43-B2459)-((R2428-1)*(IF(Inputs!$B$38="pvp",15,MAX(0.1,Skills!D5-IF(TRUE=TRUE,Inputs!$B$32,0)))*(1-IF(AND(ArtifactsInput!$M$27,Inputs!$B$4="Chapter Hunt"),CHOOSE(ArtifactsInput!$N$27+1,20,24,28,32,36,40),0)/100)))))/Skills!H5+0.000000001),1)))/Inputs!$B$43),G2428*Q2428))*IF(Inputs!$B$38="pvp",1,(1+(Inputs!$B$21+Skills!Q5+(((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Skills!G6*IF(Skills!H6&gt;0,INT(IF(Inputs!$B$38="pvp",MIN(Skills!I6,15),Skills!I6)/Skills!H6+0.000000001),1)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IFERROR(1/(IF(Inputs!$B$38="pvp",15,MAX(0.1,Skills!D6-IF(TRUE=TRUE,Inputs!$B$32,0)))*(1-IF(AND(ArtifactsInput!$M$27,Inputs!$B$4="Chapter Hunt"),CHOOSE(ArtifactsInput!$N$27+1,20,24,28,32,36,40),0)/100)),0)</f>
        <v/>
      </c>
      <c r="R2429">
        <f>IF(AND(Inputs!$B$38&lt;&gt;"pvp",Inputs!$B$43&gt;0),IF(MAX(0,Inputs!$B$43-B2459)&lt;=0,0,(INT(MAX(0,Inputs!$B$43-B2459)/(IF(Inputs!$B$38="pvp",15,MAX(0.1,Skills!D6-IF(TRUE=TRUE,Inputs!$B$32,0)))*(1-IF(AND(ArtifactsInput!$M$27,Inputs!$B$4="Chapter Hunt"),CHOOSE(ArtifactsInput!$N$27+1,20,24,28,32,36,40),0)/100)))+1)),0)</f>
        <v/>
      </c>
      <c r="S2429">
        <f>IFERROR(O2429/N2429,0)</f>
        <v/>
      </c>
      <c r="T2429">
        <f>IF(C2429,(H2429*N2429*IF(AND(Inputs!$B$38&lt;&gt;"pvp",Inputs!$B$43&gt;0),((Skills!G6*((R2429-1)*IF(Skills!H6&gt;0,INT(Skills!I6/Skills!H6+0.000000001),1)+IF(Skills!H6&gt;0,INT(MIN(Skills!I6,MAX(0,MAX(0,Inputs!$B$43-B2459)-((R2429-1)*(IF(Inputs!$B$38="pvp",15,MAX(0.1,Skills!D6-IF(TRUE=TRUE,Inputs!$B$32,0)))*(1-IF(AND(ArtifactsInput!$M$27,Inputs!$B$4="Chapter Hunt"),CHOOSE(ArtifactsInput!$N$27+1,20,24,28,32,36,40),0)/100)))))/Skills!H6+0.000000001),1)))/Inputs!$B$43),G2429*Q2429))*IF(Inputs!$B$38="pvp",1,1+(Inputs!$B$20+0+Skills!P6+(((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INT(Skills!I6/Skills!H6+0.000000001),1)+IF(Skills!H6&gt;0,INT(MIN(Skills!I6,MAX(0,MAX(0,Inputs!$B$43-B2459)-((R2429-1)*(IF(Inputs!$B$38="pvp",15,MAX(0.1,Skills!D6-IF(TRUE=TRUE,Inputs!$B$32,0)))*(1-IF(AND(ArtifactsInput!$M$27,Inputs!$B$4="Chapter Hunt"),CHOOSE(ArtifactsInput!$N$27+1,20,24,28,32,36,40),0)/100)))))/Skills!H6+0.000000001),1)))/Inputs!$B$43),G2429*Q2429))*IF(Inputs!$B$38="pvp",1,(1+(Inputs!$B$21+Skills!Q6+(((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Skills!G7*IF(Skills!H7&gt;0,INT(IF(Inputs!$B$38="pvp",MIN(Skills!I7,15),Skills!I7)/Skills!H7+0.000000001),1)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IFERROR(1/(IF(Inputs!$B$38="pvp",15,MAX(0.1,Skills!D7-IF(TRUE=TRUE,Inputs!$B$32,0)))*(1-IF(AND(ArtifactsInput!$M$27,Inputs!$B$4="Chapter Hunt"),CHOOSE(ArtifactsInput!$N$27+1,20,24,28,32,36,40),0)/100)),0)</f>
        <v/>
      </c>
      <c r="R2430">
        <f>IF(AND(Inputs!$B$38&lt;&gt;"pvp",Inputs!$B$43&gt;0),IF(MAX(0,Inputs!$B$43-B2459)&lt;=0,0,(INT(MAX(0,Inputs!$B$43-B2459)/(IF(Inputs!$B$38="pvp",15,MAX(0.1,Skills!D7-IF(TRUE=TRUE,Inputs!$B$32,0)))*(1-IF(AND(ArtifactsInput!$M$27,Inputs!$B$4="Chapter Hunt"),CHOOSE(ArtifactsInput!$N$27+1,20,24,28,32,36,40),0)/100)))+1)),0)</f>
        <v/>
      </c>
      <c r="S2430">
        <f>IFERROR(O2430/N2430,0)</f>
        <v/>
      </c>
      <c r="T2430">
        <f>IF(C2430,(H2430*N2430*IF(AND(Inputs!$B$38&lt;&gt;"pvp",Inputs!$B$43&gt;0),((Skills!G7*((R2430-1)*IF(Skills!H7&gt;0,INT(Skills!I7/Skills!H7+0.000000001),1)+IF(Skills!H7&gt;0,INT(MIN(Skills!I7,MAX(0,MAX(0,Inputs!$B$43-B2459)-((R2430-1)*(IF(Inputs!$B$38="pvp",15,MAX(0.1,Skills!D7-IF(TRUE=TRUE,Inputs!$B$32,0)))*(1-IF(AND(ArtifactsInput!$M$27,Inputs!$B$4="Chapter Hunt"),CHOOSE(ArtifactsInput!$N$27+1,20,24,28,32,36,40),0)/100)))))/Skills!H7+0.000000001),1)))/Inputs!$B$43),G2430*Q2430))*IF(Inputs!$B$38="pvp",1,1+(Inputs!$B$20+0+Skills!P7+(((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INT(Skills!I7/Skills!H7+0.000000001),1)+IF(Skills!H7&gt;0,INT(MIN(Skills!I7,MAX(0,MAX(0,Inputs!$B$43-B2459)-((R2430-1)*(IF(Inputs!$B$38="pvp",15,MAX(0.1,Skills!D7-IF(TRUE=TRUE,Inputs!$B$32,0)))*(1-IF(AND(ArtifactsInput!$M$27,Inputs!$B$4="Chapter Hunt"),CHOOSE(ArtifactsInput!$N$27+1,20,24,28,32,36,40),0)/100)))))/Skills!H7+0.000000001),1)))/Inputs!$B$43),G2430*Q2430))*IF(Inputs!$B$38="pvp",1,(1+(Inputs!$B$21+Skills!Q7+(((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Skills!G8*IF(Skills!H8&gt;0,INT(IF(Inputs!$B$38="pvp",MIN(Skills!I8,15),Skills!I8)/Skills!H8+0.000000001),1)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IFERROR(1/(IF(Inputs!$B$38="pvp",15,MAX(0.1,Skills!D8-IF(TRUE=TRUE,Inputs!$B$32,0)))*(1-IF(AND(ArtifactsInput!$M$27,Inputs!$B$4="Chapter Hunt"),CHOOSE(ArtifactsInput!$N$27+1,20,24,28,32,36,40),0)/100)),0)</f>
        <v/>
      </c>
      <c r="R2431">
        <f>IF(AND(Inputs!$B$38&lt;&gt;"pvp",Inputs!$B$43&gt;0),IF(MAX(0,Inputs!$B$43-B2459)&lt;=0,0,(INT(MAX(0,Inputs!$B$43-B2459)/(IF(Inputs!$B$38="pvp",15,MAX(0.1,Skills!D8-IF(TRUE=TRUE,Inputs!$B$32,0)))*(1-IF(AND(ArtifactsInput!$M$27,Inputs!$B$4="Chapter Hunt"),CHOOSE(ArtifactsInput!$N$27+1,20,24,28,32,36,40),0)/100)))+1)),0)</f>
        <v/>
      </c>
      <c r="S2431">
        <f>IFERROR(O2431/N2431,0)</f>
        <v/>
      </c>
      <c r="T2431">
        <f>IF(C2431,(H2431*N2431*IF(AND(Inputs!$B$38&lt;&gt;"pvp",Inputs!$B$43&gt;0),((Skills!G8*((R2431-1)*IF(Skills!H8&gt;0,INT(Skills!I8/Skills!H8+0.000000001),1)+IF(Skills!H8&gt;0,INT(MIN(Skills!I8,MAX(0,MAX(0,Inputs!$B$43-B2459)-((R2431-1)*(IF(Inputs!$B$38="pvp",15,MAX(0.1,Skills!D8-IF(TRUE=TRUE,Inputs!$B$32,0)))*(1-IF(AND(ArtifactsInput!$M$27,Inputs!$B$4="Chapter Hunt"),CHOOSE(ArtifactsInput!$N$27+1,20,24,28,32,36,40),0)/100)))))/Skills!H8+0.000000001),1)))/Inputs!$B$43),G2431*Q2431))*IF(Inputs!$B$38="pvp",1,1+(Inputs!$B$20+0+Skills!P8+(((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INT(Skills!I8/Skills!H8+0.000000001),1)+IF(Skills!H8&gt;0,INT(MIN(Skills!I8,MAX(0,MAX(0,Inputs!$B$43-B2459)-((R2431-1)*(IF(Inputs!$B$38="pvp",15,MAX(0.1,Skills!D8-IF(TRUE=TRUE,Inputs!$B$32,0)))*(1-IF(AND(ArtifactsInput!$M$27,Inputs!$B$4="Chapter Hunt"),CHOOSE(ArtifactsInput!$N$27+1,20,24,28,32,36,40),0)/100)))))/Skills!H8+0.000000001),1)))/Inputs!$B$43),G2431*Q2431))*IF(Inputs!$B$38="pvp",1,(1+(Inputs!$B$21+Skills!Q8+(((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Skills!G9*IF(Skills!H9&gt;0,INT(IF(Inputs!$B$38="pvp",MIN(Skills!I9,15),Skills!I9)/Skills!H9+0.000000001),1)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138,MAX(0,IF(Inputs!$B$3&gt;=118,8,IF(Inputs!$B$3&gt;=110,7,5))-5)*50,0),0)/100)*(1+(IF(Skills!A9="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IFERROR(1/(IF(Inputs!$B$38="pvp",15,MAX(0.1,Skills!D9-IF(TRUE=TRUE,Inputs!$B$32,0)))*(1-IF(AND(ArtifactsInput!$M$27,Inputs!$B$4="Chapter Hunt"),CHOOSE(ArtifactsInput!$N$27+1,20,24,28,32,36,40),0)/100)),0)</f>
        <v/>
      </c>
      <c r="R2432">
        <f>IF(AND(Inputs!$B$38&lt;&gt;"pvp",Inputs!$B$43&gt;0),IF(MAX(0,Inputs!$B$43-B2459)&lt;=0,0,(INT(MAX(0,Inputs!$B$43-B2459)/(IF(Inputs!$B$38="pvp",15,MAX(0.1,Skills!D9-IF(TRUE=TRUE,Inputs!$B$32,0)))*(1-IF(AND(ArtifactsInput!$M$27,Inputs!$B$4="Chapter Hunt"),CHOOSE(ArtifactsInput!$N$27+1,20,24,28,32,36,40),0)/100)))+1)),0)</f>
        <v/>
      </c>
      <c r="S2432">
        <f>IFERROR(O2432/N2432,0)</f>
        <v/>
      </c>
      <c r="T2432">
        <f>IF(C2432,(H2432*N2432*IF(AND(Inputs!$B$38&lt;&gt;"pvp",Inputs!$B$43&gt;0),((Skills!G9*((R2432-1)*IF(Skills!H9&gt;0,INT(Skills!I9/Skills!H9+0.000000001),1)+IF(Skills!H9&gt;0,INT(MIN(Skills!I9,MAX(0,MAX(0,Inputs!$B$43-B2459)-((R2432-1)*(IF(Inputs!$B$38="pvp",15,MAX(0.1,Skills!D9-IF(TRUE=TRUE,Inputs!$B$32,0)))*(1-IF(AND(ArtifactsInput!$M$27,Inputs!$B$4="Chapter Hunt"),CHOOSE(ArtifactsInput!$N$27+1,20,24,28,32,36,40),0)/100)))))/Skills!H9+0.000000001),1)))/Inputs!$B$43),G2432*Q2432))*IF(Inputs!$B$38="pvp",1,1+(Inputs!$B$20+0+Skills!P9+(((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INT(Skills!I9/Skills!H9+0.000000001),1)+IF(Skills!H9&gt;0,INT(MIN(Skills!I9,MAX(0,MAX(0,Inputs!$B$43-B2459)-((R2432-1)*(IF(Inputs!$B$38="pvp",15,MAX(0.1,Skills!D9-IF(TRUE=TRUE,Inputs!$B$32,0)))*(1-IF(AND(ArtifactsInput!$M$27,Inputs!$B$4="Chapter Hunt"),CHOOSE(ArtifactsInput!$N$27+1,20,24,28,32,36,40),0)/100)))))/Skills!H9+0.000000001),1)))/Inputs!$B$43),G2432*Q2432))*IF(Inputs!$B$38="pvp",1,(1+(Inputs!$B$21+Skills!Q9+(((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Skills!G10*IF(Skills!H10&gt;0,INT(IF(Inputs!$B$38="pvp",MIN(Skills!I10,15),Skills!I10)/Skills!H10+0.000000001),1)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138,MAX(0,IF(Inputs!$B$3&gt;=118,8,IF(Inputs!$B$3&gt;=110,7,5))-5)*50,0),0)/100)*(1+(IF(Skills!A10="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IFERROR(1/(IF(Inputs!$B$38="pvp",15,MAX(0.1,Skills!D10-IF(TRUE=TRUE,Inputs!$B$32,0)))*(1-IF(AND(ArtifactsInput!$M$27,Inputs!$B$4="Chapter Hunt"),CHOOSE(ArtifactsInput!$N$27+1,20,24,28,32,36,40),0)/100)),0)</f>
        <v/>
      </c>
      <c r="R2433">
        <f>IF(AND(Inputs!$B$38&lt;&gt;"pvp",Inputs!$B$43&gt;0),IF(MAX(0,Inputs!$B$43-B2459)&lt;=0,0,(INT(MAX(0,Inputs!$B$43-B2459)/(IF(Inputs!$B$38="pvp",15,MAX(0.1,Skills!D10-IF(TRUE=TRUE,Inputs!$B$32,0)))*(1-IF(AND(ArtifactsInput!$M$27,Inputs!$B$4="Chapter Hunt"),CHOOSE(ArtifactsInput!$N$27+1,20,24,28,32,36,40),0)/100)))+1)),0)</f>
        <v/>
      </c>
      <c r="S2433">
        <f>IFERROR(O2433/N2433,0)</f>
        <v/>
      </c>
      <c r="T2433">
        <f>IF(C2433,(H2433*N2433*IF(AND(Inputs!$B$38&lt;&gt;"pvp",Inputs!$B$43&gt;0),((Skills!G10*((R2433-1)*IF(Skills!H10&gt;0,INT(Skills!I10/Skills!H10+0.000000001),1)+IF(Skills!H10&gt;0,INT(MIN(Skills!I10,MAX(0,MAX(0,Inputs!$B$43-B2459)-((R2433-1)*(IF(Inputs!$B$38="pvp",15,MAX(0.1,Skills!D10-IF(TRUE=TRUE,Inputs!$B$32,0)))*(1-IF(AND(ArtifactsInput!$M$27,Inputs!$B$4="Chapter Hunt"),CHOOSE(ArtifactsInput!$N$27+1,20,24,28,32,36,40),0)/100)))))/Skills!H10+0.000000001),1)))/Inputs!$B$43),G2433*Q2433))*IF(Inputs!$B$38="pvp",1,1+(Inputs!$B$20+0+Skills!P10+(((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INT(Skills!I10/Skills!H10+0.000000001),1)+IF(Skills!H10&gt;0,INT(MIN(Skills!I10,MAX(0,MAX(0,Inputs!$B$43-B2459)-((R2433-1)*(IF(Inputs!$B$38="pvp",15,MAX(0.1,Skills!D10-IF(TRUE=TRUE,Inputs!$B$32,0)))*(1-IF(AND(ArtifactsInput!$M$27,Inputs!$B$4="Chapter Hunt"),CHOOSE(ArtifactsInput!$N$27+1,20,24,28,32,36,40),0)/100)))))/Skills!H10+0.000000001),1)))/Inputs!$B$43),G2433*Q2433))*IF(Inputs!$B$38="pvp",1,(1+(Inputs!$B$21+Skills!Q10+(((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Skills!G11*IF(Skills!H11&gt;0,INT(IF(Inputs!$B$38="pvp",MIN(Skills!I11,15),Skills!I11)/Skills!H11+0.000000001),1)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138,MAX(0,IF(Inputs!$B$3&gt;=118,8,IF(Inputs!$B$3&gt;=110,7,5))-5)*50,0),0)/100)*(1+(IF(Skills!A11="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IFERROR(1/(IF(Inputs!$B$38="pvp",15,MAX(0.1,Skills!D11-IF(TRUE=TRUE,Inputs!$B$32,0)))*(1-IF(AND(ArtifactsInput!$M$27,Inputs!$B$4="Chapter Hunt"),CHOOSE(ArtifactsInput!$N$27+1,20,24,28,32,36,40),0)/100)),0)</f>
        <v/>
      </c>
      <c r="R2434">
        <f>IF(AND(Inputs!$B$38&lt;&gt;"pvp",Inputs!$B$43&gt;0),IF(MAX(0,Inputs!$B$43-B2459)&lt;=0,0,(INT(MAX(0,Inputs!$B$43-B2459)/(IF(Inputs!$B$38="pvp",15,MAX(0.1,Skills!D11-IF(TRUE=TRUE,Inputs!$B$32,0)))*(1-IF(AND(ArtifactsInput!$M$27,Inputs!$B$4="Chapter Hunt"),CHOOSE(ArtifactsInput!$N$27+1,20,24,28,32,36,40),0)/100)))+1)),0)</f>
        <v/>
      </c>
      <c r="S2434">
        <f>IFERROR(O2434/N2434,0)</f>
        <v/>
      </c>
      <c r="T2434">
        <f>IF(C2434,(H2434*N2434*IF(AND(Inputs!$B$38&lt;&gt;"pvp",Inputs!$B$43&gt;0),((Skills!G11*((R2434-1)*IF(Skills!H11&gt;0,INT(Skills!I11/Skills!H11+0.000000001),1)+IF(Skills!H11&gt;0,INT(MIN(Skills!I11,MAX(0,MAX(0,Inputs!$B$43-B2459)-((R2434-1)*(IF(Inputs!$B$38="pvp",15,MAX(0.1,Skills!D11-IF(TRUE=TRUE,Inputs!$B$32,0)))*(1-IF(AND(ArtifactsInput!$M$27,Inputs!$B$4="Chapter Hunt"),CHOOSE(ArtifactsInput!$N$27+1,20,24,28,32,36,40),0)/100)))))/Skills!H11+0.000000001),1)))/Inputs!$B$43),G2434*Q2434))*IF(Inputs!$B$38="pvp",1,1+(Inputs!$B$20+0+Skills!P11+(((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INT(Skills!I11/Skills!H11+0.000000001),1)+IF(Skills!H11&gt;0,INT(MIN(Skills!I11,MAX(0,MAX(0,Inputs!$B$43-B2459)-((R2434-1)*(IF(Inputs!$B$38="pvp",15,MAX(0.1,Skills!D11-IF(TRUE=TRUE,Inputs!$B$32,0)))*(1-IF(AND(ArtifactsInput!$M$27,Inputs!$B$4="Chapter Hunt"),CHOOSE(ArtifactsInput!$N$27+1,20,24,28,32,36,40),0)/100)))))/Skills!H11+0.000000001),1)))/Inputs!$B$43),G2434*Q2434))*IF(Inputs!$B$38="pvp",1,(1+(Inputs!$B$21+Skills!Q11+(((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Skills!G13*IF(Skills!H13&gt;0,INT(IF(Inputs!$B$38="pvp",MIN(Skills!I13,15),Skills!I13)/Skills!H13+0.000000001),1)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Skills!G14*IF(Skills!H14&gt;0,INT(IF(Inputs!$B$38="pvp",MIN(Skills!I14,15),Skills!I14)/Skills!H14+0.000000001),1)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Skills!G15*IF(Skills!H15&gt;0,INT(IF(Inputs!$B$38="pvp",MIN(Skills!I15,15),Skills!I15)/Skills!H15+0.000000001),1)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IFERROR(1/(IF(Inputs!$B$38="pvp",15,MAX(0.1,Skills!D15-IF(TRUE=TRUE,Inputs!$B$32,0)))*(1-IF(AND(ArtifactsInput!$M$27,Inputs!$B$4="Chapter Hunt"),CHOOSE(ArtifactsInput!$N$27+1,20,24,28,32,36,40),0)/100)),0)</f>
        <v/>
      </c>
      <c r="R2438">
        <f>IF(AND(Inputs!$B$38&lt;&gt;"pvp",Inputs!$B$43&gt;0),IF(Inputs!$B$43&lt;=0,0,(INT(Inputs!$B$43/(IF(Inputs!$B$38="pvp",15,MAX(0.1,Skills!D15-IF(TRUE=TRUE,Inputs!$B$32,0)))*(1-IF(AND(ArtifactsInput!$M$27,Inputs!$B$4="Chapter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Skills!G16*IF(Skills!H16&gt;0,INT(IF(Inputs!$B$38="pvp",MIN(Skills!I16,15),Skills!I16)/Skills!H16+0.000000001),1)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IFERROR(1/(IF(Inputs!$B$38="pvp",15,MAX(0.1,Skills!D16-IF(TRUE=TRUE,Inputs!$B$32,0)))*(1-IF(AND(ArtifactsInput!$M$27,Inputs!$B$4="Chapter Hunt"),CHOOSE(ArtifactsInput!$N$27+1,20,24,28,32,36,40),0)/100)),0)</f>
        <v/>
      </c>
      <c r="R2439">
        <f>IF(AND(Inputs!$B$38&lt;&gt;"pvp",Inputs!$B$43&gt;0),IF(Inputs!$B$43&lt;=0,0,(INT(Inputs!$B$43/(IF(Inputs!$B$38="pvp",15,MAX(0.1,Skills!D16-IF(TRUE=TRUE,Inputs!$B$32,0)))*(1-IF(AND(ArtifactsInput!$M$27,Inputs!$B$4="Chapter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Skills!G17*IF(Skills!H17&gt;0,INT(IF(Inputs!$B$38="pvp",MIN(Skills!I17,15),Skills!I17)/Skills!H17+0.000000001),1)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Skills!G18*IF(Skills!H18&gt;0,INT(IF(Inputs!$B$38="pvp",MIN(Skills!I18,15),Skills!I18)/Skills!H18+0.000000001),1)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Skills!G19*IF(Skills!H19&gt;0,INT(IF(Inputs!$B$38="pvp",MIN(Skills!I19,15),Skills!I19)/Skills!H19+0.000000001),1)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IFERROR(1/(IF(Inputs!$B$38="pvp",15,MAX(0.1,Skills!D19-IF(TRUE=TRUE,Inputs!$B$32,0)))*(1-IF(AND(ArtifactsInput!$M$27,Inputs!$B$4="Chapter Hunt"),CHOOSE(ArtifactsInput!$N$27+1,20,24,28,32,36,40),0)/100)),0)</f>
        <v/>
      </c>
      <c r="R2442">
        <f>IF(AND(Inputs!$B$38&lt;&gt;"pvp",Inputs!$B$43&gt;0),IF(Inputs!$B$43&lt;=0,0,(INT(Inputs!$B$43/(IF(Inputs!$B$38="pvp",15,MAX(0.1,Skills!D19-IF(TRUE=TRUE,Inputs!$B$32,0)))*(1-IF(AND(ArtifactsInput!$M$27,Inputs!$B$4="Chapter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Skills!G20*IF(Skills!H20&gt;0,INT(IF(Inputs!$B$38="pvp",MIN(Skills!I20,15),Skills!I20)/Skills!H20+0.000000001),1)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Skills!G21*IF(Skills!H21&gt;0,INT(IF(Inputs!$B$38="pvp",MIN(Skills!I21,15),Skills!I21)/Skills!H21+0.000000001),1)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Skills!G22*IF(Skills!H22&gt;0,INT(IF(Inputs!$B$38="pvp",MIN(Skills!I22,15),Skills!I22)/Skills!H22+0.000000001),1)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Skills!G23*IF(Skills!H23&gt;0,INT(IF(Inputs!$B$38="pvp",MIN(Skills!I23,15),Skills!I23)/Skills!H23+0.000000001),1)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Skills!G24*IF(Skills!H24&gt;0,INT(IF(Inputs!$B$38="pvp",MIN(Skills!I24,15),Skills!I24)/Skills!H24+0.000000001),1)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Skills!G25*IF(Skills!H25&gt;0,INT(IF(Inputs!$B$38="pvp",MIN(Skills!I25,15),Skills!I25)/Skills!H25+0.000000001),1)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Skills!G26*IF(Skills!H26&gt;0,INT(IF(Inputs!$B$38="pvp",MIN(Skills!I26,15),Skills!I26)/Skills!H26+0.000000001),1)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MIN((Skills!T19*(1+(Inputs!$B$34+(ArtifactsInput!$M$7-ArtifactsInput!$M$7)*CHOOSE(ArtifactsInput!$N$7+1,6,7.2,8.4,9.6,10.8,12))/100)),(1/Q2442))+MIN((Skills!T19*(1+(Inputs!$B$34+(ArtifactsInput!$M$7-ArtifactsInput!$M$7)*CHOOSE(ArtifactsInput!$N$7+1,6,7.2,8.4,9.6,10.8,12))/100)),MAX(0,Inputs!$B$43-((R2442-1)*(1/Q2442)))))/Inputs!$B$43),IF(Inputs!$B$38="pvp",MIN((Skills!T19*(1+(Inputs!$B$34+(ArtifactsInput!$M$7-ArtifactsInput!$M$7)*CHOOSE(ArtifactsInput!$N$7+1,6,7.2,8.4,9.6,10.8,12))/100)),15)/15,MIN(1,(Skills!T19*(1+(Inputs!$B$34+(ArtifactsInput!$M$7-ArtifactsInput!$M$7)*CHOOSE(ArtifactsInput!$N$7+1,6,7.2,8.4,9.6,10.8,12))/100))/(1/Q2442)))))</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MIN((Skills!T18*(1+(Inputs!$B$34+(ArtifactsInput!$M$7-ArtifactsInput!$M$7)*CHOOSE(ArtifactsInput!$N$7+1,6,7.2,8.4,9.6,10.8,12))/100)),(1/Q2441))+MIN((Skills!T18*(1+(Inputs!$B$34+(ArtifactsInput!$M$7-ArtifactsInput!$M$7)*CHOOSE(ArtifactsInput!$N$7+1,6,7.2,8.4,9.6,10.8,12))/100)),MAX(0,Inputs!$B$43-((R2441-1)*(1/Q2441)))))/Inputs!$B$43),IF(Inputs!$B$38="pvp",MIN((Skills!T18*(1+(Inputs!$B$34+(ArtifactsInput!$M$7-ArtifactsInput!$M$7)*CHOOSE(ArtifactsInput!$N$7+1,6,7.2,8.4,9.6,10.8,12))/100)),15)/15,MIN(1,(Skills!T18*(1+(Inputs!$B$34+(ArtifactsInput!$M$7-ArtifactsInput!$M$7)*CHOOSE(ArtifactsInput!$N$7+1,6,7.2,8.4,9.6,10.8,12))/100))/(1/Q2441)))))</f>
        <v/>
      </c>
    </row>
    <row r="2458">
      <c r="A2458" t="inlineStr">
        <is>
          <t>Global Final Damage Bonus % (Enrage + Combo Synergy)</t>
        </is>
      </c>
      <c r="B2458">
        <f>((C2440=TRUE)*F2440*IF(AND(Inputs!$B$38&lt;&gt;"pvp",Inputs!$B$43&gt;0),(((R2440-1)*MIN((Skills!T17*(1+(Inputs!$B$34+(ArtifactsInput!$M$7-ArtifactsInput!$M$7)*CHOOSE(ArtifactsInput!$N$7+1,6,7.2,8.4,9.6,10.8,12))/100)),(1/Q2440))+MIN((Skills!T17*(1+(Inputs!$B$34+(ArtifactsInput!$M$7-ArtifactsInput!$M$7)*CHOOSE(ArtifactsInput!$N$7+1,6,7.2,8.4,9.6,10.8,12))/100)),MAX(0,Inputs!$B$43-((R2440-1)*(1/Q2440)))))/Inputs!$B$43),IF(Inputs!$B$38="pvp",MIN((Skills!T17*(1+(Inputs!$B$34+(ArtifactsInput!$M$7-ArtifactsInput!$M$7)*CHOOSE(ArtifactsInput!$N$7+1,6,7.2,8.4,9.6,10.8,12))/100)),15)/15,MIN(1,(Skills!T17*(1+(Inputs!$B$34+(ArtifactsInput!$M$7-ArtifactsInput!$M$7)*CHOOSE(ArtifactsInput!$N$7+1,6,7.2,8.4,9.6,10.8,12))/100))/(1/Q2440)))))+((C2437=TRUE)*F2437*IF(Inputs!$B$3&gt;=118,8,IF(Inputs!$B$3&gt;=110,7,5)))+IF(Inputs!$B$3&gt;=98,5,0)</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Skills!G2*IF(Skills!H2&gt;0,INT(IF(Inputs!$B$38="pvp",MIN(Skills!I2,15),Skills!I2)/Skills!H2+0.000000001),1)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Skills!G5*IF(Skills!H5&gt;0,INT(IF(Inputs!$B$38="pvp",MIN(Skills!I5,15),Skills!I5)/Skills!H5+0.000000001),1)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IFERROR(1/(IF(Inputs!$B$38="pvp",15,MAX(0.1,Skills!D5-IF(TRUE=TRUE,Inputs!$B$32,0)))*(1-IF(AND(ArtifactsInput!$M$27,Inputs!$B$4="Chapter Hunt"),CHOOSE(ArtifactsInput!$N$27+1,20,24,28,32,36,40),0)/100)),0)</f>
        <v/>
      </c>
      <c r="R2470">
        <f>IF(AND(Inputs!$B$38&lt;&gt;"pvp",Inputs!$B$43&gt;0),IF(MAX(0,Inputs!$B$43-B2501)&lt;=0,0,(INT(MAX(0,Inputs!$B$43-B2501)/(IF(Inputs!$B$38="pvp",15,MAX(0.1,Skills!D5-IF(TRUE=TRUE,Inputs!$B$32,0)))*(1-IF(AND(ArtifactsInput!$M$27,Inputs!$B$4="Chapter Hunt"),CHOOSE(ArtifactsInput!$N$27+1,20,24,28,32,36,40),0)/100)))+1)),0)</f>
        <v/>
      </c>
      <c r="S2470">
        <f>IFERROR(O2470/N2470,0)</f>
        <v/>
      </c>
      <c r="T2470">
        <f>IF(C2470,(H2470*N2470*IF(AND(Inputs!$B$38&lt;&gt;"pvp",Inputs!$B$43&gt;0),((Skills!G5*((R2470-1)*IF(Skills!H5&gt;0,INT(Skills!I5/Skills!H5+0.000000001),1)+IF(Skills!H5&gt;0,INT(MIN(Skills!I5,MAX(0,MAX(0,Inputs!$B$43-B2501)-((R2470-1)*(IF(Inputs!$B$38="pvp",15,MAX(0.1,Skills!D5-IF(TRUE=TRUE,Inputs!$B$32,0)))*(1-IF(AND(ArtifactsInput!$M$27,Inputs!$B$4="Chapter Hunt"),CHOOSE(ArtifactsInput!$N$27+1,20,24,28,32,36,40),0)/100)))))/Skills!H5+0.000000001),1)))/Inputs!$B$43),G2470*Q2470))*IF(Inputs!$B$38="pvp",1,1+(Inputs!$B$20+0+Skills!P5+(((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INT(Skills!I5/Skills!H5+0.000000001),1)+IF(Skills!H5&gt;0,INT(MIN(Skills!I5,MAX(0,MAX(0,Inputs!$B$43-B2501)-((R2470-1)*(IF(Inputs!$B$38="pvp",15,MAX(0.1,Skills!D5-IF(TRUE=TRUE,Inputs!$B$32,0)))*(1-IF(AND(ArtifactsInput!$M$27,Inputs!$B$4="Chapter Hunt"),CHOOSE(ArtifactsInput!$N$27+1,20,24,28,32,36,40),0)/100)))))/Skills!H5+0.000000001),1)))/Inputs!$B$43),G2470*Q2470))*IF(Inputs!$B$38="pvp",1,(1+(Inputs!$B$21+Skills!Q5+(((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Skills!G6*IF(Skills!H6&gt;0,INT(IF(Inputs!$B$38="pvp",MIN(Skills!I6,15),Skills!I6)/Skills!H6+0.000000001),1)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IFERROR(1/(IF(Inputs!$B$38="pvp",15,MAX(0.1,Skills!D6-IF(TRUE=TRUE,Inputs!$B$32,0)))*(1-IF(AND(ArtifactsInput!$M$27,Inputs!$B$4="Chapter Hunt"),CHOOSE(ArtifactsInput!$N$27+1,20,24,28,32,36,40),0)/100)),0)</f>
        <v/>
      </c>
      <c r="R2471">
        <f>IF(AND(Inputs!$B$38&lt;&gt;"pvp",Inputs!$B$43&gt;0),IF(MAX(0,Inputs!$B$43-B2501)&lt;=0,0,(INT(MAX(0,Inputs!$B$43-B2501)/(IF(Inputs!$B$38="pvp",15,MAX(0.1,Skills!D6-IF(TRUE=TRUE,Inputs!$B$32,0)))*(1-IF(AND(ArtifactsInput!$M$27,Inputs!$B$4="Chapter Hunt"),CHOOSE(ArtifactsInput!$N$27+1,20,24,28,32,36,40),0)/100)))+1)),0)</f>
        <v/>
      </c>
      <c r="S2471">
        <f>IFERROR(O2471/N2471,0)</f>
        <v/>
      </c>
      <c r="T2471">
        <f>IF(C2471,(H2471*N2471*IF(AND(Inputs!$B$38&lt;&gt;"pvp",Inputs!$B$43&gt;0),((Skills!G6*((R2471-1)*IF(Skills!H6&gt;0,INT(Skills!I6/Skills!H6+0.000000001),1)+IF(Skills!H6&gt;0,INT(MIN(Skills!I6,MAX(0,MAX(0,Inputs!$B$43-B2501)-((R2471-1)*(IF(Inputs!$B$38="pvp",15,MAX(0.1,Skills!D6-IF(TRUE=TRUE,Inputs!$B$32,0)))*(1-IF(AND(ArtifactsInput!$M$27,Inputs!$B$4="Chapter Hunt"),CHOOSE(ArtifactsInput!$N$27+1,20,24,28,32,36,40),0)/100)))))/Skills!H6+0.000000001),1)))/Inputs!$B$43),G2471*Q2471))*IF(Inputs!$B$38="pvp",1,1+(Inputs!$B$20+0+Skills!P6+(((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INT(Skills!I6/Skills!H6+0.000000001),1)+IF(Skills!H6&gt;0,INT(MIN(Skills!I6,MAX(0,MAX(0,Inputs!$B$43-B2501)-((R2471-1)*(IF(Inputs!$B$38="pvp",15,MAX(0.1,Skills!D6-IF(TRUE=TRUE,Inputs!$B$32,0)))*(1-IF(AND(ArtifactsInput!$M$27,Inputs!$B$4="Chapter Hunt"),CHOOSE(ArtifactsInput!$N$27+1,20,24,28,32,36,40),0)/100)))))/Skills!H6+0.000000001),1)))/Inputs!$B$43),G2471*Q2471))*IF(Inputs!$B$38="pvp",1,(1+(Inputs!$B$21+Skills!Q6+(((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Skills!G7*IF(Skills!H7&gt;0,INT(IF(Inputs!$B$38="pvp",MIN(Skills!I7,15),Skills!I7)/Skills!H7+0.000000001),1)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IFERROR(1/(IF(Inputs!$B$38="pvp",15,MAX(0.1,Skills!D7-IF(TRUE=TRUE,Inputs!$B$32,0)))*(1-IF(AND(ArtifactsInput!$M$27,Inputs!$B$4="Chapter Hunt"),CHOOSE(ArtifactsInput!$N$27+1,20,24,28,32,36,40),0)/100)),0)</f>
        <v/>
      </c>
      <c r="R2472">
        <f>IF(AND(Inputs!$B$38&lt;&gt;"pvp",Inputs!$B$43&gt;0),IF(MAX(0,Inputs!$B$43-B2501)&lt;=0,0,(INT(MAX(0,Inputs!$B$43-B2501)/(IF(Inputs!$B$38="pvp",15,MAX(0.1,Skills!D7-IF(TRUE=TRUE,Inputs!$B$32,0)))*(1-IF(AND(ArtifactsInput!$M$27,Inputs!$B$4="Chapter Hunt"),CHOOSE(ArtifactsInput!$N$27+1,20,24,28,32,36,40),0)/100)))+1)),0)</f>
        <v/>
      </c>
      <c r="S2472">
        <f>IFERROR(O2472/N2472,0)</f>
        <v/>
      </c>
      <c r="T2472">
        <f>IF(C2472,(H2472*N2472*IF(AND(Inputs!$B$38&lt;&gt;"pvp",Inputs!$B$43&gt;0),((Skills!G7*((R2472-1)*IF(Skills!H7&gt;0,INT(Skills!I7/Skills!H7+0.000000001),1)+IF(Skills!H7&gt;0,INT(MIN(Skills!I7,MAX(0,MAX(0,Inputs!$B$43-B2501)-((R2472-1)*(IF(Inputs!$B$38="pvp",15,MAX(0.1,Skills!D7-IF(TRUE=TRUE,Inputs!$B$32,0)))*(1-IF(AND(ArtifactsInput!$M$27,Inputs!$B$4="Chapter Hunt"),CHOOSE(ArtifactsInput!$N$27+1,20,24,28,32,36,40),0)/100)))))/Skills!H7+0.000000001),1)))/Inputs!$B$43),G2472*Q2472))*IF(Inputs!$B$38="pvp",1,1+(Inputs!$B$20+0+Skills!P7+(((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INT(Skills!I7/Skills!H7+0.000000001),1)+IF(Skills!H7&gt;0,INT(MIN(Skills!I7,MAX(0,MAX(0,Inputs!$B$43-B2501)-((R2472-1)*(IF(Inputs!$B$38="pvp",15,MAX(0.1,Skills!D7-IF(TRUE=TRUE,Inputs!$B$32,0)))*(1-IF(AND(ArtifactsInput!$M$27,Inputs!$B$4="Chapter Hunt"),CHOOSE(ArtifactsInput!$N$27+1,20,24,28,32,36,40),0)/100)))))/Skills!H7+0.000000001),1)))/Inputs!$B$43),G2472*Q2472))*IF(Inputs!$B$38="pvp",1,(1+(Inputs!$B$21+Skills!Q7+(((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Skills!G8*IF(Skills!H8&gt;0,INT(IF(Inputs!$B$38="pvp",MIN(Skills!I8,15),Skills!I8)/Skills!H8+0.000000001),1)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IFERROR(1/(IF(Inputs!$B$38="pvp",15,MAX(0.1,Skills!D8-IF(TRUE=TRUE,Inputs!$B$32,0)))*(1-IF(AND(ArtifactsInput!$M$27,Inputs!$B$4="Chapter Hunt"),CHOOSE(ArtifactsInput!$N$27+1,20,24,28,32,36,40),0)/100)),0)</f>
        <v/>
      </c>
      <c r="R2473">
        <f>IF(AND(Inputs!$B$38&lt;&gt;"pvp",Inputs!$B$43&gt;0),IF(MAX(0,Inputs!$B$43-B2501)&lt;=0,0,(INT(MAX(0,Inputs!$B$43-B2501)/(IF(Inputs!$B$38="pvp",15,MAX(0.1,Skills!D8-IF(TRUE=TRUE,Inputs!$B$32,0)))*(1-IF(AND(ArtifactsInput!$M$27,Inputs!$B$4="Chapter Hunt"),CHOOSE(ArtifactsInput!$N$27+1,20,24,28,32,36,40),0)/100)))+1)),0)</f>
        <v/>
      </c>
      <c r="S2473">
        <f>IFERROR(O2473/N2473,0)</f>
        <v/>
      </c>
      <c r="T2473">
        <f>IF(C2473,(H2473*N2473*IF(AND(Inputs!$B$38&lt;&gt;"pvp",Inputs!$B$43&gt;0),((Skills!G8*((R2473-1)*IF(Skills!H8&gt;0,INT(Skills!I8/Skills!H8+0.000000001),1)+IF(Skills!H8&gt;0,INT(MIN(Skills!I8,MAX(0,MAX(0,Inputs!$B$43-B2501)-((R2473-1)*(IF(Inputs!$B$38="pvp",15,MAX(0.1,Skills!D8-IF(TRUE=TRUE,Inputs!$B$32,0)))*(1-IF(AND(ArtifactsInput!$M$27,Inputs!$B$4="Chapter Hunt"),CHOOSE(ArtifactsInput!$N$27+1,20,24,28,32,36,40),0)/100)))))/Skills!H8+0.000000001),1)))/Inputs!$B$43),G2473*Q2473))*IF(Inputs!$B$38="pvp",1,1+(Inputs!$B$20+0+Skills!P8+(((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INT(Skills!I8/Skills!H8+0.000000001),1)+IF(Skills!H8&gt;0,INT(MIN(Skills!I8,MAX(0,MAX(0,Inputs!$B$43-B2501)-((R2473-1)*(IF(Inputs!$B$38="pvp",15,MAX(0.1,Skills!D8-IF(TRUE=TRUE,Inputs!$B$32,0)))*(1-IF(AND(ArtifactsInput!$M$27,Inputs!$B$4="Chapter Hunt"),CHOOSE(ArtifactsInput!$N$27+1,20,24,28,32,36,40),0)/100)))))/Skills!H8+0.000000001),1)))/Inputs!$B$43),G2473*Q2473))*IF(Inputs!$B$38="pvp",1,(1+(Inputs!$B$21+Skills!Q8+(((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Skills!G9*IF(Skills!H9&gt;0,INT(IF(Inputs!$B$38="pvp",MIN(Skills!I9,15),Skills!I9)/Skills!H9+0.000000001),1)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138,MAX(0,IF(Inputs!$B$3&gt;=118,8,IF(Inputs!$B$3&gt;=110,7,5))-5)*50,0),0)/100)*(1+(IF(Skills!A9="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IFERROR(1/(IF(Inputs!$B$38="pvp",15,MAX(0.1,Skills!D9-IF(TRUE=TRUE,Inputs!$B$32,0)))*(1-IF(AND(ArtifactsInput!$M$27,Inputs!$B$4="Chapter Hunt"),CHOOSE(ArtifactsInput!$N$27+1,20,24,28,32,36,40),0)/100)),0)</f>
        <v/>
      </c>
      <c r="R2474">
        <f>IF(AND(Inputs!$B$38&lt;&gt;"pvp",Inputs!$B$43&gt;0),IF(MAX(0,Inputs!$B$43-B2501)&lt;=0,0,(INT(MAX(0,Inputs!$B$43-B2501)/(IF(Inputs!$B$38="pvp",15,MAX(0.1,Skills!D9-IF(TRUE=TRUE,Inputs!$B$32,0)))*(1-IF(AND(ArtifactsInput!$M$27,Inputs!$B$4="Chapter Hunt"),CHOOSE(ArtifactsInput!$N$27+1,20,24,28,32,36,40),0)/100)))+1)),0)</f>
        <v/>
      </c>
      <c r="S2474">
        <f>IFERROR(O2474/N2474,0)</f>
        <v/>
      </c>
      <c r="T2474">
        <f>IF(C2474,(H2474*N2474*IF(AND(Inputs!$B$38&lt;&gt;"pvp",Inputs!$B$43&gt;0),((Skills!G9*((R2474-1)*IF(Skills!H9&gt;0,INT(Skills!I9/Skills!H9+0.000000001),1)+IF(Skills!H9&gt;0,INT(MIN(Skills!I9,MAX(0,MAX(0,Inputs!$B$43-B2501)-((R2474-1)*(IF(Inputs!$B$38="pvp",15,MAX(0.1,Skills!D9-IF(TRUE=TRUE,Inputs!$B$32,0)))*(1-IF(AND(ArtifactsInput!$M$27,Inputs!$B$4="Chapter Hunt"),CHOOSE(ArtifactsInput!$N$27+1,20,24,28,32,36,40),0)/100)))))/Skills!H9+0.000000001),1)))/Inputs!$B$43),G2474*Q2474))*IF(Inputs!$B$38="pvp",1,1+(Inputs!$B$20+0+Skills!P9+(((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INT(Skills!I9/Skills!H9+0.000000001),1)+IF(Skills!H9&gt;0,INT(MIN(Skills!I9,MAX(0,MAX(0,Inputs!$B$43-B2501)-((R2474-1)*(IF(Inputs!$B$38="pvp",15,MAX(0.1,Skills!D9-IF(TRUE=TRUE,Inputs!$B$32,0)))*(1-IF(AND(ArtifactsInput!$M$27,Inputs!$B$4="Chapter Hunt"),CHOOSE(ArtifactsInput!$N$27+1,20,24,28,32,36,40),0)/100)))))/Skills!H9+0.000000001),1)))/Inputs!$B$43),G2474*Q2474))*IF(Inputs!$B$38="pvp",1,(1+(Inputs!$B$21+Skills!Q9+(((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Skills!G10*IF(Skills!H10&gt;0,INT(IF(Inputs!$B$38="pvp",MIN(Skills!I10,15),Skills!I10)/Skills!H10+0.000000001),1)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138,MAX(0,IF(Inputs!$B$3&gt;=118,8,IF(Inputs!$B$3&gt;=110,7,5))-5)*50,0),0)/100)*(1+(IF(Skills!A10="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IFERROR(1/(IF(Inputs!$B$38="pvp",15,MAX(0.1,Skills!D10-IF(TRUE=TRUE,Inputs!$B$32,0)))*(1-IF(AND(ArtifactsInput!$M$27,Inputs!$B$4="Chapter Hunt"),CHOOSE(ArtifactsInput!$N$27+1,20,24,28,32,36,40),0)/100)),0)</f>
        <v/>
      </c>
      <c r="R2475">
        <f>IF(AND(Inputs!$B$38&lt;&gt;"pvp",Inputs!$B$43&gt;0),IF(MAX(0,Inputs!$B$43-B2501)&lt;=0,0,(INT(MAX(0,Inputs!$B$43-B2501)/(IF(Inputs!$B$38="pvp",15,MAX(0.1,Skills!D10-IF(TRUE=TRUE,Inputs!$B$32,0)))*(1-IF(AND(ArtifactsInput!$M$27,Inputs!$B$4="Chapter Hunt"),CHOOSE(ArtifactsInput!$N$27+1,20,24,28,32,36,40),0)/100)))+1)),0)</f>
        <v/>
      </c>
      <c r="S2475">
        <f>IFERROR(O2475/N2475,0)</f>
        <v/>
      </c>
      <c r="T2475">
        <f>IF(C2475,(H2475*N2475*IF(AND(Inputs!$B$38&lt;&gt;"pvp",Inputs!$B$43&gt;0),((Skills!G10*((R2475-1)*IF(Skills!H10&gt;0,INT(Skills!I10/Skills!H10+0.000000001),1)+IF(Skills!H10&gt;0,INT(MIN(Skills!I10,MAX(0,MAX(0,Inputs!$B$43-B2501)-((R2475-1)*(IF(Inputs!$B$38="pvp",15,MAX(0.1,Skills!D10-IF(TRUE=TRUE,Inputs!$B$32,0)))*(1-IF(AND(ArtifactsInput!$M$27,Inputs!$B$4="Chapter Hunt"),CHOOSE(ArtifactsInput!$N$27+1,20,24,28,32,36,40),0)/100)))))/Skills!H10+0.000000001),1)))/Inputs!$B$43),G2475*Q2475))*IF(Inputs!$B$38="pvp",1,1+(Inputs!$B$20+0+Skills!P10+(((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INT(Skills!I10/Skills!H10+0.000000001),1)+IF(Skills!H10&gt;0,INT(MIN(Skills!I10,MAX(0,MAX(0,Inputs!$B$43-B2501)-((R2475-1)*(IF(Inputs!$B$38="pvp",15,MAX(0.1,Skills!D10-IF(TRUE=TRUE,Inputs!$B$32,0)))*(1-IF(AND(ArtifactsInput!$M$27,Inputs!$B$4="Chapter Hunt"),CHOOSE(ArtifactsInput!$N$27+1,20,24,28,32,36,40),0)/100)))))/Skills!H10+0.000000001),1)))/Inputs!$B$43),G2475*Q2475))*IF(Inputs!$B$38="pvp",1,(1+(Inputs!$B$21+Skills!Q10+(((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Skills!G11*IF(Skills!H11&gt;0,INT(IF(Inputs!$B$38="pvp",MIN(Skills!I11,15),Skills!I11)/Skills!H11+0.000000001),1)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138,MAX(0,IF(Inputs!$B$3&gt;=118,8,IF(Inputs!$B$3&gt;=110,7,5))-5)*50,0),0)/100)*(1+(IF(Skills!A11="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IFERROR(1/(IF(Inputs!$B$38="pvp",15,MAX(0.1,Skills!D11-IF(TRUE=TRUE,Inputs!$B$32,0)))*(1-IF(AND(ArtifactsInput!$M$27,Inputs!$B$4="Chapter Hunt"),CHOOSE(ArtifactsInput!$N$27+1,20,24,28,32,36,40),0)/100)),0)</f>
        <v/>
      </c>
      <c r="R2476">
        <f>IF(AND(Inputs!$B$38&lt;&gt;"pvp",Inputs!$B$43&gt;0),IF(MAX(0,Inputs!$B$43-B2501)&lt;=0,0,(INT(MAX(0,Inputs!$B$43-B2501)/(IF(Inputs!$B$38="pvp",15,MAX(0.1,Skills!D11-IF(TRUE=TRUE,Inputs!$B$32,0)))*(1-IF(AND(ArtifactsInput!$M$27,Inputs!$B$4="Chapter Hunt"),CHOOSE(ArtifactsInput!$N$27+1,20,24,28,32,36,40),0)/100)))+1)),0)</f>
        <v/>
      </c>
      <c r="S2476">
        <f>IFERROR(O2476/N2476,0)</f>
        <v/>
      </c>
      <c r="T2476">
        <f>IF(C2476,(H2476*N2476*IF(AND(Inputs!$B$38&lt;&gt;"pvp",Inputs!$B$43&gt;0),((Skills!G11*((R2476-1)*IF(Skills!H11&gt;0,INT(Skills!I11/Skills!H11+0.000000001),1)+IF(Skills!H11&gt;0,INT(MIN(Skills!I11,MAX(0,MAX(0,Inputs!$B$43-B2501)-((R2476-1)*(IF(Inputs!$B$38="pvp",15,MAX(0.1,Skills!D11-IF(TRUE=TRUE,Inputs!$B$32,0)))*(1-IF(AND(ArtifactsInput!$M$27,Inputs!$B$4="Chapter Hunt"),CHOOSE(ArtifactsInput!$N$27+1,20,24,28,32,36,40),0)/100)))))/Skills!H11+0.000000001),1)))/Inputs!$B$43),G2476*Q2476))*IF(Inputs!$B$38="pvp",1,1+(Inputs!$B$20+0+Skills!P11+(((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INT(Skills!I11/Skills!H11+0.000000001),1)+IF(Skills!H11&gt;0,INT(MIN(Skills!I11,MAX(0,MAX(0,Inputs!$B$43-B2501)-((R2476-1)*(IF(Inputs!$B$38="pvp",15,MAX(0.1,Skills!D11-IF(TRUE=TRUE,Inputs!$B$32,0)))*(1-IF(AND(ArtifactsInput!$M$27,Inputs!$B$4="Chapter Hunt"),CHOOSE(ArtifactsInput!$N$27+1,20,24,28,32,36,40),0)/100)))))/Skills!H11+0.000000001),1)))/Inputs!$B$43),G2476*Q2476))*IF(Inputs!$B$38="pvp",1,(1+(Inputs!$B$21+Skills!Q11+(((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Skills!G13*IF(Skills!H13&gt;0,INT(IF(Inputs!$B$38="pvp",MIN(Skills!I13,15),Skills!I13)/Skills!H13+0.000000001),1)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Skills!G14*IF(Skills!H14&gt;0,INT(IF(Inputs!$B$38="pvp",MIN(Skills!I14,15),Skills!I14)/Skills!H14+0.000000001),1)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Skills!G15*IF(Skills!H15&gt;0,INT(IF(Inputs!$B$38="pvp",MIN(Skills!I15,15),Skills!I15)/Skills!H15+0.000000001),1)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IFERROR(1/(IF(Inputs!$B$38="pvp",15,MAX(0.1,Skills!D15-IF(TRUE=TRUE,Inputs!$B$32,0)))*(1-IF(AND(ArtifactsInput!$M$27,Inputs!$B$4="Chapter Hunt"),CHOOSE(ArtifactsInput!$N$27+1,20,24,28,32,36,40),0)/100)),0)</f>
        <v/>
      </c>
      <c r="R2480">
        <f>IF(AND(Inputs!$B$38&lt;&gt;"pvp",Inputs!$B$43&gt;0),IF(Inputs!$B$43&lt;=0,0,(INT(Inputs!$B$43/(IF(Inputs!$B$38="pvp",15,MAX(0.1,Skills!D15-IF(TRUE=TRUE,Inputs!$B$32,0)))*(1-IF(AND(ArtifactsInput!$M$27,Inputs!$B$4="Chapter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Skills!G16*IF(Skills!H16&gt;0,INT(IF(Inputs!$B$38="pvp",MIN(Skills!I16,15),Skills!I16)/Skills!H16+0.000000001),1)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IFERROR(1/(IF(Inputs!$B$38="pvp",15,MAX(0.1,Skills!D16-IF(TRUE=TRUE,Inputs!$B$32,0)))*(1-IF(AND(ArtifactsInput!$M$27,Inputs!$B$4="Chapter Hunt"),CHOOSE(ArtifactsInput!$N$27+1,20,24,28,32,36,40),0)/100)),0)</f>
        <v/>
      </c>
      <c r="R2481">
        <f>IF(AND(Inputs!$B$38&lt;&gt;"pvp",Inputs!$B$43&gt;0),IF(Inputs!$B$43&lt;=0,0,(INT(Inputs!$B$43/(IF(Inputs!$B$38="pvp",15,MAX(0.1,Skills!D16-IF(TRUE=TRUE,Inputs!$B$32,0)))*(1-IF(AND(ArtifactsInput!$M$27,Inputs!$B$4="Chapter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Skills!G17*IF(Skills!H17&gt;0,INT(IF(Inputs!$B$38="pvp",MIN(Skills!I17,15),Skills!I17)/Skills!H17+0.000000001),1)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IFERROR(1/(IF(Inputs!$B$38="pvp",15,MAX(0.1,Skills!D17-IF(TRUE=TRUE,Inputs!$B$32,0)))*(1-IF(AND(ArtifactsInput!$M$27,Inputs!$B$4="Chapter Hunt"),CHOOSE(ArtifactsInput!$N$27+1,20,24,28,32,36,40),0)/100)),0)</f>
        <v/>
      </c>
      <c r="R2482">
        <f>IF(AND(Inputs!$B$38&lt;&gt;"pvp",Inputs!$B$43&gt;0),IF(Inputs!$B$43&lt;=0,0,(INT(Inputs!$B$43/(IF(Inputs!$B$38="pvp",15,MAX(0.1,Skills!D17-IF(TRUE=TRUE,Inputs!$B$32,0)))*(1-IF(AND(ArtifactsInput!$M$27,Inputs!$B$4="Chapter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Skills!G18*IF(Skills!H18&gt;0,INT(IF(Inputs!$B$38="pvp",MIN(Skills!I18,15),Skills!I18)/Skills!H18+0.000000001),1)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IFERROR(1/(IF(Inputs!$B$38="pvp",15,MAX(0.1,Skills!D18-IF(TRUE=TRUE,Inputs!$B$32,0)))*(1-IF(AND(ArtifactsInput!$M$27,Inputs!$B$4="Chapter Hunt"),CHOOSE(ArtifactsInput!$N$27+1,20,24,28,32,36,40),0)/100)),0)</f>
        <v/>
      </c>
      <c r="R2483">
        <f>IF(AND(Inputs!$B$38&lt;&gt;"pvp",Inputs!$B$43&gt;0),IF(Inputs!$B$43&lt;=0,0,(INT(Inputs!$B$43/(IF(Inputs!$B$38="pvp",15,MAX(0.1,Skills!D18-IF(TRUE=TRUE,Inputs!$B$32,0)))*(1-IF(AND(ArtifactsInput!$M$27,Inputs!$B$4="Chapter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Skills!G19*IF(Skills!H19&gt;0,INT(IF(Inputs!$B$38="pvp",MIN(Skills!I19,15),Skills!I19)/Skills!H19+0.000000001),1)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IFERROR(1/(IF(Inputs!$B$38="pvp",15,MAX(0.1,Skills!D19-IF(TRUE=TRUE,Inputs!$B$32,0)))*(1-IF(AND(ArtifactsInput!$M$27,Inputs!$B$4="Chapter Hunt"),CHOOSE(ArtifactsInput!$N$27+1,20,24,28,32,36,40),0)/100)),0)</f>
        <v/>
      </c>
      <c r="R2484">
        <f>IF(AND(Inputs!$B$38&lt;&gt;"pvp",Inputs!$B$43&gt;0),IF(Inputs!$B$43&lt;=0,0,(INT(Inputs!$B$43/(IF(Inputs!$B$38="pvp",15,MAX(0.1,Skills!D19-IF(TRUE=TRUE,Inputs!$B$32,0)))*(1-IF(AND(ArtifactsInput!$M$27,Inputs!$B$4="Chapter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Skills!G20*IF(Skills!H20&gt;0,INT(IF(Inputs!$B$38="pvp",MIN(Skills!I20,15),Skills!I20)/Skills!H20+0.000000001),1)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Skills!G21*IF(Skills!H21&gt;0,INT(IF(Inputs!$B$38="pvp",MIN(Skills!I21,15),Skills!I21)/Skills!H21+0.000000001),1)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Skills!G22*IF(Skills!H22&gt;0,INT(IF(Inputs!$B$38="pvp",MIN(Skills!I22,15),Skills!I22)/Skills!H22+0.000000001),1)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Skills!G23*IF(Skills!H23&gt;0,INT(IF(Inputs!$B$38="pvp",MIN(Skills!I23,15),Skills!I23)/Skills!H23+0.000000001),1)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Skills!G24*IF(Skills!H24&gt;0,INT(IF(Inputs!$B$38="pvp",MIN(Skills!I24,15),Skills!I24)/Skills!H24+0.000000001),1)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Skills!G25*IF(Skills!H25&gt;0,INT(IF(Inputs!$B$38="pvp",MIN(Skills!I25,15),Skills!I25)/Skills!H25+0.000000001),1)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Skills!G26*IF(Skills!H26&gt;0,INT(IF(Inputs!$B$38="pvp",MIN(Skills!I26,15),Skills!I26)/Skills!H26+0.000000001),1)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MIN((Skills!T19*(1+(Inputs!$B$34+(ArtifactsInput!$M$7-ArtifactsInput!$M$7)*CHOOSE(ArtifactsInput!$N$7+1,6,7.2,8.4,9.6,10.8,12))/100)),(1/Q2484))+MIN((Skills!T19*(1+(Inputs!$B$34+(ArtifactsInput!$M$7-ArtifactsInput!$M$7)*CHOOSE(ArtifactsInput!$N$7+1,6,7.2,8.4,9.6,10.8,12))/100)),MAX(0,Inputs!$B$43-((R2484-1)*(1/Q2484)))))/Inputs!$B$43),IF(Inputs!$B$38="pvp",MIN((Skills!T19*(1+(Inputs!$B$34+(ArtifactsInput!$M$7-ArtifactsInput!$M$7)*CHOOSE(ArtifactsInput!$N$7+1,6,7.2,8.4,9.6,10.8,12))/100)),15)/15,MIN(1,(Skills!T19*(1+(Inputs!$B$34+(ArtifactsInput!$M$7-ArtifactsInput!$M$7)*CHOOSE(ArtifactsInput!$N$7+1,6,7.2,8.4,9.6,10.8,12))/100))/(1/Q2484)))))</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MIN((Skills!T18*(1+(Inputs!$B$34+(ArtifactsInput!$M$7-ArtifactsInput!$M$7)*CHOOSE(ArtifactsInput!$N$7+1,6,7.2,8.4,9.6,10.8,12))/100)),(1/Q2483))+MIN((Skills!T18*(1+(Inputs!$B$34+(ArtifactsInput!$M$7-ArtifactsInput!$M$7)*CHOOSE(ArtifactsInput!$N$7+1,6,7.2,8.4,9.6,10.8,12))/100)),MAX(0,Inputs!$B$43-((R2483-1)*(1/Q2483)))))/Inputs!$B$43),IF(Inputs!$B$38="pvp",MIN((Skills!T18*(1+(Inputs!$B$34+(ArtifactsInput!$M$7-ArtifactsInput!$M$7)*CHOOSE(ArtifactsInput!$N$7+1,6,7.2,8.4,9.6,10.8,12))/100)),15)/15,MIN(1,(Skills!T18*(1+(Inputs!$B$34+(ArtifactsInput!$M$7-ArtifactsInput!$M$7)*CHOOSE(ArtifactsInput!$N$7+1,6,7.2,8.4,9.6,10.8,12))/100))/(1/Q2483)))))</f>
        <v/>
      </c>
    </row>
    <row r="2500">
      <c r="A2500" t="inlineStr">
        <is>
          <t>Global Final Damage Bonus % (Enrage + Combo Synergy)</t>
        </is>
      </c>
      <c r="B2500">
        <f>((C2482=TRUE)*F2482*IF(AND(Inputs!$B$38&lt;&gt;"pvp",Inputs!$B$43&gt;0),(((R2482-1)*MIN((Skills!T17*(1+(Inputs!$B$34+(ArtifactsInput!$M$7-ArtifactsInput!$M$7)*CHOOSE(ArtifactsInput!$N$7+1,6,7.2,8.4,9.6,10.8,12))/100)),(1/Q2482))+MIN((Skills!T17*(1+(Inputs!$B$34+(ArtifactsInput!$M$7-ArtifactsInput!$M$7)*CHOOSE(ArtifactsInput!$N$7+1,6,7.2,8.4,9.6,10.8,12))/100)),MAX(0,Inputs!$B$43-((R2482-1)*(1/Q2482)))))/Inputs!$B$43),IF(Inputs!$B$38="pvp",MIN((Skills!T17*(1+(Inputs!$B$34+(ArtifactsInput!$M$7-ArtifactsInput!$M$7)*CHOOSE(ArtifactsInput!$N$7+1,6,7.2,8.4,9.6,10.8,12))/100)),15)/15,MIN(1,(Skills!T17*(1+(Inputs!$B$34+(ArtifactsInput!$M$7-ArtifactsInput!$M$7)*CHOOSE(ArtifactsInput!$N$7+1,6,7.2,8.4,9.6,10.8,12))/100))/(1/Q2482)))))+((C2479=TRUE)*F2479*IF(Inputs!$B$3&gt;=118,8,IF(Inputs!$B$3&gt;=110,7,5)))+IF(Inputs!$B$3&gt;=98,5,0)</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Skills!G2*IF(Skills!H2&gt;0,INT(IF(Inputs!$B$38="pvp",MIN(Skills!I2,15),Skills!I2)/Skills!H2+0.000000001),1)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Skills!G5*IF(Skills!H5&gt;0,INT(IF(Inputs!$B$38="pvp",MIN(Skills!I5,15),Skills!I5)/Skills!H5+0.000000001),1)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IFERROR(1/(IF(Inputs!$B$38="pvp",15,MAX(0.1,Skills!D5-IF(TRUE=TRUE,Inputs!$B$32,0)))*(1-IF(AND(ArtifactsInput!$M$27,Inputs!$B$4="Chapter Hunt"),CHOOSE(ArtifactsInput!$N$27+1,20,24,28,32,36,40),0)/100)),0)</f>
        <v/>
      </c>
      <c r="R2512">
        <f>IF(AND(Inputs!$B$38&lt;&gt;"pvp",Inputs!$B$43&gt;0),IF(MAX(0,Inputs!$B$43-B2543)&lt;=0,0,(INT(MAX(0,Inputs!$B$43-B2543)/(IF(Inputs!$B$38="pvp",15,MAX(0.1,Skills!D5-IF(TRUE=TRUE,Inputs!$B$32,0)))*(1-IF(AND(ArtifactsInput!$M$27,Inputs!$B$4="Chapter Hunt"),CHOOSE(ArtifactsInput!$N$27+1,20,24,28,32,36,40),0)/100)))+1)),0)</f>
        <v/>
      </c>
      <c r="S2512">
        <f>IFERROR(O2512/N2512,0)</f>
        <v/>
      </c>
      <c r="T2512">
        <f>IF(C2512,(H2512*N2512*IF(AND(Inputs!$B$38&lt;&gt;"pvp",Inputs!$B$43&gt;0),((Skills!G5*((R2512-1)*IF(Skills!H5&gt;0,INT(Skills!I5/Skills!H5+0.000000001),1)+IF(Skills!H5&gt;0,INT(MIN(Skills!I5,MAX(0,MAX(0,Inputs!$B$43-B2543)-((R2512-1)*(IF(Inputs!$B$38="pvp",15,MAX(0.1,Skills!D5-IF(TRUE=TRUE,Inputs!$B$32,0)))*(1-IF(AND(ArtifactsInput!$M$27,Inputs!$B$4="Chapter Hunt"),CHOOSE(ArtifactsInput!$N$27+1,20,24,28,32,36,40),0)/100)))))/Skills!H5+0.000000001),1)))/Inputs!$B$43),G2512*Q2512))*IF(Inputs!$B$38="pvp",1,1+(Inputs!$B$20+0+Skills!P5+(((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INT(Skills!I5/Skills!H5+0.000000001),1)+IF(Skills!H5&gt;0,INT(MIN(Skills!I5,MAX(0,MAX(0,Inputs!$B$43-B2543)-((R2512-1)*(IF(Inputs!$B$38="pvp",15,MAX(0.1,Skills!D5-IF(TRUE=TRUE,Inputs!$B$32,0)))*(1-IF(AND(ArtifactsInput!$M$27,Inputs!$B$4="Chapter Hunt"),CHOOSE(ArtifactsInput!$N$27+1,20,24,28,32,36,40),0)/100)))))/Skills!H5+0.000000001),1)))/Inputs!$B$43),G2512*Q2512))*IF(Inputs!$B$38="pvp",1,(1+(Inputs!$B$21+Skills!Q5+(((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Skills!G6*IF(Skills!H6&gt;0,INT(IF(Inputs!$B$38="pvp",MIN(Skills!I6,15),Skills!I6)/Skills!H6+0.000000001),1)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IFERROR(1/(IF(Inputs!$B$38="pvp",15,MAX(0.1,Skills!D6-IF(TRUE=TRUE,Inputs!$B$32,0)))*(1-IF(AND(ArtifactsInput!$M$27,Inputs!$B$4="Chapter Hunt"),CHOOSE(ArtifactsInput!$N$27+1,20,24,28,32,36,40),0)/100)),0)</f>
        <v/>
      </c>
      <c r="R2513">
        <f>IF(AND(Inputs!$B$38&lt;&gt;"pvp",Inputs!$B$43&gt;0),IF(MAX(0,Inputs!$B$43-B2543)&lt;=0,0,(INT(MAX(0,Inputs!$B$43-B2543)/(IF(Inputs!$B$38="pvp",15,MAX(0.1,Skills!D6-IF(TRUE=TRUE,Inputs!$B$32,0)))*(1-IF(AND(ArtifactsInput!$M$27,Inputs!$B$4="Chapter Hunt"),CHOOSE(ArtifactsInput!$N$27+1,20,24,28,32,36,40),0)/100)))+1)),0)</f>
        <v/>
      </c>
      <c r="S2513">
        <f>IFERROR(O2513/N2513,0)</f>
        <v/>
      </c>
      <c r="T2513">
        <f>IF(C2513,(H2513*N2513*IF(AND(Inputs!$B$38&lt;&gt;"pvp",Inputs!$B$43&gt;0),((Skills!G6*((R2513-1)*IF(Skills!H6&gt;0,INT(Skills!I6/Skills!H6+0.000000001),1)+IF(Skills!H6&gt;0,INT(MIN(Skills!I6,MAX(0,MAX(0,Inputs!$B$43-B2543)-((R2513-1)*(IF(Inputs!$B$38="pvp",15,MAX(0.1,Skills!D6-IF(TRUE=TRUE,Inputs!$B$32,0)))*(1-IF(AND(ArtifactsInput!$M$27,Inputs!$B$4="Chapter Hunt"),CHOOSE(ArtifactsInput!$N$27+1,20,24,28,32,36,40),0)/100)))))/Skills!H6+0.000000001),1)))/Inputs!$B$43),G2513*Q2513))*IF(Inputs!$B$38="pvp",1,1+(Inputs!$B$20+0+Skills!P6+(((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INT(Skills!I6/Skills!H6+0.000000001),1)+IF(Skills!H6&gt;0,INT(MIN(Skills!I6,MAX(0,MAX(0,Inputs!$B$43-B2543)-((R2513-1)*(IF(Inputs!$B$38="pvp",15,MAX(0.1,Skills!D6-IF(TRUE=TRUE,Inputs!$B$32,0)))*(1-IF(AND(ArtifactsInput!$M$27,Inputs!$B$4="Chapter Hunt"),CHOOSE(ArtifactsInput!$N$27+1,20,24,28,32,36,40),0)/100)))))/Skills!H6+0.000000001),1)))/Inputs!$B$43),G2513*Q2513))*IF(Inputs!$B$38="pvp",1,(1+(Inputs!$B$21+Skills!Q6+(((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Skills!G7*IF(Skills!H7&gt;0,INT(IF(Inputs!$B$38="pvp",MIN(Skills!I7,15),Skills!I7)/Skills!H7+0.000000001),1)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IFERROR(1/(IF(Inputs!$B$38="pvp",15,MAX(0.1,Skills!D7-IF(TRUE=TRUE,Inputs!$B$32,0)))*(1-IF(AND(ArtifactsInput!$M$27,Inputs!$B$4="Chapter Hunt"),CHOOSE(ArtifactsInput!$N$27+1,20,24,28,32,36,40),0)/100)),0)</f>
        <v/>
      </c>
      <c r="R2514">
        <f>IF(AND(Inputs!$B$38&lt;&gt;"pvp",Inputs!$B$43&gt;0),IF(MAX(0,Inputs!$B$43-B2543)&lt;=0,0,(INT(MAX(0,Inputs!$B$43-B2543)/(IF(Inputs!$B$38="pvp",15,MAX(0.1,Skills!D7-IF(TRUE=TRUE,Inputs!$B$32,0)))*(1-IF(AND(ArtifactsInput!$M$27,Inputs!$B$4="Chapter Hunt"),CHOOSE(ArtifactsInput!$N$27+1,20,24,28,32,36,40),0)/100)))+1)),0)</f>
        <v/>
      </c>
      <c r="S2514">
        <f>IFERROR(O2514/N2514,0)</f>
        <v/>
      </c>
      <c r="T2514">
        <f>IF(C2514,(H2514*N2514*IF(AND(Inputs!$B$38&lt;&gt;"pvp",Inputs!$B$43&gt;0),((Skills!G7*((R2514-1)*IF(Skills!H7&gt;0,INT(Skills!I7/Skills!H7+0.000000001),1)+IF(Skills!H7&gt;0,INT(MIN(Skills!I7,MAX(0,MAX(0,Inputs!$B$43-B2543)-((R2514-1)*(IF(Inputs!$B$38="pvp",15,MAX(0.1,Skills!D7-IF(TRUE=TRUE,Inputs!$B$32,0)))*(1-IF(AND(ArtifactsInput!$M$27,Inputs!$B$4="Chapter Hunt"),CHOOSE(ArtifactsInput!$N$27+1,20,24,28,32,36,40),0)/100)))))/Skills!H7+0.000000001),1)))/Inputs!$B$43),G2514*Q2514))*IF(Inputs!$B$38="pvp",1,1+(Inputs!$B$20+0+Skills!P7+(((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INT(Skills!I7/Skills!H7+0.000000001),1)+IF(Skills!H7&gt;0,INT(MIN(Skills!I7,MAX(0,MAX(0,Inputs!$B$43-B2543)-((R2514-1)*(IF(Inputs!$B$38="pvp",15,MAX(0.1,Skills!D7-IF(TRUE=TRUE,Inputs!$B$32,0)))*(1-IF(AND(ArtifactsInput!$M$27,Inputs!$B$4="Chapter Hunt"),CHOOSE(ArtifactsInput!$N$27+1,20,24,28,32,36,40),0)/100)))))/Skills!H7+0.000000001),1)))/Inputs!$B$43),G2514*Q2514))*IF(Inputs!$B$38="pvp",1,(1+(Inputs!$B$21+Skills!Q7+(((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Skills!G8*IF(Skills!H8&gt;0,INT(IF(Inputs!$B$38="pvp",MIN(Skills!I8,15),Skills!I8)/Skills!H8+0.000000001),1)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IFERROR(1/(IF(Inputs!$B$38="pvp",15,MAX(0.1,Skills!D8-IF(TRUE=TRUE,Inputs!$B$32,0)))*(1-IF(AND(ArtifactsInput!$M$27,Inputs!$B$4="Chapter Hunt"),CHOOSE(ArtifactsInput!$N$27+1,20,24,28,32,36,40),0)/100)),0)</f>
        <v/>
      </c>
      <c r="R2515">
        <f>IF(AND(Inputs!$B$38&lt;&gt;"pvp",Inputs!$B$43&gt;0),IF(MAX(0,Inputs!$B$43-B2543)&lt;=0,0,(INT(MAX(0,Inputs!$B$43-B2543)/(IF(Inputs!$B$38="pvp",15,MAX(0.1,Skills!D8-IF(TRUE=TRUE,Inputs!$B$32,0)))*(1-IF(AND(ArtifactsInput!$M$27,Inputs!$B$4="Chapter Hunt"),CHOOSE(ArtifactsInput!$N$27+1,20,24,28,32,36,40),0)/100)))+1)),0)</f>
        <v/>
      </c>
      <c r="S2515">
        <f>IFERROR(O2515/N2515,0)</f>
        <v/>
      </c>
      <c r="T2515">
        <f>IF(C2515,(H2515*N2515*IF(AND(Inputs!$B$38&lt;&gt;"pvp",Inputs!$B$43&gt;0),((Skills!G8*((R2515-1)*IF(Skills!H8&gt;0,INT(Skills!I8/Skills!H8+0.000000001),1)+IF(Skills!H8&gt;0,INT(MIN(Skills!I8,MAX(0,MAX(0,Inputs!$B$43-B2543)-((R2515-1)*(IF(Inputs!$B$38="pvp",15,MAX(0.1,Skills!D8-IF(TRUE=TRUE,Inputs!$B$32,0)))*(1-IF(AND(ArtifactsInput!$M$27,Inputs!$B$4="Chapter Hunt"),CHOOSE(ArtifactsInput!$N$27+1,20,24,28,32,36,40),0)/100)))))/Skills!H8+0.000000001),1)))/Inputs!$B$43),G2515*Q2515))*IF(Inputs!$B$38="pvp",1,1+(Inputs!$B$20+0+Skills!P8+(((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INT(Skills!I8/Skills!H8+0.000000001),1)+IF(Skills!H8&gt;0,INT(MIN(Skills!I8,MAX(0,MAX(0,Inputs!$B$43-B2543)-((R2515-1)*(IF(Inputs!$B$38="pvp",15,MAX(0.1,Skills!D8-IF(TRUE=TRUE,Inputs!$B$32,0)))*(1-IF(AND(ArtifactsInput!$M$27,Inputs!$B$4="Chapter Hunt"),CHOOSE(ArtifactsInput!$N$27+1,20,24,28,32,36,40),0)/100)))))/Skills!H8+0.000000001),1)))/Inputs!$B$43),G2515*Q2515))*IF(Inputs!$B$38="pvp",1,(1+(Inputs!$B$21+Skills!Q8+(((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Skills!G9*IF(Skills!H9&gt;0,INT(IF(Inputs!$B$38="pvp",MIN(Skills!I9,15),Skills!I9)/Skills!H9+0.000000001),1)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138,MAX(0,IF(Inputs!$B$3&gt;=118,8,IF(Inputs!$B$3&gt;=110,7,5))-5)*50,0),0)/100)*(1+(IF(Skills!A9="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IFERROR(1/(IF(Inputs!$B$38="pvp",15,MAX(0.1,Skills!D9-IF(TRUE=TRUE,Inputs!$B$32,0)))*(1-IF(AND(ArtifactsInput!$M$27,Inputs!$B$4="Chapter Hunt"),CHOOSE(ArtifactsInput!$N$27+1,20,24,28,32,36,40),0)/100)),0)</f>
        <v/>
      </c>
      <c r="R2516">
        <f>IF(AND(Inputs!$B$38&lt;&gt;"pvp",Inputs!$B$43&gt;0),IF(MAX(0,Inputs!$B$43-B2543)&lt;=0,0,(INT(MAX(0,Inputs!$B$43-B2543)/(IF(Inputs!$B$38="pvp",15,MAX(0.1,Skills!D9-IF(TRUE=TRUE,Inputs!$B$32,0)))*(1-IF(AND(ArtifactsInput!$M$27,Inputs!$B$4="Chapter Hunt"),CHOOSE(ArtifactsInput!$N$27+1,20,24,28,32,36,40),0)/100)))+1)),0)</f>
        <v/>
      </c>
      <c r="S2516">
        <f>IFERROR(O2516/N2516,0)</f>
        <v/>
      </c>
      <c r="T2516">
        <f>IF(C2516,(H2516*N2516*IF(AND(Inputs!$B$38&lt;&gt;"pvp",Inputs!$B$43&gt;0),((Skills!G9*((R2516-1)*IF(Skills!H9&gt;0,INT(Skills!I9/Skills!H9+0.000000001),1)+IF(Skills!H9&gt;0,INT(MIN(Skills!I9,MAX(0,MAX(0,Inputs!$B$43-B2543)-((R2516-1)*(IF(Inputs!$B$38="pvp",15,MAX(0.1,Skills!D9-IF(TRUE=TRUE,Inputs!$B$32,0)))*(1-IF(AND(ArtifactsInput!$M$27,Inputs!$B$4="Chapter Hunt"),CHOOSE(ArtifactsInput!$N$27+1,20,24,28,32,36,40),0)/100)))))/Skills!H9+0.000000001),1)))/Inputs!$B$43),G2516*Q2516))*IF(Inputs!$B$38="pvp",1,1+(Inputs!$B$20+0+Skills!P9+(((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INT(Skills!I9/Skills!H9+0.000000001),1)+IF(Skills!H9&gt;0,INT(MIN(Skills!I9,MAX(0,MAX(0,Inputs!$B$43-B2543)-((R2516-1)*(IF(Inputs!$B$38="pvp",15,MAX(0.1,Skills!D9-IF(TRUE=TRUE,Inputs!$B$32,0)))*(1-IF(AND(ArtifactsInput!$M$27,Inputs!$B$4="Chapter Hunt"),CHOOSE(ArtifactsInput!$N$27+1,20,24,28,32,36,40),0)/100)))))/Skills!H9+0.000000001),1)))/Inputs!$B$43),G2516*Q2516))*IF(Inputs!$B$38="pvp",1,(1+(Inputs!$B$21+Skills!Q9+(((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Skills!G10*IF(Skills!H10&gt;0,INT(IF(Inputs!$B$38="pvp",MIN(Skills!I10,15),Skills!I10)/Skills!H10+0.000000001),1)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138,MAX(0,IF(Inputs!$B$3&gt;=118,8,IF(Inputs!$B$3&gt;=110,7,5))-5)*50,0),0)/100)*(1+(IF(Skills!A10="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IFERROR(1/(IF(Inputs!$B$38="pvp",15,MAX(0.1,Skills!D10-IF(TRUE=TRUE,Inputs!$B$32,0)))*(1-IF(AND(ArtifactsInput!$M$27,Inputs!$B$4="Chapter Hunt"),CHOOSE(ArtifactsInput!$N$27+1,20,24,28,32,36,40),0)/100)),0)</f>
        <v/>
      </c>
      <c r="R2517">
        <f>IF(AND(Inputs!$B$38&lt;&gt;"pvp",Inputs!$B$43&gt;0),IF(MAX(0,Inputs!$B$43-B2543)&lt;=0,0,(INT(MAX(0,Inputs!$B$43-B2543)/(IF(Inputs!$B$38="pvp",15,MAX(0.1,Skills!D10-IF(TRUE=TRUE,Inputs!$B$32,0)))*(1-IF(AND(ArtifactsInput!$M$27,Inputs!$B$4="Chapter Hunt"),CHOOSE(ArtifactsInput!$N$27+1,20,24,28,32,36,40),0)/100)))+1)),0)</f>
        <v/>
      </c>
      <c r="S2517">
        <f>IFERROR(O2517/N2517,0)</f>
        <v/>
      </c>
      <c r="T2517">
        <f>IF(C2517,(H2517*N2517*IF(AND(Inputs!$B$38&lt;&gt;"pvp",Inputs!$B$43&gt;0),((Skills!G10*((R2517-1)*IF(Skills!H10&gt;0,INT(Skills!I10/Skills!H10+0.000000001),1)+IF(Skills!H10&gt;0,INT(MIN(Skills!I10,MAX(0,MAX(0,Inputs!$B$43-B2543)-((R2517-1)*(IF(Inputs!$B$38="pvp",15,MAX(0.1,Skills!D10-IF(TRUE=TRUE,Inputs!$B$32,0)))*(1-IF(AND(ArtifactsInput!$M$27,Inputs!$B$4="Chapter Hunt"),CHOOSE(ArtifactsInput!$N$27+1,20,24,28,32,36,40),0)/100)))))/Skills!H10+0.000000001),1)))/Inputs!$B$43),G2517*Q2517))*IF(Inputs!$B$38="pvp",1,1+(Inputs!$B$20+0+Skills!P10+(((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INT(Skills!I10/Skills!H10+0.000000001),1)+IF(Skills!H10&gt;0,INT(MIN(Skills!I10,MAX(0,MAX(0,Inputs!$B$43-B2543)-((R2517-1)*(IF(Inputs!$B$38="pvp",15,MAX(0.1,Skills!D10-IF(TRUE=TRUE,Inputs!$B$32,0)))*(1-IF(AND(ArtifactsInput!$M$27,Inputs!$B$4="Chapter Hunt"),CHOOSE(ArtifactsInput!$N$27+1,20,24,28,32,36,40),0)/100)))))/Skills!H10+0.000000001),1)))/Inputs!$B$43),G2517*Q2517))*IF(Inputs!$B$38="pvp",1,(1+(Inputs!$B$21+Skills!Q10+(((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Skills!G11*IF(Skills!H11&gt;0,INT(IF(Inputs!$B$38="pvp",MIN(Skills!I11,15),Skills!I11)/Skills!H11+0.000000001),1)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138,MAX(0,IF(Inputs!$B$3&gt;=118,8,IF(Inputs!$B$3&gt;=110,7,5))-5)*50,0),0)/100)*(1+(IF(Skills!A11="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IFERROR(1/(IF(Inputs!$B$38="pvp",15,MAX(0.1,Skills!D11-IF(TRUE=TRUE,Inputs!$B$32,0)))*(1-IF(AND(ArtifactsInput!$M$27,Inputs!$B$4="Chapter Hunt"),CHOOSE(ArtifactsInput!$N$27+1,20,24,28,32,36,40),0)/100)),0)</f>
        <v/>
      </c>
      <c r="R2518">
        <f>IF(AND(Inputs!$B$38&lt;&gt;"pvp",Inputs!$B$43&gt;0),IF(MAX(0,Inputs!$B$43-B2543)&lt;=0,0,(INT(MAX(0,Inputs!$B$43-B2543)/(IF(Inputs!$B$38="pvp",15,MAX(0.1,Skills!D11-IF(TRUE=TRUE,Inputs!$B$32,0)))*(1-IF(AND(ArtifactsInput!$M$27,Inputs!$B$4="Chapter Hunt"),CHOOSE(ArtifactsInput!$N$27+1,20,24,28,32,36,40),0)/100)))+1)),0)</f>
        <v/>
      </c>
      <c r="S2518">
        <f>IFERROR(O2518/N2518,0)</f>
        <v/>
      </c>
      <c r="T2518">
        <f>IF(C2518,(H2518*N2518*IF(AND(Inputs!$B$38&lt;&gt;"pvp",Inputs!$B$43&gt;0),((Skills!G11*((R2518-1)*IF(Skills!H11&gt;0,INT(Skills!I11/Skills!H11+0.000000001),1)+IF(Skills!H11&gt;0,INT(MIN(Skills!I11,MAX(0,MAX(0,Inputs!$B$43-B2543)-((R2518-1)*(IF(Inputs!$B$38="pvp",15,MAX(0.1,Skills!D11-IF(TRUE=TRUE,Inputs!$B$32,0)))*(1-IF(AND(ArtifactsInput!$M$27,Inputs!$B$4="Chapter Hunt"),CHOOSE(ArtifactsInput!$N$27+1,20,24,28,32,36,40),0)/100)))))/Skills!H11+0.000000001),1)))/Inputs!$B$43),G2518*Q2518))*IF(Inputs!$B$38="pvp",1,1+(Inputs!$B$20+0+Skills!P11+(((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INT(Skills!I11/Skills!H11+0.000000001),1)+IF(Skills!H11&gt;0,INT(MIN(Skills!I11,MAX(0,MAX(0,Inputs!$B$43-B2543)-((R2518-1)*(IF(Inputs!$B$38="pvp",15,MAX(0.1,Skills!D11-IF(TRUE=TRUE,Inputs!$B$32,0)))*(1-IF(AND(ArtifactsInput!$M$27,Inputs!$B$4="Chapter Hunt"),CHOOSE(ArtifactsInput!$N$27+1,20,24,28,32,36,40),0)/100)))))/Skills!H11+0.000000001),1)))/Inputs!$B$43),G2518*Q2518))*IF(Inputs!$B$38="pvp",1,(1+(Inputs!$B$21+Skills!Q11+(((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Skills!G13*IF(Skills!H13&gt;0,INT(IF(Inputs!$B$38="pvp",MIN(Skills!I13,15),Skills!I13)/Skills!H13+0.000000001),1)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Skills!G14*IF(Skills!H14&gt;0,INT(IF(Inputs!$B$38="pvp",MIN(Skills!I14,15),Skills!I14)/Skills!H14+0.000000001),1)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Skills!G15*IF(Skills!H15&gt;0,INT(IF(Inputs!$B$38="pvp",MIN(Skills!I15,15),Skills!I15)/Skills!H15+0.000000001),1)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IFERROR(1/(IF(Inputs!$B$38="pvp",15,MAX(0.1,Skills!D15-IF(TRUE=TRUE,Inputs!$B$32,0)))*(1-IF(AND(ArtifactsInput!$M$27,Inputs!$B$4="Chapter Hunt"),CHOOSE(ArtifactsInput!$N$27+1,20,24,28,32,36,40),0)/100)),0)</f>
        <v/>
      </c>
      <c r="R2522">
        <f>IF(AND(Inputs!$B$38&lt;&gt;"pvp",Inputs!$B$43&gt;0),IF(Inputs!$B$43&lt;=0,0,(INT(Inputs!$B$43/(IF(Inputs!$B$38="pvp",15,MAX(0.1,Skills!D15-IF(TRUE=TRUE,Inputs!$B$32,0)))*(1-IF(AND(ArtifactsInput!$M$27,Inputs!$B$4="Chapter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Skills!G16*IF(Skills!H16&gt;0,INT(IF(Inputs!$B$38="pvp",MIN(Skills!I16,15),Skills!I16)/Skills!H16+0.000000001),1)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IFERROR(1/(IF(Inputs!$B$38="pvp",15,MAX(0.1,Skills!D16-IF(TRUE=TRUE,Inputs!$B$32,0)))*(1-IF(AND(ArtifactsInput!$M$27,Inputs!$B$4="Chapter Hunt"),CHOOSE(ArtifactsInput!$N$27+1,20,24,28,32,36,40),0)/100)),0)</f>
        <v/>
      </c>
      <c r="R2523">
        <f>IF(AND(Inputs!$B$38&lt;&gt;"pvp",Inputs!$B$43&gt;0),IF(Inputs!$B$43&lt;=0,0,(INT(Inputs!$B$43/(IF(Inputs!$B$38="pvp",15,MAX(0.1,Skills!D16-IF(TRUE=TRUE,Inputs!$B$32,0)))*(1-IF(AND(ArtifactsInput!$M$27,Inputs!$B$4="Chapter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Skills!G17*IF(Skills!H17&gt;0,INT(IF(Inputs!$B$38="pvp",MIN(Skills!I17,15),Skills!I17)/Skills!H17+0.000000001),1)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IFERROR(1/(IF(Inputs!$B$38="pvp",15,MAX(0.1,Skills!D17-IF(TRUE=TRUE,Inputs!$B$32,0)))*(1-IF(AND(ArtifactsInput!$M$27,Inputs!$B$4="Chapter Hunt"),CHOOSE(ArtifactsInput!$N$27+1,20,24,28,32,36,40),0)/100)),0)</f>
        <v/>
      </c>
      <c r="R2524">
        <f>IF(AND(Inputs!$B$38&lt;&gt;"pvp",Inputs!$B$43&gt;0),IF(Inputs!$B$43&lt;=0,0,(INT(Inputs!$B$43/(IF(Inputs!$B$38="pvp",15,MAX(0.1,Skills!D17-IF(TRUE=TRUE,Inputs!$B$32,0)))*(1-IF(AND(ArtifactsInput!$M$27,Inputs!$B$4="Chapter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Skills!G18*IF(Skills!H18&gt;0,INT(IF(Inputs!$B$38="pvp",MIN(Skills!I18,15),Skills!I18)/Skills!H18+0.000000001),1)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IFERROR(1/(IF(Inputs!$B$38="pvp",15,MAX(0.1,Skills!D18-IF(TRUE=TRUE,Inputs!$B$32,0)))*(1-IF(AND(ArtifactsInput!$M$27,Inputs!$B$4="Chapter Hunt"),CHOOSE(ArtifactsInput!$N$27+1,20,24,28,32,36,40),0)/100)),0)</f>
        <v/>
      </c>
      <c r="R2525">
        <f>IF(AND(Inputs!$B$38&lt;&gt;"pvp",Inputs!$B$43&gt;0),IF(Inputs!$B$43&lt;=0,0,(INT(Inputs!$B$43/(IF(Inputs!$B$38="pvp",15,MAX(0.1,Skills!D18-IF(TRUE=TRUE,Inputs!$B$32,0)))*(1-IF(AND(ArtifactsInput!$M$27,Inputs!$B$4="Chapter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Skills!G19*IF(Skills!H19&gt;0,INT(IF(Inputs!$B$38="pvp",MIN(Skills!I19,15),Skills!I19)/Skills!H19+0.000000001),1)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IFERROR(1/(IF(Inputs!$B$38="pvp",15,MAX(0.1,Skills!D19-IF(TRUE=TRUE,Inputs!$B$32,0)))*(1-IF(AND(ArtifactsInput!$M$27,Inputs!$B$4="Chapter Hunt"),CHOOSE(ArtifactsInput!$N$27+1,20,24,28,32,36,40),0)/100)),0)</f>
        <v/>
      </c>
      <c r="R2526">
        <f>IF(AND(Inputs!$B$38&lt;&gt;"pvp",Inputs!$B$43&gt;0),IF(Inputs!$B$43&lt;=0,0,(INT(Inputs!$B$43/(IF(Inputs!$B$38="pvp",15,MAX(0.1,Skills!D19-IF(TRUE=TRUE,Inputs!$B$32,0)))*(1-IF(AND(ArtifactsInput!$M$27,Inputs!$B$4="Chapter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Skills!G20*IF(Skills!H20&gt;0,INT(IF(Inputs!$B$38="pvp",MIN(Skills!I20,15),Skills!I20)/Skills!H20+0.000000001),1)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Skills!G21*IF(Skills!H21&gt;0,INT(IF(Inputs!$B$38="pvp",MIN(Skills!I21,15),Skills!I21)/Skills!H21+0.000000001),1)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Skills!G22*IF(Skills!H22&gt;0,INT(IF(Inputs!$B$38="pvp",MIN(Skills!I22,15),Skills!I22)/Skills!H22+0.000000001),1)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Skills!G23*IF(Skills!H23&gt;0,INT(IF(Inputs!$B$38="pvp",MIN(Skills!I23,15),Skills!I23)/Skills!H23+0.000000001),1)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Skills!G24*IF(Skills!H24&gt;0,INT(IF(Inputs!$B$38="pvp",MIN(Skills!I24,15),Skills!I24)/Skills!H24+0.000000001),1)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Skills!G25*IF(Skills!H25&gt;0,INT(IF(Inputs!$B$38="pvp",MIN(Skills!I25,15),Skills!I25)/Skills!H25+0.000000001),1)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Skills!G26*IF(Skills!H26&gt;0,INT(IF(Inputs!$B$38="pvp",MIN(Skills!I26,15),Skills!I26)/Skills!H26+0.000000001),1)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MIN((Skills!T19*(1+(Inputs!$B$34+(ArtifactsInput!$M$7-ArtifactsInput!$M$7)*CHOOSE(ArtifactsInput!$N$7+1,6,7.2,8.4,9.6,10.8,12))/100)),(1/Q2526))+MIN((Skills!T19*(1+(Inputs!$B$34+(ArtifactsInput!$M$7-ArtifactsInput!$M$7)*CHOOSE(ArtifactsInput!$N$7+1,6,7.2,8.4,9.6,10.8,12))/100)),MAX(0,Inputs!$B$43-((R2526-1)*(1/Q2526)))))/Inputs!$B$43),IF(Inputs!$B$38="pvp",MIN((Skills!T19*(1+(Inputs!$B$34+(ArtifactsInput!$M$7-ArtifactsInput!$M$7)*CHOOSE(ArtifactsInput!$N$7+1,6,7.2,8.4,9.6,10.8,12))/100)),15)/15,MIN(1,(Skills!T19*(1+(Inputs!$B$34+(ArtifactsInput!$M$7-ArtifactsInput!$M$7)*CHOOSE(ArtifactsInput!$N$7+1,6,7.2,8.4,9.6,10.8,12))/100))/(1/Q2526)))))</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MIN((Skills!T18*(1+(Inputs!$B$34+(ArtifactsInput!$M$7-ArtifactsInput!$M$7)*CHOOSE(ArtifactsInput!$N$7+1,6,7.2,8.4,9.6,10.8,12))/100)),(1/Q2525))+MIN((Skills!T18*(1+(Inputs!$B$34+(ArtifactsInput!$M$7-ArtifactsInput!$M$7)*CHOOSE(ArtifactsInput!$N$7+1,6,7.2,8.4,9.6,10.8,12))/100)),MAX(0,Inputs!$B$43-((R2525-1)*(1/Q2525)))))/Inputs!$B$43),IF(Inputs!$B$38="pvp",MIN((Skills!T18*(1+(Inputs!$B$34+(ArtifactsInput!$M$7-ArtifactsInput!$M$7)*CHOOSE(ArtifactsInput!$N$7+1,6,7.2,8.4,9.6,10.8,12))/100)),15)/15,MIN(1,(Skills!T18*(1+(Inputs!$B$34+(ArtifactsInput!$M$7-ArtifactsInput!$M$7)*CHOOSE(ArtifactsInput!$N$7+1,6,7.2,8.4,9.6,10.8,12))/100))/(1/Q2525)))))</f>
        <v/>
      </c>
    </row>
    <row r="2542">
      <c r="A2542" t="inlineStr">
        <is>
          <t>Global Final Damage Bonus % (Enrage + Combo Synergy)</t>
        </is>
      </c>
      <c r="B2542">
        <f>((C2524=TRUE)*F2524*IF(AND(Inputs!$B$38&lt;&gt;"pvp",Inputs!$B$43&gt;0),(((R2524-1)*MIN((Skills!T17*(1+(Inputs!$B$34+(ArtifactsInput!$M$7-ArtifactsInput!$M$7)*CHOOSE(ArtifactsInput!$N$7+1,6,7.2,8.4,9.6,10.8,12))/100)),(1/Q2524))+MIN((Skills!T17*(1+(Inputs!$B$34+(ArtifactsInput!$M$7-ArtifactsInput!$M$7)*CHOOSE(ArtifactsInput!$N$7+1,6,7.2,8.4,9.6,10.8,12))/100)),MAX(0,Inputs!$B$43-((R2524-1)*(1/Q2524)))))/Inputs!$B$43),IF(Inputs!$B$38="pvp",MIN((Skills!T17*(1+(Inputs!$B$34+(ArtifactsInput!$M$7-ArtifactsInput!$M$7)*CHOOSE(ArtifactsInput!$N$7+1,6,7.2,8.4,9.6,10.8,12))/100)),15)/15,MIN(1,(Skills!T17*(1+(Inputs!$B$34+(ArtifactsInput!$M$7-ArtifactsInput!$M$7)*CHOOSE(ArtifactsInput!$N$7+1,6,7.2,8.4,9.6,10.8,12))/100))/(1/Q2524)))))+((C2521=TRUE)*F2521*IF(Inputs!$B$3&gt;=118,8,IF(Inputs!$B$3&gt;=110,7,5)))+IF(Inputs!$B$3&gt;=98,5,0)</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Skills!G2*IF(Skills!H2&gt;0,INT(IF(Inputs!$B$38="pvp",MIN(Skills!I2,15),Skills!I2)/Skills!H2+0.000000001),1)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Skills!G5*IF(Skills!H5&gt;0,INT(IF(Inputs!$B$38="pvp",MIN(Skills!I5,15),Skills!I5)/Skills!H5+0.000000001),1)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IFERROR(1/(IF(Inputs!$B$38="pvp",15,MAX(0.1,Skills!D5-IF(TRUE=TRUE,Inputs!$B$32,0)))*(1-IF(AND(ArtifactsInput!$M$27,Inputs!$B$4="Chapter Hunt"),CHOOSE(ArtifactsInput!$N$27+1,20,24,28,32,36,40),0)/100)),0)</f>
        <v/>
      </c>
      <c r="R2554">
        <f>IF(AND(Inputs!$B$38&lt;&gt;"pvp",Inputs!$B$43&gt;0),IF(MAX(0,Inputs!$B$43-B2585)&lt;=0,0,(INT(MAX(0,Inputs!$B$43-B2585)/(IF(Inputs!$B$38="pvp",15,MAX(0.1,Skills!D5-IF(TRUE=TRUE,Inputs!$B$32,0)))*(1-IF(AND(ArtifactsInput!$M$27,Inputs!$B$4="Chapter Hunt"),CHOOSE(ArtifactsInput!$N$27+1,20,24,28,32,36,40),0)/100)))+1)),0)</f>
        <v/>
      </c>
      <c r="S2554">
        <f>IFERROR(O2554/N2554,0)</f>
        <v/>
      </c>
      <c r="T2554">
        <f>IF(C2554,(H2554*N2554*IF(AND(Inputs!$B$38&lt;&gt;"pvp",Inputs!$B$43&gt;0),((Skills!G5*((R2554-1)*IF(Skills!H5&gt;0,INT(Skills!I5/Skills!H5+0.000000001),1)+IF(Skills!H5&gt;0,INT(MIN(Skills!I5,MAX(0,MAX(0,Inputs!$B$43-B2585)-((R2554-1)*(IF(Inputs!$B$38="pvp",15,MAX(0.1,Skills!D5-IF(TRUE=TRUE,Inputs!$B$32,0)))*(1-IF(AND(ArtifactsInput!$M$27,Inputs!$B$4="Chapter Hunt"),CHOOSE(ArtifactsInput!$N$27+1,20,24,28,32,36,40),0)/100)))))/Skills!H5+0.000000001),1)))/Inputs!$B$43),G2554*Q2554))*IF(Inputs!$B$38="pvp",1,1+(Inputs!$B$20+0+Skills!P5+(((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INT(Skills!I5/Skills!H5+0.000000001),1)+IF(Skills!H5&gt;0,INT(MIN(Skills!I5,MAX(0,MAX(0,Inputs!$B$43-B2585)-((R2554-1)*(IF(Inputs!$B$38="pvp",15,MAX(0.1,Skills!D5-IF(TRUE=TRUE,Inputs!$B$32,0)))*(1-IF(AND(ArtifactsInput!$M$27,Inputs!$B$4="Chapter Hunt"),CHOOSE(ArtifactsInput!$N$27+1,20,24,28,32,36,40),0)/100)))))/Skills!H5+0.000000001),1)))/Inputs!$B$43),G2554*Q2554))*IF(Inputs!$B$38="pvp",1,(1+(Inputs!$B$21+Skills!Q5+(((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Skills!G6*IF(Skills!H6&gt;0,INT(IF(Inputs!$B$38="pvp",MIN(Skills!I6,15),Skills!I6)/Skills!H6+0.000000001),1)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IFERROR(1/(IF(Inputs!$B$38="pvp",15,MAX(0.1,Skills!D6-IF(TRUE=TRUE,Inputs!$B$32,0)))*(1-IF(AND(ArtifactsInput!$M$27,Inputs!$B$4="Chapter Hunt"),CHOOSE(ArtifactsInput!$N$27+1,20,24,28,32,36,40),0)/100)),0)</f>
        <v/>
      </c>
      <c r="R2555">
        <f>IF(AND(Inputs!$B$38&lt;&gt;"pvp",Inputs!$B$43&gt;0),IF(MAX(0,Inputs!$B$43-B2585)&lt;=0,0,(INT(MAX(0,Inputs!$B$43-B2585)/(IF(Inputs!$B$38="pvp",15,MAX(0.1,Skills!D6-IF(TRUE=TRUE,Inputs!$B$32,0)))*(1-IF(AND(ArtifactsInput!$M$27,Inputs!$B$4="Chapter Hunt"),CHOOSE(ArtifactsInput!$N$27+1,20,24,28,32,36,40),0)/100)))+1)),0)</f>
        <v/>
      </c>
      <c r="S2555">
        <f>IFERROR(O2555/N2555,0)</f>
        <v/>
      </c>
      <c r="T2555">
        <f>IF(C2555,(H2555*N2555*IF(AND(Inputs!$B$38&lt;&gt;"pvp",Inputs!$B$43&gt;0),((Skills!G6*((R2555-1)*IF(Skills!H6&gt;0,INT(Skills!I6/Skills!H6+0.000000001),1)+IF(Skills!H6&gt;0,INT(MIN(Skills!I6,MAX(0,MAX(0,Inputs!$B$43-B2585)-((R2555-1)*(IF(Inputs!$B$38="pvp",15,MAX(0.1,Skills!D6-IF(TRUE=TRUE,Inputs!$B$32,0)))*(1-IF(AND(ArtifactsInput!$M$27,Inputs!$B$4="Chapter Hunt"),CHOOSE(ArtifactsInput!$N$27+1,20,24,28,32,36,40),0)/100)))))/Skills!H6+0.000000001),1)))/Inputs!$B$43),G2555*Q2555))*IF(Inputs!$B$38="pvp",1,1+(Inputs!$B$20+0+Skills!P6+(((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INT(Skills!I6/Skills!H6+0.000000001),1)+IF(Skills!H6&gt;0,INT(MIN(Skills!I6,MAX(0,MAX(0,Inputs!$B$43-B2585)-((R2555-1)*(IF(Inputs!$B$38="pvp",15,MAX(0.1,Skills!D6-IF(TRUE=TRUE,Inputs!$B$32,0)))*(1-IF(AND(ArtifactsInput!$M$27,Inputs!$B$4="Chapter Hunt"),CHOOSE(ArtifactsInput!$N$27+1,20,24,28,32,36,40),0)/100)))))/Skills!H6+0.000000001),1)))/Inputs!$B$43),G2555*Q2555))*IF(Inputs!$B$38="pvp",1,(1+(Inputs!$B$21+Skills!Q6+(((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Skills!G7*IF(Skills!H7&gt;0,INT(IF(Inputs!$B$38="pvp",MIN(Skills!I7,15),Skills!I7)/Skills!H7+0.000000001),1)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IFERROR(1/(IF(Inputs!$B$38="pvp",15,MAX(0.1,Skills!D7-IF(TRUE=TRUE,Inputs!$B$32,0)))*(1-IF(AND(ArtifactsInput!$M$27,Inputs!$B$4="Chapter Hunt"),CHOOSE(ArtifactsInput!$N$27+1,20,24,28,32,36,40),0)/100)),0)</f>
        <v/>
      </c>
      <c r="R2556">
        <f>IF(AND(Inputs!$B$38&lt;&gt;"pvp",Inputs!$B$43&gt;0),IF(MAX(0,Inputs!$B$43-B2585)&lt;=0,0,(INT(MAX(0,Inputs!$B$43-B2585)/(IF(Inputs!$B$38="pvp",15,MAX(0.1,Skills!D7-IF(TRUE=TRUE,Inputs!$B$32,0)))*(1-IF(AND(ArtifactsInput!$M$27,Inputs!$B$4="Chapter Hunt"),CHOOSE(ArtifactsInput!$N$27+1,20,24,28,32,36,40),0)/100)))+1)),0)</f>
        <v/>
      </c>
      <c r="S2556">
        <f>IFERROR(O2556/N2556,0)</f>
        <v/>
      </c>
      <c r="T2556">
        <f>IF(C2556,(H2556*N2556*IF(AND(Inputs!$B$38&lt;&gt;"pvp",Inputs!$B$43&gt;0),((Skills!G7*((R2556-1)*IF(Skills!H7&gt;0,INT(Skills!I7/Skills!H7+0.000000001),1)+IF(Skills!H7&gt;0,INT(MIN(Skills!I7,MAX(0,MAX(0,Inputs!$B$43-B2585)-((R2556-1)*(IF(Inputs!$B$38="pvp",15,MAX(0.1,Skills!D7-IF(TRUE=TRUE,Inputs!$B$32,0)))*(1-IF(AND(ArtifactsInput!$M$27,Inputs!$B$4="Chapter Hunt"),CHOOSE(ArtifactsInput!$N$27+1,20,24,28,32,36,40),0)/100)))))/Skills!H7+0.000000001),1)))/Inputs!$B$43),G2556*Q2556))*IF(Inputs!$B$38="pvp",1,1+(Inputs!$B$20+0+Skills!P7+(((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INT(Skills!I7/Skills!H7+0.000000001),1)+IF(Skills!H7&gt;0,INT(MIN(Skills!I7,MAX(0,MAX(0,Inputs!$B$43-B2585)-((R2556-1)*(IF(Inputs!$B$38="pvp",15,MAX(0.1,Skills!D7-IF(TRUE=TRUE,Inputs!$B$32,0)))*(1-IF(AND(ArtifactsInput!$M$27,Inputs!$B$4="Chapter Hunt"),CHOOSE(ArtifactsInput!$N$27+1,20,24,28,32,36,40),0)/100)))))/Skills!H7+0.000000001),1)))/Inputs!$B$43),G2556*Q2556))*IF(Inputs!$B$38="pvp",1,(1+(Inputs!$B$21+Skills!Q7+(((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Skills!G8*IF(Skills!H8&gt;0,INT(IF(Inputs!$B$38="pvp",MIN(Skills!I8,15),Skills!I8)/Skills!H8+0.000000001),1)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IFERROR(1/(IF(Inputs!$B$38="pvp",15,MAX(0.1,Skills!D8-IF(TRUE=TRUE,Inputs!$B$32,0)))*(1-IF(AND(ArtifactsInput!$M$27,Inputs!$B$4="Chapter Hunt"),CHOOSE(ArtifactsInput!$N$27+1,20,24,28,32,36,40),0)/100)),0)</f>
        <v/>
      </c>
      <c r="R2557">
        <f>IF(AND(Inputs!$B$38&lt;&gt;"pvp",Inputs!$B$43&gt;0),IF(MAX(0,Inputs!$B$43-B2585)&lt;=0,0,(INT(MAX(0,Inputs!$B$43-B2585)/(IF(Inputs!$B$38="pvp",15,MAX(0.1,Skills!D8-IF(TRUE=TRUE,Inputs!$B$32,0)))*(1-IF(AND(ArtifactsInput!$M$27,Inputs!$B$4="Chapter Hunt"),CHOOSE(ArtifactsInput!$N$27+1,20,24,28,32,36,40),0)/100)))+1)),0)</f>
        <v/>
      </c>
      <c r="S2557">
        <f>IFERROR(O2557/N2557,0)</f>
        <v/>
      </c>
      <c r="T2557">
        <f>IF(C2557,(H2557*N2557*IF(AND(Inputs!$B$38&lt;&gt;"pvp",Inputs!$B$43&gt;0),((Skills!G8*((R2557-1)*IF(Skills!H8&gt;0,INT(Skills!I8/Skills!H8+0.000000001),1)+IF(Skills!H8&gt;0,INT(MIN(Skills!I8,MAX(0,MAX(0,Inputs!$B$43-B2585)-((R2557-1)*(IF(Inputs!$B$38="pvp",15,MAX(0.1,Skills!D8-IF(TRUE=TRUE,Inputs!$B$32,0)))*(1-IF(AND(ArtifactsInput!$M$27,Inputs!$B$4="Chapter Hunt"),CHOOSE(ArtifactsInput!$N$27+1,20,24,28,32,36,40),0)/100)))))/Skills!H8+0.000000001),1)))/Inputs!$B$43),G2557*Q2557))*IF(Inputs!$B$38="pvp",1,1+(Inputs!$B$20+0+Skills!P8+(((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INT(Skills!I8/Skills!H8+0.000000001),1)+IF(Skills!H8&gt;0,INT(MIN(Skills!I8,MAX(0,MAX(0,Inputs!$B$43-B2585)-((R2557-1)*(IF(Inputs!$B$38="pvp",15,MAX(0.1,Skills!D8-IF(TRUE=TRUE,Inputs!$B$32,0)))*(1-IF(AND(ArtifactsInput!$M$27,Inputs!$B$4="Chapter Hunt"),CHOOSE(ArtifactsInput!$N$27+1,20,24,28,32,36,40),0)/100)))))/Skills!H8+0.000000001),1)))/Inputs!$B$43),G2557*Q2557))*IF(Inputs!$B$38="pvp",1,(1+(Inputs!$B$21+Skills!Q8+(((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Skills!G9*IF(Skills!H9&gt;0,INT(IF(Inputs!$B$38="pvp",MIN(Skills!I9,15),Skills!I9)/Skills!H9+0.000000001),1)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138,MAX(0,IF(Inputs!$B$3&gt;=118,8,IF(Inputs!$B$3&gt;=110,7,5))-5)*50,0),0)/100)*(1+(IF(Skills!A9="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IFERROR(1/(IF(Inputs!$B$38="pvp",15,MAX(0.1,Skills!D9-IF(TRUE=TRUE,Inputs!$B$32,0)))*(1-IF(AND(ArtifactsInput!$M$27,Inputs!$B$4="Chapter Hunt"),CHOOSE(ArtifactsInput!$N$27+1,20,24,28,32,36,40),0)/100)),0)</f>
        <v/>
      </c>
      <c r="R2558">
        <f>IF(AND(Inputs!$B$38&lt;&gt;"pvp",Inputs!$B$43&gt;0),IF(MAX(0,Inputs!$B$43-B2585)&lt;=0,0,(INT(MAX(0,Inputs!$B$43-B2585)/(IF(Inputs!$B$38="pvp",15,MAX(0.1,Skills!D9-IF(TRUE=TRUE,Inputs!$B$32,0)))*(1-IF(AND(ArtifactsInput!$M$27,Inputs!$B$4="Chapter Hunt"),CHOOSE(ArtifactsInput!$N$27+1,20,24,28,32,36,40),0)/100)))+1)),0)</f>
        <v/>
      </c>
      <c r="S2558">
        <f>IFERROR(O2558/N2558,0)</f>
        <v/>
      </c>
      <c r="T2558">
        <f>IF(C2558,(H2558*N2558*IF(AND(Inputs!$B$38&lt;&gt;"pvp",Inputs!$B$43&gt;0),((Skills!G9*((R2558-1)*IF(Skills!H9&gt;0,INT(Skills!I9/Skills!H9+0.000000001),1)+IF(Skills!H9&gt;0,INT(MIN(Skills!I9,MAX(0,MAX(0,Inputs!$B$43-B2585)-((R2558-1)*(IF(Inputs!$B$38="pvp",15,MAX(0.1,Skills!D9-IF(TRUE=TRUE,Inputs!$B$32,0)))*(1-IF(AND(ArtifactsInput!$M$27,Inputs!$B$4="Chapter Hunt"),CHOOSE(ArtifactsInput!$N$27+1,20,24,28,32,36,40),0)/100)))))/Skills!H9+0.000000001),1)))/Inputs!$B$43),G2558*Q2558))*IF(Inputs!$B$38="pvp",1,1+(Inputs!$B$20+0+Skills!P9+(((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INT(Skills!I9/Skills!H9+0.000000001),1)+IF(Skills!H9&gt;0,INT(MIN(Skills!I9,MAX(0,MAX(0,Inputs!$B$43-B2585)-((R2558-1)*(IF(Inputs!$B$38="pvp",15,MAX(0.1,Skills!D9-IF(TRUE=TRUE,Inputs!$B$32,0)))*(1-IF(AND(ArtifactsInput!$M$27,Inputs!$B$4="Chapter Hunt"),CHOOSE(ArtifactsInput!$N$27+1,20,24,28,32,36,40),0)/100)))))/Skills!H9+0.000000001),1)))/Inputs!$B$43),G2558*Q2558))*IF(Inputs!$B$38="pvp",1,(1+(Inputs!$B$21+Skills!Q9+(((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Skills!G10*IF(Skills!H10&gt;0,INT(IF(Inputs!$B$38="pvp",MIN(Skills!I10,15),Skills!I10)/Skills!H10+0.000000001),1)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138,MAX(0,IF(Inputs!$B$3&gt;=118,8,IF(Inputs!$B$3&gt;=110,7,5))-5)*50,0),0)/100)*(1+(IF(Skills!A10="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IFERROR(1/(IF(Inputs!$B$38="pvp",15,MAX(0.1,Skills!D10-IF(TRUE=TRUE,Inputs!$B$32,0)))*(1-IF(AND(ArtifactsInput!$M$27,Inputs!$B$4="Chapter Hunt"),CHOOSE(ArtifactsInput!$N$27+1,20,24,28,32,36,40),0)/100)),0)</f>
        <v/>
      </c>
      <c r="R2559">
        <f>IF(AND(Inputs!$B$38&lt;&gt;"pvp",Inputs!$B$43&gt;0),IF(MAX(0,Inputs!$B$43-B2585)&lt;=0,0,(INT(MAX(0,Inputs!$B$43-B2585)/(IF(Inputs!$B$38="pvp",15,MAX(0.1,Skills!D10-IF(TRUE=TRUE,Inputs!$B$32,0)))*(1-IF(AND(ArtifactsInput!$M$27,Inputs!$B$4="Chapter Hunt"),CHOOSE(ArtifactsInput!$N$27+1,20,24,28,32,36,40),0)/100)))+1)),0)</f>
        <v/>
      </c>
      <c r="S2559">
        <f>IFERROR(O2559/N2559,0)</f>
        <v/>
      </c>
      <c r="T2559">
        <f>IF(C2559,(H2559*N2559*IF(AND(Inputs!$B$38&lt;&gt;"pvp",Inputs!$B$43&gt;0),((Skills!G10*((R2559-1)*IF(Skills!H10&gt;0,INT(Skills!I10/Skills!H10+0.000000001),1)+IF(Skills!H10&gt;0,INT(MIN(Skills!I10,MAX(0,MAX(0,Inputs!$B$43-B2585)-((R2559-1)*(IF(Inputs!$B$38="pvp",15,MAX(0.1,Skills!D10-IF(TRUE=TRUE,Inputs!$B$32,0)))*(1-IF(AND(ArtifactsInput!$M$27,Inputs!$B$4="Chapter Hunt"),CHOOSE(ArtifactsInput!$N$27+1,20,24,28,32,36,40),0)/100)))))/Skills!H10+0.000000001),1)))/Inputs!$B$43),G2559*Q2559))*IF(Inputs!$B$38="pvp",1,1+(Inputs!$B$20+0+Skills!P10+(((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INT(Skills!I10/Skills!H10+0.000000001),1)+IF(Skills!H10&gt;0,INT(MIN(Skills!I10,MAX(0,MAX(0,Inputs!$B$43-B2585)-((R2559-1)*(IF(Inputs!$B$38="pvp",15,MAX(0.1,Skills!D10-IF(TRUE=TRUE,Inputs!$B$32,0)))*(1-IF(AND(ArtifactsInput!$M$27,Inputs!$B$4="Chapter Hunt"),CHOOSE(ArtifactsInput!$N$27+1,20,24,28,32,36,40),0)/100)))))/Skills!H10+0.000000001),1)))/Inputs!$B$43),G2559*Q2559))*IF(Inputs!$B$38="pvp",1,(1+(Inputs!$B$21+Skills!Q10+(((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Skills!G11*IF(Skills!H11&gt;0,INT(IF(Inputs!$B$38="pvp",MIN(Skills!I11,15),Skills!I11)/Skills!H11+0.000000001),1)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138,MAX(0,IF(Inputs!$B$3&gt;=118,8,IF(Inputs!$B$3&gt;=110,7,5))-5)*50,0),0)/100)*(1+(IF(Skills!A11="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IFERROR(1/(IF(Inputs!$B$38="pvp",15,MAX(0.1,Skills!D11-IF(TRUE=TRUE,Inputs!$B$32,0)))*(1-IF(AND(ArtifactsInput!$M$27,Inputs!$B$4="Chapter Hunt"),CHOOSE(ArtifactsInput!$N$27+1,20,24,28,32,36,40),0)/100)),0)</f>
        <v/>
      </c>
      <c r="R2560">
        <f>IF(AND(Inputs!$B$38&lt;&gt;"pvp",Inputs!$B$43&gt;0),IF(MAX(0,Inputs!$B$43-B2585)&lt;=0,0,(INT(MAX(0,Inputs!$B$43-B2585)/(IF(Inputs!$B$38="pvp",15,MAX(0.1,Skills!D11-IF(TRUE=TRUE,Inputs!$B$32,0)))*(1-IF(AND(ArtifactsInput!$M$27,Inputs!$B$4="Chapter Hunt"),CHOOSE(ArtifactsInput!$N$27+1,20,24,28,32,36,40),0)/100)))+1)),0)</f>
        <v/>
      </c>
      <c r="S2560">
        <f>IFERROR(O2560/N2560,0)</f>
        <v/>
      </c>
      <c r="T2560">
        <f>IF(C2560,(H2560*N2560*IF(AND(Inputs!$B$38&lt;&gt;"pvp",Inputs!$B$43&gt;0),((Skills!G11*((R2560-1)*IF(Skills!H11&gt;0,INT(Skills!I11/Skills!H11+0.000000001),1)+IF(Skills!H11&gt;0,INT(MIN(Skills!I11,MAX(0,MAX(0,Inputs!$B$43-B2585)-((R2560-1)*(IF(Inputs!$B$38="pvp",15,MAX(0.1,Skills!D11-IF(TRUE=TRUE,Inputs!$B$32,0)))*(1-IF(AND(ArtifactsInput!$M$27,Inputs!$B$4="Chapter Hunt"),CHOOSE(ArtifactsInput!$N$27+1,20,24,28,32,36,40),0)/100)))))/Skills!H11+0.000000001),1)))/Inputs!$B$43),G2560*Q2560))*IF(Inputs!$B$38="pvp",1,1+(Inputs!$B$20+0+Skills!P11+(((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INT(Skills!I11/Skills!H11+0.000000001),1)+IF(Skills!H11&gt;0,INT(MIN(Skills!I11,MAX(0,MAX(0,Inputs!$B$43-B2585)-((R2560-1)*(IF(Inputs!$B$38="pvp",15,MAX(0.1,Skills!D11-IF(TRUE=TRUE,Inputs!$B$32,0)))*(1-IF(AND(ArtifactsInput!$M$27,Inputs!$B$4="Chapter Hunt"),CHOOSE(ArtifactsInput!$N$27+1,20,24,28,32,36,40),0)/100)))))/Skills!H11+0.000000001),1)))/Inputs!$B$43),G2560*Q2560))*IF(Inputs!$B$38="pvp",1,(1+(Inputs!$B$21+Skills!Q11+(((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Skills!G13*IF(Skills!H13&gt;0,INT(IF(Inputs!$B$38="pvp",MIN(Skills!I13,15),Skills!I13)/Skills!H13+0.000000001),1)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Skills!G14*IF(Skills!H14&gt;0,INT(IF(Inputs!$B$38="pvp",MIN(Skills!I14,15),Skills!I14)/Skills!H14+0.000000001),1)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Skills!G15*IF(Skills!H15&gt;0,INT(IF(Inputs!$B$38="pvp",MIN(Skills!I15,15),Skills!I15)/Skills!H15+0.000000001),1)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IFERROR(1/(IF(Inputs!$B$38="pvp",15,MAX(0.1,Skills!D15-IF(TRUE=TRUE,Inputs!$B$32,0)))*(1-IF(AND(ArtifactsInput!$M$27,Inputs!$B$4="Chapter Hunt"),CHOOSE(ArtifactsInput!$N$27+1,20,24,28,32,36,40),0)/100)),0)</f>
        <v/>
      </c>
      <c r="R2564">
        <f>IF(AND(Inputs!$B$38&lt;&gt;"pvp",Inputs!$B$43&gt;0),IF(Inputs!$B$43&lt;=0,0,(INT(Inputs!$B$43/(IF(Inputs!$B$38="pvp",15,MAX(0.1,Skills!D15-IF(TRUE=TRUE,Inputs!$B$32,0)))*(1-IF(AND(ArtifactsInput!$M$27,Inputs!$B$4="Chapter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Skills!G16*IF(Skills!H16&gt;0,INT(IF(Inputs!$B$38="pvp",MIN(Skills!I16,15),Skills!I16)/Skills!H16+0.000000001),1)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IFERROR(1/(IF(Inputs!$B$38="pvp",15,MAX(0.1,Skills!D16-IF(TRUE=TRUE,Inputs!$B$32,0)))*(1-IF(AND(ArtifactsInput!$M$27,Inputs!$B$4="Chapter Hunt"),CHOOSE(ArtifactsInput!$N$27+1,20,24,28,32,36,40),0)/100)),0)</f>
        <v/>
      </c>
      <c r="R2565">
        <f>IF(AND(Inputs!$B$38&lt;&gt;"pvp",Inputs!$B$43&gt;0),IF(Inputs!$B$43&lt;=0,0,(INT(Inputs!$B$43/(IF(Inputs!$B$38="pvp",15,MAX(0.1,Skills!D16-IF(TRUE=TRUE,Inputs!$B$32,0)))*(1-IF(AND(ArtifactsInput!$M$27,Inputs!$B$4="Chapter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Skills!G17*IF(Skills!H17&gt;0,INT(IF(Inputs!$B$38="pvp",MIN(Skills!I17,15),Skills!I17)/Skills!H17+0.000000001),1)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IFERROR(1/(IF(Inputs!$B$38="pvp",15,MAX(0.1,Skills!D17-IF(TRUE=TRUE,Inputs!$B$32,0)))*(1-IF(AND(ArtifactsInput!$M$27,Inputs!$B$4="Chapter Hunt"),CHOOSE(ArtifactsInput!$N$27+1,20,24,28,32,36,40),0)/100)),0)</f>
        <v/>
      </c>
      <c r="R2566">
        <f>IF(AND(Inputs!$B$38&lt;&gt;"pvp",Inputs!$B$43&gt;0),IF(Inputs!$B$43&lt;=0,0,(INT(Inputs!$B$43/(IF(Inputs!$B$38="pvp",15,MAX(0.1,Skills!D17-IF(TRUE=TRUE,Inputs!$B$32,0)))*(1-IF(AND(ArtifactsInput!$M$27,Inputs!$B$4="Chapter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Skills!G18*IF(Skills!H18&gt;0,INT(IF(Inputs!$B$38="pvp",MIN(Skills!I18,15),Skills!I18)/Skills!H18+0.000000001),1)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IFERROR(1/(IF(Inputs!$B$38="pvp",15,MAX(0.1,Skills!D18-IF(TRUE=TRUE,Inputs!$B$32,0)))*(1-IF(AND(ArtifactsInput!$M$27,Inputs!$B$4="Chapter Hunt"),CHOOSE(ArtifactsInput!$N$27+1,20,24,28,32,36,40),0)/100)),0)</f>
        <v/>
      </c>
      <c r="R2567">
        <f>IF(AND(Inputs!$B$38&lt;&gt;"pvp",Inputs!$B$43&gt;0),IF(Inputs!$B$43&lt;=0,0,(INT(Inputs!$B$43/(IF(Inputs!$B$38="pvp",15,MAX(0.1,Skills!D18-IF(TRUE=TRUE,Inputs!$B$32,0)))*(1-IF(AND(ArtifactsInput!$M$27,Inputs!$B$4="Chapter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Skills!G19*IF(Skills!H19&gt;0,INT(IF(Inputs!$B$38="pvp",MIN(Skills!I19,15),Skills!I19)/Skills!H19+0.000000001),1)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IFERROR(1/(IF(Inputs!$B$38="pvp",15,MAX(0.1,Skills!D19-IF(TRUE=TRUE,Inputs!$B$32,0)))*(1-IF(AND(ArtifactsInput!$M$27,Inputs!$B$4="Chapter Hunt"),CHOOSE(ArtifactsInput!$N$27+1,20,24,28,32,36,40),0)/100)),0)</f>
        <v/>
      </c>
      <c r="R2568">
        <f>IF(AND(Inputs!$B$38&lt;&gt;"pvp",Inputs!$B$43&gt;0),IF(Inputs!$B$43&lt;=0,0,(INT(Inputs!$B$43/(IF(Inputs!$B$38="pvp",15,MAX(0.1,Skills!D19-IF(TRUE=TRUE,Inputs!$B$32,0)))*(1-IF(AND(ArtifactsInput!$M$27,Inputs!$B$4="Chapter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Skills!G20*IF(Skills!H20&gt;0,INT(IF(Inputs!$B$38="pvp",MIN(Skills!I20,15),Skills!I20)/Skills!H20+0.000000001),1)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Skills!G21*IF(Skills!H21&gt;0,INT(IF(Inputs!$B$38="pvp",MIN(Skills!I21,15),Skills!I21)/Skills!H21+0.000000001),1)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Skills!G22*IF(Skills!H22&gt;0,INT(IF(Inputs!$B$38="pvp",MIN(Skills!I22,15),Skills!I22)/Skills!H22+0.000000001),1)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Skills!G23*IF(Skills!H23&gt;0,INT(IF(Inputs!$B$38="pvp",MIN(Skills!I23,15),Skills!I23)/Skills!H23+0.000000001),1)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Skills!G24*IF(Skills!H24&gt;0,INT(IF(Inputs!$B$38="pvp",MIN(Skills!I24,15),Skills!I24)/Skills!H24+0.000000001),1)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Skills!G25*IF(Skills!H25&gt;0,INT(IF(Inputs!$B$38="pvp",MIN(Skills!I25,15),Skills!I25)/Skills!H25+0.000000001),1)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Skills!G26*IF(Skills!H26&gt;0,INT(IF(Inputs!$B$38="pvp",MIN(Skills!I26,15),Skills!I26)/Skills!H26+0.000000001),1)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MIN((Skills!T19*(1+(Inputs!$B$34+(ArtifactsInput!$M$7-ArtifactsInput!$M$7)*CHOOSE(ArtifactsInput!$N$7+1,6,7.2,8.4,9.6,10.8,12))/100)),(1/Q2568))+MIN((Skills!T19*(1+(Inputs!$B$34+(ArtifactsInput!$M$7-ArtifactsInput!$M$7)*CHOOSE(ArtifactsInput!$N$7+1,6,7.2,8.4,9.6,10.8,12))/100)),MAX(0,Inputs!$B$43-((R2568-1)*(1/Q2568)))))/Inputs!$B$43),IF(Inputs!$B$38="pvp",MIN((Skills!T19*(1+(Inputs!$B$34+(ArtifactsInput!$M$7-ArtifactsInput!$M$7)*CHOOSE(ArtifactsInput!$N$7+1,6,7.2,8.4,9.6,10.8,12))/100)),15)/15,MIN(1,(Skills!T19*(1+(Inputs!$B$34+(ArtifactsInput!$M$7-ArtifactsInput!$M$7)*CHOOSE(ArtifactsInput!$N$7+1,6,7.2,8.4,9.6,10.8,12))/100))/(1/Q2568)))))</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MIN((Skills!T18*(1+(Inputs!$B$34+(ArtifactsInput!$M$7-ArtifactsInput!$M$7)*CHOOSE(ArtifactsInput!$N$7+1,6,7.2,8.4,9.6,10.8,12))/100)),(1/Q2567))+MIN((Skills!T18*(1+(Inputs!$B$34+(ArtifactsInput!$M$7-ArtifactsInput!$M$7)*CHOOSE(ArtifactsInput!$N$7+1,6,7.2,8.4,9.6,10.8,12))/100)),MAX(0,Inputs!$B$43-((R2567-1)*(1/Q2567)))))/Inputs!$B$43),IF(Inputs!$B$38="pvp",MIN((Skills!T18*(1+(Inputs!$B$34+(ArtifactsInput!$M$7-ArtifactsInput!$M$7)*CHOOSE(ArtifactsInput!$N$7+1,6,7.2,8.4,9.6,10.8,12))/100)),15)/15,MIN(1,(Skills!T18*(1+(Inputs!$B$34+(ArtifactsInput!$M$7-ArtifactsInput!$M$7)*CHOOSE(ArtifactsInput!$N$7+1,6,7.2,8.4,9.6,10.8,12))/100))/(1/Q2567)))))</f>
        <v/>
      </c>
    </row>
    <row r="2584">
      <c r="A2584" t="inlineStr">
        <is>
          <t>Global Final Damage Bonus % (Enrage + Combo Synergy)</t>
        </is>
      </c>
      <c r="B2584">
        <f>((C2566=TRUE)*F2566*IF(AND(Inputs!$B$38&lt;&gt;"pvp",Inputs!$B$43&gt;0),(((R2566-1)*MIN((Skills!T17*(1+(Inputs!$B$34+(ArtifactsInput!$M$7-ArtifactsInput!$M$7)*CHOOSE(ArtifactsInput!$N$7+1,6,7.2,8.4,9.6,10.8,12))/100)),(1/Q2566))+MIN((Skills!T17*(1+(Inputs!$B$34+(ArtifactsInput!$M$7-ArtifactsInput!$M$7)*CHOOSE(ArtifactsInput!$N$7+1,6,7.2,8.4,9.6,10.8,12))/100)),MAX(0,Inputs!$B$43-((R2566-1)*(1/Q2566)))))/Inputs!$B$43),IF(Inputs!$B$38="pvp",MIN((Skills!T17*(1+(Inputs!$B$34+(ArtifactsInput!$M$7-ArtifactsInput!$M$7)*CHOOSE(ArtifactsInput!$N$7+1,6,7.2,8.4,9.6,10.8,12))/100)),15)/15,MIN(1,(Skills!T17*(1+(Inputs!$B$34+(ArtifactsInput!$M$7-ArtifactsInput!$M$7)*CHOOSE(ArtifactsInput!$N$7+1,6,7.2,8.4,9.6,10.8,12))/100))/(1/Q2566)))))+((C2563=TRUE)*F2563*IF(Inputs!$B$3&gt;=118,8,IF(Inputs!$B$3&gt;=110,7,5)))+IF(Inputs!$B$3&gt;=98,5,0)</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Skills!G2*IF(Skills!H2&gt;0,INT(IF(Inputs!$B$38="pvp",MIN(Skills!I2,15),Skills!I2)/Skills!H2+0.000000001),1)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Skills!G5*IF(Skills!H5&gt;0,INT(IF(Inputs!$B$38="pvp",MIN(Skills!I5,15),Skills!I5)/Skills!H5+0.000000001),1)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IFERROR(1/(IF(Inputs!$B$38="pvp",15,MAX(0.1,Skills!D5-IF(TRUE=TRUE,Inputs!$B$32,0)))*(1-IF(AND(ArtifactsInput!$M$27,Inputs!$B$4="Chapter Hunt"),CHOOSE(ArtifactsInput!$N$27+1,20,24,28,32,36,40),0)/100)),0)</f>
        <v/>
      </c>
      <c r="R2596">
        <f>IF(AND(Inputs!$B$38&lt;&gt;"pvp",Inputs!$B$43&gt;0),IF(MAX(0,Inputs!$B$43-B2627)&lt;=0,0,(INT(MAX(0,Inputs!$B$43-B2627)/(IF(Inputs!$B$38="pvp",15,MAX(0.1,Skills!D5-IF(TRUE=TRUE,Inputs!$B$32,0)))*(1-IF(AND(ArtifactsInput!$M$27,Inputs!$B$4="Chapter Hunt"),CHOOSE(ArtifactsInput!$N$27+1,20,24,28,32,36,40),0)/100)))+1)),0)</f>
        <v/>
      </c>
      <c r="S2596">
        <f>IFERROR(O2596/N2596,0)</f>
        <v/>
      </c>
      <c r="T2596">
        <f>IF(C2596,(H2596*N2596*IF(AND(Inputs!$B$38&lt;&gt;"pvp",Inputs!$B$43&gt;0),((Skills!G5*((R2596-1)*IF(Skills!H5&gt;0,INT(Skills!I5/Skills!H5+0.000000001),1)+IF(Skills!H5&gt;0,INT(MIN(Skills!I5,MAX(0,MAX(0,Inputs!$B$43-B2627)-((R2596-1)*(IF(Inputs!$B$38="pvp",15,MAX(0.1,Skills!D5-IF(TRUE=TRUE,Inputs!$B$32,0)))*(1-IF(AND(ArtifactsInput!$M$27,Inputs!$B$4="Chapter Hunt"),CHOOSE(ArtifactsInput!$N$27+1,20,24,28,32,36,40),0)/100)))))/Skills!H5+0.000000001),1)))/Inputs!$B$43),G2596*Q2596))*IF(Inputs!$B$38="pvp",1,1+(Inputs!$B$20+0+Skills!P5+(((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INT(Skills!I5/Skills!H5+0.000000001),1)+IF(Skills!H5&gt;0,INT(MIN(Skills!I5,MAX(0,MAX(0,Inputs!$B$43-B2627)-((R2596-1)*(IF(Inputs!$B$38="pvp",15,MAX(0.1,Skills!D5-IF(TRUE=TRUE,Inputs!$B$32,0)))*(1-IF(AND(ArtifactsInput!$M$27,Inputs!$B$4="Chapter Hunt"),CHOOSE(ArtifactsInput!$N$27+1,20,24,28,32,36,40),0)/100)))))/Skills!H5+0.000000001),1)))/Inputs!$B$43),G2596*Q2596))*IF(Inputs!$B$38="pvp",1,(1+(Inputs!$B$21+Skills!Q5+(((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Skills!G6*IF(Skills!H6&gt;0,INT(IF(Inputs!$B$38="pvp",MIN(Skills!I6,15),Skills!I6)/Skills!H6+0.000000001),1)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INT(Skills!I6/Skills!H6+0.000000001),1)+IF(Skills!H6&gt;0,INT(MIN(Skills!I6,MAX(0,MAX(0,Inputs!$B$43-B2627)-((R2597-1)*(IF(Inputs!$B$38="pvp",15,MAX(0.1,Skills!D6-IF(TRUE=TRUE,Inputs!$B$32,0)))*(1-IF(AND(ArtifactsInput!$M$27,Inputs!$B$4="Chapter Hunt"),CHOOSE(ArtifactsInput!$N$27+1,20,24,28,32,36,40),0)/100)))))/Skills!H6+0.000000001),1)))/Inputs!$B$43),G2597*Q2597))*IF(Inputs!$B$38="pvp",1,1+(Inputs!$B$20+0+Skills!P6+(((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INT(Skills!I6/Skills!H6+0.000000001),1)+IF(Skills!H6&gt;0,INT(MIN(Skills!I6,MAX(0,MAX(0,Inputs!$B$43-B2627)-((R2597-1)*(IF(Inputs!$B$38="pvp",15,MAX(0.1,Skills!D6-IF(TRUE=TRUE,Inputs!$B$32,0)))*(1-IF(AND(ArtifactsInput!$M$27,Inputs!$B$4="Chapter Hunt"),CHOOSE(ArtifactsInput!$N$27+1,20,24,28,32,36,40),0)/100)))))/Skills!H6+0.000000001),1)))/Inputs!$B$43),G2597*Q2597))*IF(Inputs!$B$38="pvp",1,(1+(Inputs!$B$21+Skills!Q6+(((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Skills!G7*IF(Skills!H7&gt;0,INT(IF(Inputs!$B$38="pvp",MIN(Skills!I7,15),Skills!I7)/Skills!H7+0.000000001),1)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INT(Skills!I7/Skills!H7+0.000000001),1)+IF(Skills!H7&gt;0,INT(MIN(Skills!I7,MAX(0,MAX(0,Inputs!$B$43-B2627)-((R2598-1)*(IF(Inputs!$B$38="pvp",15,MAX(0.1,Skills!D7-IF(TRUE=TRUE,Inputs!$B$32,0)))*(1-IF(AND(ArtifactsInput!$M$27,Inputs!$B$4="Chapter Hunt"),CHOOSE(ArtifactsInput!$N$27+1,20,24,28,32,36,40),0)/100)))))/Skills!H7+0.000000001),1)))/Inputs!$B$43),G2598*Q2598))*IF(Inputs!$B$38="pvp",1,1+(Inputs!$B$20+0+Skills!P7+(((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INT(Skills!I7/Skills!H7+0.000000001),1)+IF(Skills!H7&gt;0,INT(MIN(Skills!I7,MAX(0,MAX(0,Inputs!$B$43-B2627)-((R2598-1)*(IF(Inputs!$B$38="pvp",15,MAX(0.1,Skills!D7-IF(TRUE=TRUE,Inputs!$B$32,0)))*(1-IF(AND(ArtifactsInput!$M$27,Inputs!$B$4="Chapter Hunt"),CHOOSE(ArtifactsInput!$N$27+1,20,24,28,32,36,40),0)/100)))))/Skills!H7+0.000000001),1)))/Inputs!$B$43),G2598*Q2598))*IF(Inputs!$B$38="pvp",1,(1+(Inputs!$B$21+Skills!Q7+(((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Skills!G8*IF(Skills!H8&gt;0,INT(IF(Inputs!$B$38="pvp",MIN(Skills!I8,15),Skills!I8)/Skills!H8+0.000000001),1)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INT(Skills!I8/Skills!H8+0.000000001),1)+IF(Skills!H8&gt;0,INT(MIN(Skills!I8,MAX(0,MAX(0,Inputs!$B$43-B2627)-((R2599-1)*(IF(Inputs!$B$38="pvp",15,MAX(0.1,Skills!D8-IF(TRUE=TRUE,Inputs!$B$32,0)))*(1-IF(AND(ArtifactsInput!$M$27,Inputs!$B$4="Chapter Hunt"),CHOOSE(ArtifactsInput!$N$27+1,20,24,28,32,36,40),0)/100)))))/Skills!H8+0.000000001),1)))/Inputs!$B$43),G2599*Q2599))*IF(Inputs!$B$38="pvp",1,1+(Inputs!$B$20+0+Skills!P8+(((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INT(Skills!I8/Skills!H8+0.000000001),1)+IF(Skills!H8&gt;0,INT(MIN(Skills!I8,MAX(0,MAX(0,Inputs!$B$43-B2627)-((R2599-1)*(IF(Inputs!$B$38="pvp",15,MAX(0.1,Skills!D8-IF(TRUE=TRUE,Inputs!$B$32,0)))*(1-IF(AND(ArtifactsInput!$M$27,Inputs!$B$4="Chapter Hunt"),CHOOSE(ArtifactsInput!$N$27+1,20,24,28,32,36,40),0)/100)))))/Skills!H8+0.000000001),1)))/Inputs!$B$43),G2599*Q2599))*IF(Inputs!$B$38="pvp",1,(1+(Inputs!$B$21+Skills!Q8+(((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Skills!G9*IF(Skills!H9&gt;0,INT(IF(Inputs!$B$38="pvp",MIN(Skills!I9,15),Skills!I9)/Skills!H9+0.000000001),1)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138,MAX(0,IF(Inputs!$B$3&gt;=118,8,IF(Inputs!$B$3&gt;=110,7,5))-5)*50,0),0)/100)*(1+(IF(Skills!A9="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IFERROR(1/(IF(Inputs!$B$38="pvp",15,MAX(0.1,Skills!D9-IF(TRUE=TRUE,Inputs!$B$32,0)))*(1-IF(AND(ArtifactsInput!$M$27,Inputs!$B$4="Chapter Hunt"),CHOOSE(ArtifactsInput!$N$27+1,20,24,28,32,36,40),0)/100)),0)</f>
        <v/>
      </c>
      <c r="R2600">
        <f>IF(AND(Inputs!$B$38&lt;&gt;"pvp",Inputs!$B$43&gt;0),IF(MAX(0,Inputs!$B$43-B2627)&lt;=0,0,(INT(MAX(0,Inputs!$B$43-B2627)/(IF(Inputs!$B$38="pvp",15,MAX(0.1,Skills!D9-IF(TRUE=TRUE,Inputs!$B$32,0)))*(1-IF(AND(ArtifactsInput!$M$27,Inputs!$B$4="Chapter Hunt"),CHOOSE(ArtifactsInput!$N$27+1,20,24,28,32,36,40),0)/100)))+1)),0)</f>
        <v/>
      </c>
      <c r="S2600">
        <f>IFERROR(O2600/N2600,0)</f>
        <v/>
      </c>
      <c r="T2600">
        <f>IF(C2600,(H2600*N2600*IF(AND(Inputs!$B$38&lt;&gt;"pvp",Inputs!$B$43&gt;0),((Skills!G9*((R2600-1)*IF(Skills!H9&gt;0,INT(Skills!I9/Skills!H9+0.000000001),1)+IF(Skills!H9&gt;0,INT(MIN(Skills!I9,MAX(0,MAX(0,Inputs!$B$43-B2627)-((R2600-1)*(IF(Inputs!$B$38="pvp",15,MAX(0.1,Skills!D9-IF(TRUE=TRUE,Inputs!$B$32,0)))*(1-IF(AND(ArtifactsInput!$M$27,Inputs!$B$4="Chapter Hunt"),CHOOSE(ArtifactsInput!$N$27+1,20,24,28,32,36,40),0)/100)))))/Skills!H9+0.000000001),1)))/Inputs!$B$43),G2600*Q2600))*IF(Inputs!$B$38="pvp",1,1+(Inputs!$B$20+0+Skills!P9+(((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INT(Skills!I9/Skills!H9+0.000000001),1)+IF(Skills!H9&gt;0,INT(MIN(Skills!I9,MAX(0,MAX(0,Inputs!$B$43-B2627)-((R2600-1)*(IF(Inputs!$B$38="pvp",15,MAX(0.1,Skills!D9-IF(TRUE=TRUE,Inputs!$B$32,0)))*(1-IF(AND(ArtifactsInput!$M$27,Inputs!$B$4="Chapter Hunt"),CHOOSE(ArtifactsInput!$N$27+1,20,24,28,32,36,40),0)/100)))))/Skills!H9+0.000000001),1)))/Inputs!$B$43),G2600*Q2600))*IF(Inputs!$B$38="pvp",1,(1+(Inputs!$B$21+Skills!Q9+(((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Skills!G10*IF(Skills!H10&gt;0,INT(IF(Inputs!$B$38="pvp",MIN(Skills!I10,15),Skills!I10)/Skills!H10+0.000000001),1)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138,MAX(0,IF(Inputs!$B$3&gt;=118,8,IF(Inputs!$B$3&gt;=110,7,5))-5)*50,0),0)/100)*(1+(IF(Skills!A10="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INT(Skills!I10/Skills!H10+0.000000001),1)+IF(Skills!H10&gt;0,INT(MIN(Skills!I10,MAX(0,MAX(0,Inputs!$B$43-B2627)-((R2601-1)*(IF(Inputs!$B$38="pvp",15,MAX(0.1,Skills!D10-IF(TRUE=TRUE,Inputs!$B$32,0)))*(1-IF(AND(ArtifactsInput!$M$27,Inputs!$B$4="Chapter Hunt"),CHOOSE(ArtifactsInput!$N$27+1,20,24,28,32,36,40),0)/100)))))/Skills!H10+0.000000001),1)))/Inputs!$B$43),G2601*Q2601))*IF(Inputs!$B$38="pvp",1,1+(Inputs!$B$20+0+Skills!P10+(((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INT(Skills!I10/Skills!H10+0.000000001),1)+IF(Skills!H10&gt;0,INT(MIN(Skills!I10,MAX(0,MAX(0,Inputs!$B$43-B2627)-((R2601-1)*(IF(Inputs!$B$38="pvp",15,MAX(0.1,Skills!D10-IF(TRUE=TRUE,Inputs!$B$32,0)))*(1-IF(AND(ArtifactsInput!$M$27,Inputs!$B$4="Chapter Hunt"),CHOOSE(ArtifactsInput!$N$27+1,20,24,28,32,36,40),0)/100)))))/Skills!H10+0.000000001),1)))/Inputs!$B$43),G2601*Q2601))*IF(Inputs!$B$38="pvp",1,(1+(Inputs!$B$21+Skills!Q10+(((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Skills!G11*IF(Skills!H11&gt;0,INT(IF(Inputs!$B$38="pvp",MIN(Skills!I11,15),Skills!I11)/Skills!H11+0.000000001),1)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138,MAX(0,IF(Inputs!$B$3&gt;=118,8,IF(Inputs!$B$3&gt;=110,7,5))-5)*50,0),0)/100)*(1+(IF(Skills!A11="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IFERROR(1/(IF(Inputs!$B$38="pvp",15,MAX(0.1,Skills!D11-IF(TRUE=TRUE,Inputs!$B$32,0)))*(1-IF(AND(ArtifactsInput!$M$27,Inputs!$B$4="Chapter Hunt"),CHOOSE(ArtifactsInput!$N$27+1,20,24,28,32,36,40),0)/100)),0)</f>
        <v/>
      </c>
      <c r="R2602">
        <f>IF(AND(Inputs!$B$38&lt;&gt;"pvp",Inputs!$B$43&gt;0),IF(MAX(0,Inputs!$B$43-B2627)&lt;=0,0,(INT(MAX(0,Inputs!$B$43-B2627)/(IF(Inputs!$B$38="pvp",15,MAX(0.1,Skills!D11-IF(TRUE=TRUE,Inputs!$B$32,0)))*(1-IF(AND(ArtifactsInput!$M$27,Inputs!$B$4="Chapter Hunt"),CHOOSE(ArtifactsInput!$N$27+1,20,24,28,32,36,40),0)/100)))+1)),0)</f>
        <v/>
      </c>
      <c r="S2602">
        <f>IFERROR(O2602/N2602,0)</f>
        <v/>
      </c>
      <c r="T2602">
        <f>IF(C2602,(H2602*N2602*IF(AND(Inputs!$B$38&lt;&gt;"pvp",Inputs!$B$43&gt;0),((Skills!G11*((R2602-1)*IF(Skills!H11&gt;0,INT(Skills!I11/Skills!H11+0.000000001),1)+IF(Skills!H11&gt;0,INT(MIN(Skills!I11,MAX(0,MAX(0,Inputs!$B$43-B2627)-((R2602-1)*(IF(Inputs!$B$38="pvp",15,MAX(0.1,Skills!D11-IF(TRUE=TRUE,Inputs!$B$32,0)))*(1-IF(AND(ArtifactsInput!$M$27,Inputs!$B$4="Chapter Hunt"),CHOOSE(ArtifactsInput!$N$27+1,20,24,28,32,36,40),0)/100)))))/Skills!H11+0.000000001),1)))/Inputs!$B$43),G2602*Q2602))*IF(Inputs!$B$38="pvp",1,1+(Inputs!$B$20+0+Skills!P11+(((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INT(Skills!I11/Skills!H11+0.000000001),1)+IF(Skills!H11&gt;0,INT(MIN(Skills!I11,MAX(0,MAX(0,Inputs!$B$43-B2627)-((R2602-1)*(IF(Inputs!$B$38="pvp",15,MAX(0.1,Skills!D11-IF(TRUE=TRUE,Inputs!$B$32,0)))*(1-IF(AND(ArtifactsInput!$M$27,Inputs!$B$4="Chapter Hunt"),CHOOSE(ArtifactsInput!$N$27+1,20,24,28,32,36,40),0)/100)))))/Skills!H11+0.000000001),1)))/Inputs!$B$43),G2602*Q2602))*IF(Inputs!$B$38="pvp",1,(1+(Inputs!$B$21+Skills!Q11+(((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Skills!G13*IF(Skills!H13&gt;0,INT(IF(Inputs!$B$38="pvp",MIN(Skills!I13,15),Skills!I13)/Skills!H13+0.000000001),1)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Skills!G14*IF(Skills!H14&gt;0,INT(IF(Inputs!$B$38="pvp",MIN(Skills!I14,15),Skills!I14)/Skills!H14+0.000000001),1)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Skills!G15*IF(Skills!H15&gt;0,INT(IF(Inputs!$B$38="pvp",MIN(Skills!I15,15),Skills!I15)/Skills!H15+0.000000001),1)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Skills!G16*IF(Skills!H16&gt;0,INT(IF(Inputs!$B$38="pvp",MIN(Skills!I16,15),Skills!I16)/Skills!H16+0.000000001),1)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IFERROR(1/(IF(Inputs!$B$38="pvp",15,MAX(0.1,Skills!D16-IF(TRUE=TRUE,Inputs!$B$32,0)))*(1-IF(AND(ArtifactsInput!$M$27,Inputs!$B$4="Chapter Hunt"),CHOOSE(ArtifactsInput!$N$27+1,20,24,28,32,36,40),0)/100)),0)</f>
        <v/>
      </c>
      <c r="R2607">
        <f>IF(AND(Inputs!$B$38&lt;&gt;"pvp",Inputs!$B$43&gt;0),IF(Inputs!$B$43&lt;=0,0,(INT(Inputs!$B$43/(IF(Inputs!$B$38="pvp",15,MAX(0.1,Skills!D16-IF(TRUE=TRUE,Inputs!$B$32,0)))*(1-IF(AND(ArtifactsInput!$M$27,Inputs!$B$4="Chapter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Skills!G17*IF(Skills!H17&gt;0,INT(IF(Inputs!$B$38="pvp",MIN(Skills!I17,15),Skills!I17)/Skills!H17+0.000000001),1)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IFERROR(1/(IF(Inputs!$B$38="pvp",15,MAX(0.1,Skills!D17-IF(TRUE=TRUE,Inputs!$B$32,0)))*(1-IF(AND(ArtifactsInput!$M$27,Inputs!$B$4="Chapter Hunt"),CHOOSE(ArtifactsInput!$N$27+1,20,24,28,32,36,40),0)/100)),0)</f>
        <v/>
      </c>
      <c r="R2608">
        <f>IF(AND(Inputs!$B$38&lt;&gt;"pvp",Inputs!$B$43&gt;0),IF(Inputs!$B$43&lt;=0,0,(INT(Inputs!$B$43/(IF(Inputs!$B$38="pvp",15,MAX(0.1,Skills!D17-IF(TRUE=TRUE,Inputs!$B$32,0)))*(1-IF(AND(ArtifactsInput!$M$27,Inputs!$B$4="Chapter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Skills!G18*IF(Skills!H18&gt;0,INT(IF(Inputs!$B$38="pvp",MIN(Skills!I18,15),Skills!I18)/Skills!H18+0.000000001),1)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IFERROR(1/(IF(Inputs!$B$38="pvp",15,MAX(0.1,Skills!D18-IF(TRUE=TRUE,Inputs!$B$32,0)))*(1-IF(AND(ArtifactsInput!$M$27,Inputs!$B$4="Chapter Hunt"),CHOOSE(ArtifactsInput!$N$27+1,20,24,28,32,36,40),0)/100)),0)</f>
        <v/>
      </c>
      <c r="R2609">
        <f>IF(AND(Inputs!$B$38&lt;&gt;"pvp",Inputs!$B$43&gt;0),IF(Inputs!$B$43&lt;=0,0,(INT(Inputs!$B$43/(IF(Inputs!$B$38="pvp",15,MAX(0.1,Skills!D18-IF(TRUE=TRUE,Inputs!$B$32,0)))*(1-IF(AND(ArtifactsInput!$M$27,Inputs!$B$4="Chapter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Skills!G19*IF(Skills!H19&gt;0,INT(IF(Inputs!$B$38="pvp",MIN(Skills!I19,15),Skills!I19)/Skills!H19+0.000000001),1)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IFERROR(1/(IF(Inputs!$B$38="pvp",15,MAX(0.1,Skills!D19-IF(TRUE=TRUE,Inputs!$B$32,0)))*(1-IF(AND(ArtifactsInput!$M$27,Inputs!$B$4="Chapter Hunt"),CHOOSE(ArtifactsInput!$N$27+1,20,24,28,32,36,40),0)/100)),0)</f>
        <v/>
      </c>
      <c r="R2610">
        <f>IF(AND(Inputs!$B$38&lt;&gt;"pvp",Inputs!$B$43&gt;0),IF(Inputs!$B$43&lt;=0,0,(INT(Inputs!$B$43/(IF(Inputs!$B$38="pvp",15,MAX(0.1,Skills!D19-IF(TRUE=TRUE,Inputs!$B$32,0)))*(1-IF(AND(ArtifactsInput!$M$27,Inputs!$B$4="Chapter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Skills!G20*IF(Skills!H20&gt;0,INT(IF(Inputs!$B$38="pvp",MIN(Skills!I20,15),Skills!I20)/Skills!H20+0.000000001),1)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Skills!G21*IF(Skills!H21&gt;0,INT(IF(Inputs!$B$38="pvp",MIN(Skills!I21,15),Skills!I21)/Skills!H21+0.000000001),1)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Skills!G22*IF(Skills!H22&gt;0,INT(IF(Inputs!$B$38="pvp",MIN(Skills!I22,15),Skills!I22)/Skills!H22+0.000000001),1)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Skills!G23*IF(Skills!H23&gt;0,INT(IF(Inputs!$B$38="pvp",MIN(Skills!I23,15),Skills!I23)/Skills!H23+0.000000001),1)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Skills!G24*IF(Skills!H24&gt;0,INT(IF(Inputs!$B$38="pvp",MIN(Skills!I24,15),Skills!I24)/Skills!H24+0.000000001),1)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Skills!G25*IF(Skills!H25&gt;0,INT(IF(Inputs!$B$38="pvp",MIN(Skills!I25,15),Skills!I25)/Skills!H25+0.000000001),1)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Skills!G26*IF(Skills!H26&gt;0,INT(IF(Inputs!$B$38="pvp",MIN(Skills!I26,15),Skills!I26)/Skills!H26+0.000000001),1)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MIN((Skills!T19*(1+(Inputs!$B$34+(ArtifactsInput!$M$7-ArtifactsInput!$M$7)*CHOOSE(ArtifactsInput!$N$7+1,6,7.2,8.4,9.6,10.8,12))/100)),(1/Q2610))+MIN((Skills!T19*(1+(Inputs!$B$34+(ArtifactsInput!$M$7-ArtifactsInput!$M$7)*CHOOSE(ArtifactsInput!$N$7+1,6,7.2,8.4,9.6,10.8,12))/100)),MAX(0,Inputs!$B$43-((R2610-1)*(1/Q2610)))))/Inputs!$B$43),IF(Inputs!$B$38="pvp",MIN((Skills!T19*(1+(Inputs!$B$34+(ArtifactsInput!$M$7-ArtifactsInput!$M$7)*CHOOSE(ArtifactsInput!$N$7+1,6,7.2,8.4,9.6,10.8,12))/100)),15)/15,MIN(1,(Skills!T19*(1+(Inputs!$B$34+(ArtifactsInput!$M$7-ArtifactsInput!$M$7)*CHOOSE(ArtifactsInput!$N$7+1,6,7.2,8.4,9.6,10.8,12))/100))/(1/Q2610)))))</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MIN((Skills!T18*(1+(Inputs!$B$34+(ArtifactsInput!$M$7-ArtifactsInput!$M$7)*CHOOSE(ArtifactsInput!$N$7+1,6,7.2,8.4,9.6,10.8,12))/100)),(1/Q2609))+MIN((Skills!T18*(1+(Inputs!$B$34+(ArtifactsInput!$M$7-ArtifactsInput!$M$7)*CHOOSE(ArtifactsInput!$N$7+1,6,7.2,8.4,9.6,10.8,12))/100)),MAX(0,Inputs!$B$43-((R2609-1)*(1/Q2609)))))/Inputs!$B$43),IF(Inputs!$B$38="pvp",MIN((Skills!T18*(1+(Inputs!$B$34+(ArtifactsInput!$M$7-ArtifactsInput!$M$7)*CHOOSE(ArtifactsInput!$N$7+1,6,7.2,8.4,9.6,10.8,12))/100)),15)/15,MIN(1,(Skills!T18*(1+(Inputs!$B$34+(ArtifactsInput!$M$7-ArtifactsInput!$M$7)*CHOOSE(ArtifactsInput!$N$7+1,6,7.2,8.4,9.6,10.8,12))/100))/(1/Q2609)))))</f>
        <v/>
      </c>
    </row>
    <row r="2626">
      <c r="A2626" t="inlineStr">
        <is>
          <t>Global Final Damage Bonus % (Enrage + Combo Synergy)</t>
        </is>
      </c>
      <c r="B2626">
        <f>((C2608=TRUE)*F2608*IF(AND(Inputs!$B$38&lt;&gt;"pvp",Inputs!$B$43&gt;0),(((R2608-1)*MIN((Skills!T17*(1+(Inputs!$B$34+(ArtifactsInput!$M$7-ArtifactsInput!$M$7)*CHOOSE(ArtifactsInput!$N$7+1,6,7.2,8.4,9.6,10.8,12))/100)),(1/Q2608))+MIN((Skills!T17*(1+(Inputs!$B$34+(ArtifactsInput!$M$7-ArtifactsInput!$M$7)*CHOOSE(ArtifactsInput!$N$7+1,6,7.2,8.4,9.6,10.8,12))/100)),MAX(0,Inputs!$B$43-((R2608-1)*(1/Q2608)))))/Inputs!$B$43),IF(Inputs!$B$38="pvp",MIN((Skills!T17*(1+(Inputs!$B$34+(ArtifactsInput!$M$7-ArtifactsInput!$M$7)*CHOOSE(ArtifactsInput!$N$7+1,6,7.2,8.4,9.6,10.8,12))/100)),15)/15,MIN(1,(Skills!T17*(1+(Inputs!$B$34+(ArtifactsInput!$M$7-ArtifactsInput!$M$7)*CHOOSE(ArtifactsInput!$N$7+1,6,7.2,8.4,9.6,10.8,12))/100))/(1/Q2608)))))+((C2605=TRUE)*F2605*IF(Inputs!$B$3&gt;=118,8,IF(Inputs!$B$3&gt;=110,7,5)))+IF(Inputs!$B$3&gt;=98,5,0)</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Skills!G2*IF(Skills!H2&gt;0,INT(IF(Inputs!$B$38="pvp",MIN(Skills!I2,15),Skills!I2)/Skills!H2+0.000000001),1)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Skills!G5*IF(Skills!H5&gt;0,INT(IF(Inputs!$B$38="pvp",MIN(Skills!I5,15),Skills!I5)/Skills!H5+0.000000001),1)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IFERROR(1/(IF(Inputs!$B$38="pvp",15,MAX(0.1,Skills!D5-IF(TRUE=TRUE,Inputs!$B$32,0)))*(1-IF(AND(ArtifactsInput!$M$27,Inputs!$B$4="Chapter Hunt"),CHOOSE(ArtifactsInput!$N$27+1,20,24,28,32,36,40),0)/100)),0)</f>
        <v/>
      </c>
      <c r="R2638">
        <f>IF(AND(Inputs!$B$38&lt;&gt;"pvp",Inputs!$B$43&gt;0),IF(MAX(0,Inputs!$B$43-B2669)&lt;=0,0,(INT(MAX(0,Inputs!$B$43-B2669)/(IF(Inputs!$B$38="pvp",15,MAX(0.1,Skills!D5-IF(TRUE=TRUE,Inputs!$B$32,0)))*(1-IF(AND(ArtifactsInput!$M$27,Inputs!$B$4="Chapter Hunt"),CHOOSE(ArtifactsInput!$N$27+1,20,24,28,32,36,40),0)/100)))+1)),0)</f>
        <v/>
      </c>
      <c r="S2638">
        <f>IFERROR(O2638/N2638,0)</f>
        <v/>
      </c>
      <c r="T2638">
        <f>IF(C2638,(H2638*N2638*IF(AND(Inputs!$B$38&lt;&gt;"pvp",Inputs!$B$43&gt;0),((Skills!G5*((R2638-1)*IF(Skills!H5&gt;0,INT(Skills!I5/Skills!H5+0.000000001),1)+IF(Skills!H5&gt;0,INT(MIN(Skills!I5,MAX(0,MAX(0,Inputs!$B$43-B2669)-((R2638-1)*(IF(Inputs!$B$38="pvp",15,MAX(0.1,Skills!D5-IF(TRUE=TRUE,Inputs!$B$32,0)))*(1-IF(AND(ArtifactsInput!$M$27,Inputs!$B$4="Chapter Hunt"),CHOOSE(ArtifactsInput!$N$27+1,20,24,28,32,36,40),0)/100)))))/Skills!H5+0.000000001),1)))/Inputs!$B$43),G2638*Q2638))*IF(Inputs!$B$38="pvp",1,1+(Inputs!$B$20+0+Skills!P5+(((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INT(Skills!I5/Skills!H5+0.000000001),1)+IF(Skills!H5&gt;0,INT(MIN(Skills!I5,MAX(0,MAX(0,Inputs!$B$43-B2669)-((R2638-1)*(IF(Inputs!$B$38="pvp",15,MAX(0.1,Skills!D5-IF(TRUE=TRUE,Inputs!$B$32,0)))*(1-IF(AND(ArtifactsInput!$M$27,Inputs!$B$4="Chapter Hunt"),CHOOSE(ArtifactsInput!$N$27+1,20,24,28,32,36,40),0)/100)))))/Skills!H5+0.000000001),1)))/Inputs!$B$43),G2638*Q2638))*IF(Inputs!$B$38="pvp",1,(1+(Inputs!$B$21+Skills!Q5+(((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Skills!G6*IF(Skills!H6&gt;0,INT(IF(Inputs!$B$38="pvp",MIN(Skills!I6,15),Skills!I6)/Skills!H6+0.000000001),1)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IFERROR(1/(IF(Inputs!$B$38="pvp",15,MAX(0.1,Skills!D6-IF(TRUE=TRUE,Inputs!$B$32,0)))*(1-IF(AND(ArtifactsInput!$M$27,Inputs!$B$4="Chapter Hunt"),CHOOSE(ArtifactsInput!$N$27+1,20,24,28,32,36,40),0)/100)),0)</f>
        <v/>
      </c>
      <c r="R2639">
        <f>IF(AND(Inputs!$B$38&lt;&gt;"pvp",Inputs!$B$43&gt;0),IF(MAX(0,Inputs!$B$43-B2669)&lt;=0,0,(INT(MAX(0,Inputs!$B$43-B2669)/(IF(Inputs!$B$38="pvp",15,MAX(0.1,Skills!D6-IF(TRUE=TRUE,Inputs!$B$32,0)))*(1-IF(AND(ArtifactsInput!$M$27,Inputs!$B$4="Chapter Hunt"),CHOOSE(ArtifactsInput!$N$27+1,20,24,28,32,36,40),0)/100)))+1)),0)</f>
        <v/>
      </c>
      <c r="S2639">
        <f>IFERROR(O2639/N2639,0)</f>
        <v/>
      </c>
      <c r="T2639">
        <f>IF(C2639,(H2639*N2639*IF(AND(Inputs!$B$38&lt;&gt;"pvp",Inputs!$B$43&gt;0),((Skills!G6*((R2639-1)*IF(Skills!H6&gt;0,INT(Skills!I6/Skills!H6+0.000000001),1)+IF(Skills!H6&gt;0,INT(MIN(Skills!I6,MAX(0,MAX(0,Inputs!$B$43-B2669)-((R2639-1)*(IF(Inputs!$B$38="pvp",15,MAX(0.1,Skills!D6-IF(TRUE=TRUE,Inputs!$B$32,0)))*(1-IF(AND(ArtifactsInput!$M$27,Inputs!$B$4="Chapter Hunt"),CHOOSE(ArtifactsInput!$N$27+1,20,24,28,32,36,40),0)/100)))))/Skills!H6+0.000000001),1)))/Inputs!$B$43),G2639*Q2639))*IF(Inputs!$B$38="pvp",1,1+(Inputs!$B$20+0+Skills!P6+(((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INT(Skills!I6/Skills!H6+0.000000001),1)+IF(Skills!H6&gt;0,INT(MIN(Skills!I6,MAX(0,MAX(0,Inputs!$B$43-B2669)-((R2639-1)*(IF(Inputs!$B$38="pvp",15,MAX(0.1,Skills!D6-IF(TRUE=TRUE,Inputs!$B$32,0)))*(1-IF(AND(ArtifactsInput!$M$27,Inputs!$B$4="Chapter Hunt"),CHOOSE(ArtifactsInput!$N$27+1,20,24,28,32,36,40),0)/100)))))/Skills!H6+0.000000001),1)))/Inputs!$B$43),G2639*Q2639))*IF(Inputs!$B$38="pvp",1,(1+(Inputs!$B$21+Skills!Q6+(((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Skills!G7*IF(Skills!H7&gt;0,INT(IF(Inputs!$B$38="pvp",MIN(Skills!I7,15),Skills!I7)/Skills!H7+0.000000001),1)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IFERROR(1/(IF(Inputs!$B$38="pvp",15,MAX(0.1,Skills!D7-IF(TRUE=TRUE,Inputs!$B$32,0)))*(1-IF(AND(ArtifactsInput!$M$27,Inputs!$B$4="Chapter Hunt"),CHOOSE(ArtifactsInput!$N$27+1,20,24,28,32,36,40),0)/100)),0)</f>
        <v/>
      </c>
      <c r="R2640">
        <f>IF(AND(Inputs!$B$38&lt;&gt;"pvp",Inputs!$B$43&gt;0),IF(MAX(0,Inputs!$B$43-B2669)&lt;=0,0,(INT(MAX(0,Inputs!$B$43-B2669)/(IF(Inputs!$B$38="pvp",15,MAX(0.1,Skills!D7-IF(TRUE=TRUE,Inputs!$B$32,0)))*(1-IF(AND(ArtifactsInput!$M$27,Inputs!$B$4="Chapter Hunt"),CHOOSE(ArtifactsInput!$N$27+1,20,24,28,32,36,40),0)/100)))+1)),0)</f>
        <v/>
      </c>
      <c r="S2640">
        <f>IFERROR(O2640/N2640,0)</f>
        <v/>
      </c>
      <c r="T2640">
        <f>IF(C2640,(H2640*N2640*IF(AND(Inputs!$B$38&lt;&gt;"pvp",Inputs!$B$43&gt;0),((Skills!G7*((R2640-1)*IF(Skills!H7&gt;0,INT(Skills!I7/Skills!H7+0.000000001),1)+IF(Skills!H7&gt;0,INT(MIN(Skills!I7,MAX(0,MAX(0,Inputs!$B$43-B2669)-((R2640-1)*(IF(Inputs!$B$38="pvp",15,MAX(0.1,Skills!D7-IF(TRUE=TRUE,Inputs!$B$32,0)))*(1-IF(AND(ArtifactsInput!$M$27,Inputs!$B$4="Chapter Hunt"),CHOOSE(ArtifactsInput!$N$27+1,20,24,28,32,36,40),0)/100)))))/Skills!H7+0.000000001),1)))/Inputs!$B$43),G2640*Q2640))*IF(Inputs!$B$38="pvp",1,1+(Inputs!$B$20+0+Skills!P7+(((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INT(Skills!I7/Skills!H7+0.000000001),1)+IF(Skills!H7&gt;0,INT(MIN(Skills!I7,MAX(0,MAX(0,Inputs!$B$43-B2669)-((R2640-1)*(IF(Inputs!$B$38="pvp",15,MAX(0.1,Skills!D7-IF(TRUE=TRUE,Inputs!$B$32,0)))*(1-IF(AND(ArtifactsInput!$M$27,Inputs!$B$4="Chapter Hunt"),CHOOSE(ArtifactsInput!$N$27+1,20,24,28,32,36,40),0)/100)))))/Skills!H7+0.000000001),1)))/Inputs!$B$43),G2640*Q2640))*IF(Inputs!$B$38="pvp",1,(1+(Inputs!$B$21+Skills!Q7+(((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Skills!G8*IF(Skills!H8&gt;0,INT(IF(Inputs!$B$38="pvp",MIN(Skills!I8,15),Skills!I8)/Skills!H8+0.000000001),1)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IFERROR(1/(IF(Inputs!$B$38="pvp",15,MAX(0.1,Skills!D8-IF(TRUE=TRUE,Inputs!$B$32,0)))*(1-IF(AND(ArtifactsInput!$M$27,Inputs!$B$4="Chapter Hunt"),CHOOSE(ArtifactsInput!$N$27+1,20,24,28,32,36,40),0)/100)),0)</f>
        <v/>
      </c>
      <c r="R2641">
        <f>IF(AND(Inputs!$B$38&lt;&gt;"pvp",Inputs!$B$43&gt;0),IF(MAX(0,Inputs!$B$43-B2669)&lt;=0,0,(INT(MAX(0,Inputs!$B$43-B2669)/(IF(Inputs!$B$38="pvp",15,MAX(0.1,Skills!D8-IF(TRUE=TRUE,Inputs!$B$32,0)))*(1-IF(AND(ArtifactsInput!$M$27,Inputs!$B$4="Chapter Hunt"),CHOOSE(ArtifactsInput!$N$27+1,20,24,28,32,36,40),0)/100)))+1)),0)</f>
        <v/>
      </c>
      <c r="S2641">
        <f>IFERROR(O2641/N2641,0)</f>
        <v/>
      </c>
      <c r="T2641">
        <f>IF(C2641,(H2641*N2641*IF(AND(Inputs!$B$38&lt;&gt;"pvp",Inputs!$B$43&gt;0),((Skills!G8*((R2641-1)*IF(Skills!H8&gt;0,INT(Skills!I8/Skills!H8+0.000000001),1)+IF(Skills!H8&gt;0,INT(MIN(Skills!I8,MAX(0,MAX(0,Inputs!$B$43-B2669)-((R2641-1)*(IF(Inputs!$B$38="pvp",15,MAX(0.1,Skills!D8-IF(TRUE=TRUE,Inputs!$B$32,0)))*(1-IF(AND(ArtifactsInput!$M$27,Inputs!$B$4="Chapter Hunt"),CHOOSE(ArtifactsInput!$N$27+1,20,24,28,32,36,40),0)/100)))))/Skills!H8+0.000000001),1)))/Inputs!$B$43),G2641*Q2641))*IF(Inputs!$B$38="pvp",1,1+(Inputs!$B$20+0+Skills!P8+(((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INT(Skills!I8/Skills!H8+0.000000001),1)+IF(Skills!H8&gt;0,INT(MIN(Skills!I8,MAX(0,MAX(0,Inputs!$B$43-B2669)-((R2641-1)*(IF(Inputs!$B$38="pvp",15,MAX(0.1,Skills!D8-IF(TRUE=TRUE,Inputs!$B$32,0)))*(1-IF(AND(ArtifactsInput!$M$27,Inputs!$B$4="Chapter Hunt"),CHOOSE(ArtifactsInput!$N$27+1,20,24,28,32,36,40),0)/100)))))/Skills!H8+0.000000001),1)))/Inputs!$B$43),G2641*Q2641))*IF(Inputs!$B$38="pvp",1,(1+(Inputs!$B$21+Skills!Q8+(((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Skills!G9*IF(Skills!H9&gt;0,INT(IF(Inputs!$B$38="pvp",MIN(Skills!I9,15),Skills!I9)/Skills!H9+0.000000001),1)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138,MAX(0,IF(Inputs!$B$3&gt;=118,8,IF(Inputs!$B$3&gt;=110,7,5))-5)*50,0),0)/100)*(1+(IF(Skills!A9="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IFERROR(1/(IF(Inputs!$B$38="pvp",15,MAX(0.1,Skills!D9-IF(TRUE=TRUE,Inputs!$B$32,0)))*(1-IF(AND(ArtifactsInput!$M$27,Inputs!$B$4="Chapter Hunt"),CHOOSE(ArtifactsInput!$N$27+1,20,24,28,32,36,40),0)/100)),0)</f>
        <v/>
      </c>
      <c r="R2642">
        <f>IF(AND(Inputs!$B$38&lt;&gt;"pvp",Inputs!$B$43&gt;0),IF(MAX(0,Inputs!$B$43-B2669)&lt;=0,0,(INT(MAX(0,Inputs!$B$43-B2669)/(IF(Inputs!$B$38="pvp",15,MAX(0.1,Skills!D9-IF(TRUE=TRUE,Inputs!$B$32,0)))*(1-IF(AND(ArtifactsInput!$M$27,Inputs!$B$4="Chapter Hunt"),CHOOSE(ArtifactsInput!$N$27+1,20,24,28,32,36,40),0)/100)))+1)),0)</f>
        <v/>
      </c>
      <c r="S2642">
        <f>IFERROR(O2642/N2642,0)</f>
        <v/>
      </c>
      <c r="T2642">
        <f>IF(C2642,(H2642*N2642*IF(AND(Inputs!$B$38&lt;&gt;"pvp",Inputs!$B$43&gt;0),((Skills!G9*((R2642-1)*IF(Skills!H9&gt;0,INT(Skills!I9/Skills!H9+0.000000001),1)+IF(Skills!H9&gt;0,INT(MIN(Skills!I9,MAX(0,MAX(0,Inputs!$B$43-B2669)-((R2642-1)*(IF(Inputs!$B$38="pvp",15,MAX(0.1,Skills!D9-IF(TRUE=TRUE,Inputs!$B$32,0)))*(1-IF(AND(ArtifactsInput!$M$27,Inputs!$B$4="Chapter Hunt"),CHOOSE(ArtifactsInput!$N$27+1,20,24,28,32,36,40),0)/100)))))/Skills!H9+0.000000001),1)))/Inputs!$B$43),G2642*Q2642))*IF(Inputs!$B$38="pvp",1,1+(Inputs!$B$20+0+Skills!P9+(((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INT(Skills!I9/Skills!H9+0.000000001),1)+IF(Skills!H9&gt;0,INT(MIN(Skills!I9,MAX(0,MAX(0,Inputs!$B$43-B2669)-((R2642-1)*(IF(Inputs!$B$38="pvp",15,MAX(0.1,Skills!D9-IF(TRUE=TRUE,Inputs!$B$32,0)))*(1-IF(AND(ArtifactsInput!$M$27,Inputs!$B$4="Chapter Hunt"),CHOOSE(ArtifactsInput!$N$27+1,20,24,28,32,36,40),0)/100)))))/Skills!H9+0.000000001),1)))/Inputs!$B$43),G2642*Q2642))*IF(Inputs!$B$38="pvp",1,(1+(Inputs!$B$21+Skills!Q9+(((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Skills!G10*IF(Skills!H10&gt;0,INT(IF(Inputs!$B$38="pvp",MIN(Skills!I10,15),Skills!I10)/Skills!H10+0.000000001),1)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138,MAX(0,IF(Inputs!$B$3&gt;=118,8,IF(Inputs!$B$3&gt;=110,7,5))-5)*50,0),0)/100)*(1+(IF(Skills!A10="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IFERROR(1/(IF(Inputs!$B$38="pvp",15,MAX(0.1,Skills!D10-IF(TRUE=TRUE,Inputs!$B$32,0)))*(1-IF(AND(ArtifactsInput!$M$27,Inputs!$B$4="Chapter Hunt"),CHOOSE(ArtifactsInput!$N$27+1,20,24,28,32,36,40),0)/100)),0)</f>
        <v/>
      </c>
      <c r="R2643">
        <f>IF(AND(Inputs!$B$38&lt;&gt;"pvp",Inputs!$B$43&gt;0),IF(MAX(0,Inputs!$B$43-B2669)&lt;=0,0,(INT(MAX(0,Inputs!$B$43-B2669)/(IF(Inputs!$B$38="pvp",15,MAX(0.1,Skills!D10-IF(TRUE=TRUE,Inputs!$B$32,0)))*(1-IF(AND(ArtifactsInput!$M$27,Inputs!$B$4="Chapter Hunt"),CHOOSE(ArtifactsInput!$N$27+1,20,24,28,32,36,40),0)/100)))+1)),0)</f>
        <v/>
      </c>
      <c r="S2643">
        <f>IFERROR(O2643/N2643,0)</f>
        <v/>
      </c>
      <c r="T2643">
        <f>IF(C2643,(H2643*N2643*IF(AND(Inputs!$B$38&lt;&gt;"pvp",Inputs!$B$43&gt;0),((Skills!G10*((R2643-1)*IF(Skills!H10&gt;0,INT(Skills!I10/Skills!H10+0.000000001),1)+IF(Skills!H10&gt;0,INT(MIN(Skills!I10,MAX(0,MAX(0,Inputs!$B$43-B2669)-((R2643-1)*(IF(Inputs!$B$38="pvp",15,MAX(0.1,Skills!D10-IF(TRUE=TRUE,Inputs!$B$32,0)))*(1-IF(AND(ArtifactsInput!$M$27,Inputs!$B$4="Chapter Hunt"),CHOOSE(ArtifactsInput!$N$27+1,20,24,28,32,36,40),0)/100)))))/Skills!H10+0.000000001),1)))/Inputs!$B$43),G2643*Q2643))*IF(Inputs!$B$38="pvp",1,1+(Inputs!$B$20+0+Skills!P10+(((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INT(Skills!I10/Skills!H10+0.000000001),1)+IF(Skills!H10&gt;0,INT(MIN(Skills!I10,MAX(0,MAX(0,Inputs!$B$43-B2669)-((R2643-1)*(IF(Inputs!$B$38="pvp",15,MAX(0.1,Skills!D10-IF(TRUE=TRUE,Inputs!$B$32,0)))*(1-IF(AND(ArtifactsInput!$M$27,Inputs!$B$4="Chapter Hunt"),CHOOSE(ArtifactsInput!$N$27+1,20,24,28,32,36,40),0)/100)))))/Skills!H10+0.000000001),1)))/Inputs!$B$43),G2643*Q2643))*IF(Inputs!$B$38="pvp",1,(1+(Inputs!$B$21+Skills!Q10+(((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Skills!G11*IF(Skills!H11&gt;0,INT(IF(Inputs!$B$38="pvp",MIN(Skills!I11,15),Skills!I11)/Skills!H11+0.000000001),1)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138,MAX(0,IF(Inputs!$B$3&gt;=118,8,IF(Inputs!$B$3&gt;=110,7,5))-5)*50,0),0)/100)*(1+(IF(Skills!A11="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IFERROR(1/(IF(Inputs!$B$38="pvp",15,MAX(0.1,Skills!D11-IF(TRUE=TRUE,Inputs!$B$32,0)))*(1-IF(AND(ArtifactsInput!$M$27,Inputs!$B$4="Chapter Hunt"),CHOOSE(ArtifactsInput!$N$27+1,20,24,28,32,36,40),0)/100)),0)</f>
        <v/>
      </c>
      <c r="R2644">
        <f>IF(AND(Inputs!$B$38&lt;&gt;"pvp",Inputs!$B$43&gt;0),IF(MAX(0,Inputs!$B$43-B2669)&lt;=0,0,(INT(MAX(0,Inputs!$B$43-B2669)/(IF(Inputs!$B$38="pvp",15,MAX(0.1,Skills!D11-IF(TRUE=TRUE,Inputs!$B$32,0)))*(1-IF(AND(ArtifactsInput!$M$27,Inputs!$B$4="Chapter Hunt"),CHOOSE(ArtifactsInput!$N$27+1,20,24,28,32,36,40),0)/100)))+1)),0)</f>
        <v/>
      </c>
      <c r="S2644">
        <f>IFERROR(O2644/N2644,0)</f>
        <v/>
      </c>
      <c r="T2644">
        <f>IF(C2644,(H2644*N2644*IF(AND(Inputs!$B$38&lt;&gt;"pvp",Inputs!$B$43&gt;0),((Skills!G11*((R2644-1)*IF(Skills!H11&gt;0,INT(Skills!I11/Skills!H11+0.000000001),1)+IF(Skills!H11&gt;0,INT(MIN(Skills!I11,MAX(0,MAX(0,Inputs!$B$43-B2669)-((R2644-1)*(IF(Inputs!$B$38="pvp",15,MAX(0.1,Skills!D11-IF(TRUE=TRUE,Inputs!$B$32,0)))*(1-IF(AND(ArtifactsInput!$M$27,Inputs!$B$4="Chapter Hunt"),CHOOSE(ArtifactsInput!$N$27+1,20,24,28,32,36,40),0)/100)))))/Skills!H11+0.000000001),1)))/Inputs!$B$43),G2644*Q2644))*IF(Inputs!$B$38="pvp",1,1+(Inputs!$B$20+0+Skills!P11+(((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INT(Skills!I11/Skills!H11+0.000000001),1)+IF(Skills!H11&gt;0,INT(MIN(Skills!I11,MAX(0,MAX(0,Inputs!$B$43-B2669)-((R2644-1)*(IF(Inputs!$B$38="pvp",15,MAX(0.1,Skills!D11-IF(TRUE=TRUE,Inputs!$B$32,0)))*(1-IF(AND(ArtifactsInput!$M$27,Inputs!$B$4="Chapter Hunt"),CHOOSE(ArtifactsInput!$N$27+1,20,24,28,32,36,40),0)/100)))))/Skills!H11+0.000000001),1)))/Inputs!$B$43),G2644*Q2644))*IF(Inputs!$B$38="pvp",1,(1+(Inputs!$B$21+Skills!Q11+(((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Skills!G13*IF(Skills!H13&gt;0,INT(IF(Inputs!$B$38="pvp",MIN(Skills!I13,15),Skills!I13)/Skills!H13+0.000000001),1)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Skills!G14*IF(Skills!H14&gt;0,INT(IF(Inputs!$B$38="pvp",MIN(Skills!I14,15),Skills!I14)/Skills!H14+0.000000001),1)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Skills!G15*IF(Skills!H15&gt;0,INT(IF(Inputs!$B$38="pvp",MIN(Skills!I15,15),Skills!I15)/Skills!H15+0.000000001),1)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IFERROR(1/(IF(Inputs!$B$38="pvp",15,MAX(0.1,Skills!D15-IF(TRUE=TRUE,Inputs!$B$32,0)))*(1-IF(AND(ArtifactsInput!$M$27,Inputs!$B$4="Chapter Hunt"),CHOOSE(ArtifactsInput!$N$27+1,20,24,28,32,36,40),0)/100)),0)</f>
        <v/>
      </c>
      <c r="R2648">
        <f>IF(AND(Inputs!$B$38&lt;&gt;"pvp",Inputs!$B$43&gt;0),IF(Inputs!$B$43&lt;=0,0,(INT(Inputs!$B$43/(IF(Inputs!$B$38="pvp",15,MAX(0.1,Skills!D15-IF(TRUE=TRUE,Inputs!$B$32,0)))*(1-IF(AND(ArtifactsInput!$M$27,Inputs!$B$4="Chapter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Skills!G16*IF(Skills!H16&gt;0,INT(IF(Inputs!$B$38="pvp",MIN(Skills!I16,15),Skills!I16)/Skills!H16+0.000000001),1)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IFERROR(1/(IF(Inputs!$B$38="pvp",15,MAX(0.1,Skills!D16-IF(TRUE=TRUE,Inputs!$B$32,0)))*(1-IF(AND(ArtifactsInput!$M$27,Inputs!$B$4="Chapter Hunt"),CHOOSE(ArtifactsInput!$N$27+1,20,24,28,32,36,40),0)/100)),0)</f>
        <v/>
      </c>
      <c r="R2649">
        <f>IF(AND(Inputs!$B$38&lt;&gt;"pvp",Inputs!$B$43&gt;0),IF(Inputs!$B$43&lt;=0,0,(INT(Inputs!$B$43/(IF(Inputs!$B$38="pvp",15,MAX(0.1,Skills!D16-IF(TRUE=TRUE,Inputs!$B$32,0)))*(1-IF(AND(ArtifactsInput!$M$27,Inputs!$B$4="Chapter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Skills!G17*IF(Skills!H17&gt;0,INT(IF(Inputs!$B$38="pvp",MIN(Skills!I17,15),Skills!I17)/Skills!H17+0.000000001),1)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IFERROR(1/(IF(Inputs!$B$38="pvp",15,MAX(0.1,Skills!D17-IF(TRUE=TRUE,Inputs!$B$32,0)))*(1-IF(AND(ArtifactsInput!$M$27,Inputs!$B$4="Chapter Hunt"),CHOOSE(ArtifactsInput!$N$27+1,20,24,28,32,36,40),0)/100)),0)</f>
        <v/>
      </c>
      <c r="R2650">
        <f>IF(AND(Inputs!$B$38&lt;&gt;"pvp",Inputs!$B$43&gt;0),IF(Inputs!$B$43&lt;=0,0,(INT(Inputs!$B$43/(IF(Inputs!$B$38="pvp",15,MAX(0.1,Skills!D17-IF(TRUE=TRUE,Inputs!$B$32,0)))*(1-IF(AND(ArtifactsInput!$M$27,Inputs!$B$4="Chapter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Skills!G18*IF(Skills!H18&gt;0,INT(IF(Inputs!$B$38="pvp",MIN(Skills!I18,15),Skills!I18)/Skills!H18+0.000000001),1)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IFERROR(1/(IF(Inputs!$B$38="pvp",15,MAX(0.1,Skills!D18-IF(TRUE=TRUE,Inputs!$B$32,0)))*(1-IF(AND(ArtifactsInput!$M$27,Inputs!$B$4="Chapter Hunt"),CHOOSE(ArtifactsInput!$N$27+1,20,24,28,32,36,40),0)/100)),0)</f>
        <v/>
      </c>
      <c r="R2651">
        <f>IF(AND(Inputs!$B$38&lt;&gt;"pvp",Inputs!$B$43&gt;0),IF(Inputs!$B$43&lt;=0,0,(INT(Inputs!$B$43/(IF(Inputs!$B$38="pvp",15,MAX(0.1,Skills!D18-IF(TRUE=TRUE,Inputs!$B$32,0)))*(1-IF(AND(ArtifactsInput!$M$27,Inputs!$B$4="Chapter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Skills!G19*IF(Skills!H19&gt;0,INT(IF(Inputs!$B$38="pvp",MIN(Skills!I19,15),Skills!I19)/Skills!H19+0.000000001),1)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IFERROR(1/(IF(Inputs!$B$38="pvp",15,MAX(0.1,Skills!D19-IF(TRUE=TRUE,Inputs!$B$32,0)))*(1-IF(AND(ArtifactsInput!$M$27,Inputs!$B$4="Chapter Hunt"),CHOOSE(ArtifactsInput!$N$27+1,20,24,28,32,36,40),0)/100)),0)</f>
        <v/>
      </c>
      <c r="R2652">
        <f>IF(AND(Inputs!$B$38&lt;&gt;"pvp",Inputs!$B$43&gt;0),IF(Inputs!$B$43&lt;=0,0,(INT(Inputs!$B$43/(IF(Inputs!$B$38="pvp",15,MAX(0.1,Skills!D19-IF(TRUE=TRUE,Inputs!$B$32,0)))*(1-IF(AND(ArtifactsInput!$M$27,Inputs!$B$4="Chapter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Skills!G20*IF(Skills!H20&gt;0,INT(IF(Inputs!$B$38="pvp",MIN(Skills!I20,15),Skills!I20)/Skills!H20+0.000000001),1)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Skills!G21*IF(Skills!H21&gt;0,INT(IF(Inputs!$B$38="pvp",MIN(Skills!I21,15),Skills!I21)/Skills!H21+0.000000001),1)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Skills!G22*IF(Skills!H22&gt;0,INT(IF(Inputs!$B$38="pvp",MIN(Skills!I22,15),Skills!I22)/Skills!H22+0.000000001),1)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Skills!G23*IF(Skills!H23&gt;0,INT(IF(Inputs!$B$38="pvp",MIN(Skills!I23,15),Skills!I23)/Skills!H23+0.000000001),1)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Skills!G24*IF(Skills!H24&gt;0,INT(IF(Inputs!$B$38="pvp",MIN(Skills!I24,15),Skills!I24)/Skills!H24+0.000000001),1)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Skills!G25*IF(Skills!H25&gt;0,INT(IF(Inputs!$B$38="pvp",MIN(Skills!I25,15),Skills!I25)/Skills!H25+0.000000001),1)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Skills!G26*IF(Skills!H26&gt;0,INT(IF(Inputs!$B$38="pvp",MIN(Skills!I26,15),Skills!I26)/Skills!H26+0.000000001),1)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MIN((Skills!T19*(1+(Inputs!$B$34+(ArtifactsInput!$M$7-ArtifactsInput!$M$7)*CHOOSE(ArtifactsInput!$N$7+1,6,7.2,8.4,9.6,10.8,12))/100)),(1/Q2652))+MIN((Skills!T19*(1+(Inputs!$B$34+(ArtifactsInput!$M$7-ArtifactsInput!$M$7)*CHOOSE(ArtifactsInput!$N$7+1,6,7.2,8.4,9.6,10.8,12))/100)),MAX(0,Inputs!$B$43-((R2652-1)*(1/Q2652)))))/Inputs!$B$43),IF(Inputs!$B$38="pvp",MIN((Skills!T19*(1+(Inputs!$B$34+(ArtifactsInput!$M$7-ArtifactsInput!$M$7)*CHOOSE(ArtifactsInput!$N$7+1,6,7.2,8.4,9.6,10.8,12))/100)),15)/15,MIN(1,(Skills!T19*(1+(Inputs!$B$34+(ArtifactsInput!$M$7-ArtifactsInput!$M$7)*CHOOSE(ArtifactsInput!$N$7+1,6,7.2,8.4,9.6,10.8,12))/100))/(1/Q2652)))))</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MIN((Skills!T18*(1+(Inputs!$B$34+(ArtifactsInput!$M$7-ArtifactsInput!$M$7)*CHOOSE(ArtifactsInput!$N$7+1,6,7.2,8.4,9.6,10.8,12))/100)),(1/Q2651))+MIN((Skills!T18*(1+(Inputs!$B$34+(ArtifactsInput!$M$7-ArtifactsInput!$M$7)*CHOOSE(ArtifactsInput!$N$7+1,6,7.2,8.4,9.6,10.8,12))/100)),MAX(0,Inputs!$B$43-((R2651-1)*(1/Q2651)))))/Inputs!$B$43),IF(Inputs!$B$38="pvp",MIN((Skills!T18*(1+(Inputs!$B$34+(ArtifactsInput!$M$7-ArtifactsInput!$M$7)*CHOOSE(ArtifactsInput!$N$7+1,6,7.2,8.4,9.6,10.8,12))/100)),15)/15,MIN(1,(Skills!T18*(1+(Inputs!$B$34+(ArtifactsInput!$M$7-ArtifactsInput!$M$7)*CHOOSE(ArtifactsInput!$N$7+1,6,7.2,8.4,9.6,10.8,12))/100))/(1/Q2651)))))</f>
        <v/>
      </c>
    </row>
    <row r="2668">
      <c r="A2668" t="inlineStr">
        <is>
          <t>Global Final Damage Bonus % (Enrage + Combo Synergy)</t>
        </is>
      </c>
      <c r="B2668">
        <f>((C2650=TRUE)*F2650*IF(AND(Inputs!$B$38&lt;&gt;"pvp",Inputs!$B$43&gt;0),(((R2650-1)*MIN((Skills!T17*(1+(Inputs!$B$34+(ArtifactsInput!$M$7-ArtifactsInput!$M$7)*CHOOSE(ArtifactsInput!$N$7+1,6,7.2,8.4,9.6,10.8,12))/100)),(1/Q2650))+MIN((Skills!T17*(1+(Inputs!$B$34+(ArtifactsInput!$M$7-ArtifactsInput!$M$7)*CHOOSE(ArtifactsInput!$N$7+1,6,7.2,8.4,9.6,10.8,12))/100)),MAX(0,Inputs!$B$43-((R2650-1)*(1/Q2650)))))/Inputs!$B$43),IF(Inputs!$B$38="pvp",MIN((Skills!T17*(1+(Inputs!$B$34+(ArtifactsInput!$M$7-ArtifactsInput!$M$7)*CHOOSE(ArtifactsInput!$N$7+1,6,7.2,8.4,9.6,10.8,12))/100)),15)/15,MIN(1,(Skills!T17*(1+(Inputs!$B$34+(ArtifactsInput!$M$7-ArtifactsInput!$M$7)*CHOOSE(ArtifactsInput!$N$7+1,6,7.2,8.4,9.6,10.8,12))/100))/(1/Q2650)))))+((C2647=TRUE)*F2647*IF(Inputs!$B$3&gt;=118,8,IF(Inputs!$B$3&gt;=110,7,5)))+IF(Inputs!$B$3&gt;=98,5,0)</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Skills!G2*IF(Skills!H2&gt;0,INT(IF(Inputs!$B$38="pvp",MIN(Skills!I2,15),Skills!I2)/Skills!H2+0.000000001),1)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Skills!G5*IF(Skills!H5&gt;0,INT(IF(Inputs!$B$38="pvp",MIN(Skills!I5,15),Skills!I5)/Skills!H5+0.000000001),1)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IFERROR(1/(IF(Inputs!$B$38="pvp",15,MAX(0.1,Skills!D5-IF(TRUE=TRUE,0.5,0)))*(1-IF(AND(ArtifactsInput!$M$27,Inputs!$B$4="Chapter Hunt"),CHOOSE(ArtifactsInput!$N$27+1,20,24,28,32,36,40),0)/100)),0)</f>
        <v/>
      </c>
      <c r="R2694">
        <f>IF(AND(Inputs!$B$38&lt;&gt;"pvp",Inputs!$B$43&gt;0),IF(MAX(0,Inputs!$B$43-B2725)&lt;=0,0,(INT(MAX(0,Inputs!$B$43-B2725)/(IF(Inputs!$B$38="pvp",15,MAX(0.1,Skills!D5-IF(TRUE=TRUE,0.5,0)))*(1-IF(AND(ArtifactsInput!$M$27,Inputs!$B$4="Chapter Hunt"),CHOOSE(ArtifactsInput!$N$27+1,20,24,28,32,36,40),0)/100)))+1)),0)</f>
        <v/>
      </c>
      <c r="S2694">
        <f>IFERROR(O2694/N2694,0)</f>
        <v/>
      </c>
      <c r="T2694">
        <f>IF(C2694,(H2694*N2694*IF(AND(Inputs!$B$38&lt;&gt;"pvp",Inputs!$B$43&gt;0),((Skills!G5*((R2694-1)*IF(Skills!H5&gt;0,INT(Skills!I5/Skills!H5+0.000000001),1)+IF(Skills!H5&gt;0,INT(MIN(Skills!I5,MAX(0,MAX(0,Inputs!$B$43-B2725)-((R2694-1)*(IF(Inputs!$B$38="pvp",15,MAX(0.1,Skills!D5-IF(TRUE=TRUE,0.5,0)))*(1-IF(AND(ArtifactsInput!$M$27,Inputs!$B$4="Chapter Hunt"),CHOOSE(ArtifactsInput!$N$27+1,20,24,28,32,36,40),0)/100)))))/Skills!H5+0.000000001),1)))/Inputs!$B$43),G2694*Q2694))*IF(Inputs!$B$38="pvp",1,1+(Inputs!$B$20+0+Skills!P5+(((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INT(Skills!I5/Skills!H5+0.000000001),1)+IF(Skills!H5&gt;0,INT(MIN(Skills!I5,MAX(0,MAX(0,Inputs!$B$43-B2725)-((R2694-1)*(IF(Inputs!$B$38="pvp",15,MAX(0.1,Skills!D5-IF(TRUE=TRUE,0.5,0)))*(1-IF(AND(ArtifactsInput!$M$27,Inputs!$B$4="Chapter Hunt"),CHOOSE(ArtifactsInput!$N$27+1,20,24,28,32,36,40),0)/100)))))/Skills!H5+0.000000001),1)))/Inputs!$B$43),G2694*Q2694))*IF(Inputs!$B$38="pvp",1,(1+(Inputs!$B$21+Skills!Q5+(((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Skills!G6*IF(Skills!H6&gt;0,INT(IF(Inputs!$B$38="pvp",MIN(Skills!I6,15),Skills!I6)/Skills!H6+0.000000001),1)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IFERROR(1/(IF(Inputs!$B$38="pvp",15,MAX(0.1,Skills!D6-IF(TRUE=TRUE,0.5,0)))*(1-IF(AND(ArtifactsInput!$M$27,Inputs!$B$4="Chapter Hunt"),CHOOSE(ArtifactsInput!$N$27+1,20,24,28,32,36,40),0)/100)),0)</f>
        <v/>
      </c>
      <c r="R2695">
        <f>IF(AND(Inputs!$B$38&lt;&gt;"pvp",Inputs!$B$43&gt;0),IF(MAX(0,Inputs!$B$43-B2725)&lt;=0,0,(INT(MAX(0,Inputs!$B$43-B2725)/(IF(Inputs!$B$38="pvp",15,MAX(0.1,Skills!D6-IF(TRUE=TRUE,0.5,0)))*(1-IF(AND(ArtifactsInput!$M$27,Inputs!$B$4="Chapter Hunt"),CHOOSE(ArtifactsInput!$N$27+1,20,24,28,32,36,40),0)/100)))+1)),0)</f>
        <v/>
      </c>
      <c r="S2695">
        <f>IFERROR(O2695/N2695,0)</f>
        <v/>
      </c>
      <c r="T2695">
        <f>IF(C2695,(H2695*N2695*IF(AND(Inputs!$B$38&lt;&gt;"pvp",Inputs!$B$43&gt;0),((Skills!G6*((R2695-1)*IF(Skills!H6&gt;0,INT(Skills!I6/Skills!H6+0.000000001),1)+IF(Skills!H6&gt;0,INT(MIN(Skills!I6,MAX(0,MAX(0,Inputs!$B$43-B2725)-((R2695-1)*(IF(Inputs!$B$38="pvp",15,MAX(0.1,Skills!D6-IF(TRUE=TRUE,0.5,0)))*(1-IF(AND(ArtifactsInput!$M$27,Inputs!$B$4="Chapter Hunt"),CHOOSE(ArtifactsInput!$N$27+1,20,24,28,32,36,40),0)/100)))))/Skills!H6+0.000000001),1)))/Inputs!$B$43),G2695*Q2695))*IF(Inputs!$B$38="pvp",1,1+(Inputs!$B$20+0+Skills!P6+(((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INT(Skills!I6/Skills!H6+0.000000001),1)+IF(Skills!H6&gt;0,INT(MIN(Skills!I6,MAX(0,MAX(0,Inputs!$B$43-B2725)-((R2695-1)*(IF(Inputs!$B$38="pvp",15,MAX(0.1,Skills!D6-IF(TRUE=TRUE,0.5,0)))*(1-IF(AND(ArtifactsInput!$M$27,Inputs!$B$4="Chapter Hunt"),CHOOSE(ArtifactsInput!$N$27+1,20,24,28,32,36,40),0)/100)))))/Skills!H6+0.000000001),1)))/Inputs!$B$43),G2695*Q2695))*IF(Inputs!$B$38="pvp",1,(1+(Inputs!$B$21+Skills!Q6+(((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Skills!G7*IF(Skills!H7&gt;0,INT(IF(Inputs!$B$38="pvp",MIN(Skills!I7,15),Skills!I7)/Skills!H7+0.000000001),1)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IFERROR(1/(IF(Inputs!$B$38="pvp",15,MAX(0.1,Skills!D7-IF(TRUE=TRUE,0.5,0)))*(1-IF(AND(ArtifactsInput!$M$27,Inputs!$B$4="Chapter Hunt"),CHOOSE(ArtifactsInput!$N$27+1,20,24,28,32,36,40),0)/100)),0)</f>
        <v/>
      </c>
      <c r="R2696">
        <f>IF(AND(Inputs!$B$38&lt;&gt;"pvp",Inputs!$B$43&gt;0),IF(MAX(0,Inputs!$B$43-B2725)&lt;=0,0,(INT(MAX(0,Inputs!$B$43-B2725)/(IF(Inputs!$B$38="pvp",15,MAX(0.1,Skills!D7-IF(TRUE=TRUE,0.5,0)))*(1-IF(AND(ArtifactsInput!$M$27,Inputs!$B$4="Chapter Hunt"),CHOOSE(ArtifactsInput!$N$27+1,20,24,28,32,36,40),0)/100)))+1)),0)</f>
        <v/>
      </c>
      <c r="S2696">
        <f>IFERROR(O2696/N2696,0)</f>
        <v/>
      </c>
      <c r="T2696">
        <f>IF(C2696,(H2696*N2696*IF(AND(Inputs!$B$38&lt;&gt;"pvp",Inputs!$B$43&gt;0),((Skills!G7*((R2696-1)*IF(Skills!H7&gt;0,INT(Skills!I7/Skills!H7+0.000000001),1)+IF(Skills!H7&gt;0,INT(MIN(Skills!I7,MAX(0,MAX(0,Inputs!$B$43-B2725)-((R2696-1)*(IF(Inputs!$B$38="pvp",15,MAX(0.1,Skills!D7-IF(TRUE=TRUE,0.5,0)))*(1-IF(AND(ArtifactsInput!$M$27,Inputs!$B$4="Chapter Hunt"),CHOOSE(ArtifactsInput!$N$27+1,20,24,28,32,36,40),0)/100)))))/Skills!H7+0.000000001),1)))/Inputs!$B$43),G2696*Q2696))*IF(Inputs!$B$38="pvp",1,1+(Inputs!$B$20+0+Skills!P7+(((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INT(Skills!I7/Skills!H7+0.000000001),1)+IF(Skills!H7&gt;0,INT(MIN(Skills!I7,MAX(0,MAX(0,Inputs!$B$43-B2725)-((R2696-1)*(IF(Inputs!$B$38="pvp",15,MAX(0.1,Skills!D7-IF(TRUE=TRUE,0.5,0)))*(1-IF(AND(ArtifactsInput!$M$27,Inputs!$B$4="Chapter Hunt"),CHOOSE(ArtifactsInput!$N$27+1,20,24,28,32,36,40),0)/100)))))/Skills!H7+0.000000001),1)))/Inputs!$B$43),G2696*Q2696))*IF(Inputs!$B$38="pvp",1,(1+(Inputs!$B$21+Skills!Q7+(((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Skills!G8*IF(Skills!H8&gt;0,INT(IF(Inputs!$B$38="pvp",MIN(Skills!I8,15),Skills!I8)/Skills!H8+0.000000001),1)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IFERROR(1/(IF(Inputs!$B$38="pvp",15,MAX(0.1,Skills!D8-IF(TRUE=TRUE,0.5,0)))*(1-IF(AND(ArtifactsInput!$M$27,Inputs!$B$4="Chapter Hunt"),CHOOSE(ArtifactsInput!$N$27+1,20,24,28,32,36,40),0)/100)),0)</f>
        <v/>
      </c>
      <c r="R2697">
        <f>IF(AND(Inputs!$B$38&lt;&gt;"pvp",Inputs!$B$43&gt;0),IF(MAX(0,Inputs!$B$43-B2725)&lt;=0,0,(INT(MAX(0,Inputs!$B$43-B2725)/(IF(Inputs!$B$38="pvp",15,MAX(0.1,Skills!D8-IF(TRUE=TRUE,0.5,0)))*(1-IF(AND(ArtifactsInput!$M$27,Inputs!$B$4="Chapter Hunt"),CHOOSE(ArtifactsInput!$N$27+1,20,24,28,32,36,40),0)/100)))+1)),0)</f>
        <v/>
      </c>
      <c r="S2697">
        <f>IFERROR(O2697/N2697,0)</f>
        <v/>
      </c>
      <c r="T2697">
        <f>IF(C2697,(H2697*N2697*IF(AND(Inputs!$B$38&lt;&gt;"pvp",Inputs!$B$43&gt;0),((Skills!G8*((R2697-1)*IF(Skills!H8&gt;0,INT(Skills!I8/Skills!H8+0.000000001),1)+IF(Skills!H8&gt;0,INT(MIN(Skills!I8,MAX(0,MAX(0,Inputs!$B$43-B2725)-((R2697-1)*(IF(Inputs!$B$38="pvp",15,MAX(0.1,Skills!D8-IF(TRUE=TRUE,0.5,0)))*(1-IF(AND(ArtifactsInput!$M$27,Inputs!$B$4="Chapter Hunt"),CHOOSE(ArtifactsInput!$N$27+1,20,24,28,32,36,40),0)/100)))))/Skills!H8+0.000000001),1)))/Inputs!$B$43),G2697*Q2697))*IF(Inputs!$B$38="pvp",1,1+(Inputs!$B$20+0+Skills!P8+(((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INT(Skills!I8/Skills!H8+0.000000001),1)+IF(Skills!H8&gt;0,INT(MIN(Skills!I8,MAX(0,MAX(0,Inputs!$B$43-B2725)-((R2697-1)*(IF(Inputs!$B$38="pvp",15,MAX(0.1,Skills!D8-IF(TRUE=TRUE,0.5,0)))*(1-IF(AND(ArtifactsInput!$M$27,Inputs!$B$4="Chapter Hunt"),CHOOSE(ArtifactsInput!$N$27+1,20,24,28,32,36,40),0)/100)))))/Skills!H8+0.000000001),1)))/Inputs!$B$43),G2697*Q2697))*IF(Inputs!$B$38="pvp",1,(1+(Inputs!$B$21+Skills!Q8+(((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Skills!G9*IF(Skills!H9&gt;0,INT(IF(Inputs!$B$38="pvp",MIN(Skills!I9,15),Skills!I9)/Skills!H9+0.000000001),1)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138,MAX(0,IF(Inputs!$B$3&gt;=118,8,IF(Inputs!$B$3&gt;=110,7,5))-5)*50,0),0)/100)*(1+(IF(Skills!A9="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IFERROR(1/(IF(Inputs!$B$38="pvp",15,MAX(0.1,Skills!D9-IF(TRUE=TRUE,0.5,0)))*(1-IF(AND(ArtifactsInput!$M$27,Inputs!$B$4="Chapter Hunt"),CHOOSE(ArtifactsInput!$N$27+1,20,24,28,32,36,40),0)/100)),0)</f>
        <v/>
      </c>
      <c r="R2698">
        <f>IF(AND(Inputs!$B$38&lt;&gt;"pvp",Inputs!$B$43&gt;0),IF(MAX(0,Inputs!$B$43-B2725)&lt;=0,0,(INT(MAX(0,Inputs!$B$43-B2725)/(IF(Inputs!$B$38="pvp",15,MAX(0.1,Skills!D9-IF(TRUE=TRUE,0.5,0)))*(1-IF(AND(ArtifactsInput!$M$27,Inputs!$B$4="Chapter Hunt"),CHOOSE(ArtifactsInput!$N$27+1,20,24,28,32,36,40),0)/100)))+1)),0)</f>
        <v/>
      </c>
      <c r="S2698">
        <f>IFERROR(O2698/N2698,0)</f>
        <v/>
      </c>
      <c r="T2698">
        <f>IF(C2698,(H2698*N2698*IF(AND(Inputs!$B$38&lt;&gt;"pvp",Inputs!$B$43&gt;0),((Skills!G9*((R2698-1)*IF(Skills!H9&gt;0,INT(Skills!I9/Skills!H9+0.000000001),1)+IF(Skills!H9&gt;0,INT(MIN(Skills!I9,MAX(0,MAX(0,Inputs!$B$43-B2725)-((R2698-1)*(IF(Inputs!$B$38="pvp",15,MAX(0.1,Skills!D9-IF(TRUE=TRUE,0.5,0)))*(1-IF(AND(ArtifactsInput!$M$27,Inputs!$B$4="Chapter Hunt"),CHOOSE(ArtifactsInput!$N$27+1,20,24,28,32,36,40),0)/100)))))/Skills!H9+0.000000001),1)))/Inputs!$B$43),G2698*Q2698))*IF(Inputs!$B$38="pvp",1,1+(Inputs!$B$20+0+Skills!P9+(((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INT(Skills!I9/Skills!H9+0.000000001),1)+IF(Skills!H9&gt;0,INT(MIN(Skills!I9,MAX(0,MAX(0,Inputs!$B$43-B2725)-((R2698-1)*(IF(Inputs!$B$38="pvp",15,MAX(0.1,Skills!D9-IF(TRUE=TRUE,0.5,0)))*(1-IF(AND(ArtifactsInput!$M$27,Inputs!$B$4="Chapter Hunt"),CHOOSE(ArtifactsInput!$N$27+1,20,24,28,32,36,40),0)/100)))))/Skills!H9+0.000000001),1)))/Inputs!$B$43),G2698*Q2698))*IF(Inputs!$B$38="pvp",1,(1+(Inputs!$B$21+Skills!Q9+(((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Skills!G10*IF(Skills!H10&gt;0,INT(IF(Inputs!$B$38="pvp",MIN(Skills!I10,15),Skills!I10)/Skills!H10+0.000000001),1)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138,MAX(0,IF(Inputs!$B$3&gt;=118,8,IF(Inputs!$B$3&gt;=110,7,5))-5)*50,0),0)/100)*(1+(IF(Skills!A10="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IFERROR(1/(IF(Inputs!$B$38="pvp",15,MAX(0.1,Skills!D10-IF(TRUE=TRUE,0.5,0)))*(1-IF(AND(ArtifactsInput!$M$27,Inputs!$B$4="Chapter Hunt"),CHOOSE(ArtifactsInput!$N$27+1,20,24,28,32,36,40),0)/100)),0)</f>
        <v/>
      </c>
      <c r="R2699">
        <f>IF(AND(Inputs!$B$38&lt;&gt;"pvp",Inputs!$B$43&gt;0),IF(MAX(0,Inputs!$B$43-B2725)&lt;=0,0,(INT(MAX(0,Inputs!$B$43-B2725)/(IF(Inputs!$B$38="pvp",15,MAX(0.1,Skills!D10-IF(TRUE=TRUE,0.5,0)))*(1-IF(AND(ArtifactsInput!$M$27,Inputs!$B$4="Chapter Hunt"),CHOOSE(ArtifactsInput!$N$27+1,20,24,28,32,36,40),0)/100)))+1)),0)</f>
        <v/>
      </c>
      <c r="S2699">
        <f>IFERROR(O2699/N2699,0)</f>
        <v/>
      </c>
      <c r="T2699">
        <f>IF(C2699,(H2699*N2699*IF(AND(Inputs!$B$38&lt;&gt;"pvp",Inputs!$B$43&gt;0),((Skills!G10*((R2699-1)*IF(Skills!H10&gt;0,INT(Skills!I10/Skills!H10+0.000000001),1)+IF(Skills!H10&gt;0,INT(MIN(Skills!I10,MAX(0,MAX(0,Inputs!$B$43-B2725)-((R2699-1)*(IF(Inputs!$B$38="pvp",15,MAX(0.1,Skills!D10-IF(TRUE=TRUE,0.5,0)))*(1-IF(AND(ArtifactsInput!$M$27,Inputs!$B$4="Chapter Hunt"),CHOOSE(ArtifactsInput!$N$27+1,20,24,28,32,36,40),0)/100)))))/Skills!H10+0.000000001),1)))/Inputs!$B$43),G2699*Q2699))*IF(Inputs!$B$38="pvp",1,1+(Inputs!$B$20+0+Skills!P10+(((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INT(Skills!I10/Skills!H10+0.000000001),1)+IF(Skills!H10&gt;0,INT(MIN(Skills!I10,MAX(0,MAX(0,Inputs!$B$43-B2725)-((R2699-1)*(IF(Inputs!$B$38="pvp",15,MAX(0.1,Skills!D10-IF(TRUE=TRUE,0.5,0)))*(1-IF(AND(ArtifactsInput!$M$27,Inputs!$B$4="Chapter Hunt"),CHOOSE(ArtifactsInput!$N$27+1,20,24,28,32,36,40),0)/100)))))/Skills!H10+0.000000001),1)))/Inputs!$B$43),G2699*Q2699))*IF(Inputs!$B$38="pvp",1,(1+(Inputs!$B$21+Skills!Q10+(((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Skills!G11*IF(Skills!H11&gt;0,INT(IF(Inputs!$B$38="pvp",MIN(Skills!I11,15),Skills!I11)/Skills!H11+0.000000001),1)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138,MAX(0,IF(Inputs!$B$3&gt;=118,8,IF(Inputs!$B$3&gt;=110,7,5))-5)*50,0),0)/100)*(1+(IF(Skills!A11="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IFERROR(1/(IF(Inputs!$B$38="pvp",15,MAX(0.1,Skills!D11-IF(TRUE=TRUE,0.5,0)))*(1-IF(AND(ArtifactsInput!$M$27,Inputs!$B$4="Chapter Hunt"),CHOOSE(ArtifactsInput!$N$27+1,20,24,28,32,36,40),0)/100)),0)</f>
        <v/>
      </c>
      <c r="R2700">
        <f>IF(AND(Inputs!$B$38&lt;&gt;"pvp",Inputs!$B$43&gt;0),IF(MAX(0,Inputs!$B$43-B2725)&lt;=0,0,(INT(MAX(0,Inputs!$B$43-B2725)/(IF(Inputs!$B$38="pvp",15,MAX(0.1,Skills!D11-IF(TRUE=TRUE,0.5,0)))*(1-IF(AND(ArtifactsInput!$M$27,Inputs!$B$4="Chapter Hunt"),CHOOSE(ArtifactsInput!$N$27+1,20,24,28,32,36,40),0)/100)))+1)),0)</f>
        <v/>
      </c>
      <c r="S2700">
        <f>IFERROR(O2700/N2700,0)</f>
        <v/>
      </c>
      <c r="T2700">
        <f>IF(C2700,(H2700*N2700*IF(AND(Inputs!$B$38&lt;&gt;"pvp",Inputs!$B$43&gt;0),((Skills!G11*((R2700-1)*IF(Skills!H11&gt;0,INT(Skills!I11/Skills!H11+0.000000001),1)+IF(Skills!H11&gt;0,INT(MIN(Skills!I11,MAX(0,MAX(0,Inputs!$B$43-B2725)-((R2700-1)*(IF(Inputs!$B$38="pvp",15,MAX(0.1,Skills!D11-IF(TRUE=TRUE,0.5,0)))*(1-IF(AND(ArtifactsInput!$M$27,Inputs!$B$4="Chapter Hunt"),CHOOSE(ArtifactsInput!$N$27+1,20,24,28,32,36,40),0)/100)))))/Skills!H11+0.000000001),1)))/Inputs!$B$43),G2700*Q2700))*IF(Inputs!$B$38="pvp",1,1+(Inputs!$B$20+0+Skills!P11+(((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INT(Skills!I11/Skills!H11+0.000000001),1)+IF(Skills!H11&gt;0,INT(MIN(Skills!I11,MAX(0,MAX(0,Inputs!$B$43-B2725)-((R2700-1)*(IF(Inputs!$B$38="pvp",15,MAX(0.1,Skills!D11-IF(TRUE=TRUE,0.5,0)))*(1-IF(AND(ArtifactsInput!$M$27,Inputs!$B$4="Chapter Hunt"),CHOOSE(ArtifactsInput!$N$27+1,20,24,28,32,36,40),0)/100)))))/Skills!H11+0.000000001),1)))/Inputs!$B$43),G2700*Q2700))*IF(Inputs!$B$38="pvp",1,(1+(Inputs!$B$21+Skills!Q11+(((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Skills!G13*IF(Skills!H13&gt;0,INT(IF(Inputs!$B$38="pvp",MIN(Skills!I13,15),Skills!I13)/Skills!H13+0.000000001),1)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Skills!G14*IF(Skills!H14&gt;0,INT(IF(Inputs!$B$38="pvp",MIN(Skills!I14,15),Skills!I14)/Skills!H14+0.000000001),1)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Skills!G15*IF(Skills!H15&gt;0,INT(IF(Inputs!$B$38="pvp",MIN(Skills!I15,15),Skills!I15)/Skills!H15+0.000000001),1)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IFERROR(1/(IF(Inputs!$B$38="pvp",15,MAX(0.1,Skills!D15-IF(TRUE=TRUE,0.5,0)))*(1-IF(AND(ArtifactsInput!$M$27,Inputs!$B$4="Chapter Hunt"),CHOOSE(ArtifactsInput!$N$27+1,20,24,28,32,36,40),0)/100)),0)</f>
        <v/>
      </c>
      <c r="R2704">
        <f>IF(AND(Inputs!$B$38&lt;&gt;"pvp",Inputs!$B$43&gt;0),IF(Inputs!$B$43&lt;=0,0,(INT(Inputs!$B$43/(IF(Inputs!$B$38="pvp",15,MAX(0.1,Skills!D15-IF(TRUE=TRUE,0.5,0)))*(1-IF(AND(ArtifactsInput!$M$27,Inputs!$B$4="Chapter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Skills!G16*IF(Skills!H16&gt;0,INT(IF(Inputs!$B$38="pvp",MIN(Skills!I16,15),Skills!I16)/Skills!H16+0.000000001),1)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IFERROR(1/(IF(Inputs!$B$38="pvp",15,MAX(0.1,Skills!D16-IF(TRUE=TRUE,0.5,0)))*(1-IF(AND(ArtifactsInput!$M$27,Inputs!$B$4="Chapter Hunt"),CHOOSE(ArtifactsInput!$N$27+1,20,24,28,32,36,40),0)/100)),0)</f>
        <v/>
      </c>
      <c r="R2705">
        <f>IF(AND(Inputs!$B$38&lt;&gt;"pvp",Inputs!$B$43&gt;0),IF(Inputs!$B$43&lt;=0,0,(INT(Inputs!$B$43/(IF(Inputs!$B$38="pvp",15,MAX(0.1,Skills!D16-IF(TRUE=TRUE,0.5,0)))*(1-IF(AND(ArtifactsInput!$M$27,Inputs!$B$4="Chapter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Skills!G17*IF(Skills!H17&gt;0,INT(IF(Inputs!$B$38="pvp",MIN(Skills!I17,15),Skills!I17)/Skills!H17+0.000000001),1)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IFERROR(1/(IF(Inputs!$B$38="pvp",15,MAX(0.1,Skills!D17-IF(TRUE=TRUE,0.5,0)))*(1-IF(AND(ArtifactsInput!$M$27,Inputs!$B$4="Chapter Hunt"),CHOOSE(ArtifactsInput!$N$27+1,20,24,28,32,36,40),0)/100)),0)</f>
        <v/>
      </c>
      <c r="R2706">
        <f>IF(AND(Inputs!$B$38&lt;&gt;"pvp",Inputs!$B$43&gt;0),IF(Inputs!$B$43&lt;=0,0,(INT(Inputs!$B$43/(IF(Inputs!$B$38="pvp",15,MAX(0.1,Skills!D17-IF(TRUE=TRUE,0.5,0)))*(1-IF(AND(ArtifactsInput!$M$27,Inputs!$B$4="Chapter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Skills!G18*IF(Skills!H18&gt;0,INT(IF(Inputs!$B$38="pvp",MIN(Skills!I18,15),Skills!I18)/Skills!H18+0.000000001),1)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IFERROR(1/(IF(Inputs!$B$38="pvp",15,MAX(0.1,Skills!D18-IF(TRUE=TRUE,0.5,0)))*(1-IF(AND(ArtifactsInput!$M$27,Inputs!$B$4="Chapter Hunt"),CHOOSE(ArtifactsInput!$N$27+1,20,24,28,32,36,40),0)/100)),0)</f>
        <v/>
      </c>
      <c r="R2707">
        <f>IF(AND(Inputs!$B$38&lt;&gt;"pvp",Inputs!$B$43&gt;0),IF(Inputs!$B$43&lt;=0,0,(INT(Inputs!$B$43/(IF(Inputs!$B$38="pvp",15,MAX(0.1,Skills!D18-IF(TRUE=TRUE,0.5,0)))*(1-IF(AND(ArtifactsInput!$M$27,Inputs!$B$4="Chapter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Skills!G19*IF(Skills!H19&gt;0,INT(IF(Inputs!$B$38="pvp",MIN(Skills!I19,15),Skills!I19)/Skills!H19+0.000000001),1)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IFERROR(1/(IF(Inputs!$B$38="pvp",15,MAX(0.1,Skills!D19-IF(TRUE=TRUE,0.5,0)))*(1-IF(AND(ArtifactsInput!$M$27,Inputs!$B$4="Chapter Hunt"),CHOOSE(ArtifactsInput!$N$27+1,20,24,28,32,36,40),0)/100)),0)</f>
        <v/>
      </c>
      <c r="R2708">
        <f>IF(AND(Inputs!$B$38&lt;&gt;"pvp",Inputs!$B$43&gt;0),IF(Inputs!$B$43&lt;=0,0,(INT(Inputs!$B$43/(IF(Inputs!$B$38="pvp",15,MAX(0.1,Skills!D19-IF(TRUE=TRUE,0.5,0)))*(1-IF(AND(ArtifactsInput!$M$27,Inputs!$B$4="Chapter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Skills!G20*IF(Skills!H20&gt;0,INT(IF(Inputs!$B$38="pvp",MIN(Skills!I20,15),Skills!I20)/Skills!H20+0.000000001),1)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Skills!G21*IF(Skills!H21&gt;0,INT(IF(Inputs!$B$38="pvp",MIN(Skills!I21,15),Skills!I21)/Skills!H21+0.000000001),1)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Skills!G22*IF(Skills!H22&gt;0,INT(IF(Inputs!$B$38="pvp",MIN(Skills!I22,15),Skills!I22)/Skills!H22+0.000000001),1)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Skills!G23*IF(Skills!H23&gt;0,INT(IF(Inputs!$B$38="pvp",MIN(Skills!I23,15),Skills!I23)/Skills!H23+0.000000001),1)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Skills!G24*IF(Skills!H24&gt;0,INT(IF(Inputs!$B$38="pvp",MIN(Skills!I24,15),Skills!I24)/Skills!H24+0.000000001),1)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Skills!G25*IF(Skills!H25&gt;0,INT(IF(Inputs!$B$38="pvp",MIN(Skills!I25,15),Skills!I25)/Skills!H25+0.000000001),1)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Skills!G26*IF(Skills!H26&gt;0,INT(IF(Inputs!$B$38="pvp",MIN(Skills!I26,15),Skills!I26)/Skills!H26+0.000000001),1)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MIN((Skills!T19*(1+(Inputs!$B$34+(ArtifactsInput!$M$7-ArtifactsInput!$M$7)*CHOOSE(ArtifactsInput!$N$7+1,6,7.2,8.4,9.6,10.8,12))/100)),(1/Q2708))+MIN((Skills!T19*(1+(Inputs!$B$34+(ArtifactsInput!$M$7-ArtifactsInput!$M$7)*CHOOSE(ArtifactsInput!$N$7+1,6,7.2,8.4,9.6,10.8,12))/100)),MAX(0,Inputs!$B$43-((R2708-1)*(1/Q2708)))))/Inputs!$B$43),IF(Inputs!$B$38="pvp",MIN((Skills!T19*(1+(Inputs!$B$34+(ArtifactsInput!$M$7-ArtifactsInput!$M$7)*CHOOSE(ArtifactsInput!$N$7+1,6,7.2,8.4,9.6,10.8,12))/100)),15)/15,MIN(1,(Skills!T19*(1+(Inputs!$B$34+(ArtifactsInput!$M$7-ArtifactsInput!$M$7)*CHOOSE(ArtifactsInput!$N$7+1,6,7.2,8.4,9.6,10.8,12))/100))/(1/Q2708)))))</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MIN((Skills!T18*(1+(Inputs!$B$34+(ArtifactsInput!$M$7-ArtifactsInput!$M$7)*CHOOSE(ArtifactsInput!$N$7+1,6,7.2,8.4,9.6,10.8,12))/100)),(1/Q2707))+MIN((Skills!T18*(1+(Inputs!$B$34+(ArtifactsInput!$M$7-ArtifactsInput!$M$7)*CHOOSE(ArtifactsInput!$N$7+1,6,7.2,8.4,9.6,10.8,12))/100)),MAX(0,Inputs!$B$43-((R2707-1)*(1/Q2707)))))/Inputs!$B$43),IF(Inputs!$B$38="pvp",MIN((Skills!T18*(1+(Inputs!$B$34+(ArtifactsInput!$M$7-ArtifactsInput!$M$7)*CHOOSE(ArtifactsInput!$N$7+1,6,7.2,8.4,9.6,10.8,12))/100)),15)/15,MIN(1,(Skills!T18*(1+(Inputs!$B$34+(ArtifactsInput!$M$7-ArtifactsInput!$M$7)*CHOOSE(ArtifactsInput!$N$7+1,6,7.2,8.4,9.6,10.8,12))/100))/(1/Q2707)))))</f>
        <v/>
      </c>
    </row>
    <row r="2724">
      <c r="A2724" t="inlineStr">
        <is>
          <t>Global Final Damage Bonus % (Enrage + Combo Synergy)</t>
        </is>
      </c>
      <c r="B2724">
        <f>((C2706=TRUE)*F2706*IF(AND(Inputs!$B$38&lt;&gt;"pvp",Inputs!$B$43&gt;0),(((R2706-1)*MIN((Skills!T17*(1+(Inputs!$B$34+(ArtifactsInput!$M$7-ArtifactsInput!$M$7)*CHOOSE(ArtifactsInput!$N$7+1,6,7.2,8.4,9.6,10.8,12))/100)),(1/Q2706))+MIN((Skills!T17*(1+(Inputs!$B$34+(ArtifactsInput!$M$7-ArtifactsInput!$M$7)*CHOOSE(ArtifactsInput!$N$7+1,6,7.2,8.4,9.6,10.8,12))/100)),MAX(0,Inputs!$B$43-((R2706-1)*(1/Q2706)))))/Inputs!$B$43),IF(Inputs!$B$38="pvp",MIN((Skills!T17*(1+(Inputs!$B$34+(ArtifactsInput!$M$7-ArtifactsInput!$M$7)*CHOOSE(ArtifactsInput!$N$7+1,6,7.2,8.4,9.6,10.8,12))/100)),15)/15,MIN(1,(Skills!T17*(1+(Inputs!$B$34+(ArtifactsInput!$M$7-ArtifactsInput!$M$7)*CHOOSE(ArtifactsInput!$N$7+1,6,7.2,8.4,9.6,10.8,12))/100))/(1/Q2706)))))+((C2703=TRUE)*F2703*IF(Inputs!$B$3&gt;=118,8,IF(Inputs!$B$3&gt;=110,7,5)))+IF(Inputs!$B$3&gt;=98,5,0)</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Skills!G2*IF(Skills!H2&gt;0,INT(IF(Inputs!$B$38="pvp",MIN(Skills!I2,15),Skills!I2)/Skills!H2+0.000000001),1)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Skills!G5*IF(Skills!H5&gt;0,INT(IF(Inputs!$B$38="pvp",MIN(Skills!I5,15),Skills!I5)/Skills!H5+0.000000001),1)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IFERROR(1/(IF(Inputs!$B$38="pvp",15,MAX(0.1,Skills!D5-IF(TRUE=TRUE,1.0,0)))*(1-IF(AND(ArtifactsInput!$M$27,Inputs!$B$4="Chapter Hunt"),CHOOSE(ArtifactsInput!$N$27+1,20,24,28,32,36,40),0)/100)),0)</f>
        <v/>
      </c>
      <c r="R2736">
        <f>IF(AND(Inputs!$B$38&lt;&gt;"pvp",Inputs!$B$43&gt;0),IF(MAX(0,Inputs!$B$43-B2767)&lt;=0,0,(INT(MAX(0,Inputs!$B$43-B2767)/(IF(Inputs!$B$38="pvp",15,MAX(0.1,Skills!D5-IF(TRUE=TRUE,1.0,0)))*(1-IF(AND(ArtifactsInput!$M$27,Inputs!$B$4="Chapter Hunt"),CHOOSE(ArtifactsInput!$N$27+1,20,24,28,32,36,40),0)/100)))+1)),0)</f>
        <v/>
      </c>
      <c r="S2736">
        <f>IFERROR(O2736/N2736,0)</f>
        <v/>
      </c>
      <c r="T2736">
        <f>IF(C2736,(H2736*N2736*IF(AND(Inputs!$B$38&lt;&gt;"pvp",Inputs!$B$43&gt;0),((Skills!G5*((R2736-1)*IF(Skills!H5&gt;0,INT(Skills!I5/Skills!H5+0.000000001),1)+IF(Skills!H5&gt;0,INT(MIN(Skills!I5,MAX(0,MAX(0,Inputs!$B$43-B2767)-((R2736-1)*(IF(Inputs!$B$38="pvp",15,MAX(0.1,Skills!D5-IF(TRUE=TRUE,1.0,0)))*(1-IF(AND(ArtifactsInput!$M$27,Inputs!$B$4="Chapter Hunt"),CHOOSE(ArtifactsInput!$N$27+1,20,24,28,32,36,40),0)/100)))))/Skills!H5+0.000000001),1)))/Inputs!$B$43),G2736*Q2736))*IF(Inputs!$B$38="pvp",1,1+(Inputs!$B$20+0+Skills!P5+(((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INT(Skills!I5/Skills!H5+0.000000001),1)+IF(Skills!H5&gt;0,INT(MIN(Skills!I5,MAX(0,MAX(0,Inputs!$B$43-B2767)-((R2736-1)*(IF(Inputs!$B$38="pvp",15,MAX(0.1,Skills!D5-IF(TRUE=TRUE,1.0,0)))*(1-IF(AND(ArtifactsInput!$M$27,Inputs!$B$4="Chapter Hunt"),CHOOSE(ArtifactsInput!$N$27+1,20,24,28,32,36,40),0)/100)))))/Skills!H5+0.000000001),1)))/Inputs!$B$43),G2736*Q2736))*IF(Inputs!$B$38="pvp",1,(1+(Inputs!$B$21+Skills!Q5+(((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Skills!G6*IF(Skills!H6&gt;0,INT(IF(Inputs!$B$38="pvp",MIN(Skills!I6,15),Skills!I6)/Skills!H6+0.000000001),1)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IFERROR(1/(IF(Inputs!$B$38="pvp",15,MAX(0.1,Skills!D6-IF(TRUE=TRUE,1.0,0)))*(1-IF(AND(ArtifactsInput!$M$27,Inputs!$B$4="Chapter Hunt"),CHOOSE(ArtifactsInput!$N$27+1,20,24,28,32,36,40),0)/100)),0)</f>
        <v/>
      </c>
      <c r="R2737">
        <f>IF(AND(Inputs!$B$38&lt;&gt;"pvp",Inputs!$B$43&gt;0),IF(MAX(0,Inputs!$B$43-B2767)&lt;=0,0,(INT(MAX(0,Inputs!$B$43-B2767)/(IF(Inputs!$B$38="pvp",15,MAX(0.1,Skills!D6-IF(TRUE=TRUE,1.0,0)))*(1-IF(AND(ArtifactsInput!$M$27,Inputs!$B$4="Chapter Hunt"),CHOOSE(ArtifactsInput!$N$27+1,20,24,28,32,36,40),0)/100)))+1)),0)</f>
        <v/>
      </c>
      <c r="S2737">
        <f>IFERROR(O2737/N2737,0)</f>
        <v/>
      </c>
      <c r="T2737">
        <f>IF(C2737,(H2737*N2737*IF(AND(Inputs!$B$38&lt;&gt;"pvp",Inputs!$B$43&gt;0),((Skills!G6*((R2737-1)*IF(Skills!H6&gt;0,INT(Skills!I6/Skills!H6+0.000000001),1)+IF(Skills!H6&gt;0,INT(MIN(Skills!I6,MAX(0,MAX(0,Inputs!$B$43-B2767)-((R2737-1)*(IF(Inputs!$B$38="pvp",15,MAX(0.1,Skills!D6-IF(TRUE=TRUE,1.0,0)))*(1-IF(AND(ArtifactsInput!$M$27,Inputs!$B$4="Chapter Hunt"),CHOOSE(ArtifactsInput!$N$27+1,20,24,28,32,36,40),0)/100)))))/Skills!H6+0.000000001),1)))/Inputs!$B$43),G2737*Q2737))*IF(Inputs!$B$38="pvp",1,1+(Inputs!$B$20+0+Skills!P6+(((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INT(Skills!I6/Skills!H6+0.000000001),1)+IF(Skills!H6&gt;0,INT(MIN(Skills!I6,MAX(0,MAX(0,Inputs!$B$43-B2767)-((R2737-1)*(IF(Inputs!$B$38="pvp",15,MAX(0.1,Skills!D6-IF(TRUE=TRUE,1.0,0)))*(1-IF(AND(ArtifactsInput!$M$27,Inputs!$B$4="Chapter Hunt"),CHOOSE(ArtifactsInput!$N$27+1,20,24,28,32,36,40),0)/100)))))/Skills!H6+0.000000001),1)))/Inputs!$B$43),G2737*Q2737))*IF(Inputs!$B$38="pvp",1,(1+(Inputs!$B$21+Skills!Q6+(((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Skills!G7*IF(Skills!H7&gt;0,INT(IF(Inputs!$B$38="pvp",MIN(Skills!I7,15),Skills!I7)/Skills!H7+0.000000001),1)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IFERROR(1/(IF(Inputs!$B$38="pvp",15,MAX(0.1,Skills!D7-IF(TRUE=TRUE,1.0,0)))*(1-IF(AND(ArtifactsInput!$M$27,Inputs!$B$4="Chapter Hunt"),CHOOSE(ArtifactsInput!$N$27+1,20,24,28,32,36,40),0)/100)),0)</f>
        <v/>
      </c>
      <c r="R2738">
        <f>IF(AND(Inputs!$B$38&lt;&gt;"pvp",Inputs!$B$43&gt;0),IF(MAX(0,Inputs!$B$43-B2767)&lt;=0,0,(INT(MAX(0,Inputs!$B$43-B2767)/(IF(Inputs!$B$38="pvp",15,MAX(0.1,Skills!D7-IF(TRUE=TRUE,1.0,0)))*(1-IF(AND(ArtifactsInput!$M$27,Inputs!$B$4="Chapter Hunt"),CHOOSE(ArtifactsInput!$N$27+1,20,24,28,32,36,40),0)/100)))+1)),0)</f>
        <v/>
      </c>
      <c r="S2738">
        <f>IFERROR(O2738/N2738,0)</f>
        <v/>
      </c>
      <c r="T2738">
        <f>IF(C2738,(H2738*N2738*IF(AND(Inputs!$B$38&lt;&gt;"pvp",Inputs!$B$43&gt;0),((Skills!G7*((R2738-1)*IF(Skills!H7&gt;0,INT(Skills!I7/Skills!H7+0.000000001),1)+IF(Skills!H7&gt;0,INT(MIN(Skills!I7,MAX(0,MAX(0,Inputs!$B$43-B2767)-((R2738-1)*(IF(Inputs!$B$38="pvp",15,MAX(0.1,Skills!D7-IF(TRUE=TRUE,1.0,0)))*(1-IF(AND(ArtifactsInput!$M$27,Inputs!$B$4="Chapter Hunt"),CHOOSE(ArtifactsInput!$N$27+1,20,24,28,32,36,40),0)/100)))))/Skills!H7+0.000000001),1)))/Inputs!$B$43),G2738*Q2738))*IF(Inputs!$B$38="pvp",1,1+(Inputs!$B$20+0+Skills!P7+(((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INT(Skills!I7/Skills!H7+0.000000001),1)+IF(Skills!H7&gt;0,INT(MIN(Skills!I7,MAX(0,MAX(0,Inputs!$B$43-B2767)-((R2738-1)*(IF(Inputs!$B$38="pvp",15,MAX(0.1,Skills!D7-IF(TRUE=TRUE,1.0,0)))*(1-IF(AND(ArtifactsInput!$M$27,Inputs!$B$4="Chapter Hunt"),CHOOSE(ArtifactsInput!$N$27+1,20,24,28,32,36,40),0)/100)))))/Skills!H7+0.000000001),1)))/Inputs!$B$43),G2738*Q2738))*IF(Inputs!$B$38="pvp",1,(1+(Inputs!$B$21+Skills!Q7+(((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Skills!G8*IF(Skills!H8&gt;0,INT(IF(Inputs!$B$38="pvp",MIN(Skills!I8,15),Skills!I8)/Skills!H8+0.000000001),1)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IFERROR(1/(IF(Inputs!$B$38="pvp",15,MAX(0.1,Skills!D8-IF(TRUE=TRUE,1.0,0)))*(1-IF(AND(ArtifactsInput!$M$27,Inputs!$B$4="Chapter Hunt"),CHOOSE(ArtifactsInput!$N$27+1,20,24,28,32,36,40),0)/100)),0)</f>
        <v/>
      </c>
      <c r="R2739">
        <f>IF(AND(Inputs!$B$38&lt;&gt;"pvp",Inputs!$B$43&gt;0),IF(MAX(0,Inputs!$B$43-B2767)&lt;=0,0,(INT(MAX(0,Inputs!$B$43-B2767)/(IF(Inputs!$B$38="pvp",15,MAX(0.1,Skills!D8-IF(TRUE=TRUE,1.0,0)))*(1-IF(AND(ArtifactsInput!$M$27,Inputs!$B$4="Chapter Hunt"),CHOOSE(ArtifactsInput!$N$27+1,20,24,28,32,36,40),0)/100)))+1)),0)</f>
        <v/>
      </c>
      <c r="S2739">
        <f>IFERROR(O2739/N2739,0)</f>
        <v/>
      </c>
      <c r="T2739">
        <f>IF(C2739,(H2739*N2739*IF(AND(Inputs!$B$38&lt;&gt;"pvp",Inputs!$B$43&gt;0),((Skills!G8*((R2739-1)*IF(Skills!H8&gt;0,INT(Skills!I8/Skills!H8+0.000000001),1)+IF(Skills!H8&gt;0,INT(MIN(Skills!I8,MAX(0,MAX(0,Inputs!$B$43-B2767)-((R2739-1)*(IF(Inputs!$B$38="pvp",15,MAX(0.1,Skills!D8-IF(TRUE=TRUE,1.0,0)))*(1-IF(AND(ArtifactsInput!$M$27,Inputs!$B$4="Chapter Hunt"),CHOOSE(ArtifactsInput!$N$27+1,20,24,28,32,36,40),0)/100)))))/Skills!H8+0.000000001),1)))/Inputs!$B$43),G2739*Q2739))*IF(Inputs!$B$38="pvp",1,1+(Inputs!$B$20+0+Skills!P8+(((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INT(Skills!I8/Skills!H8+0.000000001),1)+IF(Skills!H8&gt;0,INT(MIN(Skills!I8,MAX(0,MAX(0,Inputs!$B$43-B2767)-((R2739-1)*(IF(Inputs!$B$38="pvp",15,MAX(0.1,Skills!D8-IF(TRUE=TRUE,1.0,0)))*(1-IF(AND(ArtifactsInput!$M$27,Inputs!$B$4="Chapter Hunt"),CHOOSE(ArtifactsInput!$N$27+1,20,24,28,32,36,40),0)/100)))))/Skills!H8+0.000000001),1)))/Inputs!$B$43),G2739*Q2739))*IF(Inputs!$B$38="pvp",1,(1+(Inputs!$B$21+Skills!Q8+(((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Skills!G9*IF(Skills!H9&gt;0,INT(IF(Inputs!$B$38="pvp",MIN(Skills!I9,15),Skills!I9)/Skills!H9+0.000000001),1)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138,MAX(0,IF(Inputs!$B$3&gt;=118,8,IF(Inputs!$B$3&gt;=110,7,5))-5)*50,0),0)/100)*(1+(IF(Skills!A9="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IFERROR(1/(IF(Inputs!$B$38="pvp",15,MAX(0.1,Skills!D9-IF(TRUE=TRUE,1.0,0)))*(1-IF(AND(ArtifactsInput!$M$27,Inputs!$B$4="Chapter Hunt"),CHOOSE(ArtifactsInput!$N$27+1,20,24,28,32,36,40),0)/100)),0)</f>
        <v/>
      </c>
      <c r="R2740">
        <f>IF(AND(Inputs!$B$38&lt;&gt;"pvp",Inputs!$B$43&gt;0),IF(MAX(0,Inputs!$B$43-B2767)&lt;=0,0,(INT(MAX(0,Inputs!$B$43-B2767)/(IF(Inputs!$B$38="pvp",15,MAX(0.1,Skills!D9-IF(TRUE=TRUE,1.0,0)))*(1-IF(AND(ArtifactsInput!$M$27,Inputs!$B$4="Chapter Hunt"),CHOOSE(ArtifactsInput!$N$27+1,20,24,28,32,36,40),0)/100)))+1)),0)</f>
        <v/>
      </c>
      <c r="S2740">
        <f>IFERROR(O2740/N2740,0)</f>
        <v/>
      </c>
      <c r="T2740">
        <f>IF(C2740,(H2740*N2740*IF(AND(Inputs!$B$38&lt;&gt;"pvp",Inputs!$B$43&gt;0),((Skills!G9*((R2740-1)*IF(Skills!H9&gt;0,INT(Skills!I9/Skills!H9+0.000000001),1)+IF(Skills!H9&gt;0,INT(MIN(Skills!I9,MAX(0,MAX(0,Inputs!$B$43-B2767)-((R2740-1)*(IF(Inputs!$B$38="pvp",15,MAX(0.1,Skills!D9-IF(TRUE=TRUE,1.0,0)))*(1-IF(AND(ArtifactsInput!$M$27,Inputs!$B$4="Chapter Hunt"),CHOOSE(ArtifactsInput!$N$27+1,20,24,28,32,36,40),0)/100)))))/Skills!H9+0.000000001),1)))/Inputs!$B$43),G2740*Q2740))*IF(Inputs!$B$38="pvp",1,1+(Inputs!$B$20+0+Skills!P9+(((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INT(Skills!I9/Skills!H9+0.000000001),1)+IF(Skills!H9&gt;0,INT(MIN(Skills!I9,MAX(0,MAX(0,Inputs!$B$43-B2767)-((R2740-1)*(IF(Inputs!$B$38="pvp",15,MAX(0.1,Skills!D9-IF(TRUE=TRUE,1.0,0)))*(1-IF(AND(ArtifactsInput!$M$27,Inputs!$B$4="Chapter Hunt"),CHOOSE(ArtifactsInput!$N$27+1,20,24,28,32,36,40),0)/100)))))/Skills!H9+0.000000001),1)))/Inputs!$B$43),G2740*Q2740))*IF(Inputs!$B$38="pvp",1,(1+(Inputs!$B$21+Skills!Q9+(((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Skills!G10*IF(Skills!H10&gt;0,INT(IF(Inputs!$B$38="pvp",MIN(Skills!I10,15),Skills!I10)/Skills!H10+0.000000001),1)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138,MAX(0,IF(Inputs!$B$3&gt;=118,8,IF(Inputs!$B$3&gt;=110,7,5))-5)*50,0),0)/100)*(1+(IF(Skills!A10="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IFERROR(1/(IF(Inputs!$B$38="pvp",15,MAX(0.1,Skills!D10-IF(TRUE=TRUE,1.0,0)))*(1-IF(AND(ArtifactsInput!$M$27,Inputs!$B$4="Chapter Hunt"),CHOOSE(ArtifactsInput!$N$27+1,20,24,28,32,36,40),0)/100)),0)</f>
        <v/>
      </c>
      <c r="R2741">
        <f>IF(AND(Inputs!$B$38&lt;&gt;"pvp",Inputs!$B$43&gt;0),IF(MAX(0,Inputs!$B$43-B2767)&lt;=0,0,(INT(MAX(0,Inputs!$B$43-B2767)/(IF(Inputs!$B$38="pvp",15,MAX(0.1,Skills!D10-IF(TRUE=TRUE,1.0,0)))*(1-IF(AND(ArtifactsInput!$M$27,Inputs!$B$4="Chapter Hunt"),CHOOSE(ArtifactsInput!$N$27+1,20,24,28,32,36,40),0)/100)))+1)),0)</f>
        <v/>
      </c>
      <c r="S2741">
        <f>IFERROR(O2741/N2741,0)</f>
        <v/>
      </c>
      <c r="T2741">
        <f>IF(C2741,(H2741*N2741*IF(AND(Inputs!$B$38&lt;&gt;"pvp",Inputs!$B$43&gt;0),((Skills!G10*((R2741-1)*IF(Skills!H10&gt;0,INT(Skills!I10/Skills!H10+0.000000001),1)+IF(Skills!H10&gt;0,INT(MIN(Skills!I10,MAX(0,MAX(0,Inputs!$B$43-B2767)-((R2741-1)*(IF(Inputs!$B$38="pvp",15,MAX(0.1,Skills!D10-IF(TRUE=TRUE,1.0,0)))*(1-IF(AND(ArtifactsInput!$M$27,Inputs!$B$4="Chapter Hunt"),CHOOSE(ArtifactsInput!$N$27+1,20,24,28,32,36,40),0)/100)))))/Skills!H10+0.000000001),1)))/Inputs!$B$43),G2741*Q2741))*IF(Inputs!$B$38="pvp",1,1+(Inputs!$B$20+0+Skills!P10+(((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INT(Skills!I10/Skills!H10+0.000000001),1)+IF(Skills!H10&gt;0,INT(MIN(Skills!I10,MAX(0,MAX(0,Inputs!$B$43-B2767)-((R2741-1)*(IF(Inputs!$B$38="pvp",15,MAX(0.1,Skills!D10-IF(TRUE=TRUE,1.0,0)))*(1-IF(AND(ArtifactsInput!$M$27,Inputs!$B$4="Chapter Hunt"),CHOOSE(ArtifactsInput!$N$27+1,20,24,28,32,36,40),0)/100)))))/Skills!H10+0.000000001),1)))/Inputs!$B$43),G2741*Q2741))*IF(Inputs!$B$38="pvp",1,(1+(Inputs!$B$21+Skills!Q10+(((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Skills!G11*IF(Skills!H11&gt;0,INT(IF(Inputs!$B$38="pvp",MIN(Skills!I11,15),Skills!I11)/Skills!H11+0.000000001),1)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138,MAX(0,IF(Inputs!$B$3&gt;=118,8,IF(Inputs!$B$3&gt;=110,7,5))-5)*50,0),0)/100)*(1+(IF(Skills!A11="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IFERROR(1/(IF(Inputs!$B$38="pvp",15,MAX(0.1,Skills!D11-IF(TRUE=TRUE,1.0,0)))*(1-IF(AND(ArtifactsInput!$M$27,Inputs!$B$4="Chapter Hunt"),CHOOSE(ArtifactsInput!$N$27+1,20,24,28,32,36,40),0)/100)),0)</f>
        <v/>
      </c>
      <c r="R2742">
        <f>IF(AND(Inputs!$B$38&lt;&gt;"pvp",Inputs!$B$43&gt;0),IF(MAX(0,Inputs!$B$43-B2767)&lt;=0,0,(INT(MAX(0,Inputs!$B$43-B2767)/(IF(Inputs!$B$38="pvp",15,MAX(0.1,Skills!D11-IF(TRUE=TRUE,1.0,0)))*(1-IF(AND(ArtifactsInput!$M$27,Inputs!$B$4="Chapter Hunt"),CHOOSE(ArtifactsInput!$N$27+1,20,24,28,32,36,40),0)/100)))+1)),0)</f>
        <v/>
      </c>
      <c r="S2742">
        <f>IFERROR(O2742/N2742,0)</f>
        <v/>
      </c>
      <c r="T2742">
        <f>IF(C2742,(H2742*N2742*IF(AND(Inputs!$B$38&lt;&gt;"pvp",Inputs!$B$43&gt;0),((Skills!G11*((R2742-1)*IF(Skills!H11&gt;0,INT(Skills!I11/Skills!H11+0.000000001),1)+IF(Skills!H11&gt;0,INT(MIN(Skills!I11,MAX(0,MAX(0,Inputs!$B$43-B2767)-((R2742-1)*(IF(Inputs!$B$38="pvp",15,MAX(0.1,Skills!D11-IF(TRUE=TRUE,1.0,0)))*(1-IF(AND(ArtifactsInput!$M$27,Inputs!$B$4="Chapter Hunt"),CHOOSE(ArtifactsInput!$N$27+1,20,24,28,32,36,40),0)/100)))))/Skills!H11+0.000000001),1)))/Inputs!$B$43),G2742*Q2742))*IF(Inputs!$B$38="pvp",1,1+(Inputs!$B$20+0+Skills!P11+(((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INT(Skills!I11/Skills!H11+0.000000001),1)+IF(Skills!H11&gt;0,INT(MIN(Skills!I11,MAX(0,MAX(0,Inputs!$B$43-B2767)-((R2742-1)*(IF(Inputs!$B$38="pvp",15,MAX(0.1,Skills!D11-IF(TRUE=TRUE,1.0,0)))*(1-IF(AND(ArtifactsInput!$M$27,Inputs!$B$4="Chapter Hunt"),CHOOSE(ArtifactsInput!$N$27+1,20,24,28,32,36,40),0)/100)))))/Skills!H11+0.000000001),1)))/Inputs!$B$43),G2742*Q2742))*IF(Inputs!$B$38="pvp",1,(1+(Inputs!$B$21+Skills!Q11+(((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Skills!G13*IF(Skills!H13&gt;0,INT(IF(Inputs!$B$38="pvp",MIN(Skills!I13,15),Skills!I13)/Skills!H13+0.000000001),1)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Skills!G14*IF(Skills!H14&gt;0,INT(IF(Inputs!$B$38="pvp",MIN(Skills!I14,15),Skills!I14)/Skills!H14+0.000000001),1)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Skills!G15*IF(Skills!H15&gt;0,INT(IF(Inputs!$B$38="pvp",MIN(Skills!I15,15),Skills!I15)/Skills!H15+0.000000001),1)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IFERROR(1/(IF(Inputs!$B$38="pvp",15,MAX(0.1,Skills!D15-IF(TRUE=TRUE,1.0,0)))*(1-IF(AND(ArtifactsInput!$M$27,Inputs!$B$4="Chapter Hunt"),CHOOSE(ArtifactsInput!$N$27+1,20,24,28,32,36,40),0)/100)),0)</f>
        <v/>
      </c>
      <c r="R2746">
        <f>IF(AND(Inputs!$B$38&lt;&gt;"pvp",Inputs!$B$43&gt;0),IF(Inputs!$B$43&lt;=0,0,(INT(Inputs!$B$43/(IF(Inputs!$B$38="pvp",15,MAX(0.1,Skills!D15-IF(TRUE=TRUE,1.0,0)))*(1-IF(AND(ArtifactsInput!$M$27,Inputs!$B$4="Chapter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Skills!G16*IF(Skills!H16&gt;0,INT(IF(Inputs!$B$38="pvp",MIN(Skills!I16,15),Skills!I16)/Skills!H16+0.000000001),1)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IFERROR(1/(IF(Inputs!$B$38="pvp",15,MAX(0.1,Skills!D16-IF(TRUE=TRUE,1.0,0)))*(1-IF(AND(ArtifactsInput!$M$27,Inputs!$B$4="Chapter Hunt"),CHOOSE(ArtifactsInput!$N$27+1,20,24,28,32,36,40),0)/100)),0)</f>
        <v/>
      </c>
      <c r="R2747">
        <f>IF(AND(Inputs!$B$38&lt;&gt;"pvp",Inputs!$B$43&gt;0),IF(Inputs!$B$43&lt;=0,0,(INT(Inputs!$B$43/(IF(Inputs!$B$38="pvp",15,MAX(0.1,Skills!D16-IF(TRUE=TRUE,1.0,0)))*(1-IF(AND(ArtifactsInput!$M$27,Inputs!$B$4="Chapter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Skills!G17*IF(Skills!H17&gt;0,INT(IF(Inputs!$B$38="pvp",MIN(Skills!I17,15),Skills!I17)/Skills!H17+0.000000001),1)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IFERROR(1/(IF(Inputs!$B$38="pvp",15,MAX(0.1,Skills!D17-IF(TRUE=TRUE,1.0,0)))*(1-IF(AND(ArtifactsInput!$M$27,Inputs!$B$4="Chapter Hunt"),CHOOSE(ArtifactsInput!$N$27+1,20,24,28,32,36,40),0)/100)),0)</f>
        <v/>
      </c>
      <c r="R2748">
        <f>IF(AND(Inputs!$B$38&lt;&gt;"pvp",Inputs!$B$43&gt;0),IF(Inputs!$B$43&lt;=0,0,(INT(Inputs!$B$43/(IF(Inputs!$B$38="pvp",15,MAX(0.1,Skills!D17-IF(TRUE=TRUE,1.0,0)))*(1-IF(AND(ArtifactsInput!$M$27,Inputs!$B$4="Chapter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Skills!G18*IF(Skills!H18&gt;0,INT(IF(Inputs!$B$38="pvp",MIN(Skills!I18,15),Skills!I18)/Skills!H18+0.000000001),1)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IFERROR(1/(IF(Inputs!$B$38="pvp",15,MAX(0.1,Skills!D18-IF(TRUE=TRUE,1.0,0)))*(1-IF(AND(ArtifactsInput!$M$27,Inputs!$B$4="Chapter Hunt"),CHOOSE(ArtifactsInput!$N$27+1,20,24,28,32,36,40),0)/100)),0)</f>
        <v/>
      </c>
      <c r="R2749">
        <f>IF(AND(Inputs!$B$38&lt;&gt;"pvp",Inputs!$B$43&gt;0),IF(Inputs!$B$43&lt;=0,0,(INT(Inputs!$B$43/(IF(Inputs!$B$38="pvp",15,MAX(0.1,Skills!D18-IF(TRUE=TRUE,1.0,0)))*(1-IF(AND(ArtifactsInput!$M$27,Inputs!$B$4="Chapter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Skills!G19*IF(Skills!H19&gt;0,INT(IF(Inputs!$B$38="pvp",MIN(Skills!I19,15),Skills!I19)/Skills!H19+0.000000001),1)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IFERROR(1/(IF(Inputs!$B$38="pvp",15,MAX(0.1,Skills!D19-IF(TRUE=TRUE,1.0,0)))*(1-IF(AND(ArtifactsInput!$M$27,Inputs!$B$4="Chapter Hunt"),CHOOSE(ArtifactsInput!$N$27+1,20,24,28,32,36,40),0)/100)),0)</f>
        <v/>
      </c>
      <c r="R2750">
        <f>IF(AND(Inputs!$B$38&lt;&gt;"pvp",Inputs!$B$43&gt;0),IF(Inputs!$B$43&lt;=0,0,(INT(Inputs!$B$43/(IF(Inputs!$B$38="pvp",15,MAX(0.1,Skills!D19-IF(TRUE=TRUE,1.0,0)))*(1-IF(AND(ArtifactsInput!$M$27,Inputs!$B$4="Chapter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Skills!G20*IF(Skills!H20&gt;0,INT(IF(Inputs!$B$38="pvp",MIN(Skills!I20,15),Skills!I20)/Skills!H20+0.000000001),1)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Skills!G21*IF(Skills!H21&gt;0,INT(IF(Inputs!$B$38="pvp",MIN(Skills!I21,15),Skills!I21)/Skills!H21+0.000000001),1)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Skills!G22*IF(Skills!H22&gt;0,INT(IF(Inputs!$B$38="pvp",MIN(Skills!I22,15),Skills!I22)/Skills!H22+0.000000001),1)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Skills!G23*IF(Skills!H23&gt;0,INT(IF(Inputs!$B$38="pvp",MIN(Skills!I23,15),Skills!I23)/Skills!H23+0.000000001),1)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Skills!G24*IF(Skills!H24&gt;0,INT(IF(Inputs!$B$38="pvp",MIN(Skills!I24,15),Skills!I24)/Skills!H24+0.000000001),1)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Skills!G25*IF(Skills!H25&gt;0,INT(IF(Inputs!$B$38="pvp",MIN(Skills!I25,15),Skills!I25)/Skills!H25+0.000000001),1)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Skills!G26*IF(Skills!H26&gt;0,INT(IF(Inputs!$B$38="pvp",MIN(Skills!I26,15),Skills!I26)/Skills!H26+0.000000001),1)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MIN((Skills!T19*(1+(Inputs!$B$34+(ArtifactsInput!$M$7-ArtifactsInput!$M$7)*CHOOSE(ArtifactsInput!$N$7+1,6,7.2,8.4,9.6,10.8,12))/100)),(1/Q2750))+MIN((Skills!T19*(1+(Inputs!$B$34+(ArtifactsInput!$M$7-ArtifactsInput!$M$7)*CHOOSE(ArtifactsInput!$N$7+1,6,7.2,8.4,9.6,10.8,12))/100)),MAX(0,Inputs!$B$43-((R2750-1)*(1/Q2750)))))/Inputs!$B$43),IF(Inputs!$B$38="pvp",MIN((Skills!T19*(1+(Inputs!$B$34+(ArtifactsInput!$M$7-ArtifactsInput!$M$7)*CHOOSE(ArtifactsInput!$N$7+1,6,7.2,8.4,9.6,10.8,12))/100)),15)/15,MIN(1,(Skills!T19*(1+(Inputs!$B$34+(ArtifactsInput!$M$7-ArtifactsInput!$M$7)*CHOOSE(ArtifactsInput!$N$7+1,6,7.2,8.4,9.6,10.8,12))/100))/(1/Q2750)))))</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MIN((Skills!T18*(1+(Inputs!$B$34+(ArtifactsInput!$M$7-ArtifactsInput!$M$7)*CHOOSE(ArtifactsInput!$N$7+1,6,7.2,8.4,9.6,10.8,12))/100)),(1/Q2749))+MIN((Skills!T18*(1+(Inputs!$B$34+(ArtifactsInput!$M$7-ArtifactsInput!$M$7)*CHOOSE(ArtifactsInput!$N$7+1,6,7.2,8.4,9.6,10.8,12))/100)),MAX(0,Inputs!$B$43-((R2749-1)*(1/Q2749)))))/Inputs!$B$43),IF(Inputs!$B$38="pvp",MIN((Skills!T18*(1+(Inputs!$B$34+(ArtifactsInput!$M$7-ArtifactsInput!$M$7)*CHOOSE(ArtifactsInput!$N$7+1,6,7.2,8.4,9.6,10.8,12))/100)),15)/15,MIN(1,(Skills!T18*(1+(Inputs!$B$34+(ArtifactsInput!$M$7-ArtifactsInput!$M$7)*CHOOSE(ArtifactsInput!$N$7+1,6,7.2,8.4,9.6,10.8,12))/100))/(1/Q2749)))))</f>
        <v/>
      </c>
    </row>
    <row r="2766">
      <c r="A2766" t="inlineStr">
        <is>
          <t>Global Final Damage Bonus % (Enrage + Combo Synergy)</t>
        </is>
      </c>
      <c r="B2766">
        <f>((C2748=TRUE)*F2748*IF(AND(Inputs!$B$38&lt;&gt;"pvp",Inputs!$B$43&gt;0),(((R2748-1)*MIN((Skills!T17*(1+(Inputs!$B$34+(ArtifactsInput!$M$7-ArtifactsInput!$M$7)*CHOOSE(ArtifactsInput!$N$7+1,6,7.2,8.4,9.6,10.8,12))/100)),(1/Q2748))+MIN((Skills!T17*(1+(Inputs!$B$34+(ArtifactsInput!$M$7-ArtifactsInput!$M$7)*CHOOSE(ArtifactsInput!$N$7+1,6,7.2,8.4,9.6,10.8,12))/100)),MAX(0,Inputs!$B$43-((R2748-1)*(1/Q2748)))))/Inputs!$B$43),IF(Inputs!$B$38="pvp",MIN((Skills!T17*(1+(Inputs!$B$34+(ArtifactsInput!$M$7-ArtifactsInput!$M$7)*CHOOSE(ArtifactsInput!$N$7+1,6,7.2,8.4,9.6,10.8,12))/100)),15)/15,MIN(1,(Skills!T17*(1+(Inputs!$B$34+(ArtifactsInput!$M$7-ArtifactsInput!$M$7)*CHOOSE(ArtifactsInput!$N$7+1,6,7.2,8.4,9.6,10.8,12))/100))/(1/Q2748)))))+((C2745=TRUE)*F2745*IF(Inputs!$B$3&gt;=118,8,IF(Inputs!$B$3&gt;=110,7,5)))+IF(Inputs!$B$3&gt;=98,5,0)</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Skills!G2*IF(Skills!H2&gt;0,INT(IF(Inputs!$B$38="pvp",MIN(Skills!I2,15),Skills!I2)/Skills!H2+0.000000001),1)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Skills!G5*IF(Skills!H5&gt;0,INT(IF(Inputs!$B$38="pvp",MIN(Skills!I5,15),Skills!I5)/Skills!H5+0.000000001),1)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IFERROR(1/(IF(Inputs!$B$38="pvp",15,MAX(0.1,Skills!D5-IF(TRUE=TRUE,1.5,0)))*(1-IF(AND(ArtifactsInput!$M$27,Inputs!$B$4="Chapter Hunt"),CHOOSE(ArtifactsInput!$N$27+1,20,24,28,32,36,40),0)/100)),0)</f>
        <v/>
      </c>
      <c r="R2778">
        <f>IF(AND(Inputs!$B$38&lt;&gt;"pvp",Inputs!$B$43&gt;0),IF(MAX(0,Inputs!$B$43-B2809)&lt;=0,0,(INT(MAX(0,Inputs!$B$43-B2809)/(IF(Inputs!$B$38="pvp",15,MAX(0.1,Skills!D5-IF(TRUE=TRUE,1.5,0)))*(1-IF(AND(ArtifactsInput!$M$27,Inputs!$B$4="Chapter Hunt"),CHOOSE(ArtifactsInput!$N$27+1,20,24,28,32,36,40),0)/100)))+1)),0)</f>
        <v/>
      </c>
      <c r="S2778">
        <f>IFERROR(O2778/N2778,0)</f>
        <v/>
      </c>
      <c r="T2778">
        <f>IF(C2778,(H2778*N2778*IF(AND(Inputs!$B$38&lt;&gt;"pvp",Inputs!$B$43&gt;0),((Skills!G5*((R2778-1)*IF(Skills!H5&gt;0,INT(Skills!I5/Skills!H5+0.000000001),1)+IF(Skills!H5&gt;0,INT(MIN(Skills!I5,MAX(0,MAX(0,Inputs!$B$43-B2809)-((R2778-1)*(IF(Inputs!$B$38="pvp",15,MAX(0.1,Skills!D5-IF(TRUE=TRUE,1.5,0)))*(1-IF(AND(ArtifactsInput!$M$27,Inputs!$B$4="Chapter Hunt"),CHOOSE(ArtifactsInput!$N$27+1,20,24,28,32,36,40),0)/100)))))/Skills!H5+0.000000001),1)))/Inputs!$B$43),G2778*Q2778))*IF(Inputs!$B$38="pvp",1,1+(Inputs!$B$20+0+Skills!P5+(((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INT(Skills!I5/Skills!H5+0.000000001),1)+IF(Skills!H5&gt;0,INT(MIN(Skills!I5,MAX(0,MAX(0,Inputs!$B$43-B2809)-((R2778-1)*(IF(Inputs!$B$38="pvp",15,MAX(0.1,Skills!D5-IF(TRUE=TRUE,1.5,0)))*(1-IF(AND(ArtifactsInput!$M$27,Inputs!$B$4="Chapter Hunt"),CHOOSE(ArtifactsInput!$N$27+1,20,24,28,32,36,40),0)/100)))))/Skills!H5+0.000000001),1)))/Inputs!$B$43),G2778*Q2778))*IF(Inputs!$B$38="pvp",1,(1+(Inputs!$B$21+Skills!Q5+(((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Skills!G6*IF(Skills!H6&gt;0,INT(IF(Inputs!$B$38="pvp",MIN(Skills!I6,15),Skills!I6)/Skills!H6+0.000000001),1)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IFERROR(1/(IF(Inputs!$B$38="pvp",15,MAX(0.1,Skills!D6-IF(TRUE=TRUE,1.5,0)))*(1-IF(AND(ArtifactsInput!$M$27,Inputs!$B$4="Chapter Hunt"),CHOOSE(ArtifactsInput!$N$27+1,20,24,28,32,36,40),0)/100)),0)</f>
        <v/>
      </c>
      <c r="R2779">
        <f>IF(AND(Inputs!$B$38&lt;&gt;"pvp",Inputs!$B$43&gt;0),IF(MAX(0,Inputs!$B$43-B2809)&lt;=0,0,(INT(MAX(0,Inputs!$B$43-B2809)/(IF(Inputs!$B$38="pvp",15,MAX(0.1,Skills!D6-IF(TRUE=TRUE,1.5,0)))*(1-IF(AND(ArtifactsInput!$M$27,Inputs!$B$4="Chapter Hunt"),CHOOSE(ArtifactsInput!$N$27+1,20,24,28,32,36,40),0)/100)))+1)),0)</f>
        <v/>
      </c>
      <c r="S2779">
        <f>IFERROR(O2779/N2779,0)</f>
        <v/>
      </c>
      <c r="T2779">
        <f>IF(C2779,(H2779*N2779*IF(AND(Inputs!$B$38&lt;&gt;"pvp",Inputs!$B$43&gt;0),((Skills!G6*((R2779-1)*IF(Skills!H6&gt;0,INT(Skills!I6/Skills!H6+0.000000001),1)+IF(Skills!H6&gt;0,INT(MIN(Skills!I6,MAX(0,MAX(0,Inputs!$B$43-B2809)-((R2779-1)*(IF(Inputs!$B$38="pvp",15,MAX(0.1,Skills!D6-IF(TRUE=TRUE,1.5,0)))*(1-IF(AND(ArtifactsInput!$M$27,Inputs!$B$4="Chapter Hunt"),CHOOSE(ArtifactsInput!$N$27+1,20,24,28,32,36,40),0)/100)))))/Skills!H6+0.000000001),1)))/Inputs!$B$43),G2779*Q2779))*IF(Inputs!$B$38="pvp",1,1+(Inputs!$B$20+0+Skills!P6+(((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INT(Skills!I6/Skills!H6+0.000000001),1)+IF(Skills!H6&gt;0,INT(MIN(Skills!I6,MAX(0,MAX(0,Inputs!$B$43-B2809)-((R2779-1)*(IF(Inputs!$B$38="pvp",15,MAX(0.1,Skills!D6-IF(TRUE=TRUE,1.5,0)))*(1-IF(AND(ArtifactsInput!$M$27,Inputs!$B$4="Chapter Hunt"),CHOOSE(ArtifactsInput!$N$27+1,20,24,28,32,36,40),0)/100)))))/Skills!H6+0.000000001),1)))/Inputs!$B$43),G2779*Q2779))*IF(Inputs!$B$38="pvp",1,(1+(Inputs!$B$21+Skills!Q6+(((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Skills!G7*IF(Skills!H7&gt;0,INT(IF(Inputs!$B$38="pvp",MIN(Skills!I7,15),Skills!I7)/Skills!H7+0.000000001),1)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IFERROR(1/(IF(Inputs!$B$38="pvp",15,MAX(0.1,Skills!D7-IF(TRUE=TRUE,1.5,0)))*(1-IF(AND(ArtifactsInput!$M$27,Inputs!$B$4="Chapter Hunt"),CHOOSE(ArtifactsInput!$N$27+1,20,24,28,32,36,40),0)/100)),0)</f>
        <v/>
      </c>
      <c r="R2780">
        <f>IF(AND(Inputs!$B$38&lt;&gt;"pvp",Inputs!$B$43&gt;0),IF(MAX(0,Inputs!$B$43-B2809)&lt;=0,0,(INT(MAX(0,Inputs!$B$43-B2809)/(IF(Inputs!$B$38="pvp",15,MAX(0.1,Skills!D7-IF(TRUE=TRUE,1.5,0)))*(1-IF(AND(ArtifactsInput!$M$27,Inputs!$B$4="Chapter Hunt"),CHOOSE(ArtifactsInput!$N$27+1,20,24,28,32,36,40),0)/100)))+1)),0)</f>
        <v/>
      </c>
      <c r="S2780">
        <f>IFERROR(O2780/N2780,0)</f>
        <v/>
      </c>
      <c r="T2780">
        <f>IF(C2780,(H2780*N2780*IF(AND(Inputs!$B$38&lt;&gt;"pvp",Inputs!$B$43&gt;0),((Skills!G7*((R2780-1)*IF(Skills!H7&gt;0,INT(Skills!I7/Skills!H7+0.000000001),1)+IF(Skills!H7&gt;0,INT(MIN(Skills!I7,MAX(0,MAX(0,Inputs!$B$43-B2809)-((R2780-1)*(IF(Inputs!$B$38="pvp",15,MAX(0.1,Skills!D7-IF(TRUE=TRUE,1.5,0)))*(1-IF(AND(ArtifactsInput!$M$27,Inputs!$B$4="Chapter Hunt"),CHOOSE(ArtifactsInput!$N$27+1,20,24,28,32,36,40),0)/100)))))/Skills!H7+0.000000001),1)))/Inputs!$B$43),G2780*Q2780))*IF(Inputs!$B$38="pvp",1,1+(Inputs!$B$20+0+Skills!P7+(((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INT(Skills!I7/Skills!H7+0.000000001),1)+IF(Skills!H7&gt;0,INT(MIN(Skills!I7,MAX(0,MAX(0,Inputs!$B$43-B2809)-((R2780-1)*(IF(Inputs!$B$38="pvp",15,MAX(0.1,Skills!D7-IF(TRUE=TRUE,1.5,0)))*(1-IF(AND(ArtifactsInput!$M$27,Inputs!$B$4="Chapter Hunt"),CHOOSE(ArtifactsInput!$N$27+1,20,24,28,32,36,40),0)/100)))))/Skills!H7+0.000000001),1)))/Inputs!$B$43),G2780*Q2780))*IF(Inputs!$B$38="pvp",1,(1+(Inputs!$B$21+Skills!Q7+(((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Skills!G8*IF(Skills!H8&gt;0,INT(IF(Inputs!$B$38="pvp",MIN(Skills!I8,15),Skills!I8)/Skills!H8+0.000000001),1)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IFERROR(1/(IF(Inputs!$B$38="pvp",15,MAX(0.1,Skills!D8-IF(TRUE=TRUE,1.5,0)))*(1-IF(AND(ArtifactsInput!$M$27,Inputs!$B$4="Chapter Hunt"),CHOOSE(ArtifactsInput!$N$27+1,20,24,28,32,36,40),0)/100)),0)</f>
        <v/>
      </c>
      <c r="R2781">
        <f>IF(AND(Inputs!$B$38&lt;&gt;"pvp",Inputs!$B$43&gt;0),IF(MAX(0,Inputs!$B$43-B2809)&lt;=0,0,(INT(MAX(0,Inputs!$B$43-B2809)/(IF(Inputs!$B$38="pvp",15,MAX(0.1,Skills!D8-IF(TRUE=TRUE,1.5,0)))*(1-IF(AND(ArtifactsInput!$M$27,Inputs!$B$4="Chapter Hunt"),CHOOSE(ArtifactsInput!$N$27+1,20,24,28,32,36,40),0)/100)))+1)),0)</f>
        <v/>
      </c>
      <c r="S2781">
        <f>IFERROR(O2781/N2781,0)</f>
        <v/>
      </c>
      <c r="T2781">
        <f>IF(C2781,(H2781*N2781*IF(AND(Inputs!$B$38&lt;&gt;"pvp",Inputs!$B$43&gt;0),((Skills!G8*((R2781-1)*IF(Skills!H8&gt;0,INT(Skills!I8/Skills!H8+0.000000001),1)+IF(Skills!H8&gt;0,INT(MIN(Skills!I8,MAX(0,MAX(0,Inputs!$B$43-B2809)-((R2781-1)*(IF(Inputs!$B$38="pvp",15,MAX(0.1,Skills!D8-IF(TRUE=TRUE,1.5,0)))*(1-IF(AND(ArtifactsInput!$M$27,Inputs!$B$4="Chapter Hunt"),CHOOSE(ArtifactsInput!$N$27+1,20,24,28,32,36,40),0)/100)))))/Skills!H8+0.000000001),1)))/Inputs!$B$43),G2781*Q2781))*IF(Inputs!$B$38="pvp",1,1+(Inputs!$B$20+0+Skills!P8+(((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INT(Skills!I8/Skills!H8+0.000000001),1)+IF(Skills!H8&gt;0,INT(MIN(Skills!I8,MAX(0,MAX(0,Inputs!$B$43-B2809)-((R2781-1)*(IF(Inputs!$B$38="pvp",15,MAX(0.1,Skills!D8-IF(TRUE=TRUE,1.5,0)))*(1-IF(AND(ArtifactsInput!$M$27,Inputs!$B$4="Chapter Hunt"),CHOOSE(ArtifactsInput!$N$27+1,20,24,28,32,36,40),0)/100)))))/Skills!H8+0.000000001),1)))/Inputs!$B$43),G2781*Q2781))*IF(Inputs!$B$38="pvp",1,(1+(Inputs!$B$21+Skills!Q8+(((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Skills!G9*IF(Skills!H9&gt;0,INT(IF(Inputs!$B$38="pvp",MIN(Skills!I9,15),Skills!I9)/Skills!H9+0.000000001),1)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138,MAX(0,IF(Inputs!$B$3&gt;=118,8,IF(Inputs!$B$3&gt;=110,7,5))-5)*50,0),0)/100)*(1+(IF(Skills!A9="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IFERROR(1/(IF(Inputs!$B$38="pvp",15,MAX(0.1,Skills!D9-IF(TRUE=TRUE,1.5,0)))*(1-IF(AND(ArtifactsInput!$M$27,Inputs!$B$4="Chapter Hunt"),CHOOSE(ArtifactsInput!$N$27+1,20,24,28,32,36,40),0)/100)),0)</f>
        <v/>
      </c>
      <c r="R2782">
        <f>IF(AND(Inputs!$B$38&lt;&gt;"pvp",Inputs!$B$43&gt;0),IF(MAX(0,Inputs!$B$43-B2809)&lt;=0,0,(INT(MAX(0,Inputs!$B$43-B2809)/(IF(Inputs!$B$38="pvp",15,MAX(0.1,Skills!D9-IF(TRUE=TRUE,1.5,0)))*(1-IF(AND(ArtifactsInput!$M$27,Inputs!$B$4="Chapter Hunt"),CHOOSE(ArtifactsInput!$N$27+1,20,24,28,32,36,40),0)/100)))+1)),0)</f>
        <v/>
      </c>
      <c r="S2782">
        <f>IFERROR(O2782/N2782,0)</f>
        <v/>
      </c>
      <c r="T2782">
        <f>IF(C2782,(H2782*N2782*IF(AND(Inputs!$B$38&lt;&gt;"pvp",Inputs!$B$43&gt;0),((Skills!G9*((R2782-1)*IF(Skills!H9&gt;0,INT(Skills!I9/Skills!H9+0.000000001),1)+IF(Skills!H9&gt;0,INT(MIN(Skills!I9,MAX(0,MAX(0,Inputs!$B$43-B2809)-((R2782-1)*(IF(Inputs!$B$38="pvp",15,MAX(0.1,Skills!D9-IF(TRUE=TRUE,1.5,0)))*(1-IF(AND(ArtifactsInput!$M$27,Inputs!$B$4="Chapter Hunt"),CHOOSE(ArtifactsInput!$N$27+1,20,24,28,32,36,40),0)/100)))))/Skills!H9+0.000000001),1)))/Inputs!$B$43),G2782*Q2782))*IF(Inputs!$B$38="pvp",1,1+(Inputs!$B$20+0+Skills!P9+(((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INT(Skills!I9/Skills!H9+0.000000001),1)+IF(Skills!H9&gt;0,INT(MIN(Skills!I9,MAX(0,MAX(0,Inputs!$B$43-B2809)-((R2782-1)*(IF(Inputs!$B$38="pvp",15,MAX(0.1,Skills!D9-IF(TRUE=TRUE,1.5,0)))*(1-IF(AND(ArtifactsInput!$M$27,Inputs!$B$4="Chapter Hunt"),CHOOSE(ArtifactsInput!$N$27+1,20,24,28,32,36,40),0)/100)))))/Skills!H9+0.000000001),1)))/Inputs!$B$43),G2782*Q2782))*IF(Inputs!$B$38="pvp",1,(1+(Inputs!$B$21+Skills!Q9+(((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Skills!G10*IF(Skills!H10&gt;0,INT(IF(Inputs!$B$38="pvp",MIN(Skills!I10,15),Skills!I10)/Skills!H10+0.000000001),1)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138,MAX(0,IF(Inputs!$B$3&gt;=118,8,IF(Inputs!$B$3&gt;=110,7,5))-5)*50,0),0)/100)*(1+(IF(Skills!A10="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IFERROR(1/(IF(Inputs!$B$38="pvp",15,MAX(0.1,Skills!D10-IF(TRUE=TRUE,1.5,0)))*(1-IF(AND(ArtifactsInput!$M$27,Inputs!$B$4="Chapter Hunt"),CHOOSE(ArtifactsInput!$N$27+1,20,24,28,32,36,40),0)/100)),0)</f>
        <v/>
      </c>
      <c r="R2783">
        <f>IF(AND(Inputs!$B$38&lt;&gt;"pvp",Inputs!$B$43&gt;0),IF(MAX(0,Inputs!$B$43-B2809)&lt;=0,0,(INT(MAX(0,Inputs!$B$43-B2809)/(IF(Inputs!$B$38="pvp",15,MAX(0.1,Skills!D10-IF(TRUE=TRUE,1.5,0)))*(1-IF(AND(ArtifactsInput!$M$27,Inputs!$B$4="Chapter Hunt"),CHOOSE(ArtifactsInput!$N$27+1,20,24,28,32,36,40),0)/100)))+1)),0)</f>
        <v/>
      </c>
      <c r="S2783">
        <f>IFERROR(O2783/N2783,0)</f>
        <v/>
      </c>
      <c r="T2783">
        <f>IF(C2783,(H2783*N2783*IF(AND(Inputs!$B$38&lt;&gt;"pvp",Inputs!$B$43&gt;0),((Skills!G10*((R2783-1)*IF(Skills!H10&gt;0,INT(Skills!I10/Skills!H10+0.000000001),1)+IF(Skills!H10&gt;0,INT(MIN(Skills!I10,MAX(0,MAX(0,Inputs!$B$43-B2809)-((R2783-1)*(IF(Inputs!$B$38="pvp",15,MAX(0.1,Skills!D10-IF(TRUE=TRUE,1.5,0)))*(1-IF(AND(ArtifactsInput!$M$27,Inputs!$B$4="Chapter Hunt"),CHOOSE(ArtifactsInput!$N$27+1,20,24,28,32,36,40),0)/100)))))/Skills!H10+0.000000001),1)))/Inputs!$B$43),G2783*Q2783))*IF(Inputs!$B$38="pvp",1,1+(Inputs!$B$20+0+Skills!P10+(((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INT(Skills!I10/Skills!H10+0.000000001),1)+IF(Skills!H10&gt;0,INT(MIN(Skills!I10,MAX(0,MAX(0,Inputs!$B$43-B2809)-((R2783-1)*(IF(Inputs!$B$38="pvp",15,MAX(0.1,Skills!D10-IF(TRUE=TRUE,1.5,0)))*(1-IF(AND(ArtifactsInput!$M$27,Inputs!$B$4="Chapter Hunt"),CHOOSE(ArtifactsInput!$N$27+1,20,24,28,32,36,40),0)/100)))))/Skills!H10+0.000000001),1)))/Inputs!$B$43),G2783*Q2783))*IF(Inputs!$B$38="pvp",1,(1+(Inputs!$B$21+Skills!Q10+(((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Skills!G11*IF(Skills!H11&gt;0,INT(IF(Inputs!$B$38="pvp",MIN(Skills!I11,15),Skills!I11)/Skills!H11+0.000000001),1)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138,MAX(0,IF(Inputs!$B$3&gt;=118,8,IF(Inputs!$B$3&gt;=110,7,5))-5)*50,0),0)/100)*(1+(IF(Skills!A11="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IFERROR(1/(IF(Inputs!$B$38="pvp",15,MAX(0.1,Skills!D11-IF(TRUE=TRUE,1.5,0)))*(1-IF(AND(ArtifactsInput!$M$27,Inputs!$B$4="Chapter Hunt"),CHOOSE(ArtifactsInput!$N$27+1,20,24,28,32,36,40),0)/100)),0)</f>
        <v/>
      </c>
      <c r="R2784">
        <f>IF(AND(Inputs!$B$38&lt;&gt;"pvp",Inputs!$B$43&gt;0),IF(MAX(0,Inputs!$B$43-B2809)&lt;=0,0,(INT(MAX(0,Inputs!$B$43-B2809)/(IF(Inputs!$B$38="pvp",15,MAX(0.1,Skills!D11-IF(TRUE=TRUE,1.5,0)))*(1-IF(AND(ArtifactsInput!$M$27,Inputs!$B$4="Chapter Hunt"),CHOOSE(ArtifactsInput!$N$27+1,20,24,28,32,36,40),0)/100)))+1)),0)</f>
        <v/>
      </c>
      <c r="S2784">
        <f>IFERROR(O2784/N2784,0)</f>
        <v/>
      </c>
      <c r="T2784">
        <f>IF(C2784,(H2784*N2784*IF(AND(Inputs!$B$38&lt;&gt;"pvp",Inputs!$B$43&gt;0),((Skills!G11*((R2784-1)*IF(Skills!H11&gt;0,INT(Skills!I11/Skills!H11+0.000000001),1)+IF(Skills!H11&gt;0,INT(MIN(Skills!I11,MAX(0,MAX(0,Inputs!$B$43-B2809)-((R2784-1)*(IF(Inputs!$B$38="pvp",15,MAX(0.1,Skills!D11-IF(TRUE=TRUE,1.5,0)))*(1-IF(AND(ArtifactsInput!$M$27,Inputs!$B$4="Chapter Hunt"),CHOOSE(ArtifactsInput!$N$27+1,20,24,28,32,36,40),0)/100)))))/Skills!H11+0.000000001),1)))/Inputs!$B$43),G2784*Q2784))*IF(Inputs!$B$38="pvp",1,1+(Inputs!$B$20+0+Skills!P11+(((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INT(Skills!I11/Skills!H11+0.000000001),1)+IF(Skills!H11&gt;0,INT(MIN(Skills!I11,MAX(0,MAX(0,Inputs!$B$43-B2809)-((R2784-1)*(IF(Inputs!$B$38="pvp",15,MAX(0.1,Skills!D11-IF(TRUE=TRUE,1.5,0)))*(1-IF(AND(ArtifactsInput!$M$27,Inputs!$B$4="Chapter Hunt"),CHOOSE(ArtifactsInput!$N$27+1,20,24,28,32,36,40),0)/100)))))/Skills!H11+0.000000001),1)))/Inputs!$B$43),G2784*Q2784))*IF(Inputs!$B$38="pvp",1,(1+(Inputs!$B$21+Skills!Q11+(((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Skills!G13*IF(Skills!H13&gt;0,INT(IF(Inputs!$B$38="pvp",MIN(Skills!I13,15),Skills!I13)/Skills!H13+0.000000001),1)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Skills!G14*IF(Skills!H14&gt;0,INT(IF(Inputs!$B$38="pvp",MIN(Skills!I14,15),Skills!I14)/Skills!H14+0.000000001),1)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Skills!G15*IF(Skills!H15&gt;0,INT(IF(Inputs!$B$38="pvp",MIN(Skills!I15,15),Skills!I15)/Skills!H15+0.000000001),1)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IFERROR(1/(IF(Inputs!$B$38="pvp",15,MAX(0.1,Skills!D15-IF(TRUE=TRUE,1.5,0)))*(1-IF(AND(ArtifactsInput!$M$27,Inputs!$B$4="Chapter Hunt"),CHOOSE(ArtifactsInput!$N$27+1,20,24,28,32,36,40),0)/100)),0)</f>
        <v/>
      </c>
      <c r="R2788">
        <f>IF(AND(Inputs!$B$38&lt;&gt;"pvp",Inputs!$B$43&gt;0),IF(Inputs!$B$43&lt;=0,0,(INT(Inputs!$B$43/(IF(Inputs!$B$38="pvp",15,MAX(0.1,Skills!D15-IF(TRUE=TRUE,1.5,0)))*(1-IF(AND(ArtifactsInput!$M$27,Inputs!$B$4="Chapter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Skills!G16*IF(Skills!H16&gt;0,INT(IF(Inputs!$B$38="pvp",MIN(Skills!I16,15),Skills!I16)/Skills!H16+0.000000001),1)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IFERROR(1/(IF(Inputs!$B$38="pvp",15,MAX(0.1,Skills!D16-IF(TRUE=TRUE,1.5,0)))*(1-IF(AND(ArtifactsInput!$M$27,Inputs!$B$4="Chapter Hunt"),CHOOSE(ArtifactsInput!$N$27+1,20,24,28,32,36,40),0)/100)),0)</f>
        <v/>
      </c>
      <c r="R2789">
        <f>IF(AND(Inputs!$B$38&lt;&gt;"pvp",Inputs!$B$43&gt;0),IF(Inputs!$B$43&lt;=0,0,(INT(Inputs!$B$43/(IF(Inputs!$B$38="pvp",15,MAX(0.1,Skills!D16-IF(TRUE=TRUE,1.5,0)))*(1-IF(AND(ArtifactsInput!$M$27,Inputs!$B$4="Chapter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Skills!G17*IF(Skills!H17&gt;0,INT(IF(Inputs!$B$38="pvp",MIN(Skills!I17,15),Skills!I17)/Skills!H17+0.000000001),1)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IFERROR(1/(IF(Inputs!$B$38="pvp",15,MAX(0.1,Skills!D17-IF(TRUE=TRUE,1.5,0)))*(1-IF(AND(ArtifactsInput!$M$27,Inputs!$B$4="Chapter Hunt"),CHOOSE(ArtifactsInput!$N$27+1,20,24,28,32,36,40),0)/100)),0)</f>
        <v/>
      </c>
      <c r="R2790">
        <f>IF(AND(Inputs!$B$38&lt;&gt;"pvp",Inputs!$B$43&gt;0),IF(Inputs!$B$43&lt;=0,0,(INT(Inputs!$B$43/(IF(Inputs!$B$38="pvp",15,MAX(0.1,Skills!D17-IF(TRUE=TRUE,1.5,0)))*(1-IF(AND(ArtifactsInput!$M$27,Inputs!$B$4="Chapter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Skills!G18*IF(Skills!H18&gt;0,INT(IF(Inputs!$B$38="pvp",MIN(Skills!I18,15),Skills!I18)/Skills!H18+0.000000001),1)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IFERROR(1/(IF(Inputs!$B$38="pvp",15,MAX(0.1,Skills!D18-IF(TRUE=TRUE,1.5,0)))*(1-IF(AND(ArtifactsInput!$M$27,Inputs!$B$4="Chapter Hunt"),CHOOSE(ArtifactsInput!$N$27+1,20,24,28,32,36,40),0)/100)),0)</f>
        <v/>
      </c>
      <c r="R2791">
        <f>IF(AND(Inputs!$B$38&lt;&gt;"pvp",Inputs!$B$43&gt;0),IF(Inputs!$B$43&lt;=0,0,(INT(Inputs!$B$43/(IF(Inputs!$B$38="pvp",15,MAX(0.1,Skills!D18-IF(TRUE=TRUE,1.5,0)))*(1-IF(AND(ArtifactsInput!$M$27,Inputs!$B$4="Chapter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Skills!G19*IF(Skills!H19&gt;0,INT(IF(Inputs!$B$38="pvp",MIN(Skills!I19,15),Skills!I19)/Skills!H19+0.000000001),1)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IFERROR(1/(IF(Inputs!$B$38="pvp",15,MAX(0.1,Skills!D19-IF(TRUE=TRUE,1.5,0)))*(1-IF(AND(ArtifactsInput!$M$27,Inputs!$B$4="Chapter Hunt"),CHOOSE(ArtifactsInput!$N$27+1,20,24,28,32,36,40),0)/100)),0)</f>
        <v/>
      </c>
      <c r="R2792">
        <f>IF(AND(Inputs!$B$38&lt;&gt;"pvp",Inputs!$B$43&gt;0),IF(Inputs!$B$43&lt;=0,0,(INT(Inputs!$B$43/(IF(Inputs!$B$38="pvp",15,MAX(0.1,Skills!D19-IF(TRUE=TRUE,1.5,0)))*(1-IF(AND(ArtifactsInput!$M$27,Inputs!$B$4="Chapter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Skills!G20*IF(Skills!H20&gt;0,INT(IF(Inputs!$B$38="pvp",MIN(Skills!I20,15),Skills!I20)/Skills!H20+0.000000001),1)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Skills!G21*IF(Skills!H21&gt;0,INT(IF(Inputs!$B$38="pvp",MIN(Skills!I21,15),Skills!I21)/Skills!H21+0.000000001),1)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Skills!G22*IF(Skills!H22&gt;0,INT(IF(Inputs!$B$38="pvp",MIN(Skills!I22,15),Skills!I22)/Skills!H22+0.000000001),1)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Skills!G23*IF(Skills!H23&gt;0,INT(IF(Inputs!$B$38="pvp",MIN(Skills!I23,15),Skills!I23)/Skills!H23+0.000000001),1)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Skills!G24*IF(Skills!H24&gt;0,INT(IF(Inputs!$B$38="pvp",MIN(Skills!I24,15),Skills!I24)/Skills!H24+0.000000001),1)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Skills!G25*IF(Skills!H25&gt;0,INT(IF(Inputs!$B$38="pvp",MIN(Skills!I25,15),Skills!I25)/Skills!H25+0.000000001),1)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Skills!G26*IF(Skills!H26&gt;0,INT(IF(Inputs!$B$38="pvp",MIN(Skills!I26,15),Skills!I26)/Skills!H26+0.000000001),1)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MIN((Skills!T19*(1+(Inputs!$B$34+(ArtifactsInput!$M$7-ArtifactsInput!$M$7)*CHOOSE(ArtifactsInput!$N$7+1,6,7.2,8.4,9.6,10.8,12))/100)),(1/Q2792))+MIN((Skills!T19*(1+(Inputs!$B$34+(ArtifactsInput!$M$7-ArtifactsInput!$M$7)*CHOOSE(ArtifactsInput!$N$7+1,6,7.2,8.4,9.6,10.8,12))/100)),MAX(0,Inputs!$B$43-((R2792-1)*(1/Q2792)))))/Inputs!$B$43),IF(Inputs!$B$38="pvp",MIN((Skills!T19*(1+(Inputs!$B$34+(ArtifactsInput!$M$7-ArtifactsInput!$M$7)*CHOOSE(ArtifactsInput!$N$7+1,6,7.2,8.4,9.6,10.8,12))/100)),15)/15,MIN(1,(Skills!T19*(1+(Inputs!$B$34+(ArtifactsInput!$M$7-ArtifactsInput!$M$7)*CHOOSE(ArtifactsInput!$N$7+1,6,7.2,8.4,9.6,10.8,12))/100))/(1/Q2792)))))</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MIN((Skills!T18*(1+(Inputs!$B$34+(ArtifactsInput!$M$7-ArtifactsInput!$M$7)*CHOOSE(ArtifactsInput!$N$7+1,6,7.2,8.4,9.6,10.8,12))/100)),(1/Q2791))+MIN((Skills!T18*(1+(Inputs!$B$34+(ArtifactsInput!$M$7-ArtifactsInput!$M$7)*CHOOSE(ArtifactsInput!$N$7+1,6,7.2,8.4,9.6,10.8,12))/100)),MAX(0,Inputs!$B$43-((R2791-1)*(1/Q2791)))))/Inputs!$B$43),IF(Inputs!$B$38="pvp",MIN((Skills!T18*(1+(Inputs!$B$34+(ArtifactsInput!$M$7-ArtifactsInput!$M$7)*CHOOSE(ArtifactsInput!$N$7+1,6,7.2,8.4,9.6,10.8,12))/100)),15)/15,MIN(1,(Skills!T18*(1+(Inputs!$B$34+(ArtifactsInput!$M$7-ArtifactsInput!$M$7)*CHOOSE(ArtifactsInput!$N$7+1,6,7.2,8.4,9.6,10.8,12))/100))/(1/Q2791)))))</f>
        <v/>
      </c>
    </row>
    <row r="2808">
      <c r="A2808" t="inlineStr">
        <is>
          <t>Global Final Damage Bonus % (Enrage + Combo Synergy)</t>
        </is>
      </c>
      <c r="B2808">
        <f>((C2790=TRUE)*F2790*IF(AND(Inputs!$B$38&lt;&gt;"pvp",Inputs!$B$43&gt;0),(((R2790-1)*MIN((Skills!T17*(1+(Inputs!$B$34+(ArtifactsInput!$M$7-ArtifactsInput!$M$7)*CHOOSE(ArtifactsInput!$N$7+1,6,7.2,8.4,9.6,10.8,12))/100)),(1/Q2790))+MIN((Skills!T17*(1+(Inputs!$B$34+(ArtifactsInput!$M$7-ArtifactsInput!$M$7)*CHOOSE(ArtifactsInput!$N$7+1,6,7.2,8.4,9.6,10.8,12))/100)),MAX(0,Inputs!$B$43-((R2790-1)*(1/Q2790)))))/Inputs!$B$43),IF(Inputs!$B$38="pvp",MIN((Skills!T17*(1+(Inputs!$B$34+(ArtifactsInput!$M$7-ArtifactsInput!$M$7)*CHOOSE(ArtifactsInput!$N$7+1,6,7.2,8.4,9.6,10.8,12))/100)),15)/15,MIN(1,(Skills!T17*(1+(Inputs!$B$34+(ArtifactsInput!$M$7-ArtifactsInput!$M$7)*CHOOSE(ArtifactsInput!$N$7+1,6,7.2,8.4,9.6,10.8,12))/100))/(1/Q2790)))))+((C2787=TRUE)*F2787*IF(Inputs!$B$3&gt;=118,8,IF(Inputs!$B$3&gt;=110,7,5)))+IF(Inputs!$B$3&gt;=98,5,0)</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Skills!G2*IF(Skills!H2&gt;0,INT(IF(Inputs!$B$38="pvp",MIN(Skills!I2,15),Skills!I2)/Skills!H2+0.000000001),1)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Skills!G5*IF(Skills!H5&gt;0,INT(IF(Inputs!$B$38="pvp",MIN(Skills!I5,15),Skills!I5)/Skills!H5+0.000000001),1)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IFERROR(1/(IF(Inputs!$B$38="pvp",15,MAX(0.1,Skills!D5-IF(TRUE=TRUE,2.0,0)))*(1-IF(AND(ArtifactsInput!$M$27,Inputs!$B$4="Chapter Hunt"),CHOOSE(ArtifactsInput!$N$27+1,20,24,28,32,36,40),0)/100)),0)</f>
        <v/>
      </c>
      <c r="R2820">
        <f>IF(AND(Inputs!$B$38&lt;&gt;"pvp",Inputs!$B$43&gt;0),IF(MAX(0,Inputs!$B$43-B2851)&lt;=0,0,(INT(MAX(0,Inputs!$B$43-B2851)/(IF(Inputs!$B$38="pvp",15,MAX(0.1,Skills!D5-IF(TRUE=TRUE,2.0,0)))*(1-IF(AND(ArtifactsInput!$M$27,Inputs!$B$4="Chapter Hunt"),CHOOSE(ArtifactsInput!$N$27+1,20,24,28,32,36,40),0)/100)))+1)),0)</f>
        <v/>
      </c>
      <c r="S2820">
        <f>IFERROR(O2820/N2820,0)</f>
        <v/>
      </c>
      <c r="T2820">
        <f>IF(C2820,(H2820*N2820*IF(AND(Inputs!$B$38&lt;&gt;"pvp",Inputs!$B$43&gt;0),((Skills!G5*((R2820-1)*IF(Skills!H5&gt;0,INT(Skills!I5/Skills!H5+0.000000001),1)+IF(Skills!H5&gt;0,INT(MIN(Skills!I5,MAX(0,MAX(0,Inputs!$B$43-B2851)-((R2820-1)*(IF(Inputs!$B$38="pvp",15,MAX(0.1,Skills!D5-IF(TRUE=TRUE,2.0,0)))*(1-IF(AND(ArtifactsInput!$M$27,Inputs!$B$4="Chapter Hunt"),CHOOSE(ArtifactsInput!$N$27+1,20,24,28,32,36,40),0)/100)))))/Skills!H5+0.000000001),1)))/Inputs!$B$43),G2820*Q2820))*IF(Inputs!$B$38="pvp",1,1+(Inputs!$B$20+0+Skills!P5+(((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INT(Skills!I5/Skills!H5+0.000000001),1)+IF(Skills!H5&gt;0,INT(MIN(Skills!I5,MAX(0,MAX(0,Inputs!$B$43-B2851)-((R2820-1)*(IF(Inputs!$B$38="pvp",15,MAX(0.1,Skills!D5-IF(TRUE=TRUE,2.0,0)))*(1-IF(AND(ArtifactsInput!$M$27,Inputs!$B$4="Chapter Hunt"),CHOOSE(ArtifactsInput!$N$27+1,20,24,28,32,36,40),0)/100)))))/Skills!H5+0.000000001),1)))/Inputs!$B$43),G2820*Q2820))*IF(Inputs!$B$38="pvp",1,(1+(Inputs!$B$21+Skills!Q5+(((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Skills!G6*IF(Skills!H6&gt;0,INT(IF(Inputs!$B$38="pvp",MIN(Skills!I6,15),Skills!I6)/Skills!H6+0.000000001),1)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IFERROR(1/(IF(Inputs!$B$38="pvp",15,MAX(0.1,Skills!D6-IF(TRUE=TRUE,2.0,0)))*(1-IF(AND(ArtifactsInput!$M$27,Inputs!$B$4="Chapter Hunt"),CHOOSE(ArtifactsInput!$N$27+1,20,24,28,32,36,40),0)/100)),0)</f>
        <v/>
      </c>
      <c r="R2821">
        <f>IF(AND(Inputs!$B$38&lt;&gt;"pvp",Inputs!$B$43&gt;0),IF(MAX(0,Inputs!$B$43-B2851)&lt;=0,0,(INT(MAX(0,Inputs!$B$43-B2851)/(IF(Inputs!$B$38="pvp",15,MAX(0.1,Skills!D6-IF(TRUE=TRUE,2.0,0)))*(1-IF(AND(ArtifactsInput!$M$27,Inputs!$B$4="Chapter Hunt"),CHOOSE(ArtifactsInput!$N$27+1,20,24,28,32,36,40),0)/100)))+1)),0)</f>
        <v/>
      </c>
      <c r="S2821">
        <f>IFERROR(O2821/N2821,0)</f>
        <v/>
      </c>
      <c r="T2821">
        <f>IF(C2821,(H2821*N2821*IF(AND(Inputs!$B$38&lt;&gt;"pvp",Inputs!$B$43&gt;0),((Skills!G6*((R2821-1)*IF(Skills!H6&gt;0,INT(Skills!I6/Skills!H6+0.000000001),1)+IF(Skills!H6&gt;0,INT(MIN(Skills!I6,MAX(0,MAX(0,Inputs!$B$43-B2851)-((R2821-1)*(IF(Inputs!$B$38="pvp",15,MAX(0.1,Skills!D6-IF(TRUE=TRUE,2.0,0)))*(1-IF(AND(ArtifactsInput!$M$27,Inputs!$B$4="Chapter Hunt"),CHOOSE(ArtifactsInput!$N$27+1,20,24,28,32,36,40),0)/100)))))/Skills!H6+0.000000001),1)))/Inputs!$B$43),G2821*Q2821))*IF(Inputs!$B$38="pvp",1,1+(Inputs!$B$20+0+Skills!P6+(((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INT(Skills!I6/Skills!H6+0.000000001),1)+IF(Skills!H6&gt;0,INT(MIN(Skills!I6,MAX(0,MAX(0,Inputs!$B$43-B2851)-((R2821-1)*(IF(Inputs!$B$38="pvp",15,MAX(0.1,Skills!D6-IF(TRUE=TRUE,2.0,0)))*(1-IF(AND(ArtifactsInput!$M$27,Inputs!$B$4="Chapter Hunt"),CHOOSE(ArtifactsInput!$N$27+1,20,24,28,32,36,40),0)/100)))))/Skills!H6+0.000000001),1)))/Inputs!$B$43),G2821*Q2821))*IF(Inputs!$B$38="pvp",1,(1+(Inputs!$B$21+Skills!Q6+(((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Skills!G7*IF(Skills!H7&gt;0,INT(IF(Inputs!$B$38="pvp",MIN(Skills!I7,15),Skills!I7)/Skills!H7+0.000000001),1)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IFERROR(1/(IF(Inputs!$B$38="pvp",15,MAX(0.1,Skills!D7-IF(TRUE=TRUE,2.0,0)))*(1-IF(AND(ArtifactsInput!$M$27,Inputs!$B$4="Chapter Hunt"),CHOOSE(ArtifactsInput!$N$27+1,20,24,28,32,36,40),0)/100)),0)</f>
        <v/>
      </c>
      <c r="R2822">
        <f>IF(AND(Inputs!$B$38&lt;&gt;"pvp",Inputs!$B$43&gt;0),IF(MAX(0,Inputs!$B$43-B2851)&lt;=0,0,(INT(MAX(0,Inputs!$B$43-B2851)/(IF(Inputs!$B$38="pvp",15,MAX(0.1,Skills!D7-IF(TRUE=TRUE,2.0,0)))*(1-IF(AND(ArtifactsInput!$M$27,Inputs!$B$4="Chapter Hunt"),CHOOSE(ArtifactsInput!$N$27+1,20,24,28,32,36,40),0)/100)))+1)),0)</f>
        <v/>
      </c>
      <c r="S2822">
        <f>IFERROR(O2822/N2822,0)</f>
        <v/>
      </c>
      <c r="T2822">
        <f>IF(C2822,(H2822*N2822*IF(AND(Inputs!$B$38&lt;&gt;"pvp",Inputs!$B$43&gt;0),((Skills!G7*((R2822-1)*IF(Skills!H7&gt;0,INT(Skills!I7/Skills!H7+0.000000001),1)+IF(Skills!H7&gt;0,INT(MIN(Skills!I7,MAX(0,MAX(0,Inputs!$B$43-B2851)-((R2822-1)*(IF(Inputs!$B$38="pvp",15,MAX(0.1,Skills!D7-IF(TRUE=TRUE,2.0,0)))*(1-IF(AND(ArtifactsInput!$M$27,Inputs!$B$4="Chapter Hunt"),CHOOSE(ArtifactsInput!$N$27+1,20,24,28,32,36,40),0)/100)))))/Skills!H7+0.000000001),1)))/Inputs!$B$43),G2822*Q2822))*IF(Inputs!$B$38="pvp",1,1+(Inputs!$B$20+0+Skills!P7+(((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INT(Skills!I7/Skills!H7+0.000000001),1)+IF(Skills!H7&gt;0,INT(MIN(Skills!I7,MAX(0,MAX(0,Inputs!$B$43-B2851)-((R2822-1)*(IF(Inputs!$B$38="pvp",15,MAX(0.1,Skills!D7-IF(TRUE=TRUE,2.0,0)))*(1-IF(AND(ArtifactsInput!$M$27,Inputs!$B$4="Chapter Hunt"),CHOOSE(ArtifactsInput!$N$27+1,20,24,28,32,36,40),0)/100)))))/Skills!H7+0.000000001),1)))/Inputs!$B$43),G2822*Q2822))*IF(Inputs!$B$38="pvp",1,(1+(Inputs!$B$21+Skills!Q7+(((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Skills!G8*IF(Skills!H8&gt;0,INT(IF(Inputs!$B$38="pvp",MIN(Skills!I8,15),Skills!I8)/Skills!H8+0.000000001),1)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IFERROR(1/(IF(Inputs!$B$38="pvp",15,MAX(0.1,Skills!D8-IF(TRUE=TRUE,2.0,0)))*(1-IF(AND(ArtifactsInput!$M$27,Inputs!$B$4="Chapter Hunt"),CHOOSE(ArtifactsInput!$N$27+1,20,24,28,32,36,40),0)/100)),0)</f>
        <v/>
      </c>
      <c r="R2823">
        <f>IF(AND(Inputs!$B$38&lt;&gt;"pvp",Inputs!$B$43&gt;0),IF(MAX(0,Inputs!$B$43-B2851)&lt;=0,0,(INT(MAX(0,Inputs!$B$43-B2851)/(IF(Inputs!$B$38="pvp",15,MAX(0.1,Skills!D8-IF(TRUE=TRUE,2.0,0)))*(1-IF(AND(ArtifactsInput!$M$27,Inputs!$B$4="Chapter Hunt"),CHOOSE(ArtifactsInput!$N$27+1,20,24,28,32,36,40),0)/100)))+1)),0)</f>
        <v/>
      </c>
      <c r="S2823">
        <f>IFERROR(O2823/N2823,0)</f>
        <v/>
      </c>
      <c r="T2823">
        <f>IF(C2823,(H2823*N2823*IF(AND(Inputs!$B$38&lt;&gt;"pvp",Inputs!$B$43&gt;0),((Skills!G8*((R2823-1)*IF(Skills!H8&gt;0,INT(Skills!I8/Skills!H8+0.000000001),1)+IF(Skills!H8&gt;0,INT(MIN(Skills!I8,MAX(0,MAX(0,Inputs!$B$43-B2851)-((R2823-1)*(IF(Inputs!$B$38="pvp",15,MAX(0.1,Skills!D8-IF(TRUE=TRUE,2.0,0)))*(1-IF(AND(ArtifactsInput!$M$27,Inputs!$B$4="Chapter Hunt"),CHOOSE(ArtifactsInput!$N$27+1,20,24,28,32,36,40),0)/100)))))/Skills!H8+0.000000001),1)))/Inputs!$B$43),G2823*Q2823))*IF(Inputs!$B$38="pvp",1,1+(Inputs!$B$20+0+Skills!P8+(((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INT(Skills!I8/Skills!H8+0.000000001),1)+IF(Skills!H8&gt;0,INT(MIN(Skills!I8,MAX(0,MAX(0,Inputs!$B$43-B2851)-((R2823-1)*(IF(Inputs!$B$38="pvp",15,MAX(0.1,Skills!D8-IF(TRUE=TRUE,2.0,0)))*(1-IF(AND(ArtifactsInput!$M$27,Inputs!$B$4="Chapter Hunt"),CHOOSE(ArtifactsInput!$N$27+1,20,24,28,32,36,40),0)/100)))))/Skills!H8+0.000000001),1)))/Inputs!$B$43),G2823*Q2823))*IF(Inputs!$B$38="pvp",1,(1+(Inputs!$B$21+Skills!Q8+(((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Skills!G9*IF(Skills!H9&gt;0,INT(IF(Inputs!$B$38="pvp",MIN(Skills!I9,15),Skills!I9)/Skills!H9+0.000000001),1)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138,MAX(0,IF(Inputs!$B$3&gt;=118,8,IF(Inputs!$B$3&gt;=110,7,5))-5)*50,0),0)/100)*(1+(IF(Skills!A9="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IFERROR(1/(IF(Inputs!$B$38="pvp",15,MAX(0.1,Skills!D9-IF(TRUE=TRUE,2.0,0)))*(1-IF(AND(ArtifactsInput!$M$27,Inputs!$B$4="Chapter Hunt"),CHOOSE(ArtifactsInput!$N$27+1,20,24,28,32,36,40),0)/100)),0)</f>
        <v/>
      </c>
      <c r="R2824">
        <f>IF(AND(Inputs!$B$38&lt;&gt;"pvp",Inputs!$B$43&gt;0),IF(MAX(0,Inputs!$B$43-B2851)&lt;=0,0,(INT(MAX(0,Inputs!$B$43-B2851)/(IF(Inputs!$B$38="pvp",15,MAX(0.1,Skills!D9-IF(TRUE=TRUE,2.0,0)))*(1-IF(AND(ArtifactsInput!$M$27,Inputs!$B$4="Chapter Hunt"),CHOOSE(ArtifactsInput!$N$27+1,20,24,28,32,36,40),0)/100)))+1)),0)</f>
        <v/>
      </c>
      <c r="S2824">
        <f>IFERROR(O2824/N2824,0)</f>
        <v/>
      </c>
      <c r="T2824">
        <f>IF(C2824,(H2824*N2824*IF(AND(Inputs!$B$38&lt;&gt;"pvp",Inputs!$B$43&gt;0),((Skills!G9*((R2824-1)*IF(Skills!H9&gt;0,INT(Skills!I9/Skills!H9+0.000000001),1)+IF(Skills!H9&gt;0,INT(MIN(Skills!I9,MAX(0,MAX(0,Inputs!$B$43-B2851)-((R2824-1)*(IF(Inputs!$B$38="pvp",15,MAX(0.1,Skills!D9-IF(TRUE=TRUE,2.0,0)))*(1-IF(AND(ArtifactsInput!$M$27,Inputs!$B$4="Chapter Hunt"),CHOOSE(ArtifactsInput!$N$27+1,20,24,28,32,36,40),0)/100)))))/Skills!H9+0.000000001),1)))/Inputs!$B$43),G2824*Q2824))*IF(Inputs!$B$38="pvp",1,1+(Inputs!$B$20+0+Skills!P9+(((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INT(Skills!I9/Skills!H9+0.000000001),1)+IF(Skills!H9&gt;0,INT(MIN(Skills!I9,MAX(0,MAX(0,Inputs!$B$43-B2851)-((R2824-1)*(IF(Inputs!$B$38="pvp",15,MAX(0.1,Skills!D9-IF(TRUE=TRUE,2.0,0)))*(1-IF(AND(ArtifactsInput!$M$27,Inputs!$B$4="Chapter Hunt"),CHOOSE(ArtifactsInput!$N$27+1,20,24,28,32,36,40),0)/100)))))/Skills!H9+0.000000001),1)))/Inputs!$B$43),G2824*Q2824))*IF(Inputs!$B$38="pvp",1,(1+(Inputs!$B$21+Skills!Q9+(((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Skills!G10*IF(Skills!H10&gt;0,INT(IF(Inputs!$B$38="pvp",MIN(Skills!I10,15),Skills!I10)/Skills!H10+0.000000001),1)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138,MAX(0,IF(Inputs!$B$3&gt;=118,8,IF(Inputs!$B$3&gt;=110,7,5))-5)*50,0),0)/100)*(1+(IF(Skills!A10="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IFERROR(1/(IF(Inputs!$B$38="pvp",15,MAX(0.1,Skills!D10-IF(TRUE=TRUE,2.0,0)))*(1-IF(AND(ArtifactsInput!$M$27,Inputs!$B$4="Chapter Hunt"),CHOOSE(ArtifactsInput!$N$27+1,20,24,28,32,36,40),0)/100)),0)</f>
        <v/>
      </c>
      <c r="R2825">
        <f>IF(AND(Inputs!$B$38&lt;&gt;"pvp",Inputs!$B$43&gt;0),IF(MAX(0,Inputs!$B$43-B2851)&lt;=0,0,(INT(MAX(0,Inputs!$B$43-B2851)/(IF(Inputs!$B$38="pvp",15,MAX(0.1,Skills!D10-IF(TRUE=TRUE,2.0,0)))*(1-IF(AND(ArtifactsInput!$M$27,Inputs!$B$4="Chapter Hunt"),CHOOSE(ArtifactsInput!$N$27+1,20,24,28,32,36,40),0)/100)))+1)),0)</f>
        <v/>
      </c>
      <c r="S2825">
        <f>IFERROR(O2825/N2825,0)</f>
        <v/>
      </c>
      <c r="T2825">
        <f>IF(C2825,(H2825*N2825*IF(AND(Inputs!$B$38&lt;&gt;"pvp",Inputs!$B$43&gt;0),((Skills!G10*((R2825-1)*IF(Skills!H10&gt;0,INT(Skills!I10/Skills!H10+0.000000001),1)+IF(Skills!H10&gt;0,INT(MIN(Skills!I10,MAX(0,MAX(0,Inputs!$B$43-B2851)-((R2825-1)*(IF(Inputs!$B$38="pvp",15,MAX(0.1,Skills!D10-IF(TRUE=TRUE,2.0,0)))*(1-IF(AND(ArtifactsInput!$M$27,Inputs!$B$4="Chapter Hunt"),CHOOSE(ArtifactsInput!$N$27+1,20,24,28,32,36,40),0)/100)))))/Skills!H10+0.000000001),1)))/Inputs!$B$43),G2825*Q2825))*IF(Inputs!$B$38="pvp",1,1+(Inputs!$B$20+0+Skills!P10+(((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INT(Skills!I10/Skills!H10+0.000000001),1)+IF(Skills!H10&gt;0,INT(MIN(Skills!I10,MAX(0,MAX(0,Inputs!$B$43-B2851)-((R2825-1)*(IF(Inputs!$B$38="pvp",15,MAX(0.1,Skills!D10-IF(TRUE=TRUE,2.0,0)))*(1-IF(AND(ArtifactsInput!$M$27,Inputs!$B$4="Chapter Hunt"),CHOOSE(ArtifactsInput!$N$27+1,20,24,28,32,36,40),0)/100)))))/Skills!H10+0.000000001),1)))/Inputs!$B$43),G2825*Q2825))*IF(Inputs!$B$38="pvp",1,(1+(Inputs!$B$21+Skills!Q10+(((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Skills!G11*IF(Skills!H11&gt;0,INT(IF(Inputs!$B$38="pvp",MIN(Skills!I11,15),Skills!I11)/Skills!H11+0.000000001),1)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138,MAX(0,IF(Inputs!$B$3&gt;=118,8,IF(Inputs!$B$3&gt;=110,7,5))-5)*50,0),0)/100)*(1+(IF(Skills!A11="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IFERROR(1/(IF(Inputs!$B$38="pvp",15,MAX(0.1,Skills!D11-IF(TRUE=TRUE,2.0,0)))*(1-IF(AND(ArtifactsInput!$M$27,Inputs!$B$4="Chapter Hunt"),CHOOSE(ArtifactsInput!$N$27+1,20,24,28,32,36,40),0)/100)),0)</f>
        <v/>
      </c>
      <c r="R2826">
        <f>IF(AND(Inputs!$B$38&lt;&gt;"pvp",Inputs!$B$43&gt;0),IF(MAX(0,Inputs!$B$43-B2851)&lt;=0,0,(INT(MAX(0,Inputs!$B$43-B2851)/(IF(Inputs!$B$38="pvp",15,MAX(0.1,Skills!D11-IF(TRUE=TRUE,2.0,0)))*(1-IF(AND(ArtifactsInput!$M$27,Inputs!$B$4="Chapter Hunt"),CHOOSE(ArtifactsInput!$N$27+1,20,24,28,32,36,40),0)/100)))+1)),0)</f>
        <v/>
      </c>
      <c r="S2826">
        <f>IFERROR(O2826/N2826,0)</f>
        <v/>
      </c>
      <c r="T2826">
        <f>IF(C2826,(H2826*N2826*IF(AND(Inputs!$B$38&lt;&gt;"pvp",Inputs!$B$43&gt;0),((Skills!G11*((R2826-1)*IF(Skills!H11&gt;0,INT(Skills!I11/Skills!H11+0.000000001),1)+IF(Skills!H11&gt;0,INT(MIN(Skills!I11,MAX(0,MAX(0,Inputs!$B$43-B2851)-((R2826-1)*(IF(Inputs!$B$38="pvp",15,MAX(0.1,Skills!D11-IF(TRUE=TRUE,2.0,0)))*(1-IF(AND(ArtifactsInput!$M$27,Inputs!$B$4="Chapter Hunt"),CHOOSE(ArtifactsInput!$N$27+1,20,24,28,32,36,40),0)/100)))))/Skills!H11+0.000000001),1)))/Inputs!$B$43),G2826*Q2826))*IF(Inputs!$B$38="pvp",1,1+(Inputs!$B$20+0+Skills!P11+(((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INT(Skills!I11/Skills!H11+0.000000001),1)+IF(Skills!H11&gt;0,INT(MIN(Skills!I11,MAX(0,MAX(0,Inputs!$B$43-B2851)-((R2826-1)*(IF(Inputs!$B$38="pvp",15,MAX(0.1,Skills!D11-IF(TRUE=TRUE,2.0,0)))*(1-IF(AND(ArtifactsInput!$M$27,Inputs!$B$4="Chapter Hunt"),CHOOSE(ArtifactsInput!$N$27+1,20,24,28,32,36,40),0)/100)))))/Skills!H11+0.000000001),1)))/Inputs!$B$43),G2826*Q2826))*IF(Inputs!$B$38="pvp",1,(1+(Inputs!$B$21+Skills!Q11+(((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Skills!G13*IF(Skills!H13&gt;0,INT(IF(Inputs!$B$38="pvp",MIN(Skills!I13,15),Skills!I13)/Skills!H13+0.000000001),1)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Skills!G14*IF(Skills!H14&gt;0,INT(IF(Inputs!$B$38="pvp",MIN(Skills!I14,15),Skills!I14)/Skills!H14+0.000000001),1)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Skills!G15*IF(Skills!H15&gt;0,INT(IF(Inputs!$B$38="pvp",MIN(Skills!I15,15),Skills!I15)/Skills!H15+0.000000001),1)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IFERROR(1/(IF(Inputs!$B$38="pvp",15,MAX(0.1,Skills!D15-IF(TRUE=TRUE,2.0,0)))*(1-IF(AND(ArtifactsInput!$M$27,Inputs!$B$4="Chapter Hunt"),CHOOSE(ArtifactsInput!$N$27+1,20,24,28,32,36,40),0)/100)),0)</f>
        <v/>
      </c>
      <c r="R2830">
        <f>IF(AND(Inputs!$B$38&lt;&gt;"pvp",Inputs!$B$43&gt;0),IF(Inputs!$B$43&lt;=0,0,(INT(Inputs!$B$43/(IF(Inputs!$B$38="pvp",15,MAX(0.1,Skills!D15-IF(TRUE=TRUE,2.0,0)))*(1-IF(AND(ArtifactsInput!$M$27,Inputs!$B$4="Chapter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Skills!G16*IF(Skills!H16&gt;0,INT(IF(Inputs!$B$38="pvp",MIN(Skills!I16,15),Skills!I16)/Skills!H16+0.000000001),1)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IFERROR(1/(IF(Inputs!$B$38="pvp",15,MAX(0.1,Skills!D16-IF(TRUE=TRUE,2.0,0)))*(1-IF(AND(ArtifactsInput!$M$27,Inputs!$B$4="Chapter Hunt"),CHOOSE(ArtifactsInput!$N$27+1,20,24,28,32,36,40),0)/100)),0)</f>
        <v/>
      </c>
      <c r="R2831">
        <f>IF(AND(Inputs!$B$38&lt;&gt;"pvp",Inputs!$B$43&gt;0),IF(Inputs!$B$43&lt;=0,0,(INT(Inputs!$B$43/(IF(Inputs!$B$38="pvp",15,MAX(0.1,Skills!D16-IF(TRUE=TRUE,2.0,0)))*(1-IF(AND(ArtifactsInput!$M$27,Inputs!$B$4="Chapter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Skills!G17*IF(Skills!H17&gt;0,INT(IF(Inputs!$B$38="pvp",MIN(Skills!I17,15),Skills!I17)/Skills!H17+0.000000001),1)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IFERROR(1/(IF(Inputs!$B$38="pvp",15,MAX(0.1,Skills!D17-IF(TRUE=TRUE,2.0,0)))*(1-IF(AND(ArtifactsInput!$M$27,Inputs!$B$4="Chapter Hunt"),CHOOSE(ArtifactsInput!$N$27+1,20,24,28,32,36,40),0)/100)),0)</f>
        <v/>
      </c>
      <c r="R2832">
        <f>IF(AND(Inputs!$B$38&lt;&gt;"pvp",Inputs!$B$43&gt;0),IF(Inputs!$B$43&lt;=0,0,(INT(Inputs!$B$43/(IF(Inputs!$B$38="pvp",15,MAX(0.1,Skills!D17-IF(TRUE=TRUE,2.0,0)))*(1-IF(AND(ArtifactsInput!$M$27,Inputs!$B$4="Chapter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Skills!G18*IF(Skills!H18&gt;0,INT(IF(Inputs!$B$38="pvp",MIN(Skills!I18,15),Skills!I18)/Skills!H18+0.000000001),1)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IFERROR(1/(IF(Inputs!$B$38="pvp",15,MAX(0.1,Skills!D18-IF(TRUE=TRUE,2.0,0)))*(1-IF(AND(ArtifactsInput!$M$27,Inputs!$B$4="Chapter Hunt"),CHOOSE(ArtifactsInput!$N$27+1,20,24,28,32,36,40),0)/100)),0)</f>
        <v/>
      </c>
      <c r="R2833">
        <f>IF(AND(Inputs!$B$38&lt;&gt;"pvp",Inputs!$B$43&gt;0),IF(Inputs!$B$43&lt;=0,0,(INT(Inputs!$B$43/(IF(Inputs!$B$38="pvp",15,MAX(0.1,Skills!D18-IF(TRUE=TRUE,2.0,0)))*(1-IF(AND(ArtifactsInput!$M$27,Inputs!$B$4="Chapter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Skills!G19*IF(Skills!H19&gt;0,INT(IF(Inputs!$B$38="pvp",MIN(Skills!I19,15),Skills!I19)/Skills!H19+0.000000001),1)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IFERROR(1/(IF(Inputs!$B$38="pvp",15,MAX(0.1,Skills!D19-IF(TRUE=TRUE,2.0,0)))*(1-IF(AND(ArtifactsInput!$M$27,Inputs!$B$4="Chapter Hunt"),CHOOSE(ArtifactsInput!$N$27+1,20,24,28,32,36,40),0)/100)),0)</f>
        <v/>
      </c>
      <c r="R2834">
        <f>IF(AND(Inputs!$B$38&lt;&gt;"pvp",Inputs!$B$43&gt;0),IF(Inputs!$B$43&lt;=0,0,(INT(Inputs!$B$43/(IF(Inputs!$B$38="pvp",15,MAX(0.1,Skills!D19-IF(TRUE=TRUE,2.0,0)))*(1-IF(AND(ArtifactsInput!$M$27,Inputs!$B$4="Chapter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Skills!G20*IF(Skills!H20&gt;0,INT(IF(Inputs!$B$38="pvp",MIN(Skills!I20,15),Skills!I20)/Skills!H20+0.000000001),1)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Skills!G21*IF(Skills!H21&gt;0,INT(IF(Inputs!$B$38="pvp",MIN(Skills!I21,15),Skills!I21)/Skills!H21+0.000000001),1)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Skills!G22*IF(Skills!H22&gt;0,INT(IF(Inputs!$B$38="pvp",MIN(Skills!I22,15),Skills!I22)/Skills!H22+0.000000001),1)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Skills!G23*IF(Skills!H23&gt;0,INT(IF(Inputs!$B$38="pvp",MIN(Skills!I23,15),Skills!I23)/Skills!H23+0.000000001),1)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Skills!G24*IF(Skills!H24&gt;0,INT(IF(Inputs!$B$38="pvp",MIN(Skills!I24,15),Skills!I24)/Skills!H24+0.000000001),1)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Skills!G25*IF(Skills!H25&gt;0,INT(IF(Inputs!$B$38="pvp",MIN(Skills!I25,15),Skills!I25)/Skills!H25+0.000000001),1)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Skills!G26*IF(Skills!H26&gt;0,INT(IF(Inputs!$B$38="pvp",MIN(Skills!I26,15),Skills!I26)/Skills!H26+0.000000001),1)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MIN((Skills!T19*(1+(Inputs!$B$34+(ArtifactsInput!$M$7-ArtifactsInput!$M$7)*CHOOSE(ArtifactsInput!$N$7+1,6,7.2,8.4,9.6,10.8,12))/100)),(1/Q2834))+MIN((Skills!T19*(1+(Inputs!$B$34+(ArtifactsInput!$M$7-ArtifactsInput!$M$7)*CHOOSE(ArtifactsInput!$N$7+1,6,7.2,8.4,9.6,10.8,12))/100)),MAX(0,Inputs!$B$43-((R2834-1)*(1/Q2834)))))/Inputs!$B$43),IF(Inputs!$B$38="pvp",MIN((Skills!T19*(1+(Inputs!$B$34+(ArtifactsInput!$M$7-ArtifactsInput!$M$7)*CHOOSE(ArtifactsInput!$N$7+1,6,7.2,8.4,9.6,10.8,12))/100)),15)/15,MIN(1,(Skills!T19*(1+(Inputs!$B$34+(ArtifactsInput!$M$7-ArtifactsInput!$M$7)*CHOOSE(ArtifactsInput!$N$7+1,6,7.2,8.4,9.6,10.8,12))/100))/(1/Q2834)))))</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MIN((Skills!T18*(1+(Inputs!$B$34+(ArtifactsInput!$M$7-ArtifactsInput!$M$7)*CHOOSE(ArtifactsInput!$N$7+1,6,7.2,8.4,9.6,10.8,12))/100)),(1/Q2833))+MIN((Skills!T18*(1+(Inputs!$B$34+(ArtifactsInput!$M$7-ArtifactsInput!$M$7)*CHOOSE(ArtifactsInput!$N$7+1,6,7.2,8.4,9.6,10.8,12))/100)),MAX(0,Inputs!$B$43-((R2833-1)*(1/Q2833)))))/Inputs!$B$43),IF(Inputs!$B$38="pvp",MIN((Skills!T18*(1+(Inputs!$B$34+(ArtifactsInput!$M$7-ArtifactsInput!$M$7)*CHOOSE(ArtifactsInput!$N$7+1,6,7.2,8.4,9.6,10.8,12))/100)),15)/15,MIN(1,(Skills!T18*(1+(Inputs!$B$34+(ArtifactsInput!$M$7-ArtifactsInput!$M$7)*CHOOSE(ArtifactsInput!$N$7+1,6,7.2,8.4,9.6,10.8,12))/100))/(1/Q2833)))))</f>
        <v/>
      </c>
    </row>
    <row r="2850">
      <c r="A2850" t="inlineStr">
        <is>
          <t>Global Final Damage Bonus % (Enrage + Combo Synergy)</t>
        </is>
      </c>
      <c r="B2850">
        <f>((C2832=TRUE)*F2832*IF(AND(Inputs!$B$38&lt;&gt;"pvp",Inputs!$B$43&gt;0),(((R2832-1)*MIN((Skills!T17*(1+(Inputs!$B$34+(ArtifactsInput!$M$7-ArtifactsInput!$M$7)*CHOOSE(ArtifactsInput!$N$7+1,6,7.2,8.4,9.6,10.8,12))/100)),(1/Q2832))+MIN((Skills!T17*(1+(Inputs!$B$34+(ArtifactsInput!$M$7-ArtifactsInput!$M$7)*CHOOSE(ArtifactsInput!$N$7+1,6,7.2,8.4,9.6,10.8,12))/100)),MAX(0,Inputs!$B$43-((R2832-1)*(1/Q2832)))))/Inputs!$B$43),IF(Inputs!$B$38="pvp",MIN((Skills!T17*(1+(Inputs!$B$34+(ArtifactsInput!$M$7-ArtifactsInput!$M$7)*CHOOSE(ArtifactsInput!$N$7+1,6,7.2,8.4,9.6,10.8,12))/100)),15)/15,MIN(1,(Skills!T17*(1+(Inputs!$B$34+(ArtifactsInput!$M$7-ArtifactsInput!$M$7)*CHOOSE(ArtifactsInput!$N$7+1,6,7.2,8.4,9.6,10.8,12))/100))/(1/Q2832)))))+((C2829=TRUE)*F2829*IF(Inputs!$B$3&gt;=118,8,IF(Inputs!$B$3&gt;=110,7,5)))+IF(Inputs!$B$3&gt;=98,5,0)</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Skills!G2*IF(Skills!H2&gt;0,INT(IF(Inputs!$B$38="pvp",MIN(Skills!I2,15),Skills!I2)/Skills!H2+0.000000001),1)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Skills!G5*IF(Skills!H5&gt;0,INT(IF(Inputs!$B$38="pvp",MIN(Skills!I5,15),Skills!I5)/Skills!H5+0.000000001),1)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IFERROR(1/(IF(Inputs!$B$38="pvp",15,MAX(0.1,Skills!D5-IF(TRUE=TRUE,2.5,0)))*(1-IF(AND(ArtifactsInput!$M$27,Inputs!$B$4="Chapter Hunt"),CHOOSE(ArtifactsInput!$N$27+1,20,24,28,32,36,40),0)/100)),0)</f>
        <v/>
      </c>
      <c r="R2862">
        <f>IF(AND(Inputs!$B$38&lt;&gt;"pvp",Inputs!$B$43&gt;0),IF(MAX(0,Inputs!$B$43-B2893)&lt;=0,0,(INT(MAX(0,Inputs!$B$43-B2893)/(IF(Inputs!$B$38="pvp",15,MAX(0.1,Skills!D5-IF(TRUE=TRUE,2.5,0)))*(1-IF(AND(ArtifactsInput!$M$27,Inputs!$B$4="Chapter Hunt"),CHOOSE(ArtifactsInput!$N$27+1,20,24,28,32,36,40),0)/100)))+1)),0)</f>
        <v/>
      </c>
      <c r="S2862">
        <f>IFERROR(O2862/N2862,0)</f>
        <v/>
      </c>
      <c r="T2862">
        <f>IF(C2862,(H2862*N2862*IF(AND(Inputs!$B$38&lt;&gt;"pvp",Inputs!$B$43&gt;0),((Skills!G5*((R2862-1)*IF(Skills!H5&gt;0,INT(Skills!I5/Skills!H5+0.000000001),1)+IF(Skills!H5&gt;0,INT(MIN(Skills!I5,MAX(0,MAX(0,Inputs!$B$43-B2893)-((R2862-1)*(IF(Inputs!$B$38="pvp",15,MAX(0.1,Skills!D5-IF(TRUE=TRUE,2.5,0)))*(1-IF(AND(ArtifactsInput!$M$27,Inputs!$B$4="Chapter Hunt"),CHOOSE(ArtifactsInput!$N$27+1,20,24,28,32,36,40),0)/100)))))/Skills!H5+0.000000001),1)))/Inputs!$B$43),G2862*Q2862))*IF(Inputs!$B$38="pvp",1,1+(Inputs!$B$20+0+Skills!P5+(((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INT(Skills!I5/Skills!H5+0.000000001),1)+IF(Skills!H5&gt;0,INT(MIN(Skills!I5,MAX(0,MAX(0,Inputs!$B$43-B2893)-((R2862-1)*(IF(Inputs!$B$38="pvp",15,MAX(0.1,Skills!D5-IF(TRUE=TRUE,2.5,0)))*(1-IF(AND(ArtifactsInput!$M$27,Inputs!$B$4="Chapter Hunt"),CHOOSE(ArtifactsInput!$N$27+1,20,24,28,32,36,40),0)/100)))))/Skills!H5+0.000000001),1)))/Inputs!$B$43),G2862*Q2862))*IF(Inputs!$B$38="pvp",1,(1+(Inputs!$B$21+Skills!Q5+(((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Skills!G6*IF(Skills!H6&gt;0,INT(IF(Inputs!$B$38="pvp",MIN(Skills!I6,15),Skills!I6)/Skills!H6+0.000000001),1)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IFERROR(1/(IF(Inputs!$B$38="pvp",15,MAX(0.1,Skills!D6-IF(TRUE=TRUE,2.5,0)))*(1-IF(AND(ArtifactsInput!$M$27,Inputs!$B$4="Chapter Hunt"),CHOOSE(ArtifactsInput!$N$27+1,20,24,28,32,36,40),0)/100)),0)</f>
        <v/>
      </c>
      <c r="R2863">
        <f>IF(AND(Inputs!$B$38&lt;&gt;"pvp",Inputs!$B$43&gt;0),IF(MAX(0,Inputs!$B$43-B2893)&lt;=0,0,(INT(MAX(0,Inputs!$B$43-B2893)/(IF(Inputs!$B$38="pvp",15,MAX(0.1,Skills!D6-IF(TRUE=TRUE,2.5,0)))*(1-IF(AND(ArtifactsInput!$M$27,Inputs!$B$4="Chapter Hunt"),CHOOSE(ArtifactsInput!$N$27+1,20,24,28,32,36,40),0)/100)))+1)),0)</f>
        <v/>
      </c>
      <c r="S2863">
        <f>IFERROR(O2863/N2863,0)</f>
        <v/>
      </c>
      <c r="T2863">
        <f>IF(C2863,(H2863*N2863*IF(AND(Inputs!$B$38&lt;&gt;"pvp",Inputs!$B$43&gt;0),((Skills!G6*((R2863-1)*IF(Skills!H6&gt;0,INT(Skills!I6/Skills!H6+0.000000001),1)+IF(Skills!H6&gt;0,INT(MIN(Skills!I6,MAX(0,MAX(0,Inputs!$B$43-B2893)-((R2863-1)*(IF(Inputs!$B$38="pvp",15,MAX(0.1,Skills!D6-IF(TRUE=TRUE,2.5,0)))*(1-IF(AND(ArtifactsInput!$M$27,Inputs!$B$4="Chapter Hunt"),CHOOSE(ArtifactsInput!$N$27+1,20,24,28,32,36,40),0)/100)))))/Skills!H6+0.000000001),1)))/Inputs!$B$43),G2863*Q2863))*IF(Inputs!$B$38="pvp",1,1+(Inputs!$B$20+0+Skills!P6+(((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INT(Skills!I6/Skills!H6+0.000000001),1)+IF(Skills!H6&gt;0,INT(MIN(Skills!I6,MAX(0,MAX(0,Inputs!$B$43-B2893)-((R2863-1)*(IF(Inputs!$B$38="pvp",15,MAX(0.1,Skills!D6-IF(TRUE=TRUE,2.5,0)))*(1-IF(AND(ArtifactsInput!$M$27,Inputs!$B$4="Chapter Hunt"),CHOOSE(ArtifactsInput!$N$27+1,20,24,28,32,36,40),0)/100)))))/Skills!H6+0.000000001),1)))/Inputs!$B$43),G2863*Q2863))*IF(Inputs!$B$38="pvp",1,(1+(Inputs!$B$21+Skills!Q6+(((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Skills!G7*IF(Skills!H7&gt;0,INT(IF(Inputs!$B$38="pvp",MIN(Skills!I7,15),Skills!I7)/Skills!H7+0.000000001),1)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IFERROR(1/(IF(Inputs!$B$38="pvp",15,MAX(0.1,Skills!D7-IF(TRUE=TRUE,2.5,0)))*(1-IF(AND(ArtifactsInput!$M$27,Inputs!$B$4="Chapter Hunt"),CHOOSE(ArtifactsInput!$N$27+1,20,24,28,32,36,40),0)/100)),0)</f>
        <v/>
      </c>
      <c r="R2864">
        <f>IF(AND(Inputs!$B$38&lt;&gt;"pvp",Inputs!$B$43&gt;0),IF(MAX(0,Inputs!$B$43-B2893)&lt;=0,0,(INT(MAX(0,Inputs!$B$43-B2893)/(IF(Inputs!$B$38="pvp",15,MAX(0.1,Skills!D7-IF(TRUE=TRUE,2.5,0)))*(1-IF(AND(ArtifactsInput!$M$27,Inputs!$B$4="Chapter Hunt"),CHOOSE(ArtifactsInput!$N$27+1,20,24,28,32,36,40),0)/100)))+1)),0)</f>
        <v/>
      </c>
      <c r="S2864">
        <f>IFERROR(O2864/N2864,0)</f>
        <v/>
      </c>
      <c r="T2864">
        <f>IF(C2864,(H2864*N2864*IF(AND(Inputs!$B$38&lt;&gt;"pvp",Inputs!$B$43&gt;0),((Skills!G7*((R2864-1)*IF(Skills!H7&gt;0,INT(Skills!I7/Skills!H7+0.000000001),1)+IF(Skills!H7&gt;0,INT(MIN(Skills!I7,MAX(0,MAX(0,Inputs!$B$43-B2893)-((R2864-1)*(IF(Inputs!$B$38="pvp",15,MAX(0.1,Skills!D7-IF(TRUE=TRUE,2.5,0)))*(1-IF(AND(ArtifactsInput!$M$27,Inputs!$B$4="Chapter Hunt"),CHOOSE(ArtifactsInput!$N$27+1,20,24,28,32,36,40),0)/100)))))/Skills!H7+0.000000001),1)))/Inputs!$B$43),G2864*Q2864))*IF(Inputs!$B$38="pvp",1,1+(Inputs!$B$20+0+Skills!P7+(((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INT(Skills!I7/Skills!H7+0.000000001),1)+IF(Skills!H7&gt;0,INT(MIN(Skills!I7,MAX(0,MAX(0,Inputs!$B$43-B2893)-((R2864-1)*(IF(Inputs!$B$38="pvp",15,MAX(0.1,Skills!D7-IF(TRUE=TRUE,2.5,0)))*(1-IF(AND(ArtifactsInput!$M$27,Inputs!$B$4="Chapter Hunt"),CHOOSE(ArtifactsInput!$N$27+1,20,24,28,32,36,40),0)/100)))))/Skills!H7+0.000000001),1)))/Inputs!$B$43),G2864*Q2864))*IF(Inputs!$B$38="pvp",1,(1+(Inputs!$B$21+Skills!Q7+(((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Skills!G8*IF(Skills!H8&gt;0,INT(IF(Inputs!$B$38="pvp",MIN(Skills!I8,15),Skills!I8)/Skills!H8+0.000000001),1)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IFERROR(1/(IF(Inputs!$B$38="pvp",15,MAX(0.1,Skills!D8-IF(TRUE=TRUE,2.5,0)))*(1-IF(AND(ArtifactsInput!$M$27,Inputs!$B$4="Chapter Hunt"),CHOOSE(ArtifactsInput!$N$27+1,20,24,28,32,36,40),0)/100)),0)</f>
        <v/>
      </c>
      <c r="R2865">
        <f>IF(AND(Inputs!$B$38&lt;&gt;"pvp",Inputs!$B$43&gt;0),IF(MAX(0,Inputs!$B$43-B2893)&lt;=0,0,(INT(MAX(0,Inputs!$B$43-B2893)/(IF(Inputs!$B$38="pvp",15,MAX(0.1,Skills!D8-IF(TRUE=TRUE,2.5,0)))*(1-IF(AND(ArtifactsInput!$M$27,Inputs!$B$4="Chapter Hunt"),CHOOSE(ArtifactsInput!$N$27+1,20,24,28,32,36,40),0)/100)))+1)),0)</f>
        <v/>
      </c>
      <c r="S2865">
        <f>IFERROR(O2865/N2865,0)</f>
        <v/>
      </c>
      <c r="T2865">
        <f>IF(C2865,(H2865*N2865*IF(AND(Inputs!$B$38&lt;&gt;"pvp",Inputs!$B$43&gt;0),((Skills!G8*((R2865-1)*IF(Skills!H8&gt;0,INT(Skills!I8/Skills!H8+0.000000001),1)+IF(Skills!H8&gt;0,INT(MIN(Skills!I8,MAX(0,MAX(0,Inputs!$B$43-B2893)-((R2865-1)*(IF(Inputs!$B$38="pvp",15,MAX(0.1,Skills!D8-IF(TRUE=TRUE,2.5,0)))*(1-IF(AND(ArtifactsInput!$M$27,Inputs!$B$4="Chapter Hunt"),CHOOSE(ArtifactsInput!$N$27+1,20,24,28,32,36,40),0)/100)))))/Skills!H8+0.000000001),1)))/Inputs!$B$43),G2865*Q2865))*IF(Inputs!$B$38="pvp",1,1+(Inputs!$B$20+0+Skills!P8+(((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INT(Skills!I8/Skills!H8+0.000000001),1)+IF(Skills!H8&gt;0,INT(MIN(Skills!I8,MAX(0,MAX(0,Inputs!$B$43-B2893)-((R2865-1)*(IF(Inputs!$B$38="pvp",15,MAX(0.1,Skills!D8-IF(TRUE=TRUE,2.5,0)))*(1-IF(AND(ArtifactsInput!$M$27,Inputs!$B$4="Chapter Hunt"),CHOOSE(ArtifactsInput!$N$27+1,20,24,28,32,36,40),0)/100)))))/Skills!H8+0.000000001),1)))/Inputs!$B$43),G2865*Q2865))*IF(Inputs!$B$38="pvp",1,(1+(Inputs!$B$21+Skills!Q8+(((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Skills!G9*IF(Skills!H9&gt;0,INT(IF(Inputs!$B$38="pvp",MIN(Skills!I9,15),Skills!I9)/Skills!H9+0.000000001),1)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138,MAX(0,IF(Inputs!$B$3&gt;=118,8,IF(Inputs!$B$3&gt;=110,7,5))-5)*50,0),0)/100)*(1+(IF(Skills!A9="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IFERROR(1/(IF(Inputs!$B$38="pvp",15,MAX(0.1,Skills!D9-IF(TRUE=TRUE,2.5,0)))*(1-IF(AND(ArtifactsInput!$M$27,Inputs!$B$4="Chapter Hunt"),CHOOSE(ArtifactsInput!$N$27+1,20,24,28,32,36,40),0)/100)),0)</f>
        <v/>
      </c>
      <c r="R2866">
        <f>IF(AND(Inputs!$B$38&lt;&gt;"pvp",Inputs!$B$43&gt;0),IF(MAX(0,Inputs!$B$43-B2893)&lt;=0,0,(INT(MAX(0,Inputs!$B$43-B2893)/(IF(Inputs!$B$38="pvp",15,MAX(0.1,Skills!D9-IF(TRUE=TRUE,2.5,0)))*(1-IF(AND(ArtifactsInput!$M$27,Inputs!$B$4="Chapter Hunt"),CHOOSE(ArtifactsInput!$N$27+1,20,24,28,32,36,40),0)/100)))+1)),0)</f>
        <v/>
      </c>
      <c r="S2866">
        <f>IFERROR(O2866/N2866,0)</f>
        <v/>
      </c>
      <c r="T2866">
        <f>IF(C2866,(H2866*N2866*IF(AND(Inputs!$B$38&lt;&gt;"pvp",Inputs!$B$43&gt;0),((Skills!G9*((R2866-1)*IF(Skills!H9&gt;0,INT(Skills!I9/Skills!H9+0.000000001),1)+IF(Skills!H9&gt;0,INT(MIN(Skills!I9,MAX(0,MAX(0,Inputs!$B$43-B2893)-((R2866-1)*(IF(Inputs!$B$38="pvp",15,MAX(0.1,Skills!D9-IF(TRUE=TRUE,2.5,0)))*(1-IF(AND(ArtifactsInput!$M$27,Inputs!$B$4="Chapter Hunt"),CHOOSE(ArtifactsInput!$N$27+1,20,24,28,32,36,40),0)/100)))))/Skills!H9+0.000000001),1)))/Inputs!$B$43),G2866*Q2866))*IF(Inputs!$B$38="pvp",1,1+(Inputs!$B$20+0+Skills!P9+(((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INT(Skills!I9/Skills!H9+0.000000001),1)+IF(Skills!H9&gt;0,INT(MIN(Skills!I9,MAX(0,MAX(0,Inputs!$B$43-B2893)-((R2866-1)*(IF(Inputs!$B$38="pvp",15,MAX(0.1,Skills!D9-IF(TRUE=TRUE,2.5,0)))*(1-IF(AND(ArtifactsInput!$M$27,Inputs!$B$4="Chapter Hunt"),CHOOSE(ArtifactsInput!$N$27+1,20,24,28,32,36,40),0)/100)))))/Skills!H9+0.000000001),1)))/Inputs!$B$43),G2866*Q2866))*IF(Inputs!$B$38="pvp",1,(1+(Inputs!$B$21+Skills!Q9+(((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Skills!G10*IF(Skills!H10&gt;0,INT(IF(Inputs!$B$38="pvp",MIN(Skills!I10,15),Skills!I10)/Skills!H10+0.000000001),1)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138,MAX(0,IF(Inputs!$B$3&gt;=118,8,IF(Inputs!$B$3&gt;=110,7,5))-5)*50,0),0)/100)*(1+(IF(Skills!A10="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IFERROR(1/(IF(Inputs!$B$38="pvp",15,MAX(0.1,Skills!D10-IF(TRUE=TRUE,2.5,0)))*(1-IF(AND(ArtifactsInput!$M$27,Inputs!$B$4="Chapter Hunt"),CHOOSE(ArtifactsInput!$N$27+1,20,24,28,32,36,40),0)/100)),0)</f>
        <v/>
      </c>
      <c r="R2867">
        <f>IF(AND(Inputs!$B$38&lt;&gt;"pvp",Inputs!$B$43&gt;0),IF(MAX(0,Inputs!$B$43-B2893)&lt;=0,0,(INT(MAX(0,Inputs!$B$43-B2893)/(IF(Inputs!$B$38="pvp",15,MAX(0.1,Skills!D10-IF(TRUE=TRUE,2.5,0)))*(1-IF(AND(ArtifactsInput!$M$27,Inputs!$B$4="Chapter Hunt"),CHOOSE(ArtifactsInput!$N$27+1,20,24,28,32,36,40),0)/100)))+1)),0)</f>
        <v/>
      </c>
      <c r="S2867">
        <f>IFERROR(O2867/N2867,0)</f>
        <v/>
      </c>
      <c r="T2867">
        <f>IF(C2867,(H2867*N2867*IF(AND(Inputs!$B$38&lt;&gt;"pvp",Inputs!$B$43&gt;0),((Skills!G10*((R2867-1)*IF(Skills!H10&gt;0,INT(Skills!I10/Skills!H10+0.000000001),1)+IF(Skills!H10&gt;0,INT(MIN(Skills!I10,MAX(0,MAX(0,Inputs!$B$43-B2893)-((R2867-1)*(IF(Inputs!$B$38="pvp",15,MAX(0.1,Skills!D10-IF(TRUE=TRUE,2.5,0)))*(1-IF(AND(ArtifactsInput!$M$27,Inputs!$B$4="Chapter Hunt"),CHOOSE(ArtifactsInput!$N$27+1,20,24,28,32,36,40),0)/100)))))/Skills!H10+0.000000001),1)))/Inputs!$B$43),G2867*Q2867))*IF(Inputs!$B$38="pvp",1,1+(Inputs!$B$20+0+Skills!P10+(((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INT(Skills!I10/Skills!H10+0.000000001),1)+IF(Skills!H10&gt;0,INT(MIN(Skills!I10,MAX(0,MAX(0,Inputs!$B$43-B2893)-((R2867-1)*(IF(Inputs!$B$38="pvp",15,MAX(0.1,Skills!D10-IF(TRUE=TRUE,2.5,0)))*(1-IF(AND(ArtifactsInput!$M$27,Inputs!$B$4="Chapter Hunt"),CHOOSE(ArtifactsInput!$N$27+1,20,24,28,32,36,40),0)/100)))))/Skills!H10+0.000000001),1)))/Inputs!$B$43),G2867*Q2867))*IF(Inputs!$B$38="pvp",1,(1+(Inputs!$B$21+Skills!Q10+(((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Skills!G11*IF(Skills!H11&gt;0,INT(IF(Inputs!$B$38="pvp",MIN(Skills!I11,15),Skills!I11)/Skills!H11+0.000000001),1)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138,MAX(0,IF(Inputs!$B$3&gt;=118,8,IF(Inputs!$B$3&gt;=110,7,5))-5)*50,0),0)/100)*(1+(IF(Skills!A11="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IFERROR(1/(IF(Inputs!$B$38="pvp",15,MAX(0.1,Skills!D11-IF(TRUE=TRUE,2.5,0)))*(1-IF(AND(ArtifactsInput!$M$27,Inputs!$B$4="Chapter Hunt"),CHOOSE(ArtifactsInput!$N$27+1,20,24,28,32,36,40),0)/100)),0)</f>
        <v/>
      </c>
      <c r="R2868">
        <f>IF(AND(Inputs!$B$38&lt;&gt;"pvp",Inputs!$B$43&gt;0),IF(MAX(0,Inputs!$B$43-B2893)&lt;=0,0,(INT(MAX(0,Inputs!$B$43-B2893)/(IF(Inputs!$B$38="pvp",15,MAX(0.1,Skills!D11-IF(TRUE=TRUE,2.5,0)))*(1-IF(AND(ArtifactsInput!$M$27,Inputs!$B$4="Chapter Hunt"),CHOOSE(ArtifactsInput!$N$27+1,20,24,28,32,36,40),0)/100)))+1)),0)</f>
        <v/>
      </c>
      <c r="S2868">
        <f>IFERROR(O2868/N2868,0)</f>
        <v/>
      </c>
      <c r="T2868">
        <f>IF(C2868,(H2868*N2868*IF(AND(Inputs!$B$38&lt;&gt;"pvp",Inputs!$B$43&gt;0),((Skills!G11*((R2868-1)*IF(Skills!H11&gt;0,INT(Skills!I11/Skills!H11+0.000000001),1)+IF(Skills!H11&gt;0,INT(MIN(Skills!I11,MAX(0,MAX(0,Inputs!$B$43-B2893)-((R2868-1)*(IF(Inputs!$B$38="pvp",15,MAX(0.1,Skills!D11-IF(TRUE=TRUE,2.5,0)))*(1-IF(AND(ArtifactsInput!$M$27,Inputs!$B$4="Chapter Hunt"),CHOOSE(ArtifactsInput!$N$27+1,20,24,28,32,36,40),0)/100)))))/Skills!H11+0.000000001),1)))/Inputs!$B$43),G2868*Q2868))*IF(Inputs!$B$38="pvp",1,1+(Inputs!$B$20+0+Skills!P11+(((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INT(Skills!I11/Skills!H11+0.000000001),1)+IF(Skills!H11&gt;0,INT(MIN(Skills!I11,MAX(0,MAX(0,Inputs!$B$43-B2893)-((R2868-1)*(IF(Inputs!$B$38="pvp",15,MAX(0.1,Skills!D11-IF(TRUE=TRUE,2.5,0)))*(1-IF(AND(ArtifactsInput!$M$27,Inputs!$B$4="Chapter Hunt"),CHOOSE(ArtifactsInput!$N$27+1,20,24,28,32,36,40),0)/100)))))/Skills!H11+0.000000001),1)))/Inputs!$B$43),G2868*Q2868))*IF(Inputs!$B$38="pvp",1,(1+(Inputs!$B$21+Skills!Q11+(((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Skills!G13*IF(Skills!H13&gt;0,INT(IF(Inputs!$B$38="pvp",MIN(Skills!I13,15),Skills!I13)/Skills!H13+0.000000001),1)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Skills!G14*IF(Skills!H14&gt;0,INT(IF(Inputs!$B$38="pvp",MIN(Skills!I14,15),Skills!I14)/Skills!H14+0.000000001),1)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Skills!G15*IF(Skills!H15&gt;0,INT(IF(Inputs!$B$38="pvp",MIN(Skills!I15,15),Skills!I15)/Skills!H15+0.000000001),1)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IFERROR(1/(IF(Inputs!$B$38="pvp",15,MAX(0.1,Skills!D15-IF(TRUE=TRUE,2.5,0)))*(1-IF(AND(ArtifactsInput!$M$27,Inputs!$B$4="Chapter Hunt"),CHOOSE(ArtifactsInput!$N$27+1,20,24,28,32,36,40),0)/100)),0)</f>
        <v/>
      </c>
      <c r="R2872">
        <f>IF(AND(Inputs!$B$38&lt;&gt;"pvp",Inputs!$B$43&gt;0),IF(Inputs!$B$43&lt;=0,0,(INT(Inputs!$B$43/(IF(Inputs!$B$38="pvp",15,MAX(0.1,Skills!D15-IF(TRUE=TRUE,2.5,0)))*(1-IF(AND(ArtifactsInput!$M$27,Inputs!$B$4="Chapter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Skills!G16*IF(Skills!H16&gt;0,INT(IF(Inputs!$B$38="pvp",MIN(Skills!I16,15),Skills!I16)/Skills!H16+0.000000001),1)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IFERROR(1/(IF(Inputs!$B$38="pvp",15,MAX(0.1,Skills!D16-IF(TRUE=TRUE,2.5,0)))*(1-IF(AND(ArtifactsInput!$M$27,Inputs!$B$4="Chapter Hunt"),CHOOSE(ArtifactsInput!$N$27+1,20,24,28,32,36,40),0)/100)),0)</f>
        <v/>
      </c>
      <c r="R2873">
        <f>IF(AND(Inputs!$B$38&lt;&gt;"pvp",Inputs!$B$43&gt;0),IF(Inputs!$B$43&lt;=0,0,(INT(Inputs!$B$43/(IF(Inputs!$B$38="pvp",15,MAX(0.1,Skills!D16-IF(TRUE=TRUE,2.5,0)))*(1-IF(AND(ArtifactsInput!$M$27,Inputs!$B$4="Chapter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Skills!G17*IF(Skills!H17&gt;0,INT(IF(Inputs!$B$38="pvp",MIN(Skills!I17,15),Skills!I17)/Skills!H17+0.000000001),1)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IFERROR(1/(IF(Inputs!$B$38="pvp",15,MAX(0.1,Skills!D17-IF(TRUE=TRUE,2.5,0)))*(1-IF(AND(ArtifactsInput!$M$27,Inputs!$B$4="Chapter Hunt"),CHOOSE(ArtifactsInput!$N$27+1,20,24,28,32,36,40),0)/100)),0)</f>
        <v/>
      </c>
      <c r="R2874">
        <f>IF(AND(Inputs!$B$38&lt;&gt;"pvp",Inputs!$B$43&gt;0),IF(Inputs!$B$43&lt;=0,0,(INT(Inputs!$B$43/(IF(Inputs!$B$38="pvp",15,MAX(0.1,Skills!D17-IF(TRUE=TRUE,2.5,0)))*(1-IF(AND(ArtifactsInput!$M$27,Inputs!$B$4="Chapter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Skills!G18*IF(Skills!H18&gt;0,INT(IF(Inputs!$B$38="pvp",MIN(Skills!I18,15),Skills!I18)/Skills!H18+0.000000001),1)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IFERROR(1/(IF(Inputs!$B$38="pvp",15,MAX(0.1,Skills!D18-IF(TRUE=TRUE,2.5,0)))*(1-IF(AND(ArtifactsInput!$M$27,Inputs!$B$4="Chapter Hunt"),CHOOSE(ArtifactsInput!$N$27+1,20,24,28,32,36,40),0)/100)),0)</f>
        <v/>
      </c>
      <c r="R2875">
        <f>IF(AND(Inputs!$B$38&lt;&gt;"pvp",Inputs!$B$43&gt;0),IF(Inputs!$B$43&lt;=0,0,(INT(Inputs!$B$43/(IF(Inputs!$B$38="pvp",15,MAX(0.1,Skills!D18-IF(TRUE=TRUE,2.5,0)))*(1-IF(AND(ArtifactsInput!$M$27,Inputs!$B$4="Chapter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Skills!G19*IF(Skills!H19&gt;0,INT(IF(Inputs!$B$38="pvp",MIN(Skills!I19,15),Skills!I19)/Skills!H19+0.000000001),1)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IFERROR(1/(IF(Inputs!$B$38="pvp",15,MAX(0.1,Skills!D19-IF(TRUE=TRUE,2.5,0)))*(1-IF(AND(ArtifactsInput!$M$27,Inputs!$B$4="Chapter Hunt"),CHOOSE(ArtifactsInput!$N$27+1,20,24,28,32,36,40),0)/100)),0)</f>
        <v/>
      </c>
      <c r="R2876">
        <f>IF(AND(Inputs!$B$38&lt;&gt;"pvp",Inputs!$B$43&gt;0),IF(Inputs!$B$43&lt;=0,0,(INT(Inputs!$B$43/(IF(Inputs!$B$38="pvp",15,MAX(0.1,Skills!D19-IF(TRUE=TRUE,2.5,0)))*(1-IF(AND(ArtifactsInput!$M$27,Inputs!$B$4="Chapter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Skills!G20*IF(Skills!H20&gt;0,INT(IF(Inputs!$B$38="pvp",MIN(Skills!I20,15),Skills!I20)/Skills!H20+0.000000001),1)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Skills!G21*IF(Skills!H21&gt;0,INT(IF(Inputs!$B$38="pvp",MIN(Skills!I21,15),Skills!I21)/Skills!H21+0.000000001),1)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Skills!G22*IF(Skills!H22&gt;0,INT(IF(Inputs!$B$38="pvp",MIN(Skills!I22,15),Skills!I22)/Skills!H22+0.000000001),1)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Skills!G23*IF(Skills!H23&gt;0,INT(IF(Inputs!$B$38="pvp",MIN(Skills!I23,15),Skills!I23)/Skills!H23+0.000000001),1)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Skills!G24*IF(Skills!H24&gt;0,INT(IF(Inputs!$B$38="pvp",MIN(Skills!I24,15),Skills!I24)/Skills!H24+0.000000001),1)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Skills!G25*IF(Skills!H25&gt;0,INT(IF(Inputs!$B$38="pvp",MIN(Skills!I25,15),Skills!I25)/Skills!H25+0.000000001),1)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Skills!G26*IF(Skills!H26&gt;0,INT(IF(Inputs!$B$38="pvp",MIN(Skills!I26,15),Skills!I26)/Skills!H26+0.000000001),1)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MIN((Skills!T19*(1+(Inputs!$B$34+(ArtifactsInput!$M$7-ArtifactsInput!$M$7)*CHOOSE(ArtifactsInput!$N$7+1,6,7.2,8.4,9.6,10.8,12))/100)),(1/Q2876))+MIN((Skills!T19*(1+(Inputs!$B$34+(ArtifactsInput!$M$7-ArtifactsInput!$M$7)*CHOOSE(ArtifactsInput!$N$7+1,6,7.2,8.4,9.6,10.8,12))/100)),MAX(0,Inputs!$B$43-((R2876-1)*(1/Q2876)))))/Inputs!$B$43),IF(Inputs!$B$38="pvp",MIN((Skills!T19*(1+(Inputs!$B$34+(ArtifactsInput!$M$7-ArtifactsInput!$M$7)*CHOOSE(ArtifactsInput!$N$7+1,6,7.2,8.4,9.6,10.8,12))/100)),15)/15,MIN(1,(Skills!T19*(1+(Inputs!$B$34+(ArtifactsInput!$M$7-ArtifactsInput!$M$7)*CHOOSE(ArtifactsInput!$N$7+1,6,7.2,8.4,9.6,10.8,12))/100))/(1/Q2876)))))</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MIN((Skills!T18*(1+(Inputs!$B$34+(ArtifactsInput!$M$7-ArtifactsInput!$M$7)*CHOOSE(ArtifactsInput!$N$7+1,6,7.2,8.4,9.6,10.8,12))/100)),(1/Q2875))+MIN((Skills!T18*(1+(Inputs!$B$34+(ArtifactsInput!$M$7-ArtifactsInput!$M$7)*CHOOSE(ArtifactsInput!$N$7+1,6,7.2,8.4,9.6,10.8,12))/100)),MAX(0,Inputs!$B$43-((R2875-1)*(1/Q2875)))))/Inputs!$B$43),IF(Inputs!$B$38="pvp",MIN((Skills!T18*(1+(Inputs!$B$34+(ArtifactsInput!$M$7-ArtifactsInput!$M$7)*CHOOSE(ArtifactsInput!$N$7+1,6,7.2,8.4,9.6,10.8,12))/100)),15)/15,MIN(1,(Skills!T18*(1+(Inputs!$B$34+(ArtifactsInput!$M$7-ArtifactsInput!$M$7)*CHOOSE(ArtifactsInput!$N$7+1,6,7.2,8.4,9.6,10.8,12))/100))/(1/Q2875)))))</f>
        <v/>
      </c>
    </row>
    <row r="2892">
      <c r="A2892" t="inlineStr">
        <is>
          <t>Global Final Damage Bonus % (Enrage + Combo Synergy)</t>
        </is>
      </c>
      <c r="B2892">
        <f>((C2874=TRUE)*F2874*IF(AND(Inputs!$B$38&lt;&gt;"pvp",Inputs!$B$43&gt;0),(((R2874-1)*MIN((Skills!T17*(1+(Inputs!$B$34+(ArtifactsInput!$M$7-ArtifactsInput!$M$7)*CHOOSE(ArtifactsInput!$N$7+1,6,7.2,8.4,9.6,10.8,12))/100)),(1/Q2874))+MIN((Skills!T17*(1+(Inputs!$B$34+(ArtifactsInput!$M$7-ArtifactsInput!$M$7)*CHOOSE(ArtifactsInput!$N$7+1,6,7.2,8.4,9.6,10.8,12))/100)),MAX(0,Inputs!$B$43-((R2874-1)*(1/Q2874)))))/Inputs!$B$43),IF(Inputs!$B$38="pvp",MIN((Skills!T17*(1+(Inputs!$B$34+(ArtifactsInput!$M$7-ArtifactsInput!$M$7)*CHOOSE(ArtifactsInput!$N$7+1,6,7.2,8.4,9.6,10.8,12))/100)),15)/15,MIN(1,(Skills!T17*(1+(Inputs!$B$34+(ArtifactsInput!$M$7-ArtifactsInput!$M$7)*CHOOSE(ArtifactsInput!$N$7+1,6,7.2,8.4,9.6,10.8,12))/100))/(1/Q2874)))))+((C2871=TRUE)*F2871*IF(Inputs!$B$3&gt;=118,8,IF(Inputs!$B$3&gt;=110,7,5)))+IF(Inputs!$B$3&gt;=98,5,0)</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Skills!G2*IF(Skills!H2&gt;0,INT(IF(Inputs!$B$38="pvp",MIN(Skills!I2,15),Skills!I2)/Skills!H2+0.000000001),1)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Skills!G5*IF(Skills!H5&gt;0,INT(IF(Inputs!$B$38="pvp",MIN(Skills!I5,15),Skills!I5)/Skills!H5+0.000000001),1)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IFERROR(1/(IF(Inputs!$B$38="pvp",15,MAX(0.1,Skills!D5-IF(TRUE=TRUE,3.0,0)))*(1-IF(AND(ArtifactsInput!$M$27,Inputs!$B$4="Chapter Hunt"),CHOOSE(ArtifactsInput!$N$27+1,20,24,28,32,36,40),0)/100)),0)</f>
        <v/>
      </c>
      <c r="R2904">
        <f>IF(AND(Inputs!$B$38&lt;&gt;"pvp",Inputs!$B$43&gt;0),IF(MAX(0,Inputs!$B$43-B2935)&lt;=0,0,(INT(MAX(0,Inputs!$B$43-B2935)/(IF(Inputs!$B$38="pvp",15,MAX(0.1,Skills!D5-IF(TRUE=TRUE,3.0,0)))*(1-IF(AND(ArtifactsInput!$M$27,Inputs!$B$4="Chapter Hunt"),CHOOSE(ArtifactsInput!$N$27+1,20,24,28,32,36,40),0)/100)))+1)),0)</f>
        <v/>
      </c>
      <c r="S2904">
        <f>IFERROR(O2904/N2904,0)</f>
        <v/>
      </c>
      <c r="T2904">
        <f>IF(C2904,(H2904*N2904*IF(AND(Inputs!$B$38&lt;&gt;"pvp",Inputs!$B$43&gt;0),((Skills!G5*((R2904-1)*IF(Skills!H5&gt;0,INT(Skills!I5/Skills!H5+0.000000001),1)+IF(Skills!H5&gt;0,INT(MIN(Skills!I5,MAX(0,MAX(0,Inputs!$B$43-B2935)-((R2904-1)*(IF(Inputs!$B$38="pvp",15,MAX(0.1,Skills!D5-IF(TRUE=TRUE,3.0,0)))*(1-IF(AND(ArtifactsInput!$M$27,Inputs!$B$4="Chapter Hunt"),CHOOSE(ArtifactsInput!$N$27+1,20,24,28,32,36,40),0)/100)))))/Skills!H5+0.000000001),1)))/Inputs!$B$43),G2904*Q2904))*IF(Inputs!$B$38="pvp",1,1+(Inputs!$B$20+0+Skills!P5+(((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INT(Skills!I5/Skills!H5+0.000000001),1)+IF(Skills!H5&gt;0,INT(MIN(Skills!I5,MAX(0,MAX(0,Inputs!$B$43-B2935)-((R2904-1)*(IF(Inputs!$B$38="pvp",15,MAX(0.1,Skills!D5-IF(TRUE=TRUE,3.0,0)))*(1-IF(AND(ArtifactsInput!$M$27,Inputs!$B$4="Chapter Hunt"),CHOOSE(ArtifactsInput!$N$27+1,20,24,28,32,36,40),0)/100)))))/Skills!H5+0.000000001),1)))/Inputs!$B$43),G2904*Q2904))*IF(Inputs!$B$38="pvp",1,(1+(Inputs!$B$21+Skills!Q5+(((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Skills!G6*IF(Skills!H6&gt;0,INT(IF(Inputs!$B$38="pvp",MIN(Skills!I6,15),Skills!I6)/Skills!H6+0.000000001),1)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IFERROR(1/(IF(Inputs!$B$38="pvp",15,MAX(0.1,Skills!D6-IF(TRUE=TRUE,3.0,0)))*(1-IF(AND(ArtifactsInput!$M$27,Inputs!$B$4="Chapter Hunt"),CHOOSE(ArtifactsInput!$N$27+1,20,24,28,32,36,40),0)/100)),0)</f>
        <v/>
      </c>
      <c r="R2905">
        <f>IF(AND(Inputs!$B$38&lt;&gt;"pvp",Inputs!$B$43&gt;0),IF(MAX(0,Inputs!$B$43-B2935)&lt;=0,0,(INT(MAX(0,Inputs!$B$43-B2935)/(IF(Inputs!$B$38="pvp",15,MAX(0.1,Skills!D6-IF(TRUE=TRUE,3.0,0)))*(1-IF(AND(ArtifactsInput!$M$27,Inputs!$B$4="Chapter Hunt"),CHOOSE(ArtifactsInput!$N$27+1,20,24,28,32,36,40),0)/100)))+1)),0)</f>
        <v/>
      </c>
      <c r="S2905">
        <f>IFERROR(O2905/N2905,0)</f>
        <v/>
      </c>
      <c r="T2905">
        <f>IF(C2905,(H2905*N2905*IF(AND(Inputs!$B$38&lt;&gt;"pvp",Inputs!$B$43&gt;0),((Skills!G6*((R2905-1)*IF(Skills!H6&gt;0,INT(Skills!I6/Skills!H6+0.000000001),1)+IF(Skills!H6&gt;0,INT(MIN(Skills!I6,MAX(0,MAX(0,Inputs!$B$43-B2935)-((R2905-1)*(IF(Inputs!$B$38="pvp",15,MAX(0.1,Skills!D6-IF(TRUE=TRUE,3.0,0)))*(1-IF(AND(ArtifactsInput!$M$27,Inputs!$B$4="Chapter Hunt"),CHOOSE(ArtifactsInput!$N$27+1,20,24,28,32,36,40),0)/100)))))/Skills!H6+0.000000001),1)))/Inputs!$B$43),G2905*Q2905))*IF(Inputs!$B$38="pvp",1,1+(Inputs!$B$20+0+Skills!P6+(((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INT(Skills!I6/Skills!H6+0.000000001),1)+IF(Skills!H6&gt;0,INT(MIN(Skills!I6,MAX(0,MAX(0,Inputs!$B$43-B2935)-((R2905-1)*(IF(Inputs!$B$38="pvp",15,MAX(0.1,Skills!D6-IF(TRUE=TRUE,3.0,0)))*(1-IF(AND(ArtifactsInput!$M$27,Inputs!$B$4="Chapter Hunt"),CHOOSE(ArtifactsInput!$N$27+1,20,24,28,32,36,40),0)/100)))))/Skills!H6+0.000000001),1)))/Inputs!$B$43),G2905*Q2905))*IF(Inputs!$B$38="pvp",1,(1+(Inputs!$B$21+Skills!Q6+(((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Skills!G7*IF(Skills!H7&gt;0,INT(IF(Inputs!$B$38="pvp",MIN(Skills!I7,15),Skills!I7)/Skills!H7+0.000000001),1)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IFERROR(1/(IF(Inputs!$B$38="pvp",15,MAX(0.1,Skills!D7-IF(TRUE=TRUE,3.0,0)))*(1-IF(AND(ArtifactsInput!$M$27,Inputs!$B$4="Chapter Hunt"),CHOOSE(ArtifactsInput!$N$27+1,20,24,28,32,36,40),0)/100)),0)</f>
        <v/>
      </c>
      <c r="R2906">
        <f>IF(AND(Inputs!$B$38&lt;&gt;"pvp",Inputs!$B$43&gt;0),IF(MAX(0,Inputs!$B$43-B2935)&lt;=0,0,(INT(MAX(0,Inputs!$B$43-B2935)/(IF(Inputs!$B$38="pvp",15,MAX(0.1,Skills!D7-IF(TRUE=TRUE,3.0,0)))*(1-IF(AND(ArtifactsInput!$M$27,Inputs!$B$4="Chapter Hunt"),CHOOSE(ArtifactsInput!$N$27+1,20,24,28,32,36,40),0)/100)))+1)),0)</f>
        <v/>
      </c>
      <c r="S2906">
        <f>IFERROR(O2906/N2906,0)</f>
        <v/>
      </c>
      <c r="T2906">
        <f>IF(C2906,(H2906*N2906*IF(AND(Inputs!$B$38&lt;&gt;"pvp",Inputs!$B$43&gt;0),((Skills!G7*((R2906-1)*IF(Skills!H7&gt;0,INT(Skills!I7/Skills!H7+0.000000001),1)+IF(Skills!H7&gt;0,INT(MIN(Skills!I7,MAX(0,MAX(0,Inputs!$B$43-B2935)-((R2906-1)*(IF(Inputs!$B$38="pvp",15,MAX(0.1,Skills!D7-IF(TRUE=TRUE,3.0,0)))*(1-IF(AND(ArtifactsInput!$M$27,Inputs!$B$4="Chapter Hunt"),CHOOSE(ArtifactsInput!$N$27+1,20,24,28,32,36,40),0)/100)))))/Skills!H7+0.000000001),1)))/Inputs!$B$43),G2906*Q2906))*IF(Inputs!$B$38="pvp",1,1+(Inputs!$B$20+0+Skills!P7+(((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INT(Skills!I7/Skills!H7+0.000000001),1)+IF(Skills!H7&gt;0,INT(MIN(Skills!I7,MAX(0,MAX(0,Inputs!$B$43-B2935)-((R2906-1)*(IF(Inputs!$B$38="pvp",15,MAX(0.1,Skills!D7-IF(TRUE=TRUE,3.0,0)))*(1-IF(AND(ArtifactsInput!$M$27,Inputs!$B$4="Chapter Hunt"),CHOOSE(ArtifactsInput!$N$27+1,20,24,28,32,36,40),0)/100)))))/Skills!H7+0.000000001),1)))/Inputs!$B$43),G2906*Q2906))*IF(Inputs!$B$38="pvp",1,(1+(Inputs!$B$21+Skills!Q7+(((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Skills!G8*IF(Skills!H8&gt;0,INT(IF(Inputs!$B$38="pvp",MIN(Skills!I8,15),Skills!I8)/Skills!H8+0.000000001),1)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IFERROR(1/(IF(Inputs!$B$38="pvp",15,MAX(0.1,Skills!D8-IF(TRUE=TRUE,3.0,0)))*(1-IF(AND(ArtifactsInput!$M$27,Inputs!$B$4="Chapter Hunt"),CHOOSE(ArtifactsInput!$N$27+1,20,24,28,32,36,40),0)/100)),0)</f>
        <v/>
      </c>
      <c r="R2907">
        <f>IF(AND(Inputs!$B$38&lt;&gt;"pvp",Inputs!$B$43&gt;0),IF(MAX(0,Inputs!$B$43-B2935)&lt;=0,0,(INT(MAX(0,Inputs!$B$43-B2935)/(IF(Inputs!$B$38="pvp",15,MAX(0.1,Skills!D8-IF(TRUE=TRUE,3.0,0)))*(1-IF(AND(ArtifactsInput!$M$27,Inputs!$B$4="Chapter Hunt"),CHOOSE(ArtifactsInput!$N$27+1,20,24,28,32,36,40),0)/100)))+1)),0)</f>
        <v/>
      </c>
      <c r="S2907">
        <f>IFERROR(O2907/N2907,0)</f>
        <v/>
      </c>
      <c r="T2907">
        <f>IF(C2907,(H2907*N2907*IF(AND(Inputs!$B$38&lt;&gt;"pvp",Inputs!$B$43&gt;0),((Skills!G8*((R2907-1)*IF(Skills!H8&gt;0,INT(Skills!I8/Skills!H8+0.000000001),1)+IF(Skills!H8&gt;0,INT(MIN(Skills!I8,MAX(0,MAX(0,Inputs!$B$43-B2935)-((R2907-1)*(IF(Inputs!$B$38="pvp",15,MAX(0.1,Skills!D8-IF(TRUE=TRUE,3.0,0)))*(1-IF(AND(ArtifactsInput!$M$27,Inputs!$B$4="Chapter Hunt"),CHOOSE(ArtifactsInput!$N$27+1,20,24,28,32,36,40),0)/100)))))/Skills!H8+0.000000001),1)))/Inputs!$B$43),G2907*Q2907))*IF(Inputs!$B$38="pvp",1,1+(Inputs!$B$20+0+Skills!P8+(((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INT(Skills!I8/Skills!H8+0.000000001),1)+IF(Skills!H8&gt;0,INT(MIN(Skills!I8,MAX(0,MAX(0,Inputs!$B$43-B2935)-((R2907-1)*(IF(Inputs!$B$38="pvp",15,MAX(0.1,Skills!D8-IF(TRUE=TRUE,3.0,0)))*(1-IF(AND(ArtifactsInput!$M$27,Inputs!$B$4="Chapter Hunt"),CHOOSE(ArtifactsInput!$N$27+1,20,24,28,32,36,40),0)/100)))))/Skills!H8+0.000000001),1)))/Inputs!$B$43),G2907*Q2907))*IF(Inputs!$B$38="pvp",1,(1+(Inputs!$B$21+Skills!Q8+(((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Skills!G9*IF(Skills!H9&gt;0,INT(IF(Inputs!$B$38="pvp",MIN(Skills!I9,15),Skills!I9)/Skills!H9+0.000000001),1)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138,MAX(0,IF(Inputs!$B$3&gt;=118,8,IF(Inputs!$B$3&gt;=110,7,5))-5)*50,0),0)/100)*(1+(IF(Skills!A9="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IFERROR(1/(IF(Inputs!$B$38="pvp",15,MAX(0.1,Skills!D9-IF(TRUE=TRUE,3.0,0)))*(1-IF(AND(ArtifactsInput!$M$27,Inputs!$B$4="Chapter Hunt"),CHOOSE(ArtifactsInput!$N$27+1,20,24,28,32,36,40),0)/100)),0)</f>
        <v/>
      </c>
      <c r="R2908">
        <f>IF(AND(Inputs!$B$38&lt;&gt;"pvp",Inputs!$B$43&gt;0),IF(MAX(0,Inputs!$B$43-B2935)&lt;=0,0,(INT(MAX(0,Inputs!$B$43-B2935)/(IF(Inputs!$B$38="pvp",15,MAX(0.1,Skills!D9-IF(TRUE=TRUE,3.0,0)))*(1-IF(AND(ArtifactsInput!$M$27,Inputs!$B$4="Chapter Hunt"),CHOOSE(ArtifactsInput!$N$27+1,20,24,28,32,36,40),0)/100)))+1)),0)</f>
        <v/>
      </c>
      <c r="S2908">
        <f>IFERROR(O2908/N2908,0)</f>
        <v/>
      </c>
      <c r="T2908">
        <f>IF(C2908,(H2908*N2908*IF(AND(Inputs!$B$38&lt;&gt;"pvp",Inputs!$B$43&gt;0),((Skills!G9*((R2908-1)*IF(Skills!H9&gt;0,INT(Skills!I9/Skills!H9+0.000000001),1)+IF(Skills!H9&gt;0,INT(MIN(Skills!I9,MAX(0,MAX(0,Inputs!$B$43-B2935)-((R2908-1)*(IF(Inputs!$B$38="pvp",15,MAX(0.1,Skills!D9-IF(TRUE=TRUE,3.0,0)))*(1-IF(AND(ArtifactsInput!$M$27,Inputs!$B$4="Chapter Hunt"),CHOOSE(ArtifactsInput!$N$27+1,20,24,28,32,36,40),0)/100)))))/Skills!H9+0.000000001),1)))/Inputs!$B$43),G2908*Q2908))*IF(Inputs!$B$38="pvp",1,1+(Inputs!$B$20+0+Skills!P9+(((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INT(Skills!I9/Skills!H9+0.000000001),1)+IF(Skills!H9&gt;0,INT(MIN(Skills!I9,MAX(0,MAX(0,Inputs!$B$43-B2935)-((R2908-1)*(IF(Inputs!$B$38="pvp",15,MAX(0.1,Skills!D9-IF(TRUE=TRUE,3.0,0)))*(1-IF(AND(ArtifactsInput!$M$27,Inputs!$B$4="Chapter Hunt"),CHOOSE(ArtifactsInput!$N$27+1,20,24,28,32,36,40),0)/100)))))/Skills!H9+0.000000001),1)))/Inputs!$B$43),G2908*Q2908))*IF(Inputs!$B$38="pvp",1,(1+(Inputs!$B$21+Skills!Q9+(((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Skills!G10*IF(Skills!H10&gt;0,INT(IF(Inputs!$B$38="pvp",MIN(Skills!I10,15),Skills!I10)/Skills!H10+0.000000001),1)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138,MAX(0,IF(Inputs!$B$3&gt;=118,8,IF(Inputs!$B$3&gt;=110,7,5))-5)*50,0),0)/100)*(1+(IF(Skills!A10="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IFERROR(1/(IF(Inputs!$B$38="pvp",15,MAX(0.1,Skills!D10-IF(TRUE=TRUE,3.0,0)))*(1-IF(AND(ArtifactsInput!$M$27,Inputs!$B$4="Chapter Hunt"),CHOOSE(ArtifactsInput!$N$27+1,20,24,28,32,36,40),0)/100)),0)</f>
        <v/>
      </c>
      <c r="R2909">
        <f>IF(AND(Inputs!$B$38&lt;&gt;"pvp",Inputs!$B$43&gt;0),IF(MAX(0,Inputs!$B$43-B2935)&lt;=0,0,(INT(MAX(0,Inputs!$B$43-B2935)/(IF(Inputs!$B$38="pvp",15,MAX(0.1,Skills!D10-IF(TRUE=TRUE,3.0,0)))*(1-IF(AND(ArtifactsInput!$M$27,Inputs!$B$4="Chapter Hunt"),CHOOSE(ArtifactsInput!$N$27+1,20,24,28,32,36,40),0)/100)))+1)),0)</f>
        <v/>
      </c>
      <c r="S2909">
        <f>IFERROR(O2909/N2909,0)</f>
        <v/>
      </c>
      <c r="T2909">
        <f>IF(C2909,(H2909*N2909*IF(AND(Inputs!$B$38&lt;&gt;"pvp",Inputs!$B$43&gt;0),((Skills!G10*((R2909-1)*IF(Skills!H10&gt;0,INT(Skills!I10/Skills!H10+0.000000001),1)+IF(Skills!H10&gt;0,INT(MIN(Skills!I10,MAX(0,MAX(0,Inputs!$B$43-B2935)-((R2909-1)*(IF(Inputs!$B$38="pvp",15,MAX(0.1,Skills!D10-IF(TRUE=TRUE,3.0,0)))*(1-IF(AND(ArtifactsInput!$M$27,Inputs!$B$4="Chapter Hunt"),CHOOSE(ArtifactsInput!$N$27+1,20,24,28,32,36,40),0)/100)))))/Skills!H10+0.000000001),1)))/Inputs!$B$43),G2909*Q2909))*IF(Inputs!$B$38="pvp",1,1+(Inputs!$B$20+0+Skills!P10+(((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INT(Skills!I10/Skills!H10+0.000000001),1)+IF(Skills!H10&gt;0,INT(MIN(Skills!I10,MAX(0,MAX(0,Inputs!$B$43-B2935)-((R2909-1)*(IF(Inputs!$B$38="pvp",15,MAX(0.1,Skills!D10-IF(TRUE=TRUE,3.0,0)))*(1-IF(AND(ArtifactsInput!$M$27,Inputs!$B$4="Chapter Hunt"),CHOOSE(ArtifactsInput!$N$27+1,20,24,28,32,36,40),0)/100)))))/Skills!H10+0.000000001),1)))/Inputs!$B$43),G2909*Q2909))*IF(Inputs!$B$38="pvp",1,(1+(Inputs!$B$21+Skills!Q10+(((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Skills!G11*IF(Skills!H11&gt;0,INT(IF(Inputs!$B$38="pvp",MIN(Skills!I11,15),Skills!I11)/Skills!H11+0.000000001),1)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138,MAX(0,IF(Inputs!$B$3&gt;=118,8,IF(Inputs!$B$3&gt;=110,7,5))-5)*50,0),0)/100)*(1+(IF(Skills!A11="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IFERROR(1/(IF(Inputs!$B$38="pvp",15,MAX(0.1,Skills!D11-IF(TRUE=TRUE,3.0,0)))*(1-IF(AND(ArtifactsInput!$M$27,Inputs!$B$4="Chapter Hunt"),CHOOSE(ArtifactsInput!$N$27+1,20,24,28,32,36,40),0)/100)),0)</f>
        <v/>
      </c>
      <c r="R2910">
        <f>IF(AND(Inputs!$B$38&lt;&gt;"pvp",Inputs!$B$43&gt;0),IF(MAX(0,Inputs!$B$43-B2935)&lt;=0,0,(INT(MAX(0,Inputs!$B$43-B2935)/(IF(Inputs!$B$38="pvp",15,MAX(0.1,Skills!D11-IF(TRUE=TRUE,3.0,0)))*(1-IF(AND(ArtifactsInput!$M$27,Inputs!$B$4="Chapter Hunt"),CHOOSE(ArtifactsInput!$N$27+1,20,24,28,32,36,40),0)/100)))+1)),0)</f>
        <v/>
      </c>
      <c r="S2910">
        <f>IFERROR(O2910/N2910,0)</f>
        <v/>
      </c>
      <c r="T2910">
        <f>IF(C2910,(H2910*N2910*IF(AND(Inputs!$B$38&lt;&gt;"pvp",Inputs!$B$43&gt;0),((Skills!G11*((R2910-1)*IF(Skills!H11&gt;0,INT(Skills!I11/Skills!H11+0.000000001),1)+IF(Skills!H11&gt;0,INT(MIN(Skills!I11,MAX(0,MAX(0,Inputs!$B$43-B2935)-((R2910-1)*(IF(Inputs!$B$38="pvp",15,MAX(0.1,Skills!D11-IF(TRUE=TRUE,3.0,0)))*(1-IF(AND(ArtifactsInput!$M$27,Inputs!$B$4="Chapter Hunt"),CHOOSE(ArtifactsInput!$N$27+1,20,24,28,32,36,40),0)/100)))))/Skills!H11+0.000000001),1)))/Inputs!$B$43),G2910*Q2910))*IF(Inputs!$B$38="pvp",1,1+(Inputs!$B$20+0+Skills!P11+(((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INT(Skills!I11/Skills!H11+0.000000001),1)+IF(Skills!H11&gt;0,INT(MIN(Skills!I11,MAX(0,MAX(0,Inputs!$B$43-B2935)-((R2910-1)*(IF(Inputs!$B$38="pvp",15,MAX(0.1,Skills!D11-IF(TRUE=TRUE,3.0,0)))*(1-IF(AND(ArtifactsInput!$M$27,Inputs!$B$4="Chapter Hunt"),CHOOSE(ArtifactsInput!$N$27+1,20,24,28,32,36,40),0)/100)))))/Skills!H11+0.000000001),1)))/Inputs!$B$43),G2910*Q2910))*IF(Inputs!$B$38="pvp",1,(1+(Inputs!$B$21+Skills!Q11+(((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Skills!G13*IF(Skills!H13&gt;0,INT(IF(Inputs!$B$38="pvp",MIN(Skills!I13,15),Skills!I13)/Skills!H13+0.000000001),1)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Skills!G14*IF(Skills!H14&gt;0,INT(IF(Inputs!$B$38="pvp",MIN(Skills!I14,15),Skills!I14)/Skills!H14+0.000000001),1)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Skills!G15*IF(Skills!H15&gt;0,INT(IF(Inputs!$B$38="pvp",MIN(Skills!I15,15),Skills!I15)/Skills!H15+0.000000001),1)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IFERROR(1/(IF(Inputs!$B$38="pvp",15,MAX(0.1,Skills!D15-IF(TRUE=TRUE,3.0,0)))*(1-IF(AND(ArtifactsInput!$M$27,Inputs!$B$4="Chapter Hunt"),CHOOSE(ArtifactsInput!$N$27+1,20,24,28,32,36,40),0)/100)),0)</f>
        <v/>
      </c>
      <c r="R2914">
        <f>IF(AND(Inputs!$B$38&lt;&gt;"pvp",Inputs!$B$43&gt;0),IF(Inputs!$B$43&lt;=0,0,(INT(Inputs!$B$43/(IF(Inputs!$B$38="pvp",15,MAX(0.1,Skills!D15-IF(TRUE=TRUE,3.0,0)))*(1-IF(AND(ArtifactsInput!$M$27,Inputs!$B$4="Chapter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Skills!G16*IF(Skills!H16&gt;0,INT(IF(Inputs!$B$38="pvp",MIN(Skills!I16,15),Skills!I16)/Skills!H16+0.000000001),1)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IFERROR(1/(IF(Inputs!$B$38="pvp",15,MAX(0.1,Skills!D16-IF(TRUE=TRUE,3.0,0)))*(1-IF(AND(ArtifactsInput!$M$27,Inputs!$B$4="Chapter Hunt"),CHOOSE(ArtifactsInput!$N$27+1,20,24,28,32,36,40),0)/100)),0)</f>
        <v/>
      </c>
      <c r="R2915">
        <f>IF(AND(Inputs!$B$38&lt;&gt;"pvp",Inputs!$B$43&gt;0),IF(Inputs!$B$43&lt;=0,0,(INT(Inputs!$B$43/(IF(Inputs!$B$38="pvp",15,MAX(0.1,Skills!D16-IF(TRUE=TRUE,3.0,0)))*(1-IF(AND(ArtifactsInput!$M$27,Inputs!$B$4="Chapter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Skills!G17*IF(Skills!H17&gt;0,INT(IF(Inputs!$B$38="pvp",MIN(Skills!I17,15),Skills!I17)/Skills!H17+0.000000001),1)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IFERROR(1/(IF(Inputs!$B$38="pvp",15,MAX(0.1,Skills!D17-IF(TRUE=TRUE,3.0,0)))*(1-IF(AND(ArtifactsInput!$M$27,Inputs!$B$4="Chapter Hunt"),CHOOSE(ArtifactsInput!$N$27+1,20,24,28,32,36,40),0)/100)),0)</f>
        <v/>
      </c>
      <c r="R2916">
        <f>IF(AND(Inputs!$B$38&lt;&gt;"pvp",Inputs!$B$43&gt;0),IF(Inputs!$B$43&lt;=0,0,(INT(Inputs!$B$43/(IF(Inputs!$B$38="pvp",15,MAX(0.1,Skills!D17-IF(TRUE=TRUE,3.0,0)))*(1-IF(AND(ArtifactsInput!$M$27,Inputs!$B$4="Chapter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Skills!G18*IF(Skills!H18&gt;0,INT(IF(Inputs!$B$38="pvp",MIN(Skills!I18,15),Skills!I18)/Skills!H18+0.000000001),1)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IFERROR(1/(IF(Inputs!$B$38="pvp",15,MAX(0.1,Skills!D18-IF(TRUE=TRUE,3.0,0)))*(1-IF(AND(ArtifactsInput!$M$27,Inputs!$B$4="Chapter Hunt"),CHOOSE(ArtifactsInput!$N$27+1,20,24,28,32,36,40),0)/100)),0)</f>
        <v/>
      </c>
      <c r="R2917">
        <f>IF(AND(Inputs!$B$38&lt;&gt;"pvp",Inputs!$B$43&gt;0),IF(Inputs!$B$43&lt;=0,0,(INT(Inputs!$B$43/(IF(Inputs!$B$38="pvp",15,MAX(0.1,Skills!D18-IF(TRUE=TRUE,3.0,0)))*(1-IF(AND(ArtifactsInput!$M$27,Inputs!$B$4="Chapter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Skills!G19*IF(Skills!H19&gt;0,INT(IF(Inputs!$B$38="pvp",MIN(Skills!I19,15),Skills!I19)/Skills!H19+0.000000001),1)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IFERROR(1/(IF(Inputs!$B$38="pvp",15,MAX(0.1,Skills!D19-IF(TRUE=TRUE,3.0,0)))*(1-IF(AND(ArtifactsInput!$M$27,Inputs!$B$4="Chapter Hunt"),CHOOSE(ArtifactsInput!$N$27+1,20,24,28,32,36,40),0)/100)),0)</f>
        <v/>
      </c>
      <c r="R2918">
        <f>IF(AND(Inputs!$B$38&lt;&gt;"pvp",Inputs!$B$43&gt;0),IF(Inputs!$B$43&lt;=0,0,(INT(Inputs!$B$43/(IF(Inputs!$B$38="pvp",15,MAX(0.1,Skills!D19-IF(TRUE=TRUE,3.0,0)))*(1-IF(AND(ArtifactsInput!$M$27,Inputs!$B$4="Chapter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Skills!G20*IF(Skills!H20&gt;0,INT(IF(Inputs!$B$38="pvp",MIN(Skills!I20,15),Skills!I20)/Skills!H20+0.000000001),1)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Skills!G21*IF(Skills!H21&gt;0,INT(IF(Inputs!$B$38="pvp",MIN(Skills!I21,15),Skills!I21)/Skills!H21+0.000000001),1)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Skills!G22*IF(Skills!H22&gt;0,INT(IF(Inputs!$B$38="pvp",MIN(Skills!I22,15),Skills!I22)/Skills!H22+0.000000001),1)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Skills!G23*IF(Skills!H23&gt;0,INT(IF(Inputs!$B$38="pvp",MIN(Skills!I23,15),Skills!I23)/Skills!H23+0.000000001),1)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Skills!G24*IF(Skills!H24&gt;0,INT(IF(Inputs!$B$38="pvp",MIN(Skills!I24,15),Skills!I24)/Skills!H24+0.000000001),1)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Skills!G25*IF(Skills!H25&gt;0,INT(IF(Inputs!$B$38="pvp",MIN(Skills!I25,15),Skills!I25)/Skills!H25+0.000000001),1)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Skills!G26*IF(Skills!H26&gt;0,INT(IF(Inputs!$B$38="pvp",MIN(Skills!I26,15),Skills!I26)/Skills!H26+0.000000001),1)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MIN((Skills!T19*(1+(Inputs!$B$34+(ArtifactsInput!$M$7-ArtifactsInput!$M$7)*CHOOSE(ArtifactsInput!$N$7+1,6,7.2,8.4,9.6,10.8,12))/100)),(1/Q2918))+MIN((Skills!T19*(1+(Inputs!$B$34+(ArtifactsInput!$M$7-ArtifactsInput!$M$7)*CHOOSE(ArtifactsInput!$N$7+1,6,7.2,8.4,9.6,10.8,12))/100)),MAX(0,Inputs!$B$43-((R2918-1)*(1/Q2918)))))/Inputs!$B$43),IF(Inputs!$B$38="pvp",MIN((Skills!T19*(1+(Inputs!$B$34+(ArtifactsInput!$M$7-ArtifactsInput!$M$7)*CHOOSE(ArtifactsInput!$N$7+1,6,7.2,8.4,9.6,10.8,12))/100)),15)/15,MIN(1,(Skills!T19*(1+(Inputs!$B$34+(ArtifactsInput!$M$7-ArtifactsInput!$M$7)*CHOOSE(ArtifactsInput!$N$7+1,6,7.2,8.4,9.6,10.8,12))/100))/(1/Q2918)))))</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MIN((Skills!T18*(1+(Inputs!$B$34+(ArtifactsInput!$M$7-ArtifactsInput!$M$7)*CHOOSE(ArtifactsInput!$N$7+1,6,7.2,8.4,9.6,10.8,12))/100)),(1/Q2917))+MIN((Skills!T18*(1+(Inputs!$B$34+(ArtifactsInput!$M$7-ArtifactsInput!$M$7)*CHOOSE(ArtifactsInput!$N$7+1,6,7.2,8.4,9.6,10.8,12))/100)),MAX(0,Inputs!$B$43-((R2917-1)*(1/Q2917)))))/Inputs!$B$43),IF(Inputs!$B$38="pvp",MIN((Skills!T18*(1+(Inputs!$B$34+(ArtifactsInput!$M$7-ArtifactsInput!$M$7)*CHOOSE(ArtifactsInput!$N$7+1,6,7.2,8.4,9.6,10.8,12))/100)),15)/15,MIN(1,(Skills!T18*(1+(Inputs!$B$34+(ArtifactsInput!$M$7-ArtifactsInput!$M$7)*CHOOSE(ArtifactsInput!$N$7+1,6,7.2,8.4,9.6,10.8,12))/100))/(1/Q2917)))))</f>
        <v/>
      </c>
    </row>
    <row r="2934">
      <c r="A2934" t="inlineStr">
        <is>
          <t>Global Final Damage Bonus % (Enrage + Combo Synergy)</t>
        </is>
      </c>
      <c r="B2934">
        <f>((C2916=TRUE)*F2916*IF(AND(Inputs!$B$38&lt;&gt;"pvp",Inputs!$B$43&gt;0),(((R2916-1)*MIN((Skills!T17*(1+(Inputs!$B$34+(ArtifactsInput!$M$7-ArtifactsInput!$M$7)*CHOOSE(ArtifactsInput!$N$7+1,6,7.2,8.4,9.6,10.8,12))/100)),(1/Q2916))+MIN((Skills!T17*(1+(Inputs!$B$34+(ArtifactsInput!$M$7-ArtifactsInput!$M$7)*CHOOSE(ArtifactsInput!$N$7+1,6,7.2,8.4,9.6,10.8,12))/100)),MAX(0,Inputs!$B$43-((R2916-1)*(1/Q2916)))))/Inputs!$B$43),IF(Inputs!$B$38="pvp",MIN((Skills!T17*(1+(Inputs!$B$34+(ArtifactsInput!$M$7-ArtifactsInput!$M$7)*CHOOSE(ArtifactsInput!$N$7+1,6,7.2,8.4,9.6,10.8,12))/100)),15)/15,MIN(1,(Skills!T17*(1+(Inputs!$B$34+(ArtifactsInput!$M$7-ArtifactsInput!$M$7)*CHOOSE(ArtifactsInput!$N$7+1,6,7.2,8.4,9.6,10.8,12))/100))/(1/Q2916)))))+((C2913=TRUE)*F2913*IF(Inputs!$B$3&gt;=118,8,IF(Inputs!$B$3&gt;=110,7,5)))+IF(Inputs!$B$3&gt;=98,5,0)</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Skills!G2*IF(Skills!H2&gt;0,INT(IF(Inputs!$B$38="pvp",MIN(Skills!I2,15),Skills!I2)/Skills!H2+0.000000001),1)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Skills!G5*IF(Skills!H5&gt;0,INT(IF(Inputs!$B$38="pvp",MIN(Skills!I5,15),Skills!I5)/Skills!H5+0.000000001),1)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IFERROR(1/(IF(Inputs!$B$38="pvp",15,MAX(0.1,Skills!D5-IF(TRUE=TRUE,3.5,0)))*(1-IF(AND(ArtifactsInput!$M$27,Inputs!$B$4="Chapter Hunt"),CHOOSE(ArtifactsInput!$N$27+1,20,24,28,32,36,40),0)/100)),0)</f>
        <v/>
      </c>
      <c r="R2946">
        <f>IF(AND(Inputs!$B$38&lt;&gt;"pvp",Inputs!$B$43&gt;0),IF(MAX(0,Inputs!$B$43-B2977)&lt;=0,0,(INT(MAX(0,Inputs!$B$43-B2977)/(IF(Inputs!$B$38="pvp",15,MAX(0.1,Skills!D5-IF(TRUE=TRUE,3.5,0)))*(1-IF(AND(ArtifactsInput!$M$27,Inputs!$B$4="Chapter Hunt"),CHOOSE(ArtifactsInput!$N$27+1,20,24,28,32,36,40),0)/100)))+1)),0)</f>
        <v/>
      </c>
      <c r="S2946">
        <f>IFERROR(O2946/N2946,0)</f>
        <v/>
      </c>
      <c r="T2946">
        <f>IF(C2946,(H2946*N2946*IF(AND(Inputs!$B$38&lt;&gt;"pvp",Inputs!$B$43&gt;0),((Skills!G5*((R2946-1)*IF(Skills!H5&gt;0,INT(Skills!I5/Skills!H5+0.000000001),1)+IF(Skills!H5&gt;0,INT(MIN(Skills!I5,MAX(0,MAX(0,Inputs!$B$43-B2977)-((R2946-1)*(IF(Inputs!$B$38="pvp",15,MAX(0.1,Skills!D5-IF(TRUE=TRUE,3.5,0)))*(1-IF(AND(ArtifactsInput!$M$27,Inputs!$B$4="Chapter Hunt"),CHOOSE(ArtifactsInput!$N$27+1,20,24,28,32,36,40),0)/100)))))/Skills!H5+0.000000001),1)))/Inputs!$B$43),G2946*Q2946))*IF(Inputs!$B$38="pvp",1,1+(Inputs!$B$20+0+Skills!P5+(((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INT(Skills!I5/Skills!H5+0.000000001),1)+IF(Skills!H5&gt;0,INT(MIN(Skills!I5,MAX(0,MAX(0,Inputs!$B$43-B2977)-((R2946-1)*(IF(Inputs!$B$38="pvp",15,MAX(0.1,Skills!D5-IF(TRUE=TRUE,3.5,0)))*(1-IF(AND(ArtifactsInput!$M$27,Inputs!$B$4="Chapter Hunt"),CHOOSE(ArtifactsInput!$N$27+1,20,24,28,32,36,40),0)/100)))))/Skills!H5+0.000000001),1)))/Inputs!$B$43),G2946*Q2946))*IF(Inputs!$B$38="pvp",1,(1+(Inputs!$B$21+Skills!Q5+(((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Skills!G6*IF(Skills!H6&gt;0,INT(IF(Inputs!$B$38="pvp",MIN(Skills!I6,15),Skills!I6)/Skills!H6+0.000000001),1)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IFERROR(1/(IF(Inputs!$B$38="pvp",15,MAX(0.1,Skills!D6-IF(TRUE=TRUE,3.5,0)))*(1-IF(AND(ArtifactsInput!$M$27,Inputs!$B$4="Chapter Hunt"),CHOOSE(ArtifactsInput!$N$27+1,20,24,28,32,36,40),0)/100)),0)</f>
        <v/>
      </c>
      <c r="R2947">
        <f>IF(AND(Inputs!$B$38&lt;&gt;"pvp",Inputs!$B$43&gt;0),IF(MAX(0,Inputs!$B$43-B2977)&lt;=0,0,(INT(MAX(0,Inputs!$B$43-B2977)/(IF(Inputs!$B$38="pvp",15,MAX(0.1,Skills!D6-IF(TRUE=TRUE,3.5,0)))*(1-IF(AND(ArtifactsInput!$M$27,Inputs!$B$4="Chapter Hunt"),CHOOSE(ArtifactsInput!$N$27+1,20,24,28,32,36,40),0)/100)))+1)),0)</f>
        <v/>
      </c>
      <c r="S2947">
        <f>IFERROR(O2947/N2947,0)</f>
        <v/>
      </c>
      <c r="T2947">
        <f>IF(C2947,(H2947*N2947*IF(AND(Inputs!$B$38&lt;&gt;"pvp",Inputs!$B$43&gt;0),((Skills!G6*((R2947-1)*IF(Skills!H6&gt;0,INT(Skills!I6/Skills!H6+0.000000001),1)+IF(Skills!H6&gt;0,INT(MIN(Skills!I6,MAX(0,MAX(0,Inputs!$B$43-B2977)-((R2947-1)*(IF(Inputs!$B$38="pvp",15,MAX(0.1,Skills!D6-IF(TRUE=TRUE,3.5,0)))*(1-IF(AND(ArtifactsInput!$M$27,Inputs!$B$4="Chapter Hunt"),CHOOSE(ArtifactsInput!$N$27+1,20,24,28,32,36,40),0)/100)))))/Skills!H6+0.000000001),1)))/Inputs!$B$43),G2947*Q2947))*IF(Inputs!$B$38="pvp",1,1+(Inputs!$B$20+0+Skills!P6+(((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INT(Skills!I6/Skills!H6+0.000000001),1)+IF(Skills!H6&gt;0,INT(MIN(Skills!I6,MAX(0,MAX(0,Inputs!$B$43-B2977)-((R2947-1)*(IF(Inputs!$B$38="pvp",15,MAX(0.1,Skills!D6-IF(TRUE=TRUE,3.5,0)))*(1-IF(AND(ArtifactsInput!$M$27,Inputs!$B$4="Chapter Hunt"),CHOOSE(ArtifactsInput!$N$27+1,20,24,28,32,36,40),0)/100)))))/Skills!H6+0.000000001),1)))/Inputs!$B$43),G2947*Q2947))*IF(Inputs!$B$38="pvp",1,(1+(Inputs!$B$21+Skills!Q6+(((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Skills!G7*IF(Skills!H7&gt;0,INT(IF(Inputs!$B$38="pvp",MIN(Skills!I7,15),Skills!I7)/Skills!H7+0.000000001),1)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IFERROR(1/(IF(Inputs!$B$38="pvp",15,MAX(0.1,Skills!D7-IF(TRUE=TRUE,3.5,0)))*(1-IF(AND(ArtifactsInput!$M$27,Inputs!$B$4="Chapter Hunt"),CHOOSE(ArtifactsInput!$N$27+1,20,24,28,32,36,40),0)/100)),0)</f>
        <v/>
      </c>
      <c r="R2948">
        <f>IF(AND(Inputs!$B$38&lt;&gt;"pvp",Inputs!$B$43&gt;0),IF(MAX(0,Inputs!$B$43-B2977)&lt;=0,0,(INT(MAX(0,Inputs!$B$43-B2977)/(IF(Inputs!$B$38="pvp",15,MAX(0.1,Skills!D7-IF(TRUE=TRUE,3.5,0)))*(1-IF(AND(ArtifactsInput!$M$27,Inputs!$B$4="Chapter Hunt"),CHOOSE(ArtifactsInput!$N$27+1,20,24,28,32,36,40),0)/100)))+1)),0)</f>
        <v/>
      </c>
      <c r="S2948">
        <f>IFERROR(O2948/N2948,0)</f>
        <v/>
      </c>
      <c r="T2948">
        <f>IF(C2948,(H2948*N2948*IF(AND(Inputs!$B$38&lt;&gt;"pvp",Inputs!$B$43&gt;0),((Skills!G7*((R2948-1)*IF(Skills!H7&gt;0,INT(Skills!I7/Skills!H7+0.000000001),1)+IF(Skills!H7&gt;0,INT(MIN(Skills!I7,MAX(0,MAX(0,Inputs!$B$43-B2977)-((R2948-1)*(IF(Inputs!$B$38="pvp",15,MAX(0.1,Skills!D7-IF(TRUE=TRUE,3.5,0)))*(1-IF(AND(ArtifactsInput!$M$27,Inputs!$B$4="Chapter Hunt"),CHOOSE(ArtifactsInput!$N$27+1,20,24,28,32,36,40),0)/100)))))/Skills!H7+0.000000001),1)))/Inputs!$B$43),G2948*Q2948))*IF(Inputs!$B$38="pvp",1,1+(Inputs!$B$20+0+Skills!P7+(((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INT(Skills!I7/Skills!H7+0.000000001),1)+IF(Skills!H7&gt;0,INT(MIN(Skills!I7,MAX(0,MAX(0,Inputs!$B$43-B2977)-((R2948-1)*(IF(Inputs!$B$38="pvp",15,MAX(0.1,Skills!D7-IF(TRUE=TRUE,3.5,0)))*(1-IF(AND(ArtifactsInput!$M$27,Inputs!$B$4="Chapter Hunt"),CHOOSE(ArtifactsInput!$N$27+1,20,24,28,32,36,40),0)/100)))))/Skills!H7+0.000000001),1)))/Inputs!$B$43),G2948*Q2948))*IF(Inputs!$B$38="pvp",1,(1+(Inputs!$B$21+Skills!Q7+(((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Skills!G8*IF(Skills!H8&gt;0,INT(IF(Inputs!$B$38="pvp",MIN(Skills!I8,15),Skills!I8)/Skills!H8+0.000000001),1)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IFERROR(1/(IF(Inputs!$B$38="pvp",15,MAX(0.1,Skills!D8-IF(TRUE=TRUE,3.5,0)))*(1-IF(AND(ArtifactsInput!$M$27,Inputs!$B$4="Chapter Hunt"),CHOOSE(ArtifactsInput!$N$27+1,20,24,28,32,36,40),0)/100)),0)</f>
        <v/>
      </c>
      <c r="R2949">
        <f>IF(AND(Inputs!$B$38&lt;&gt;"pvp",Inputs!$B$43&gt;0),IF(MAX(0,Inputs!$B$43-B2977)&lt;=0,0,(INT(MAX(0,Inputs!$B$43-B2977)/(IF(Inputs!$B$38="pvp",15,MAX(0.1,Skills!D8-IF(TRUE=TRUE,3.5,0)))*(1-IF(AND(ArtifactsInput!$M$27,Inputs!$B$4="Chapter Hunt"),CHOOSE(ArtifactsInput!$N$27+1,20,24,28,32,36,40),0)/100)))+1)),0)</f>
        <v/>
      </c>
      <c r="S2949">
        <f>IFERROR(O2949/N2949,0)</f>
        <v/>
      </c>
      <c r="T2949">
        <f>IF(C2949,(H2949*N2949*IF(AND(Inputs!$B$38&lt;&gt;"pvp",Inputs!$B$43&gt;0),((Skills!G8*((R2949-1)*IF(Skills!H8&gt;0,INT(Skills!I8/Skills!H8+0.000000001),1)+IF(Skills!H8&gt;0,INT(MIN(Skills!I8,MAX(0,MAX(0,Inputs!$B$43-B2977)-((R2949-1)*(IF(Inputs!$B$38="pvp",15,MAX(0.1,Skills!D8-IF(TRUE=TRUE,3.5,0)))*(1-IF(AND(ArtifactsInput!$M$27,Inputs!$B$4="Chapter Hunt"),CHOOSE(ArtifactsInput!$N$27+1,20,24,28,32,36,40),0)/100)))))/Skills!H8+0.000000001),1)))/Inputs!$B$43),G2949*Q2949))*IF(Inputs!$B$38="pvp",1,1+(Inputs!$B$20+0+Skills!P8+(((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INT(Skills!I8/Skills!H8+0.000000001),1)+IF(Skills!H8&gt;0,INT(MIN(Skills!I8,MAX(0,MAX(0,Inputs!$B$43-B2977)-((R2949-1)*(IF(Inputs!$B$38="pvp",15,MAX(0.1,Skills!D8-IF(TRUE=TRUE,3.5,0)))*(1-IF(AND(ArtifactsInput!$M$27,Inputs!$B$4="Chapter Hunt"),CHOOSE(ArtifactsInput!$N$27+1,20,24,28,32,36,40),0)/100)))))/Skills!H8+0.000000001),1)))/Inputs!$B$43),G2949*Q2949))*IF(Inputs!$B$38="pvp",1,(1+(Inputs!$B$21+Skills!Q8+(((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Skills!G9*IF(Skills!H9&gt;0,INT(IF(Inputs!$B$38="pvp",MIN(Skills!I9,15),Skills!I9)/Skills!H9+0.000000001),1)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138,MAX(0,IF(Inputs!$B$3&gt;=118,8,IF(Inputs!$B$3&gt;=110,7,5))-5)*50,0),0)/100)*(1+(IF(Skills!A9="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IFERROR(1/(IF(Inputs!$B$38="pvp",15,MAX(0.1,Skills!D9-IF(TRUE=TRUE,3.5,0)))*(1-IF(AND(ArtifactsInput!$M$27,Inputs!$B$4="Chapter Hunt"),CHOOSE(ArtifactsInput!$N$27+1,20,24,28,32,36,40),0)/100)),0)</f>
        <v/>
      </c>
      <c r="R2950">
        <f>IF(AND(Inputs!$B$38&lt;&gt;"pvp",Inputs!$B$43&gt;0),IF(MAX(0,Inputs!$B$43-B2977)&lt;=0,0,(INT(MAX(0,Inputs!$B$43-B2977)/(IF(Inputs!$B$38="pvp",15,MAX(0.1,Skills!D9-IF(TRUE=TRUE,3.5,0)))*(1-IF(AND(ArtifactsInput!$M$27,Inputs!$B$4="Chapter Hunt"),CHOOSE(ArtifactsInput!$N$27+1,20,24,28,32,36,40),0)/100)))+1)),0)</f>
        <v/>
      </c>
      <c r="S2950">
        <f>IFERROR(O2950/N2950,0)</f>
        <v/>
      </c>
      <c r="T2950">
        <f>IF(C2950,(H2950*N2950*IF(AND(Inputs!$B$38&lt;&gt;"pvp",Inputs!$B$43&gt;0),((Skills!G9*((R2950-1)*IF(Skills!H9&gt;0,INT(Skills!I9/Skills!H9+0.000000001),1)+IF(Skills!H9&gt;0,INT(MIN(Skills!I9,MAX(0,MAX(0,Inputs!$B$43-B2977)-((R2950-1)*(IF(Inputs!$B$38="pvp",15,MAX(0.1,Skills!D9-IF(TRUE=TRUE,3.5,0)))*(1-IF(AND(ArtifactsInput!$M$27,Inputs!$B$4="Chapter Hunt"),CHOOSE(ArtifactsInput!$N$27+1,20,24,28,32,36,40),0)/100)))))/Skills!H9+0.000000001),1)))/Inputs!$B$43),G2950*Q2950))*IF(Inputs!$B$38="pvp",1,1+(Inputs!$B$20+0+Skills!P9+(((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INT(Skills!I9/Skills!H9+0.000000001),1)+IF(Skills!H9&gt;0,INT(MIN(Skills!I9,MAX(0,MAX(0,Inputs!$B$43-B2977)-((R2950-1)*(IF(Inputs!$B$38="pvp",15,MAX(0.1,Skills!D9-IF(TRUE=TRUE,3.5,0)))*(1-IF(AND(ArtifactsInput!$M$27,Inputs!$B$4="Chapter Hunt"),CHOOSE(ArtifactsInput!$N$27+1,20,24,28,32,36,40),0)/100)))))/Skills!H9+0.000000001),1)))/Inputs!$B$43),G2950*Q2950))*IF(Inputs!$B$38="pvp",1,(1+(Inputs!$B$21+Skills!Q9+(((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Skills!G10*IF(Skills!H10&gt;0,INT(IF(Inputs!$B$38="pvp",MIN(Skills!I10,15),Skills!I10)/Skills!H10+0.000000001),1)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138,MAX(0,IF(Inputs!$B$3&gt;=118,8,IF(Inputs!$B$3&gt;=110,7,5))-5)*50,0),0)/100)*(1+(IF(Skills!A10="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IFERROR(1/(IF(Inputs!$B$38="pvp",15,MAX(0.1,Skills!D10-IF(TRUE=TRUE,3.5,0)))*(1-IF(AND(ArtifactsInput!$M$27,Inputs!$B$4="Chapter Hunt"),CHOOSE(ArtifactsInput!$N$27+1,20,24,28,32,36,40),0)/100)),0)</f>
        <v/>
      </c>
      <c r="R2951">
        <f>IF(AND(Inputs!$B$38&lt;&gt;"pvp",Inputs!$B$43&gt;0),IF(MAX(0,Inputs!$B$43-B2977)&lt;=0,0,(INT(MAX(0,Inputs!$B$43-B2977)/(IF(Inputs!$B$38="pvp",15,MAX(0.1,Skills!D10-IF(TRUE=TRUE,3.5,0)))*(1-IF(AND(ArtifactsInput!$M$27,Inputs!$B$4="Chapter Hunt"),CHOOSE(ArtifactsInput!$N$27+1,20,24,28,32,36,40),0)/100)))+1)),0)</f>
        <v/>
      </c>
      <c r="S2951">
        <f>IFERROR(O2951/N2951,0)</f>
        <v/>
      </c>
      <c r="T2951">
        <f>IF(C2951,(H2951*N2951*IF(AND(Inputs!$B$38&lt;&gt;"pvp",Inputs!$B$43&gt;0),((Skills!G10*((R2951-1)*IF(Skills!H10&gt;0,INT(Skills!I10/Skills!H10+0.000000001),1)+IF(Skills!H10&gt;0,INT(MIN(Skills!I10,MAX(0,MAX(0,Inputs!$B$43-B2977)-((R2951-1)*(IF(Inputs!$B$38="pvp",15,MAX(0.1,Skills!D10-IF(TRUE=TRUE,3.5,0)))*(1-IF(AND(ArtifactsInput!$M$27,Inputs!$B$4="Chapter Hunt"),CHOOSE(ArtifactsInput!$N$27+1,20,24,28,32,36,40),0)/100)))))/Skills!H10+0.000000001),1)))/Inputs!$B$43),G2951*Q2951))*IF(Inputs!$B$38="pvp",1,1+(Inputs!$B$20+0+Skills!P10+(((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INT(Skills!I10/Skills!H10+0.000000001),1)+IF(Skills!H10&gt;0,INT(MIN(Skills!I10,MAX(0,MAX(0,Inputs!$B$43-B2977)-((R2951-1)*(IF(Inputs!$B$38="pvp",15,MAX(0.1,Skills!D10-IF(TRUE=TRUE,3.5,0)))*(1-IF(AND(ArtifactsInput!$M$27,Inputs!$B$4="Chapter Hunt"),CHOOSE(ArtifactsInput!$N$27+1,20,24,28,32,36,40),0)/100)))))/Skills!H10+0.000000001),1)))/Inputs!$B$43),G2951*Q2951))*IF(Inputs!$B$38="pvp",1,(1+(Inputs!$B$21+Skills!Q10+(((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Skills!G11*IF(Skills!H11&gt;0,INT(IF(Inputs!$B$38="pvp",MIN(Skills!I11,15),Skills!I11)/Skills!H11+0.000000001),1)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138,MAX(0,IF(Inputs!$B$3&gt;=118,8,IF(Inputs!$B$3&gt;=110,7,5))-5)*50,0),0)/100)*(1+(IF(Skills!A11="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IFERROR(1/(IF(Inputs!$B$38="pvp",15,MAX(0.1,Skills!D11-IF(TRUE=TRUE,3.5,0)))*(1-IF(AND(ArtifactsInput!$M$27,Inputs!$B$4="Chapter Hunt"),CHOOSE(ArtifactsInput!$N$27+1,20,24,28,32,36,40),0)/100)),0)</f>
        <v/>
      </c>
      <c r="R2952">
        <f>IF(AND(Inputs!$B$38&lt;&gt;"pvp",Inputs!$B$43&gt;0),IF(MAX(0,Inputs!$B$43-B2977)&lt;=0,0,(INT(MAX(0,Inputs!$B$43-B2977)/(IF(Inputs!$B$38="pvp",15,MAX(0.1,Skills!D11-IF(TRUE=TRUE,3.5,0)))*(1-IF(AND(ArtifactsInput!$M$27,Inputs!$B$4="Chapter Hunt"),CHOOSE(ArtifactsInput!$N$27+1,20,24,28,32,36,40),0)/100)))+1)),0)</f>
        <v/>
      </c>
      <c r="S2952">
        <f>IFERROR(O2952/N2952,0)</f>
        <v/>
      </c>
      <c r="T2952">
        <f>IF(C2952,(H2952*N2952*IF(AND(Inputs!$B$38&lt;&gt;"pvp",Inputs!$B$43&gt;0),((Skills!G11*((R2952-1)*IF(Skills!H11&gt;0,INT(Skills!I11/Skills!H11+0.000000001),1)+IF(Skills!H11&gt;0,INT(MIN(Skills!I11,MAX(0,MAX(0,Inputs!$B$43-B2977)-((R2952-1)*(IF(Inputs!$B$38="pvp",15,MAX(0.1,Skills!D11-IF(TRUE=TRUE,3.5,0)))*(1-IF(AND(ArtifactsInput!$M$27,Inputs!$B$4="Chapter Hunt"),CHOOSE(ArtifactsInput!$N$27+1,20,24,28,32,36,40),0)/100)))))/Skills!H11+0.000000001),1)))/Inputs!$B$43),G2952*Q2952))*IF(Inputs!$B$38="pvp",1,1+(Inputs!$B$20+0+Skills!P11+(((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INT(Skills!I11/Skills!H11+0.000000001),1)+IF(Skills!H11&gt;0,INT(MIN(Skills!I11,MAX(0,MAX(0,Inputs!$B$43-B2977)-((R2952-1)*(IF(Inputs!$B$38="pvp",15,MAX(0.1,Skills!D11-IF(TRUE=TRUE,3.5,0)))*(1-IF(AND(ArtifactsInput!$M$27,Inputs!$B$4="Chapter Hunt"),CHOOSE(ArtifactsInput!$N$27+1,20,24,28,32,36,40),0)/100)))))/Skills!H11+0.000000001),1)))/Inputs!$B$43),G2952*Q2952))*IF(Inputs!$B$38="pvp",1,(1+(Inputs!$B$21+Skills!Q11+(((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Skills!G13*IF(Skills!H13&gt;0,INT(IF(Inputs!$B$38="pvp",MIN(Skills!I13,15),Skills!I13)/Skills!H13+0.000000001),1)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Skills!G14*IF(Skills!H14&gt;0,INT(IF(Inputs!$B$38="pvp",MIN(Skills!I14,15),Skills!I14)/Skills!H14+0.000000001),1)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Skills!G15*IF(Skills!H15&gt;0,INT(IF(Inputs!$B$38="pvp",MIN(Skills!I15,15),Skills!I15)/Skills!H15+0.000000001),1)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IFERROR(1/(IF(Inputs!$B$38="pvp",15,MAX(0.1,Skills!D15-IF(TRUE=TRUE,3.5,0)))*(1-IF(AND(ArtifactsInput!$M$27,Inputs!$B$4="Chapter Hunt"),CHOOSE(ArtifactsInput!$N$27+1,20,24,28,32,36,40),0)/100)),0)</f>
        <v/>
      </c>
      <c r="R2956">
        <f>IF(AND(Inputs!$B$38&lt;&gt;"pvp",Inputs!$B$43&gt;0),IF(Inputs!$B$43&lt;=0,0,(INT(Inputs!$B$43/(IF(Inputs!$B$38="pvp",15,MAX(0.1,Skills!D15-IF(TRUE=TRUE,3.5,0)))*(1-IF(AND(ArtifactsInput!$M$27,Inputs!$B$4="Chapter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Skills!G16*IF(Skills!H16&gt;0,INT(IF(Inputs!$B$38="pvp",MIN(Skills!I16,15),Skills!I16)/Skills!H16+0.000000001),1)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IFERROR(1/(IF(Inputs!$B$38="pvp",15,MAX(0.1,Skills!D16-IF(TRUE=TRUE,3.5,0)))*(1-IF(AND(ArtifactsInput!$M$27,Inputs!$B$4="Chapter Hunt"),CHOOSE(ArtifactsInput!$N$27+1,20,24,28,32,36,40),0)/100)),0)</f>
        <v/>
      </c>
      <c r="R2957">
        <f>IF(AND(Inputs!$B$38&lt;&gt;"pvp",Inputs!$B$43&gt;0),IF(Inputs!$B$43&lt;=0,0,(INT(Inputs!$B$43/(IF(Inputs!$B$38="pvp",15,MAX(0.1,Skills!D16-IF(TRUE=TRUE,3.5,0)))*(1-IF(AND(ArtifactsInput!$M$27,Inputs!$B$4="Chapter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Skills!G17*IF(Skills!H17&gt;0,INT(IF(Inputs!$B$38="pvp",MIN(Skills!I17,15),Skills!I17)/Skills!H17+0.000000001),1)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IFERROR(1/(IF(Inputs!$B$38="pvp",15,MAX(0.1,Skills!D17-IF(TRUE=TRUE,3.5,0)))*(1-IF(AND(ArtifactsInput!$M$27,Inputs!$B$4="Chapter Hunt"),CHOOSE(ArtifactsInput!$N$27+1,20,24,28,32,36,40),0)/100)),0)</f>
        <v/>
      </c>
      <c r="R2958">
        <f>IF(AND(Inputs!$B$38&lt;&gt;"pvp",Inputs!$B$43&gt;0),IF(Inputs!$B$43&lt;=0,0,(INT(Inputs!$B$43/(IF(Inputs!$B$38="pvp",15,MAX(0.1,Skills!D17-IF(TRUE=TRUE,3.5,0)))*(1-IF(AND(ArtifactsInput!$M$27,Inputs!$B$4="Chapter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Skills!G18*IF(Skills!H18&gt;0,INT(IF(Inputs!$B$38="pvp",MIN(Skills!I18,15),Skills!I18)/Skills!H18+0.000000001),1)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IFERROR(1/(IF(Inputs!$B$38="pvp",15,MAX(0.1,Skills!D18-IF(TRUE=TRUE,3.5,0)))*(1-IF(AND(ArtifactsInput!$M$27,Inputs!$B$4="Chapter Hunt"),CHOOSE(ArtifactsInput!$N$27+1,20,24,28,32,36,40),0)/100)),0)</f>
        <v/>
      </c>
      <c r="R2959">
        <f>IF(AND(Inputs!$B$38&lt;&gt;"pvp",Inputs!$B$43&gt;0),IF(Inputs!$B$43&lt;=0,0,(INT(Inputs!$B$43/(IF(Inputs!$B$38="pvp",15,MAX(0.1,Skills!D18-IF(TRUE=TRUE,3.5,0)))*(1-IF(AND(ArtifactsInput!$M$27,Inputs!$B$4="Chapter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Skills!G19*IF(Skills!H19&gt;0,INT(IF(Inputs!$B$38="pvp",MIN(Skills!I19,15),Skills!I19)/Skills!H19+0.000000001),1)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IFERROR(1/(IF(Inputs!$B$38="pvp",15,MAX(0.1,Skills!D19-IF(TRUE=TRUE,3.5,0)))*(1-IF(AND(ArtifactsInput!$M$27,Inputs!$B$4="Chapter Hunt"),CHOOSE(ArtifactsInput!$N$27+1,20,24,28,32,36,40),0)/100)),0)</f>
        <v/>
      </c>
      <c r="R2960">
        <f>IF(AND(Inputs!$B$38&lt;&gt;"pvp",Inputs!$B$43&gt;0),IF(Inputs!$B$43&lt;=0,0,(INT(Inputs!$B$43/(IF(Inputs!$B$38="pvp",15,MAX(0.1,Skills!D19-IF(TRUE=TRUE,3.5,0)))*(1-IF(AND(ArtifactsInput!$M$27,Inputs!$B$4="Chapter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Skills!G20*IF(Skills!H20&gt;0,INT(IF(Inputs!$B$38="pvp",MIN(Skills!I20,15),Skills!I20)/Skills!H20+0.000000001),1)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Skills!G21*IF(Skills!H21&gt;0,INT(IF(Inputs!$B$38="pvp",MIN(Skills!I21,15),Skills!I21)/Skills!H21+0.000000001),1)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Skills!G22*IF(Skills!H22&gt;0,INT(IF(Inputs!$B$38="pvp",MIN(Skills!I22,15),Skills!I22)/Skills!H22+0.000000001),1)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Skills!G23*IF(Skills!H23&gt;0,INT(IF(Inputs!$B$38="pvp",MIN(Skills!I23,15),Skills!I23)/Skills!H23+0.000000001),1)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Skills!G24*IF(Skills!H24&gt;0,INT(IF(Inputs!$B$38="pvp",MIN(Skills!I24,15),Skills!I24)/Skills!H24+0.000000001),1)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Skills!G25*IF(Skills!H25&gt;0,INT(IF(Inputs!$B$38="pvp",MIN(Skills!I25,15),Skills!I25)/Skills!H25+0.000000001),1)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Skills!G26*IF(Skills!H26&gt;0,INT(IF(Inputs!$B$38="pvp",MIN(Skills!I26,15),Skills!I26)/Skills!H26+0.000000001),1)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MIN((Skills!T19*(1+(Inputs!$B$34+(ArtifactsInput!$M$7-ArtifactsInput!$M$7)*CHOOSE(ArtifactsInput!$N$7+1,6,7.2,8.4,9.6,10.8,12))/100)),(1/Q2960))+MIN((Skills!T19*(1+(Inputs!$B$34+(ArtifactsInput!$M$7-ArtifactsInput!$M$7)*CHOOSE(ArtifactsInput!$N$7+1,6,7.2,8.4,9.6,10.8,12))/100)),MAX(0,Inputs!$B$43-((R2960-1)*(1/Q2960)))))/Inputs!$B$43),IF(Inputs!$B$38="pvp",MIN((Skills!T19*(1+(Inputs!$B$34+(ArtifactsInput!$M$7-ArtifactsInput!$M$7)*CHOOSE(ArtifactsInput!$N$7+1,6,7.2,8.4,9.6,10.8,12))/100)),15)/15,MIN(1,(Skills!T19*(1+(Inputs!$B$34+(ArtifactsInput!$M$7-ArtifactsInput!$M$7)*CHOOSE(ArtifactsInput!$N$7+1,6,7.2,8.4,9.6,10.8,12))/100))/(1/Q2960)))))</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MIN((Skills!T18*(1+(Inputs!$B$34+(ArtifactsInput!$M$7-ArtifactsInput!$M$7)*CHOOSE(ArtifactsInput!$N$7+1,6,7.2,8.4,9.6,10.8,12))/100)),(1/Q2959))+MIN((Skills!T18*(1+(Inputs!$B$34+(ArtifactsInput!$M$7-ArtifactsInput!$M$7)*CHOOSE(ArtifactsInput!$N$7+1,6,7.2,8.4,9.6,10.8,12))/100)),MAX(0,Inputs!$B$43-((R2959-1)*(1/Q2959)))))/Inputs!$B$43),IF(Inputs!$B$38="pvp",MIN((Skills!T18*(1+(Inputs!$B$34+(ArtifactsInput!$M$7-ArtifactsInput!$M$7)*CHOOSE(ArtifactsInput!$N$7+1,6,7.2,8.4,9.6,10.8,12))/100)),15)/15,MIN(1,(Skills!T18*(1+(Inputs!$B$34+(ArtifactsInput!$M$7-ArtifactsInput!$M$7)*CHOOSE(ArtifactsInput!$N$7+1,6,7.2,8.4,9.6,10.8,12))/100))/(1/Q2959)))))</f>
        <v/>
      </c>
    </row>
    <row r="2976">
      <c r="A2976" t="inlineStr">
        <is>
          <t>Global Final Damage Bonus % (Enrage + Combo Synergy)</t>
        </is>
      </c>
      <c r="B2976">
        <f>((C2958=TRUE)*F2958*IF(AND(Inputs!$B$38&lt;&gt;"pvp",Inputs!$B$43&gt;0),(((R2958-1)*MIN((Skills!T17*(1+(Inputs!$B$34+(ArtifactsInput!$M$7-ArtifactsInput!$M$7)*CHOOSE(ArtifactsInput!$N$7+1,6,7.2,8.4,9.6,10.8,12))/100)),(1/Q2958))+MIN((Skills!T17*(1+(Inputs!$B$34+(ArtifactsInput!$M$7-ArtifactsInput!$M$7)*CHOOSE(ArtifactsInput!$N$7+1,6,7.2,8.4,9.6,10.8,12))/100)),MAX(0,Inputs!$B$43-((R2958-1)*(1/Q2958)))))/Inputs!$B$43),IF(Inputs!$B$38="pvp",MIN((Skills!T17*(1+(Inputs!$B$34+(ArtifactsInput!$M$7-ArtifactsInput!$M$7)*CHOOSE(ArtifactsInput!$N$7+1,6,7.2,8.4,9.6,10.8,12))/100)),15)/15,MIN(1,(Skills!T17*(1+(Inputs!$B$34+(ArtifactsInput!$M$7-ArtifactsInput!$M$7)*CHOOSE(ArtifactsInput!$N$7+1,6,7.2,8.4,9.6,10.8,12))/100))/(1/Q2958)))))+((C2955=TRUE)*F2955*IF(Inputs!$B$3&gt;=118,8,IF(Inputs!$B$3&gt;=110,7,5)))+IF(Inputs!$B$3&gt;=98,5,0)</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Skills!G2*IF(Skills!H2&gt;0,INT(IF(Inputs!$B$38="pvp",MIN(Skills!I2,15),Skills!I2)/Skills!H2+0.000000001),1)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Skills!G5*IF(Skills!H5&gt;0,INT(IF(Inputs!$B$38="pvp",MIN(Skills!I5,15),Skills!I5)/Skills!H5+0.000000001),1)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IFERROR(1/(IF(Inputs!$B$38="pvp",15,MAX(0.1,Skills!D5-IF(TRUE=TRUE,4.0,0)))*(1-IF(AND(ArtifactsInput!$M$27,Inputs!$B$4="Chapter Hunt"),CHOOSE(ArtifactsInput!$N$27+1,20,24,28,32,36,40),0)/100)),0)</f>
        <v/>
      </c>
      <c r="R2988">
        <f>IF(AND(Inputs!$B$38&lt;&gt;"pvp",Inputs!$B$43&gt;0),IF(MAX(0,Inputs!$B$43-B3019)&lt;=0,0,(INT(MAX(0,Inputs!$B$43-B3019)/(IF(Inputs!$B$38="pvp",15,MAX(0.1,Skills!D5-IF(TRUE=TRUE,4.0,0)))*(1-IF(AND(ArtifactsInput!$M$27,Inputs!$B$4="Chapter Hunt"),CHOOSE(ArtifactsInput!$N$27+1,20,24,28,32,36,40),0)/100)))+1)),0)</f>
        <v/>
      </c>
      <c r="S2988">
        <f>IFERROR(O2988/N2988,0)</f>
        <v/>
      </c>
      <c r="T2988">
        <f>IF(C2988,(H2988*N2988*IF(AND(Inputs!$B$38&lt;&gt;"pvp",Inputs!$B$43&gt;0),((Skills!G5*((R2988-1)*IF(Skills!H5&gt;0,INT(Skills!I5/Skills!H5+0.000000001),1)+IF(Skills!H5&gt;0,INT(MIN(Skills!I5,MAX(0,MAX(0,Inputs!$B$43-B3019)-((R2988-1)*(IF(Inputs!$B$38="pvp",15,MAX(0.1,Skills!D5-IF(TRUE=TRUE,4.0,0)))*(1-IF(AND(ArtifactsInput!$M$27,Inputs!$B$4="Chapter Hunt"),CHOOSE(ArtifactsInput!$N$27+1,20,24,28,32,36,40),0)/100)))))/Skills!H5+0.000000001),1)))/Inputs!$B$43),G2988*Q2988))*IF(Inputs!$B$38="pvp",1,1+(Inputs!$B$20+0+Skills!P5+(((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INT(Skills!I5/Skills!H5+0.000000001),1)+IF(Skills!H5&gt;0,INT(MIN(Skills!I5,MAX(0,MAX(0,Inputs!$B$43-B3019)-((R2988-1)*(IF(Inputs!$B$38="pvp",15,MAX(0.1,Skills!D5-IF(TRUE=TRUE,4.0,0)))*(1-IF(AND(ArtifactsInput!$M$27,Inputs!$B$4="Chapter Hunt"),CHOOSE(ArtifactsInput!$N$27+1,20,24,28,32,36,40),0)/100)))))/Skills!H5+0.000000001),1)))/Inputs!$B$43),G2988*Q2988))*IF(Inputs!$B$38="pvp",1,(1+(Inputs!$B$21+Skills!Q5+(((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Skills!G6*IF(Skills!H6&gt;0,INT(IF(Inputs!$B$38="pvp",MIN(Skills!I6,15),Skills!I6)/Skills!H6+0.000000001),1)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IFERROR(1/(IF(Inputs!$B$38="pvp",15,MAX(0.1,Skills!D6-IF(TRUE=TRUE,4.0,0)))*(1-IF(AND(ArtifactsInput!$M$27,Inputs!$B$4="Chapter Hunt"),CHOOSE(ArtifactsInput!$N$27+1,20,24,28,32,36,40),0)/100)),0)</f>
        <v/>
      </c>
      <c r="R2989">
        <f>IF(AND(Inputs!$B$38&lt;&gt;"pvp",Inputs!$B$43&gt;0),IF(MAX(0,Inputs!$B$43-B3019)&lt;=0,0,(INT(MAX(0,Inputs!$B$43-B3019)/(IF(Inputs!$B$38="pvp",15,MAX(0.1,Skills!D6-IF(TRUE=TRUE,4.0,0)))*(1-IF(AND(ArtifactsInput!$M$27,Inputs!$B$4="Chapter Hunt"),CHOOSE(ArtifactsInput!$N$27+1,20,24,28,32,36,40),0)/100)))+1)),0)</f>
        <v/>
      </c>
      <c r="S2989">
        <f>IFERROR(O2989/N2989,0)</f>
        <v/>
      </c>
      <c r="T2989">
        <f>IF(C2989,(H2989*N2989*IF(AND(Inputs!$B$38&lt;&gt;"pvp",Inputs!$B$43&gt;0),((Skills!G6*((R2989-1)*IF(Skills!H6&gt;0,INT(Skills!I6/Skills!H6+0.000000001),1)+IF(Skills!H6&gt;0,INT(MIN(Skills!I6,MAX(0,MAX(0,Inputs!$B$43-B3019)-((R2989-1)*(IF(Inputs!$B$38="pvp",15,MAX(0.1,Skills!D6-IF(TRUE=TRUE,4.0,0)))*(1-IF(AND(ArtifactsInput!$M$27,Inputs!$B$4="Chapter Hunt"),CHOOSE(ArtifactsInput!$N$27+1,20,24,28,32,36,40),0)/100)))))/Skills!H6+0.000000001),1)))/Inputs!$B$43),G2989*Q2989))*IF(Inputs!$B$38="pvp",1,1+(Inputs!$B$20+0+Skills!P6+(((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INT(Skills!I6/Skills!H6+0.000000001),1)+IF(Skills!H6&gt;0,INT(MIN(Skills!I6,MAX(0,MAX(0,Inputs!$B$43-B3019)-((R2989-1)*(IF(Inputs!$B$38="pvp",15,MAX(0.1,Skills!D6-IF(TRUE=TRUE,4.0,0)))*(1-IF(AND(ArtifactsInput!$M$27,Inputs!$B$4="Chapter Hunt"),CHOOSE(ArtifactsInput!$N$27+1,20,24,28,32,36,40),0)/100)))))/Skills!H6+0.000000001),1)))/Inputs!$B$43),G2989*Q2989))*IF(Inputs!$B$38="pvp",1,(1+(Inputs!$B$21+Skills!Q6+(((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Skills!G7*IF(Skills!H7&gt;0,INT(IF(Inputs!$B$38="pvp",MIN(Skills!I7,15),Skills!I7)/Skills!H7+0.000000001),1)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IFERROR(1/(IF(Inputs!$B$38="pvp",15,MAX(0.1,Skills!D7-IF(TRUE=TRUE,4.0,0)))*(1-IF(AND(ArtifactsInput!$M$27,Inputs!$B$4="Chapter Hunt"),CHOOSE(ArtifactsInput!$N$27+1,20,24,28,32,36,40),0)/100)),0)</f>
        <v/>
      </c>
      <c r="R2990">
        <f>IF(AND(Inputs!$B$38&lt;&gt;"pvp",Inputs!$B$43&gt;0),IF(MAX(0,Inputs!$B$43-B3019)&lt;=0,0,(INT(MAX(0,Inputs!$B$43-B3019)/(IF(Inputs!$B$38="pvp",15,MAX(0.1,Skills!D7-IF(TRUE=TRUE,4.0,0)))*(1-IF(AND(ArtifactsInput!$M$27,Inputs!$B$4="Chapter Hunt"),CHOOSE(ArtifactsInput!$N$27+1,20,24,28,32,36,40),0)/100)))+1)),0)</f>
        <v/>
      </c>
      <c r="S2990">
        <f>IFERROR(O2990/N2990,0)</f>
        <v/>
      </c>
      <c r="T2990">
        <f>IF(C2990,(H2990*N2990*IF(AND(Inputs!$B$38&lt;&gt;"pvp",Inputs!$B$43&gt;0),((Skills!G7*((R2990-1)*IF(Skills!H7&gt;0,INT(Skills!I7/Skills!H7+0.000000001),1)+IF(Skills!H7&gt;0,INT(MIN(Skills!I7,MAX(0,MAX(0,Inputs!$B$43-B3019)-((R2990-1)*(IF(Inputs!$B$38="pvp",15,MAX(0.1,Skills!D7-IF(TRUE=TRUE,4.0,0)))*(1-IF(AND(ArtifactsInput!$M$27,Inputs!$B$4="Chapter Hunt"),CHOOSE(ArtifactsInput!$N$27+1,20,24,28,32,36,40),0)/100)))))/Skills!H7+0.000000001),1)))/Inputs!$B$43),G2990*Q2990))*IF(Inputs!$B$38="pvp",1,1+(Inputs!$B$20+0+Skills!P7+(((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INT(Skills!I7/Skills!H7+0.000000001),1)+IF(Skills!H7&gt;0,INT(MIN(Skills!I7,MAX(0,MAX(0,Inputs!$B$43-B3019)-((R2990-1)*(IF(Inputs!$B$38="pvp",15,MAX(0.1,Skills!D7-IF(TRUE=TRUE,4.0,0)))*(1-IF(AND(ArtifactsInput!$M$27,Inputs!$B$4="Chapter Hunt"),CHOOSE(ArtifactsInput!$N$27+1,20,24,28,32,36,40),0)/100)))))/Skills!H7+0.000000001),1)))/Inputs!$B$43),G2990*Q2990))*IF(Inputs!$B$38="pvp",1,(1+(Inputs!$B$21+Skills!Q7+(((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Skills!G8*IF(Skills!H8&gt;0,INT(IF(Inputs!$B$38="pvp",MIN(Skills!I8,15),Skills!I8)/Skills!H8+0.000000001),1)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IFERROR(1/(IF(Inputs!$B$38="pvp",15,MAX(0.1,Skills!D8-IF(TRUE=TRUE,4.0,0)))*(1-IF(AND(ArtifactsInput!$M$27,Inputs!$B$4="Chapter Hunt"),CHOOSE(ArtifactsInput!$N$27+1,20,24,28,32,36,40),0)/100)),0)</f>
        <v/>
      </c>
      <c r="R2991">
        <f>IF(AND(Inputs!$B$38&lt;&gt;"pvp",Inputs!$B$43&gt;0),IF(MAX(0,Inputs!$B$43-B3019)&lt;=0,0,(INT(MAX(0,Inputs!$B$43-B3019)/(IF(Inputs!$B$38="pvp",15,MAX(0.1,Skills!D8-IF(TRUE=TRUE,4.0,0)))*(1-IF(AND(ArtifactsInput!$M$27,Inputs!$B$4="Chapter Hunt"),CHOOSE(ArtifactsInput!$N$27+1,20,24,28,32,36,40),0)/100)))+1)),0)</f>
        <v/>
      </c>
      <c r="S2991">
        <f>IFERROR(O2991/N2991,0)</f>
        <v/>
      </c>
      <c r="T2991">
        <f>IF(C2991,(H2991*N2991*IF(AND(Inputs!$B$38&lt;&gt;"pvp",Inputs!$B$43&gt;0),((Skills!G8*((R2991-1)*IF(Skills!H8&gt;0,INT(Skills!I8/Skills!H8+0.000000001),1)+IF(Skills!H8&gt;0,INT(MIN(Skills!I8,MAX(0,MAX(0,Inputs!$B$43-B3019)-((R2991-1)*(IF(Inputs!$B$38="pvp",15,MAX(0.1,Skills!D8-IF(TRUE=TRUE,4.0,0)))*(1-IF(AND(ArtifactsInput!$M$27,Inputs!$B$4="Chapter Hunt"),CHOOSE(ArtifactsInput!$N$27+1,20,24,28,32,36,40),0)/100)))))/Skills!H8+0.000000001),1)))/Inputs!$B$43),G2991*Q2991))*IF(Inputs!$B$38="pvp",1,1+(Inputs!$B$20+0+Skills!P8+(((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INT(Skills!I8/Skills!H8+0.000000001),1)+IF(Skills!H8&gt;0,INT(MIN(Skills!I8,MAX(0,MAX(0,Inputs!$B$43-B3019)-((R2991-1)*(IF(Inputs!$B$38="pvp",15,MAX(0.1,Skills!D8-IF(TRUE=TRUE,4.0,0)))*(1-IF(AND(ArtifactsInput!$M$27,Inputs!$B$4="Chapter Hunt"),CHOOSE(ArtifactsInput!$N$27+1,20,24,28,32,36,40),0)/100)))))/Skills!H8+0.000000001),1)))/Inputs!$B$43),G2991*Q2991))*IF(Inputs!$B$38="pvp",1,(1+(Inputs!$B$21+Skills!Q8+(((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Skills!G9*IF(Skills!H9&gt;0,INT(IF(Inputs!$B$38="pvp",MIN(Skills!I9,15),Skills!I9)/Skills!H9+0.000000001),1)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138,MAX(0,IF(Inputs!$B$3&gt;=118,8,IF(Inputs!$B$3&gt;=110,7,5))-5)*50,0),0)/100)*(1+(IF(Skills!A9="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IFERROR(1/(IF(Inputs!$B$38="pvp",15,MAX(0.1,Skills!D9-IF(TRUE=TRUE,4.0,0)))*(1-IF(AND(ArtifactsInput!$M$27,Inputs!$B$4="Chapter Hunt"),CHOOSE(ArtifactsInput!$N$27+1,20,24,28,32,36,40),0)/100)),0)</f>
        <v/>
      </c>
      <c r="R2992">
        <f>IF(AND(Inputs!$B$38&lt;&gt;"pvp",Inputs!$B$43&gt;0),IF(MAX(0,Inputs!$B$43-B3019)&lt;=0,0,(INT(MAX(0,Inputs!$B$43-B3019)/(IF(Inputs!$B$38="pvp",15,MAX(0.1,Skills!D9-IF(TRUE=TRUE,4.0,0)))*(1-IF(AND(ArtifactsInput!$M$27,Inputs!$B$4="Chapter Hunt"),CHOOSE(ArtifactsInput!$N$27+1,20,24,28,32,36,40),0)/100)))+1)),0)</f>
        <v/>
      </c>
      <c r="S2992">
        <f>IFERROR(O2992/N2992,0)</f>
        <v/>
      </c>
      <c r="T2992">
        <f>IF(C2992,(H2992*N2992*IF(AND(Inputs!$B$38&lt;&gt;"pvp",Inputs!$B$43&gt;0),((Skills!G9*((R2992-1)*IF(Skills!H9&gt;0,INT(Skills!I9/Skills!H9+0.000000001),1)+IF(Skills!H9&gt;0,INT(MIN(Skills!I9,MAX(0,MAX(0,Inputs!$B$43-B3019)-((R2992-1)*(IF(Inputs!$B$38="pvp",15,MAX(0.1,Skills!D9-IF(TRUE=TRUE,4.0,0)))*(1-IF(AND(ArtifactsInput!$M$27,Inputs!$B$4="Chapter Hunt"),CHOOSE(ArtifactsInput!$N$27+1,20,24,28,32,36,40),0)/100)))))/Skills!H9+0.000000001),1)))/Inputs!$B$43),G2992*Q2992))*IF(Inputs!$B$38="pvp",1,1+(Inputs!$B$20+0+Skills!P9+(((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INT(Skills!I9/Skills!H9+0.000000001),1)+IF(Skills!H9&gt;0,INT(MIN(Skills!I9,MAX(0,MAX(0,Inputs!$B$43-B3019)-((R2992-1)*(IF(Inputs!$B$38="pvp",15,MAX(0.1,Skills!D9-IF(TRUE=TRUE,4.0,0)))*(1-IF(AND(ArtifactsInput!$M$27,Inputs!$B$4="Chapter Hunt"),CHOOSE(ArtifactsInput!$N$27+1,20,24,28,32,36,40),0)/100)))))/Skills!H9+0.000000001),1)))/Inputs!$B$43),G2992*Q2992))*IF(Inputs!$B$38="pvp",1,(1+(Inputs!$B$21+Skills!Q9+(((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Skills!G10*IF(Skills!H10&gt;0,INT(IF(Inputs!$B$38="pvp",MIN(Skills!I10,15),Skills!I10)/Skills!H10+0.000000001),1)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138,MAX(0,IF(Inputs!$B$3&gt;=118,8,IF(Inputs!$B$3&gt;=110,7,5))-5)*50,0),0)/100)*(1+(IF(Skills!A10="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IFERROR(1/(IF(Inputs!$B$38="pvp",15,MAX(0.1,Skills!D10-IF(TRUE=TRUE,4.0,0)))*(1-IF(AND(ArtifactsInput!$M$27,Inputs!$B$4="Chapter Hunt"),CHOOSE(ArtifactsInput!$N$27+1,20,24,28,32,36,40),0)/100)),0)</f>
        <v/>
      </c>
      <c r="R2993">
        <f>IF(AND(Inputs!$B$38&lt;&gt;"pvp",Inputs!$B$43&gt;0),IF(MAX(0,Inputs!$B$43-B3019)&lt;=0,0,(INT(MAX(0,Inputs!$B$43-B3019)/(IF(Inputs!$B$38="pvp",15,MAX(0.1,Skills!D10-IF(TRUE=TRUE,4.0,0)))*(1-IF(AND(ArtifactsInput!$M$27,Inputs!$B$4="Chapter Hunt"),CHOOSE(ArtifactsInput!$N$27+1,20,24,28,32,36,40),0)/100)))+1)),0)</f>
        <v/>
      </c>
      <c r="S2993">
        <f>IFERROR(O2993/N2993,0)</f>
        <v/>
      </c>
      <c r="T2993">
        <f>IF(C2993,(H2993*N2993*IF(AND(Inputs!$B$38&lt;&gt;"pvp",Inputs!$B$43&gt;0),((Skills!G10*((R2993-1)*IF(Skills!H10&gt;0,INT(Skills!I10/Skills!H10+0.000000001),1)+IF(Skills!H10&gt;0,INT(MIN(Skills!I10,MAX(0,MAX(0,Inputs!$B$43-B3019)-((R2993-1)*(IF(Inputs!$B$38="pvp",15,MAX(0.1,Skills!D10-IF(TRUE=TRUE,4.0,0)))*(1-IF(AND(ArtifactsInput!$M$27,Inputs!$B$4="Chapter Hunt"),CHOOSE(ArtifactsInput!$N$27+1,20,24,28,32,36,40),0)/100)))))/Skills!H10+0.000000001),1)))/Inputs!$B$43),G2993*Q2993))*IF(Inputs!$B$38="pvp",1,1+(Inputs!$B$20+0+Skills!P10+(((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INT(Skills!I10/Skills!H10+0.000000001),1)+IF(Skills!H10&gt;0,INT(MIN(Skills!I10,MAX(0,MAX(0,Inputs!$B$43-B3019)-((R2993-1)*(IF(Inputs!$B$38="pvp",15,MAX(0.1,Skills!D10-IF(TRUE=TRUE,4.0,0)))*(1-IF(AND(ArtifactsInput!$M$27,Inputs!$B$4="Chapter Hunt"),CHOOSE(ArtifactsInput!$N$27+1,20,24,28,32,36,40),0)/100)))))/Skills!H10+0.000000001),1)))/Inputs!$B$43),G2993*Q2993))*IF(Inputs!$B$38="pvp",1,(1+(Inputs!$B$21+Skills!Q10+(((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Skills!G11*IF(Skills!H11&gt;0,INT(IF(Inputs!$B$38="pvp",MIN(Skills!I11,15),Skills!I11)/Skills!H11+0.000000001),1)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138,MAX(0,IF(Inputs!$B$3&gt;=118,8,IF(Inputs!$B$3&gt;=110,7,5))-5)*50,0),0)/100)*(1+(IF(Skills!A11="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IFERROR(1/(IF(Inputs!$B$38="pvp",15,MAX(0.1,Skills!D11-IF(TRUE=TRUE,4.0,0)))*(1-IF(AND(ArtifactsInput!$M$27,Inputs!$B$4="Chapter Hunt"),CHOOSE(ArtifactsInput!$N$27+1,20,24,28,32,36,40),0)/100)),0)</f>
        <v/>
      </c>
      <c r="R2994">
        <f>IF(AND(Inputs!$B$38&lt;&gt;"pvp",Inputs!$B$43&gt;0),IF(MAX(0,Inputs!$B$43-B3019)&lt;=0,0,(INT(MAX(0,Inputs!$B$43-B3019)/(IF(Inputs!$B$38="pvp",15,MAX(0.1,Skills!D11-IF(TRUE=TRUE,4.0,0)))*(1-IF(AND(ArtifactsInput!$M$27,Inputs!$B$4="Chapter Hunt"),CHOOSE(ArtifactsInput!$N$27+1,20,24,28,32,36,40),0)/100)))+1)),0)</f>
        <v/>
      </c>
      <c r="S2994">
        <f>IFERROR(O2994/N2994,0)</f>
        <v/>
      </c>
      <c r="T2994">
        <f>IF(C2994,(H2994*N2994*IF(AND(Inputs!$B$38&lt;&gt;"pvp",Inputs!$B$43&gt;0),((Skills!G11*((R2994-1)*IF(Skills!H11&gt;0,INT(Skills!I11/Skills!H11+0.000000001),1)+IF(Skills!H11&gt;0,INT(MIN(Skills!I11,MAX(0,MAX(0,Inputs!$B$43-B3019)-((R2994-1)*(IF(Inputs!$B$38="pvp",15,MAX(0.1,Skills!D11-IF(TRUE=TRUE,4.0,0)))*(1-IF(AND(ArtifactsInput!$M$27,Inputs!$B$4="Chapter Hunt"),CHOOSE(ArtifactsInput!$N$27+1,20,24,28,32,36,40),0)/100)))))/Skills!H11+0.000000001),1)))/Inputs!$B$43),G2994*Q2994))*IF(Inputs!$B$38="pvp",1,1+(Inputs!$B$20+0+Skills!P11+(((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INT(Skills!I11/Skills!H11+0.000000001),1)+IF(Skills!H11&gt;0,INT(MIN(Skills!I11,MAX(0,MAX(0,Inputs!$B$43-B3019)-((R2994-1)*(IF(Inputs!$B$38="pvp",15,MAX(0.1,Skills!D11-IF(TRUE=TRUE,4.0,0)))*(1-IF(AND(ArtifactsInput!$M$27,Inputs!$B$4="Chapter Hunt"),CHOOSE(ArtifactsInput!$N$27+1,20,24,28,32,36,40),0)/100)))))/Skills!H11+0.000000001),1)))/Inputs!$B$43),G2994*Q2994))*IF(Inputs!$B$38="pvp",1,(1+(Inputs!$B$21+Skills!Q11+(((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Skills!G13*IF(Skills!H13&gt;0,INT(IF(Inputs!$B$38="pvp",MIN(Skills!I13,15),Skills!I13)/Skills!H13+0.000000001),1)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Skills!G14*IF(Skills!H14&gt;0,INT(IF(Inputs!$B$38="pvp",MIN(Skills!I14,15),Skills!I14)/Skills!H14+0.000000001),1)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Skills!G15*IF(Skills!H15&gt;0,INT(IF(Inputs!$B$38="pvp",MIN(Skills!I15,15),Skills!I15)/Skills!H15+0.000000001),1)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IFERROR(1/(IF(Inputs!$B$38="pvp",15,MAX(0.1,Skills!D15-IF(TRUE=TRUE,4.0,0)))*(1-IF(AND(ArtifactsInput!$M$27,Inputs!$B$4="Chapter Hunt"),CHOOSE(ArtifactsInput!$N$27+1,20,24,28,32,36,40),0)/100)),0)</f>
        <v/>
      </c>
      <c r="R2998">
        <f>IF(AND(Inputs!$B$38&lt;&gt;"pvp",Inputs!$B$43&gt;0),IF(Inputs!$B$43&lt;=0,0,(INT(Inputs!$B$43/(IF(Inputs!$B$38="pvp",15,MAX(0.1,Skills!D15-IF(TRUE=TRUE,4.0,0)))*(1-IF(AND(ArtifactsInput!$M$27,Inputs!$B$4="Chapter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Skills!G16*IF(Skills!H16&gt;0,INT(IF(Inputs!$B$38="pvp",MIN(Skills!I16,15),Skills!I16)/Skills!H16+0.000000001),1)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IFERROR(1/(IF(Inputs!$B$38="pvp",15,MAX(0.1,Skills!D16-IF(TRUE=TRUE,4.0,0)))*(1-IF(AND(ArtifactsInput!$M$27,Inputs!$B$4="Chapter Hunt"),CHOOSE(ArtifactsInput!$N$27+1,20,24,28,32,36,40),0)/100)),0)</f>
        <v/>
      </c>
      <c r="R2999">
        <f>IF(AND(Inputs!$B$38&lt;&gt;"pvp",Inputs!$B$43&gt;0),IF(Inputs!$B$43&lt;=0,0,(INT(Inputs!$B$43/(IF(Inputs!$B$38="pvp",15,MAX(0.1,Skills!D16-IF(TRUE=TRUE,4.0,0)))*(1-IF(AND(ArtifactsInput!$M$27,Inputs!$B$4="Chapter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Skills!G17*IF(Skills!H17&gt;0,INT(IF(Inputs!$B$38="pvp",MIN(Skills!I17,15),Skills!I17)/Skills!H17+0.000000001),1)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IFERROR(1/(IF(Inputs!$B$38="pvp",15,MAX(0.1,Skills!D17-IF(TRUE=TRUE,4.0,0)))*(1-IF(AND(ArtifactsInput!$M$27,Inputs!$B$4="Chapter Hunt"),CHOOSE(ArtifactsInput!$N$27+1,20,24,28,32,36,40),0)/100)),0)</f>
        <v/>
      </c>
      <c r="R3000">
        <f>IF(AND(Inputs!$B$38&lt;&gt;"pvp",Inputs!$B$43&gt;0),IF(Inputs!$B$43&lt;=0,0,(INT(Inputs!$B$43/(IF(Inputs!$B$38="pvp",15,MAX(0.1,Skills!D17-IF(TRUE=TRUE,4.0,0)))*(1-IF(AND(ArtifactsInput!$M$27,Inputs!$B$4="Chapter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Skills!G18*IF(Skills!H18&gt;0,INT(IF(Inputs!$B$38="pvp",MIN(Skills!I18,15),Skills!I18)/Skills!H18+0.000000001),1)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IFERROR(1/(IF(Inputs!$B$38="pvp",15,MAX(0.1,Skills!D18-IF(TRUE=TRUE,4.0,0)))*(1-IF(AND(ArtifactsInput!$M$27,Inputs!$B$4="Chapter Hunt"),CHOOSE(ArtifactsInput!$N$27+1,20,24,28,32,36,40),0)/100)),0)</f>
        <v/>
      </c>
      <c r="R3001">
        <f>IF(AND(Inputs!$B$38&lt;&gt;"pvp",Inputs!$B$43&gt;0),IF(Inputs!$B$43&lt;=0,0,(INT(Inputs!$B$43/(IF(Inputs!$B$38="pvp",15,MAX(0.1,Skills!D18-IF(TRUE=TRUE,4.0,0)))*(1-IF(AND(ArtifactsInput!$M$27,Inputs!$B$4="Chapter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Skills!G19*IF(Skills!H19&gt;0,INT(IF(Inputs!$B$38="pvp",MIN(Skills!I19,15),Skills!I19)/Skills!H19+0.000000001),1)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IFERROR(1/(IF(Inputs!$B$38="pvp",15,MAX(0.1,Skills!D19-IF(TRUE=TRUE,4.0,0)))*(1-IF(AND(ArtifactsInput!$M$27,Inputs!$B$4="Chapter Hunt"),CHOOSE(ArtifactsInput!$N$27+1,20,24,28,32,36,40),0)/100)),0)</f>
        <v/>
      </c>
      <c r="R3002">
        <f>IF(AND(Inputs!$B$38&lt;&gt;"pvp",Inputs!$B$43&gt;0),IF(Inputs!$B$43&lt;=0,0,(INT(Inputs!$B$43/(IF(Inputs!$B$38="pvp",15,MAX(0.1,Skills!D19-IF(TRUE=TRUE,4.0,0)))*(1-IF(AND(ArtifactsInput!$M$27,Inputs!$B$4="Chapter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Skills!G20*IF(Skills!H20&gt;0,INT(IF(Inputs!$B$38="pvp",MIN(Skills!I20,15),Skills!I20)/Skills!H20+0.000000001),1)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Skills!G21*IF(Skills!H21&gt;0,INT(IF(Inputs!$B$38="pvp",MIN(Skills!I21,15),Skills!I21)/Skills!H21+0.000000001),1)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Skills!G22*IF(Skills!H22&gt;0,INT(IF(Inputs!$B$38="pvp",MIN(Skills!I22,15),Skills!I22)/Skills!H22+0.000000001),1)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Skills!G23*IF(Skills!H23&gt;0,INT(IF(Inputs!$B$38="pvp",MIN(Skills!I23,15),Skills!I23)/Skills!H23+0.000000001),1)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Skills!G24*IF(Skills!H24&gt;0,INT(IF(Inputs!$B$38="pvp",MIN(Skills!I24,15),Skills!I24)/Skills!H24+0.000000001),1)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Skills!G25*IF(Skills!H25&gt;0,INT(IF(Inputs!$B$38="pvp",MIN(Skills!I25,15),Skills!I25)/Skills!H25+0.000000001),1)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Skills!G26*IF(Skills!H26&gt;0,INT(IF(Inputs!$B$38="pvp",MIN(Skills!I26,15),Skills!I26)/Skills!H26+0.000000001),1)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MIN((Skills!T19*(1+(Inputs!$B$34+(ArtifactsInput!$M$7-ArtifactsInput!$M$7)*CHOOSE(ArtifactsInput!$N$7+1,6,7.2,8.4,9.6,10.8,12))/100)),(1/Q3002))+MIN((Skills!T19*(1+(Inputs!$B$34+(ArtifactsInput!$M$7-ArtifactsInput!$M$7)*CHOOSE(ArtifactsInput!$N$7+1,6,7.2,8.4,9.6,10.8,12))/100)),MAX(0,Inputs!$B$43-((R3002-1)*(1/Q3002)))))/Inputs!$B$43),IF(Inputs!$B$38="pvp",MIN((Skills!T19*(1+(Inputs!$B$34+(ArtifactsInput!$M$7-ArtifactsInput!$M$7)*CHOOSE(ArtifactsInput!$N$7+1,6,7.2,8.4,9.6,10.8,12))/100)),15)/15,MIN(1,(Skills!T19*(1+(Inputs!$B$34+(ArtifactsInput!$M$7-ArtifactsInput!$M$7)*CHOOSE(ArtifactsInput!$N$7+1,6,7.2,8.4,9.6,10.8,12))/100))/(1/Q3002)))))</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MIN((Skills!T18*(1+(Inputs!$B$34+(ArtifactsInput!$M$7-ArtifactsInput!$M$7)*CHOOSE(ArtifactsInput!$N$7+1,6,7.2,8.4,9.6,10.8,12))/100)),(1/Q3001))+MIN((Skills!T18*(1+(Inputs!$B$34+(ArtifactsInput!$M$7-ArtifactsInput!$M$7)*CHOOSE(ArtifactsInput!$N$7+1,6,7.2,8.4,9.6,10.8,12))/100)),MAX(0,Inputs!$B$43-((R3001-1)*(1/Q3001)))))/Inputs!$B$43),IF(Inputs!$B$38="pvp",MIN((Skills!T18*(1+(Inputs!$B$34+(ArtifactsInput!$M$7-ArtifactsInput!$M$7)*CHOOSE(ArtifactsInput!$N$7+1,6,7.2,8.4,9.6,10.8,12))/100)),15)/15,MIN(1,(Skills!T18*(1+(Inputs!$B$34+(ArtifactsInput!$M$7-ArtifactsInput!$M$7)*CHOOSE(ArtifactsInput!$N$7+1,6,7.2,8.4,9.6,10.8,12))/100))/(1/Q3001)))))</f>
        <v/>
      </c>
    </row>
    <row r="3018">
      <c r="A3018" t="inlineStr">
        <is>
          <t>Global Final Damage Bonus % (Enrage + Combo Synergy)</t>
        </is>
      </c>
      <c r="B3018">
        <f>((C3000=TRUE)*F3000*IF(AND(Inputs!$B$38&lt;&gt;"pvp",Inputs!$B$43&gt;0),(((R3000-1)*MIN((Skills!T17*(1+(Inputs!$B$34+(ArtifactsInput!$M$7-ArtifactsInput!$M$7)*CHOOSE(ArtifactsInput!$N$7+1,6,7.2,8.4,9.6,10.8,12))/100)),(1/Q3000))+MIN((Skills!T17*(1+(Inputs!$B$34+(ArtifactsInput!$M$7-ArtifactsInput!$M$7)*CHOOSE(ArtifactsInput!$N$7+1,6,7.2,8.4,9.6,10.8,12))/100)),MAX(0,Inputs!$B$43-((R3000-1)*(1/Q3000)))))/Inputs!$B$43),IF(Inputs!$B$38="pvp",MIN((Skills!T17*(1+(Inputs!$B$34+(ArtifactsInput!$M$7-ArtifactsInput!$M$7)*CHOOSE(ArtifactsInput!$N$7+1,6,7.2,8.4,9.6,10.8,12))/100)),15)/15,MIN(1,(Skills!T17*(1+(Inputs!$B$34+(ArtifactsInput!$M$7-ArtifactsInput!$M$7)*CHOOSE(ArtifactsInput!$N$7+1,6,7.2,8.4,9.6,10.8,12))/100))/(1/Q3000)))))+((C2997=TRUE)*F2997*IF(Inputs!$B$3&gt;=118,8,IF(Inputs!$B$3&gt;=110,7,5)))+IF(Inputs!$B$3&gt;=98,5,0)</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Skills!G2*IF(Skills!H2&gt;0,INT(IF(Inputs!$B$38="pvp",MIN(Skills!I2,15),Skills!I2)/Skills!H2+0.000000001),1)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Skills!G5*IF(Skills!H5&gt;0,INT(IF(Inputs!$B$38="pvp",MIN(Skills!I5,15),Skills!I5)/Skills!H5+0.000000001),1)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IFERROR(1/(IF(Inputs!$B$38="pvp",15,MAX(0.1,Skills!D5-IF(TRUE=TRUE,4.5,0)))*(1-IF(AND(ArtifactsInput!$M$27,Inputs!$B$4="Chapter Hunt"),CHOOSE(ArtifactsInput!$N$27+1,20,24,28,32,36,40),0)/100)),0)</f>
        <v/>
      </c>
      <c r="R3030">
        <f>IF(AND(Inputs!$B$38&lt;&gt;"pvp",Inputs!$B$43&gt;0),IF(MAX(0,Inputs!$B$43-B3061)&lt;=0,0,(INT(MAX(0,Inputs!$B$43-B3061)/(IF(Inputs!$B$38="pvp",15,MAX(0.1,Skills!D5-IF(TRUE=TRUE,4.5,0)))*(1-IF(AND(ArtifactsInput!$M$27,Inputs!$B$4="Chapter Hunt"),CHOOSE(ArtifactsInput!$N$27+1,20,24,28,32,36,40),0)/100)))+1)),0)</f>
        <v/>
      </c>
      <c r="S3030">
        <f>IFERROR(O3030/N3030,0)</f>
        <v/>
      </c>
      <c r="T3030">
        <f>IF(C3030,(H3030*N3030*IF(AND(Inputs!$B$38&lt;&gt;"pvp",Inputs!$B$43&gt;0),((Skills!G5*((R3030-1)*IF(Skills!H5&gt;0,INT(Skills!I5/Skills!H5+0.000000001),1)+IF(Skills!H5&gt;0,INT(MIN(Skills!I5,MAX(0,MAX(0,Inputs!$B$43-B3061)-((R3030-1)*(IF(Inputs!$B$38="pvp",15,MAX(0.1,Skills!D5-IF(TRUE=TRUE,4.5,0)))*(1-IF(AND(ArtifactsInput!$M$27,Inputs!$B$4="Chapter Hunt"),CHOOSE(ArtifactsInput!$N$27+1,20,24,28,32,36,40),0)/100)))))/Skills!H5+0.000000001),1)))/Inputs!$B$43),G3030*Q3030))*IF(Inputs!$B$38="pvp",1,1+(Inputs!$B$20+0+Skills!P5+(((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INT(Skills!I5/Skills!H5+0.000000001),1)+IF(Skills!H5&gt;0,INT(MIN(Skills!I5,MAX(0,MAX(0,Inputs!$B$43-B3061)-((R3030-1)*(IF(Inputs!$B$38="pvp",15,MAX(0.1,Skills!D5-IF(TRUE=TRUE,4.5,0)))*(1-IF(AND(ArtifactsInput!$M$27,Inputs!$B$4="Chapter Hunt"),CHOOSE(ArtifactsInput!$N$27+1,20,24,28,32,36,40),0)/100)))))/Skills!H5+0.000000001),1)))/Inputs!$B$43),G3030*Q3030))*IF(Inputs!$B$38="pvp",1,(1+(Inputs!$B$21+Skills!Q5+(((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Skills!G6*IF(Skills!H6&gt;0,INT(IF(Inputs!$B$38="pvp",MIN(Skills!I6,15),Skills!I6)/Skills!H6+0.000000001),1)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IFERROR(1/(IF(Inputs!$B$38="pvp",15,MAX(0.1,Skills!D6-IF(TRUE=TRUE,4.5,0)))*(1-IF(AND(ArtifactsInput!$M$27,Inputs!$B$4="Chapter Hunt"),CHOOSE(ArtifactsInput!$N$27+1,20,24,28,32,36,40),0)/100)),0)</f>
        <v/>
      </c>
      <c r="R3031">
        <f>IF(AND(Inputs!$B$38&lt;&gt;"pvp",Inputs!$B$43&gt;0),IF(MAX(0,Inputs!$B$43-B3061)&lt;=0,0,(INT(MAX(0,Inputs!$B$43-B3061)/(IF(Inputs!$B$38="pvp",15,MAX(0.1,Skills!D6-IF(TRUE=TRUE,4.5,0)))*(1-IF(AND(ArtifactsInput!$M$27,Inputs!$B$4="Chapter Hunt"),CHOOSE(ArtifactsInput!$N$27+1,20,24,28,32,36,40),0)/100)))+1)),0)</f>
        <v/>
      </c>
      <c r="S3031">
        <f>IFERROR(O3031/N3031,0)</f>
        <v/>
      </c>
      <c r="T3031">
        <f>IF(C3031,(H3031*N3031*IF(AND(Inputs!$B$38&lt;&gt;"pvp",Inputs!$B$43&gt;0),((Skills!G6*((R3031-1)*IF(Skills!H6&gt;0,INT(Skills!I6/Skills!H6+0.000000001),1)+IF(Skills!H6&gt;0,INT(MIN(Skills!I6,MAX(0,MAX(0,Inputs!$B$43-B3061)-((R3031-1)*(IF(Inputs!$B$38="pvp",15,MAX(0.1,Skills!D6-IF(TRUE=TRUE,4.5,0)))*(1-IF(AND(ArtifactsInput!$M$27,Inputs!$B$4="Chapter Hunt"),CHOOSE(ArtifactsInput!$N$27+1,20,24,28,32,36,40),0)/100)))))/Skills!H6+0.000000001),1)))/Inputs!$B$43),G3031*Q3031))*IF(Inputs!$B$38="pvp",1,1+(Inputs!$B$20+0+Skills!P6+(((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INT(Skills!I6/Skills!H6+0.000000001),1)+IF(Skills!H6&gt;0,INT(MIN(Skills!I6,MAX(0,MAX(0,Inputs!$B$43-B3061)-((R3031-1)*(IF(Inputs!$B$38="pvp",15,MAX(0.1,Skills!D6-IF(TRUE=TRUE,4.5,0)))*(1-IF(AND(ArtifactsInput!$M$27,Inputs!$B$4="Chapter Hunt"),CHOOSE(ArtifactsInput!$N$27+1,20,24,28,32,36,40),0)/100)))))/Skills!H6+0.000000001),1)))/Inputs!$B$43),G3031*Q3031))*IF(Inputs!$B$38="pvp",1,(1+(Inputs!$B$21+Skills!Q6+(((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Skills!G7*IF(Skills!H7&gt;0,INT(IF(Inputs!$B$38="pvp",MIN(Skills!I7,15),Skills!I7)/Skills!H7+0.000000001),1)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IFERROR(1/(IF(Inputs!$B$38="pvp",15,MAX(0.1,Skills!D7-IF(TRUE=TRUE,4.5,0)))*(1-IF(AND(ArtifactsInput!$M$27,Inputs!$B$4="Chapter Hunt"),CHOOSE(ArtifactsInput!$N$27+1,20,24,28,32,36,40),0)/100)),0)</f>
        <v/>
      </c>
      <c r="R3032">
        <f>IF(AND(Inputs!$B$38&lt;&gt;"pvp",Inputs!$B$43&gt;0),IF(MAX(0,Inputs!$B$43-B3061)&lt;=0,0,(INT(MAX(0,Inputs!$B$43-B3061)/(IF(Inputs!$B$38="pvp",15,MAX(0.1,Skills!D7-IF(TRUE=TRUE,4.5,0)))*(1-IF(AND(ArtifactsInput!$M$27,Inputs!$B$4="Chapter Hunt"),CHOOSE(ArtifactsInput!$N$27+1,20,24,28,32,36,40),0)/100)))+1)),0)</f>
        <v/>
      </c>
      <c r="S3032">
        <f>IFERROR(O3032/N3032,0)</f>
        <v/>
      </c>
      <c r="T3032">
        <f>IF(C3032,(H3032*N3032*IF(AND(Inputs!$B$38&lt;&gt;"pvp",Inputs!$B$43&gt;0),((Skills!G7*((R3032-1)*IF(Skills!H7&gt;0,INT(Skills!I7/Skills!H7+0.000000001),1)+IF(Skills!H7&gt;0,INT(MIN(Skills!I7,MAX(0,MAX(0,Inputs!$B$43-B3061)-((R3032-1)*(IF(Inputs!$B$38="pvp",15,MAX(0.1,Skills!D7-IF(TRUE=TRUE,4.5,0)))*(1-IF(AND(ArtifactsInput!$M$27,Inputs!$B$4="Chapter Hunt"),CHOOSE(ArtifactsInput!$N$27+1,20,24,28,32,36,40),0)/100)))))/Skills!H7+0.000000001),1)))/Inputs!$B$43),G3032*Q3032))*IF(Inputs!$B$38="pvp",1,1+(Inputs!$B$20+0+Skills!P7+(((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INT(Skills!I7/Skills!H7+0.000000001),1)+IF(Skills!H7&gt;0,INT(MIN(Skills!I7,MAX(0,MAX(0,Inputs!$B$43-B3061)-((R3032-1)*(IF(Inputs!$B$38="pvp",15,MAX(0.1,Skills!D7-IF(TRUE=TRUE,4.5,0)))*(1-IF(AND(ArtifactsInput!$M$27,Inputs!$B$4="Chapter Hunt"),CHOOSE(ArtifactsInput!$N$27+1,20,24,28,32,36,40),0)/100)))))/Skills!H7+0.000000001),1)))/Inputs!$B$43),G3032*Q3032))*IF(Inputs!$B$38="pvp",1,(1+(Inputs!$B$21+Skills!Q7+(((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Skills!G8*IF(Skills!H8&gt;0,INT(IF(Inputs!$B$38="pvp",MIN(Skills!I8,15),Skills!I8)/Skills!H8+0.000000001),1)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IFERROR(1/(IF(Inputs!$B$38="pvp",15,MAX(0.1,Skills!D8-IF(TRUE=TRUE,4.5,0)))*(1-IF(AND(ArtifactsInput!$M$27,Inputs!$B$4="Chapter Hunt"),CHOOSE(ArtifactsInput!$N$27+1,20,24,28,32,36,40),0)/100)),0)</f>
        <v/>
      </c>
      <c r="R3033">
        <f>IF(AND(Inputs!$B$38&lt;&gt;"pvp",Inputs!$B$43&gt;0),IF(MAX(0,Inputs!$B$43-B3061)&lt;=0,0,(INT(MAX(0,Inputs!$B$43-B3061)/(IF(Inputs!$B$38="pvp",15,MAX(0.1,Skills!D8-IF(TRUE=TRUE,4.5,0)))*(1-IF(AND(ArtifactsInput!$M$27,Inputs!$B$4="Chapter Hunt"),CHOOSE(ArtifactsInput!$N$27+1,20,24,28,32,36,40),0)/100)))+1)),0)</f>
        <v/>
      </c>
      <c r="S3033">
        <f>IFERROR(O3033/N3033,0)</f>
        <v/>
      </c>
      <c r="T3033">
        <f>IF(C3033,(H3033*N3033*IF(AND(Inputs!$B$38&lt;&gt;"pvp",Inputs!$B$43&gt;0),((Skills!G8*((R3033-1)*IF(Skills!H8&gt;0,INT(Skills!I8/Skills!H8+0.000000001),1)+IF(Skills!H8&gt;0,INT(MIN(Skills!I8,MAX(0,MAX(0,Inputs!$B$43-B3061)-((R3033-1)*(IF(Inputs!$B$38="pvp",15,MAX(0.1,Skills!D8-IF(TRUE=TRUE,4.5,0)))*(1-IF(AND(ArtifactsInput!$M$27,Inputs!$B$4="Chapter Hunt"),CHOOSE(ArtifactsInput!$N$27+1,20,24,28,32,36,40),0)/100)))))/Skills!H8+0.000000001),1)))/Inputs!$B$43),G3033*Q3033))*IF(Inputs!$B$38="pvp",1,1+(Inputs!$B$20+0+Skills!P8+(((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INT(Skills!I8/Skills!H8+0.000000001),1)+IF(Skills!H8&gt;0,INT(MIN(Skills!I8,MAX(0,MAX(0,Inputs!$B$43-B3061)-((R3033-1)*(IF(Inputs!$B$38="pvp",15,MAX(0.1,Skills!D8-IF(TRUE=TRUE,4.5,0)))*(1-IF(AND(ArtifactsInput!$M$27,Inputs!$B$4="Chapter Hunt"),CHOOSE(ArtifactsInput!$N$27+1,20,24,28,32,36,40),0)/100)))))/Skills!H8+0.000000001),1)))/Inputs!$B$43),G3033*Q3033))*IF(Inputs!$B$38="pvp",1,(1+(Inputs!$B$21+Skills!Q8+(((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Skills!G9*IF(Skills!H9&gt;0,INT(IF(Inputs!$B$38="pvp",MIN(Skills!I9,15),Skills!I9)/Skills!H9+0.000000001),1)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138,MAX(0,IF(Inputs!$B$3&gt;=118,8,IF(Inputs!$B$3&gt;=110,7,5))-5)*50,0),0)/100)*(1+(IF(Skills!A9="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IFERROR(1/(IF(Inputs!$B$38="pvp",15,MAX(0.1,Skills!D9-IF(TRUE=TRUE,4.5,0)))*(1-IF(AND(ArtifactsInput!$M$27,Inputs!$B$4="Chapter Hunt"),CHOOSE(ArtifactsInput!$N$27+1,20,24,28,32,36,40),0)/100)),0)</f>
        <v/>
      </c>
      <c r="R3034">
        <f>IF(AND(Inputs!$B$38&lt;&gt;"pvp",Inputs!$B$43&gt;0),IF(MAX(0,Inputs!$B$43-B3061)&lt;=0,0,(INT(MAX(0,Inputs!$B$43-B3061)/(IF(Inputs!$B$38="pvp",15,MAX(0.1,Skills!D9-IF(TRUE=TRUE,4.5,0)))*(1-IF(AND(ArtifactsInput!$M$27,Inputs!$B$4="Chapter Hunt"),CHOOSE(ArtifactsInput!$N$27+1,20,24,28,32,36,40),0)/100)))+1)),0)</f>
        <v/>
      </c>
      <c r="S3034">
        <f>IFERROR(O3034/N3034,0)</f>
        <v/>
      </c>
      <c r="T3034">
        <f>IF(C3034,(H3034*N3034*IF(AND(Inputs!$B$38&lt;&gt;"pvp",Inputs!$B$43&gt;0),((Skills!G9*((R3034-1)*IF(Skills!H9&gt;0,INT(Skills!I9/Skills!H9+0.000000001),1)+IF(Skills!H9&gt;0,INT(MIN(Skills!I9,MAX(0,MAX(0,Inputs!$B$43-B3061)-((R3034-1)*(IF(Inputs!$B$38="pvp",15,MAX(0.1,Skills!D9-IF(TRUE=TRUE,4.5,0)))*(1-IF(AND(ArtifactsInput!$M$27,Inputs!$B$4="Chapter Hunt"),CHOOSE(ArtifactsInput!$N$27+1,20,24,28,32,36,40),0)/100)))))/Skills!H9+0.000000001),1)))/Inputs!$B$43),G3034*Q3034))*IF(Inputs!$B$38="pvp",1,1+(Inputs!$B$20+0+Skills!P9+(((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INT(Skills!I9/Skills!H9+0.000000001),1)+IF(Skills!H9&gt;0,INT(MIN(Skills!I9,MAX(0,MAX(0,Inputs!$B$43-B3061)-((R3034-1)*(IF(Inputs!$B$38="pvp",15,MAX(0.1,Skills!D9-IF(TRUE=TRUE,4.5,0)))*(1-IF(AND(ArtifactsInput!$M$27,Inputs!$B$4="Chapter Hunt"),CHOOSE(ArtifactsInput!$N$27+1,20,24,28,32,36,40),0)/100)))))/Skills!H9+0.000000001),1)))/Inputs!$B$43),G3034*Q3034))*IF(Inputs!$B$38="pvp",1,(1+(Inputs!$B$21+Skills!Q9+(((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Skills!G10*IF(Skills!H10&gt;0,INT(IF(Inputs!$B$38="pvp",MIN(Skills!I10,15),Skills!I10)/Skills!H10+0.000000001),1)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138,MAX(0,IF(Inputs!$B$3&gt;=118,8,IF(Inputs!$B$3&gt;=110,7,5))-5)*50,0),0)/100)*(1+(IF(Skills!A10="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IFERROR(1/(IF(Inputs!$B$38="pvp",15,MAX(0.1,Skills!D10-IF(TRUE=TRUE,4.5,0)))*(1-IF(AND(ArtifactsInput!$M$27,Inputs!$B$4="Chapter Hunt"),CHOOSE(ArtifactsInput!$N$27+1,20,24,28,32,36,40),0)/100)),0)</f>
        <v/>
      </c>
      <c r="R3035">
        <f>IF(AND(Inputs!$B$38&lt;&gt;"pvp",Inputs!$B$43&gt;0),IF(MAX(0,Inputs!$B$43-B3061)&lt;=0,0,(INT(MAX(0,Inputs!$B$43-B3061)/(IF(Inputs!$B$38="pvp",15,MAX(0.1,Skills!D10-IF(TRUE=TRUE,4.5,0)))*(1-IF(AND(ArtifactsInput!$M$27,Inputs!$B$4="Chapter Hunt"),CHOOSE(ArtifactsInput!$N$27+1,20,24,28,32,36,40),0)/100)))+1)),0)</f>
        <v/>
      </c>
      <c r="S3035">
        <f>IFERROR(O3035/N3035,0)</f>
        <v/>
      </c>
      <c r="T3035">
        <f>IF(C3035,(H3035*N3035*IF(AND(Inputs!$B$38&lt;&gt;"pvp",Inputs!$B$43&gt;0),((Skills!G10*((R3035-1)*IF(Skills!H10&gt;0,INT(Skills!I10/Skills!H10+0.000000001),1)+IF(Skills!H10&gt;0,INT(MIN(Skills!I10,MAX(0,MAX(0,Inputs!$B$43-B3061)-((R3035-1)*(IF(Inputs!$B$38="pvp",15,MAX(0.1,Skills!D10-IF(TRUE=TRUE,4.5,0)))*(1-IF(AND(ArtifactsInput!$M$27,Inputs!$B$4="Chapter Hunt"),CHOOSE(ArtifactsInput!$N$27+1,20,24,28,32,36,40),0)/100)))))/Skills!H10+0.000000001),1)))/Inputs!$B$43),G3035*Q3035))*IF(Inputs!$B$38="pvp",1,1+(Inputs!$B$20+0+Skills!P10+(((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INT(Skills!I10/Skills!H10+0.000000001),1)+IF(Skills!H10&gt;0,INT(MIN(Skills!I10,MAX(0,MAX(0,Inputs!$B$43-B3061)-((R3035-1)*(IF(Inputs!$B$38="pvp",15,MAX(0.1,Skills!D10-IF(TRUE=TRUE,4.5,0)))*(1-IF(AND(ArtifactsInput!$M$27,Inputs!$B$4="Chapter Hunt"),CHOOSE(ArtifactsInput!$N$27+1,20,24,28,32,36,40),0)/100)))))/Skills!H10+0.000000001),1)))/Inputs!$B$43),G3035*Q3035))*IF(Inputs!$B$38="pvp",1,(1+(Inputs!$B$21+Skills!Q10+(((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Skills!G11*IF(Skills!H11&gt;0,INT(IF(Inputs!$B$38="pvp",MIN(Skills!I11,15),Skills!I11)/Skills!H11+0.000000001),1)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138,MAX(0,IF(Inputs!$B$3&gt;=118,8,IF(Inputs!$B$3&gt;=110,7,5))-5)*50,0),0)/100)*(1+(IF(Skills!A11="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IFERROR(1/(IF(Inputs!$B$38="pvp",15,MAX(0.1,Skills!D11-IF(TRUE=TRUE,4.5,0)))*(1-IF(AND(ArtifactsInput!$M$27,Inputs!$B$4="Chapter Hunt"),CHOOSE(ArtifactsInput!$N$27+1,20,24,28,32,36,40),0)/100)),0)</f>
        <v/>
      </c>
      <c r="R3036">
        <f>IF(AND(Inputs!$B$38&lt;&gt;"pvp",Inputs!$B$43&gt;0),IF(MAX(0,Inputs!$B$43-B3061)&lt;=0,0,(INT(MAX(0,Inputs!$B$43-B3061)/(IF(Inputs!$B$38="pvp",15,MAX(0.1,Skills!D11-IF(TRUE=TRUE,4.5,0)))*(1-IF(AND(ArtifactsInput!$M$27,Inputs!$B$4="Chapter Hunt"),CHOOSE(ArtifactsInput!$N$27+1,20,24,28,32,36,40),0)/100)))+1)),0)</f>
        <v/>
      </c>
      <c r="S3036">
        <f>IFERROR(O3036/N3036,0)</f>
        <v/>
      </c>
      <c r="T3036">
        <f>IF(C3036,(H3036*N3036*IF(AND(Inputs!$B$38&lt;&gt;"pvp",Inputs!$B$43&gt;0),((Skills!G11*((R3036-1)*IF(Skills!H11&gt;0,INT(Skills!I11/Skills!H11+0.000000001),1)+IF(Skills!H11&gt;0,INT(MIN(Skills!I11,MAX(0,MAX(0,Inputs!$B$43-B3061)-((R3036-1)*(IF(Inputs!$B$38="pvp",15,MAX(0.1,Skills!D11-IF(TRUE=TRUE,4.5,0)))*(1-IF(AND(ArtifactsInput!$M$27,Inputs!$B$4="Chapter Hunt"),CHOOSE(ArtifactsInput!$N$27+1,20,24,28,32,36,40),0)/100)))))/Skills!H11+0.000000001),1)))/Inputs!$B$43),G3036*Q3036))*IF(Inputs!$B$38="pvp",1,1+(Inputs!$B$20+0+Skills!P11+(((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INT(Skills!I11/Skills!H11+0.000000001),1)+IF(Skills!H11&gt;0,INT(MIN(Skills!I11,MAX(0,MAX(0,Inputs!$B$43-B3061)-((R3036-1)*(IF(Inputs!$B$38="pvp",15,MAX(0.1,Skills!D11-IF(TRUE=TRUE,4.5,0)))*(1-IF(AND(ArtifactsInput!$M$27,Inputs!$B$4="Chapter Hunt"),CHOOSE(ArtifactsInput!$N$27+1,20,24,28,32,36,40),0)/100)))))/Skills!H11+0.000000001),1)))/Inputs!$B$43),G3036*Q3036))*IF(Inputs!$B$38="pvp",1,(1+(Inputs!$B$21+Skills!Q11+(((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Skills!G13*IF(Skills!H13&gt;0,INT(IF(Inputs!$B$38="pvp",MIN(Skills!I13,15),Skills!I13)/Skills!H13+0.000000001),1)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Skills!G14*IF(Skills!H14&gt;0,INT(IF(Inputs!$B$38="pvp",MIN(Skills!I14,15),Skills!I14)/Skills!H14+0.000000001),1)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Skills!G15*IF(Skills!H15&gt;0,INT(IF(Inputs!$B$38="pvp",MIN(Skills!I15,15),Skills!I15)/Skills!H15+0.000000001),1)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IFERROR(1/(IF(Inputs!$B$38="pvp",15,MAX(0.1,Skills!D15-IF(TRUE=TRUE,4.5,0)))*(1-IF(AND(ArtifactsInput!$M$27,Inputs!$B$4="Chapter Hunt"),CHOOSE(ArtifactsInput!$N$27+1,20,24,28,32,36,40),0)/100)),0)</f>
        <v/>
      </c>
      <c r="R3040">
        <f>IF(AND(Inputs!$B$38&lt;&gt;"pvp",Inputs!$B$43&gt;0),IF(Inputs!$B$43&lt;=0,0,(INT(Inputs!$B$43/(IF(Inputs!$B$38="pvp",15,MAX(0.1,Skills!D15-IF(TRUE=TRUE,4.5,0)))*(1-IF(AND(ArtifactsInput!$M$27,Inputs!$B$4="Chapter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Skills!G16*IF(Skills!H16&gt;0,INT(IF(Inputs!$B$38="pvp",MIN(Skills!I16,15),Skills!I16)/Skills!H16+0.000000001),1)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IFERROR(1/(IF(Inputs!$B$38="pvp",15,MAX(0.1,Skills!D16-IF(TRUE=TRUE,4.5,0)))*(1-IF(AND(ArtifactsInput!$M$27,Inputs!$B$4="Chapter Hunt"),CHOOSE(ArtifactsInput!$N$27+1,20,24,28,32,36,40),0)/100)),0)</f>
        <v/>
      </c>
      <c r="R3041">
        <f>IF(AND(Inputs!$B$38&lt;&gt;"pvp",Inputs!$B$43&gt;0),IF(Inputs!$B$43&lt;=0,0,(INT(Inputs!$B$43/(IF(Inputs!$B$38="pvp",15,MAX(0.1,Skills!D16-IF(TRUE=TRUE,4.5,0)))*(1-IF(AND(ArtifactsInput!$M$27,Inputs!$B$4="Chapter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Skills!G17*IF(Skills!H17&gt;0,INT(IF(Inputs!$B$38="pvp",MIN(Skills!I17,15),Skills!I17)/Skills!H17+0.000000001),1)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IFERROR(1/(IF(Inputs!$B$38="pvp",15,MAX(0.1,Skills!D17-IF(TRUE=TRUE,4.5,0)))*(1-IF(AND(ArtifactsInput!$M$27,Inputs!$B$4="Chapter Hunt"),CHOOSE(ArtifactsInput!$N$27+1,20,24,28,32,36,40),0)/100)),0)</f>
        <v/>
      </c>
      <c r="R3042">
        <f>IF(AND(Inputs!$B$38&lt;&gt;"pvp",Inputs!$B$43&gt;0),IF(Inputs!$B$43&lt;=0,0,(INT(Inputs!$B$43/(IF(Inputs!$B$38="pvp",15,MAX(0.1,Skills!D17-IF(TRUE=TRUE,4.5,0)))*(1-IF(AND(ArtifactsInput!$M$27,Inputs!$B$4="Chapter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Skills!G18*IF(Skills!H18&gt;0,INT(IF(Inputs!$B$38="pvp",MIN(Skills!I18,15),Skills!I18)/Skills!H18+0.000000001),1)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IFERROR(1/(IF(Inputs!$B$38="pvp",15,MAX(0.1,Skills!D18-IF(TRUE=TRUE,4.5,0)))*(1-IF(AND(ArtifactsInput!$M$27,Inputs!$B$4="Chapter Hunt"),CHOOSE(ArtifactsInput!$N$27+1,20,24,28,32,36,40),0)/100)),0)</f>
        <v/>
      </c>
      <c r="R3043">
        <f>IF(AND(Inputs!$B$38&lt;&gt;"pvp",Inputs!$B$43&gt;0),IF(Inputs!$B$43&lt;=0,0,(INT(Inputs!$B$43/(IF(Inputs!$B$38="pvp",15,MAX(0.1,Skills!D18-IF(TRUE=TRUE,4.5,0)))*(1-IF(AND(ArtifactsInput!$M$27,Inputs!$B$4="Chapter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Skills!G19*IF(Skills!H19&gt;0,INT(IF(Inputs!$B$38="pvp",MIN(Skills!I19,15),Skills!I19)/Skills!H19+0.000000001),1)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IFERROR(1/(IF(Inputs!$B$38="pvp",15,MAX(0.1,Skills!D19-IF(TRUE=TRUE,4.5,0)))*(1-IF(AND(ArtifactsInput!$M$27,Inputs!$B$4="Chapter Hunt"),CHOOSE(ArtifactsInput!$N$27+1,20,24,28,32,36,40),0)/100)),0)</f>
        <v/>
      </c>
      <c r="R3044">
        <f>IF(AND(Inputs!$B$38&lt;&gt;"pvp",Inputs!$B$43&gt;0),IF(Inputs!$B$43&lt;=0,0,(INT(Inputs!$B$43/(IF(Inputs!$B$38="pvp",15,MAX(0.1,Skills!D19-IF(TRUE=TRUE,4.5,0)))*(1-IF(AND(ArtifactsInput!$M$27,Inputs!$B$4="Chapter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Skills!G20*IF(Skills!H20&gt;0,INT(IF(Inputs!$B$38="pvp",MIN(Skills!I20,15),Skills!I20)/Skills!H20+0.000000001),1)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Skills!G21*IF(Skills!H21&gt;0,INT(IF(Inputs!$B$38="pvp",MIN(Skills!I21,15),Skills!I21)/Skills!H21+0.000000001),1)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Skills!G22*IF(Skills!H22&gt;0,INT(IF(Inputs!$B$38="pvp",MIN(Skills!I22,15),Skills!I22)/Skills!H22+0.000000001),1)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Skills!G23*IF(Skills!H23&gt;0,INT(IF(Inputs!$B$38="pvp",MIN(Skills!I23,15),Skills!I23)/Skills!H23+0.000000001),1)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Skills!G24*IF(Skills!H24&gt;0,INT(IF(Inputs!$B$38="pvp",MIN(Skills!I24,15),Skills!I24)/Skills!H24+0.000000001),1)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Skills!G25*IF(Skills!H25&gt;0,INT(IF(Inputs!$B$38="pvp",MIN(Skills!I25,15),Skills!I25)/Skills!H25+0.000000001),1)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Skills!G26*IF(Skills!H26&gt;0,INT(IF(Inputs!$B$38="pvp",MIN(Skills!I26,15),Skills!I26)/Skills!H26+0.000000001),1)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MIN((Skills!T19*(1+(Inputs!$B$34+(ArtifactsInput!$M$7-ArtifactsInput!$M$7)*CHOOSE(ArtifactsInput!$N$7+1,6,7.2,8.4,9.6,10.8,12))/100)),(1/Q3044))+MIN((Skills!T19*(1+(Inputs!$B$34+(ArtifactsInput!$M$7-ArtifactsInput!$M$7)*CHOOSE(ArtifactsInput!$N$7+1,6,7.2,8.4,9.6,10.8,12))/100)),MAX(0,Inputs!$B$43-((R3044-1)*(1/Q3044)))))/Inputs!$B$43),IF(Inputs!$B$38="pvp",MIN((Skills!T19*(1+(Inputs!$B$34+(ArtifactsInput!$M$7-ArtifactsInput!$M$7)*CHOOSE(ArtifactsInput!$N$7+1,6,7.2,8.4,9.6,10.8,12))/100)),15)/15,MIN(1,(Skills!T19*(1+(Inputs!$B$34+(ArtifactsInput!$M$7-ArtifactsInput!$M$7)*CHOOSE(ArtifactsInput!$N$7+1,6,7.2,8.4,9.6,10.8,12))/100))/(1/Q3044)))))</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MIN((Skills!T18*(1+(Inputs!$B$34+(ArtifactsInput!$M$7-ArtifactsInput!$M$7)*CHOOSE(ArtifactsInput!$N$7+1,6,7.2,8.4,9.6,10.8,12))/100)),(1/Q3043))+MIN((Skills!T18*(1+(Inputs!$B$34+(ArtifactsInput!$M$7-ArtifactsInput!$M$7)*CHOOSE(ArtifactsInput!$N$7+1,6,7.2,8.4,9.6,10.8,12))/100)),MAX(0,Inputs!$B$43-((R3043-1)*(1/Q3043)))))/Inputs!$B$43),IF(Inputs!$B$38="pvp",MIN((Skills!T18*(1+(Inputs!$B$34+(ArtifactsInput!$M$7-ArtifactsInput!$M$7)*CHOOSE(ArtifactsInput!$N$7+1,6,7.2,8.4,9.6,10.8,12))/100)),15)/15,MIN(1,(Skills!T18*(1+(Inputs!$B$34+(ArtifactsInput!$M$7-ArtifactsInput!$M$7)*CHOOSE(ArtifactsInput!$N$7+1,6,7.2,8.4,9.6,10.8,12))/100))/(1/Q3043)))))</f>
        <v/>
      </c>
    </row>
    <row r="3060">
      <c r="A3060" t="inlineStr">
        <is>
          <t>Global Final Damage Bonus % (Enrage + Combo Synergy)</t>
        </is>
      </c>
      <c r="B3060">
        <f>((C3042=TRUE)*F3042*IF(AND(Inputs!$B$38&lt;&gt;"pvp",Inputs!$B$43&gt;0),(((R3042-1)*MIN((Skills!T17*(1+(Inputs!$B$34+(ArtifactsInput!$M$7-ArtifactsInput!$M$7)*CHOOSE(ArtifactsInput!$N$7+1,6,7.2,8.4,9.6,10.8,12))/100)),(1/Q3042))+MIN((Skills!T17*(1+(Inputs!$B$34+(ArtifactsInput!$M$7-ArtifactsInput!$M$7)*CHOOSE(ArtifactsInput!$N$7+1,6,7.2,8.4,9.6,10.8,12))/100)),MAX(0,Inputs!$B$43-((R3042-1)*(1/Q3042)))))/Inputs!$B$43),IF(Inputs!$B$38="pvp",MIN((Skills!T17*(1+(Inputs!$B$34+(ArtifactsInput!$M$7-ArtifactsInput!$M$7)*CHOOSE(ArtifactsInput!$N$7+1,6,7.2,8.4,9.6,10.8,12))/100)),15)/15,MIN(1,(Skills!T17*(1+(Inputs!$B$34+(ArtifactsInput!$M$7-ArtifactsInput!$M$7)*CHOOSE(ArtifactsInput!$N$7+1,6,7.2,8.4,9.6,10.8,12))/100))/(1/Q3042)))))+((C3039=TRUE)*F3039*IF(Inputs!$B$3&gt;=118,8,IF(Inputs!$B$3&gt;=110,7,5)))+IF(Inputs!$B$3&gt;=98,5,0)</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Skills!G2*IF(Skills!H2&gt;0,INT(IF(Inputs!$B$38="pvp",MIN(Skills!I2,15),Skills!I2)/Skills!H2+0.000000001),1)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Skills!G5*IF(Skills!H5&gt;0,INT(IF(Inputs!$B$38="pvp",MIN(Skills!I5,15),Skills!I5)/Skills!H5+0.000000001),1)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IFERROR(1/(IF(Inputs!$B$38="pvp",15,MAX(0.1,Skills!D5-IF(TRUE=TRUE,5.0,0)))*(1-IF(AND(ArtifactsInput!$M$27,Inputs!$B$4="Chapter Hunt"),CHOOSE(ArtifactsInput!$N$27+1,20,24,28,32,36,40),0)/100)),0)</f>
        <v/>
      </c>
      <c r="R3072">
        <f>IF(AND(Inputs!$B$38&lt;&gt;"pvp",Inputs!$B$43&gt;0),IF(MAX(0,Inputs!$B$43-B3103)&lt;=0,0,(INT(MAX(0,Inputs!$B$43-B3103)/(IF(Inputs!$B$38="pvp",15,MAX(0.1,Skills!D5-IF(TRUE=TRUE,5.0,0)))*(1-IF(AND(ArtifactsInput!$M$27,Inputs!$B$4="Chapter Hunt"),CHOOSE(ArtifactsInput!$N$27+1,20,24,28,32,36,40),0)/100)))+1)),0)</f>
        <v/>
      </c>
      <c r="S3072">
        <f>IFERROR(O3072/N3072,0)</f>
        <v/>
      </c>
      <c r="T3072">
        <f>IF(C3072,(H3072*N3072*IF(AND(Inputs!$B$38&lt;&gt;"pvp",Inputs!$B$43&gt;0),((Skills!G5*((R3072-1)*IF(Skills!H5&gt;0,INT(Skills!I5/Skills!H5+0.000000001),1)+IF(Skills!H5&gt;0,INT(MIN(Skills!I5,MAX(0,MAX(0,Inputs!$B$43-B3103)-((R3072-1)*(IF(Inputs!$B$38="pvp",15,MAX(0.1,Skills!D5-IF(TRUE=TRUE,5.0,0)))*(1-IF(AND(ArtifactsInput!$M$27,Inputs!$B$4="Chapter Hunt"),CHOOSE(ArtifactsInput!$N$27+1,20,24,28,32,36,40),0)/100)))))/Skills!H5+0.000000001),1)))/Inputs!$B$43),G3072*Q3072))*IF(Inputs!$B$38="pvp",1,1+(Inputs!$B$20+0+Skills!P5+(((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INT(Skills!I5/Skills!H5+0.000000001),1)+IF(Skills!H5&gt;0,INT(MIN(Skills!I5,MAX(0,MAX(0,Inputs!$B$43-B3103)-((R3072-1)*(IF(Inputs!$B$38="pvp",15,MAX(0.1,Skills!D5-IF(TRUE=TRUE,5.0,0)))*(1-IF(AND(ArtifactsInput!$M$27,Inputs!$B$4="Chapter Hunt"),CHOOSE(ArtifactsInput!$N$27+1,20,24,28,32,36,40),0)/100)))))/Skills!H5+0.000000001),1)))/Inputs!$B$43),G3072*Q3072))*IF(Inputs!$B$38="pvp",1,(1+(Inputs!$B$21+Skills!Q5+(((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Skills!G6*IF(Skills!H6&gt;0,INT(IF(Inputs!$B$38="pvp",MIN(Skills!I6,15),Skills!I6)/Skills!H6+0.000000001),1)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IFERROR(1/(IF(Inputs!$B$38="pvp",15,MAX(0.1,Skills!D6-IF(TRUE=TRUE,5.0,0)))*(1-IF(AND(ArtifactsInput!$M$27,Inputs!$B$4="Chapter Hunt"),CHOOSE(ArtifactsInput!$N$27+1,20,24,28,32,36,40),0)/100)),0)</f>
        <v/>
      </c>
      <c r="R3073">
        <f>IF(AND(Inputs!$B$38&lt;&gt;"pvp",Inputs!$B$43&gt;0),IF(MAX(0,Inputs!$B$43-B3103)&lt;=0,0,(INT(MAX(0,Inputs!$B$43-B3103)/(IF(Inputs!$B$38="pvp",15,MAX(0.1,Skills!D6-IF(TRUE=TRUE,5.0,0)))*(1-IF(AND(ArtifactsInput!$M$27,Inputs!$B$4="Chapter Hunt"),CHOOSE(ArtifactsInput!$N$27+1,20,24,28,32,36,40),0)/100)))+1)),0)</f>
        <v/>
      </c>
      <c r="S3073">
        <f>IFERROR(O3073/N3073,0)</f>
        <v/>
      </c>
      <c r="T3073">
        <f>IF(C3073,(H3073*N3073*IF(AND(Inputs!$B$38&lt;&gt;"pvp",Inputs!$B$43&gt;0),((Skills!G6*((R3073-1)*IF(Skills!H6&gt;0,INT(Skills!I6/Skills!H6+0.000000001),1)+IF(Skills!H6&gt;0,INT(MIN(Skills!I6,MAX(0,MAX(0,Inputs!$B$43-B3103)-((R3073-1)*(IF(Inputs!$B$38="pvp",15,MAX(0.1,Skills!D6-IF(TRUE=TRUE,5.0,0)))*(1-IF(AND(ArtifactsInput!$M$27,Inputs!$B$4="Chapter Hunt"),CHOOSE(ArtifactsInput!$N$27+1,20,24,28,32,36,40),0)/100)))))/Skills!H6+0.000000001),1)))/Inputs!$B$43),G3073*Q3073))*IF(Inputs!$B$38="pvp",1,1+(Inputs!$B$20+0+Skills!P6+(((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INT(Skills!I6/Skills!H6+0.000000001),1)+IF(Skills!H6&gt;0,INT(MIN(Skills!I6,MAX(0,MAX(0,Inputs!$B$43-B3103)-((R3073-1)*(IF(Inputs!$B$38="pvp",15,MAX(0.1,Skills!D6-IF(TRUE=TRUE,5.0,0)))*(1-IF(AND(ArtifactsInput!$M$27,Inputs!$B$4="Chapter Hunt"),CHOOSE(ArtifactsInput!$N$27+1,20,24,28,32,36,40),0)/100)))))/Skills!H6+0.000000001),1)))/Inputs!$B$43),G3073*Q3073))*IF(Inputs!$B$38="pvp",1,(1+(Inputs!$B$21+Skills!Q6+(((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Skills!G7*IF(Skills!H7&gt;0,INT(IF(Inputs!$B$38="pvp",MIN(Skills!I7,15),Skills!I7)/Skills!H7+0.000000001),1)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IFERROR(1/(IF(Inputs!$B$38="pvp",15,MAX(0.1,Skills!D7-IF(TRUE=TRUE,5.0,0)))*(1-IF(AND(ArtifactsInput!$M$27,Inputs!$B$4="Chapter Hunt"),CHOOSE(ArtifactsInput!$N$27+1,20,24,28,32,36,40),0)/100)),0)</f>
        <v/>
      </c>
      <c r="R3074">
        <f>IF(AND(Inputs!$B$38&lt;&gt;"pvp",Inputs!$B$43&gt;0),IF(MAX(0,Inputs!$B$43-B3103)&lt;=0,0,(INT(MAX(0,Inputs!$B$43-B3103)/(IF(Inputs!$B$38="pvp",15,MAX(0.1,Skills!D7-IF(TRUE=TRUE,5.0,0)))*(1-IF(AND(ArtifactsInput!$M$27,Inputs!$B$4="Chapter Hunt"),CHOOSE(ArtifactsInput!$N$27+1,20,24,28,32,36,40),0)/100)))+1)),0)</f>
        <v/>
      </c>
      <c r="S3074">
        <f>IFERROR(O3074/N3074,0)</f>
        <v/>
      </c>
      <c r="T3074">
        <f>IF(C3074,(H3074*N3074*IF(AND(Inputs!$B$38&lt;&gt;"pvp",Inputs!$B$43&gt;0),((Skills!G7*((R3074-1)*IF(Skills!H7&gt;0,INT(Skills!I7/Skills!H7+0.000000001),1)+IF(Skills!H7&gt;0,INT(MIN(Skills!I7,MAX(0,MAX(0,Inputs!$B$43-B3103)-((R3074-1)*(IF(Inputs!$B$38="pvp",15,MAX(0.1,Skills!D7-IF(TRUE=TRUE,5.0,0)))*(1-IF(AND(ArtifactsInput!$M$27,Inputs!$B$4="Chapter Hunt"),CHOOSE(ArtifactsInput!$N$27+1,20,24,28,32,36,40),0)/100)))))/Skills!H7+0.000000001),1)))/Inputs!$B$43),G3074*Q3074))*IF(Inputs!$B$38="pvp",1,1+(Inputs!$B$20+0+Skills!P7+(((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INT(Skills!I7/Skills!H7+0.000000001),1)+IF(Skills!H7&gt;0,INT(MIN(Skills!I7,MAX(0,MAX(0,Inputs!$B$43-B3103)-((R3074-1)*(IF(Inputs!$B$38="pvp",15,MAX(0.1,Skills!D7-IF(TRUE=TRUE,5.0,0)))*(1-IF(AND(ArtifactsInput!$M$27,Inputs!$B$4="Chapter Hunt"),CHOOSE(ArtifactsInput!$N$27+1,20,24,28,32,36,40),0)/100)))))/Skills!H7+0.000000001),1)))/Inputs!$B$43),G3074*Q3074))*IF(Inputs!$B$38="pvp",1,(1+(Inputs!$B$21+Skills!Q7+(((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Skills!G8*IF(Skills!H8&gt;0,INT(IF(Inputs!$B$38="pvp",MIN(Skills!I8,15),Skills!I8)/Skills!H8+0.000000001),1)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IFERROR(1/(IF(Inputs!$B$38="pvp",15,MAX(0.1,Skills!D8-IF(TRUE=TRUE,5.0,0)))*(1-IF(AND(ArtifactsInput!$M$27,Inputs!$B$4="Chapter Hunt"),CHOOSE(ArtifactsInput!$N$27+1,20,24,28,32,36,40),0)/100)),0)</f>
        <v/>
      </c>
      <c r="R3075">
        <f>IF(AND(Inputs!$B$38&lt;&gt;"pvp",Inputs!$B$43&gt;0),IF(MAX(0,Inputs!$B$43-B3103)&lt;=0,0,(INT(MAX(0,Inputs!$B$43-B3103)/(IF(Inputs!$B$38="pvp",15,MAX(0.1,Skills!D8-IF(TRUE=TRUE,5.0,0)))*(1-IF(AND(ArtifactsInput!$M$27,Inputs!$B$4="Chapter Hunt"),CHOOSE(ArtifactsInput!$N$27+1,20,24,28,32,36,40),0)/100)))+1)),0)</f>
        <v/>
      </c>
      <c r="S3075">
        <f>IFERROR(O3075/N3075,0)</f>
        <v/>
      </c>
      <c r="T3075">
        <f>IF(C3075,(H3075*N3075*IF(AND(Inputs!$B$38&lt;&gt;"pvp",Inputs!$B$43&gt;0),((Skills!G8*((R3075-1)*IF(Skills!H8&gt;0,INT(Skills!I8/Skills!H8+0.000000001),1)+IF(Skills!H8&gt;0,INT(MIN(Skills!I8,MAX(0,MAX(0,Inputs!$B$43-B3103)-((R3075-1)*(IF(Inputs!$B$38="pvp",15,MAX(0.1,Skills!D8-IF(TRUE=TRUE,5.0,0)))*(1-IF(AND(ArtifactsInput!$M$27,Inputs!$B$4="Chapter Hunt"),CHOOSE(ArtifactsInput!$N$27+1,20,24,28,32,36,40),0)/100)))))/Skills!H8+0.000000001),1)))/Inputs!$B$43),G3075*Q3075))*IF(Inputs!$B$38="pvp",1,1+(Inputs!$B$20+0+Skills!P8+(((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INT(Skills!I8/Skills!H8+0.000000001),1)+IF(Skills!H8&gt;0,INT(MIN(Skills!I8,MAX(0,MAX(0,Inputs!$B$43-B3103)-((R3075-1)*(IF(Inputs!$B$38="pvp",15,MAX(0.1,Skills!D8-IF(TRUE=TRUE,5.0,0)))*(1-IF(AND(ArtifactsInput!$M$27,Inputs!$B$4="Chapter Hunt"),CHOOSE(ArtifactsInput!$N$27+1,20,24,28,32,36,40),0)/100)))))/Skills!H8+0.000000001),1)))/Inputs!$B$43),G3075*Q3075))*IF(Inputs!$B$38="pvp",1,(1+(Inputs!$B$21+Skills!Q8+(((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Skills!G9*IF(Skills!H9&gt;0,INT(IF(Inputs!$B$38="pvp",MIN(Skills!I9,15),Skills!I9)/Skills!H9+0.000000001),1)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138,MAX(0,IF(Inputs!$B$3&gt;=118,8,IF(Inputs!$B$3&gt;=110,7,5))-5)*50,0),0)/100)*(1+(IF(Skills!A9="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IFERROR(1/(IF(Inputs!$B$38="pvp",15,MAX(0.1,Skills!D9-IF(TRUE=TRUE,5.0,0)))*(1-IF(AND(ArtifactsInput!$M$27,Inputs!$B$4="Chapter Hunt"),CHOOSE(ArtifactsInput!$N$27+1,20,24,28,32,36,40),0)/100)),0)</f>
        <v/>
      </c>
      <c r="R3076">
        <f>IF(AND(Inputs!$B$38&lt;&gt;"pvp",Inputs!$B$43&gt;0),IF(MAX(0,Inputs!$B$43-B3103)&lt;=0,0,(INT(MAX(0,Inputs!$B$43-B3103)/(IF(Inputs!$B$38="pvp",15,MAX(0.1,Skills!D9-IF(TRUE=TRUE,5.0,0)))*(1-IF(AND(ArtifactsInput!$M$27,Inputs!$B$4="Chapter Hunt"),CHOOSE(ArtifactsInput!$N$27+1,20,24,28,32,36,40),0)/100)))+1)),0)</f>
        <v/>
      </c>
      <c r="S3076">
        <f>IFERROR(O3076/N3076,0)</f>
        <v/>
      </c>
      <c r="T3076">
        <f>IF(C3076,(H3076*N3076*IF(AND(Inputs!$B$38&lt;&gt;"pvp",Inputs!$B$43&gt;0),((Skills!G9*((R3076-1)*IF(Skills!H9&gt;0,INT(Skills!I9/Skills!H9+0.000000001),1)+IF(Skills!H9&gt;0,INT(MIN(Skills!I9,MAX(0,MAX(0,Inputs!$B$43-B3103)-((R3076-1)*(IF(Inputs!$B$38="pvp",15,MAX(0.1,Skills!D9-IF(TRUE=TRUE,5.0,0)))*(1-IF(AND(ArtifactsInput!$M$27,Inputs!$B$4="Chapter Hunt"),CHOOSE(ArtifactsInput!$N$27+1,20,24,28,32,36,40),0)/100)))))/Skills!H9+0.000000001),1)))/Inputs!$B$43),G3076*Q3076))*IF(Inputs!$B$38="pvp",1,1+(Inputs!$B$20+0+Skills!P9+(((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INT(Skills!I9/Skills!H9+0.000000001),1)+IF(Skills!H9&gt;0,INT(MIN(Skills!I9,MAX(0,MAX(0,Inputs!$B$43-B3103)-((R3076-1)*(IF(Inputs!$B$38="pvp",15,MAX(0.1,Skills!D9-IF(TRUE=TRUE,5.0,0)))*(1-IF(AND(ArtifactsInput!$M$27,Inputs!$B$4="Chapter Hunt"),CHOOSE(ArtifactsInput!$N$27+1,20,24,28,32,36,40),0)/100)))))/Skills!H9+0.000000001),1)))/Inputs!$B$43),G3076*Q3076))*IF(Inputs!$B$38="pvp",1,(1+(Inputs!$B$21+Skills!Q9+(((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Skills!G10*IF(Skills!H10&gt;0,INT(IF(Inputs!$B$38="pvp",MIN(Skills!I10,15),Skills!I10)/Skills!H10+0.000000001),1)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138,MAX(0,IF(Inputs!$B$3&gt;=118,8,IF(Inputs!$B$3&gt;=110,7,5))-5)*50,0),0)/100)*(1+(IF(Skills!A10="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IFERROR(1/(IF(Inputs!$B$38="pvp",15,MAX(0.1,Skills!D10-IF(TRUE=TRUE,5.0,0)))*(1-IF(AND(ArtifactsInput!$M$27,Inputs!$B$4="Chapter Hunt"),CHOOSE(ArtifactsInput!$N$27+1,20,24,28,32,36,40),0)/100)),0)</f>
        <v/>
      </c>
      <c r="R3077">
        <f>IF(AND(Inputs!$B$38&lt;&gt;"pvp",Inputs!$B$43&gt;0),IF(MAX(0,Inputs!$B$43-B3103)&lt;=0,0,(INT(MAX(0,Inputs!$B$43-B3103)/(IF(Inputs!$B$38="pvp",15,MAX(0.1,Skills!D10-IF(TRUE=TRUE,5.0,0)))*(1-IF(AND(ArtifactsInput!$M$27,Inputs!$B$4="Chapter Hunt"),CHOOSE(ArtifactsInput!$N$27+1,20,24,28,32,36,40),0)/100)))+1)),0)</f>
        <v/>
      </c>
      <c r="S3077">
        <f>IFERROR(O3077/N3077,0)</f>
        <v/>
      </c>
      <c r="T3077">
        <f>IF(C3077,(H3077*N3077*IF(AND(Inputs!$B$38&lt;&gt;"pvp",Inputs!$B$43&gt;0),((Skills!G10*((R3077-1)*IF(Skills!H10&gt;0,INT(Skills!I10/Skills!H10+0.000000001),1)+IF(Skills!H10&gt;0,INT(MIN(Skills!I10,MAX(0,MAX(0,Inputs!$B$43-B3103)-((R3077-1)*(IF(Inputs!$B$38="pvp",15,MAX(0.1,Skills!D10-IF(TRUE=TRUE,5.0,0)))*(1-IF(AND(ArtifactsInput!$M$27,Inputs!$B$4="Chapter Hunt"),CHOOSE(ArtifactsInput!$N$27+1,20,24,28,32,36,40),0)/100)))))/Skills!H10+0.000000001),1)))/Inputs!$B$43),G3077*Q3077))*IF(Inputs!$B$38="pvp",1,1+(Inputs!$B$20+0+Skills!P10+(((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INT(Skills!I10/Skills!H10+0.000000001),1)+IF(Skills!H10&gt;0,INT(MIN(Skills!I10,MAX(0,MAX(0,Inputs!$B$43-B3103)-((R3077-1)*(IF(Inputs!$B$38="pvp",15,MAX(0.1,Skills!D10-IF(TRUE=TRUE,5.0,0)))*(1-IF(AND(ArtifactsInput!$M$27,Inputs!$B$4="Chapter Hunt"),CHOOSE(ArtifactsInput!$N$27+1,20,24,28,32,36,40),0)/100)))))/Skills!H10+0.000000001),1)))/Inputs!$B$43),G3077*Q3077))*IF(Inputs!$B$38="pvp",1,(1+(Inputs!$B$21+Skills!Q10+(((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Skills!G11*IF(Skills!H11&gt;0,INT(IF(Inputs!$B$38="pvp",MIN(Skills!I11,15),Skills!I11)/Skills!H11+0.000000001),1)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138,MAX(0,IF(Inputs!$B$3&gt;=118,8,IF(Inputs!$B$3&gt;=110,7,5))-5)*50,0),0)/100)*(1+(IF(Skills!A11="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IFERROR(1/(IF(Inputs!$B$38="pvp",15,MAX(0.1,Skills!D11-IF(TRUE=TRUE,5.0,0)))*(1-IF(AND(ArtifactsInput!$M$27,Inputs!$B$4="Chapter Hunt"),CHOOSE(ArtifactsInput!$N$27+1,20,24,28,32,36,40),0)/100)),0)</f>
        <v/>
      </c>
      <c r="R3078">
        <f>IF(AND(Inputs!$B$38&lt;&gt;"pvp",Inputs!$B$43&gt;0),IF(MAX(0,Inputs!$B$43-B3103)&lt;=0,0,(INT(MAX(0,Inputs!$B$43-B3103)/(IF(Inputs!$B$38="pvp",15,MAX(0.1,Skills!D11-IF(TRUE=TRUE,5.0,0)))*(1-IF(AND(ArtifactsInput!$M$27,Inputs!$B$4="Chapter Hunt"),CHOOSE(ArtifactsInput!$N$27+1,20,24,28,32,36,40),0)/100)))+1)),0)</f>
        <v/>
      </c>
      <c r="S3078">
        <f>IFERROR(O3078/N3078,0)</f>
        <v/>
      </c>
      <c r="T3078">
        <f>IF(C3078,(H3078*N3078*IF(AND(Inputs!$B$38&lt;&gt;"pvp",Inputs!$B$43&gt;0),((Skills!G11*((R3078-1)*IF(Skills!H11&gt;0,INT(Skills!I11/Skills!H11+0.000000001),1)+IF(Skills!H11&gt;0,INT(MIN(Skills!I11,MAX(0,MAX(0,Inputs!$B$43-B3103)-((R3078-1)*(IF(Inputs!$B$38="pvp",15,MAX(0.1,Skills!D11-IF(TRUE=TRUE,5.0,0)))*(1-IF(AND(ArtifactsInput!$M$27,Inputs!$B$4="Chapter Hunt"),CHOOSE(ArtifactsInput!$N$27+1,20,24,28,32,36,40),0)/100)))))/Skills!H11+0.000000001),1)))/Inputs!$B$43),G3078*Q3078))*IF(Inputs!$B$38="pvp",1,1+(Inputs!$B$20+0+Skills!P11+(((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INT(Skills!I11/Skills!H11+0.000000001),1)+IF(Skills!H11&gt;0,INT(MIN(Skills!I11,MAX(0,MAX(0,Inputs!$B$43-B3103)-((R3078-1)*(IF(Inputs!$B$38="pvp",15,MAX(0.1,Skills!D11-IF(TRUE=TRUE,5.0,0)))*(1-IF(AND(ArtifactsInput!$M$27,Inputs!$B$4="Chapter Hunt"),CHOOSE(ArtifactsInput!$N$27+1,20,24,28,32,36,40),0)/100)))))/Skills!H11+0.000000001),1)))/Inputs!$B$43),G3078*Q3078))*IF(Inputs!$B$38="pvp",1,(1+(Inputs!$B$21+Skills!Q11+(((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Skills!G13*IF(Skills!H13&gt;0,INT(IF(Inputs!$B$38="pvp",MIN(Skills!I13,15),Skills!I13)/Skills!H13+0.000000001),1)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Skills!G14*IF(Skills!H14&gt;0,INT(IF(Inputs!$B$38="pvp",MIN(Skills!I14,15),Skills!I14)/Skills!H14+0.000000001),1)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Skills!G15*IF(Skills!H15&gt;0,INT(IF(Inputs!$B$38="pvp",MIN(Skills!I15,15),Skills!I15)/Skills!H15+0.000000001),1)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IFERROR(1/(IF(Inputs!$B$38="pvp",15,MAX(0.1,Skills!D15-IF(TRUE=TRUE,5.0,0)))*(1-IF(AND(ArtifactsInput!$M$27,Inputs!$B$4="Chapter Hunt"),CHOOSE(ArtifactsInput!$N$27+1,20,24,28,32,36,40),0)/100)),0)</f>
        <v/>
      </c>
      <c r="R3082">
        <f>IF(AND(Inputs!$B$38&lt;&gt;"pvp",Inputs!$B$43&gt;0),IF(Inputs!$B$43&lt;=0,0,(INT(Inputs!$B$43/(IF(Inputs!$B$38="pvp",15,MAX(0.1,Skills!D15-IF(TRUE=TRUE,5.0,0)))*(1-IF(AND(ArtifactsInput!$M$27,Inputs!$B$4="Chapter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Skills!G16*IF(Skills!H16&gt;0,INT(IF(Inputs!$B$38="pvp",MIN(Skills!I16,15),Skills!I16)/Skills!H16+0.000000001),1)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IFERROR(1/(IF(Inputs!$B$38="pvp",15,MAX(0.1,Skills!D16-IF(TRUE=TRUE,5.0,0)))*(1-IF(AND(ArtifactsInput!$M$27,Inputs!$B$4="Chapter Hunt"),CHOOSE(ArtifactsInput!$N$27+1,20,24,28,32,36,40),0)/100)),0)</f>
        <v/>
      </c>
      <c r="R3083">
        <f>IF(AND(Inputs!$B$38&lt;&gt;"pvp",Inputs!$B$43&gt;0),IF(Inputs!$B$43&lt;=0,0,(INT(Inputs!$B$43/(IF(Inputs!$B$38="pvp",15,MAX(0.1,Skills!D16-IF(TRUE=TRUE,5.0,0)))*(1-IF(AND(ArtifactsInput!$M$27,Inputs!$B$4="Chapter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Skills!G17*IF(Skills!H17&gt;0,INT(IF(Inputs!$B$38="pvp",MIN(Skills!I17,15),Skills!I17)/Skills!H17+0.000000001),1)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IFERROR(1/(IF(Inputs!$B$38="pvp",15,MAX(0.1,Skills!D17-IF(TRUE=TRUE,5.0,0)))*(1-IF(AND(ArtifactsInput!$M$27,Inputs!$B$4="Chapter Hunt"),CHOOSE(ArtifactsInput!$N$27+1,20,24,28,32,36,40),0)/100)),0)</f>
        <v/>
      </c>
      <c r="R3084">
        <f>IF(AND(Inputs!$B$38&lt;&gt;"pvp",Inputs!$B$43&gt;0),IF(Inputs!$B$43&lt;=0,0,(INT(Inputs!$B$43/(IF(Inputs!$B$38="pvp",15,MAX(0.1,Skills!D17-IF(TRUE=TRUE,5.0,0)))*(1-IF(AND(ArtifactsInput!$M$27,Inputs!$B$4="Chapter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Skills!G18*IF(Skills!H18&gt;0,INT(IF(Inputs!$B$38="pvp",MIN(Skills!I18,15),Skills!I18)/Skills!H18+0.000000001),1)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IFERROR(1/(IF(Inputs!$B$38="pvp",15,MAX(0.1,Skills!D18-IF(TRUE=TRUE,5.0,0)))*(1-IF(AND(ArtifactsInput!$M$27,Inputs!$B$4="Chapter Hunt"),CHOOSE(ArtifactsInput!$N$27+1,20,24,28,32,36,40),0)/100)),0)</f>
        <v/>
      </c>
      <c r="R3085">
        <f>IF(AND(Inputs!$B$38&lt;&gt;"pvp",Inputs!$B$43&gt;0),IF(Inputs!$B$43&lt;=0,0,(INT(Inputs!$B$43/(IF(Inputs!$B$38="pvp",15,MAX(0.1,Skills!D18-IF(TRUE=TRUE,5.0,0)))*(1-IF(AND(ArtifactsInput!$M$27,Inputs!$B$4="Chapter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Skills!G19*IF(Skills!H19&gt;0,INT(IF(Inputs!$B$38="pvp",MIN(Skills!I19,15),Skills!I19)/Skills!H19+0.000000001),1)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IFERROR(1/(IF(Inputs!$B$38="pvp",15,MAX(0.1,Skills!D19-IF(TRUE=TRUE,5.0,0)))*(1-IF(AND(ArtifactsInput!$M$27,Inputs!$B$4="Chapter Hunt"),CHOOSE(ArtifactsInput!$N$27+1,20,24,28,32,36,40),0)/100)),0)</f>
        <v/>
      </c>
      <c r="R3086">
        <f>IF(AND(Inputs!$B$38&lt;&gt;"pvp",Inputs!$B$43&gt;0),IF(Inputs!$B$43&lt;=0,0,(INT(Inputs!$B$43/(IF(Inputs!$B$38="pvp",15,MAX(0.1,Skills!D19-IF(TRUE=TRUE,5.0,0)))*(1-IF(AND(ArtifactsInput!$M$27,Inputs!$B$4="Chapter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Skills!G20*IF(Skills!H20&gt;0,INT(IF(Inputs!$B$38="pvp",MIN(Skills!I20,15),Skills!I20)/Skills!H20+0.000000001),1)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Skills!G21*IF(Skills!H21&gt;0,INT(IF(Inputs!$B$38="pvp",MIN(Skills!I21,15),Skills!I21)/Skills!H21+0.000000001),1)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Skills!G22*IF(Skills!H22&gt;0,INT(IF(Inputs!$B$38="pvp",MIN(Skills!I22,15),Skills!I22)/Skills!H22+0.000000001),1)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Skills!G23*IF(Skills!H23&gt;0,INT(IF(Inputs!$B$38="pvp",MIN(Skills!I23,15),Skills!I23)/Skills!H23+0.000000001),1)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Skills!G24*IF(Skills!H24&gt;0,INT(IF(Inputs!$B$38="pvp",MIN(Skills!I24,15),Skills!I24)/Skills!H24+0.000000001),1)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Skills!G25*IF(Skills!H25&gt;0,INT(IF(Inputs!$B$38="pvp",MIN(Skills!I25,15),Skills!I25)/Skills!H25+0.000000001),1)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Skills!G26*IF(Skills!H26&gt;0,INT(IF(Inputs!$B$38="pvp",MIN(Skills!I26,15),Skills!I26)/Skills!H26+0.000000001),1)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MIN((Skills!T19*(1+(Inputs!$B$34+(ArtifactsInput!$M$7-ArtifactsInput!$M$7)*CHOOSE(ArtifactsInput!$N$7+1,6,7.2,8.4,9.6,10.8,12))/100)),(1/Q3086))+MIN((Skills!T19*(1+(Inputs!$B$34+(ArtifactsInput!$M$7-ArtifactsInput!$M$7)*CHOOSE(ArtifactsInput!$N$7+1,6,7.2,8.4,9.6,10.8,12))/100)),MAX(0,Inputs!$B$43-((R3086-1)*(1/Q3086)))))/Inputs!$B$43),IF(Inputs!$B$38="pvp",MIN((Skills!T19*(1+(Inputs!$B$34+(ArtifactsInput!$M$7-ArtifactsInput!$M$7)*CHOOSE(ArtifactsInput!$N$7+1,6,7.2,8.4,9.6,10.8,12))/100)),15)/15,MIN(1,(Skills!T19*(1+(Inputs!$B$34+(ArtifactsInput!$M$7-ArtifactsInput!$M$7)*CHOOSE(ArtifactsInput!$N$7+1,6,7.2,8.4,9.6,10.8,12))/100))/(1/Q3086)))))</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MIN((Skills!T18*(1+(Inputs!$B$34+(ArtifactsInput!$M$7-ArtifactsInput!$M$7)*CHOOSE(ArtifactsInput!$N$7+1,6,7.2,8.4,9.6,10.8,12))/100)),(1/Q3085))+MIN((Skills!T18*(1+(Inputs!$B$34+(ArtifactsInput!$M$7-ArtifactsInput!$M$7)*CHOOSE(ArtifactsInput!$N$7+1,6,7.2,8.4,9.6,10.8,12))/100)),MAX(0,Inputs!$B$43-((R3085-1)*(1/Q3085)))))/Inputs!$B$43),IF(Inputs!$B$38="pvp",MIN((Skills!T18*(1+(Inputs!$B$34+(ArtifactsInput!$M$7-ArtifactsInput!$M$7)*CHOOSE(ArtifactsInput!$N$7+1,6,7.2,8.4,9.6,10.8,12))/100)),15)/15,MIN(1,(Skills!T18*(1+(Inputs!$B$34+(ArtifactsInput!$M$7-ArtifactsInput!$M$7)*CHOOSE(ArtifactsInput!$N$7+1,6,7.2,8.4,9.6,10.8,12))/100))/(1/Q3085)))))</f>
        <v/>
      </c>
    </row>
    <row r="3102">
      <c r="A3102" t="inlineStr">
        <is>
          <t>Global Final Damage Bonus % (Enrage + Combo Synergy)</t>
        </is>
      </c>
      <c r="B3102">
        <f>((C3084=TRUE)*F3084*IF(AND(Inputs!$B$38&lt;&gt;"pvp",Inputs!$B$43&gt;0),(((R3084-1)*MIN((Skills!T17*(1+(Inputs!$B$34+(ArtifactsInput!$M$7-ArtifactsInput!$M$7)*CHOOSE(ArtifactsInput!$N$7+1,6,7.2,8.4,9.6,10.8,12))/100)),(1/Q3084))+MIN((Skills!T17*(1+(Inputs!$B$34+(ArtifactsInput!$M$7-ArtifactsInput!$M$7)*CHOOSE(ArtifactsInput!$N$7+1,6,7.2,8.4,9.6,10.8,12))/100)),MAX(0,Inputs!$B$43-((R3084-1)*(1/Q3084)))))/Inputs!$B$43),IF(Inputs!$B$38="pvp",MIN((Skills!T17*(1+(Inputs!$B$34+(ArtifactsInput!$M$7-ArtifactsInput!$M$7)*CHOOSE(ArtifactsInput!$N$7+1,6,7.2,8.4,9.6,10.8,12))/100)),15)/15,MIN(1,(Skills!T17*(1+(Inputs!$B$34+(ArtifactsInput!$M$7-ArtifactsInput!$M$7)*CHOOSE(ArtifactsInput!$N$7+1,6,7.2,8.4,9.6,10.8,12))/100))/(1/Q3084)))))+((C3081=TRUE)*F3081*IF(Inputs!$B$3&gt;=118,8,IF(Inputs!$B$3&gt;=110,7,5)))+IF(Inputs!$B$3&gt;=98,5,0)</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IF(AND(Inputs!$B$9+Summary!$B$14+Artifacts!$B$32&gt;=100,NOT(ArtifactsInput!$M$42),NOT(ArtifactsInput!$M$24)),Sensitivity!H16,Sensitivity!H15)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2026-10-22T16:26:48Z</dcterms:created>
  <dcterms:modified xsi:type="dcterms:W3CDTF">2026-10-22T16:26:49Z</dcterms:modified>
</cp:coreProperties>
</file>